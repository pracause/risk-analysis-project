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875da8555bae3e/Documents/Analytics Project/"/>
    </mc:Choice>
  </mc:AlternateContent>
  <xr:revisionPtr revIDLastSave="0" documentId="13_ncr:1_{46982D63-EF2B-41F7-A1D1-521F146CF09E}" xr6:coauthVersionLast="47" xr6:coauthVersionMax="47" xr10:uidLastSave="{00000000-0000-0000-0000-000000000000}"/>
  <bookViews>
    <workbookView xWindow="-108" yWindow="-108" windowWidth="23256" windowHeight="13896" firstSheet="2" activeTab="8" xr2:uid="{5D5C7201-051D-4487-B1D5-C614B9D8B704}"/>
  </bookViews>
  <sheets>
    <sheet name="business_units" sheetId="6" r:id="rId1"/>
    <sheet name="treasury_monthly" sheetId="5" r:id="rId2"/>
    <sheet name="invoices" sheetId="3" r:id="rId3"/>
    <sheet name="customers" sheetId="2" r:id="rId4"/>
    <sheet name="purchases" sheetId="4" r:id="rId5"/>
    <sheet name="market_prices" sheetId="7" r:id="rId6"/>
    <sheet name="rates" sheetId="8" r:id="rId7"/>
    <sheet name="market_risk" sheetId="10" r:id="rId8"/>
    <sheet name="working_capital" sheetId="11" r:id="rId9"/>
    <sheet name="aging_pivot" sheetId="9" r:id="rId10"/>
  </sheets>
  <definedNames>
    <definedName name="ExternalData_1" localSheetId="3" hidden="1">'customers'!$A$1:$J$251</definedName>
    <definedName name="ExternalData_1" localSheetId="2" hidden="1">invoices!$A$1:$L$2689</definedName>
    <definedName name="ExternalData_2" localSheetId="4" hidden="1">purchases!$A$1:$L$1501</definedName>
    <definedName name="ExternalData_3" localSheetId="1" hidden="1">treasury_monthly!$A$1:$N$120</definedName>
    <definedName name="ExternalData_4" localSheetId="0" hidden="1">business_units!$A$1:$F$6</definedName>
    <definedName name="ExternalData_5" localSheetId="5" hidden="1">market_prices!$A$1:$H$1564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E4" i="11"/>
  <c r="E5" i="11"/>
  <c r="E6" i="11"/>
  <c r="E7" i="11"/>
  <c r="E3" i="11"/>
  <c r="N30" i="4"/>
  <c r="N9" i="4"/>
  <c r="N31" i="4"/>
  <c r="N32" i="4"/>
  <c r="N2" i="4"/>
  <c r="N11" i="4"/>
  <c r="N36" i="4"/>
  <c r="N14" i="4"/>
  <c r="N15" i="4"/>
  <c r="N19" i="4"/>
  <c r="N42" i="4"/>
  <c r="N3" i="4"/>
  <c r="N4" i="4"/>
  <c r="N20" i="4"/>
  <c r="N43" i="4"/>
  <c r="N5" i="4"/>
  <c r="N44" i="4"/>
  <c r="N49" i="4"/>
  <c r="N51" i="4"/>
  <c r="N52" i="4"/>
  <c r="N25" i="4"/>
  <c r="N6" i="4"/>
  <c r="N27" i="4"/>
  <c r="N61" i="4"/>
  <c r="N7" i="4"/>
  <c r="N62" i="4"/>
  <c r="N63" i="4"/>
  <c r="N28" i="4"/>
  <c r="N8" i="4"/>
  <c r="N29" i="4"/>
  <c r="N10" i="4"/>
  <c r="N33" i="4"/>
  <c r="N35" i="4"/>
  <c r="N12" i="4"/>
  <c r="N69" i="4"/>
  <c r="N13" i="4"/>
  <c r="N38" i="4"/>
  <c r="N72" i="4"/>
  <c r="N39" i="4"/>
  <c r="N73" i="4"/>
  <c r="N16" i="4"/>
  <c r="N17" i="4"/>
  <c r="N40" i="4"/>
  <c r="N41" i="4"/>
  <c r="N74" i="4"/>
  <c r="N18" i="4"/>
  <c r="N21" i="4"/>
  <c r="N47" i="4"/>
  <c r="N22" i="4"/>
  <c r="N23" i="4"/>
  <c r="N24" i="4"/>
  <c r="N81" i="4"/>
  <c r="N87" i="4"/>
  <c r="N55" i="4"/>
  <c r="N26" i="4"/>
  <c r="N88" i="4"/>
  <c r="N56" i="4"/>
  <c r="N60" i="4"/>
  <c r="N93" i="4"/>
  <c r="N94" i="4"/>
  <c r="N95" i="4"/>
  <c r="N96" i="4"/>
  <c r="N97" i="4"/>
  <c r="N34" i="4"/>
  <c r="N67" i="4"/>
  <c r="N107" i="4"/>
  <c r="N37" i="4"/>
  <c r="N109" i="4"/>
  <c r="N71" i="4"/>
  <c r="N45" i="4"/>
  <c r="N76" i="4"/>
  <c r="N46" i="4"/>
  <c r="N48" i="4"/>
  <c r="N116" i="4"/>
  <c r="N78" i="4"/>
  <c r="N50" i="4"/>
  <c r="N53" i="4"/>
  <c r="N82" i="4"/>
  <c r="N54" i="4"/>
  <c r="N57" i="4"/>
  <c r="N89" i="4"/>
  <c r="N90" i="4"/>
  <c r="N91" i="4"/>
  <c r="N125" i="4"/>
  <c r="N92" i="4"/>
  <c r="N58" i="4"/>
  <c r="N59" i="4"/>
  <c r="N126" i="4"/>
  <c r="N127" i="4"/>
  <c r="N64" i="4"/>
  <c r="N65" i="4"/>
  <c r="N66" i="4"/>
  <c r="N68" i="4"/>
  <c r="N70" i="4"/>
  <c r="N130" i="4"/>
  <c r="N131" i="4"/>
  <c r="N108" i="4"/>
  <c r="N75" i="4"/>
  <c r="N111" i="4"/>
  <c r="N77" i="4"/>
  <c r="N114" i="4"/>
  <c r="N138" i="4"/>
  <c r="N117" i="4"/>
  <c r="N79" i="4"/>
  <c r="N80" i="4"/>
  <c r="N83" i="4"/>
  <c r="N122" i="4"/>
  <c r="N123" i="4"/>
  <c r="N84" i="4"/>
  <c r="N85" i="4"/>
  <c r="N86" i="4"/>
  <c r="N124" i="4"/>
  <c r="N98" i="4"/>
  <c r="N99" i="4"/>
  <c r="N100" i="4"/>
  <c r="N101" i="4"/>
  <c r="N147" i="4"/>
  <c r="N102" i="4"/>
  <c r="N103" i="4"/>
  <c r="N104" i="4"/>
  <c r="N155" i="4"/>
  <c r="N156" i="4"/>
  <c r="N157" i="4"/>
  <c r="N128" i="4"/>
  <c r="N105" i="4"/>
  <c r="N158" i="4"/>
  <c r="N159" i="4"/>
  <c r="N129" i="4"/>
  <c r="N106" i="4"/>
  <c r="N160" i="4"/>
  <c r="N161" i="4"/>
  <c r="N162" i="4"/>
  <c r="N110" i="4"/>
  <c r="N112" i="4"/>
  <c r="N135" i="4"/>
  <c r="N113" i="4"/>
  <c r="N115" i="4"/>
  <c r="N166" i="4"/>
  <c r="N139" i="4"/>
  <c r="N169" i="4"/>
  <c r="N118" i="4"/>
  <c r="N143" i="4"/>
  <c r="N170" i="4"/>
  <c r="N171" i="4"/>
  <c r="N172" i="4"/>
  <c r="N119" i="4"/>
  <c r="N144" i="4"/>
  <c r="N120" i="4"/>
  <c r="N121" i="4"/>
  <c r="N146" i="4"/>
  <c r="N177" i="4"/>
  <c r="N148" i="4"/>
  <c r="N150" i="4"/>
  <c r="N179" i="4"/>
  <c r="N151" i="4"/>
  <c r="N181" i="4"/>
  <c r="N153" i="4"/>
  <c r="N154" i="4"/>
  <c r="N132" i="4"/>
  <c r="N182" i="4"/>
  <c r="N163" i="4"/>
  <c r="N133" i="4"/>
  <c r="N134" i="4"/>
  <c r="N136" i="4"/>
  <c r="N164" i="4"/>
  <c r="N187" i="4"/>
  <c r="N165" i="4"/>
  <c r="N137" i="4"/>
  <c r="N195" i="4"/>
  <c r="N140" i="4"/>
  <c r="N141" i="4"/>
  <c r="N142" i="4"/>
  <c r="N167" i="4"/>
  <c r="N168" i="4"/>
  <c r="N200" i="4"/>
  <c r="N145" i="4"/>
  <c r="N149" i="4"/>
  <c r="N152" i="4"/>
  <c r="N180" i="4"/>
  <c r="N209" i="4"/>
  <c r="N211" i="4"/>
  <c r="N212" i="4"/>
  <c r="N183" i="4"/>
  <c r="N185" i="4"/>
  <c r="N217" i="4"/>
  <c r="N186" i="4"/>
  <c r="N188" i="4"/>
  <c r="N219" i="4"/>
  <c r="N196" i="4"/>
  <c r="N197" i="4"/>
  <c r="N198" i="4"/>
  <c r="N199" i="4"/>
  <c r="N222" i="4"/>
  <c r="N202" i="4"/>
  <c r="N173" i="4"/>
  <c r="N225" i="4"/>
  <c r="N174" i="4"/>
  <c r="N175" i="4"/>
  <c r="N226" i="4"/>
  <c r="N176" i="4"/>
  <c r="N204" i="4"/>
  <c r="N230" i="4"/>
  <c r="N207" i="4"/>
  <c r="N208" i="4"/>
  <c r="N178" i="4"/>
  <c r="N1497" i="4"/>
  <c r="N236" i="4"/>
  <c r="N237" i="4"/>
  <c r="N213" i="4"/>
  <c r="N240" i="4"/>
  <c r="N214" i="4"/>
  <c r="N241" i="4"/>
  <c r="N184" i="4"/>
  <c r="N215" i="4"/>
  <c r="N189" i="4"/>
  <c r="N190" i="4"/>
  <c r="N191" i="4"/>
  <c r="N192" i="4"/>
  <c r="N244" i="4"/>
  <c r="N193" i="4"/>
  <c r="N220" i="4"/>
  <c r="N221" i="4"/>
  <c r="N194" i="4"/>
  <c r="N201" i="4"/>
  <c r="N223" i="4"/>
  <c r="N203" i="4"/>
  <c r="N250" i="4"/>
  <c r="N227" i="4"/>
  <c r="N205" i="4"/>
  <c r="N231" i="4"/>
  <c r="N206" i="4"/>
  <c r="N232" i="4"/>
  <c r="N256" i="4"/>
  <c r="N257" i="4"/>
  <c r="N210" i="4"/>
  <c r="N242" i="4"/>
  <c r="N216" i="4"/>
  <c r="N265" i="4"/>
  <c r="N243" i="4"/>
  <c r="N266" i="4"/>
  <c r="N218" i="4"/>
  <c r="N270" i="4"/>
  <c r="N247" i="4"/>
  <c r="N248" i="4"/>
  <c r="N224" i="4"/>
  <c r="N252" i="4"/>
  <c r="N253" i="4"/>
  <c r="N228" i="4"/>
  <c r="N254" i="4"/>
  <c r="N275" i="4"/>
  <c r="N255" i="4"/>
  <c r="N229" i="4"/>
  <c r="N233" i="4"/>
  <c r="N234" i="4"/>
  <c r="N279" i="4"/>
  <c r="N261" i="4"/>
  <c r="N262" i="4"/>
  <c r="N235" i="4"/>
  <c r="N238" i="4"/>
  <c r="N239" i="4"/>
  <c r="N280" i="4"/>
  <c r="N245" i="4"/>
  <c r="N268" i="4"/>
  <c r="N293" i="4"/>
  <c r="N246" i="4"/>
  <c r="N271" i="4"/>
  <c r="N295" i="4"/>
  <c r="N249" i="4"/>
  <c r="N272" i="4"/>
  <c r="N273" i="4"/>
  <c r="N300" i="4"/>
  <c r="N274" i="4"/>
  <c r="N251" i="4"/>
  <c r="N276" i="4"/>
  <c r="N258" i="4"/>
  <c r="N277" i="4"/>
  <c r="N278" i="4"/>
  <c r="N259" i="4"/>
  <c r="N260" i="4"/>
  <c r="N308" i="4"/>
  <c r="N309" i="4"/>
  <c r="N281" i="4"/>
  <c r="N310" i="4"/>
  <c r="N263" i="4"/>
  <c r="N285" i="4"/>
  <c r="N313" i="4"/>
  <c r="N286" i="4"/>
  <c r="N264" i="4"/>
  <c r="N288" i="4"/>
  <c r="N267" i="4"/>
  <c r="N289" i="4"/>
  <c r="N290" i="4"/>
  <c r="N291" i="4"/>
  <c r="N315" i="4"/>
  <c r="N269" i="4"/>
  <c r="N296" i="4"/>
  <c r="N316" i="4"/>
  <c r="N297" i="4"/>
  <c r="N321" i="4"/>
  <c r="N328" i="4"/>
  <c r="N329" i="4"/>
  <c r="N304" i="4"/>
  <c r="N305" i="4"/>
  <c r="N332" i="4"/>
  <c r="N336" i="4"/>
  <c r="N282" i="4"/>
  <c r="N339" i="4"/>
  <c r="N311" i="4"/>
  <c r="N312" i="4"/>
  <c r="N283" i="4"/>
  <c r="N284" i="4"/>
  <c r="N287" i="4"/>
  <c r="N344" i="4"/>
  <c r="N345" i="4"/>
  <c r="N292" i="4"/>
  <c r="N348" i="4"/>
  <c r="N349" i="4"/>
  <c r="N294" i="4"/>
  <c r="N353" i="4"/>
  <c r="N298" i="4"/>
  <c r="N317" i="4"/>
  <c r="N355" i="4"/>
  <c r="N319" i="4"/>
  <c r="N356" i="4"/>
  <c r="N357" i="4"/>
  <c r="N299" i="4"/>
  <c r="N320" i="4"/>
  <c r="N301" i="4"/>
  <c r="N302" i="4"/>
  <c r="N325" i="4"/>
  <c r="N303" i="4"/>
  <c r="N330" i="4"/>
  <c r="N361" i="4"/>
  <c r="N306" i="4"/>
  <c r="N331" i="4"/>
  <c r="N307" i="4"/>
  <c r="N333" i="4"/>
  <c r="N337" i="4"/>
  <c r="N372" i="4"/>
  <c r="N373" i="4"/>
  <c r="N338" i="4"/>
  <c r="N378" i="4"/>
  <c r="N340" i="4"/>
  <c r="N341" i="4"/>
  <c r="N342" i="4"/>
  <c r="N314" i="4"/>
  <c r="N379" i="4"/>
  <c r="N380" i="4"/>
  <c r="N382" i="4"/>
  <c r="N385" i="4"/>
  <c r="N354" i="4"/>
  <c r="N386" i="4"/>
  <c r="N318" i="4"/>
  <c r="N388" i="4"/>
  <c r="N322" i="4"/>
  <c r="N323" i="4"/>
  <c r="N359" i="4"/>
  <c r="N324" i="4"/>
  <c r="N326" i="4"/>
  <c r="N327" i="4"/>
  <c r="N362" i="4"/>
  <c r="N363" i="4"/>
  <c r="N397" i="4"/>
  <c r="N401" i="4"/>
  <c r="N371" i="4"/>
  <c r="N334" i="4"/>
  <c r="N335" i="4"/>
  <c r="N376" i="4"/>
  <c r="N377" i="4"/>
  <c r="N405" i="4"/>
  <c r="N408" i="4"/>
  <c r="N409" i="4"/>
  <c r="N410" i="4"/>
  <c r="N343" i="4"/>
  <c r="N346" i="4"/>
  <c r="N347" i="4"/>
  <c r="N414" i="4"/>
  <c r="N350" i="4"/>
  <c r="N351" i="4"/>
  <c r="N383" i="4"/>
  <c r="N384" i="4"/>
  <c r="N352" i="4"/>
  <c r="N358" i="4"/>
  <c r="N360" i="4"/>
  <c r="N389" i="4"/>
  <c r="N390" i="4"/>
  <c r="N391" i="4"/>
  <c r="N392" i="4"/>
  <c r="N421" i="4"/>
  <c r="N422" i="4"/>
  <c r="N423" i="4"/>
  <c r="N364" i="4"/>
  <c r="N424" i="4"/>
  <c r="N365" i="4"/>
  <c r="N366" i="4"/>
  <c r="N367" i="4"/>
  <c r="N368" i="4"/>
  <c r="N369" i="4"/>
  <c r="N398" i="4"/>
  <c r="N399" i="4"/>
  <c r="N370" i="4"/>
  <c r="N400" i="4"/>
  <c r="N403" i="4"/>
  <c r="N374" i="4"/>
  <c r="N375" i="4"/>
  <c r="N406" i="4"/>
  <c r="N407" i="4"/>
  <c r="N427" i="4"/>
  <c r="N434" i="4"/>
  <c r="N435" i="4"/>
  <c r="N439" i="4"/>
  <c r="N381" i="4"/>
  <c r="N412" i="4"/>
  <c r="N413" i="4"/>
  <c r="N416" i="4"/>
  <c r="N387" i="4"/>
  <c r="N444" i="4"/>
  <c r="N417" i="4"/>
  <c r="N446" i="4"/>
  <c r="N393" i="4"/>
  <c r="N449" i="4"/>
  <c r="N394" i="4"/>
  <c r="N395" i="4"/>
  <c r="N396" i="4"/>
  <c r="N402" i="4"/>
  <c r="N453" i="4"/>
  <c r="N404" i="4"/>
  <c r="N426" i="4"/>
  <c r="N411" i="4"/>
  <c r="N436" i="4"/>
  <c r="N460" i="4"/>
  <c r="N437" i="4"/>
  <c r="N461" i="4"/>
  <c r="N438" i="4"/>
  <c r="N462" i="4"/>
  <c r="N441" i="4"/>
  <c r="N442" i="4"/>
  <c r="N415" i="4"/>
  <c r="N443" i="4"/>
  <c r="N468" i="4"/>
  <c r="N469" i="4"/>
  <c r="N418" i="4"/>
  <c r="N419" i="4"/>
  <c r="N447" i="4"/>
  <c r="N420" i="4"/>
  <c r="N450" i="4"/>
  <c r="N473" i="4"/>
  <c r="N474" i="4"/>
  <c r="N451" i="4"/>
  <c r="N478" i="4"/>
  <c r="N425" i="4"/>
  <c r="N479" i="4"/>
  <c r="N482" i="4"/>
  <c r="N428" i="4"/>
  <c r="N456" i="4"/>
  <c r="N486" i="4"/>
  <c r="N457" i="4"/>
  <c r="N458" i="4"/>
  <c r="N487" i="4"/>
  <c r="N429" i="4"/>
  <c r="N430" i="4"/>
  <c r="N459" i="4"/>
  <c r="N431" i="4"/>
  <c r="N432" i="4"/>
  <c r="N488" i="4"/>
  <c r="N433" i="4"/>
  <c r="N493" i="4"/>
  <c r="N440" i="4"/>
  <c r="N495" i="4"/>
  <c r="N496" i="4"/>
  <c r="N504" i="4"/>
  <c r="N445" i="4"/>
  <c r="N470" i="4"/>
  <c r="N506" i="4"/>
  <c r="N507" i="4"/>
  <c r="N471" i="4"/>
  <c r="N472" i="4"/>
  <c r="N448" i="4"/>
  <c r="N508" i="4"/>
  <c r="N509" i="4"/>
  <c r="N452" i="4"/>
  <c r="N454" i="4"/>
  <c r="N455" i="4"/>
  <c r="N485" i="4"/>
  <c r="N523" i="4"/>
  <c r="N463" i="4"/>
  <c r="N464" i="4"/>
  <c r="N494" i="4"/>
  <c r="N465" i="4"/>
  <c r="N466" i="4"/>
  <c r="N497" i="4"/>
  <c r="N467" i="4"/>
  <c r="N498" i="4"/>
  <c r="N533" i="4"/>
  <c r="N500" i="4"/>
  <c r="N534" i="4"/>
  <c r="N501" i="4"/>
  <c r="N535" i="4"/>
  <c r="N536" i="4"/>
  <c r="N537" i="4"/>
  <c r="N538" i="4"/>
  <c r="N505" i="4"/>
  <c r="N511" i="4"/>
  <c r="N539" i="4"/>
  <c r="N540" i="4"/>
  <c r="N475" i="4"/>
  <c r="N476" i="4"/>
  <c r="N477" i="4"/>
  <c r="N513" i="4"/>
  <c r="N514" i="4"/>
  <c r="N480" i="4"/>
  <c r="N481" i="4"/>
  <c r="N547" i="4"/>
  <c r="N518" i="4"/>
  <c r="N519" i="4"/>
  <c r="N520" i="4"/>
  <c r="N552" i="4"/>
  <c r="N553" i="4"/>
  <c r="N521" i="4"/>
  <c r="N483" i="4"/>
  <c r="N554" i="4"/>
  <c r="N522" i="4"/>
  <c r="N484" i="4"/>
  <c r="N1498" i="4"/>
  <c r="N557" i="4"/>
  <c r="N489" i="4"/>
  <c r="N490" i="4"/>
  <c r="N491" i="4"/>
  <c r="N525" i="4"/>
  <c r="N492" i="4"/>
  <c r="N527" i="4"/>
  <c r="N561" i="4"/>
  <c r="N562" i="4"/>
  <c r="N528" i="4"/>
  <c r="N499" i="4"/>
  <c r="N565" i="4"/>
  <c r="N502" i="4"/>
  <c r="N503" i="4"/>
  <c r="N510" i="4"/>
  <c r="N569" i="4"/>
  <c r="N572" i="4"/>
  <c r="N512" i="4"/>
  <c r="N573" i="4"/>
  <c r="N544" i="4"/>
  <c r="N546" i="4"/>
  <c r="N548" i="4"/>
  <c r="N549" i="4"/>
  <c r="N515" i="4"/>
  <c r="N516" i="4"/>
  <c r="N550" i="4"/>
  <c r="N551" i="4"/>
  <c r="N517" i="4"/>
  <c r="N524" i="4"/>
  <c r="N556" i="4"/>
  <c r="N558" i="4"/>
  <c r="N526" i="4"/>
  <c r="N529" i="4"/>
  <c r="N530" i="4"/>
  <c r="N531" i="4"/>
  <c r="N532" i="4"/>
  <c r="N586" i="4"/>
  <c r="N587" i="4"/>
  <c r="N566" i="4"/>
  <c r="N567" i="4"/>
  <c r="N588" i="4"/>
  <c r="N593" i="4"/>
  <c r="N594" i="4"/>
  <c r="N570" i="4"/>
  <c r="N574" i="4"/>
  <c r="N541" i="4"/>
  <c r="N542" i="4"/>
  <c r="N575" i="4"/>
  <c r="N597" i="4"/>
  <c r="N576" i="4"/>
  <c r="N543" i="4"/>
  <c r="N545" i="4"/>
  <c r="N603" i="4"/>
  <c r="N578" i="4"/>
  <c r="N579" i="4"/>
  <c r="N581" i="4"/>
  <c r="N555" i="4"/>
  <c r="N582" i="4"/>
  <c r="N609" i="4"/>
  <c r="N559" i="4"/>
  <c r="N560" i="4"/>
  <c r="N584" i="4"/>
  <c r="N619" i="4"/>
  <c r="N563" i="4"/>
  <c r="N564" i="4"/>
  <c r="N585" i="4"/>
  <c r="N568" i="4"/>
  <c r="N589" i="4"/>
  <c r="N595" i="4"/>
  <c r="N596" i="4"/>
  <c r="N571" i="4"/>
  <c r="N633" i="4"/>
  <c r="N604" i="4"/>
  <c r="N577" i="4"/>
  <c r="N605" i="4"/>
  <c r="N606" i="4"/>
  <c r="N637" i="4"/>
  <c r="N580" i="4"/>
  <c r="N641" i="4"/>
  <c r="N642" i="4"/>
  <c r="N643" i="4"/>
  <c r="N608" i="4"/>
  <c r="N645" i="4"/>
  <c r="N583" i="4"/>
  <c r="N649" i="4"/>
  <c r="N610" i="4"/>
  <c r="N611" i="4"/>
  <c r="N653" i="4"/>
  <c r="N617" i="4"/>
  <c r="N654" i="4"/>
  <c r="N655" i="4"/>
  <c r="N618" i="4"/>
  <c r="N622" i="4"/>
  <c r="N623" i="4"/>
  <c r="N590" i="4"/>
  <c r="N591" i="4"/>
  <c r="N592" i="4"/>
  <c r="N626" i="4"/>
  <c r="N627" i="4"/>
  <c r="N628" i="4"/>
  <c r="N662" i="4"/>
  <c r="N629" i="4"/>
  <c r="N667" i="4"/>
  <c r="N598" i="4"/>
  <c r="N599" i="4"/>
  <c r="N600" i="4"/>
  <c r="N634" i="4"/>
  <c r="N635" i="4"/>
  <c r="N636" i="4"/>
  <c r="N601" i="4"/>
  <c r="N602" i="4"/>
  <c r="N644" i="4"/>
  <c r="N607" i="4"/>
  <c r="N670" i="4"/>
  <c r="N646" i="4"/>
  <c r="N671" i="4"/>
  <c r="N675" i="4"/>
  <c r="N677" i="4"/>
  <c r="N612" i="4"/>
  <c r="N678" i="4"/>
  <c r="N613" i="4"/>
  <c r="N651" i="4"/>
  <c r="N614" i="4"/>
  <c r="N615" i="4"/>
  <c r="N616" i="4"/>
  <c r="N652" i="4"/>
  <c r="N657" i="4"/>
  <c r="N658" i="4"/>
  <c r="N620" i="4"/>
  <c r="N621" i="4"/>
  <c r="N624" i="4"/>
  <c r="N625" i="4"/>
  <c r="N630" i="4"/>
  <c r="N663" i="4"/>
  <c r="N691" i="4"/>
  <c r="N666" i="4"/>
  <c r="N631" i="4"/>
  <c r="N632" i="4"/>
  <c r="N669" i="4"/>
  <c r="N696" i="4"/>
  <c r="N638" i="4"/>
  <c r="N699" i="4"/>
  <c r="N639" i="4"/>
  <c r="N640" i="4"/>
  <c r="N672" i="4"/>
  <c r="N647" i="4"/>
  <c r="N673" i="4"/>
  <c r="N648" i="4"/>
  <c r="N676" i="4"/>
  <c r="N650" i="4"/>
  <c r="N708" i="4"/>
  <c r="N712" i="4"/>
  <c r="N656" i="4"/>
  <c r="N680" i="4"/>
  <c r="N681" i="4"/>
  <c r="N659" i="4"/>
  <c r="N660" i="4"/>
  <c r="N682" i="4"/>
  <c r="N683" i="4"/>
  <c r="N684" i="4"/>
  <c r="N661" i="4"/>
  <c r="N686" i="4"/>
  <c r="N687" i="4"/>
  <c r="N664" i="4"/>
  <c r="N720" i="4"/>
  <c r="N721" i="4"/>
  <c r="N665" i="4"/>
  <c r="N688" i="4"/>
  <c r="N689" i="4"/>
  <c r="N690" i="4"/>
  <c r="N692" i="4"/>
  <c r="N668" i="4"/>
  <c r="N693" i="4"/>
  <c r="N722" i="4"/>
  <c r="N697" i="4"/>
  <c r="N727" i="4"/>
  <c r="N698" i="4"/>
  <c r="N1499" i="4"/>
  <c r="N700" i="4"/>
  <c r="N702" i="4"/>
  <c r="N731" i="4"/>
  <c r="N733" i="4"/>
  <c r="N734" i="4"/>
  <c r="N706" i="4"/>
  <c r="N735" i="4"/>
  <c r="N674" i="4"/>
  <c r="N707" i="4"/>
  <c r="N736" i="4"/>
  <c r="N737" i="4"/>
  <c r="N709" i="4"/>
  <c r="N710" i="4"/>
  <c r="N711" i="4"/>
  <c r="N679" i="4"/>
  <c r="N741" i="4"/>
  <c r="N742" i="4"/>
  <c r="N743" i="4"/>
  <c r="N715" i="4"/>
  <c r="N716" i="4"/>
  <c r="N746" i="4"/>
  <c r="N717" i="4"/>
  <c r="N719" i="4"/>
  <c r="N754" i="4"/>
  <c r="N685" i="4"/>
  <c r="N723" i="4"/>
  <c r="N694" i="4"/>
  <c r="N695" i="4"/>
  <c r="N724" i="4"/>
  <c r="N761" i="4"/>
  <c r="N701" i="4"/>
  <c r="N764" i="4"/>
  <c r="N732" i="4"/>
  <c r="N703" i="4"/>
  <c r="N769" i="4"/>
  <c r="N704" i="4"/>
  <c r="N770" i="4"/>
  <c r="N705" i="4"/>
  <c r="N738" i="4"/>
  <c r="N739" i="4"/>
  <c r="N779" i="4"/>
  <c r="N744" i="4"/>
  <c r="N713" i="4"/>
  <c r="N714" i="4"/>
  <c r="N783" i="4"/>
  <c r="N747" i="4"/>
  <c r="N787" i="4"/>
  <c r="N748" i="4"/>
  <c r="N789" i="4"/>
  <c r="N790" i="4"/>
  <c r="N791" i="4"/>
  <c r="N792" i="4"/>
  <c r="N752" i="4"/>
  <c r="N753" i="4"/>
  <c r="N718" i="4"/>
  <c r="N755" i="4"/>
  <c r="N756" i="4"/>
  <c r="N757" i="4"/>
  <c r="N795" i="4"/>
  <c r="N758" i="4"/>
  <c r="N725" i="4"/>
  <c r="N799" i="4"/>
  <c r="N726" i="4"/>
  <c r="N728" i="4"/>
  <c r="N802" i="4"/>
  <c r="N765" i="4"/>
  <c r="N766" i="4"/>
  <c r="N767" i="4"/>
  <c r="N803" i="4"/>
  <c r="N729" i="4"/>
  <c r="N768" i="4"/>
  <c r="N804" i="4"/>
  <c r="N730" i="4"/>
  <c r="N806" i="4"/>
  <c r="N807" i="4"/>
  <c r="N808" i="4"/>
  <c r="N809" i="4"/>
  <c r="N773" i="4"/>
  <c r="N774" i="4"/>
  <c r="N777" i="4"/>
  <c r="N811" i="4"/>
  <c r="N740" i="4"/>
  <c r="N780" i="4"/>
  <c r="N817" i="4"/>
  <c r="N745" i="4"/>
  <c r="N749" i="4"/>
  <c r="N820" i="4"/>
  <c r="N821" i="4"/>
  <c r="N822" i="4"/>
  <c r="N750" i="4"/>
  <c r="N823" i="4"/>
  <c r="N751" i="4"/>
  <c r="N788" i="4"/>
  <c r="N796" i="4"/>
  <c r="N759" i="4"/>
  <c r="N1500" i="4"/>
  <c r="N834" i="4"/>
  <c r="N760" i="4"/>
  <c r="N835" i="4"/>
  <c r="N840" i="4"/>
  <c r="N801" i="4"/>
  <c r="N841" i="4"/>
  <c r="N762" i="4"/>
  <c r="N763" i="4"/>
  <c r="N771" i="4"/>
  <c r="N772" i="4"/>
  <c r="N805" i="4"/>
  <c r="N847" i="4"/>
  <c r="N775" i="4"/>
  <c r="N848" i="4"/>
  <c r="N776" i="4"/>
  <c r="N849" i="4"/>
  <c r="N778" i="4"/>
  <c r="N850" i="4"/>
  <c r="N781" i="4"/>
  <c r="N812" i="4"/>
  <c r="N854" i="4"/>
  <c r="N813" i="4"/>
  <c r="N782" i="4"/>
  <c r="N855" i="4"/>
  <c r="N857" i="4"/>
  <c r="N784" i="4"/>
  <c r="N858" i="4"/>
  <c r="N785" i="4"/>
  <c r="N859" i="4"/>
  <c r="N818" i="4"/>
  <c r="N860" i="4"/>
  <c r="N786" i="4"/>
  <c r="N819" i="4"/>
  <c r="N824" i="4"/>
  <c r="N825" i="4"/>
  <c r="N826" i="4"/>
  <c r="N827" i="4"/>
  <c r="N793" i="4"/>
  <c r="N794" i="4"/>
  <c r="N868" i="4"/>
  <c r="N797" i="4"/>
  <c r="N798" i="4"/>
  <c r="N869" i="4"/>
  <c r="N836" i="4"/>
  <c r="N837" i="4"/>
  <c r="N838" i="4"/>
  <c r="N839" i="4"/>
  <c r="N800" i="4"/>
  <c r="N842" i="4"/>
  <c r="N843" i="4"/>
  <c r="N844" i="4"/>
  <c r="N845" i="4"/>
  <c r="N810" i="4"/>
  <c r="N875" i="4"/>
  <c r="N851" i="4"/>
  <c r="N814" i="4"/>
  <c r="N815" i="4"/>
  <c r="N816" i="4"/>
  <c r="N856" i="4"/>
  <c r="N883" i="4"/>
  <c r="N828" i="4"/>
  <c r="N863" i="4"/>
  <c r="N829" i="4"/>
  <c r="N830" i="4"/>
  <c r="N889" i="4"/>
  <c r="N831" i="4"/>
  <c r="N864" i="4"/>
  <c r="N832" i="4"/>
  <c r="N865" i="4"/>
  <c r="N833" i="4"/>
  <c r="N873" i="4"/>
  <c r="N901" i="4"/>
  <c r="N846" i="4"/>
  <c r="N852" i="4"/>
  <c r="N910" i="4"/>
  <c r="N853" i="4"/>
  <c r="N878" i="4"/>
  <c r="N911" i="4"/>
  <c r="N912" i="4"/>
  <c r="N914" i="4"/>
  <c r="N880" i="4"/>
  <c r="N861" i="4"/>
  <c r="N862" i="4"/>
  <c r="N884" i="4"/>
  <c r="N890" i="4"/>
  <c r="N866" i="4"/>
  <c r="N920" i="4"/>
  <c r="N867" i="4"/>
  <c r="N891" i="4"/>
  <c r="N921" i="4"/>
  <c r="N892" i="4"/>
  <c r="N893" i="4"/>
  <c r="N894" i="4"/>
  <c r="N870" i="4"/>
  <c r="N871" i="4"/>
  <c r="N872" i="4"/>
  <c r="N896" i="4"/>
  <c r="N897" i="4"/>
  <c r="N898" i="4"/>
  <c r="N927" i="4"/>
  <c r="N899" i="4"/>
  <c r="N874" i="4"/>
  <c r="N902" i="4"/>
  <c r="N876" i="4"/>
  <c r="N903" i="4"/>
  <c r="N904" i="4"/>
  <c r="N905" i="4"/>
  <c r="N1501" i="4"/>
  <c r="N906" i="4"/>
  <c r="N877" i="4"/>
  <c r="N907" i="4"/>
  <c r="N908" i="4"/>
  <c r="N935" i="4"/>
  <c r="N909" i="4"/>
  <c r="N879" i="4"/>
  <c r="N881" i="4"/>
  <c r="N915" i="4"/>
  <c r="N940" i="4"/>
  <c r="N941" i="4"/>
  <c r="N942" i="4"/>
  <c r="N943" i="4"/>
  <c r="N944" i="4"/>
  <c r="N916" i="4"/>
  <c r="N917" i="4"/>
  <c r="N945" i="4"/>
  <c r="N882" i="4"/>
  <c r="N885" i="4"/>
  <c r="N919" i="4"/>
  <c r="N886" i="4"/>
  <c r="N956" i="4"/>
  <c r="N887" i="4"/>
  <c r="N888" i="4"/>
  <c r="N957" i="4"/>
  <c r="N959" i="4"/>
  <c r="N922" i="4"/>
  <c r="N960" i="4"/>
  <c r="N962" i="4"/>
  <c r="N923" i="4"/>
  <c r="N963" i="4"/>
  <c r="N924" i="4"/>
  <c r="N964" i="4"/>
  <c r="N925" i="4"/>
  <c r="N895" i="4"/>
  <c r="N928" i="4"/>
  <c r="N900" i="4"/>
  <c r="N972" i="4"/>
  <c r="N932" i="4"/>
  <c r="N973" i="4"/>
  <c r="N933" i="4"/>
  <c r="N934" i="4"/>
  <c r="N974" i="4"/>
  <c r="N913" i="4"/>
  <c r="N938" i="4"/>
  <c r="N939" i="4"/>
  <c r="N983" i="4"/>
  <c r="N984" i="4"/>
  <c r="N946" i="4"/>
  <c r="N918" i="4"/>
  <c r="N951" i="4"/>
  <c r="N986" i="4"/>
  <c r="N987" i="4"/>
  <c r="N952" i="4"/>
  <c r="N988" i="4"/>
  <c r="N953" i="4"/>
  <c r="N954" i="4"/>
  <c r="N989" i="4"/>
  <c r="N955" i="4"/>
  <c r="N958" i="4"/>
  <c r="N961" i="4"/>
  <c r="N997" i="4"/>
  <c r="N998" i="4"/>
  <c r="N967" i="4"/>
  <c r="N926" i="4"/>
  <c r="N1006" i="4"/>
  <c r="N1007" i="4"/>
  <c r="N929" i="4"/>
  <c r="N930" i="4"/>
  <c r="N931" i="4"/>
  <c r="N969" i="4"/>
  <c r="N1008" i="4"/>
  <c r="N970" i="4"/>
  <c r="N1009" i="4"/>
  <c r="N971" i="4"/>
  <c r="N976" i="4"/>
  <c r="N936" i="4"/>
  <c r="N977" i="4"/>
  <c r="N981" i="4"/>
  <c r="N937" i="4"/>
  <c r="N1015" i="4"/>
  <c r="N1018" i="4"/>
  <c r="N1019" i="4"/>
  <c r="N947" i="4"/>
  <c r="N948" i="4"/>
  <c r="N1029" i="4"/>
  <c r="N1030" i="4"/>
  <c r="N985" i="4"/>
  <c r="N949" i="4"/>
  <c r="N1031" i="4"/>
  <c r="N950" i="4"/>
  <c r="N991" i="4"/>
  <c r="N992" i="4"/>
  <c r="N1033" i="4"/>
  <c r="N993" i="4"/>
  <c r="N1034" i="4"/>
  <c r="N995" i="4"/>
  <c r="N996" i="4"/>
  <c r="N999" i="4"/>
  <c r="N965" i="4"/>
  <c r="N966" i="4"/>
  <c r="N1037" i="4"/>
  <c r="N1039" i="4"/>
  <c r="N968" i="4"/>
  <c r="N975" i="4"/>
  <c r="N1013" i="4"/>
  <c r="N1041" i="4"/>
  <c r="N978" i="4"/>
  <c r="N1042" i="4"/>
  <c r="N979" i="4"/>
  <c r="N980" i="4"/>
  <c r="N982" i="4"/>
  <c r="N1016" i="4"/>
  <c r="N1020" i="4"/>
  <c r="N1025" i="4"/>
  <c r="N1026" i="4"/>
  <c r="N1049" i="4"/>
  <c r="N1050" i="4"/>
  <c r="N1027" i="4"/>
  <c r="N1051" i="4"/>
  <c r="N1028" i="4"/>
  <c r="N990" i="4"/>
  <c r="N1032" i="4"/>
  <c r="N1059" i="4"/>
  <c r="N994" i="4"/>
  <c r="N1063" i="4"/>
  <c r="N1064" i="4"/>
  <c r="N1000" i="4"/>
  <c r="N1001" i="4"/>
  <c r="N1002" i="4"/>
  <c r="N1003" i="4"/>
  <c r="N1070" i="4"/>
  <c r="N1004" i="4"/>
  <c r="N1071" i="4"/>
  <c r="N1005" i="4"/>
  <c r="N1038" i="4"/>
  <c r="N1040" i="4"/>
  <c r="N1010" i="4"/>
  <c r="N1011" i="4"/>
  <c r="N1012" i="4"/>
  <c r="N1074" i="4"/>
  <c r="N1075" i="4"/>
  <c r="N1076" i="4"/>
  <c r="N1077" i="4"/>
  <c r="N1078" i="4"/>
  <c r="N1014" i="4"/>
  <c r="N1080" i="4"/>
  <c r="N1081" i="4"/>
  <c r="N1043" i="4"/>
  <c r="N1017" i="4"/>
  <c r="N1021" i="4"/>
  <c r="N1022" i="4"/>
  <c r="N1089" i="4"/>
  <c r="N1048" i="4"/>
  <c r="N1023" i="4"/>
  <c r="N1024" i="4"/>
  <c r="N1053" i="4"/>
  <c r="N1055" i="4"/>
  <c r="N1056" i="4"/>
  <c r="N1093" i="4"/>
  <c r="N1094" i="4"/>
  <c r="N1058" i="4"/>
  <c r="N1100" i="4"/>
  <c r="N1035" i="4"/>
  <c r="N1065" i="4"/>
  <c r="N1066" i="4"/>
  <c r="N1067" i="4"/>
  <c r="N1101" i="4"/>
  <c r="N1102" i="4"/>
  <c r="N1068" i="4"/>
  <c r="N1036" i="4"/>
  <c r="N1069" i="4"/>
  <c r="N1104" i="4"/>
  <c r="N1105" i="4"/>
  <c r="N1072" i="4"/>
  <c r="N1082" i="4"/>
  <c r="N1044" i="4"/>
  <c r="N1109" i="4"/>
  <c r="N1083" i="4"/>
  <c r="N1045" i="4"/>
  <c r="N1087" i="4"/>
  <c r="N1111" i="4"/>
  <c r="N1112" i="4"/>
  <c r="N1113" i="4"/>
  <c r="N1046" i="4"/>
  <c r="N1047" i="4"/>
  <c r="N1114" i="4"/>
  <c r="N1088" i="4"/>
  <c r="N1052" i="4"/>
  <c r="N1115" i="4"/>
  <c r="N1054" i="4"/>
  <c r="N1118" i="4"/>
  <c r="N1121" i="4"/>
  <c r="N1057" i="4"/>
  <c r="N1122" i="4"/>
  <c r="N1123" i="4"/>
  <c r="N1128" i="4"/>
  <c r="N1060" i="4"/>
  <c r="N1097" i="4"/>
  <c r="N1098" i="4"/>
  <c r="N1061" i="4"/>
  <c r="N1062" i="4"/>
  <c r="N1099" i="4"/>
  <c r="N1073" i="4"/>
  <c r="N1137" i="4"/>
  <c r="N1107" i="4"/>
  <c r="N1140" i="4"/>
  <c r="N1079" i="4"/>
  <c r="N1110" i="4"/>
  <c r="N1084" i="4"/>
  <c r="N1085" i="4"/>
  <c r="N1086" i="4"/>
  <c r="N1144" i="4"/>
  <c r="N1090" i="4"/>
  <c r="N1091" i="4"/>
  <c r="N1119" i="4"/>
  <c r="N1092" i="4"/>
  <c r="N1124" i="4"/>
  <c r="N1151" i="4"/>
  <c r="N1129" i="4"/>
  <c r="N1152" i="4"/>
  <c r="N1153" i="4"/>
  <c r="N1130" i="4"/>
  <c r="N1154" i="4"/>
  <c r="N1095" i="4"/>
  <c r="N1096" i="4"/>
  <c r="N1103" i="4"/>
  <c r="N1131" i="4"/>
  <c r="N1132" i="4"/>
  <c r="N1160" i="4"/>
  <c r="N1164" i="4"/>
  <c r="N1135" i="4"/>
  <c r="N1165" i="4"/>
  <c r="N1166" i="4"/>
  <c r="N1173" i="4"/>
  <c r="N1106" i="4"/>
  <c r="N1138" i="4"/>
  <c r="N1141" i="4"/>
  <c r="N1108" i="4"/>
  <c r="N1179" i="4"/>
  <c r="N1142" i="4"/>
  <c r="N1143" i="4"/>
  <c r="N1116" i="4"/>
  <c r="N1117" i="4"/>
  <c r="N1183" i="4"/>
  <c r="N1120" i="4"/>
  <c r="N1148" i="4"/>
  <c r="N1125" i="4"/>
  <c r="N1188" i="4"/>
  <c r="N1189" i="4"/>
  <c r="N1190" i="4"/>
  <c r="N1126" i="4"/>
  <c r="N1150" i="4"/>
  <c r="N1127" i="4"/>
  <c r="N1156" i="4"/>
  <c r="N1159" i="4"/>
  <c r="N1133" i="4"/>
  <c r="N1134" i="4"/>
  <c r="N1161" i="4"/>
  <c r="N1162" i="4"/>
  <c r="N1136" i="4"/>
  <c r="N1200" i="4"/>
  <c r="N1167" i="4"/>
  <c r="N1202" i="4"/>
  <c r="N1174" i="4"/>
  <c r="N1175" i="4"/>
  <c r="N1176" i="4"/>
  <c r="N1177" i="4"/>
  <c r="N1178" i="4"/>
  <c r="N1203" i="4"/>
  <c r="N1139" i="4"/>
  <c r="N1205" i="4"/>
  <c r="N1181" i="4"/>
  <c r="N1206" i="4"/>
  <c r="N1145" i="4"/>
  <c r="N1208" i="4"/>
  <c r="N1146" i="4"/>
  <c r="N1147" i="4"/>
  <c r="N1185" i="4"/>
  <c r="N1212" i="4"/>
  <c r="N1149" i="4"/>
  <c r="N1186" i="4"/>
  <c r="N1187" i="4"/>
  <c r="N1155" i="4"/>
  <c r="N1157" i="4"/>
  <c r="N1219" i="4"/>
  <c r="N1158" i="4"/>
  <c r="N1195" i="4"/>
  <c r="N1163" i="4"/>
  <c r="N1168" i="4"/>
  <c r="N1169" i="4"/>
  <c r="N1170" i="4"/>
  <c r="N1171" i="4"/>
  <c r="N1172" i="4"/>
  <c r="N1201" i="4"/>
  <c r="N1226" i="4"/>
  <c r="N1204" i="4"/>
  <c r="N1180" i="4"/>
  <c r="N1230" i="4"/>
  <c r="N1232" i="4"/>
  <c r="N1182" i="4"/>
  <c r="N1235" i="4"/>
  <c r="N1237" i="4"/>
  <c r="N1239" i="4"/>
  <c r="N1240" i="4"/>
  <c r="N1209" i="4"/>
  <c r="N1184" i="4"/>
  <c r="N1210" i="4"/>
  <c r="N1211" i="4"/>
  <c r="N1191" i="4"/>
  <c r="N1216" i="4"/>
  <c r="N1217" i="4"/>
  <c r="N1192" i="4"/>
  <c r="N1193" i="4"/>
  <c r="N1218" i="4"/>
  <c r="N1194" i="4"/>
  <c r="N1196" i="4"/>
  <c r="N1220" i="4"/>
  <c r="N1197" i="4"/>
  <c r="N1254" i="4"/>
  <c r="N1198" i="4"/>
  <c r="N1255" i="4"/>
  <c r="N1199" i="4"/>
  <c r="N1224" i="4"/>
  <c r="N1225" i="4"/>
  <c r="N1229" i="4"/>
  <c r="N1207" i="4"/>
  <c r="N1267" i="4"/>
  <c r="N1238" i="4"/>
  <c r="N1268" i="4"/>
  <c r="N1213" i="4"/>
  <c r="N1241" i="4"/>
  <c r="N1214" i="4"/>
  <c r="N1242" i="4"/>
  <c r="N1270" i="4"/>
  <c r="N1243" i="4"/>
  <c r="N1245" i="4"/>
  <c r="N1215" i="4"/>
  <c r="N1246" i="4"/>
  <c r="N1272" i="4"/>
  <c r="N1276" i="4"/>
  <c r="N1221" i="4"/>
  <c r="N1251" i="4"/>
  <c r="N1252" i="4"/>
  <c r="N1280" i="4"/>
  <c r="N1253" i="4"/>
  <c r="N1222" i="4"/>
  <c r="N1223" i="4"/>
  <c r="N1281" i="4"/>
  <c r="N1227" i="4"/>
  <c r="N1257" i="4"/>
  <c r="N1228" i="4"/>
  <c r="N1258" i="4"/>
  <c r="N1259" i="4"/>
  <c r="N1260" i="4"/>
  <c r="N1231" i="4"/>
  <c r="N1285" i="4"/>
  <c r="N1286" i="4"/>
  <c r="N1263" i="4"/>
  <c r="N1233" i="4"/>
  <c r="N1234" i="4"/>
  <c r="N1264" i="4"/>
  <c r="N1265" i="4"/>
  <c r="N1266" i="4"/>
  <c r="N1236" i="4"/>
  <c r="N1244" i="4"/>
  <c r="N1294" i="4"/>
  <c r="N1247" i="4"/>
  <c r="N1296" i="4"/>
  <c r="N1273" i="4"/>
  <c r="N1274" i="4"/>
  <c r="N1298" i="4"/>
  <c r="N1301" i="4"/>
  <c r="N1248" i="4"/>
  <c r="N1302" i="4"/>
  <c r="N1303" i="4"/>
  <c r="N1277" i="4"/>
  <c r="N1304" i="4"/>
  <c r="N1305" i="4"/>
  <c r="N1249" i="4"/>
  <c r="N1250" i="4"/>
  <c r="N1278" i="4"/>
  <c r="N1279" i="4"/>
  <c r="N1308" i="4"/>
  <c r="N1256" i="4"/>
  <c r="N1309" i="4"/>
  <c r="N1311" i="4"/>
  <c r="N1261" i="4"/>
  <c r="N1262" i="4"/>
  <c r="N1315" i="4"/>
  <c r="N1318" i="4"/>
  <c r="N1288" i="4"/>
  <c r="N1289" i="4"/>
  <c r="N1319" i="4"/>
  <c r="N1320" i="4"/>
  <c r="N1323" i="4"/>
  <c r="N1290" i="4"/>
  <c r="N1291" i="4"/>
  <c r="N1324" i="4"/>
  <c r="N1269" i="4"/>
  <c r="N1293" i="4"/>
  <c r="N1328" i="4"/>
  <c r="N1295" i="4"/>
  <c r="N1329" i="4"/>
  <c r="N1333" i="4"/>
  <c r="N1271" i="4"/>
  <c r="N1275" i="4"/>
  <c r="N1337" i="4"/>
  <c r="N1299" i="4"/>
  <c r="N1300" i="4"/>
  <c r="N1343" i="4"/>
  <c r="N1344" i="4"/>
  <c r="N1282" i="4"/>
  <c r="N1345" i="4"/>
  <c r="N1283" i="4"/>
  <c r="N1284" i="4"/>
  <c r="N1350" i="4"/>
  <c r="N1312" i="4"/>
  <c r="N1351" i="4"/>
  <c r="N1354" i="4"/>
  <c r="N1316" i="4"/>
  <c r="N1355" i="4"/>
  <c r="N1317" i="4"/>
  <c r="N1287" i="4"/>
  <c r="N1325" i="4"/>
  <c r="N1292" i="4"/>
  <c r="N1361" i="4"/>
  <c r="N1362" i="4"/>
  <c r="N1334" i="4"/>
  <c r="N1335" i="4"/>
  <c r="N1336" i="4"/>
  <c r="N1365" i="4"/>
  <c r="N1297" i="4"/>
  <c r="N1306" i="4"/>
  <c r="N1339" i="4"/>
  <c r="N1307" i="4"/>
  <c r="N1310" i="4"/>
  <c r="N1352" i="4"/>
  <c r="N1313" i="4"/>
  <c r="N1378" i="4"/>
  <c r="N1314" i="4"/>
  <c r="N1379" i="4"/>
  <c r="N1353" i="4"/>
  <c r="N1321" i="4"/>
  <c r="N1322" i="4"/>
  <c r="N1383" i="4"/>
  <c r="N1326" i="4"/>
  <c r="N1357" i="4"/>
  <c r="N1327" i="4"/>
  <c r="N1391" i="4"/>
  <c r="N1392" i="4"/>
  <c r="N1393" i="4"/>
  <c r="N1330" i="4"/>
  <c r="N1331" i="4"/>
  <c r="N1332" i="4"/>
  <c r="N1394" i="4"/>
  <c r="N1363" i="4"/>
  <c r="N1395" i="4"/>
  <c r="N1364" i="4"/>
  <c r="N1338" i="4"/>
  <c r="N1340" i="4"/>
  <c r="N1369" i="4"/>
  <c r="N1341" i="4"/>
  <c r="N1342" i="4"/>
  <c r="N1401" i="4"/>
  <c r="N1370" i="4"/>
  <c r="N1346" i="4"/>
  <c r="N1347" i="4"/>
  <c r="N1348" i="4"/>
  <c r="N1377" i="4"/>
  <c r="N1409" i="4"/>
  <c r="N1349" i="4"/>
  <c r="N1356" i="4"/>
  <c r="N1411" i="4"/>
  <c r="N1420" i="4"/>
  <c r="N1421" i="4"/>
  <c r="N1422" i="4"/>
  <c r="N1388" i="4"/>
  <c r="N1389" i="4"/>
  <c r="N1390" i="4"/>
  <c r="N1424" i="4"/>
  <c r="N1425" i="4"/>
  <c r="N1358" i="4"/>
  <c r="N1359" i="4"/>
  <c r="N1360" i="4"/>
  <c r="N1426" i="4"/>
  <c r="N1428" i="4"/>
  <c r="N1366" i="4"/>
  <c r="N1429" i="4"/>
  <c r="N1431" i="4"/>
  <c r="N1432" i="4"/>
  <c r="N1398" i="4"/>
  <c r="N1367" i="4"/>
  <c r="N1399" i="4"/>
  <c r="N1368" i="4"/>
  <c r="N1436" i="4"/>
  <c r="N1371" i="4"/>
  <c r="N1439" i="4"/>
  <c r="N1372" i="4"/>
  <c r="N1440" i="4"/>
  <c r="N1406" i="4"/>
  <c r="N1407" i="4"/>
  <c r="N1373" i="4"/>
  <c r="N1442" i="4"/>
  <c r="N1374" i="4"/>
  <c r="N1408" i="4"/>
  <c r="N1443" i="4"/>
  <c r="N1375" i="4"/>
  <c r="N1376" i="4"/>
  <c r="N1447" i="4"/>
  <c r="N1380" i="4"/>
  <c r="N1381" i="4"/>
  <c r="N1448" i="4"/>
  <c r="N1449" i="4"/>
  <c r="N1450" i="4"/>
  <c r="N1412" i="4"/>
  <c r="N1455" i="4"/>
  <c r="N1382" i="4"/>
  <c r="N1456" i="4"/>
  <c r="N1413" i="4"/>
  <c r="N1467" i="4"/>
  <c r="N1384" i="4"/>
  <c r="N1385" i="4"/>
  <c r="N1423" i="4"/>
  <c r="N1468" i="4"/>
  <c r="N1386" i="4"/>
  <c r="N1387" i="4"/>
  <c r="N1396" i="4"/>
  <c r="N1471" i="4"/>
  <c r="N1472" i="4"/>
  <c r="N1397" i="4"/>
  <c r="N1430" i="4"/>
  <c r="N1400" i="4"/>
  <c r="N1433" i="4"/>
  <c r="N1434" i="4"/>
  <c r="N1477" i="4"/>
  <c r="N1402" i="4"/>
  <c r="N1403" i="4"/>
  <c r="N1480" i="4"/>
  <c r="N1404" i="4"/>
  <c r="N1441" i="4"/>
  <c r="N1481" i="4"/>
  <c r="N1405" i="4"/>
  <c r="N1446" i="4"/>
  <c r="N1410" i="4"/>
  <c r="N1451" i="4"/>
  <c r="N1484" i="4"/>
  <c r="N1414" i="4"/>
  <c r="N1415" i="4"/>
  <c r="N1416" i="4"/>
  <c r="N1463" i="4"/>
  <c r="N1464" i="4"/>
  <c r="N1417" i="4"/>
  <c r="N1487" i="4"/>
  <c r="N1465" i="4"/>
  <c r="N1418" i="4"/>
  <c r="N1466" i="4"/>
  <c r="N1488" i="4"/>
  <c r="N1419" i="4"/>
  <c r="N1473" i="4"/>
  <c r="N1427" i="4"/>
  <c r="N1489" i="4"/>
  <c r="N1474" i="4"/>
  <c r="N1490" i="4"/>
  <c r="N1475" i="4"/>
  <c r="N1491" i="4"/>
  <c r="N1435" i="4"/>
  <c r="N1476" i="4"/>
  <c r="N1478" i="4"/>
  <c r="N1437" i="4"/>
  <c r="N1479" i="4"/>
  <c r="N1438" i="4"/>
  <c r="N1492" i="4"/>
  <c r="N1482" i="4"/>
  <c r="N1444" i="4"/>
  <c r="N1493" i="4"/>
  <c r="N1445" i="4"/>
  <c r="N1494" i="4"/>
  <c r="N1483" i="4"/>
  <c r="N1452" i="4"/>
  <c r="N1453" i="4"/>
  <c r="N1454" i="4"/>
  <c r="N1457" i="4"/>
  <c r="N1485" i="4"/>
  <c r="N1458" i="4"/>
  <c r="N1486" i="4"/>
  <c r="N1459" i="4"/>
  <c r="N1495" i="4"/>
  <c r="N1460" i="4"/>
  <c r="N1461" i="4"/>
  <c r="N1462" i="4"/>
  <c r="N1496" i="4"/>
  <c r="N1469" i="4"/>
  <c r="N1470" i="4"/>
  <c r="M30" i="4"/>
  <c r="M9" i="4"/>
  <c r="M31" i="4"/>
  <c r="M32" i="4"/>
  <c r="M2" i="4"/>
  <c r="M11" i="4"/>
  <c r="M36" i="4"/>
  <c r="M14" i="4"/>
  <c r="M15" i="4"/>
  <c r="M19" i="4"/>
  <c r="M42" i="4"/>
  <c r="M3" i="4"/>
  <c r="M4" i="4"/>
  <c r="M20" i="4"/>
  <c r="M43" i="4"/>
  <c r="M5" i="4"/>
  <c r="M44" i="4"/>
  <c r="M49" i="4"/>
  <c r="M51" i="4"/>
  <c r="M52" i="4"/>
  <c r="M25" i="4"/>
  <c r="M6" i="4"/>
  <c r="M27" i="4"/>
  <c r="M61" i="4"/>
  <c r="M7" i="4"/>
  <c r="M62" i="4"/>
  <c r="M63" i="4"/>
  <c r="M28" i="4"/>
  <c r="M8" i="4"/>
  <c r="M29" i="4"/>
  <c r="M10" i="4"/>
  <c r="M33" i="4"/>
  <c r="M35" i="4"/>
  <c r="M12" i="4"/>
  <c r="M69" i="4"/>
  <c r="M13" i="4"/>
  <c r="M38" i="4"/>
  <c r="M72" i="4"/>
  <c r="M39" i="4"/>
  <c r="M73" i="4"/>
  <c r="M16" i="4"/>
  <c r="M17" i="4"/>
  <c r="M40" i="4"/>
  <c r="M41" i="4"/>
  <c r="M74" i="4"/>
  <c r="M18" i="4"/>
  <c r="M21" i="4"/>
  <c r="M47" i="4"/>
  <c r="M22" i="4"/>
  <c r="M23" i="4"/>
  <c r="M24" i="4"/>
  <c r="M81" i="4"/>
  <c r="M87" i="4"/>
  <c r="M55" i="4"/>
  <c r="M26" i="4"/>
  <c r="M88" i="4"/>
  <c r="M56" i="4"/>
  <c r="M60" i="4"/>
  <c r="M93" i="4"/>
  <c r="M94" i="4"/>
  <c r="M95" i="4"/>
  <c r="M96" i="4"/>
  <c r="M97" i="4"/>
  <c r="M34" i="4"/>
  <c r="M67" i="4"/>
  <c r="M107" i="4"/>
  <c r="M37" i="4"/>
  <c r="M109" i="4"/>
  <c r="M71" i="4"/>
  <c r="M45" i="4"/>
  <c r="M76" i="4"/>
  <c r="M46" i="4"/>
  <c r="M48" i="4"/>
  <c r="M116" i="4"/>
  <c r="M78" i="4"/>
  <c r="M50" i="4"/>
  <c r="M53" i="4"/>
  <c r="M82" i="4"/>
  <c r="M54" i="4"/>
  <c r="M57" i="4"/>
  <c r="M89" i="4"/>
  <c r="M90" i="4"/>
  <c r="M91" i="4"/>
  <c r="M125" i="4"/>
  <c r="M92" i="4"/>
  <c r="M58" i="4"/>
  <c r="M59" i="4"/>
  <c r="M126" i="4"/>
  <c r="M127" i="4"/>
  <c r="M64" i="4"/>
  <c r="M65" i="4"/>
  <c r="M66" i="4"/>
  <c r="M68" i="4"/>
  <c r="M70" i="4"/>
  <c r="M130" i="4"/>
  <c r="M131" i="4"/>
  <c r="M108" i="4"/>
  <c r="M75" i="4"/>
  <c r="M111" i="4"/>
  <c r="M77" i="4"/>
  <c r="M114" i="4"/>
  <c r="M138" i="4"/>
  <c r="M117" i="4"/>
  <c r="M79" i="4"/>
  <c r="M80" i="4"/>
  <c r="M83" i="4"/>
  <c r="M122" i="4"/>
  <c r="M123" i="4"/>
  <c r="M84" i="4"/>
  <c r="M85" i="4"/>
  <c r="M86" i="4"/>
  <c r="M124" i="4"/>
  <c r="M98" i="4"/>
  <c r="M99" i="4"/>
  <c r="M100" i="4"/>
  <c r="M101" i="4"/>
  <c r="M147" i="4"/>
  <c r="M102" i="4"/>
  <c r="M103" i="4"/>
  <c r="M104" i="4"/>
  <c r="M155" i="4"/>
  <c r="M156" i="4"/>
  <c r="M157" i="4"/>
  <c r="M128" i="4"/>
  <c r="M105" i="4"/>
  <c r="M158" i="4"/>
  <c r="M159" i="4"/>
  <c r="M129" i="4"/>
  <c r="M106" i="4"/>
  <c r="M160" i="4"/>
  <c r="M161" i="4"/>
  <c r="M162" i="4"/>
  <c r="M110" i="4"/>
  <c r="M112" i="4"/>
  <c r="M135" i="4"/>
  <c r="M113" i="4"/>
  <c r="M115" i="4"/>
  <c r="M166" i="4"/>
  <c r="M139" i="4"/>
  <c r="M169" i="4"/>
  <c r="M118" i="4"/>
  <c r="M143" i="4"/>
  <c r="M170" i="4"/>
  <c r="M171" i="4"/>
  <c r="M172" i="4"/>
  <c r="M119" i="4"/>
  <c r="M144" i="4"/>
  <c r="M120" i="4"/>
  <c r="M121" i="4"/>
  <c r="M146" i="4"/>
  <c r="M177" i="4"/>
  <c r="M148" i="4"/>
  <c r="M150" i="4"/>
  <c r="M179" i="4"/>
  <c r="M151" i="4"/>
  <c r="M181" i="4"/>
  <c r="M153" i="4"/>
  <c r="M154" i="4"/>
  <c r="M132" i="4"/>
  <c r="M182" i="4"/>
  <c r="M163" i="4"/>
  <c r="M133" i="4"/>
  <c r="M134" i="4"/>
  <c r="M136" i="4"/>
  <c r="M164" i="4"/>
  <c r="M187" i="4"/>
  <c r="M165" i="4"/>
  <c r="M137" i="4"/>
  <c r="M195" i="4"/>
  <c r="M140" i="4"/>
  <c r="M141" i="4"/>
  <c r="M142" i="4"/>
  <c r="M167" i="4"/>
  <c r="M168" i="4"/>
  <c r="M200" i="4"/>
  <c r="M145" i="4"/>
  <c r="M149" i="4"/>
  <c r="M152" i="4"/>
  <c r="M180" i="4"/>
  <c r="M209" i="4"/>
  <c r="M211" i="4"/>
  <c r="M212" i="4"/>
  <c r="M183" i="4"/>
  <c r="M185" i="4"/>
  <c r="M217" i="4"/>
  <c r="M186" i="4"/>
  <c r="M188" i="4"/>
  <c r="M219" i="4"/>
  <c r="M196" i="4"/>
  <c r="M197" i="4"/>
  <c r="M198" i="4"/>
  <c r="M199" i="4"/>
  <c r="M222" i="4"/>
  <c r="M202" i="4"/>
  <c r="M173" i="4"/>
  <c r="M225" i="4"/>
  <c r="M174" i="4"/>
  <c r="M175" i="4"/>
  <c r="M226" i="4"/>
  <c r="M176" i="4"/>
  <c r="M204" i="4"/>
  <c r="M230" i="4"/>
  <c r="M207" i="4"/>
  <c r="M208" i="4"/>
  <c r="M178" i="4"/>
  <c r="M1497" i="4"/>
  <c r="M236" i="4"/>
  <c r="M237" i="4"/>
  <c r="M213" i="4"/>
  <c r="M240" i="4"/>
  <c r="M214" i="4"/>
  <c r="M241" i="4"/>
  <c r="M184" i="4"/>
  <c r="M215" i="4"/>
  <c r="M189" i="4"/>
  <c r="M190" i="4"/>
  <c r="M191" i="4"/>
  <c r="M192" i="4"/>
  <c r="M244" i="4"/>
  <c r="M193" i="4"/>
  <c r="M220" i="4"/>
  <c r="M221" i="4"/>
  <c r="M194" i="4"/>
  <c r="M201" i="4"/>
  <c r="M223" i="4"/>
  <c r="M203" i="4"/>
  <c r="M250" i="4"/>
  <c r="M227" i="4"/>
  <c r="M205" i="4"/>
  <c r="M231" i="4"/>
  <c r="M206" i="4"/>
  <c r="M232" i="4"/>
  <c r="M256" i="4"/>
  <c r="M257" i="4"/>
  <c r="M210" i="4"/>
  <c r="M242" i="4"/>
  <c r="M216" i="4"/>
  <c r="M265" i="4"/>
  <c r="M243" i="4"/>
  <c r="M266" i="4"/>
  <c r="M218" i="4"/>
  <c r="M270" i="4"/>
  <c r="M247" i="4"/>
  <c r="M248" i="4"/>
  <c r="M224" i="4"/>
  <c r="M252" i="4"/>
  <c r="M253" i="4"/>
  <c r="M228" i="4"/>
  <c r="M254" i="4"/>
  <c r="M275" i="4"/>
  <c r="M255" i="4"/>
  <c r="M229" i="4"/>
  <c r="M233" i="4"/>
  <c r="M234" i="4"/>
  <c r="M279" i="4"/>
  <c r="M261" i="4"/>
  <c r="M262" i="4"/>
  <c r="M235" i="4"/>
  <c r="M238" i="4"/>
  <c r="M239" i="4"/>
  <c r="M280" i="4"/>
  <c r="M245" i="4"/>
  <c r="M268" i="4"/>
  <c r="M293" i="4"/>
  <c r="M246" i="4"/>
  <c r="M271" i="4"/>
  <c r="M295" i="4"/>
  <c r="M249" i="4"/>
  <c r="M272" i="4"/>
  <c r="M273" i="4"/>
  <c r="M300" i="4"/>
  <c r="M274" i="4"/>
  <c r="M251" i="4"/>
  <c r="M276" i="4"/>
  <c r="M258" i="4"/>
  <c r="M277" i="4"/>
  <c r="M278" i="4"/>
  <c r="M259" i="4"/>
  <c r="M260" i="4"/>
  <c r="M308" i="4"/>
  <c r="M309" i="4"/>
  <c r="M281" i="4"/>
  <c r="M310" i="4"/>
  <c r="M263" i="4"/>
  <c r="M285" i="4"/>
  <c r="M313" i="4"/>
  <c r="M286" i="4"/>
  <c r="M264" i="4"/>
  <c r="M288" i="4"/>
  <c r="M267" i="4"/>
  <c r="M289" i="4"/>
  <c r="M290" i="4"/>
  <c r="M291" i="4"/>
  <c r="M315" i="4"/>
  <c r="M269" i="4"/>
  <c r="M296" i="4"/>
  <c r="M316" i="4"/>
  <c r="M297" i="4"/>
  <c r="M321" i="4"/>
  <c r="M328" i="4"/>
  <c r="M329" i="4"/>
  <c r="M304" i="4"/>
  <c r="M305" i="4"/>
  <c r="M332" i="4"/>
  <c r="M336" i="4"/>
  <c r="M282" i="4"/>
  <c r="M339" i="4"/>
  <c r="M311" i="4"/>
  <c r="M312" i="4"/>
  <c r="M283" i="4"/>
  <c r="M284" i="4"/>
  <c r="M287" i="4"/>
  <c r="M344" i="4"/>
  <c r="M345" i="4"/>
  <c r="M292" i="4"/>
  <c r="M348" i="4"/>
  <c r="M349" i="4"/>
  <c r="M294" i="4"/>
  <c r="M353" i="4"/>
  <c r="M298" i="4"/>
  <c r="M317" i="4"/>
  <c r="M355" i="4"/>
  <c r="M319" i="4"/>
  <c r="M356" i="4"/>
  <c r="M357" i="4"/>
  <c r="M299" i="4"/>
  <c r="M320" i="4"/>
  <c r="M301" i="4"/>
  <c r="M302" i="4"/>
  <c r="M325" i="4"/>
  <c r="M303" i="4"/>
  <c r="M330" i="4"/>
  <c r="M361" i="4"/>
  <c r="M306" i="4"/>
  <c r="M331" i="4"/>
  <c r="M307" i="4"/>
  <c r="M333" i="4"/>
  <c r="M337" i="4"/>
  <c r="M372" i="4"/>
  <c r="M373" i="4"/>
  <c r="M338" i="4"/>
  <c r="M378" i="4"/>
  <c r="M340" i="4"/>
  <c r="M341" i="4"/>
  <c r="M342" i="4"/>
  <c r="M314" i="4"/>
  <c r="M379" i="4"/>
  <c r="M380" i="4"/>
  <c r="M382" i="4"/>
  <c r="M385" i="4"/>
  <c r="M354" i="4"/>
  <c r="M386" i="4"/>
  <c r="M318" i="4"/>
  <c r="M388" i="4"/>
  <c r="M322" i="4"/>
  <c r="M323" i="4"/>
  <c r="M359" i="4"/>
  <c r="M324" i="4"/>
  <c r="M326" i="4"/>
  <c r="M327" i="4"/>
  <c r="M362" i="4"/>
  <c r="M363" i="4"/>
  <c r="M397" i="4"/>
  <c r="M401" i="4"/>
  <c r="M371" i="4"/>
  <c r="M334" i="4"/>
  <c r="M335" i="4"/>
  <c r="M376" i="4"/>
  <c r="M377" i="4"/>
  <c r="M405" i="4"/>
  <c r="M408" i="4"/>
  <c r="M409" i="4"/>
  <c r="M410" i="4"/>
  <c r="M343" i="4"/>
  <c r="M346" i="4"/>
  <c r="M347" i="4"/>
  <c r="M414" i="4"/>
  <c r="M350" i="4"/>
  <c r="M351" i="4"/>
  <c r="M383" i="4"/>
  <c r="M384" i="4"/>
  <c r="M352" i="4"/>
  <c r="M358" i="4"/>
  <c r="M360" i="4"/>
  <c r="M389" i="4"/>
  <c r="M390" i="4"/>
  <c r="M391" i="4"/>
  <c r="M392" i="4"/>
  <c r="M421" i="4"/>
  <c r="M422" i="4"/>
  <c r="M423" i="4"/>
  <c r="M364" i="4"/>
  <c r="M424" i="4"/>
  <c r="M365" i="4"/>
  <c r="M366" i="4"/>
  <c r="M367" i="4"/>
  <c r="M368" i="4"/>
  <c r="M369" i="4"/>
  <c r="M398" i="4"/>
  <c r="M399" i="4"/>
  <c r="M370" i="4"/>
  <c r="M400" i="4"/>
  <c r="M403" i="4"/>
  <c r="M374" i="4"/>
  <c r="M375" i="4"/>
  <c r="M406" i="4"/>
  <c r="M407" i="4"/>
  <c r="M427" i="4"/>
  <c r="M434" i="4"/>
  <c r="M435" i="4"/>
  <c r="M439" i="4"/>
  <c r="M381" i="4"/>
  <c r="M412" i="4"/>
  <c r="M413" i="4"/>
  <c r="M416" i="4"/>
  <c r="M387" i="4"/>
  <c r="M444" i="4"/>
  <c r="M417" i="4"/>
  <c r="M446" i="4"/>
  <c r="M393" i="4"/>
  <c r="M449" i="4"/>
  <c r="M394" i="4"/>
  <c r="M395" i="4"/>
  <c r="M396" i="4"/>
  <c r="M402" i="4"/>
  <c r="M453" i="4"/>
  <c r="M404" i="4"/>
  <c r="M426" i="4"/>
  <c r="M411" i="4"/>
  <c r="M436" i="4"/>
  <c r="M460" i="4"/>
  <c r="M437" i="4"/>
  <c r="M461" i="4"/>
  <c r="M438" i="4"/>
  <c r="M462" i="4"/>
  <c r="M441" i="4"/>
  <c r="M442" i="4"/>
  <c r="M415" i="4"/>
  <c r="M443" i="4"/>
  <c r="M468" i="4"/>
  <c r="M469" i="4"/>
  <c r="M418" i="4"/>
  <c r="M419" i="4"/>
  <c r="M447" i="4"/>
  <c r="M420" i="4"/>
  <c r="M450" i="4"/>
  <c r="M473" i="4"/>
  <c r="M474" i="4"/>
  <c r="M451" i="4"/>
  <c r="M478" i="4"/>
  <c r="M425" i="4"/>
  <c r="M479" i="4"/>
  <c r="M482" i="4"/>
  <c r="M428" i="4"/>
  <c r="M456" i="4"/>
  <c r="M486" i="4"/>
  <c r="M457" i="4"/>
  <c r="M458" i="4"/>
  <c r="M487" i="4"/>
  <c r="M429" i="4"/>
  <c r="M430" i="4"/>
  <c r="M459" i="4"/>
  <c r="M431" i="4"/>
  <c r="M432" i="4"/>
  <c r="M488" i="4"/>
  <c r="M433" i="4"/>
  <c r="M493" i="4"/>
  <c r="M440" i="4"/>
  <c r="M495" i="4"/>
  <c r="M496" i="4"/>
  <c r="M504" i="4"/>
  <c r="M445" i="4"/>
  <c r="M470" i="4"/>
  <c r="M506" i="4"/>
  <c r="M507" i="4"/>
  <c r="M471" i="4"/>
  <c r="M472" i="4"/>
  <c r="M448" i="4"/>
  <c r="M508" i="4"/>
  <c r="M509" i="4"/>
  <c r="M452" i="4"/>
  <c r="M454" i="4"/>
  <c r="M455" i="4"/>
  <c r="M485" i="4"/>
  <c r="M523" i="4"/>
  <c r="M463" i="4"/>
  <c r="M464" i="4"/>
  <c r="M494" i="4"/>
  <c r="M465" i="4"/>
  <c r="M466" i="4"/>
  <c r="M497" i="4"/>
  <c r="M467" i="4"/>
  <c r="M498" i="4"/>
  <c r="M533" i="4"/>
  <c r="M500" i="4"/>
  <c r="M534" i="4"/>
  <c r="M501" i="4"/>
  <c r="M535" i="4"/>
  <c r="M536" i="4"/>
  <c r="M537" i="4"/>
  <c r="M538" i="4"/>
  <c r="M505" i="4"/>
  <c r="M511" i="4"/>
  <c r="M539" i="4"/>
  <c r="M540" i="4"/>
  <c r="M475" i="4"/>
  <c r="M476" i="4"/>
  <c r="M477" i="4"/>
  <c r="M513" i="4"/>
  <c r="M514" i="4"/>
  <c r="M480" i="4"/>
  <c r="M481" i="4"/>
  <c r="M547" i="4"/>
  <c r="M518" i="4"/>
  <c r="M519" i="4"/>
  <c r="M520" i="4"/>
  <c r="M552" i="4"/>
  <c r="M553" i="4"/>
  <c r="M521" i="4"/>
  <c r="M483" i="4"/>
  <c r="M554" i="4"/>
  <c r="M522" i="4"/>
  <c r="M484" i="4"/>
  <c r="M1498" i="4"/>
  <c r="M557" i="4"/>
  <c r="M489" i="4"/>
  <c r="M490" i="4"/>
  <c r="M491" i="4"/>
  <c r="M525" i="4"/>
  <c r="M492" i="4"/>
  <c r="M527" i="4"/>
  <c r="M561" i="4"/>
  <c r="M562" i="4"/>
  <c r="M528" i="4"/>
  <c r="M499" i="4"/>
  <c r="M565" i="4"/>
  <c r="M502" i="4"/>
  <c r="M503" i="4"/>
  <c r="M510" i="4"/>
  <c r="M569" i="4"/>
  <c r="M572" i="4"/>
  <c r="M512" i="4"/>
  <c r="M573" i="4"/>
  <c r="M544" i="4"/>
  <c r="M546" i="4"/>
  <c r="M548" i="4"/>
  <c r="M549" i="4"/>
  <c r="M515" i="4"/>
  <c r="M516" i="4"/>
  <c r="M550" i="4"/>
  <c r="M551" i="4"/>
  <c r="M517" i="4"/>
  <c r="M524" i="4"/>
  <c r="M556" i="4"/>
  <c r="M558" i="4"/>
  <c r="M526" i="4"/>
  <c r="M529" i="4"/>
  <c r="M530" i="4"/>
  <c r="M531" i="4"/>
  <c r="M532" i="4"/>
  <c r="M586" i="4"/>
  <c r="M587" i="4"/>
  <c r="M566" i="4"/>
  <c r="M567" i="4"/>
  <c r="M588" i="4"/>
  <c r="M593" i="4"/>
  <c r="M594" i="4"/>
  <c r="M570" i="4"/>
  <c r="M574" i="4"/>
  <c r="M541" i="4"/>
  <c r="M542" i="4"/>
  <c r="M575" i="4"/>
  <c r="M597" i="4"/>
  <c r="M576" i="4"/>
  <c r="M543" i="4"/>
  <c r="M545" i="4"/>
  <c r="M603" i="4"/>
  <c r="M578" i="4"/>
  <c r="M579" i="4"/>
  <c r="M581" i="4"/>
  <c r="M555" i="4"/>
  <c r="M582" i="4"/>
  <c r="M609" i="4"/>
  <c r="M559" i="4"/>
  <c r="M560" i="4"/>
  <c r="M584" i="4"/>
  <c r="M619" i="4"/>
  <c r="M563" i="4"/>
  <c r="M564" i="4"/>
  <c r="M585" i="4"/>
  <c r="M568" i="4"/>
  <c r="M589" i="4"/>
  <c r="M595" i="4"/>
  <c r="M596" i="4"/>
  <c r="M571" i="4"/>
  <c r="M633" i="4"/>
  <c r="M604" i="4"/>
  <c r="M577" i="4"/>
  <c r="M605" i="4"/>
  <c r="M606" i="4"/>
  <c r="M637" i="4"/>
  <c r="M580" i="4"/>
  <c r="M641" i="4"/>
  <c r="M642" i="4"/>
  <c r="M643" i="4"/>
  <c r="M608" i="4"/>
  <c r="M645" i="4"/>
  <c r="M583" i="4"/>
  <c r="M649" i="4"/>
  <c r="M610" i="4"/>
  <c r="M611" i="4"/>
  <c r="M653" i="4"/>
  <c r="M617" i="4"/>
  <c r="M654" i="4"/>
  <c r="M655" i="4"/>
  <c r="M618" i="4"/>
  <c r="M622" i="4"/>
  <c r="M623" i="4"/>
  <c r="M590" i="4"/>
  <c r="M591" i="4"/>
  <c r="M592" i="4"/>
  <c r="M626" i="4"/>
  <c r="M627" i="4"/>
  <c r="M628" i="4"/>
  <c r="M662" i="4"/>
  <c r="M629" i="4"/>
  <c r="M667" i="4"/>
  <c r="M598" i="4"/>
  <c r="M599" i="4"/>
  <c r="M600" i="4"/>
  <c r="M634" i="4"/>
  <c r="M635" i="4"/>
  <c r="M636" i="4"/>
  <c r="M601" i="4"/>
  <c r="M602" i="4"/>
  <c r="M644" i="4"/>
  <c r="M607" i="4"/>
  <c r="M670" i="4"/>
  <c r="M646" i="4"/>
  <c r="M671" i="4"/>
  <c r="M675" i="4"/>
  <c r="M677" i="4"/>
  <c r="M612" i="4"/>
  <c r="M678" i="4"/>
  <c r="M613" i="4"/>
  <c r="M651" i="4"/>
  <c r="M614" i="4"/>
  <c r="M615" i="4"/>
  <c r="M616" i="4"/>
  <c r="M652" i="4"/>
  <c r="M657" i="4"/>
  <c r="M658" i="4"/>
  <c r="M620" i="4"/>
  <c r="M621" i="4"/>
  <c r="M624" i="4"/>
  <c r="M625" i="4"/>
  <c r="M630" i="4"/>
  <c r="M663" i="4"/>
  <c r="M691" i="4"/>
  <c r="M666" i="4"/>
  <c r="M631" i="4"/>
  <c r="M632" i="4"/>
  <c r="M669" i="4"/>
  <c r="M696" i="4"/>
  <c r="M638" i="4"/>
  <c r="M699" i="4"/>
  <c r="M639" i="4"/>
  <c r="M640" i="4"/>
  <c r="M672" i="4"/>
  <c r="M647" i="4"/>
  <c r="M673" i="4"/>
  <c r="M648" i="4"/>
  <c r="M676" i="4"/>
  <c r="M650" i="4"/>
  <c r="M708" i="4"/>
  <c r="M712" i="4"/>
  <c r="M656" i="4"/>
  <c r="M680" i="4"/>
  <c r="M681" i="4"/>
  <c r="M659" i="4"/>
  <c r="M660" i="4"/>
  <c r="M682" i="4"/>
  <c r="M683" i="4"/>
  <c r="M684" i="4"/>
  <c r="M661" i="4"/>
  <c r="M686" i="4"/>
  <c r="M687" i="4"/>
  <c r="M664" i="4"/>
  <c r="M720" i="4"/>
  <c r="M721" i="4"/>
  <c r="M665" i="4"/>
  <c r="M688" i="4"/>
  <c r="M689" i="4"/>
  <c r="M690" i="4"/>
  <c r="M692" i="4"/>
  <c r="M668" i="4"/>
  <c r="M693" i="4"/>
  <c r="M722" i="4"/>
  <c r="M697" i="4"/>
  <c r="M727" i="4"/>
  <c r="M698" i="4"/>
  <c r="M1499" i="4"/>
  <c r="M700" i="4"/>
  <c r="M702" i="4"/>
  <c r="M731" i="4"/>
  <c r="M733" i="4"/>
  <c r="M734" i="4"/>
  <c r="M706" i="4"/>
  <c r="M735" i="4"/>
  <c r="M674" i="4"/>
  <c r="M707" i="4"/>
  <c r="M736" i="4"/>
  <c r="M737" i="4"/>
  <c r="M709" i="4"/>
  <c r="M710" i="4"/>
  <c r="M711" i="4"/>
  <c r="M679" i="4"/>
  <c r="M741" i="4"/>
  <c r="M742" i="4"/>
  <c r="M743" i="4"/>
  <c r="M715" i="4"/>
  <c r="M716" i="4"/>
  <c r="M746" i="4"/>
  <c r="M717" i="4"/>
  <c r="M719" i="4"/>
  <c r="M754" i="4"/>
  <c r="M685" i="4"/>
  <c r="M723" i="4"/>
  <c r="M694" i="4"/>
  <c r="M695" i="4"/>
  <c r="M724" i="4"/>
  <c r="M761" i="4"/>
  <c r="M701" i="4"/>
  <c r="M764" i="4"/>
  <c r="M732" i="4"/>
  <c r="M703" i="4"/>
  <c r="M769" i="4"/>
  <c r="M704" i="4"/>
  <c r="M770" i="4"/>
  <c r="M705" i="4"/>
  <c r="M738" i="4"/>
  <c r="M739" i="4"/>
  <c r="M779" i="4"/>
  <c r="M744" i="4"/>
  <c r="M713" i="4"/>
  <c r="M714" i="4"/>
  <c r="M783" i="4"/>
  <c r="M747" i="4"/>
  <c r="M787" i="4"/>
  <c r="M748" i="4"/>
  <c r="M789" i="4"/>
  <c r="M790" i="4"/>
  <c r="M791" i="4"/>
  <c r="M792" i="4"/>
  <c r="M752" i="4"/>
  <c r="M753" i="4"/>
  <c r="M718" i="4"/>
  <c r="M755" i="4"/>
  <c r="M756" i="4"/>
  <c r="M757" i="4"/>
  <c r="M795" i="4"/>
  <c r="M758" i="4"/>
  <c r="M725" i="4"/>
  <c r="M799" i="4"/>
  <c r="M726" i="4"/>
  <c r="M728" i="4"/>
  <c r="M802" i="4"/>
  <c r="M765" i="4"/>
  <c r="M766" i="4"/>
  <c r="M767" i="4"/>
  <c r="M803" i="4"/>
  <c r="M729" i="4"/>
  <c r="M768" i="4"/>
  <c r="M804" i="4"/>
  <c r="M730" i="4"/>
  <c r="M806" i="4"/>
  <c r="M807" i="4"/>
  <c r="M808" i="4"/>
  <c r="M809" i="4"/>
  <c r="M773" i="4"/>
  <c r="M774" i="4"/>
  <c r="M777" i="4"/>
  <c r="M811" i="4"/>
  <c r="M740" i="4"/>
  <c r="M780" i="4"/>
  <c r="M817" i="4"/>
  <c r="M745" i="4"/>
  <c r="M749" i="4"/>
  <c r="M820" i="4"/>
  <c r="M821" i="4"/>
  <c r="M822" i="4"/>
  <c r="M750" i="4"/>
  <c r="M823" i="4"/>
  <c r="M751" i="4"/>
  <c r="M788" i="4"/>
  <c r="M796" i="4"/>
  <c r="M759" i="4"/>
  <c r="M1500" i="4"/>
  <c r="M834" i="4"/>
  <c r="M760" i="4"/>
  <c r="M835" i="4"/>
  <c r="M840" i="4"/>
  <c r="M801" i="4"/>
  <c r="M841" i="4"/>
  <c r="M762" i="4"/>
  <c r="M763" i="4"/>
  <c r="M771" i="4"/>
  <c r="M772" i="4"/>
  <c r="M805" i="4"/>
  <c r="M847" i="4"/>
  <c r="M775" i="4"/>
  <c r="M848" i="4"/>
  <c r="M776" i="4"/>
  <c r="M849" i="4"/>
  <c r="M778" i="4"/>
  <c r="M850" i="4"/>
  <c r="M781" i="4"/>
  <c r="M812" i="4"/>
  <c r="M854" i="4"/>
  <c r="M813" i="4"/>
  <c r="M782" i="4"/>
  <c r="M855" i="4"/>
  <c r="M857" i="4"/>
  <c r="M784" i="4"/>
  <c r="M858" i="4"/>
  <c r="M785" i="4"/>
  <c r="M859" i="4"/>
  <c r="M818" i="4"/>
  <c r="M860" i="4"/>
  <c r="M786" i="4"/>
  <c r="M819" i="4"/>
  <c r="M824" i="4"/>
  <c r="M825" i="4"/>
  <c r="M826" i="4"/>
  <c r="M827" i="4"/>
  <c r="M793" i="4"/>
  <c r="M794" i="4"/>
  <c r="M868" i="4"/>
  <c r="M797" i="4"/>
  <c r="M798" i="4"/>
  <c r="M869" i="4"/>
  <c r="M836" i="4"/>
  <c r="M837" i="4"/>
  <c r="M838" i="4"/>
  <c r="M839" i="4"/>
  <c r="M800" i="4"/>
  <c r="M842" i="4"/>
  <c r="M843" i="4"/>
  <c r="M844" i="4"/>
  <c r="M845" i="4"/>
  <c r="M810" i="4"/>
  <c r="M875" i="4"/>
  <c r="M851" i="4"/>
  <c r="M814" i="4"/>
  <c r="M815" i="4"/>
  <c r="M816" i="4"/>
  <c r="M856" i="4"/>
  <c r="M883" i="4"/>
  <c r="M828" i="4"/>
  <c r="M863" i="4"/>
  <c r="M829" i="4"/>
  <c r="M830" i="4"/>
  <c r="M889" i="4"/>
  <c r="M831" i="4"/>
  <c r="M864" i="4"/>
  <c r="M832" i="4"/>
  <c r="M865" i="4"/>
  <c r="M833" i="4"/>
  <c r="M873" i="4"/>
  <c r="M901" i="4"/>
  <c r="M846" i="4"/>
  <c r="M852" i="4"/>
  <c r="M910" i="4"/>
  <c r="M853" i="4"/>
  <c r="M878" i="4"/>
  <c r="M911" i="4"/>
  <c r="M912" i="4"/>
  <c r="M914" i="4"/>
  <c r="M880" i="4"/>
  <c r="M861" i="4"/>
  <c r="M862" i="4"/>
  <c r="M884" i="4"/>
  <c r="M890" i="4"/>
  <c r="M866" i="4"/>
  <c r="M920" i="4"/>
  <c r="M867" i="4"/>
  <c r="M891" i="4"/>
  <c r="M921" i="4"/>
  <c r="M892" i="4"/>
  <c r="M893" i="4"/>
  <c r="M894" i="4"/>
  <c r="M870" i="4"/>
  <c r="M871" i="4"/>
  <c r="M872" i="4"/>
  <c r="M896" i="4"/>
  <c r="M897" i="4"/>
  <c r="M898" i="4"/>
  <c r="M927" i="4"/>
  <c r="M899" i="4"/>
  <c r="M874" i="4"/>
  <c r="M902" i="4"/>
  <c r="M876" i="4"/>
  <c r="M903" i="4"/>
  <c r="M904" i="4"/>
  <c r="M905" i="4"/>
  <c r="M1501" i="4"/>
  <c r="M906" i="4"/>
  <c r="M877" i="4"/>
  <c r="M907" i="4"/>
  <c r="M908" i="4"/>
  <c r="M935" i="4"/>
  <c r="M909" i="4"/>
  <c r="M879" i="4"/>
  <c r="M881" i="4"/>
  <c r="M915" i="4"/>
  <c r="M940" i="4"/>
  <c r="M941" i="4"/>
  <c r="M942" i="4"/>
  <c r="M943" i="4"/>
  <c r="M944" i="4"/>
  <c r="M916" i="4"/>
  <c r="M917" i="4"/>
  <c r="M945" i="4"/>
  <c r="M882" i="4"/>
  <c r="M885" i="4"/>
  <c r="M919" i="4"/>
  <c r="M886" i="4"/>
  <c r="M956" i="4"/>
  <c r="M887" i="4"/>
  <c r="M888" i="4"/>
  <c r="M957" i="4"/>
  <c r="M959" i="4"/>
  <c r="M922" i="4"/>
  <c r="M960" i="4"/>
  <c r="M962" i="4"/>
  <c r="M923" i="4"/>
  <c r="M963" i="4"/>
  <c r="M924" i="4"/>
  <c r="M964" i="4"/>
  <c r="M925" i="4"/>
  <c r="M895" i="4"/>
  <c r="M928" i="4"/>
  <c r="M900" i="4"/>
  <c r="M972" i="4"/>
  <c r="M932" i="4"/>
  <c r="M973" i="4"/>
  <c r="M933" i="4"/>
  <c r="M934" i="4"/>
  <c r="M974" i="4"/>
  <c r="M913" i="4"/>
  <c r="M938" i="4"/>
  <c r="M939" i="4"/>
  <c r="M983" i="4"/>
  <c r="M984" i="4"/>
  <c r="M946" i="4"/>
  <c r="M918" i="4"/>
  <c r="M951" i="4"/>
  <c r="M986" i="4"/>
  <c r="M987" i="4"/>
  <c r="M952" i="4"/>
  <c r="M988" i="4"/>
  <c r="M953" i="4"/>
  <c r="M954" i="4"/>
  <c r="M989" i="4"/>
  <c r="M955" i="4"/>
  <c r="M958" i="4"/>
  <c r="M961" i="4"/>
  <c r="M997" i="4"/>
  <c r="M998" i="4"/>
  <c r="M967" i="4"/>
  <c r="M926" i="4"/>
  <c r="M1006" i="4"/>
  <c r="M1007" i="4"/>
  <c r="M929" i="4"/>
  <c r="M930" i="4"/>
  <c r="M931" i="4"/>
  <c r="M969" i="4"/>
  <c r="M1008" i="4"/>
  <c r="M970" i="4"/>
  <c r="M1009" i="4"/>
  <c r="M971" i="4"/>
  <c r="M976" i="4"/>
  <c r="M936" i="4"/>
  <c r="M977" i="4"/>
  <c r="M981" i="4"/>
  <c r="M937" i="4"/>
  <c r="M1015" i="4"/>
  <c r="M1018" i="4"/>
  <c r="M1019" i="4"/>
  <c r="M947" i="4"/>
  <c r="M948" i="4"/>
  <c r="M1029" i="4"/>
  <c r="M1030" i="4"/>
  <c r="M985" i="4"/>
  <c r="M949" i="4"/>
  <c r="M1031" i="4"/>
  <c r="M950" i="4"/>
  <c r="M991" i="4"/>
  <c r="M992" i="4"/>
  <c r="M1033" i="4"/>
  <c r="M993" i="4"/>
  <c r="M1034" i="4"/>
  <c r="M995" i="4"/>
  <c r="M996" i="4"/>
  <c r="M999" i="4"/>
  <c r="M965" i="4"/>
  <c r="M966" i="4"/>
  <c r="M1037" i="4"/>
  <c r="M1039" i="4"/>
  <c r="M968" i="4"/>
  <c r="M975" i="4"/>
  <c r="M1013" i="4"/>
  <c r="M1041" i="4"/>
  <c r="M978" i="4"/>
  <c r="M1042" i="4"/>
  <c r="M979" i="4"/>
  <c r="M980" i="4"/>
  <c r="M982" i="4"/>
  <c r="M1016" i="4"/>
  <c r="M1020" i="4"/>
  <c r="M1025" i="4"/>
  <c r="M1026" i="4"/>
  <c r="M1049" i="4"/>
  <c r="M1050" i="4"/>
  <c r="M1027" i="4"/>
  <c r="M1051" i="4"/>
  <c r="M1028" i="4"/>
  <c r="M990" i="4"/>
  <c r="M1032" i="4"/>
  <c r="M1059" i="4"/>
  <c r="M994" i="4"/>
  <c r="M1063" i="4"/>
  <c r="M1064" i="4"/>
  <c r="M1000" i="4"/>
  <c r="M1001" i="4"/>
  <c r="M1002" i="4"/>
  <c r="M1003" i="4"/>
  <c r="M1070" i="4"/>
  <c r="M1004" i="4"/>
  <c r="M1071" i="4"/>
  <c r="M1005" i="4"/>
  <c r="M1038" i="4"/>
  <c r="M1040" i="4"/>
  <c r="M1010" i="4"/>
  <c r="M1011" i="4"/>
  <c r="M1012" i="4"/>
  <c r="M1074" i="4"/>
  <c r="M1075" i="4"/>
  <c r="M1076" i="4"/>
  <c r="M1077" i="4"/>
  <c r="M1078" i="4"/>
  <c r="M1014" i="4"/>
  <c r="M1080" i="4"/>
  <c r="M1081" i="4"/>
  <c r="M1043" i="4"/>
  <c r="M1017" i="4"/>
  <c r="M1021" i="4"/>
  <c r="M1022" i="4"/>
  <c r="M1089" i="4"/>
  <c r="M1048" i="4"/>
  <c r="M1023" i="4"/>
  <c r="M1024" i="4"/>
  <c r="M1053" i="4"/>
  <c r="M1055" i="4"/>
  <c r="M1056" i="4"/>
  <c r="M1093" i="4"/>
  <c r="M1094" i="4"/>
  <c r="M1058" i="4"/>
  <c r="M1100" i="4"/>
  <c r="M1035" i="4"/>
  <c r="M1065" i="4"/>
  <c r="M1066" i="4"/>
  <c r="M1067" i="4"/>
  <c r="M1101" i="4"/>
  <c r="M1102" i="4"/>
  <c r="M1068" i="4"/>
  <c r="M1036" i="4"/>
  <c r="M1069" i="4"/>
  <c r="M1104" i="4"/>
  <c r="M1105" i="4"/>
  <c r="M1072" i="4"/>
  <c r="M1082" i="4"/>
  <c r="M1044" i="4"/>
  <c r="M1109" i="4"/>
  <c r="M1083" i="4"/>
  <c r="M1045" i="4"/>
  <c r="M1087" i="4"/>
  <c r="M1111" i="4"/>
  <c r="M1112" i="4"/>
  <c r="M1113" i="4"/>
  <c r="M1046" i="4"/>
  <c r="M1047" i="4"/>
  <c r="M1114" i="4"/>
  <c r="M1088" i="4"/>
  <c r="M1052" i="4"/>
  <c r="M1115" i="4"/>
  <c r="M1054" i="4"/>
  <c r="M1118" i="4"/>
  <c r="M1121" i="4"/>
  <c r="M1057" i="4"/>
  <c r="M1122" i="4"/>
  <c r="M1123" i="4"/>
  <c r="M1128" i="4"/>
  <c r="M1060" i="4"/>
  <c r="M1097" i="4"/>
  <c r="M1098" i="4"/>
  <c r="M1061" i="4"/>
  <c r="M1062" i="4"/>
  <c r="M1099" i="4"/>
  <c r="M1073" i="4"/>
  <c r="M1137" i="4"/>
  <c r="M1107" i="4"/>
  <c r="M1140" i="4"/>
  <c r="M1079" i="4"/>
  <c r="M1110" i="4"/>
  <c r="M1084" i="4"/>
  <c r="M1085" i="4"/>
  <c r="M1086" i="4"/>
  <c r="M1144" i="4"/>
  <c r="M1090" i="4"/>
  <c r="M1091" i="4"/>
  <c r="M1119" i="4"/>
  <c r="M1092" i="4"/>
  <c r="M1124" i="4"/>
  <c r="M1151" i="4"/>
  <c r="M1129" i="4"/>
  <c r="M1152" i="4"/>
  <c r="M1153" i="4"/>
  <c r="M1130" i="4"/>
  <c r="M1154" i="4"/>
  <c r="M1095" i="4"/>
  <c r="M1096" i="4"/>
  <c r="M1103" i="4"/>
  <c r="M1131" i="4"/>
  <c r="M1132" i="4"/>
  <c r="M1160" i="4"/>
  <c r="M1164" i="4"/>
  <c r="M1135" i="4"/>
  <c r="M1165" i="4"/>
  <c r="M1166" i="4"/>
  <c r="M1173" i="4"/>
  <c r="M1106" i="4"/>
  <c r="M1138" i="4"/>
  <c r="M1141" i="4"/>
  <c r="M1108" i="4"/>
  <c r="M1179" i="4"/>
  <c r="M1142" i="4"/>
  <c r="M1143" i="4"/>
  <c r="M1116" i="4"/>
  <c r="M1117" i="4"/>
  <c r="M1183" i="4"/>
  <c r="M1120" i="4"/>
  <c r="M1148" i="4"/>
  <c r="M1125" i="4"/>
  <c r="M1188" i="4"/>
  <c r="M1189" i="4"/>
  <c r="M1190" i="4"/>
  <c r="M1126" i="4"/>
  <c r="M1150" i="4"/>
  <c r="M1127" i="4"/>
  <c r="M1156" i="4"/>
  <c r="M1159" i="4"/>
  <c r="M1133" i="4"/>
  <c r="M1134" i="4"/>
  <c r="M1161" i="4"/>
  <c r="M1162" i="4"/>
  <c r="M1136" i="4"/>
  <c r="M1200" i="4"/>
  <c r="M1167" i="4"/>
  <c r="M1202" i="4"/>
  <c r="M1174" i="4"/>
  <c r="M1175" i="4"/>
  <c r="M1176" i="4"/>
  <c r="M1177" i="4"/>
  <c r="M1178" i="4"/>
  <c r="M1203" i="4"/>
  <c r="M1139" i="4"/>
  <c r="M1205" i="4"/>
  <c r="M1181" i="4"/>
  <c r="M1206" i="4"/>
  <c r="M1145" i="4"/>
  <c r="M1208" i="4"/>
  <c r="M1146" i="4"/>
  <c r="M1147" i="4"/>
  <c r="M1185" i="4"/>
  <c r="M1212" i="4"/>
  <c r="M1149" i="4"/>
  <c r="M1186" i="4"/>
  <c r="M1187" i="4"/>
  <c r="M1155" i="4"/>
  <c r="M1157" i="4"/>
  <c r="M1219" i="4"/>
  <c r="M1158" i="4"/>
  <c r="M1195" i="4"/>
  <c r="M1163" i="4"/>
  <c r="M1168" i="4"/>
  <c r="M1169" i="4"/>
  <c r="M1170" i="4"/>
  <c r="M1171" i="4"/>
  <c r="M1172" i="4"/>
  <c r="M1201" i="4"/>
  <c r="M1226" i="4"/>
  <c r="M1204" i="4"/>
  <c r="M1180" i="4"/>
  <c r="M1230" i="4"/>
  <c r="M1232" i="4"/>
  <c r="M1182" i="4"/>
  <c r="M1235" i="4"/>
  <c r="M1237" i="4"/>
  <c r="M1239" i="4"/>
  <c r="M1240" i="4"/>
  <c r="M1209" i="4"/>
  <c r="M1184" i="4"/>
  <c r="M1210" i="4"/>
  <c r="M1211" i="4"/>
  <c r="M1191" i="4"/>
  <c r="M1216" i="4"/>
  <c r="M1217" i="4"/>
  <c r="M1192" i="4"/>
  <c r="M1193" i="4"/>
  <c r="M1218" i="4"/>
  <c r="M1194" i="4"/>
  <c r="M1196" i="4"/>
  <c r="M1220" i="4"/>
  <c r="M1197" i="4"/>
  <c r="M1254" i="4"/>
  <c r="M1198" i="4"/>
  <c r="M1255" i="4"/>
  <c r="M1199" i="4"/>
  <c r="M1224" i="4"/>
  <c r="M1225" i="4"/>
  <c r="M1229" i="4"/>
  <c r="M1207" i="4"/>
  <c r="M1267" i="4"/>
  <c r="M1238" i="4"/>
  <c r="M1268" i="4"/>
  <c r="M1213" i="4"/>
  <c r="M1241" i="4"/>
  <c r="M1214" i="4"/>
  <c r="M1242" i="4"/>
  <c r="M1270" i="4"/>
  <c r="M1243" i="4"/>
  <c r="M1245" i="4"/>
  <c r="M1215" i="4"/>
  <c r="M1246" i="4"/>
  <c r="M1272" i="4"/>
  <c r="M1276" i="4"/>
  <c r="M1221" i="4"/>
  <c r="M1251" i="4"/>
  <c r="M1252" i="4"/>
  <c r="M1280" i="4"/>
  <c r="M1253" i="4"/>
  <c r="M1222" i="4"/>
  <c r="M1223" i="4"/>
  <c r="M1281" i="4"/>
  <c r="M1227" i="4"/>
  <c r="M1257" i="4"/>
  <c r="M1228" i="4"/>
  <c r="M1258" i="4"/>
  <c r="M1259" i="4"/>
  <c r="M1260" i="4"/>
  <c r="M1231" i="4"/>
  <c r="M1285" i="4"/>
  <c r="M1286" i="4"/>
  <c r="M1263" i="4"/>
  <c r="M1233" i="4"/>
  <c r="M1234" i="4"/>
  <c r="M1264" i="4"/>
  <c r="M1265" i="4"/>
  <c r="M1266" i="4"/>
  <c r="M1236" i="4"/>
  <c r="M1244" i="4"/>
  <c r="M1294" i="4"/>
  <c r="M1247" i="4"/>
  <c r="M1296" i="4"/>
  <c r="M1273" i="4"/>
  <c r="M1274" i="4"/>
  <c r="M1298" i="4"/>
  <c r="M1301" i="4"/>
  <c r="M1248" i="4"/>
  <c r="M1302" i="4"/>
  <c r="M1303" i="4"/>
  <c r="M1277" i="4"/>
  <c r="M1304" i="4"/>
  <c r="M1305" i="4"/>
  <c r="M1249" i="4"/>
  <c r="M1250" i="4"/>
  <c r="M1278" i="4"/>
  <c r="M1279" i="4"/>
  <c r="M1308" i="4"/>
  <c r="M1256" i="4"/>
  <c r="M1309" i="4"/>
  <c r="M1311" i="4"/>
  <c r="M1261" i="4"/>
  <c r="M1262" i="4"/>
  <c r="M1315" i="4"/>
  <c r="M1318" i="4"/>
  <c r="M1288" i="4"/>
  <c r="M1289" i="4"/>
  <c r="M1319" i="4"/>
  <c r="M1320" i="4"/>
  <c r="M1323" i="4"/>
  <c r="M1290" i="4"/>
  <c r="M1291" i="4"/>
  <c r="M1324" i="4"/>
  <c r="M1269" i="4"/>
  <c r="M1293" i="4"/>
  <c r="M1328" i="4"/>
  <c r="M1295" i="4"/>
  <c r="M1329" i="4"/>
  <c r="M1333" i="4"/>
  <c r="M1271" i="4"/>
  <c r="M1275" i="4"/>
  <c r="M1337" i="4"/>
  <c r="M1299" i="4"/>
  <c r="M1300" i="4"/>
  <c r="M1343" i="4"/>
  <c r="M1344" i="4"/>
  <c r="M1282" i="4"/>
  <c r="M1345" i="4"/>
  <c r="M1283" i="4"/>
  <c r="M1284" i="4"/>
  <c r="M1350" i="4"/>
  <c r="M1312" i="4"/>
  <c r="M1351" i="4"/>
  <c r="M1354" i="4"/>
  <c r="M1316" i="4"/>
  <c r="M1355" i="4"/>
  <c r="M1317" i="4"/>
  <c r="M1287" i="4"/>
  <c r="M1325" i="4"/>
  <c r="M1292" i="4"/>
  <c r="M1361" i="4"/>
  <c r="M1362" i="4"/>
  <c r="M1334" i="4"/>
  <c r="M1335" i="4"/>
  <c r="M1336" i="4"/>
  <c r="M1365" i="4"/>
  <c r="M1297" i="4"/>
  <c r="M1306" i="4"/>
  <c r="M1339" i="4"/>
  <c r="M1307" i="4"/>
  <c r="M1310" i="4"/>
  <c r="M1352" i="4"/>
  <c r="M1313" i="4"/>
  <c r="M1378" i="4"/>
  <c r="M1314" i="4"/>
  <c r="M1379" i="4"/>
  <c r="M1353" i="4"/>
  <c r="M1321" i="4"/>
  <c r="M1322" i="4"/>
  <c r="M1383" i="4"/>
  <c r="M1326" i="4"/>
  <c r="M1357" i="4"/>
  <c r="M1327" i="4"/>
  <c r="M1391" i="4"/>
  <c r="M1392" i="4"/>
  <c r="M1393" i="4"/>
  <c r="M1330" i="4"/>
  <c r="M1331" i="4"/>
  <c r="M1332" i="4"/>
  <c r="M1394" i="4"/>
  <c r="M1363" i="4"/>
  <c r="M1395" i="4"/>
  <c r="M1364" i="4"/>
  <c r="M1338" i="4"/>
  <c r="M1340" i="4"/>
  <c r="M1369" i="4"/>
  <c r="M1341" i="4"/>
  <c r="M1342" i="4"/>
  <c r="M1401" i="4"/>
  <c r="M1370" i="4"/>
  <c r="M1346" i="4"/>
  <c r="M1347" i="4"/>
  <c r="M1348" i="4"/>
  <c r="M1377" i="4"/>
  <c r="M1409" i="4"/>
  <c r="M1349" i="4"/>
  <c r="M1356" i="4"/>
  <c r="M1411" i="4"/>
  <c r="M1420" i="4"/>
  <c r="M1421" i="4"/>
  <c r="M1422" i="4"/>
  <c r="M1388" i="4"/>
  <c r="M1389" i="4"/>
  <c r="M1390" i="4"/>
  <c r="M1424" i="4"/>
  <c r="M1425" i="4"/>
  <c r="M1358" i="4"/>
  <c r="M1359" i="4"/>
  <c r="M1360" i="4"/>
  <c r="M1426" i="4"/>
  <c r="M1428" i="4"/>
  <c r="M1366" i="4"/>
  <c r="M1429" i="4"/>
  <c r="M1431" i="4"/>
  <c r="M1432" i="4"/>
  <c r="M1398" i="4"/>
  <c r="M1367" i="4"/>
  <c r="M1399" i="4"/>
  <c r="M1368" i="4"/>
  <c r="M1436" i="4"/>
  <c r="M1371" i="4"/>
  <c r="M1439" i="4"/>
  <c r="M1372" i="4"/>
  <c r="M1440" i="4"/>
  <c r="M1406" i="4"/>
  <c r="M1407" i="4"/>
  <c r="M1373" i="4"/>
  <c r="M1442" i="4"/>
  <c r="M1374" i="4"/>
  <c r="M1408" i="4"/>
  <c r="M1443" i="4"/>
  <c r="M1375" i="4"/>
  <c r="M1376" i="4"/>
  <c r="M1447" i="4"/>
  <c r="M1380" i="4"/>
  <c r="M1381" i="4"/>
  <c r="M1448" i="4"/>
  <c r="M1449" i="4"/>
  <c r="M1450" i="4"/>
  <c r="M1412" i="4"/>
  <c r="M1455" i="4"/>
  <c r="M1382" i="4"/>
  <c r="M1456" i="4"/>
  <c r="M1413" i="4"/>
  <c r="M1467" i="4"/>
  <c r="M1384" i="4"/>
  <c r="M1385" i="4"/>
  <c r="M1423" i="4"/>
  <c r="M1468" i="4"/>
  <c r="M1386" i="4"/>
  <c r="M1387" i="4"/>
  <c r="M1396" i="4"/>
  <c r="M1471" i="4"/>
  <c r="M1472" i="4"/>
  <c r="M1397" i="4"/>
  <c r="M1430" i="4"/>
  <c r="M1400" i="4"/>
  <c r="M1433" i="4"/>
  <c r="M1434" i="4"/>
  <c r="M1477" i="4"/>
  <c r="M1402" i="4"/>
  <c r="M1403" i="4"/>
  <c r="M1480" i="4"/>
  <c r="M1404" i="4"/>
  <c r="M1441" i="4"/>
  <c r="M1481" i="4"/>
  <c r="M1405" i="4"/>
  <c r="M1446" i="4"/>
  <c r="M1410" i="4"/>
  <c r="M1451" i="4"/>
  <c r="M1484" i="4"/>
  <c r="M1414" i="4"/>
  <c r="M1415" i="4"/>
  <c r="M1416" i="4"/>
  <c r="M1463" i="4"/>
  <c r="M1464" i="4"/>
  <c r="M1417" i="4"/>
  <c r="M1487" i="4"/>
  <c r="M1465" i="4"/>
  <c r="M1418" i="4"/>
  <c r="M1466" i="4"/>
  <c r="M1488" i="4"/>
  <c r="M1419" i="4"/>
  <c r="M1473" i="4"/>
  <c r="M1427" i="4"/>
  <c r="M1489" i="4"/>
  <c r="M1474" i="4"/>
  <c r="M1490" i="4"/>
  <c r="M1475" i="4"/>
  <c r="M1491" i="4"/>
  <c r="M1435" i="4"/>
  <c r="M1476" i="4"/>
  <c r="M1478" i="4"/>
  <c r="M1437" i="4"/>
  <c r="M1479" i="4"/>
  <c r="M1438" i="4"/>
  <c r="M1492" i="4"/>
  <c r="M1482" i="4"/>
  <c r="M1444" i="4"/>
  <c r="M1493" i="4"/>
  <c r="M1445" i="4"/>
  <c r="M1494" i="4"/>
  <c r="M1483" i="4"/>
  <c r="M1452" i="4"/>
  <c r="M1453" i="4"/>
  <c r="M1454" i="4"/>
  <c r="M1457" i="4"/>
  <c r="M1485" i="4"/>
  <c r="M1458" i="4"/>
  <c r="M1486" i="4"/>
  <c r="M1459" i="4"/>
  <c r="M1495" i="4"/>
  <c r="M1460" i="4"/>
  <c r="M1461" i="4"/>
  <c r="M1462" i="4"/>
  <c r="M1496" i="4"/>
  <c r="M1469" i="4"/>
  <c r="M1470" i="4"/>
  <c r="D6" i="10"/>
  <c r="E6" i="10"/>
  <c r="C6" i="10"/>
  <c r="D5" i="10"/>
  <c r="E5" i="10"/>
  <c r="C5" i="10"/>
  <c r="D4" i="10"/>
  <c r="E4" i="10"/>
  <c r="C4" i="10"/>
  <c r="D3" i="10"/>
  <c r="E3" i="10"/>
  <c r="C3" i="10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F3" i="8"/>
  <c r="G3" i="8"/>
  <c r="Q418" i="3"/>
  <c r="Q419" i="3"/>
  <c r="Q420" i="3"/>
  <c r="Q421" i="3"/>
  <c r="Q422" i="3"/>
  <c r="Q423" i="3"/>
  <c r="Q424" i="3"/>
  <c r="Q354" i="3"/>
  <c r="Q425" i="3"/>
  <c r="Q426" i="3"/>
  <c r="Q427" i="3"/>
  <c r="Q428" i="3"/>
  <c r="Q429" i="3"/>
  <c r="Q430" i="3"/>
  <c r="Q431" i="3"/>
  <c r="Q432" i="3"/>
  <c r="Q433" i="3"/>
  <c r="Q434" i="3"/>
  <c r="Q308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396" i="3"/>
  <c r="Q449" i="3"/>
  <c r="Q450" i="3"/>
  <c r="Q451" i="3"/>
  <c r="Q452" i="3"/>
  <c r="Q453" i="3"/>
  <c r="Q454" i="3"/>
  <c r="Q455" i="3"/>
  <c r="Q456" i="3"/>
  <c r="Q457" i="3"/>
  <c r="Q458" i="3"/>
  <c r="Q317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5" i="3"/>
  <c r="Q486" i="3"/>
  <c r="Q487" i="3"/>
  <c r="Q270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402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237" i="3"/>
  <c r="Q535" i="3"/>
  <c r="Q536" i="3"/>
  <c r="Q537" i="3"/>
  <c r="Q538" i="3"/>
  <c r="Q539" i="3"/>
  <c r="Q540" i="3"/>
  <c r="Q541" i="3"/>
  <c r="Q542" i="3"/>
  <c r="Q543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351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376" i="3"/>
  <c r="Q655" i="3"/>
  <c r="Q656" i="3"/>
  <c r="Q657" i="3"/>
  <c r="Q658" i="3"/>
  <c r="Q659" i="3"/>
  <c r="Q660" i="3"/>
  <c r="Q661" i="3"/>
  <c r="Q662" i="3"/>
  <c r="Q663" i="3"/>
  <c r="Q664" i="3"/>
  <c r="Q665" i="3"/>
  <c r="Q327" i="3"/>
  <c r="Q666" i="3"/>
  <c r="Q667" i="3"/>
  <c r="Q668" i="3"/>
  <c r="Q669" i="3"/>
  <c r="Q670" i="3"/>
  <c r="Q671" i="3"/>
  <c r="Q672" i="3"/>
  <c r="Q673" i="3"/>
  <c r="Q674" i="3"/>
  <c r="Q168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243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255" i="3"/>
  <c r="Q733" i="3"/>
  <c r="Q734" i="3"/>
  <c r="Q186" i="3"/>
  <c r="Q735" i="3"/>
  <c r="Q736" i="3"/>
  <c r="Q737" i="3"/>
  <c r="Q738" i="3"/>
  <c r="Q403" i="3"/>
  <c r="Q739" i="3"/>
  <c r="Q740" i="3"/>
  <c r="Q741" i="3"/>
  <c r="Q742" i="3"/>
  <c r="Q743" i="3"/>
  <c r="Q302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395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139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7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411" i="3"/>
  <c r="Q856" i="3"/>
  <c r="Q857" i="3"/>
  <c r="Q858" i="3"/>
  <c r="Q859" i="3"/>
  <c r="Q860" i="3"/>
  <c r="Q861" i="3"/>
  <c r="Q862" i="3"/>
  <c r="Q863" i="3"/>
  <c r="Q864" i="3"/>
  <c r="Q39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110" i="3"/>
  <c r="Q905" i="3"/>
  <c r="Q906" i="3"/>
  <c r="Q907" i="3"/>
  <c r="Q908" i="3"/>
  <c r="Q352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392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377" i="3"/>
  <c r="Q972" i="3"/>
  <c r="Q973" i="3"/>
  <c r="Q974" i="3"/>
  <c r="Q975" i="3"/>
  <c r="Q976" i="3"/>
  <c r="Q977" i="3"/>
  <c r="Q978" i="3"/>
  <c r="Q979" i="3"/>
  <c r="Q400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388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371" i="3"/>
  <c r="Q1114" i="3"/>
  <c r="Q279" i="3"/>
  <c r="Q1115" i="3"/>
  <c r="Q1116" i="3"/>
  <c r="Q323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08" i="3"/>
  <c r="Q1140" i="3"/>
  <c r="Q1141" i="3"/>
  <c r="Q1142" i="3"/>
  <c r="Q117" i="3"/>
  <c r="Q1143" i="3"/>
  <c r="Q1144" i="3"/>
  <c r="Q42" i="3"/>
  <c r="Q1145" i="3"/>
  <c r="Q77" i="3"/>
  <c r="Q1146" i="3"/>
  <c r="Q406" i="3"/>
  <c r="Q1147" i="3"/>
  <c r="Q1148" i="3"/>
  <c r="Q1149" i="3"/>
  <c r="Q1150" i="3"/>
  <c r="Q1151" i="3"/>
  <c r="Q1152" i="3"/>
  <c r="Q1153" i="3"/>
  <c r="Q1154" i="3"/>
  <c r="Q38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84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7" i="3"/>
  <c r="Q1218" i="3"/>
  <c r="Q1219" i="3"/>
  <c r="Q1220" i="3"/>
  <c r="Q397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93" i="3"/>
  <c r="Q1254" i="3"/>
  <c r="Q1255" i="3"/>
  <c r="Q1256" i="3"/>
  <c r="Q1257" i="3"/>
  <c r="Q1258" i="3"/>
  <c r="Q1259" i="3"/>
  <c r="Q1260" i="3"/>
  <c r="Q393" i="3"/>
  <c r="Q1261" i="3"/>
  <c r="Q1262" i="3"/>
  <c r="Q1263" i="3"/>
  <c r="Q1264" i="3"/>
  <c r="Q1265" i="3"/>
  <c r="Q1266" i="3"/>
  <c r="Q1267" i="3"/>
  <c r="Q1268" i="3"/>
  <c r="Q1269" i="3"/>
  <c r="Q1270" i="3"/>
  <c r="Q1271" i="3"/>
  <c r="Q298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250" i="3"/>
  <c r="Q1284" i="3"/>
  <c r="Q1285" i="3"/>
  <c r="Q272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303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348" i="3"/>
  <c r="Q1381" i="3"/>
  <c r="Q1383" i="3"/>
  <c r="Q1384" i="3"/>
  <c r="Q1385" i="3"/>
  <c r="Q1386" i="3"/>
  <c r="Q23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301" i="3"/>
  <c r="Q1418" i="3"/>
  <c r="Q1419" i="3"/>
  <c r="Q1420" i="3"/>
  <c r="Q1421" i="3"/>
  <c r="Q1422" i="3"/>
  <c r="Q1423" i="3"/>
  <c r="Q276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378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253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417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242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292" i="3"/>
  <c r="Q1548" i="3"/>
  <c r="Q1549" i="3"/>
  <c r="Q1550" i="3"/>
  <c r="Q1551" i="3"/>
  <c r="Q1552" i="3"/>
  <c r="Q328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345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415" i="3"/>
  <c r="Q1632" i="3"/>
  <c r="Q1633" i="3"/>
  <c r="Q1634" i="3"/>
  <c r="Q72" i="3"/>
  <c r="Q1635" i="3"/>
  <c r="Q1636" i="3"/>
  <c r="Q1637" i="3"/>
  <c r="Q1638" i="3"/>
  <c r="Q1639" i="3"/>
  <c r="Q1640" i="3"/>
  <c r="Q1641" i="3"/>
  <c r="Q380" i="3"/>
  <c r="Q1642" i="3"/>
  <c r="Q1643" i="3"/>
  <c r="Q369" i="3"/>
  <c r="Q1644" i="3"/>
  <c r="Q1645" i="3"/>
  <c r="Q1646" i="3"/>
  <c r="Q1647" i="3"/>
  <c r="Q1648" i="3"/>
  <c r="Q1649" i="3"/>
  <c r="Q268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26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36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416" i="3"/>
  <c r="Q1732" i="3"/>
  <c r="Q1733" i="3"/>
  <c r="Q1734" i="3"/>
  <c r="Q319" i="3"/>
  <c r="Q1735" i="3"/>
  <c r="Q1736" i="3"/>
  <c r="Q1737" i="3"/>
  <c r="Q1738" i="3"/>
  <c r="Q320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210" i="3"/>
  <c r="Q1775" i="3"/>
  <c r="Q1776" i="3"/>
  <c r="Q1777" i="3"/>
  <c r="Q1778" i="3"/>
  <c r="Q40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207" i="3"/>
  <c r="Q364" i="3"/>
  <c r="Q1797" i="3"/>
  <c r="Q128" i="3"/>
  <c r="Q1798" i="3"/>
  <c r="Q1799" i="3"/>
  <c r="Q1800" i="3"/>
  <c r="Q1801" i="3"/>
  <c r="Q1802" i="3"/>
  <c r="Q1803" i="3"/>
  <c r="Q1804" i="3"/>
  <c r="Q1805" i="3"/>
  <c r="Q1806" i="3"/>
  <c r="Q1807" i="3"/>
  <c r="Q355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273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361" i="3"/>
  <c r="Q1902" i="3"/>
  <c r="Q338" i="3"/>
  <c r="Q1903" i="3"/>
  <c r="Q1904" i="3"/>
  <c r="Q1905" i="3"/>
  <c r="Q1906" i="3"/>
  <c r="Q405" i="3"/>
  <c r="Q1907" i="3"/>
  <c r="Q1908" i="3"/>
  <c r="Q1909" i="3"/>
  <c r="Q1910" i="3"/>
  <c r="Q118" i="3"/>
  <c r="Q1911" i="3"/>
  <c r="Q1912" i="3"/>
  <c r="Q1913" i="3"/>
  <c r="Q1914" i="3"/>
  <c r="Q407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404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414" i="3"/>
  <c r="Q43" i="3"/>
  <c r="Q1972" i="3"/>
  <c r="Q1973" i="3"/>
  <c r="Q1974" i="3"/>
  <c r="Q1975" i="3"/>
  <c r="Q1976" i="3"/>
  <c r="Q1977" i="3"/>
  <c r="Q1978" i="3"/>
  <c r="Q1979" i="3"/>
  <c r="Q142" i="3"/>
  <c r="Q1980" i="3"/>
  <c r="Q1981" i="3"/>
  <c r="Q1982" i="3"/>
  <c r="Q1983" i="3"/>
  <c r="Q1984" i="3"/>
  <c r="Q1985" i="3"/>
  <c r="Q1986" i="3"/>
  <c r="Q1987" i="3"/>
  <c r="Q1988" i="3"/>
  <c r="Q1989" i="3"/>
  <c r="Q1990" i="3"/>
  <c r="Q372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41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370" i="3"/>
  <c r="Q2044" i="3"/>
  <c r="Q2045" i="3"/>
  <c r="Q2046" i="3"/>
  <c r="Q130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5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7" i="3"/>
  <c r="Q2078" i="3"/>
  <c r="Q2079" i="3"/>
  <c r="Q410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76" i="3"/>
  <c r="Q2094" i="3"/>
  <c r="Q2095" i="3"/>
  <c r="Q2096" i="3"/>
  <c r="Q2097" i="3"/>
  <c r="Q2098" i="3"/>
  <c r="Q2099" i="3"/>
  <c r="Q2100" i="3"/>
  <c r="Q2101" i="3"/>
  <c r="Q2102" i="3"/>
  <c r="Q409" i="3"/>
  <c r="Q2103" i="3"/>
  <c r="Q2104" i="3"/>
  <c r="Q2105" i="3"/>
  <c r="Q2106" i="3"/>
  <c r="Q2107" i="3"/>
  <c r="Q326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4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189" i="3"/>
  <c r="Q2147" i="3"/>
  <c r="Q2148" i="3"/>
  <c r="Q2149" i="3"/>
  <c r="Q2150" i="3"/>
  <c r="Q2151" i="3"/>
  <c r="Q2152" i="3"/>
  <c r="Q2153" i="3"/>
  <c r="Q2154" i="3"/>
  <c r="Q2155" i="3"/>
  <c r="Q2156" i="3"/>
  <c r="Q29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389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52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91" i="3"/>
  <c r="Q2239" i="3"/>
  <c r="Q2240" i="3"/>
  <c r="Q2241" i="3"/>
  <c r="Q152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48" i="3"/>
  <c r="Q2257" i="3"/>
  <c r="Q177" i="3"/>
  <c r="Q2258" i="3"/>
  <c r="Q290" i="3"/>
  <c r="Q2259" i="3"/>
  <c r="Q2260" i="3"/>
  <c r="Q2261" i="3"/>
  <c r="Q2262" i="3"/>
  <c r="Q2263" i="3"/>
  <c r="Q2264" i="3"/>
  <c r="Q228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359" i="3"/>
  <c r="Q2277" i="3"/>
  <c r="Q2278" i="3"/>
  <c r="Q2279" i="3"/>
  <c r="Q2280" i="3"/>
  <c r="Q2281" i="3"/>
  <c r="Q2282" i="3"/>
  <c r="Q2283" i="3"/>
  <c r="Q2284" i="3"/>
  <c r="Q2285" i="3"/>
  <c r="Q2286" i="3"/>
  <c r="Q211" i="3"/>
  <c r="Q2287" i="3"/>
  <c r="Q2288" i="3"/>
  <c r="Q2289" i="3"/>
  <c r="Q2290" i="3"/>
  <c r="Q2291" i="3"/>
  <c r="Q2292" i="3"/>
  <c r="Q26" i="3"/>
  <c r="Q2293" i="3"/>
  <c r="Q2294" i="3"/>
  <c r="Q2295" i="3"/>
  <c r="Q2296" i="3"/>
  <c r="Q2297" i="3"/>
  <c r="Q2298" i="3"/>
  <c r="Q316" i="3"/>
  <c r="Q2299" i="3"/>
  <c r="Q2300" i="3"/>
  <c r="Q2301" i="3"/>
  <c r="Q2302" i="3"/>
  <c r="Q2303" i="3"/>
  <c r="Q2304" i="3"/>
  <c r="Q2305" i="3"/>
  <c r="Q2306" i="3"/>
  <c r="Q201" i="3"/>
  <c r="Q2307" i="3"/>
  <c r="Q2308" i="3"/>
  <c r="Q2309" i="3"/>
  <c r="Q2310" i="3"/>
  <c r="Q2311" i="3"/>
  <c r="Q264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321" i="3"/>
  <c r="Q2325" i="3"/>
  <c r="Q2326" i="3"/>
  <c r="Q2327" i="3"/>
  <c r="Q2328" i="3"/>
  <c r="Q97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164" i="3"/>
  <c r="Q2343" i="3"/>
  <c r="Q2344" i="3"/>
  <c r="Q2345" i="3"/>
  <c r="Q2346" i="3"/>
  <c r="Q368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2" i="3"/>
  <c r="Q2363" i="3"/>
  <c r="Q2364" i="3"/>
  <c r="Q2365" i="3"/>
  <c r="Q86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373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52" i="3"/>
  <c r="Q2420" i="3"/>
  <c r="Q2421" i="3"/>
  <c r="Q2422" i="3"/>
  <c r="Q2423" i="3"/>
  <c r="Q2425" i="3"/>
  <c r="Q2426" i="3"/>
  <c r="Q2427" i="3"/>
  <c r="Q2428" i="3"/>
  <c r="Q2429" i="3"/>
  <c r="Q2430" i="3"/>
  <c r="Q2431" i="3"/>
  <c r="Q190" i="3"/>
  <c r="Q2432" i="3"/>
  <c r="Q2433" i="3"/>
  <c r="Q385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178" i="3"/>
  <c r="Q2467" i="3"/>
  <c r="Q2468" i="3"/>
  <c r="Q2469" i="3"/>
  <c r="Q2470" i="3"/>
  <c r="Q2471" i="3"/>
  <c r="Q2472" i="3"/>
  <c r="Q2473" i="3"/>
  <c r="Q2474" i="3"/>
  <c r="Q334" i="3"/>
  <c r="Q2475" i="3"/>
  <c r="Q2476" i="3"/>
  <c r="Q2478" i="3"/>
  <c r="Q2479" i="3"/>
  <c r="Q2480" i="3"/>
  <c r="Q2481" i="3"/>
  <c r="Q2482" i="3"/>
  <c r="Q2483" i="3"/>
  <c r="Q2484" i="3"/>
  <c r="Q2485" i="3"/>
  <c r="Q2486" i="3"/>
  <c r="Q2487" i="3"/>
  <c r="Q119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401" i="3"/>
  <c r="Q2502" i="3"/>
  <c r="Q2503" i="3"/>
  <c r="Q2504" i="3"/>
  <c r="Q2505" i="3"/>
  <c r="Q2506" i="3"/>
  <c r="Q2507" i="3"/>
  <c r="Q2508" i="3"/>
  <c r="Q2509" i="3"/>
  <c r="Q314" i="3"/>
  <c r="Q2510" i="3"/>
  <c r="Q2511" i="3"/>
  <c r="Q95" i="3"/>
  <c r="Q2512" i="3"/>
  <c r="Q2513" i="3"/>
  <c r="Q2514" i="3"/>
  <c r="Q230" i="3"/>
  <c r="Q2515" i="3"/>
  <c r="Q2516" i="3"/>
  <c r="Q2517" i="3"/>
  <c r="Q2518" i="3"/>
  <c r="Q2519" i="3"/>
  <c r="Q2520" i="3"/>
  <c r="Q2521" i="3"/>
  <c r="Q2522" i="3"/>
  <c r="Q2523" i="3"/>
  <c r="Q137" i="3"/>
  <c r="Q2524" i="3"/>
  <c r="Q132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21" i="3"/>
  <c r="Q2540" i="3"/>
  <c r="Q2541" i="3"/>
  <c r="Q412" i="3"/>
  <c r="Q2542" i="3"/>
  <c r="Q29" i="3"/>
  <c r="Q2543" i="3"/>
  <c r="Q2544" i="3"/>
  <c r="Q2545" i="3"/>
  <c r="Q2546" i="3"/>
  <c r="Q2547" i="3"/>
  <c r="Q391" i="3"/>
  <c r="Q2548" i="3"/>
  <c r="Q307" i="3"/>
  <c r="Q2549" i="3"/>
  <c r="Q153" i="3"/>
  <c r="Q2550" i="3"/>
  <c r="Q2551" i="3"/>
  <c r="Q49" i="3"/>
  <c r="Q2552" i="3"/>
  <c r="Q2553" i="3"/>
  <c r="Q2554" i="3"/>
  <c r="Q2555" i="3"/>
  <c r="Q2556" i="3"/>
  <c r="Q174" i="3"/>
  <c r="Q62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337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60" i="3"/>
  <c r="Q2589" i="3"/>
  <c r="Q2590" i="3"/>
  <c r="Q2591" i="3"/>
  <c r="Q2592" i="3"/>
  <c r="Q2593" i="3"/>
  <c r="Q2594" i="3"/>
  <c r="Q2595" i="3"/>
  <c r="Q2596" i="3"/>
  <c r="Q216" i="3"/>
  <c r="Q2597" i="3"/>
  <c r="Q2598" i="3"/>
  <c r="Q2599" i="3"/>
  <c r="Q181" i="3"/>
  <c r="Q227" i="3"/>
  <c r="Q386" i="3"/>
  <c r="Q2600" i="3"/>
  <c r="Q13" i="3"/>
  <c r="Q2601" i="3"/>
  <c r="Q68" i="3"/>
  <c r="Q2602" i="3"/>
  <c r="Q2603" i="3"/>
  <c r="Q2604" i="3"/>
  <c r="Q2605" i="3"/>
  <c r="Q2606" i="3"/>
  <c r="Q134" i="3"/>
  <c r="Q2607" i="3"/>
  <c r="Q21" i="3"/>
  <c r="Q2608" i="3"/>
  <c r="Q238" i="3"/>
  <c r="Q2609" i="3"/>
  <c r="Q2610" i="3"/>
  <c r="Q2611" i="3"/>
  <c r="Q2612" i="3"/>
  <c r="Q2613" i="3"/>
  <c r="Q318" i="3"/>
  <c r="Q20" i="3"/>
  <c r="Q2614" i="3"/>
  <c r="Q2615" i="3"/>
  <c r="Q2616" i="3"/>
  <c r="Q322" i="3"/>
  <c r="Q63" i="3"/>
  <c r="Q121" i="3"/>
  <c r="Q2617" i="3"/>
  <c r="Q381" i="3"/>
  <c r="Q2618" i="3"/>
  <c r="Q15" i="3"/>
  <c r="Q2619" i="3"/>
  <c r="Q2620" i="3"/>
  <c r="Q187" i="3"/>
  <c r="Q2621" i="3"/>
  <c r="Q2622" i="3"/>
  <c r="Q6" i="3"/>
  <c r="Q2623" i="3"/>
  <c r="Q366" i="3"/>
  <c r="Q2624" i="3"/>
  <c r="Q85" i="3"/>
  <c r="Q191" i="3"/>
  <c r="Q2625" i="3"/>
  <c r="Q240" i="3"/>
  <c r="Q2626" i="3"/>
  <c r="Q4" i="3"/>
  <c r="Q2627" i="3"/>
  <c r="Q2628" i="3"/>
  <c r="Q136" i="3"/>
  <c r="Q2629" i="3"/>
  <c r="Q2630" i="3"/>
  <c r="Q170" i="3"/>
  <c r="Q176" i="3"/>
  <c r="Q88" i="3"/>
  <c r="Q2631" i="3"/>
  <c r="Q2632" i="3"/>
  <c r="Q2633" i="3"/>
  <c r="Q245" i="3"/>
  <c r="Q149" i="3"/>
  <c r="Q2634" i="3"/>
  <c r="Q160" i="3"/>
  <c r="Q300" i="3"/>
  <c r="Q383" i="3"/>
  <c r="Q2635" i="3"/>
  <c r="Q111" i="3"/>
  <c r="Q2636" i="3"/>
  <c r="Q356" i="3"/>
  <c r="Q2637" i="3"/>
  <c r="Q25" i="3"/>
  <c r="Q246" i="3"/>
  <c r="Q2638" i="3"/>
  <c r="Q2639" i="3"/>
  <c r="Q278" i="3"/>
  <c r="Q161" i="3"/>
  <c r="Q2640" i="3"/>
  <c r="Q390" i="3"/>
  <c r="Q123" i="3"/>
  <c r="Q254" i="3"/>
  <c r="Q2641" i="3"/>
  <c r="Q2642" i="3"/>
  <c r="Q2643" i="3"/>
  <c r="Q2644" i="3"/>
  <c r="Q2645" i="3"/>
  <c r="Q283" i="3"/>
  <c r="Q33" i="3"/>
  <c r="Q2646" i="3"/>
  <c r="Q122" i="3"/>
  <c r="Q2647" i="3"/>
  <c r="Q247" i="3"/>
  <c r="Q2648" i="3"/>
  <c r="Q2649" i="3"/>
  <c r="Q281" i="3"/>
  <c r="Q347" i="3"/>
  <c r="Q2650" i="3"/>
  <c r="Q2651" i="3"/>
  <c r="Q226" i="3"/>
  <c r="Q2652" i="3"/>
  <c r="Q2653" i="3"/>
  <c r="Q2654" i="3"/>
  <c r="Q2655" i="3"/>
  <c r="Q206" i="3"/>
  <c r="Q2656" i="3"/>
  <c r="Q193" i="3"/>
  <c r="Q2657" i="3"/>
  <c r="Q263" i="3"/>
  <c r="Q2658" i="3"/>
  <c r="Q2659" i="3"/>
  <c r="Q2660" i="3"/>
  <c r="Q2661" i="3"/>
  <c r="Q2662" i="3"/>
  <c r="Q2663" i="3"/>
  <c r="Q229" i="3"/>
  <c r="Q19" i="3"/>
  <c r="Q2664" i="3"/>
  <c r="Q2665" i="3"/>
  <c r="Q306" i="3"/>
  <c r="Q2666" i="3"/>
  <c r="Q358" i="3"/>
  <c r="Q74" i="3"/>
  <c r="Q249" i="3"/>
  <c r="Q218" i="3"/>
  <c r="Q156" i="3"/>
  <c r="Q2667" i="3"/>
  <c r="Q271" i="3"/>
  <c r="Q285" i="3"/>
  <c r="Q194" i="3"/>
  <c r="Q2668" i="3"/>
  <c r="Q2669" i="3"/>
  <c r="Q266" i="3"/>
  <c r="Q2670" i="3"/>
  <c r="Q2671" i="3"/>
  <c r="Q69" i="3"/>
  <c r="Q363" i="3"/>
  <c r="Q59" i="3"/>
  <c r="Q2672" i="3"/>
  <c r="Q133" i="3"/>
  <c r="Q39" i="3"/>
  <c r="Q213" i="3"/>
  <c r="Q2673" i="3"/>
  <c r="Q30" i="3"/>
  <c r="Q55" i="3"/>
  <c r="Q141" i="3"/>
  <c r="Q232" i="3"/>
  <c r="Q198" i="3"/>
  <c r="Q269" i="3"/>
  <c r="Q339" i="3"/>
  <c r="Q2674" i="3"/>
  <c r="Q34" i="3"/>
  <c r="Q64" i="3"/>
  <c r="Q2675" i="3"/>
  <c r="Q138" i="3"/>
  <c r="Q146" i="3"/>
  <c r="Q157" i="3"/>
  <c r="Q104" i="3"/>
  <c r="Q202" i="3"/>
  <c r="Q182" i="3"/>
  <c r="Q92" i="3"/>
  <c r="Q289" i="3"/>
  <c r="Q2676" i="3"/>
  <c r="Q175" i="3"/>
  <c r="Q288" i="3"/>
  <c r="Q362" i="3"/>
  <c r="Q2677" i="3"/>
  <c r="Q140" i="3"/>
  <c r="Q2678" i="3"/>
  <c r="Q2679" i="3"/>
  <c r="Q2680" i="3"/>
  <c r="Q287" i="3"/>
  <c r="Q208" i="3"/>
  <c r="Q38" i="3"/>
  <c r="Q2681" i="3"/>
  <c r="Q2682" i="3"/>
  <c r="Q324" i="3"/>
  <c r="Q83" i="3"/>
  <c r="Q17" i="3"/>
  <c r="Q282" i="3"/>
  <c r="Q8" i="3"/>
  <c r="Q293" i="3"/>
  <c r="Q259" i="3"/>
  <c r="Q180" i="3"/>
  <c r="Q78" i="3"/>
  <c r="Q195" i="3"/>
  <c r="Q2683" i="3"/>
  <c r="Q40" i="3"/>
  <c r="Q297" i="3"/>
  <c r="Q330" i="3"/>
  <c r="Q295" i="3"/>
  <c r="Q304" i="3"/>
  <c r="Q162" i="3"/>
  <c r="Q144" i="3"/>
  <c r="Q2684" i="3"/>
  <c r="Q2685" i="3"/>
  <c r="Q311" i="3"/>
  <c r="Q82" i="3"/>
  <c r="Q61" i="3"/>
  <c r="Q219" i="3"/>
  <c r="Q32" i="3"/>
  <c r="Q335" i="3"/>
  <c r="Q374" i="3"/>
  <c r="Q125" i="3"/>
  <c r="Q65" i="3"/>
  <c r="Q172" i="3"/>
  <c r="Q399" i="3"/>
  <c r="Q217" i="3"/>
  <c r="Q222" i="3"/>
  <c r="Q2686" i="3"/>
  <c r="Q239" i="3"/>
  <c r="Q183" i="3"/>
  <c r="Q155" i="3"/>
  <c r="Q28" i="3"/>
  <c r="Q349" i="3"/>
  <c r="Q333" i="3"/>
  <c r="Q2687" i="3"/>
  <c r="Q284" i="3"/>
  <c r="Q310" i="3"/>
  <c r="Q100" i="3"/>
  <c r="Q84" i="3"/>
  <c r="Q2688" i="3"/>
  <c r="Q57" i="3"/>
  <c r="Q115" i="3"/>
  <c r="Q23" i="3"/>
  <c r="Q274" i="3"/>
  <c r="Q11" i="3"/>
  <c r="Q150" i="3"/>
  <c r="Q158" i="3"/>
  <c r="Q145" i="3"/>
  <c r="Q169" i="3"/>
  <c r="Q188" i="3"/>
  <c r="Q46" i="3"/>
  <c r="Q257" i="3"/>
  <c r="Q58" i="3"/>
  <c r="Q214" i="3"/>
  <c r="Q305" i="3"/>
  <c r="Q90" i="3"/>
  <c r="Q127" i="3"/>
  <c r="Q2689" i="3"/>
  <c r="Q48" i="3"/>
  <c r="Q12" i="3"/>
  <c r="Q375" i="3"/>
  <c r="Q148" i="3"/>
  <c r="Q367" i="3"/>
  <c r="Q120" i="3"/>
  <c r="Q331" i="3"/>
  <c r="Q251" i="3"/>
  <c r="Q325" i="3"/>
  <c r="Q200" i="3"/>
  <c r="Q294" i="3"/>
  <c r="Q70" i="3"/>
  <c r="Q350" i="3"/>
  <c r="Q267" i="3"/>
  <c r="Q10" i="3"/>
  <c r="Q2" i="3"/>
  <c r="Q131" i="3"/>
  <c r="Q67" i="3"/>
  <c r="Q51" i="3"/>
  <c r="Q280" i="3"/>
  <c r="Q197" i="3"/>
  <c r="Q41" i="3"/>
  <c r="Q66" i="3"/>
  <c r="Q124" i="3"/>
  <c r="Q185" i="3"/>
  <c r="Q50" i="3"/>
  <c r="Q102" i="3"/>
  <c r="Q196" i="3"/>
  <c r="Q135" i="3"/>
  <c r="Q129" i="3"/>
  <c r="Q22" i="3"/>
  <c r="Q225" i="3"/>
  <c r="Q54" i="3"/>
  <c r="Q379" i="3"/>
  <c r="Q382" i="3"/>
  <c r="Q344" i="3"/>
  <c r="Q36" i="3"/>
  <c r="Q81" i="3"/>
  <c r="Q5" i="3"/>
  <c r="Q73" i="3"/>
  <c r="Q143" i="3"/>
  <c r="Q45" i="3"/>
  <c r="Q241" i="3"/>
  <c r="Q112" i="3"/>
  <c r="Q18" i="3"/>
  <c r="Q346" i="3"/>
  <c r="Q7" i="3"/>
  <c r="Q101" i="3"/>
  <c r="Q286" i="3"/>
  <c r="Q313" i="3"/>
  <c r="Q173" i="3"/>
  <c r="Q116" i="3"/>
  <c r="Q96" i="3"/>
  <c r="Q47" i="3"/>
  <c r="Q44" i="3"/>
  <c r="Q223" i="3"/>
  <c r="Q16" i="3"/>
  <c r="Q9" i="3"/>
  <c r="Q199" i="3"/>
  <c r="Q329" i="3"/>
  <c r="Q99" i="3"/>
  <c r="Q171" i="3"/>
  <c r="Q151" i="3"/>
  <c r="Q159" i="3"/>
  <c r="Q56" i="3"/>
  <c r="Q398" i="3"/>
  <c r="Q256" i="3"/>
  <c r="Q357" i="3"/>
  <c r="Q262" i="3"/>
  <c r="Q309" i="3"/>
  <c r="Q167" i="3"/>
  <c r="Q60" i="3"/>
  <c r="Q98" i="3"/>
  <c r="Q14" i="3"/>
  <c r="Q340" i="3"/>
  <c r="Q94" i="3"/>
  <c r="Q103" i="3"/>
  <c r="Q215" i="3"/>
  <c r="Q179" i="3"/>
  <c r="Q341" i="3"/>
  <c r="Q224" i="3"/>
  <c r="Q147" i="3"/>
  <c r="Q105" i="3"/>
  <c r="Q192" i="3"/>
  <c r="Q107" i="3"/>
  <c r="Q106" i="3"/>
  <c r="Q203" i="3"/>
  <c r="Q31" i="3"/>
  <c r="Q3" i="3"/>
  <c r="Q154" i="3"/>
  <c r="Q233" i="3"/>
  <c r="Q166" i="3"/>
  <c r="Q35" i="3"/>
  <c r="Q387" i="3"/>
  <c r="Q234" i="3"/>
  <c r="Q126" i="3"/>
  <c r="Q231" i="3"/>
  <c r="Q275" i="3"/>
  <c r="Q27" i="3"/>
  <c r="Q312" i="3"/>
  <c r="Q220" i="3"/>
  <c r="Q53" i="3"/>
  <c r="Q80" i="3"/>
  <c r="Q75" i="3"/>
  <c r="Q291" i="3"/>
  <c r="Q353" i="3"/>
  <c r="Q113" i="3"/>
  <c r="Q204" i="3"/>
  <c r="Q315" i="3"/>
  <c r="Q79" i="3"/>
  <c r="Q277" i="3"/>
  <c r="Q336" i="3"/>
  <c r="Q261" i="3"/>
  <c r="Q109" i="3"/>
  <c r="Q332" i="3"/>
  <c r="Q299" i="3"/>
  <c r="Q37" i="3"/>
  <c r="Q114" i="3"/>
  <c r="Q365" i="3"/>
  <c r="Q165" i="3"/>
  <c r="Q258" i="3"/>
  <c r="Q163" i="3"/>
  <c r="Q235" i="3"/>
  <c r="Q71" i="3"/>
  <c r="Q343" i="3"/>
  <c r="Q342" i="3"/>
  <c r="Q89" i="3"/>
  <c r="Q212" i="3"/>
  <c r="Q244" i="3"/>
  <c r="Q209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N419" i="3"/>
  <c r="N420" i="3"/>
  <c r="M418" i="3"/>
  <c r="N418" i="3" s="1"/>
  <c r="M421" i="3"/>
  <c r="N421" i="3" s="1"/>
  <c r="M423" i="3"/>
  <c r="N423" i="3" s="1"/>
  <c r="M424" i="3"/>
  <c r="N424" i="3" s="1"/>
  <c r="M354" i="3"/>
  <c r="M425" i="3"/>
  <c r="N425" i="3" s="1"/>
  <c r="M426" i="3"/>
  <c r="N426" i="3" s="1"/>
  <c r="M431" i="3"/>
  <c r="N431" i="3" s="1"/>
  <c r="M432" i="3"/>
  <c r="N432" i="3" s="1"/>
  <c r="M435" i="3"/>
  <c r="N435" i="3" s="1"/>
  <c r="M440" i="3"/>
  <c r="N440" i="3" s="1"/>
  <c r="M443" i="3"/>
  <c r="N443" i="3" s="1"/>
  <c r="M446" i="3"/>
  <c r="N446" i="3" s="1"/>
  <c r="M447" i="3"/>
  <c r="N447" i="3" s="1"/>
  <c r="M448" i="3"/>
  <c r="N448" i="3" s="1"/>
  <c r="M396" i="3"/>
  <c r="M449" i="3"/>
  <c r="N449" i="3" s="1"/>
  <c r="M450" i="3"/>
  <c r="N450" i="3" s="1"/>
  <c r="M451" i="3"/>
  <c r="N451" i="3" s="1"/>
  <c r="M452" i="3"/>
  <c r="N452" i="3" s="1"/>
  <c r="M454" i="3"/>
  <c r="N454" i="3" s="1"/>
  <c r="M455" i="3"/>
  <c r="N455" i="3" s="1"/>
  <c r="M457" i="3"/>
  <c r="N457" i="3" s="1"/>
  <c r="M458" i="3"/>
  <c r="N458" i="3" s="1"/>
  <c r="M461" i="3"/>
  <c r="N461" i="3" s="1"/>
  <c r="M462" i="3"/>
  <c r="N462" i="3" s="1"/>
  <c r="M464" i="3"/>
  <c r="N464" i="3" s="1"/>
  <c r="M465" i="3"/>
  <c r="N465" i="3" s="1"/>
  <c r="M466" i="3"/>
  <c r="N466" i="3" s="1"/>
  <c r="M468" i="3"/>
  <c r="N468" i="3" s="1"/>
  <c r="M469" i="3"/>
  <c r="N469" i="3" s="1"/>
  <c r="M471" i="3"/>
  <c r="N471" i="3" s="1"/>
  <c r="M472" i="3"/>
  <c r="N472" i="3" s="1"/>
  <c r="M474" i="3"/>
  <c r="N474" i="3" s="1"/>
  <c r="M475" i="3"/>
  <c r="N475" i="3" s="1"/>
  <c r="M479" i="3"/>
  <c r="N479" i="3" s="1"/>
  <c r="M480" i="3"/>
  <c r="N480" i="3" s="1"/>
  <c r="M483" i="3"/>
  <c r="N483" i="3" s="1"/>
  <c r="M485" i="3"/>
  <c r="N485" i="3" s="1"/>
  <c r="M486" i="3"/>
  <c r="N486" i="3" s="1"/>
  <c r="M487" i="3"/>
  <c r="N487" i="3" s="1"/>
  <c r="M270" i="3"/>
  <c r="M488" i="3"/>
  <c r="N488" i="3" s="1"/>
  <c r="M489" i="3"/>
  <c r="N489" i="3" s="1"/>
  <c r="M490" i="3"/>
  <c r="N490" i="3" s="1"/>
  <c r="M491" i="3"/>
  <c r="N491" i="3" s="1"/>
  <c r="M492" i="3"/>
  <c r="N492" i="3" s="1"/>
  <c r="M493" i="3"/>
  <c r="N493" i="3" s="1"/>
  <c r="M495" i="3"/>
  <c r="N495" i="3" s="1"/>
  <c r="M498" i="3"/>
  <c r="N498" i="3" s="1"/>
  <c r="M500" i="3"/>
  <c r="N500" i="3" s="1"/>
  <c r="M503" i="3"/>
  <c r="N503" i="3" s="1"/>
  <c r="M504" i="3"/>
  <c r="N504" i="3" s="1"/>
  <c r="M506" i="3"/>
  <c r="N506" i="3" s="1"/>
  <c r="M509" i="3"/>
  <c r="N509" i="3" s="1"/>
  <c r="M510" i="3"/>
  <c r="N510" i="3" s="1"/>
  <c r="M511" i="3"/>
  <c r="N511" i="3" s="1"/>
  <c r="M512" i="3"/>
  <c r="N512" i="3" s="1"/>
  <c r="M514" i="3"/>
  <c r="N514" i="3" s="1"/>
  <c r="M517" i="3"/>
  <c r="N517" i="3" s="1"/>
  <c r="M402" i="3"/>
  <c r="M518" i="3"/>
  <c r="N518" i="3" s="1"/>
  <c r="M520" i="3"/>
  <c r="N520" i="3" s="1"/>
  <c r="M521" i="3"/>
  <c r="N521" i="3" s="1"/>
  <c r="M522" i="3"/>
  <c r="N522" i="3" s="1"/>
  <c r="M523" i="3"/>
  <c r="N523" i="3" s="1"/>
  <c r="M527" i="3"/>
  <c r="N527" i="3" s="1"/>
  <c r="M529" i="3"/>
  <c r="N529" i="3" s="1"/>
  <c r="M531" i="3"/>
  <c r="N531" i="3" s="1"/>
  <c r="M532" i="3"/>
  <c r="N532" i="3" s="1"/>
  <c r="M533" i="3"/>
  <c r="N533" i="3" s="1"/>
  <c r="M534" i="3"/>
  <c r="N534" i="3" s="1"/>
  <c r="M535" i="3"/>
  <c r="N535" i="3" s="1"/>
  <c r="M536" i="3"/>
  <c r="N536" i="3" s="1"/>
  <c r="M537" i="3"/>
  <c r="N537" i="3" s="1"/>
  <c r="M538" i="3"/>
  <c r="N538" i="3" s="1"/>
  <c r="M539" i="3"/>
  <c r="N539" i="3" s="1"/>
  <c r="M540" i="3"/>
  <c r="N540" i="3" s="1"/>
  <c r="M541" i="3"/>
  <c r="N541" i="3" s="1"/>
  <c r="M542" i="3"/>
  <c r="N542" i="3" s="1"/>
  <c r="M543" i="3"/>
  <c r="N543" i="3" s="1"/>
  <c r="M544" i="3"/>
  <c r="N544" i="3" s="1"/>
  <c r="M545" i="3"/>
  <c r="N545" i="3" s="1"/>
  <c r="M546" i="3"/>
  <c r="N546" i="3" s="1"/>
  <c r="M547" i="3"/>
  <c r="N547" i="3" s="1"/>
  <c r="M549" i="3"/>
  <c r="N549" i="3" s="1"/>
  <c r="M550" i="3"/>
  <c r="N550" i="3" s="1"/>
  <c r="M554" i="3"/>
  <c r="N554" i="3" s="1"/>
  <c r="M555" i="3"/>
  <c r="N555" i="3" s="1"/>
  <c r="M557" i="3"/>
  <c r="N557" i="3" s="1"/>
  <c r="M558" i="3"/>
  <c r="N558" i="3" s="1"/>
  <c r="M559" i="3"/>
  <c r="N559" i="3" s="1"/>
  <c r="M560" i="3"/>
  <c r="N560" i="3" s="1"/>
  <c r="M562" i="3"/>
  <c r="N562" i="3" s="1"/>
  <c r="M563" i="3"/>
  <c r="N563" i="3" s="1"/>
  <c r="M565" i="3"/>
  <c r="N565" i="3" s="1"/>
  <c r="M566" i="3"/>
  <c r="N566" i="3" s="1"/>
  <c r="M567" i="3"/>
  <c r="N567" i="3" s="1"/>
  <c r="M568" i="3"/>
  <c r="N568" i="3" s="1"/>
  <c r="M569" i="3"/>
  <c r="N569" i="3" s="1"/>
  <c r="M570" i="3"/>
  <c r="N570" i="3" s="1"/>
  <c r="M572" i="3"/>
  <c r="N572" i="3" s="1"/>
  <c r="M573" i="3"/>
  <c r="N573" i="3" s="1"/>
  <c r="M574" i="3"/>
  <c r="N574" i="3" s="1"/>
  <c r="M578" i="3"/>
  <c r="N578" i="3" s="1"/>
  <c r="M579" i="3"/>
  <c r="N579" i="3" s="1"/>
  <c r="M581" i="3"/>
  <c r="N581" i="3" s="1"/>
  <c r="M582" i="3"/>
  <c r="N582" i="3" s="1"/>
  <c r="M583" i="3"/>
  <c r="N583" i="3" s="1"/>
  <c r="M584" i="3"/>
  <c r="N584" i="3" s="1"/>
  <c r="M585" i="3"/>
  <c r="N585" i="3" s="1"/>
  <c r="M587" i="3"/>
  <c r="N587" i="3" s="1"/>
  <c r="M591" i="3"/>
  <c r="N591" i="3" s="1"/>
  <c r="M592" i="3"/>
  <c r="N592" i="3" s="1"/>
  <c r="M595" i="3"/>
  <c r="N595" i="3" s="1"/>
  <c r="M597" i="3"/>
  <c r="N597" i="3" s="1"/>
  <c r="M601" i="3"/>
  <c r="N601" i="3" s="1"/>
  <c r="M602" i="3"/>
  <c r="N602" i="3" s="1"/>
  <c r="M607" i="3"/>
  <c r="N607" i="3" s="1"/>
  <c r="M608" i="3"/>
  <c r="N608" i="3" s="1"/>
  <c r="M609" i="3"/>
  <c r="N609" i="3" s="1"/>
  <c r="M613" i="3"/>
  <c r="N613" i="3" s="1"/>
  <c r="M617" i="3"/>
  <c r="N617" i="3" s="1"/>
  <c r="M619" i="3"/>
  <c r="N619" i="3" s="1"/>
  <c r="M622" i="3"/>
  <c r="N622" i="3" s="1"/>
  <c r="M625" i="3"/>
  <c r="N625" i="3" s="1"/>
  <c r="M626" i="3"/>
  <c r="N626" i="3" s="1"/>
  <c r="M627" i="3"/>
  <c r="N627" i="3" s="1"/>
  <c r="M631" i="3"/>
  <c r="N631" i="3" s="1"/>
  <c r="M632" i="3"/>
  <c r="N632" i="3" s="1"/>
  <c r="M633" i="3"/>
  <c r="N633" i="3" s="1"/>
  <c r="M634" i="3"/>
  <c r="N634" i="3" s="1"/>
  <c r="M635" i="3"/>
  <c r="N635" i="3" s="1"/>
  <c r="M637" i="3"/>
  <c r="N637" i="3" s="1"/>
  <c r="M640" i="3"/>
  <c r="N640" i="3" s="1"/>
  <c r="M641" i="3"/>
  <c r="N641" i="3" s="1"/>
  <c r="M642" i="3"/>
  <c r="N642" i="3" s="1"/>
  <c r="M643" i="3"/>
  <c r="N643" i="3" s="1"/>
  <c r="M644" i="3"/>
  <c r="N644" i="3" s="1"/>
  <c r="M645" i="3"/>
  <c r="N645" i="3" s="1"/>
  <c r="M648" i="3"/>
  <c r="N648" i="3" s="1"/>
  <c r="M649" i="3"/>
  <c r="N649" i="3" s="1"/>
  <c r="M651" i="3"/>
  <c r="N651" i="3" s="1"/>
  <c r="M652" i="3"/>
  <c r="N652" i="3" s="1"/>
  <c r="M653" i="3"/>
  <c r="N653" i="3" s="1"/>
  <c r="M654" i="3"/>
  <c r="N654" i="3" s="1"/>
  <c r="M657" i="3"/>
  <c r="N657" i="3" s="1"/>
  <c r="M659" i="3"/>
  <c r="N659" i="3" s="1"/>
  <c r="M660" i="3"/>
  <c r="N660" i="3" s="1"/>
  <c r="M662" i="3"/>
  <c r="N662" i="3" s="1"/>
  <c r="M663" i="3"/>
  <c r="N663" i="3" s="1"/>
  <c r="M664" i="3"/>
  <c r="N664" i="3" s="1"/>
  <c r="M327" i="3"/>
  <c r="M666" i="3"/>
  <c r="N666" i="3" s="1"/>
  <c r="M668" i="3"/>
  <c r="N668" i="3" s="1"/>
  <c r="M669" i="3"/>
  <c r="N669" i="3" s="1"/>
  <c r="M675" i="3"/>
  <c r="N675" i="3" s="1"/>
  <c r="M676" i="3"/>
  <c r="N676" i="3" s="1"/>
  <c r="M678" i="3"/>
  <c r="N678" i="3" s="1"/>
  <c r="M680" i="3"/>
  <c r="N680" i="3" s="1"/>
  <c r="M684" i="3"/>
  <c r="N684" i="3" s="1"/>
  <c r="M685" i="3"/>
  <c r="N685" i="3" s="1"/>
  <c r="M686" i="3"/>
  <c r="N686" i="3" s="1"/>
  <c r="M689" i="3"/>
  <c r="N689" i="3" s="1"/>
  <c r="M693" i="3"/>
  <c r="N693" i="3" s="1"/>
  <c r="M694" i="3"/>
  <c r="N694" i="3" s="1"/>
  <c r="M696" i="3"/>
  <c r="N696" i="3" s="1"/>
  <c r="M697" i="3"/>
  <c r="N697" i="3" s="1"/>
  <c r="M699" i="3"/>
  <c r="N699" i="3" s="1"/>
  <c r="M702" i="3"/>
  <c r="N702" i="3" s="1"/>
  <c r="M704" i="3"/>
  <c r="N704" i="3" s="1"/>
  <c r="M706" i="3"/>
  <c r="N706" i="3" s="1"/>
  <c r="M707" i="3"/>
  <c r="N707" i="3" s="1"/>
  <c r="M709" i="3"/>
  <c r="N709" i="3" s="1"/>
  <c r="M710" i="3"/>
  <c r="N710" i="3" s="1"/>
  <c r="M712" i="3"/>
  <c r="N712" i="3" s="1"/>
  <c r="M713" i="3"/>
  <c r="N713" i="3" s="1"/>
  <c r="M714" i="3"/>
  <c r="N714" i="3" s="1"/>
  <c r="M715" i="3"/>
  <c r="N715" i="3" s="1"/>
  <c r="M716" i="3"/>
  <c r="N716" i="3" s="1"/>
  <c r="M717" i="3"/>
  <c r="N717" i="3" s="1"/>
  <c r="M718" i="3"/>
  <c r="N718" i="3" s="1"/>
  <c r="M722" i="3"/>
  <c r="N722" i="3" s="1"/>
  <c r="M723" i="3"/>
  <c r="N723" i="3" s="1"/>
  <c r="M727" i="3"/>
  <c r="N727" i="3" s="1"/>
  <c r="M728" i="3"/>
  <c r="N728" i="3" s="1"/>
  <c r="M730" i="3"/>
  <c r="N730" i="3" s="1"/>
  <c r="M731" i="3"/>
  <c r="N731" i="3" s="1"/>
  <c r="M255" i="3"/>
  <c r="M733" i="3"/>
  <c r="N733" i="3" s="1"/>
  <c r="M186" i="3"/>
  <c r="M736" i="3"/>
  <c r="N736" i="3" s="1"/>
  <c r="M737" i="3"/>
  <c r="N737" i="3" s="1"/>
  <c r="M403" i="3"/>
  <c r="M740" i="3"/>
  <c r="N740" i="3" s="1"/>
  <c r="M742" i="3"/>
  <c r="N742" i="3" s="1"/>
  <c r="M743" i="3"/>
  <c r="N743" i="3" s="1"/>
  <c r="M302" i="3"/>
  <c r="M744" i="3"/>
  <c r="N744" i="3" s="1"/>
  <c r="M745" i="3"/>
  <c r="N745" i="3" s="1"/>
  <c r="M749" i="3"/>
  <c r="N749" i="3" s="1"/>
  <c r="M751" i="3"/>
  <c r="N751" i="3" s="1"/>
  <c r="M754" i="3"/>
  <c r="N754" i="3" s="1"/>
  <c r="M755" i="3"/>
  <c r="N755" i="3" s="1"/>
  <c r="M758" i="3"/>
  <c r="N758" i="3" s="1"/>
  <c r="M760" i="3"/>
  <c r="N760" i="3" s="1"/>
  <c r="M764" i="3"/>
  <c r="N764" i="3" s="1"/>
  <c r="M765" i="3"/>
  <c r="N765" i="3" s="1"/>
  <c r="M769" i="3"/>
  <c r="N769" i="3" s="1"/>
  <c r="M770" i="3"/>
  <c r="N770" i="3" s="1"/>
  <c r="M771" i="3"/>
  <c r="N771" i="3" s="1"/>
  <c r="M773" i="3"/>
  <c r="N773" i="3" s="1"/>
  <c r="M774" i="3"/>
  <c r="N774" i="3" s="1"/>
  <c r="M777" i="3"/>
  <c r="N777" i="3" s="1"/>
  <c r="M779" i="3"/>
  <c r="N779" i="3" s="1"/>
  <c r="M780" i="3"/>
  <c r="N780" i="3" s="1"/>
  <c r="M781" i="3"/>
  <c r="N781" i="3" s="1"/>
  <c r="M782" i="3"/>
  <c r="N782" i="3" s="1"/>
  <c r="M783" i="3"/>
  <c r="N783" i="3" s="1"/>
  <c r="M784" i="3"/>
  <c r="N784" i="3" s="1"/>
  <c r="M786" i="3"/>
  <c r="N786" i="3" s="1"/>
  <c r="M788" i="3"/>
  <c r="N788" i="3" s="1"/>
  <c r="M790" i="3"/>
  <c r="N790" i="3" s="1"/>
  <c r="M793" i="3"/>
  <c r="N793" i="3" s="1"/>
  <c r="M794" i="3"/>
  <c r="N794" i="3" s="1"/>
  <c r="M795" i="3"/>
  <c r="N795" i="3" s="1"/>
  <c r="M796" i="3"/>
  <c r="N796" i="3" s="1"/>
  <c r="M797" i="3"/>
  <c r="N797" i="3" s="1"/>
  <c r="M798" i="3"/>
  <c r="N798" i="3" s="1"/>
  <c r="M799" i="3"/>
  <c r="N799" i="3" s="1"/>
  <c r="M800" i="3"/>
  <c r="N800" i="3" s="1"/>
  <c r="M805" i="3"/>
  <c r="N805" i="3" s="1"/>
  <c r="M807" i="3"/>
  <c r="N807" i="3" s="1"/>
  <c r="M808" i="3"/>
  <c r="N808" i="3" s="1"/>
  <c r="M809" i="3"/>
  <c r="N809" i="3" s="1"/>
  <c r="M810" i="3"/>
  <c r="N810" i="3" s="1"/>
  <c r="M811" i="3"/>
  <c r="N811" i="3" s="1"/>
  <c r="M812" i="3"/>
  <c r="N812" i="3" s="1"/>
  <c r="M813" i="3"/>
  <c r="N813" i="3" s="1"/>
  <c r="M817" i="3"/>
  <c r="N817" i="3" s="1"/>
  <c r="M818" i="3"/>
  <c r="N818" i="3" s="1"/>
  <c r="M819" i="3"/>
  <c r="N819" i="3" s="1"/>
  <c r="M822" i="3"/>
  <c r="N822" i="3" s="1"/>
  <c r="M825" i="3"/>
  <c r="N825" i="3" s="1"/>
  <c r="M826" i="3"/>
  <c r="N826" i="3" s="1"/>
  <c r="M827" i="3"/>
  <c r="N827" i="3" s="1"/>
  <c r="M828" i="3"/>
  <c r="N828" i="3" s="1"/>
  <c r="M829" i="3"/>
  <c r="N829" i="3" s="1"/>
  <c r="M830" i="3"/>
  <c r="N830" i="3" s="1"/>
  <c r="M832" i="3"/>
  <c r="N832" i="3" s="1"/>
  <c r="M87" i="3"/>
  <c r="M834" i="3"/>
  <c r="N834" i="3" s="1"/>
  <c r="M836" i="3"/>
  <c r="N836" i="3" s="1"/>
  <c r="M837" i="3"/>
  <c r="N837" i="3" s="1"/>
  <c r="M839" i="3"/>
  <c r="N839" i="3" s="1"/>
  <c r="M841" i="3"/>
  <c r="N841" i="3" s="1"/>
  <c r="M842" i="3"/>
  <c r="N842" i="3" s="1"/>
  <c r="M843" i="3"/>
  <c r="N843" i="3" s="1"/>
  <c r="M844" i="3"/>
  <c r="N844" i="3" s="1"/>
  <c r="M845" i="3"/>
  <c r="N845" i="3" s="1"/>
  <c r="M847" i="3"/>
  <c r="N847" i="3" s="1"/>
  <c r="M849" i="3"/>
  <c r="N849" i="3" s="1"/>
  <c r="M850" i="3"/>
  <c r="N850" i="3" s="1"/>
  <c r="M853" i="3"/>
  <c r="N853" i="3" s="1"/>
  <c r="M854" i="3"/>
  <c r="N854" i="3" s="1"/>
  <c r="M856" i="3"/>
  <c r="N856" i="3" s="1"/>
  <c r="M859" i="3"/>
  <c r="N859" i="3" s="1"/>
  <c r="M394" i="3"/>
  <c r="M867" i="3"/>
  <c r="N867" i="3" s="1"/>
  <c r="M868" i="3"/>
  <c r="N868" i="3" s="1"/>
  <c r="M871" i="3"/>
  <c r="N871" i="3" s="1"/>
  <c r="M872" i="3"/>
  <c r="N872" i="3" s="1"/>
  <c r="M873" i="3"/>
  <c r="N873" i="3" s="1"/>
  <c r="M874" i="3"/>
  <c r="N874" i="3" s="1"/>
  <c r="M879" i="3"/>
  <c r="N879" i="3" s="1"/>
  <c r="M880" i="3"/>
  <c r="N880" i="3" s="1"/>
  <c r="M881" i="3"/>
  <c r="N881" i="3" s="1"/>
  <c r="M883" i="3"/>
  <c r="N883" i="3" s="1"/>
  <c r="M884" i="3"/>
  <c r="N884" i="3" s="1"/>
  <c r="M885" i="3"/>
  <c r="N885" i="3" s="1"/>
  <c r="M887" i="3"/>
  <c r="N887" i="3" s="1"/>
  <c r="M888" i="3"/>
  <c r="N888" i="3" s="1"/>
  <c r="M889" i="3"/>
  <c r="N889" i="3" s="1"/>
  <c r="M890" i="3"/>
  <c r="N890" i="3" s="1"/>
  <c r="M892" i="3"/>
  <c r="N892" i="3" s="1"/>
  <c r="M897" i="3"/>
  <c r="N897" i="3" s="1"/>
  <c r="M898" i="3"/>
  <c r="N898" i="3" s="1"/>
  <c r="M899" i="3"/>
  <c r="N899" i="3" s="1"/>
  <c r="M900" i="3"/>
  <c r="N900" i="3" s="1"/>
  <c r="M901" i="3"/>
  <c r="N901" i="3" s="1"/>
  <c r="M902" i="3"/>
  <c r="N902" i="3" s="1"/>
  <c r="M110" i="3"/>
  <c r="M909" i="3"/>
  <c r="N909" i="3" s="1"/>
  <c r="M911" i="3"/>
  <c r="N911" i="3" s="1"/>
  <c r="M912" i="3"/>
  <c r="N912" i="3" s="1"/>
  <c r="M913" i="3"/>
  <c r="N913" i="3" s="1"/>
  <c r="M915" i="3"/>
  <c r="N915" i="3" s="1"/>
  <c r="M918" i="3"/>
  <c r="N918" i="3" s="1"/>
  <c r="M919" i="3"/>
  <c r="N919" i="3" s="1"/>
  <c r="M920" i="3"/>
  <c r="N920" i="3" s="1"/>
  <c r="M921" i="3"/>
  <c r="N921" i="3" s="1"/>
  <c r="M924" i="3"/>
  <c r="N924" i="3" s="1"/>
  <c r="M925" i="3"/>
  <c r="N925" i="3" s="1"/>
  <c r="M926" i="3"/>
  <c r="N926" i="3" s="1"/>
  <c r="M928" i="3"/>
  <c r="N928" i="3" s="1"/>
  <c r="M929" i="3"/>
  <c r="N929" i="3" s="1"/>
  <c r="M930" i="3"/>
  <c r="N930" i="3" s="1"/>
  <c r="M931" i="3"/>
  <c r="N931" i="3" s="1"/>
  <c r="M932" i="3"/>
  <c r="N932" i="3" s="1"/>
  <c r="M937" i="3"/>
  <c r="N937" i="3" s="1"/>
  <c r="M939" i="3"/>
  <c r="N939" i="3" s="1"/>
  <c r="M941" i="3"/>
  <c r="N941" i="3" s="1"/>
  <c r="M943" i="3"/>
  <c r="N943" i="3" s="1"/>
  <c r="M944" i="3"/>
  <c r="N944" i="3" s="1"/>
  <c r="M946" i="3"/>
  <c r="N946" i="3" s="1"/>
  <c r="M948" i="3"/>
  <c r="N948" i="3" s="1"/>
  <c r="M949" i="3"/>
  <c r="N949" i="3" s="1"/>
  <c r="M950" i="3"/>
  <c r="N950" i="3" s="1"/>
  <c r="M951" i="3"/>
  <c r="N951" i="3" s="1"/>
  <c r="M953" i="3"/>
  <c r="N953" i="3" s="1"/>
  <c r="M956" i="3"/>
  <c r="N956" i="3" s="1"/>
  <c r="M959" i="3"/>
  <c r="N959" i="3" s="1"/>
  <c r="M960" i="3"/>
  <c r="N960" i="3" s="1"/>
  <c r="M962" i="3"/>
  <c r="N962" i="3" s="1"/>
  <c r="M964" i="3"/>
  <c r="N964" i="3" s="1"/>
  <c r="M965" i="3"/>
  <c r="N965" i="3" s="1"/>
  <c r="M968" i="3"/>
  <c r="N968" i="3" s="1"/>
  <c r="M970" i="3"/>
  <c r="N970" i="3" s="1"/>
  <c r="M377" i="3"/>
  <c r="M974" i="3"/>
  <c r="N974" i="3" s="1"/>
  <c r="M975" i="3"/>
  <c r="N975" i="3" s="1"/>
  <c r="M977" i="3"/>
  <c r="N977" i="3" s="1"/>
  <c r="M978" i="3"/>
  <c r="N978" i="3" s="1"/>
  <c r="M979" i="3"/>
  <c r="N979" i="3" s="1"/>
  <c r="M400" i="3"/>
  <c r="M981" i="3"/>
  <c r="N981" i="3" s="1"/>
  <c r="M982" i="3"/>
  <c r="N982" i="3" s="1"/>
  <c r="M983" i="3"/>
  <c r="N983" i="3" s="1"/>
  <c r="M984" i="3"/>
  <c r="N984" i="3" s="1"/>
  <c r="M986" i="3"/>
  <c r="N986" i="3" s="1"/>
  <c r="M987" i="3"/>
  <c r="N987" i="3" s="1"/>
  <c r="M989" i="3"/>
  <c r="N989" i="3" s="1"/>
  <c r="M990" i="3"/>
  <c r="N990" i="3" s="1"/>
  <c r="M991" i="3"/>
  <c r="N991" i="3" s="1"/>
  <c r="M994" i="3"/>
  <c r="N994" i="3" s="1"/>
  <c r="M996" i="3"/>
  <c r="N996" i="3" s="1"/>
  <c r="M997" i="3"/>
  <c r="N997" i="3" s="1"/>
  <c r="M999" i="3"/>
  <c r="N999" i="3" s="1"/>
  <c r="M1000" i="3"/>
  <c r="N1000" i="3" s="1"/>
  <c r="M1001" i="3"/>
  <c r="N1001" i="3" s="1"/>
  <c r="M1002" i="3"/>
  <c r="N1002" i="3" s="1"/>
  <c r="M1003" i="3"/>
  <c r="N1003" i="3" s="1"/>
  <c r="M1004" i="3"/>
  <c r="N1004" i="3" s="1"/>
  <c r="M1007" i="3"/>
  <c r="N1007" i="3" s="1"/>
  <c r="M1011" i="3"/>
  <c r="N1011" i="3" s="1"/>
  <c r="M1012" i="3"/>
  <c r="N1012" i="3" s="1"/>
  <c r="M1013" i="3"/>
  <c r="N1013" i="3" s="1"/>
  <c r="M1015" i="3"/>
  <c r="N1015" i="3" s="1"/>
  <c r="M1018" i="3"/>
  <c r="N1018" i="3" s="1"/>
  <c r="M1020" i="3"/>
  <c r="N1020" i="3" s="1"/>
  <c r="M1023" i="3"/>
  <c r="N1023" i="3" s="1"/>
  <c r="M1025" i="3"/>
  <c r="N1025" i="3" s="1"/>
  <c r="M1026" i="3"/>
  <c r="N1026" i="3" s="1"/>
  <c r="M1027" i="3"/>
  <c r="N1027" i="3" s="1"/>
  <c r="M1028" i="3"/>
  <c r="N1028" i="3" s="1"/>
  <c r="M1029" i="3"/>
  <c r="N1029" i="3" s="1"/>
  <c r="M1033" i="3"/>
  <c r="N1033" i="3" s="1"/>
  <c r="M1035" i="3"/>
  <c r="N1035" i="3" s="1"/>
  <c r="M1036" i="3"/>
  <c r="N1036" i="3" s="1"/>
  <c r="M1037" i="3"/>
  <c r="N1037" i="3" s="1"/>
  <c r="M1038" i="3"/>
  <c r="N1038" i="3" s="1"/>
  <c r="M1039" i="3"/>
  <c r="N1039" i="3" s="1"/>
  <c r="M1040" i="3"/>
  <c r="N1040" i="3" s="1"/>
  <c r="M1041" i="3"/>
  <c r="N1041" i="3" s="1"/>
  <c r="M1042" i="3"/>
  <c r="N1042" i="3" s="1"/>
  <c r="M1044" i="3"/>
  <c r="N1044" i="3" s="1"/>
  <c r="M1045" i="3"/>
  <c r="N1045" i="3" s="1"/>
  <c r="M1046" i="3"/>
  <c r="N1046" i="3" s="1"/>
  <c r="M1050" i="3"/>
  <c r="N1050" i="3" s="1"/>
  <c r="M1053" i="3"/>
  <c r="N1053" i="3" s="1"/>
  <c r="M1054" i="3"/>
  <c r="N1054" i="3" s="1"/>
  <c r="M1055" i="3"/>
  <c r="N1055" i="3" s="1"/>
  <c r="M1056" i="3"/>
  <c r="N1056" i="3" s="1"/>
  <c r="M1058" i="3"/>
  <c r="N1058" i="3" s="1"/>
  <c r="M1059" i="3"/>
  <c r="N1059" i="3" s="1"/>
  <c r="M1062" i="3"/>
  <c r="N1062" i="3" s="1"/>
  <c r="M1063" i="3"/>
  <c r="N1063" i="3" s="1"/>
  <c r="M1064" i="3"/>
  <c r="N1064" i="3" s="1"/>
  <c r="M1067" i="3"/>
  <c r="N1067" i="3" s="1"/>
  <c r="M1069" i="3"/>
  <c r="N1069" i="3" s="1"/>
  <c r="M1070" i="3"/>
  <c r="N1070" i="3" s="1"/>
  <c r="M1072" i="3"/>
  <c r="N1072" i="3" s="1"/>
  <c r="M1074" i="3"/>
  <c r="N1074" i="3" s="1"/>
  <c r="M1076" i="3"/>
  <c r="N1076" i="3" s="1"/>
  <c r="M1077" i="3"/>
  <c r="N1077" i="3" s="1"/>
  <c r="M1078" i="3"/>
  <c r="N1078" i="3" s="1"/>
  <c r="M1079" i="3"/>
  <c r="N1079" i="3" s="1"/>
  <c r="M1080" i="3"/>
  <c r="N1080" i="3" s="1"/>
  <c r="M1081" i="3"/>
  <c r="N1081" i="3" s="1"/>
  <c r="M1082" i="3"/>
  <c r="N1082" i="3" s="1"/>
  <c r="M1083" i="3"/>
  <c r="N1083" i="3" s="1"/>
  <c r="M1084" i="3"/>
  <c r="N1084" i="3" s="1"/>
  <c r="M1086" i="3"/>
  <c r="N1086" i="3" s="1"/>
  <c r="M1087" i="3"/>
  <c r="N1087" i="3" s="1"/>
  <c r="M1088" i="3"/>
  <c r="N1088" i="3" s="1"/>
  <c r="M1089" i="3"/>
  <c r="N1089" i="3" s="1"/>
  <c r="M1091" i="3"/>
  <c r="N1091" i="3" s="1"/>
  <c r="M1093" i="3"/>
  <c r="N1093" i="3" s="1"/>
  <c r="M1096" i="3"/>
  <c r="N1096" i="3" s="1"/>
  <c r="M1097" i="3"/>
  <c r="N1097" i="3" s="1"/>
  <c r="M1099" i="3"/>
  <c r="N1099" i="3" s="1"/>
  <c r="M1100" i="3"/>
  <c r="N1100" i="3" s="1"/>
  <c r="M1102" i="3"/>
  <c r="N1102" i="3" s="1"/>
  <c r="M1103" i="3"/>
  <c r="N1103" i="3" s="1"/>
  <c r="M1104" i="3"/>
  <c r="N1104" i="3" s="1"/>
  <c r="M1110" i="3"/>
  <c r="N1110" i="3" s="1"/>
  <c r="M1112" i="3"/>
  <c r="N1112" i="3" s="1"/>
  <c r="M1113" i="3"/>
  <c r="N1113" i="3" s="1"/>
  <c r="M371" i="3"/>
  <c r="M1116" i="3"/>
  <c r="N1116" i="3" s="1"/>
  <c r="M323" i="3"/>
  <c r="M1117" i="3"/>
  <c r="N1117" i="3" s="1"/>
  <c r="M1123" i="3"/>
  <c r="N1123" i="3" s="1"/>
  <c r="M1126" i="3"/>
  <c r="N1126" i="3" s="1"/>
  <c r="M1127" i="3"/>
  <c r="N1127" i="3" s="1"/>
  <c r="M1128" i="3"/>
  <c r="N1128" i="3" s="1"/>
  <c r="M1129" i="3"/>
  <c r="N1129" i="3" s="1"/>
  <c r="M1130" i="3"/>
  <c r="N1130" i="3" s="1"/>
  <c r="M1131" i="3"/>
  <c r="N1131" i="3" s="1"/>
  <c r="M1132" i="3"/>
  <c r="N1132" i="3" s="1"/>
  <c r="M1133" i="3"/>
  <c r="N1133" i="3" s="1"/>
  <c r="M1134" i="3"/>
  <c r="N1134" i="3" s="1"/>
  <c r="M1137" i="3"/>
  <c r="N1137" i="3" s="1"/>
  <c r="M1138" i="3"/>
  <c r="N1138" i="3" s="1"/>
  <c r="M1140" i="3"/>
  <c r="N1140" i="3" s="1"/>
  <c r="M1141" i="3"/>
  <c r="N1141" i="3" s="1"/>
  <c r="M117" i="3"/>
  <c r="M1143" i="3"/>
  <c r="N1143" i="3" s="1"/>
  <c r="M1145" i="3"/>
  <c r="N1145" i="3" s="1"/>
  <c r="M77" i="3"/>
  <c r="M1146" i="3"/>
  <c r="N1146" i="3" s="1"/>
  <c r="M1147" i="3"/>
  <c r="N1147" i="3" s="1"/>
  <c r="M1149" i="3"/>
  <c r="N1149" i="3" s="1"/>
  <c r="M1150" i="3"/>
  <c r="N1150" i="3" s="1"/>
  <c r="M1151" i="3"/>
  <c r="N1151" i="3" s="1"/>
  <c r="M1152" i="3"/>
  <c r="N1152" i="3" s="1"/>
  <c r="M1153" i="3"/>
  <c r="N1153" i="3" s="1"/>
  <c r="M1154" i="3"/>
  <c r="N1154" i="3" s="1"/>
  <c r="M384" i="3"/>
  <c r="M1155" i="3"/>
  <c r="N1155" i="3" s="1"/>
  <c r="M1156" i="3"/>
  <c r="N1156" i="3" s="1"/>
  <c r="M1157" i="3"/>
  <c r="N1157" i="3" s="1"/>
  <c r="M1158" i="3"/>
  <c r="N1158" i="3" s="1"/>
  <c r="M1159" i="3"/>
  <c r="N1159" i="3" s="1"/>
  <c r="M1161" i="3"/>
  <c r="N1161" i="3" s="1"/>
  <c r="M1162" i="3"/>
  <c r="N1162" i="3" s="1"/>
  <c r="M1163" i="3"/>
  <c r="N1163" i="3" s="1"/>
  <c r="M1169" i="3"/>
  <c r="N1169" i="3" s="1"/>
  <c r="M1170" i="3"/>
  <c r="N1170" i="3" s="1"/>
  <c r="M1171" i="3"/>
  <c r="N1171" i="3" s="1"/>
  <c r="M1172" i="3"/>
  <c r="N1172" i="3" s="1"/>
  <c r="M1173" i="3"/>
  <c r="N1173" i="3" s="1"/>
  <c r="M1176" i="3"/>
  <c r="N1176" i="3" s="1"/>
  <c r="M1179" i="3"/>
  <c r="N1179" i="3" s="1"/>
  <c r="M1180" i="3"/>
  <c r="N1180" i="3" s="1"/>
  <c r="M1181" i="3"/>
  <c r="N1181" i="3" s="1"/>
  <c r="M1182" i="3"/>
  <c r="N1182" i="3" s="1"/>
  <c r="M1183" i="3"/>
  <c r="N1183" i="3" s="1"/>
  <c r="M1184" i="3"/>
  <c r="N1184" i="3" s="1"/>
  <c r="M1185" i="3"/>
  <c r="N1185" i="3" s="1"/>
  <c r="M1188" i="3"/>
  <c r="N1188" i="3" s="1"/>
  <c r="M1189" i="3"/>
  <c r="N1189" i="3" s="1"/>
  <c r="M1190" i="3"/>
  <c r="N1190" i="3" s="1"/>
  <c r="M1194" i="3"/>
  <c r="N1194" i="3" s="1"/>
  <c r="M1195" i="3"/>
  <c r="N1195" i="3" s="1"/>
  <c r="M1196" i="3"/>
  <c r="N1196" i="3" s="1"/>
  <c r="M1197" i="3"/>
  <c r="N1197" i="3" s="1"/>
  <c r="M1199" i="3"/>
  <c r="N1199" i="3" s="1"/>
  <c r="M1200" i="3"/>
  <c r="N1200" i="3" s="1"/>
  <c r="M1202" i="3"/>
  <c r="N1202" i="3" s="1"/>
  <c r="M1204" i="3"/>
  <c r="N1204" i="3" s="1"/>
  <c r="M1206" i="3"/>
  <c r="N1206" i="3" s="1"/>
  <c r="M1208" i="3"/>
  <c r="N1208" i="3" s="1"/>
  <c r="M1210" i="3"/>
  <c r="N1210" i="3" s="1"/>
  <c r="M1211" i="3"/>
  <c r="N1211" i="3" s="1"/>
  <c r="M1212" i="3"/>
  <c r="N1212" i="3" s="1"/>
  <c r="M1214" i="3"/>
  <c r="N1214" i="3" s="1"/>
  <c r="M1216" i="3"/>
  <c r="N1216" i="3" s="1"/>
  <c r="M1217" i="3"/>
  <c r="N1217" i="3" s="1"/>
  <c r="M1218" i="3"/>
  <c r="N1218" i="3" s="1"/>
  <c r="M1220" i="3"/>
  <c r="N1220" i="3" s="1"/>
  <c r="M397" i="3"/>
  <c r="M1221" i="3"/>
  <c r="N1221" i="3" s="1"/>
  <c r="M1222" i="3"/>
  <c r="N1222" i="3" s="1"/>
  <c r="M1228" i="3"/>
  <c r="N1228" i="3" s="1"/>
  <c r="M1230" i="3"/>
  <c r="N1230" i="3" s="1"/>
  <c r="M1233" i="3"/>
  <c r="N1233" i="3" s="1"/>
  <c r="M1239" i="3"/>
  <c r="N1239" i="3" s="1"/>
  <c r="M1240" i="3"/>
  <c r="N1240" i="3" s="1"/>
  <c r="M1241" i="3"/>
  <c r="N1241" i="3" s="1"/>
  <c r="M1242" i="3"/>
  <c r="N1242" i="3" s="1"/>
  <c r="M1244" i="3"/>
  <c r="N1244" i="3" s="1"/>
  <c r="M1245" i="3"/>
  <c r="N1245" i="3" s="1"/>
  <c r="M1246" i="3"/>
  <c r="N1246" i="3" s="1"/>
  <c r="M1249" i="3"/>
  <c r="N1249" i="3" s="1"/>
  <c r="M1250" i="3"/>
  <c r="N1250" i="3" s="1"/>
  <c r="M1253" i="3"/>
  <c r="N1253" i="3" s="1"/>
  <c r="M1254" i="3"/>
  <c r="N1254" i="3" s="1"/>
  <c r="M1255" i="3"/>
  <c r="N1255" i="3" s="1"/>
  <c r="M1256" i="3"/>
  <c r="N1256" i="3" s="1"/>
  <c r="M1257" i="3"/>
  <c r="N1257" i="3" s="1"/>
  <c r="M1258" i="3"/>
  <c r="N1258" i="3" s="1"/>
  <c r="M1259" i="3"/>
  <c r="N1259" i="3" s="1"/>
  <c r="M1260" i="3"/>
  <c r="N1260" i="3" s="1"/>
  <c r="M393" i="3"/>
  <c r="M1262" i="3"/>
  <c r="N1262" i="3" s="1"/>
  <c r="M1263" i="3"/>
  <c r="N1263" i="3" s="1"/>
  <c r="M1266" i="3"/>
  <c r="N1266" i="3" s="1"/>
  <c r="M1268" i="3"/>
  <c r="N1268" i="3" s="1"/>
  <c r="M1272" i="3"/>
  <c r="N1272" i="3" s="1"/>
  <c r="M1273" i="3"/>
  <c r="N1273" i="3" s="1"/>
  <c r="M1274" i="3"/>
  <c r="N1274" i="3" s="1"/>
  <c r="M1275" i="3"/>
  <c r="N1275" i="3" s="1"/>
  <c r="M1280" i="3"/>
  <c r="N1280" i="3" s="1"/>
  <c r="M1282" i="3"/>
  <c r="N1282" i="3" s="1"/>
  <c r="M1283" i="3"/>
  <c r="N1283" i="3" s="1"/>
  <c r="M250" i="3"/>
  <c r="M1284" i="3"/>
  <c r="N1284" i="3" s="1"/>
  <c r="M1285" i="3"/>
  <c r="N1285" i="3" s="1"/>
  <c r="M272" i="3"/>
  <c r="M1286" i="3"/>
  <c r="N1286" i="3" s="1"/>
  <c r="M1287" i="3"/>
  <c r="N1287" i="3" s="1"/>
  <c r="M1291" i="3"/>
  <c r="N1291" i="3" s="1"/>
  <c r="M1293" i="3"/>
  <c r="N1293" i="3" s="1"/>
  <c r="M1296" i="3"/>
  <c r="N1296" i="3" s="1"/>
  <c r="M1300" i="3"/>
  <c r="N1300" i="3" s="1"/>
  <c r="M1301" i="3"/>
  <c r="N1301" i="3" s="1"/>
  <c r="M1303" i="3"/>
  <c r="N1303" i="3" s="1"/>
  <c r="M1305" i="3"/>
  <c r="N1305" i="3" s="1"/>
  <c r="M1306" i="3"/>
  <c r="N1306" i="3" s="1"/>
  <c r="M1307" i="3"/>
  <c r="N1307" i="3" s="1"/>
  <c r="M1308" i="3"/>
  <c r="N1308" i="3" s="1"/>
  <c r="M1311" i="3"/>
  <c r="N1311" i="3" s="1"/>
  <c r="M1312" i="3"/>
  <c r="N1312" i="3" s="1"/>
  <c r="M1315" i="3"/>
  <c r="N1315" i="3" s="1"/>
  <c r="M1316" i="3"/>
  <c r="N1316" i="3" s="1"/>
  <c r="M1317" i="3"/>
  <c r="N1317" i="3" s="1"/>
  <c r="M1319" i="3"/>
  <c r="N1319" i="3" s="1"/>
  <c r="M1321" i="3"/>
  <c r="N1321" i="3" s="1"/>
  <c r="M1322" i="3"/>
  <c r="N1322" i="3" s="1"/>
  <c r="M1324" i="3"/>
  <c r="N1324" i="3" s="1"/>
  <c r="M1326" i="3"/>
  <c r="N1326" i="3" s="1"/>
  <c r="M1327" i="3"/>
  <c r="N1327" i="3" s="1"/>
  <c r="M1328" i="3"/>
  <c r="N1328" i="3" s="1"/>
  <c r="M1329" i="3"/>
  <c r="N1329" i="3" s="1"/>
  <c r="M1331" i="3"/>
  <c r="N1331" i="3" s="1"/>
  <c r="M1336" i="3"/>
  <c r="N1336" i="3" s="1"/>
  <c r="M1337" i="3"/>
  <c r="N1337" i="3" s="1"/>
  <c r="M1338" i="3"/>
  <c r="N1338" i="3" s="1"/>
  <c r="M1342" i="3"/>
  <c r="N1342" i="3" s="1"/>
  <c r="M1343" i="3"/>
  <c r="N1343" i="3" s="1"/>
  <c r="M1344" i="3"/>
  <c r="N1344" i="3" s="1"/>
  <c r="M1346" i="3"/>
  <c r="N1346" i="3" s="1"/>
  <c r="M1347" i="3"/>
  <c r="N1347" i="3" s="1"/>
  <c r="M1348" i="3"/>
  <c r="N1348" i="3" s="1"/>
  <c r="M1349" i="3"/>
  <c r="N1349" i="3" s="1"/>
  <c r="M1350" i="3"/>
  <c r="N1350" i="3" s="1"/>
  <c r="M1351" i="3"/>
  <c r="N1351" i="3" s="1"/>
  <c r="M1353" i="3"/>
  <c r="N1353" i="3" s="1"/>
  <c r="M1354" i="3"/>
  <c r="N1354" i="3" s="1"/>
  <c r="M1356" i="3"/>
  <c r="N1356" i="3" s="1"/>
  <c r="M1357" i="3"/>
  <c r="N1357" i="3" s="1"/>
  <c r="M1358" i="3"/>
  <c r="N1358" i="3" s="1"/>
  <c r="M1359" i="3"/>
  <c r="N1359" i="3" s="1"/>
  <c r="M1360" i="3"/>
  <c r="N1360" i="3" s="1"/>
  <c r="M1363" i="3"/>
  <c r="N1363" i="3" s="1"/>
  <c r="M1364" i="3"/>
  <c r="N1364" i="3" s="1"/>
  <c r="M1365" i="3"/>
  <c r="N1365" i="3" s="1"/>
  <c r="M1367" i="3"/>
  <c r="N1367" i="3" s="1"/>
  <c r="M1368" i="3"/>
  <c r="N1368" i="3" s="1"/>
  <c r="M1371" i="3"/>
  <c r="N1371" i="3" s="1"/>
  <c r="M1373" i="3"/>
  <c r="N1373" i="3" s="1"/>
  <c r="M1374" i="3"/>
  <c r="N1374" i="3" s="1"/>
  <c r="M1375" i="3"/>
  <c r="N1375" i="3" s="1"/>
  <c r="M1377" i="3"/>
  <c r="N1377" i="3" s="1"/>
  <c r="M1379" i="3"/>
  <c r="N1379" i="3" s="1"/>
  <c r="M1380" i="3"/>
  <c r="N1380" i="3" s="1"/>
  <c r="M348" i="3"/>
  <c r="M1381" i="3"/>
  <c r="N1381" i="3" s="1"/>
  <c r="M1382" i="3"/>
  <c r="N1382" i="3" s="1"/>
  <c r="M1384" i="3"/>
  <c r="N1384" i="3" s="1"/>
  <c r="M1385" i="3"/>
  <c r="N1385" i="3" s="1"/>
  <c r="M1386" i="3"/>
  <c r="N1386" i="3" s="1"/>
  <c r="M1387" i="3"/>
  <c r="N1387" i="3" s="1"/>
  <c r="M1388" i="3"/>
  <c r="N1388" i="3" s="1"/>
  <c r="M1393" i="3"/>
  <c r="N1393" i="3" s="1"/>
  <c r="M1394" i="3"/>
  <c r="N1394" i="3" s="1"/>
  <c r="M1396" i="3"/>
  <c r="N1396" i="3" s="1"/>
  <c r="M1397" i="3"/>
  <c r="N1397" i="3" s="1"/>
  <c r="M1400" i="3"/>
  <c r="N1400" i="3" s="1"/>
  <c r="M1401" i="3"/>
  <c r="N1401" i="3" s="1"/>
  <c r="M1403" i="3"/>
  <c r="N1403" i="3" s="1"/>
  <c r="M1406" i="3"/>
  <c r="N1406" i="3" s="1"/>
  <c r="M1407" i="3"/>
  <c r="N1407" i="3" s="1"/>
  <c r="M1408" i="3"/>
  <c r="N1408" i="3" s="1"/>
  <c r="M1410" i="3"/>
  <c r="N1410" i="3" s="1"/>
  <c r="M1411" i="3"/>
  <c r="N1411" i="3" s="1"/>
  <c r="M1413" i="3"/>
  <c r="N1413" i="3" s="1"/>
  <c r="M1415" i="3"/>
  <c r="N1415" i="3" s="1"/>
  <c r="M1417" i="3"/>
  <c r="N1417" i="3" s="1"/>
  <c r="M1420" i="3"/>
  <c r="N1420" i="3" s="1"/>
  <c r="M1423" i="3"/>
  <c r="N1423" i="3" s="1"/>
  <c r="M1424" i="3"/>
  <c r="N1424" i="3" s="1"/>
  <c r="M1425" i="3"/>
  <c r="N1425" i="3" s="1"/>
  <c r="M1426" i="3"/>
  <c r="N1426" i="3" s="1"/>
  <c r="M1428" i="3"/>
  <c r="N1428" i="3" s="1"/>
  <c r="M1430" i="3"/>
  <c r="N1430" i="3" s="1"/>
  <c r="M1432" i="3"/>
  <c r="N1432" i="3" s="1"/>
  <c r="M1436" i="3"/>
  <c r="N1436" i="3" s="1"/>
  <c r="M1437" i="3"/>
  <c r="N1437" i="3" s="1"/>
  <c r="M1440" i="3"/>
  <c r="N1440" i="3" s="1"/>
  <c r="M1441" i="3"/>
  <c r="N1441" i="3" s="1"/>
  <c r="M1443" i="3"/>
  <c r="N1443" i="3" s="1"/>
  <c r="M1445" i="3"/>
  <c r="N1445" i="3" s="1"/>
  <c r="M1446" i="3"/>
  <c r="N1446" i="3" s="1"/>
  <c r="M1447" i="3"/>
  <c r="N1447" i="3" s="1"/>
  <c r="M1451" i="3"/>
  <c r="N1451" i="3" s="1"/>
  <c r="M1453" i="3"/>
  <c r="N1453" i="3" s="1"/>
  <c r="M1454" i="3"/>
  <c r="N1454" i="3" s="1"/>
  <c r="M1455" i="3"/>
  <c r="N1455" i="3" s="1"/>
  <c r="M1459" i="3"/>
  <c r="N1459" i="3" s="1"/>
  <c r="M1461" i="3"/>
  <c r="N1461" i="3" s="1"/>
  <c r="M1463" i="3"/>
  <c r="N1463" i="3" s="1"/>
  <c r="M253" i="3"/>
  <c r="M1466" i="3"/>
  <c r="N1466" i="3" s="1"/>
  <c r="M1467" i="3"/>
  <c r="N1467" i="3" s="1"/>
  <c r="M1469" i="3"/>
  <c r="N1469" i="3" s="1"/>
  <c r="M1470" i="3"/>
  <c r="N1470" i="3" s="1"/>
  <c r="M1471" i="3"/>
  <c r="N1471" i="3" s="1"/>
  <c r="M1472" i="3"/>
  <c r="N1472" i="3" s="1"/>
  <c r="M1473" i="3"/>
  <c r="N1473" i="3" s="1"/>
  <c r="M1476" i="3"/>
  <c r="N1476" i="3" s="1"/>
  <c r="M1477" i="3"/>
  <c r="N1477" i="3" s="1"/>
  <c r="M1478" i="3"/>
  <c r="N1478" i="3" s="1"/>
  <c r="M1480" i="3"/>
  <c r="N1480" i="3" s="1"/>
  <c r="M1481" i="3"/>
  <c r="N1481" i="3" s="1"/>
  <c r="M1483" i="3"/>
  <c r="N1483" i="3" s="1"/>
  <c r="M1486" i="3"/>
  <c r="N1486" i="3" s="1"/>
  <c r="M1487" i="3"/>
  <c r="N1487" i="3" s="1"/>
  <c r="M1488" i="3"/>
  <c r="N1488" i="3" s="1"/>
  <c r="M1490" i="3"/>
  <c r="N1490" i="3" s="1"/>
  <c r="M1491" i="3"/>
  <c r="N1491" i="3" s="1"/>
  <c r="M1492" i="3"/>
  <c r="N1492" i="3" s="1"/>
  <c r="M1493" i="3"/>
  <c r="N1493" i="3" s="1"/>
  <c r="M417" i="3"/>
  <c r="M1495" i="3"/>
  <c r="N1495" i="3" s="1"/>
  <c r="M1496" i="3"/>
  <c r="N1496" i="3" s="1"/>
  <c r="M1497" i="3"/>
  <c r="N1497" i="3" s="1"/>
  <c r="M1498" i="3"/>
  <c r="N1498" i="3" s="1"/>
  <c r="M1499" i="3"/>
  <c r="N1499" i="3" s="1"/>
  <c r="M1500" i="3"/>
  <c r="N1500" i="3" s="1"/>
  <c r="M1502" i="3"/>
  <c r="N1502" i="3" s="1"/>
  <c r="M1503" i="3"/>
  <c r="N1503" i="3" s="1"/>
  <c r="M1504" i="3"/>
  <c r="N1504" i="3" s="1"/>
  <c r="M1507" i="3"/>
  <c r="N1507" i="3" s="1"/>
  <c r="M1509" i="3"/>
  <c r="N1509" i="3" s="1"/>
  <c r="M1511" i="3"/>
  <c r="N1511" i="3" s="1"/>
  <c r="M1513" i="3"/>
  <c r="N1513" i="3" s="1"/>
  <c r="M1514" i="3"/>
  <c r="N1514" i="3" s="1"/>
  <c r="M1515" i="3"/>
  <c r="N1515" i="3" s="1"/>
  <c r="M1517" i="3"/>
  <c r="N1517" i="3" s="1"/>
  <c r="M242" i="3"/>
  <c r="M1519" i="3"/>
  <c r="N1519" i="3" s="1"/>
  <c r="M1521" i="3"/>
  <c r="N1521" i="3" s="1"/>
  <c r="M1522" i="3"/>
  <c r="N1522" i="3" s="1"/>
  <c r="M1525" i="3"/>
  <c r="N1525" i="3" s="1"/>
  <c r="M1527" i="3"/>
  <c r="N1527" i="3" s="1"/>
  <c r="M1528" i="3"/>
  <c r="N1528" i="3" s="1"/>
  <c r="M1529" i="3"/>
  <c r="N1529" i="3" s="1"/>
  <c r="M1532" i="3"/>
  <c r="N1532" i="3" s="1"/>
  <c r="M1535" i="3"/>
  <c r="N1535" i="3" s="1"/>
  <c r="M1536" i="3"/>
  <c r="N1536" i="3" s="1"/>
  <c r="M1539" i="3"/>
  <c r="N1539" i="3" s="1"/>
  <c r="M1542" i="3"/>
  <c r="N1542" i="3" s="1"/>
  <c r="M1543" i="3"/>
  <c r="N1543" i="3" s="1"/>
  <c r="M1545" i="3"/>
  <c r="N1545" i="3" s="1"/>
  <c r="M1546" i="3"/>
  <c r="N1546" i="3" s="1"/>
  <c r="M1552" i="3"/>
  <c r="N1552" i="3" s="1"/>
  <c r="M328" i="3"/>
  <c r="M1553" i="3"/>
  <c r="N1553" i="3" s="1"/>
  <c r="M1556" i="3"/>
  <c r="N1556" i="3" s="1"/>
  <c r="M1558" i="3"/>
  <c r="N1558" i="3" s="1"/>
  <c r="M1560" i="3"/>
  <c r="N1560" i="3" s="1"/>
  <c r="M1561" i="3"/>
  <c r="N1561" i="3" s="1"/>
  <c r="M1562" i="3"/>
  <c r="N1562" i="3" s="1"/>
  <c r="M1563" i="3"/>
  <c r="N1563" i="3" s="1"/>
  <c r="M1564" i="3"/>
  <c r="N1564" i="3" s="1"/>
  <c r="M1565" i="3"/>
  <c r="N1565" i="3" s="1"/>
  <c r="M1566" i="3"/>
  <c r="N1566" i="3" s="1"/>
  <c r="M1567" i="3"/>
  <c r="N1567" i="3" s="1"/>
  <c r="M1568" i="3"/>
  <c r="N1568" i="3" s="1"/>
  <c r="M1572" i="3"/>
  <c r="N1572" i="3" s="1"/>
  <c r="M1573" i="3"/>
  <c r="N1573" i="3" s="1"/>
  <c r="M1575" i="3"/>
  <c r="N1575" i="3" s="1"/>
  <c r="M1577" i="3"/>
  <c r="N1577" i="3" s="1"/>
  <c r="M1579" i="3"/>
  <c r="N1579" i="3" s="1"/>
  <c r="M1582" i="3"/>
  <c r="N1582" i="3" s="1"/>
  <c r="M1584" i="3"/>
  <c r="N1584" i="3" s="1"/>
  <c r="M1585" i="3"/>
  <c r="N1585" i="3" s="1"/>
  <c r="M1589" i="3"/>
  <c r="N1589" i="3" s="1"/>
  <c r="M1590" i="3"/>
  <c r="N1590" i="3" s="1"/>
  <c r="M1595" i="3"/>
  <c r="N1595" i="3" s="1"/>
  <c r="M1596" i="3"/>
  <c r="N1596" i="3" s="1"/>
  <c r="M1597" i="3"/>
  <c r="N1597" i="3" s="1"/>
  <c r="M1599" i="3"/>
  <c r="N1599" i="3" s="1"/>
  <c r="M1600" i="3"/>
  <c r="N1600" i="3" s="1"/>
  <c r="M1601" i="3"/>
  <c r="N1601" i="3" s="1"/>
  <c r="M1602" i="3"/>
  <c r="N1602" i="3" s="1"/>
  <c r="M1605" i="3"/>
  <c r="N1605" i="3" s="1"/>
  <c r="M1606" i="3"/>
  <c r="N1606" i="3" s="1"/>
  <c r="M1607" i="3"/>
  <c r="N1607" i="3" s="1"/>
  <c r="M1608" i="3"/>
  <c r="N1608" i="3" s="1"/>
  <c r="M1611" i="3"/>
  <c r="N1611" i="3" s="1"/>
  <c r="M1612" i="3"/>
  <c r="N1612" i="3" s="1"/>
  <c r="M1613" i="3"/>
  <c r="N1613" i="3" s="1"/>
  <c r="M1614" i="3"/>
  <c r="N1614" i="3" s="1"/>
  <c r="M1615" i="3"/>
  <c r="N1615" i="3" s="1"/>
  <c r="M1618" i="3"/>
  <c r="N1618" i="3" s="1"/>
  <c r="M1619" i="3"/>
  <c r="N1619" i="3" s="1"/>
  <c r="M1620" i="3"/>
  <c r="N1620" i="3" s="1"/>
  <c r="M1623" i="3"/>
  <c r="N1623" i="3" s="1"/>
  <c r="M1625" i="3"/>
  <c r="N1625" i="3" s="1"/>
  <c r="M1626" i="3"/>
  <c r="N1626" i="3" s="1"/>
  <c r="M1627" i="3"/>
  <c r="N1627" i="3" s="1"/>
  <c r="M1629" i="3"/>
  <c r="N1629" i="3" s="1"/>
  <c r="M415" i="3"/>
  <c r="M1632" i="3"/>
  <c r="N1632" i="3" s="1"/>
  <c r="M1634" i="3"/>
  <c r="N1634" i="3" s="1"/>
  <c r="M1635" i="3"/>
  <c r="N1635" i="3" s="1"/>
  <c r="M1636" i="3"/>
  <c r="N1636" i="3" s="1"/>
  <c r="M1639" i="3"/>
  <c r="N1639" i="3" s="1"/>
  <c r="M1640" i="3"/>
  <c r="N1640" i="3" s="1"/>
  <c r="M1641" i="3"/>
  <c r="N1641" i="3" s="1"/>
  <c r="M1643" i="3"/>
  <c r="N1643" i="3" s="1"/>
  <c r="M1644" i="3"/>
  <c r="N1644" i="3" s="1"/>
  <c r="M1646" i="3"/>
  <c r="N1646" i="3" s="1"/>
  <c r="M1647" i="3"/>
  <c r="N1647" i="3" s="1"/>
  <c r="M1648" i="3"/>
  <c r="N1648" i="3" s="1"/>
  <c r="M268" i="3"/>
  <c r="M1652" i="3"/>
  <c r="N1652" i="3" s="1"/>
  <c r="M1654" i="3"/>
  <c r="N1654" i="3" s="1"/>
  <c r="M1655" i="3"/>
  <c r="N1655" i="3" s="1"/>
  <c r="M1656" i="3"/>
  <c r="N1656" i="3" s="1"/>
  <c r="M1658" i="3"/>
  <c r="N1658" i="3" s="1"/>
  <c r="M1664" i="3"/>
  <c r="N1664" i="3" s="1"/>
  <c r="M1665" i="3"/>
  <c r="N1665" i="3" s="1"/>
  <c r="M1668" i="3"/>
  <c r="N1668" i="3" s="1"/>
  <c r="M1669" i="3"/>
  <c r="N1669" i="3" s="1"/>
  <c r="M1670" i="3"/>
  <c r="N1670" i="3" s="1"/>
  <c r="M1672" i="3"/>
  <c r="N1672" i="3" s="1"/>
  <c r="M1673" i="3"/>
  <c r="N1673" i="3" s="1"/>
  <c r="M1674" i="3"/>
  <c r="N1674" i="3" s="1"/>
  <c r="M1675" i="3"/>
  <c r="N1675" i="3" s="1"/>
  <c r="M1678" i="3"/>
  <c r="N1678" i="3" s="1"/>
  <c r="M1679" i="3"/>
  <c r="N1679" i="3" s="1"/>
  <c r="M1680" i="3"/>
  <c r="N1680" i="3" s="1"/>
  <c r="M1682" i="3"/>
  <c r="N1682" i="3" s="1"/>
  <c r="M1683" i="3"/>
  <c r="N1683" i="3" s="1"/>
  <c r="M1684" i="3"/>
  <c r="N1684" i="3" s="1"/>
  <c r="M265" i="3"/>
  <c r="M1686" i="3"/>
  <c r="N1686" i="3" s="1"/>
  <c r="M1688" i="3"/>
  <c r="N1688" i="3" s="1"/>
  <c r="M1690" i="3"/>
  <c r="N1690" i="3" s="1"/>
  <c r="M1691" i="3"/>
  <c r="N1691" i="3" s="1"/>
  <c r="M1692" i="3"/>
  <c r="N1692" i="3" s="1"/>
  <c r="M1695" i="3"/>
  <c r="N1695" i="3" s="1"/>
  <c r="M1696" i="3"/>
  <c r="N1696" i="3" s="1"/>
  <c r="M1697" i="3"/>
  <c r="N1697" i="3" s="1"/>
  <c r="M1698" i="3"/>
  <c r="N1698" i="3" s="1"/>
  <c r="M1699" i="3"/>
  <c r="N1699" i="3" s="1"/>
  <c r="M1700" i="3"/>
  <c r="N1700" i="3" s="1"/>
  <c r="M1701" i="3"/>
  <c r="N1701" i="3" s="1"/>
  <c r="M1702" i="3"/>
  <c r="N1702" i="3" s="1"/>
  <c r="M1703" i="3"/>
  <c r="N1703" i="3" s="1"/>
  <c r="M1704" i="3"/>
  <c r="N1704" i="3" s="1"/>
  <c r="M1707" i="3"/>
  <c r="N1707" i="3" s="1"/>
  <c r="M1708" i="3"/>
  <c r="N1708" i="3" s="1"/>
  <c r="M1709" i="3"/>
  <c r="N1709" i="3" s="1"/>
  <c r="M1711" i="3"/>
  <c r="N1711" i="3" s="1"/>
  <c r="M1713" i="3"/>
  <c r="N1713" i="3" s="1"/>
  <c r="M1715" i="3"/>
  <c r="N1715" i="3" s="1"/>
  <c r="M1716" i="3"/>
  <c r="N1716" i="3" s="1"/>
  <c r="M1717" i="3"/>
  <c r="N1717" i="3" s="1"/>
  <c r="M1718" i="3"/>
  <c r="N1718" i="3" s="1"/>
  <c r="M1719" i="3"/>
  <c r="N1719" i="3" s="1"/>
  <c r="M1721" i="3"/>
  <c r="N1721" i="3" s="1"/>
  <c r="M1725" i="3"/>
  <c r="N1725" i="3" s="1"/>
  <c r="M1726" i="3"/>
  <c r="N1726" i="3" s="1"/>
  <c r="M1728" i="3"/>
  <c r="N1728" i="3" s="1"/>
  <c r="M1729" i="3"/>
  <c r="N1729" i="3" s="1"/>
  <c r="M1730" i="3"/>
  <c r="N1730" i="3" s="1"/>
  <c r="M1731" i="3"/>
  <c r="N1731" i="3" s="1"/>
  <c r="M1732" i="3"/>
  <c r="N1732" i="3" s="1"/>
  <c r="M1733" i="3"/>
  <c r="N1733" i="3" s="1"/>
  <c r="M1734" i="3"/>
  <c r="N1734" i="3" s="1"/>
  <c r="M319" i="3"/>
  <c r="M1735" i="3"/>
  <c r="N1735" i="3" s="1"/>
  <c r="M1736" i="3"/>
  <c r="N1736" i="3" s="1"/>
  <c r="M1737" i="3"/>
  <c r="N1737" i="3" s="1"/>
  <c r="M320" i="3"/>
  <c r="M1739" i="3"/>
  <c r="N1739" i="3" s="1"/>
  <c r="M1740" i="3"/>
  <c r="N1740" i="3" s="1"/>
  <c r="M1741" i="3"/>
  <c r="N1741" i="3" s="1"/>
  <c r="M1743" i="3"/>
  <c r="N1743" i="3" s="1"/>
  <c r="M1744" i="3"/>
  <c r="N1744" i="3" s="1"/>
  <c r="M1745" i="3"/>
  <c r="N1745" i="3" s="1"/>
  <c r="M1747" i="3"/>
  <c r="N1747" i="3" s="1"/>
  <c r="M1748" i="3"/>
  <c r="N1748" i="3" s="1"/>
  <c r="M1749" i="3"/>
  <c r="N1749" i="3" s="1"/>
  <c r="M1750" i="3"/>
  <c r="N1750" i="3" s="1"/>
  <c r="M1751" i="3"/>
  <c r="N1751" i="3" s="1"/>
  <c r="M1752" i="3"/>
  <c r="N1752" i="3" s="1"/>
  <c r="M1753" i="3"/>
  <c r="N1753" i="3" s="1"/>
  <c r="M1754" i="3"/>
  <c r="N1754" i="3" s="1"/>
  <c r="M1755" i="3"/>
  <c r="N1755" i="3" s="1"/>
  <c r="M1757" i="3"/>
  <c r="N1757" i="3" s="1"/>
  <c r="M1758" i="3"/>
  <c r="N1758" i="3" s="1"/>
  <c r="M1759" i="3"/>
  <c r="N1759" i="3" s="1"/>
  <c r="M1760" i="3"/>
  <c r="N1760" i="3" s="1"/>
  <c r="M1761" i="3"/>
  <c r="N1761" i="3" s="1"/>
  <c r="M1762" i="3"/>
  <c r="N1762" i="3" s="1"/>
  <c r="M1764" i="3"/>
  <c r="N1764" i="3" s="1"/>
  <c r="M1766" i="3"/>
  <c r="N1766" i="3" s="1"/>
  <c r="M1769" i="3"/>
  <c r="N1769" i="3" s="1"/>
  <c r="M1773" i="3"/>
  <c r="N1773" i="3" s="1"/>
  <c r="M210" i="3"/>
  <c r="M1775" i="3"/>
  <c r="N1775" i="3" s="1"/>
  <c r="M1776" i="3"/>
  <c r="N1776" i="3" s="1"/>
  <c r="M1780" i="3"/>
  <c r="N1780" i="3" s="1"/>
  <c r="M1784" i="3"/>
  <c r="N1784" i="3" s="1"/>
  <c r="M1785" i="3"/>
  <c r="N1785" i="3" s="1"/>
  <c r="M1786" i="3"/>
  <c r="N1786" i="3" s="1"/>
  <c r="M1788" i="3"/>
  <c r="N1788" i="3" s="1"/>
  <c r="M1789" i="3"/>
  <c r="N1789" i="3" s="1"/>
  <c r="M1795" i="3"/>
  <c r="N1795" i="3" s="1"/>
  <c r="M364" i="3"/>
  <c r="M128" i="3"/>
  <c r="M1798" i="3"/>
  <c r="N1798" i="3" s="1"/>
  <c r="M1801" i="3"/>
  <c r="N1801" i="3" s="1"/>
  <c r="M1803" i="3"/>
  <c r="N1803" i="3" s="1"/>
  <c r="M1804" i="3"/>
  <c r="N1804" i="3" s="1"/>
  <c r="M1805" i="3"/>
  <c r="N1805" i="3" s="1"/>
  <c r="M1806" i="3"/>
  <c r="N1806" i="3" s="1"/>
  <c r="M1807" i="3"/>
  <c r="N1807" i="3" s="1"/>
  <c r="M355" i="3"/>
  <c r="M1808" i="3"/>
  <c r="N1808" i="3" s="1"/>
  <c r="M1810" i="3"/>
  <c r="N1810" i="3" s="1"/>
  <c r="M1811" i="3"/>
  <c r="N1811" i="3" s="1"/>
  <c r="M1812" i="3"/>
  <c r="N1812" i="3" s="1"/>
  <c r="M1814" i="3"/>
  <c r="N1814" i="3" s="1"/>
  <c r="M1820" i="3"/>
  <c r="N1820" i="3" s="1"/>
  <c r="M1822" i="3"/>
  <c r="N1822" i="3" s="1"/>
  <c r="M1823" i="3"/>
  <c r="N1823" i="3" s="1"/>
  <c r="M1826" i="3"/>
  <c r="N1826" i="3" s="1"/>
  <c r="M1827" i="3"/>
  <c r="N1827" i="3" s="1"/>
  <c r="M1828" i="3"/>
  <c r="N1828" i="3" s="1"/>
  <c r="M1829" i="3"/>
  <c r="N1829" i="3" s="1"/>
  <c r="M1831" i="3"/>
  <c r="N1831" i="3" s="1"/>
  <c r="M1833" i="3"/>
  <c r="N1833" i="3" s="1"/>
  <c r="M1834" i="3"/>
  <c r="N1834" i="3" s="1"/>
  <c r="M1836" i="3"/>
  <c r="N1836" i="3" s="1"/>
  <c r="M1837" i="3"/>
  <c r="N1837" i="3" s="1"/>
  <c r="M1838" i="3"/>
  <c r="N1838" i="3" s="1"/>
  <c r="M1839" i="3"/>
  <c r="N1839" i="3" s="1"/>
  <c r="M1840" i="3"/>
  <c r="N1840" i="3" s="1"/>
  <c r="M1841" i="3"/>
  <c r="N1841" i="3" s="1"/>
  <c r="M1842" i="3"/>
  <c r="N1842" i="3" s="1"/>
  <c r="M1843" i="3"/>
  <c r="N1843" i="3" s="1"/>
  <c r="M1844" i="3"/>
  <c r="N1844" i="3" s="1"/>
  <c r="M1845" i="3"/>
  <c r="N1845" i="3" s="1"/>
  <c r="M1847" i="3"/>
  <c r="N1847" i="3" s="1"/>
  <c r="M1851" i="3"/>
  <c r="N1851" i="3" s="1"/>
  <c r="M1852" i="3"/>
  <c r="N1852" i="3" s="1"/>
  <c r="M1853" i="3"/>
  <c r="N1853" i="3" s="1"/>
  <c r="M1855" i="3"/>
  <c r="N1855" i="3" s="1"/>
  <c r="M1856" i="3"/>
  <c r="N1856" i="3" s="1"/>
  <c r="M1857" i="3"/>
  <c r="N1857" i="3" s="1"/>
  <c r="M1858" i="3"/>
  <c r="N1858" i="3" s="1"/>
  <c r="M1859" i="3"/>
  <c r="N1859" i="3" s="1"/>
  <c r="M1861" i="3"/>
  <c r="N1861" i="3" s="1"/>
  <c r="M1863" i="3"/>
  <c r="N1863" i="3" s="1"/>
  <c r="M1865" i="3"/>
  <c r="N1865" i="3" s="1"/>
  <c r="M1869" i="3"/>
  <c r="N1869" i="3" s="1"/>
  <c r="M1870" i="3"/>
  <c r="N1870" i="3" s="1"/>
  <c r="M1873" i="3"/>
  <c r="N1873" i="3" s="1"/>
  <c r="M1874" i="3"/>
  <c r="N1874" i="3" s="1"/>
  <c r="M1875" i="3"/>
  <c r="N1875" i="3" s="1"/>
  <c r="M1876" i="3"/>
  <c r="N1876" i="3" s="1"/>
  <c r="M1877" i="3"/>
  <c r="N1877" i="3" s="1"/>
  <c r="M1878" i="3"/>
  <c r="N1878" i="3" s="1"/>
  <c r="M1879" i="3"/>
  <c r="N1879" i="3" s="1"/>
  <c r="M1880" i="3"/>
  <c r="N1880" i="3" s="1"/>
  <c r="M1882" i="3"/>
  <c r="N1882" i="3" s="1"/>
  <c r="M1884" i="3"/>
  <c r="N1884" i="3" s="1"/>
  <c r="M1886" i="3"/>
  <c r="N1886" i="3" s="1"/>
  <c r="M1889" i="3"/>
  <c r="N1889" i="3" s="1"/>
  <c r="M1890" i="3"/>
  <c r="N1890" i="3" s="1"/>
  <c r="M1893" i="3"/>
  <c r="N1893" i="3" s="1"/>
  <c r="M1896" i="3"/>
  <c r="N1896" i="3" s="1"/>
  <c r="M1897" i="3"/>
  <c r="N1897" i="3" s="1"/>
  <c r="M1899" i="3"/>
  <c r="N1899" i="3" s="1"/>
  <c r="M1901" i="3"/>
  <c r="N1901" i="3" s="1"/>
  <c r="M338" i="3"/>
  <c r="M1903" i="3"/>
  <c r="N1903" i="3" s="1"/>
  <c r="M1905" i="3"/>
  <c r="N1905" i="3" s="1"/>
  <c r="M1909" i="3"/>
  <c r="N1909" i="3" s="1"/>
  <c r="M118" i="3"/>
  <c r="M1911" i="3"/>
  <c r="N1911" i="3" s="1"/>
  <c r="M1914" i="3"/>
  <c r="N1914" i="3" s="1"/>
  <c r="M1917" i="3"/>
  <c r="N1917" i="3" s="1"/>
  <c r="M1918" i="3"/>
  <c r="N1918" i="3" s="1"/>
  <c r="M1919" i="3"/>
  <c r="N1919" i="3" s="1"/>
  <c r="M1923" i="3"/>
  <c r="N1923" i="3" s="1"/>
  <c r="M1926" i="3"/>
  <c r="N1926" i="3" s="1"/>
  <c r="M1928" i="3"/>
  <c r="N1928" i="3" s="1"/>
  <c r="M1929" i="3"/>
  <c r="N1929" i="3" s="1"/>
  <c r="M1931" i="3"/>
  <c r="N1931" i="3" s="1"/>
  <c r="M1932" i="3"/>
  <c r="N1932" i="3" s="1"/>
  <c r="M1933" i="3"/>
  <c r="N1933" i="3" s="1"/>
  <c r="M1934" i="3"/>
  <c r="N1934" i="3" s="1"/>
  <c r="M1935" i="3"/>
  <c r="N1935" i="3" s="1"/>
  <c r="M1938" i="3"/>
  <c r="N1938" i="3" s="1"/>
  <c r="M1939" i="3"/>
  <c r="N1939" i="3" s="1"/>
  <c r="M1940" i="3"/>
  <c r="N1940" i="3" s="1"/>
  <c r="M404" i="3"/>
  <c r="M1942" i="3"/>
  <c r="N1942" i="3" s="1"/>
  <c r="M1943" i="3"/>
  <c r="N1943" i="3" s="1"/>
  <c r="M1944" i="3"/>
  <c r="N1944" i="3" s="1"/>
  <c r="M1946" i="3"/>
  <c r="N1946" i="3" s="1"/>
  <c r="M1948" i="3"/>
  <c r="N1948" i="3" s="1"/>
  <c r="M1950" i="3"/>
  <c r="N1950" i="3" s="1"/>
  <c r="M1955" i="3"/>
  <c r="N1955" i="3" s="1"/>
  <c r="M1960" i="3"/>
  <c r="N1960" i="3" s="1"/>
  <c r="M1961" i="3"/>
  <c r="N1961" i="3" s="1"/>
  <c r="M1962" i="3"/>
  <c r="N1962" i="3" s="1"/>
  <c r="M1963" i="3"/>
  <c r="N1963" i="3" s="1"/>
  <c r="M1964" i="3"/>
  <c r="N1964" i="3" s="1"/>
  <c r="M1965" i="3"/>
  <c r="N1965" i="3" s="1"/>
  <c r="M1966" i="3"/>
  <c r="N1966" i="3" s="1"/>
  <c r="M1968" i="3"/>
  <c r="N1968" i="3" s="1"/>
  <c r="M1970" i="3"/>
  <c r="N1970" i="3" s="1"/>
  <c r="M1971" i="3"/>
  <c r="N1971" i="3" s="1"/>
  <c r="M414" i="3"/>
  <c r="M43" i="3"/>
  <c r="M1972" i="3"/>
  <c r="N1972" i="3" s="1"/>
  <c r="M1973" i="3"/>
  <c r="N1973" i="3" s="1"/>
  <c r="M1974" i="3"/>
  <c r="N1974" i="3" s="1"/>
  <c r="M1975" i="3"/>
  <c r="N1975" i="3" s="1"/>
  <c r="M1978" i="3"/>
  <c r="N1978" i="3" s="1"/>
  <c r="M1979" i="3"/>
  <c r="N1979" i="3" s="1"/>
  <c r="M1980" i="3"/>
  <c r="N1980" i="3" s="1"/>
  <c r="M1981" i="3"/>
  <c r="N1981" i="3" s="1"/>
  <c r="M1982" i="3"/>
  <c r="N1982" i="3" s="1"/>
  <c r="M1983" i="3"/>
  <c r="N1983" i="3" s="1"/>
  <c r="M1986" i="3"/>
  <c r="N1986" i="3" s="1"/>
  <c r="M1990" i="3"/>
  <c r="N1990" i="3" s="1"/>
  <c r="M1992" i="3"/>
  <c r="N1992" i="3" s="1"/>
  <c r="M1994" i="3"/>
  <c r="N1994" i="3" s="1"/>
  <c r="M1998" i="3"/>
  <c r="N1998" i="3" s="1"/>
  <c r="M2000" i="3"/>
  <c r="N2000" i="3" s="1"/>
  <c r="M2002" i="3"/>
  <c r="N2002" i="3" s="1"/>
  <c r="M413" i="3"/>
  <c r="M2004" i="3"/>
  <c r="N2004" i="3" s="1"/>
  <c r="M2005" i="3"/>
  <c r="N2005" i="3" s="1"/>
  <c r="M2006" i="3"/>
  <c r="N2006" i="3" s="1"/>
  <c r="M2007" i="3"/>
  <c r="N2007" i="3" s="1"/>
  <c r="M2009" i="3"/>
  <c r="N2009" i="3" s="1"/>
  <c r="M2010" i="3"/>
  <c r="N2010" i="3" s="1"/>
  <c r="M2011" i="3"/>
  <c r="N2011" i="3" s="1"/>
  <c r="M2012" i="3"/>
  <c r="N2012" i="3" s="1"/>
  <c r="M2013" i="3"/>
  <c r="N2013" i="3" s="1"/>
  <c r="M2014" i="3"/>
  <c r="N2014" i="3" s="1"/>
  <c r="M2015" i="3"/>
  <c r="N2015" i="3" s="1"/>
  <c r="M2016" i="3"/>
  <c r="N2016" i="3" s="1"/>
  <c r="M2019" i="3"/>
  <c r="N2019" i="3" s="1"/>
  <c r="M2020" i="3"/>
  <c r="N2020" i="3" s="1"/>
  <c r="M2023" i="3"/>
  <c r="N2023" i="3" s="1"/>
  <c r="M2026" i="3"/>
  <c r="N2026" i="3" s="1"/>
  <c r="M2027" i="3"/>
  <c r="N2027" i="3" s="1"/>
  <c r="M2028" i="3"/>
  <c r="N2028" i="3" s="1"/>
  <c r="M2029" i="3"/>
  <c r="N2029" i="3" s="1"/>
  <c r="M2030" i="3"/>
  <c r="N2030" i="3" s="1"/>
  <c r="M2031" i="3"/>
  <c r="N2031" i="3" s="1"/>
  <c r="M2032" i="3"/>
  <c r="N2032" i="3" s="1"/>
  <c r="M2033" i="3"/>
  <c r="N2033" i="3" s="1"/>
  <c r="M2034" i="3"/>
  <c r="N2034" i="3" s="1"/>
  <c r="M2035" i="3"/>
  <c r="N2035" i="3" s="1"/>
  <c r="M2036" i="3"/>
  <c r="N2036" i="3" s="1"/>
  <c r="M2038" i="3"/>
  <c r="N2038" i="3" s="1"/>
  <c r="M2039" i="3"/>
  <c r="N2039" i="3" s="1"/>
  <c r="M2041" i="3"/>
  <c r="N2041" i="3" s="1"/>
  <c r="M2042" i="3"/>
  <c r="N2042" i="3" s="1"/>
  <c r="M2043" i="3"/>
  <c r="N2043" i="3" s="1"/>
  <c r="M2046" i="3"/>
  <c r="N2046" i="3" s="1"/>
  <c r="M2050" i="3"/>
  <c r="N2050" i="3" s="1"/>
  <c r="M2052" i="3"/>
  <c r="N2052" i="3" s="1"/>
  <c r="M2055" i="3"/>
  <c r="N2055" i="3" s="1"/>
  <c r="M2059" i="3"/>
  <c r="N2059" i="3" s="1"/>
  <c r="M2060" i="3"/>
  <c r="N2060" i="3" s="1"/>
  <c r="M2064" i="3"/>
  <c r="N2064" i="3" s="1"/>
  <c r="M2066" i="3"/>
  <c r="N2066" i="3" s="1"/>
  <c r="M2067" i="3"/>
  <c r="N2067" i="3" s="1"/>
  <c r="M2068" i="3"/>
  <c r="N2068" i="3" s="1"/>
  <c r="M2069" i="3"/>
  <c r="N2069" i="3" s="1"/>
  <c r="M2070" i="3"/>
  <c r="N2070" i="3" s="1"/>
  <c r="M2072" i="3"/>
  <c r="N2072" i="3" s="1"/>
  <c r="M2073" i="3"/>
  <c r="N2073" i="3" s="1"/>
  <c r="M2074" i="3"/>
  <c r="N2074" i="3" s="1"/>
  <c r="M2075" i="3"/>
  <c r="N2075" i="3" s="1"/>
  <c r="M2076" i="3"/>
  <c r="N2076" i="3" s="1"/>
  <c r="M2077" i="3"/>
  <c r="N2077" i="3" s="1"/>
  <c r="M2078" i="3"/>
  <c r="N2078" i="3" s="1"/>
  <c r="M2079" i="3"/>
  <c r="N2079" i="3" s="1"/>
  <c r="M410" i="3"/>
  <c r="M2080" i="3"/>
  <c r="N2080" i="3" s="1"/>
  <c r="M2081" i="3"/>
  <c r="N2081" i="3" s="1"/>
  <c r="M2083" i="3"/>
  <c r="N2083" i="3" s="1"/>
  <c r="M2084" i="3"/>
  <c r="N2084" i="3" s="1"/>
  <c r="M2086" i="3"/>
  <c r="N2086" i="3" s="1"/>
  <c r="M2087" i="3"/>
  <c r="N2087" i="3" s="1"/>
  <c r="M2090" i="3"/>
  <c r="N2090" i="3" s="1"/>
  <c r="M2091" i="3"/>
  <c r="N2091" i="3" s="1"/>
  <c r="M2092" i="3"/>
  <c r="N2092" i="3" s="1"/>
  <c r="M2093" i="3"/>
  <c r="N2093" i="3" s="1"/>
  <c r="M2094" i="3"/>
  <c r="N2094" i="3" s="1"/>
  <c r="M2095" i="3"/>
  <c r="N2095" i="3" s="1"/>
  <c r="M2096" i="3"/>
  <c r="N2096" i="3" s="1"/>
  <c r="M2097" i="3"/>
  <c r="N2097" i="3" s="1"/>
  <c r="M2098" i="3"/>
  <c r="N2098" i="3" s="1"/>
  <c r="M2100" i="3"/>
  <c r="N2100" i="3" s="1"/>
  <c r="M409" i="3"/>
  <c r="M2103" i="3"/>
  <c r="N2103" i="3" s="1"/>
  <c r="M2104" i="3"/>
  <c r="N2104" i="3" s="1"/>
  <c r="M2105" i="3"/>
  <c r="N2105" i="3" s="1"/>
  <c r="M2107" i="3"/>
  <c r="N2107" i="3" s="1"/>
  <c r="M2108" i="3"/>
  <c r="N2108" i="3" s="1"/>
  <c r="M2109" i="3"/>
  <c r="N2109" i="3" s="1"/>
  <c r="M2110" i="3"/>
  <c r="N2110" i="3" s="1"/>
  <c r="M2111" i="3"/>
  <c r="N2111" i="3" s="1"/>
  <c r="M2112" i="3"/>
  <c r="N2112" i="3" s="1"/>
  <c r="M2113" i="3"/>
  <c r="N2113" i="3" s="1"/>
  <c r="M2117" i="3"/>
  <c r="N2117" i="3" s="1"/>
  <c r="M2118" i="3"/>
  <c r="N2118" i="3" s="1"/>
  <c r="M2120" i="3"/>
  <c r="N2120" i="3" s="1"/>
  <c r="M2121" i="3"/>
  <c r="N2121" i="3" s="1"/>
  <c r="M2122" i="3"/>
  <c r="N2122" i="3" s="1"/>
  <c r="M2123" i="3"/>
  <c r="N2123" i="3" s="1"/>
  <c r="M2125" i="3"/>
  <c r="N2125" i="3" s="1"/>
  <c r="M2127" i="3"/>
  <c r="N2127" i="3" s="1"/>
  <c r="M2129" i="3"/>
  <c r="N2129" i="3" s="1"/>
  <c r="M24" i="3"/>
  <c r="M2130" i="3"/>
  <c r="N2130" i="3" s="1"/>
  <c r="M2131" i="3"/>
  <c r="N2131" i="3" s="1"/>
  <c r="M2136" i="3"/>
  <c r="N2136" i="3" s="1"/>
  <c r="M2137" i="3"/>
  <c r="N2137" i="3" s="1"/>
  <c r="M2138" i="3"/>
  <c r="N2138" i="3" s="1"/>
  <c r="M2139" i="3"/>
  <c r="N2139" i="3" s="1"/>
  <c r="M2140" i="3"/>
  <c r="N2140" i="3" s="1"/>
  <c r="M2144" i="3"/>
  <c r="N2144" i="3" s="1"/>
  <c r="M2146" i="3"/>
  <c r="N2146" i="3" s="1"/>
  <c r="M2147" i="3"/>
  <c r="N2147" i="3" s="1"/>
  <c r="M2151" i="3"/>
  <c r="N2151" i="3" s="1"/>
  <c r="M2152" i="3"/>
  <c r="N2152" i="3" s="1"/>
  <c r="M2153" i="3"/>
  <c r="N2153" i="3" s="1"/>
  <c r="M2156" i="3"/>
  <c r="N2156" i="3" s="1"/>
  <c r="M2157" i="3"/>
  <c r="N2157" i="3" s="1"/>
  <c r="M2158" i="3"/>
  <c r="N2158" i="3" s="1"/>
  <c r="M2159" i="3"/>
  <c r="N2159" i="3" s="1"/>
  <c r="M2161" i="3"/>
  <c r="N2161" i="3" s="1"/>
  <c r="M2164" i="3"/>
  <c r="N2164" i="3" s="1"/>
  <c r="M2165" i="3"/>
  <c r="N2165" i="3" s="1"/>
  <c r="M2166" i="3"/>
  <c r="N2166" i="3" s="1"/>
  <c r="M2167" i="3"/>
  <c r="N2167" i="3" s="1"/>
  <c r="M2168" i="3"/>
  <c r="N2168" i="3" s="1"/>
  <c r="M2169" i="3"/>
  <c r="N2169" i="3" s="1"/>
  <c r="M2172" i="3"/>
  <c r="N2172" i="3" s="1"/>
  <c r="M2174" i="3"/>
  <c r="N2174" i="3" s="1"/>
  <c r="M2181" i="3"/>
  <c r="N2181" i="3" s="1"/>
  <c r="M2185" i="3"/>
  <c r="N2185" i="3" s="1"/>
  <c r="M2187" i="3"/>
  <c r="N2187" i="3" s="1"/>
  <c r="M2188" i="3"/>
  <c r="N2188" i="3" s="1"/>
  <c r="M2192" i="3"/>
  <c r="N2192" i="3" s="1"/>
  <c r="M2194" i="3"/>
  <c r="N2194" i="3" s="1"/>
  <c r="M2196" i="3"/>
  <c r="N2196" i="3" s="1"/>
  <c r="M2198" i="3"/>
  <c r="N2198" i="3" s="1"/>
  <c r="M2199" i="3"/>
  <c r="N2199" i="3" s="1"/>
  <c r="M2200" i="3"/>
  <c r="N2200" i="3" s="1"/>
  <c r="M2203" i="3"/>
  <c r="N2203" i="3" s="1"/>
  <c r="M2204" i="3"/>
  <c r="N2204" i="3" s="1"/>
  <c r="M2205" i="3"/>
  <c r="N2205" i="3" s="1"/>
  <c r="M2206" i="3"/>
  <c r="N2206" i="3" s="1"/>
  <c r="M2208" i="3"/>
  <c r="N2208" i="3" s="1"/>
  <c r="M2209" i="3"/>
  <c r="N2209" i="3" s="1"/>
  <c r="M2210" i="3"/>
  <c r="N2210" i="3" s="1"/>
  <c r="M2212" i="3"/>
  <c r="N2212" i="3" s="1"/>
  <c r="M2213" i="3"/>
  <c r="N2213" i="3" s="1"/>
  <c r="M2214" i="3"/>
  <c r="N2214" i="3" s="1"/>
  <c r="M2215" i="3"/>
  <c r="N2215" i="3" s="1"/>
  <c r="M2216" i="3"/>
  <c r="N2216" i="3" s="1"/>
  <c r="M2217" i="3"/>
  <c r="N2217" i="3" s="1"/>
  <c r="M2222" i="3"/>
  <c r="N2222" i="3" s="1"/>
  <c r="M2223" i="3"/>
  <c r="N2223" i="3" s="1"/>
  <c r="M2227" i="3"/>
  <c r="N2227" i="3" s="1"/>
  <c r="M2230" i="3"/>
  <c r="N2230" i="3" s="1"/>
  <c r="M2231" i="3"/>
  <c r="N2231" i="3" s="1"/>
  <c r="M2232" i="3"/>
  <c r="N2232" i="3" s="1"/>
  <c r="M2234" i="3"/>
  <c r="N2234" i="3" s="1"/>
  <c r="M91" i="3"/>
  <c r="M2240" i="3"/>
  <c r="N2240" i="3" s="1"/>
  <c r="M2243" i="3"/>
  <c r="N2243" i="3" s="1"/>
  <c r="M2244" i="3"/>
  <c r="N2244" i="3" s="1"/>
  <c r="M2246" i="3"/>
  <c r="N2246" i="3" s="1"/>
  <c r="M2249" i="3"/>
  <c r="N2249" i="3" s="1"/>
  <c r="M2250" i="3"/>
  <c r="N2250" i="3" s="1"/>
  <c r="M2251" i="3"/>
  <c r="N2251" i="3" s="1"/>
  <c r="M2255" i="3"/>
  <c r="N2255" i="3" s="1"/>
  <c r="M2256" i="3"/>
  <c r="N2256" i="3" s="1"/>
  <c r="M248" i="3"/>
  <c r="M2257" i="3"/>
  <c r="N2257" i="3" s="1"/>
  <c r="M177" i="3"/>
  <c r="M2258" i="3"/>
  <c r="N2258" i="3" s="1"/>
  <c r="M2259" i="3"/>
  <c r="N2259" i="3" s="1"/>
  <c r="M2261" i="3"/>
  <c r="N2261" i="3" s="1"/>
  <c r="M2262" i="3"/>
  <c r="N2262" i="3" s="1"/>
  <c r="M2265" i="3"/>
  <c r="N2265" i="3" s="1"/>
  <c r="M2266" i="3"/>
  <c r="N2266" i="3" s="1"/>
  <c r="M2267" i="3"/>
  <c r="N2267" i="3" s="1"/>
  <c r="M2269" i="3"/>
  <c r="N2269" i="3" s="1"/>
  <c r="M2270" i="3"/>
  <c r="N2270" i="3" s="1"/>
  <c r="M2271" i="3"/>
  <c r="N2271" i="3" s="1"/>
  <c r="M2273" i="3"/>
  <c r="N2273" i="3" s="1"/>
  <c r="M2274" i="3"/>
  <c r="N2274" i="3" s="1"/>
  <c r="M2280" i="3"/>
  <c r="N2280" i="3" s="1"/>
  <c r="M2281" i="3"/>
  <c r="N2281" i="3" s="1"/>
  <c r="M2283" i="3"/>
  <c r="N2283" i="3" s="1"/>
  <c r="M2284" i="3"/>
  <c r="N2284" i="3" s="1"/>
  <c r="M2286" i="3"/>
  <c r="N2286" i="3" s="1"/>
  <c r="M2287" i="3"/>
  <c r="N2287" i="3" s="1"/>
  <c r="M2288" i="3"/>
  <c r="N2288" i="3" s="1"/>
  <c r="M2289" i="3"/>
  <c r="N2289" i="3" s="1"/>
  <c r="M2290" i="3"/>
  <c r="N2290" i="3" s="1"/>
  <c r="M2291" i="3"/>
  <c r="N2291" i="3" s="1"/>
  <c r="M2293" i="3"/>
  <c r="N2293" i="3" s="1"/>
  <c r="M2294" i="3"/>
  <c r="N2294" i="3" s="1"/>
  <c r="M316" i="3"/>
  <c r="M2300" i="3"/>
  <c r="N2300" i="3" s="1"/>
  <c r="M2302" i="3"/>
  <c r="N2302" i="3" s="1"/>
  <c r="M2303" i="3"/>
  <c r="N2303" i="3" s="1"/>
  <c r="M2304" i="3"/>
  <c r="N2304" i="3" s="1"/>
  <c r="M2305" i="3"/>
  <c r="N2305" i="3" s="1"/>
  <c r="M2309" i="3"/>
  <c r="N2309" i="3" s="1"/>
  <c r="M2310" i="3"/>
  <c r="N2310" i="3" s="1"/>
  <c r="M2311" i="3"/>
  <c r="N2311" i="3" s="1"/>
  <c r="M2313" i="3"/>
  <c r="N2313" i="3" s="1"/>
  <c r="M2317" i="3"/>
  <c r="N2317" i="3" s="1"/>
  <c r="M2321" i="3"/>
  <c r="N2321" i="3" s="1"/>
  <c r="M2322" i="3"/>
  <c r="N2322" i="3" s="1"/>
  <c r="M321" i="3"/>
  <c r="M2325" i="3"/>
  <c r="N2325" i="3" s="1"/>
  <c r="M2329" i="3"/>
  <c r="N2329" i="3" s="1"/>
  <c r="M2330" i="3"/>
  <c r="N2330" i="3" s="1"/>
  <c r="M2331" i="3"/>
  <c r="N2331" i="3" s="1"/>
  <c r="M2334" i="3"/>
  <c r="N2334" i="3" s="1"/>
  <c r="M2337" i="3"/>
  <c r="N2337" i="3" s="1"/>
  <c r="M2342" i="3"/>
  <c r="N2342" i="3" s="1"/>
  <c r="M164" i="3"/>
  <c r="M2343" i="3"/>
  <c r="N2343" i="3" s="1"/>
  <c r="M2344" i="3"/>
  <c r="N2344" i="3" s="1"/>
  <c r="M2345" i="3"/>
  <c r="N2345" i="3" s="1"/>
  <c r="M368" i="3"/>
  <c r="M2347" i="3"/>
  <c r="N2347" i="3" s="1"/>
  <c r="M2348" i="3"/>
  <c r="N2348" i="3" s="1"/>
  <c r="M2349" i="3"/>
  <c r="N2349" i="3" s="1"/>
  <c r="M2352" i="3"/>
  <c r="N2352" i="3" s="1"/>
  <c r="M2353" i="3"/>
  <c r="N2353" i="3" s="1"/>
  <c r="M2357" i="3"/>
  <c r="N2357" i="3" s="1"/>
  <c r="M2358" i="3"/>
  <c r="N2358" i="3" s="1"/>
  <c r="M2359" i="3"/>
  <c r="N2359" i="3" s="1"/>
  <c r="M2360" i="3"/>
  <c r="N2360" i="3" s="1"/>
  <c r="M2361" i="3"/>
  <c r="N2361" i="3" s="1"/>
  <c r="M2362" i="3"/>
  <c r="N2362" i="3" s="1"/>
  <c r="M2363" i="3"/>
  <c r="N2363" i="3" s="1"/>
  <c r="M2364" i="3"/>
  <c r="N2364" i="3" s="1"/>
  <c r="M2365" i="3"/>
  <c r="N2365" i="3" s="1"/>
  <c r="M2366" i="3"/>
  <c r="N2366" i="3" s="1"/>
  <c r="M2367" i="3"/>
  <c r="N2367" i="3" s="1"/>
  <c r="M2370" i="3"/>
  <c r="N2370" i="3" s="1"/>
  <c r="M2372" i="3"/>
  <c r="N2372" i="3" s="1"/>
  <c r="M2374" i="3"/>
  <c r="N2374" i="3" s="1"/>
  <c r="M2380" i="3"/>
  <c r="N2380" i="3" s="1"/>
  <c r="M2381" i="3"/>
  <c r="N2381" i="3" s="1"/>
  <c r="M2382" i="3"/>
  <c r="N2382" i="3" s="1"/>
  <c r="M2384" i="3"/>
  <c r="N2384" i="3" s="1"/>
  <c r="M2386" i="3"/>
  <c r="N2386" i="3" s="1"/>
  <c r="M2388" i="3"/>
  <c r="N2388" i="3" s="1"/>
  <c r="M373" i="3"/>
  <c r="M2393" i="3"/>
  <c r="N2393" i="3" s="1"/>
  <c r="M2394" i="3"/>
  <c r="N2394" i="3" s="1"/>
  <c r="M2395" i="3"/>
  <c r="N2395" i="3" s="1"/>
  <c r="M2397" i="3"/>
  <c r="N2397" i="3" s="1"/>
  <c r="M2398" i="3"/>
  <c r="N2398" i="3" s="1"/>
  <c r="M2399" i="3"/>
  <c r="N2399" i="3" s="1"/>
  <c r="M2401" i="3"/>
  <c r="N2401" i="3" s="1"/>
  <c r="M2402" i="3"/>
  <c r="N2402" i="3" s="1"/>
  <c r="M2406" i="3"/>
  <c r="N2406" i="3" s="1"/>
  <c r="M2407" i="3"/>
  <c r="N2407" i="3" s="1"/>
  <c r="M2409" i="3"/>
  <c r="N2409" i="3" s="1"/>
  <c r="M2410" i="3"/>
  <c r="N2410" i="3" s="1"/>
  <c r="M2411" i="3"/>
  <c r="N2411" i="3" s="1"/>
  <c r="M2416" i="3"/>
  <c r="N2416" i="3" s="1"/>
  <c r="M2417" i="3"/>
  <c r="N2417" i="3" s="1"/>
  <c r="M2419" i="3"/>
  <c r="N2419" i="3" s="1"/>
  <c r="M252" i="3"/>
  <c r="M2420" i="3"/>
  <c r="N2420" i="3" s="1"/>
  <c r="M2421" i="3"/>
  <c r="N2421" i="3" s="1"/>
  <c r="M2422" i="3"/>
  <c r="N2422" i="3" s="1"/>
  <c r="M2423" i="3"/>
  <c r="N2423" i="3" s="1"/>
  <c r="M2426" i="3"/>
  <c r="N2426" i="3" s="1"/>
  <c r="M2427" i="3"/>
  <c r="N2427" i="3" s="1"/>
  <c r="M2428" i="3"/>
  <c r="N2428" i="3" s="1"/>
  <c r="M2434" i="3"/>
  <c r="N2434" i="3" s="1"/>
  <c r="M2436" i="3"/>
  <c r="N2436" i="3" s="1"/>
  <c r="M2438" i="3"/>
  <c r="N2438" i="3" s="1"/>
  <c r="M2439" i="3"/>
  <c r="N2439" i="3" s="1"/>
  <c r="M2440" i="3"/>
  <c r="N2440" i="3" s="1"/>
  <c r="M2442" i="3"/>
  <c r="N2442" i="3" s="1"/>
  <c r="M2446" i="3"/>
  <c r="N2446" i="3" s="1"/>
  <c r="M2447" i="3"/>
  <c r="N2447" i="3" s="1"/>
  <c r="M2448" i="3"/>
  <c r="N2448" i="3" s="1"/>
  <c r="M2450" i="3"/>
  <c r="N2450" i="3" s="1"/>
  <c r="M2453" i="3"/>
  <c r="N2453" i="3" s="1"/>
  <c r="M2455" i="3"/>
  <c r="N2455" i="3" s="1"/>
  <c r="M2456" i="3"/>
  <c r="N2456" i="3" s="1"/>
  <c r="M2459" i="3"/>
  <c r="N2459" i="3" s="1"/>
  <c r="M2465" i="3"/>
  <c r="N2465" i="3" s="1"/>
  <c r="M2467" i="3"/>
  <c r="N2467" i="3" s="1"/>
  <c r="M2468" i="3"/>
  <c r="N2468" i="3" s="1"/>
  <c r="M2469" i="3"/>
  <c r="N2469" i="3" s="1"/>
  <c r="M2471" i="3"/>
  <c r="N2471" i="3" s="1"/>
  <c r="M2472" i="3"/>
  <c r="N2472" i="3" s="1"/>
  <c r="M334" i="3"/>
  <c r="M2475" i="3"/>
  <c r="N2475" i="3" s="1"/>
  <c r="M2476" i="3"/>
  <c r="N2476" i="3" s="1"/>
  <c r="M2478" i="3"/>
  <c r="N2478" i="3" s="1"/>
  <c r="M2479" i="3"/>
  <c r="N2479" i="3" s="1"/>
  <c r="M2480" i="3"/>
  <c r="N2480" i="3" s="1"/>
  <c r="M2483" i="3"/>
  <c r="N2483" i="3" s="1"/>
  <c r="M2487" i="3"/>
  <c r="N2487" i="3" s="1"/>
  <c r="M2488" i="3"/>
  <c r="N2488" i="3" s="1"/>
  <c r="M2491" i="3"/>
  <c r="N2491" i="3" s="1"/>
  <c r="M2492" i="3"/>
  <c r="N2492" i="3" s="1"/>
  <c r="M2493" i="3"/>
  <c r="N2493" i="3" s="1"/>
  <c r="M2494" i="3"/>
  <c r="N2494" i="3" s="1"/>
  <c r="M2495" i="3"/>
  <c r="N2495" i="3" s="1"/>
  <c r="M2496" i="3"/>
  <c r="N2496" i="3" s="1"/>
  <c r="M2501" i="3"/>
  <c r="N2501" i="3" s="1"/>
  <c r="M2503" i="3"/>
  <c r="N2503" i="3" s="1"/>
  <c r="M2504" i="3"/>
  <c r="N2504" i="3" s="1"/>
  <c r="M2507" i="3"/>
  <c r="N2507" i="3" s="1"/>
  <c r="M2508" i="3"/>
  <c r="N2508" i="3" s="1"/>
  <c r="M2510" i="3"/>
  <c r="N2510" i="3" s="1"/>
  <c r="M2511" i="3"/>
  <c r="N2511" i="3" s="1"/>
  <c r="M2512" i="3"/>
  <c r="N2512" i="3" s="1"/>
  <c r="M2513" i="3"/>
  <c r="N2513" i="3" s="1"/>
  <c r="M2514" i="3"/>
  <c r="N2514" i="3" s="1"/>
  <c r="M2516" i="3"/>
  <c r="N2516" i="3" s="1"/>
  <c r="M2520" i="3"/>
  <c r="N2520" i="3" s="1"/>
  <c r="M2522" i="3"/>
  <c r="N2522" i="3" s="1"/>
  <c r="M2523" i="3"/>
  <c r="N2523" i="3" s="1"/>
  <c r="M2524" i="3"/>
  <c r="N2524" i="3" s="1"/>
  <c r="M132" i="3"/>
  <c r="M2525" i="3"/>
  <c r="N2525" i="3" s="1"/>
  <c r="M2526" i="3"/>
  <c r="N2526" i="3" s="1"/>
  <c r="M2527" i="3"/>
  <c r="N2527" i="3" s="1"/>
  <c r="M2528" i="3"/>
  <c r="N2528" i="3" s="1"/>
  <c r="M2529" i="3"/>
  <c r="N2529" i="3" s="1"/>
  <c r="M2530" i="3"/>
  <c r="N2530" i="3" s="1"/>
  <c r="M2533" i="3"/>
  <c r="N2533" i="3" s="1"/>
  <c r="M2535" i="3"/>
  <c r="N2535" i="3" s="1"/>
  <c r="M2536" i="3"/>
  <c r="N2536" i="3" s="1"/>
  <c r="M221" i="3"/>
  <c r="M2540" i="3"/>
  <c r="N2540" i="3" s="1"/>
  <c r="M412" i="3"/>
  <c r="M2542" i="3"/>
  <c r="N2542" i="3" s="1"/>
  <c r="M2543" i="3"/>
  <c r="N2543" i="3" s="1"/>
  <c r="M2544" i="3"/>
  <c r="N2544" i="3" s="1"/>
  <c r="M2545" i="3"/>
  <c r="N2545" i="3" s="1"/>
  <c r="M2546" i="3"/>
  <c r="N2546" i="3" s="1"/>
  <c r="M2547" i="3"/>
  <c r="N2547" i="3" s="1"/>
  <c r="M2548" i="3"/>
  <c r="N2548" i="3" s="1"/>
  <c r="M2549" i="3"/>
  <c r="N2549" i="3" s="1"/>
  <c r="M2551" i="3"/>
  <c r="N2551" i="3" s="1"/>
  <c r="M49" i="3"/>
  <c r="M2552" i="3"/>
  <c r="N2552" i="3" s="1"/>
  <c r="M2554" i="3"/>
  <c r="N2554" i="3" s="1"/>
  <c r="M2555" i="3"/>
  <c r="N2555" i="3" s="1"/>
  <c r="M2556" i="3"/>
  <c r="N2556" i="3" s="1"/>
  <c r="M2558" i="3"/>
  <c r="N2558" i="3" s="1"/>
  <c r="M2559" i="3"/>
  <c r="N2559" i="3" s="1"/>
  <c r="M2560" i="3"/>
  <c r="N2560" i="3" s="1"/>
  <c r="M2561" i="3"/>
  <c r="N2561" i="3" s="1"/>
  <c r="M2562" i="3"/>
  <c r="N2562" i="3" s="1"/>
  <c r="M2563" i="3"/>
  <c r="N2563" i="3" s="1"/>
  <c r="M2564" i="3"/>
  <c r="N2564" i="3" s="1"/>
  <c r="M2566" i="3"/>
  <c r="N2566" i="3" s="1"/>
  <c r="M2567" i="3"/>
  <c r="N2567" i="3" s="1"/>
  <c r="M2569" i="3"/>
  <c r="N2569" i="3" s="1"/>
  <c r="M2571" i="3"/>
  <c r="N2571" i="3" s="1"/>
  <c r="M2573" i="3"/>
  <c r="N2573" i="3" s="1"/>
  <c r="M2574" i="3"/>
  <c r="N2574" i="3" s="1"/>
  <c r="M2575" i="3"/>
  <c r="N2575" i="3" s="1"/>
  <c r="M2576" i="3"/>
  <c r="N2576" i="3" s="1"/>
  <c r="M2577" i="3"/>
  <c r="N2577" i="3" s="1"/>
  <c r="M2578" i="3"/>
  <c r="N2578" i="3" s="1"/>
  <c r="M2579" i="3"/>
  <c r="N2579" i="3" s="1"/>
  <c r="M2580" i="3"/>
  <c r="N2580" i="3" s="1"/>
  <c r="M2581" i="3"/>
  <c r="N2581" i="3" s="1"/>
  <c r="M2584" i="3"/>
  <c r="N2584" i="3" s="1"/>
  <c r="M2587" i="3"/>
  <c r="N2587" i="3" s="1"/>
  <c r="M2588" i="3"/>
  <c r="N2588" i="3" s="1"/>
  <c r="M2589" i="3"/>
  <c r="N2589" i="3" s="1"/>
  <c r="M2593" i="3"/>
  <c r="N2593" i="3" s="1"/>
  <c r="M2598" i="3"/>
  <c r="N2598" i="3" s="1"/>
  <c r="M13" i="3"/>
  <c r="M2602" i="3"/>
  <c r="N2602" i="3" s="1"/>
  <c r="M2603" i="3"/>
  <c r="N2603" i="3" s="1"/>
  <c r="M2604" i="3"/>
  <c r="N2604" i="3" s="1"/>
  <c r="M2605" i="3"/>
  <c r="N2605" i="3" s="1"/>
  <c r="M2606" i="3"/>
  <c r="N2606" i="3" s="1"/>
  <c r="M2607" i="3"/>
  <c r="N2607" i="3" s="1"/>
  <c r="M2613" i="3"/>
  <c r="N2613" i="3" s="1"/>
  <c r="M318" i="3"/>
  <c r="M2615" i="3"/>
  <c r="N2615" i="3" s="1"/>
  <c r="M2616" i="3"/>
  <c r="N2616" i="3" s="1"/>
  <c r="M63" i="3"/>
  <c r="M2617" i="3"/>
  <c r="N2617" i="3" s="1"/>
  <c r="M15" i="3"/>
  <c r="M2619" i="3"/>
  <c r="N2619" i="3" s="1"/>
  <c r="M2620" i="3"/>
  <c r="N2620" i="3" s="1"/>
  <c r="M2621" i="3"/>
  <c r="N2621" i="3" s="1"/>
  <c r="M2622" i="3"/>
  <c r="N2622" i="3" s="1"/>
  <c r="M2623" i="3"/>
  <c r="N2623" i="3" s="1"/>
  <c r="M366" i="3"/>
  <c r="M2625" i="3"/>
  <c r="N2625" i="3" s="1"/>
  <c r="M2626" i="3"/>
  <c r="N2626" i="3" s="1"/>
  <c r="M2627" i="3"/>
  <c r="N2627" i="3" s="1"/>
  <c r="M2629" i="3"/>
  <c r="N2629" i="3" s="1"/>
  <c r="M2630" i="3"/>
  <c r="N2630" i="3" s="1"/>
  <c r="M170" i="3"/>
  <c r="M176" i="3"/>
  <c r="M2631" i="3"/>
  <c r="N2631" i="3" s="1"/>
  <c r="M2632" i="3"/>
  <c r="N2632" i="3" s="1"/>
  <c r="M149" i="3"/>
  <c r="M2634" i="3"/>
  <c r="N2634" i="3" s="1"/>
  <c r="M160" i="3"/>
  <c r="M300" i="3"/>
  <c r="M383" i="3"/>
  <c r="M2635" i="3"/>
  <c r="N2635" i="3" s="1"/>
  <c r="M111" i="3"/>
  <c r="M2636" i="3"/>
  <c r="N2636" i="3" s="1"/>
  <c r="M356" i="3"/>
  <c r="M2637" i="3"/>
  <c r="N2637" i="3" s="1"/>
  <c r="M25" i="3"/>
  <c r="M2638" i="3"/>
  <c r="N2638" i="3" s="1"/>
  <c r="M2640" i="3"/>
  <c r="N2640" i="3" s="1"/>
  <c r="M390" i="3"/>
  <c r="M123" i="3"/>
  <c r="M254" i="3"/>
  <c r="M2641" i="3"/>
  <c r="N2641" i="3" s="1"/>
  <c r="M2642" i="3"/>
  <c r="N2642" i="3" s="1"/>
  <c r="M2644" i="3"/>
  <c r="N2644" i="3" s="1"/>
  <c r="M2645" i="3"/>
  <c r="N2645" i="3" s="1"/>
  <c r="M33" i="3"/>
  <c r="M2646" i="3"/>
  <c r="N2646" i="3" s="1"/>
  <c r="M2648" i="3"/>
  <c r="N2648" i="3" s="1"/>
  <c r="M2649" i="3"/>
  <c r="N2649" i="3" s="1"/>
  <c r="M281" i="3"/>
  <c r="M347" i="3"/>
  <c r="M2650" i="3"/>
  <c r="N2650" i="3" s="1"/>
  <c r="M2651" i="3"/>
  <c r="N2651" i="3" s="1"/>
  <c r="M2653" i="3"/>
  <c r="N2653" i="3" s="1"/>
  <c r="M2655" i="3"/>
  <c r="N2655" i="3" s="1"/>
  <c r="M193" i="3"/>
  <c r="M2658" i="3"/>
  <c r="N2658" i="3" s="1"/>
  <c r="M2660" i="3"/>
  <c r="N2660" i="3" s="1"/>
  <c r="M2661" i="3"/>
  <c r="N2661" i="3" s="1"/>
  <c r="M2662" i="3"/>
  <c r="N2662" i="3" s="1"/>
  <c r="M2663" i="3"/>
  <c r="N2663" i="3" s="1"/>
  <c r="M2665" i="3"/>
  <c r="N2665" i="3" s="1"/>
  <c r="M2666" i="3"/>
  <c r="N2666" i="3" s="1"/>
  <c r="M358" i="3"/>
  <c r="M249" i="3"/>
  <c r="M156" i="3"/>
  <c r="M2667" i="3"/>
  <c r="N2667" i="3" s="1"/>
  <c r="M271" i="3"/>
  <c r="M285" i="3"/>
  <c r="M2668" i="3"/>
  <c r="N2668" i="3" s="1"/>
  <c r="M266" i="3"/>
  <c r="M2670" i="3"/>
  <c r="N2670" i="3" s="1"/>
  <c r="M2671" i="3"/>
  <c r="N2671" i="3" s="1"/>
  <c r="M363" i="3"/>
  <c r="M2672" i="3"/>
  <c r="N2672" i="3" s="1"/>
  <c r="M133" i="3"/>
  <c r="M39" i="3"/>
  <c r="M213" i="3"/>
  <c r="M2673" i="3"/>
  <c r="N2673" i="3" s="1"/>
  <c r="M232" i="3"/>
  <c r="M198" i="3"/>
  <c r="M269" i="3"/>
  <c r="M2674" i="3"/>
  <c r="N2674" i="3" s="1"/>
  <c r="M34" i="3"/>
  <c r="M64" i="3"/>
  <c r="M2675" i="3"/>
  <c r="N2675" i="3" s="1"/>
  <c r="M138" i="3"/>
  <c r="M146" i="3"/>
  <c r="M157" i="3"/>
  <c r="M104" i="3"/>
  <c r="M202" i="3"/>
  <c r="M182" i="3"/>
  <c r="M2676" i="3"/>
  <c r="N2676" i="3" s="1"/>
  <c r="M2677" i="3"/>
  <c r="N2677" i="3" s="1"/>
  <c r="M140" i="3"/>
  <c r="M2678" i="3"/>
  <c r="N2678" i="3" s="1"/>
  <c r="M2680" i="3"/>
  <c r="N2680" i="3" s="1"/>
  <c r="M287" i="3"/>
  <c r="M208" i="3"/>
  <c r="M2681" i="3"/>
  <c r="N2681" i="3" s="1"/>
  <c r="M2682" i="3"/>
  <c r="N2682" i="3" s="1"/>
  <c r="M324" i="3"/>
  <c r="M83" i="3"/>
  <c r="M17" i="3"/>
  <c r="M282" i="3"/>
  <c r="M8" i="3"/>
  <c r="M78" i="3"/>
  <c r="M195" i="3"/>
  <c r="M2683" i="3"/>
  <c r="N2683" i="3" s="1"/>
  <c r="M297" i="3"/>
  <c r="M295" i="3"/>
  <c r="M304" i="3"/>
  <c r="M162" i="3"/>
  <c r="M144" i="3"/>
  <c r="M2684" i="3"/>
  <c r="N2684" i="3" s="1"/>
  <c r="M2685" i="3"/>
  <c r="N2685" i="3" s="1"/>
  <c r="M82" i="3"/>
  <c r="M61" i="3"/>
  <c r="M219" i="3"/>
  <c r="M32" i="3"/>
  <c r="M374" i="3"/>
  <c r="M65" i="3"/>
  <c r="M399" i="3"/>
  <c r="M222" i="3"/>
  <c r="M2686" i="3"/>
  <c r="N2686" i="3" s="1"/>
  <c r="M239" i="3"/>
  <c r="M155" i="3"/>
  <c r="M28" i="3"/>
  <c r="M2687" i="3"/>
  <c r="N2687" i="3" s="1"/>
  <c r="M84" i="3"/>
  <c r="M2688" i="3"/>
  <c r="N2688" i="3" s="1"/>
  <c r="M274" i="3"/>
  <c r="M158" i="3"/>
  <c r="M169" i="3"/>
  <c r="M188" i="3"/>
  <c r="M46" i="3"/>
  <c r="M257" i="3"/>
  <c r="M305" i="3"/>
  <c r="M90" i="3"/>
  <c r="M2689" i="3"/>
  <c r="N2689" i="3" s="1"/>
  <c r="M48" i="3"/>
  <c r="M375" i="3"/>
  <c r="M251" i="3"/>
  <c r="M325" i="3"/>
  <c r="M70" i="3"/>
  <c r="M350" i="3"/>
  <c r="M267" i="3"/>
  <c r="M10" i="3"/>
  <c r="M131" i="3"/>
  <c r="M67" i="3"/>
  <c r="M51" i="3"/>
  <c r="M280" i="3"/>
  <c r="M197" i="3"/>
  <c r="M41" i="3"/>
  <c r="M66" i="3"/>
  <c r="M185" i="3"/>
  <c r="M196" i="3"/>
  <c r="M135" i="3"/>
  <c r="M129" i="3"/>
  <c r="M22" i="3"/>
  <c r="M225" i="3"/>
  <c r="M379" i="3"/>
  <c r="M344" i="3"/>
  <c r="M36" i="3"/>
  <c r="M81" i="3"/>
  <c r="M5" i="3"/>
  <c r="M73" i="3"/>
  <c r="M143" i="3"/>
  <c r="M241" i="3"/>
  <c r="M346" i="3"/>
  <c r="M7" i="3"/>
  <c r="M286" i="3"/>
  <c r="M313" i="3"/>
  <c r="M173" i="3"/>
  <c r="M116" i="3"/>
  <c r="M44" i="3"/>
  <c r="M9" i="3"/>
  <c r="M199" i="3"/>
  <c r="M329" i="3"/>
  <c r="M99" i="3"/>
  <c r="M171" i="3"/>
  <c r="M159" i="3"/>
  <c r="M56" i="3"/>
  <c r="M256" i="3"/>
  <c r="M357" i="3"/>
  <c r="M262" i="3"/>
  <c r="M167" i="3"/>
  <c r="M60" i="3"/>
  <c r="M98" i="3"/>
  <c r="M14" i="3"/>
  <c r="M340" i="3"/>
  <c r="M103" i="3"/>
  <c r="M215" i="3"/>
  <c r="M179" i="3"/>
  <c r="M147" i="3"/>
  <c r="M105" i="3"/>
  <c r="M192" i="3"/>
  <c r="M107" i="3"/>
  <c r="M106" i="3"/>
  <c r="M31" i="3"/>
  <c r="M3" i="3"/>
  <c r="M154" i="3"/>
  <c r="M233" i="3"/>
  <c r="M35" i="3"/>
  <c r="M234" i="3"/>
  <c r="M231" i="3"/>
  <c r="M275" i="3"/>
  <c r="M27" i="3"/>
  <c r="M312" i="3"/>
  <c r="M53" i="3"/>
  <c r="M75" i="3"/>
  <c r="M291" i="3"/>
  <c r="M353" i="3"/>
  <c r="M113" i="3"/>
  <c r="M204" i="3"/>
  <c r="M315" i="3"/>
  <c r="M277" i="3"/>
  <c r="M261" i="3"/>
  <c r="M332" i="3"/>
  <c r="M299" i="3"/>
  <c r="M37" i="3"/>
  <c r="M365" i="3"/>
  <c r="M165" i="3"/>
  <c r="M258" i="3"/>
  <c r="M163" i="3"/>
  <c r="M71" i="3"/>
  <c r="M343" i="3"/>
  <c r="M342" i="3"/>
  <c r="M89" i="3"/>
  <c r="M244" i="3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C2" i="8"/>
  <c r="M422" i="3" s="1"/>
  <c r="N422" i="3" s="1"/>
  <c r="B2" i="8"/>
  <c r="D2" i="8"/>
  <c r="I6" i="11" l="1"/>
  <c r="I3" i="11"/>
  <c r="I4" i="11"/>
  <c r="I5" i="11"/>
  <c r="I7" i="11"/>
  <c r="F5" i="11"/>
  <c r="H5" i="11" s="1"/>
  <c r="F6" i="11"/>
  <c r="H6" i="11" s="1"/>
  <c r="F4" i="11"/>
  <c r="H4" i="11" s="1"/>
  <c r="F3" i="11"/>
  <c r="H3" i="11" s="1"/>
  <c r="F7" i="11"/>
  <c r="H7" i="11" s="1"/>
  <c r="P420" i="3"/>
  <c r="R420" i="3"/>
  <c r="P419" i="3"/>
  <c r="R419" i="3"/>
  <c r="M428" i="3"/>
  <c r="N428" i="3" s="1"/>
  <c r="M439" i="3"/>
  <c r="N439" i="3" s="1"/>
  <c r="M467" i="3"/>
  <c r="N467" i="3" s="1"/>
  <c r="M502" i="3"/>
  <c r="N502" i="3" s="1"/>
  <c r="M513" i="3"/>
  <c r="N513" i="3" s="1"/>
  <c r="M526" i="3"/>
  <c r="N526" i="3" s="1"/>
  <c r="M561" i="3"/>
  <c r="N561" i="3" s="1"/>
  <c r="M351" i="3"/>
  <c r="M600" i="3"/>
  <c r="N600" i="3" s="1"/>
  <c r="M636" i="3"/>
  <c r="N636" i="3" s="1"/>
  <c r="M646" i="3"/>
  <c r="N646" i="3" s="1"/>
  <c r="M658" i="3"/>
  <c r="N658" i="3" s="1"/>
  <c r="M667" i="3"/>
  <c r="N667" i="3" s="1"/>
  <c r="M681" i="3"/>
  <c r="N681" i="3" s="1"/>
  <c r="M692" i="3"/>
  <c r="N692" i="3" s="1"/>
  <c r="M705" i="3"/>
  <c r="N705" i="3" s="1"/>
  <c r="M720" i="3"/>
  <c r="N720" i="3" s="1"/>
  <c r="M735" i="3"/>
  <c r="N735" i="3" s="1"/>
  <c r="M738" i="3"/>
  <c r="N738" i="3" s="1"/>
  <c r="M741" i="3"/>
  <c r="N741" i="3" s="1"/>
  <c r="M750" i="3"/>
  <c r="N750" i="3" s="1"/>
  <c r="M757" i="3"/>
  <c r="N757" i="3" s="1"/>
  <c r="M778" i="3"/>
  <c r="N778" i="3" s="1"/>
  <c r="M789" i="3"/>
  <c r="N789" i="3" s="1"/>
  <c r="M802" i="3"/>
  <c r="N802" i="3" s="1"/>
  <c r="M814" i="3"/>
  <c r="N814" i="3" s="1"/>
  <c r="M816" i="3"/>
  <c r="N816" i="3" s="1"/>
  <c r="M821" i="3"/>
  <c r="N821" i="3" s="1"/>
  <c r="M833" i="3"/>
  <c r="N833" i="3" s="1"/>
  <c r="M855" i="3"/>
  <c r="N855" i="3" s="1"/>
  <c r="M411" i="3"/>
  <c r="M882" i="3"/>
  <c r="N882" i="3" s="1"/>
  <c r="M886" i="3"/>
  <c r="N886" i="3" s="1"/>
  <c r="M917" i="3"/>
  <c r="N917" i="3" s="1"/>
  <c r="M923" i="3"/>
  <c r="N923" i="3" s="1"/>
  <c r="M935" i="3"/>
  <c r="N935" i="3" s="1"/>
  <c r="M392" i="3"/>
  <c r="M942" i="3"/>
  <c r="N942" i="3" s="1"/>
  <c r="M945" i="3"/>
  <c r="N945" i="3" s="1"/>
  <c r="M958" i="3"/>
  <c r="N958" i="3" s="1"/>
  <c r="M993" i="3"/>
  <c r="N993" i="3" s="1"/>
  <c r="M1005" i="3"/>
  <c r="N1005" i="3" s="1"/>
  <c r="M1075" i="3"/>
  <c r="N1075" i="3" s="1"/>
  <c r="M1098" i="3"/>
  <c r="N1098" i="3" s="1"/>
  <c r="M1101" i="3"/>
  <c r="N1101" i="3" s="1"/>
  <c r="M1105" i="3"/>
  <c r="N1105" i="3" s="1"/>
  <c r="M1118" i="3"/>
  <c r="N1118" i="3" s="1"/>
  <c r="M1120" i="3"/>
  <c r="N1120" i="3" s="1"/>
  <c r="M1124" i="3"/>
  <c r="N1124" i="3" s="1"/>
  <c r="M42" i="3"/>
  <c r="M1148" i="3"/>
  <c r="N1148" i="3" s="1"/>
  <c r="M1164" i="3"/>
  <c r="N1164" i="3" s="1"/>
  <c r="M1168" i="3"/>
  <c r="N1168" i="3" s="1"/>
  <c r="M1174" i="3"/>
  <c r="N1174" i="3" s="1"/>
  <c r="M93" i="3"/>
  <c r="M1261" i="3"/>
  <c r="N1261" i="3" s="1"/>
  <c r="M1267" i="3"/>
  <c r="N1267" i="3" s="1"/>
  <c r="M1277" i="3"/>
  <c r="N1277" i="3" s="1"/>
  <c r="M1281" i="3"/>
  <c r="N1281" i="3" s="1"/>
  <c r="M1290" i="3"/>
  <c r="N1290" i="3" s="1"/>
  <c r="M1299" i="3"/>
  <c r="N1299" i="3" s="1"/>
  <c r="M1313" i="3"/>
  <c r="N1313" i="3" s="1"/>
  <c r="M1330" i="3"/>
  <c r="N1330" i="3" s="1"/>
  <c r="M1335" i="3"/>
  <c r="N1335" i="3" s="1"/>
  <c r="M1362" i="3"/>
  <c r="N1362" i="3" s="1"/>
  <c r="M1370" i="3"/>
  <c r="N1370" i="3" s="1"/>
  <c r="M1376" i="3"/>
  <c r="N1376" i="3" s="1"/>
  <c r="M1383" i="3"/>
  <c r="N1383" i="3" s="1"/>
  <c r="M1391" i="3"/>
  <c r="N1391" i="3" s="1"/>
  <c r="M1399" i="3"/>
  <c r="N1399" i="3" s="1"/>
  <c r="M1409" i="3"/>
  <c r="N1409" i="3" s="1"/>
  <c r="M276" i="3"/>
  <c r="M1429" i="3"/>
  <c r="N1429" i="3" s="1"/>
  <c r="M1444" i="3"/>
  <c r="N1444" i="3" s="1"/>
  <c r="M1449" i="3"/>
  <c r="N1449" i="3" s="1"/>
  <c r="M1474" i="3"/>
  <c r="N1474" i="3" s="1"/>
  <c r="M1479" i="3"/>
  <c r="N1479" i="3" s="1"/>
  <c r="M1516" i="3"/>
  <c r="N1516" i="3" s="1"/>
  <c r="M1518" i="3"/>
  <c r="N1518" i="3" s="1"/>
  <c r="M1523" i="3"/>
  <c r="N1523" i="3" s="1"/>
  <c r="M1540" i="3"/>
  <c r="N1540" i="3" s="1"/>
  <c r="M1541" i="3"/>
  <c r="N1541" i="3" s="1"/>
  <c r="M1544" i="3"/>
  <c r="N1544" i="3" s="1"/>
  <c r="M1569" i="3"/>
  <c r="N1569" i="3" s="1"/>
  <c r="M1598" i="3"/>
  <c r="N1598" i="3" s="1"/>
  <c r="M1633" i="3"/>
  <c r="N1633" i="3" s="1"/>
  <c r="M72" i="3"/>
  <c r="M1649" i="3"/>
  <c r="N1649" i="3" s="1"/>
  <c r="M1650" i="3"/>
  <c r="N1650" i="3" s="1"/>
  <c r="M1660" i="3"/>
  <c r="N1660" i="3" s="1"/>
  <c r="M1666" i="3"/>
  <c r="N1666" i="3" s="1"/>
  <c r="M1676" i="3"/>
  <c r="N1676" i="3" s="1"/>
  <c r="M1677" i="3"/>
  <c r="N1677" i="3" s="1"/>
  <c r="M1685" i="3"/>
  <c r="N1685" i="3" s="1"/>
  <c r="M1687" i="3"/>
  <c r="N1687" i="3" s="1"/>
  <c r="M360" i="3"/>
  <c r="M1722" i="3"/>
  <c r="N1722" i="3" s="1"/>
  <c r="M1727" i="3"/>
  <c r="N1727" i="3" s="1"/>
  <c r="M416" i="3"/>
  <c r="M1738" i="3"/>
  <c r="N1738" i="3" s="1"/>
  <c r="M1746" i="3"/>
  <c r="N1746" i="3" s="1"/>
  <c r="M1756" i="3"/>
  <c r="N1756" i="3" s="1"/>
  <c r="M1777" i="3"/>
  <c r="N1777" i="3" s="1"/>
  <c r="M1815" i="3"/>
  <c r="N1815" i="3" s="1"/>
  <c r="M1835" i="3"/>
  <c r="N1835" i="3" s="1"/>
  <c r="M1860" i="3"/>
  <c r="N1860" i="3" s="1"/>
  <c r="M1864" i="3"/>
  <c r="N1864" i="3" s="1"/>
  <c r="M361" i="3"/>
  <c r="M407" i="3"/>
  <c r="M1924" i="3"/>
  <c r="N1924" i="3" s="1"/>
  <c r="M1927" i="3"/>
  <c r="N1927" i="3" s="1"/>
  <c r="M1936" i="3"/>
  <c r="N1936" i="3" s="1"/>
  <c r="M1947" i="3"/>
  <c r="N1947" i="3" s="1"/>
  <c r="M1967" i="3"/>
  <c r="N1967" i="3" s="1"/>
  <c r="M1985" i="3"/>
  <c r="N1985" i="3" s="1"/>
  <c r="M2003" i="3"/>
  <c r="N2003" i="3" s="1"/>
  <c r="M2018" i="3"/>
  <c r="N2018" i="3" s="1"/>
  <c r="M2022" i="3"/>
  <c r="N2022" i="3" s="1"/>
  <c r="M2045" i="3"/>
  <c r="N2045" i="3" s="1"/>
  <c r="M76" i="3"/>
  <c r="M2116" i="3"/>
  <c r="N2116" i="3" s="1"/>
  <c r="M2124" i="3"/>
  <c r="N2124" i="3" s="1"/>
  <c r="M2132" i="3"/>
  <c r="N2132" i="3" s="1"/>
  <c r="M2142" i="3"/>
  <c r="N2142" i="3" s="1"/>
  <c r="M2171" i="3"/>
  <c r="N2171" i="3" s="1"/>
  <c r="M2175" i="3"/>
  <c r="N2175" i="3" s="1"/>
  <c r="M2182" i="3"/>
  <c r="N2182" i="3" s="1"/>
  <c r="M2202" i="3"/>
  <c r="N2202" i="3" s="1"/>
  <c r="M2207" i="3"/>
  <c r="N2207" i="3" s="1"/>
  <c r="M2237" i="3"/>
  <c r="N2237" i="3" s="1"/>
  <c r="M2239" i="3"/>
  <c r="N2239" i="3" s="1"/>
  <c r="M2292" i="3"/>
  <c r="N2292" i="3" s="1"/>
  <c r="M2299" i="3"/>
  <c r="N2299" i="3" s="1"/>
  <c r="M2308" i="3"/>
  <c r="N2308" i="3" s="1"/>
  <c r="M2312" i="3"/>
  <c r="N2312" i="3" s="1"/>
  <c r="M2346" i="3"/>
  <c r="N2346" i="3" s="1"/>
  <c r="M2351" i="3"/>
  <c r="N2351" i="3" s="1"/>
  <c r="M2369" i="3"/>
  <c r="N2369" i="3" s="1"/>
  <c r="M2371" i="3"/>
  <c r="N2371" i="3" s="1"/>
  <c r="M2377" i="3"/>
  <c r="N2377" i="3" s="1"/>
  <c r="M2396" i="3"/>
  <c r="N2396" i="3" s="1"/>
  <c r="M2429" i="3"/>
  <c r="N2429" i="3" s="1"/>
  <c r="M190" i="3"/>
  <c r="M2432" i="3"/>
  <c r="N2432" i="3" s="1"/>
  <c r="M2445" i="3"/>
  <c r="N2445" i="3" s="1"/>
  <c r="M2466" i="3"/>
  <c r="N2466" i="3" s="1"/>
  <c r="M2482" i="3"/>
  <c r="N2482" i="3" s="1"/>
  <c r="M2484" i="3"/>
  <c r="N2484" i="3" s="1"/>
  <c r="M2502" i="3"/>
  <c r="N2502" i="3" s="1"/>
  <c r="M2506" i="3"/>
  <c r="N2506" i="3" s="1"/>
  <c r="M2509" i="3"/>
  <c r="N2509" i="3" s="1"/>
  <c r="M2532" i="3"/>
  <c r="N2532" i="3" s="1"/>
  <c r="M2534" i="3"/>
  <c r="N2534" i="3" s="1"/>
  <c r="M391" i="3"/>
  <c r="M153" i="3"/>
  <c r="M2553" i="3"/>
  <c r="N2553" i="3" s="1"/>
  <c r="M2583" i="3"/>
  <c r="N2583" i="3" s="1"/>
  <c r="M2591" i="3"/>
  <c r="N2591" i="3" s="1"/>
  <c r="M2597" i="3"/>
  <c r="N2597" i="3" s="1"/>
  <c r="M2601" i="3"/>
  <c r="N2601" i="3" s="1"/>
  <c r="M21" i="3"/>
  <c r="M121" i="3"/>
  <c r="M278" i="3"/>
  <c r="M283" i="3"/>
  <c r="M74" i="3"/>
  <c r="M218" i="3"/>
  <c r="M141" i="3"/>
  <c r="M339" i="3"/>
  <c r="M92" i="3"/>
  <c r="M180" i="3"/>
  <c r="M172" i="3"/>
  <c r="M217" i="3"/>
  <c r="M183" i="3"/>
  <c r="M349" i="3"/>
  <c r="M150" i="3"/>
  <c r="M2" i="3"/>
  <c r="M124" i="3"/>
  <c r="M54" i="3"/>
  <c r="M341" i="3"/>
  <c r="M80" i="3"/>
  <c r="M114" i="3"/>
  <c r="M427" i="3"/>
  <c r="N427" i="3" s="1"/>
  <c r="M441" i="3"/>
  <c r="N441" i="3" s="1"/>
  <c r="M459" i="3"/>
  <c r="N459" i="3" s="1"/>
  <c r="M463" i="3"/>
  <c r="N463" i="3" s="1"/>
  <c r="M482" i="3"/>
  <c r="N482" i="3" s="1"/>
  <c r="M508" i="3"/>
  <c r="N508" i="3" s="1"/>
  <c r="M237" i="3"/>
  <c r="M548" i="3"/>
  <c r="N548" i="3" s="1"/>
  <c r="M556" i="3"/>
  <c r="N556" i="3" s="1"/>
  <c r="M564" i="3"/>
  <c r="N564" i="3" s="1"/>
  <c r="M580" i="3"/>
  <c r="N580" i="3" s="1"/>
  <c r="M586" i="3"/>
  <c r="N586" i="3" s="1"/>
  <c r="M614" i="3"/>
  <c r="N614" i="3" s="1"/>
  <c r="M638" i="3"/>
  <c r="N638" i="3" s="1"/>
  <c r="M639" i="3"/>
  <c r="N639" i="3" s="1"/>
  <c r="M670" i="3"/>
  <c r="N670" i="3" s="1"/>
  <c r="M671" i="3"/>
  <c r="N671" i="3" s="1"/>
  <c r="M677" i="3"/>
  <c r="N677" i="3" s="1"/>
  <c r="M687" i="3"/>
  <c r="N687" i="3" s="1"/>
  <c r="M691" i="3"/>
  <c r="N691" i="3" s="1"/>
  <c r="M243" i="3"/>
  <c r="M734" i="3"/>
  <c r="N734" i="3" s="1"/>
  <c r="M739" i="3"/>
  <c r="N739" i="3" s="1"/>
  <c r="M752" i="3"/>
  <c r="N752" i="3" s="1"/>
  <c r="M753" i="3"/>
  <c r="N753" i="3" s="1"/>
  <c r="M756" i="3"/>
  <c r="N756" i="3" s="1"/>
  <c r="M759" i="3"/>
  <c r="N759" i="3" s="1"/>
  <c r="M768" i="3"/>
  <c r="N768" i="3" s="1"/>
  <c r="M395" i="3"/>
  <c r="M791" i="3"/>
  <c r="N791" i="3" s="1"/>
  <c r="M792" i="3"/>
  <c r="N792" i="3" s="1"/>
  <c r="M801" i="3"/>
  <c r="N801" i="3" s="1"/>
  <c r="M815" i="3"/>
  <c r="N815" i="3" s="1"/>
  <c r="M820" i="3"/>
  <c r="N820" i="3" s="1"/>
  <c r="M831" i="3"/>
  <c r="N831" i="3" s="1"/>
  <c r="M840" i="3"/>
  <c r="N840" i="3" s="1"/>
  <c r="M851" i="3"/>
  <c r="N851" i="3" s="1"/>
  <c r="M852" i="3"/>
  <c r="N852" i="3" s="1"/>
  <c r="M857" i="3"/>
  <c r="N857" i="3" s="1"/>
  <c r="M870" i="3"/>
  <c r="N870" i="3" s="1"/>
  <c r="M891" i="3"/>
  <c r="N891" i="3" s="1"/>
  <c r="M894" i="3"/>
  <c r="N894" i="3" s="1"/>
  <c r="M896" i="3"/>
  <c r="N896" i="3" s="1"/>
  <c r="M922" i="3"/>
  <c r="N922" i="3" s="1"/>
  <c r="M934" i="3"/>
  <c r="N934" i="3" s="1"/>
  <c r="M936" i="3"/>
  <c r="N936" i="3" s="1"/>
  <c r="M955" i="3"/>
  <c r="N955" i="3" s="1"/>
  <c r="M957" i="3"/>
  <c r="N957" i="3" s="1"/>
  <c r="M976" i="3"/>
  <c r="N976" i="3" s="1"/>
  <c r="M988" i="3"/>
  <c r="N988" i="3" s="1"/>
  <c r="M992" i="3"/>
  <c r="N992" i="3" s="1"/>
  <c r="M1017" i="3"/>
  <c r="N1017" i="3" s="1"/>
  <c r="M1019" i="3"/>
  <c r="N1019" i="3" s="1"/>
  <c r="M1051" i="3"/>
  <c r="N1051" i="3" s="1"/>
  <c r="M1052" i="3"/>
  <c r="N1052" i="3" s="1"/>
  <c r="M1106" i="3"/>
  <c r="N1106" i="3" s="1"/>
  <c r="M1119" i="3"/>
  <c r="N1119" i="3" s="1"/>
  <c r="M1125" i="3"/>
  <c r="N1125" i="3" s="1"/>
  <c r="M406" i="3"/>
  <c r="M1207" i="3"/>
  <c r="N1207" i="3" s="1"/>
  <c r="M1209" i="3"/>
  <c r="N1209" i="3" s="1"/>
  <c r="M1229" i="3"/>
  <c r="N1229" i="3" s="1"/>
  <c r="M1234" i="3"/>
  <c r="N1234" i="3" s="1"/>
  <c r="M1270" i="3"/>
  <c r="N1270" i="3" s="1"/>
  <c r="M298" i="3"/>
  <c r="M1276" i="3"/>
  <c r="N1276" i="3" s="1"/>
  <c r="M1298" i="3"/>
  <c r="N1298" i="3" s="1"/>
  <c r="M1339" i="3"/>
  <c r="N1339" i="3" s="1"/>
  <c r="M1361" i="3"/>
  <c r="N1361" i="3" s="1"/>
  <c r="M1366" i="3"/>
  <c r="N1366" i="3" s="1"/>
  <c r="M1378" i="3"/>
  <c r="N1378" i="3" s="1"/>
  <c r="M236" i="3"/>
  <c r="M1398" i="3"/>
  <c r="N1398" i="3" s="1"/>
  <c r="M1402" i="3"/>
  <c r="N1402" i="3" s="1"/>
  <c r="M1412" i="3"/>
  <c r="N1412" i="3" s="1"/>
  <c r="M1452" i="3"/>
  <c r="N1452" i="3" s="1"/>
  <c r="M1462" i="3"/>
  <c r="N1462" i="3" s="1"/>
  <c r="M1475" i="3"/>
  <c r="N1475" i="3" s="1"/>
  <c r="M1484" i="3"/>
  <c r="N1484" i="3" s="1"/>
  <c r="M1489" i="3"/>
  <c r="N1489" i="3" s="1"/>
  <c r="M1512" i="3"/>
  <c r="N1512" i="3" s="1"/>
  <c r="M1520" i="3"/>
  <c r="N1520" i="3" s="1"/>
  <c r="M1524" i="3"/>
  <c r="N1524" i="3" s="1"/>
  <c r="M1570" i="3"/>
  <c r="N1570" i="3" s="1"/>
  <c r="M1578" i="3"/>
  <c r="N1578" i="3" s="1"/>
  <c r="M1624" i="3"/>
  <c r="N1624" i="3" s="1"/>
  <c r="M1628" i="3"/>
  <c r="N1628" i="3" s="1"/>
  <c r="M1667" i="3"/>
  <c r="N1667" i="3" s="1"/>
  <c r="M1671" i="3"/>
  <c r="N1671" i="3" s="1"/>
  <c r="M1681" i="3"/>
  <c r="N1681" i="3" s="1"/>
  <c r="M1689" i="3"/>
  <c r="N1689" i="3" s="1"/>
  <c r="M1720" i="3"/>
  <c r="N1720" i="3" s="1"/>
  <c r="M1742" i="3"/>
  <c r="N1742" i="3" s="1"/>
  <c r="M1763" i="3"/>
  <c r="N1763" i="3" s="1"/>
  <c r="M1787" i="3"/>
  <c r="N1787" i="3" s="1"/>
  <c r="M1816" i="3"/>
  <c r="N1816" i="3" s="1"/>
  <c r="M1862" i="3"/>
  <c r="N1862" i="3" s="1"/>
  <c r="M1866" i="3"/>
  <c r="N1866" i="3" s="1"/>
  <c r="M1910" i="3"/>
  <c r="N1910" i="3" s="1"/>
  <c r="M1920" i="3"/>
  <c r="N1920" i="3" s="1"/>
  <c r="M1925" i="3"/>
  <c r="N1925" i="3" s="1"/>
  <c r="M1930" i="3"/>
  <c r="N1930" i="3" s="1"/>
  <c r="M1937" i="3"/>
  <c r="N1937" i="3" s="1"/>
  <c r="M1957" i="3"/>
  <c r="N1957" i="3" s="1"/>
  <c r="M1959" i="3"/>
  <c r="N1959" i="3" s="1"/>
  <c r="M1969" i="3"/>
  <c r="N1969" i="3" s="1"/>
  <c r="M142" i="3"/>
  <c r="M1984" i="3"/>
  <c r="N1984" i="3" s="1"/>
  <c r="M2008" i="3"/>
  <c r="N2008" i="3" s="1"/>
  <c r="M2017" i="3"/>
  <c r="N2017" i="3" s="1"/>
  <c r="M2021" i="3"/>
  <c r="N2021" i="3" s="1"/>
  <c r="M370" i="3"/>
  <c r="M2071" i="3"/>
  <c r="N2071" i="3" s="1"/>
  <c r="M296" i="3"/>
  <c r="M2160" i="3"/>
  <c r="N2160" i="3" s="1"/>
  <c r="M2170" i="3"/>
  <c r="N2170" i="3" s="1"/>
  <c r="M2173" i="3"/>
  <c r="N2173" i="3" s="1"/>
  <c r="M2180" i="3"/>
  <c r="N2180" i="3" s="1"/>
  <c r="M2191" i="3"/>
  <c r="N2191" i="3" s="1"/>
  <c r="M2201" i="3"/>
  <c r="N2201" i="3" s="1"/>
  <c r="M389" i="3"/>
  <c r="M2225" i="3"/>
  <c r="N2225" i="3" s="1"/>
  <c r="M2248" i="3"/>
  <c r="N2248" i="3" s="1"/>
  <c r="M2254" i="3"/>
  <c r="N2254" i="3" s="1"/>
  <c r="M2268" i="3"/>
  <c r="N2268" i="3" s="1"/>
  <c r="M26" i="3"/>
  <c r="M2301" i="3"/>
  <c r="N2301" i="3" s="1"/>
  <c r="M264" i="3"/>
  <c r="M2350" i="3"/>
  <c r="N2350" i="3" s="1"/>
  <c r="M2368" i="3"/>
  <c r="N2368" i="3" s="1"/>
  <c r="M2408" i="3"/>
  <c r="N2408" i="3" s="1"/>
  <c r="M2435" i="3"/>
  <c r="N2435" i="3" s="1"/>
  <c r="M2449" i="3"/>
  <c r="N2449" i="3" s="1"/>
  <c r="M2451" i="3"/>
  <c r="N2451" i="3" s="1"/>
  <c r="M2460" i="3"/>
  <c r="N2460" i="3" s="1"/>
  <c r="M2477" i="3"/>
  <c r="N2477" i="3" s="1"/>
  <c r="M2481" i="3"/>
  <c r="N2481" i="3" s="1"/>
  <c r="M2505" i="3"/>
  <c r="N2505" i="3" s="1"/>
  <c r="M314" i="3"/>
  <c r="M137" i="3"/>
  <c r="M2531" i="3"/>
  <c r="N2531" i="3" s="1"/>
  <c r="M2557" i="3"/>
  <c r="N2557" i="3" s="1"/>
  <c r="M2582" i="3"/>
  <c r="N2582" i="3" s="1"/>
  <c r="M2599" i="3"/>
  <c r="N2599" i="3" s="1"/>
  <c r="M68" i="3"/>
  <c r="M2614" i="3"/>
  <c r="N2614" i="3" s="1"/>
  <c r="M322" i="3"/>
  <c r="M247" i="3"/>
  <c r="M2654" i="3"/>
  <c r="N2654" i="3" s="1"/>
  <c r="M19" i="3"/>
  <c r="M306" i="3"/>
  <c r="M289" i="3"/>
  <c r="M2679" i="3"/>
  <c r="N2679" i="3" s="1"/>
  <c r="M38" i="3"/>
  <c r="M145" i="3"/>
  <c r="M58" i="3"/>
  <c r="M367" i="3"/>
  <c r="M294" i="3"/>
  <c r="M382" i="3"/>
  <c r="M101" i="3"/>
  <c r="M223" i="3"/>
  <c r="M94" i="3"/>
  <c r="M224" i="3"/>
  <c r="M203" i="3"/>
  <c r="M220" i="3"/>
  <c r="M79" i="3"/>
  <c r="M336" i="3"/>
  <c r="M109" i="3"/>
  <c r="M235" i="3"/>
  <c r="P418" i="3"/>
  <c r="R418" i="3"/>
  <c r="P421" i="3"/>
  <c r="R421" i="3"/>
  <c r="P422" i="3"/>
  <c r="R422" i="3"/>
  <c r="P423" i="3"/>
  <c r="R423" i="3"/>
  <c r="P424" i="3"/>
  <c r="R424" i="3"/>
  <c r="P425" i="3"/>
  <c r="R425" i="3"/>
  <c r="P426" i="3"/>
  <c r="R426" i="3"/>
  <c r="P427" i="3"/>
  <c r="R427" i="3"/>
  <c r="P428" i="3"/>
  <c r="R428" i="3"/>
  <c r="P429" i="3"/>
  <c r="R429" i="3"/>
  <c r="P430" i="3"/>
  <c r="R430" i="3"/>
  <c r="P431" i="3"/>
  <c r="R431" i="3"/>
  <c r="P432" i="3"/>
  <c r="R432" i="3"/>
  <c r="P433" i="3"/>
  <c r="R433" i="3"/>
  <c r="P434" i="3"/>
  <c r="R434" i="3"/>
  <c r="P435" i="3"/>
  <c r="R435" i="3"/>
  <c r="P436" i="3"/>
  <c r="R436" i="3"/>
  <c r="P437" i="3"/>
  <c r="R437" i="3"/>
  <c r="P438" i="3"/>
  <c r="R438" i="3"/>
  <c r="P439" i="3"/>
  <c r="R439" i="3"/>
  <c r="P440" i="3"/>
  <c r="R440" i="3"/>
  <c r="P441" i="3"/>
  <c r="R441" i="3"/>
  <c r="P442" i="3"/>
  <c r="R442" i="3"/>
  <c r="P443" i="3"/>
  <c r="R443" i="3"/>
  <c r="P444" i="3"/>
  <c r="R444" i="3"/>
  <c r="P445" i="3"/>
  <c r="R445" i="3"/>
  <c r="P446" i="3"/>
  <c r="R446" i="3"/>
  <c r="P447" i="3"/>
  <c r="R447" i="3"/>
  <c r="P448" i="3"/>
  <c r="R448" i="3"/>
  <c r="P449" i="3"/>
  <c r="R449" i="3"/>
  <c r="P450" i="3"/>
  <c r="R450" i="3"/>
  <c r="P451" i="3"/>
  <c r="R451" i="3"/>
  <c r="P452" i="3"/>
  <c r="R452" i="3"/>
  <c r="P453" i="3"/>
  <c r="R453" i="3"/>
  <c r="P454" i="3"/>
  <c r="R454" i="3"/>
  <c r="P455" i="3"/>
  <c r="R455" i="3"/>
  <c r="P456" i="3"/>
  <c r="R456" i="3"/>
  <c r="P457" i="3"/>
  <c r="R457" i="3"/>
  <c r="P458" i="3"/>
  <c r="R458" i="3"/>
  <c r="P459" i="3"/>
  <c r="R459" i="3"/>
  <c r="P460" i="3"/>
  <c r="R460" i="3"/>
  <c r="P461" i="3"/>
  <c r="R461" i="3"/>
  <c r="P462" i="3"/>
  <c r="R462" i="3"/>
  <c r="P463" i="3"/>
  <c r="R463" i="3"/>
  <c r="P464" i="3"/>
  <c r="R464" i="3"/>
  <c r="P465" i="3"/>
  <c r="R465" i="3"/>
  <c r="P466" i="3"/>
  <c r="R466" i="3"/>
  <c r="P467" i="3"/>
  <c r="R467" i="3"/>
  <c r="P468" i="3"/>
  <c r="R468" i="3"/>
  <c r="P469" i="3"/>
  <c r="R469" i="3"/>
  <c r="P470" i="3"/>
  <c r="R470" i="3"/>
  <c r="P471" i="3"/>
  <c r="R471" i="3"/>
  <c r="P472" i="3"/>
  <c r="R472" i="3"/>
  <c r="P473" i="3"/>
  <c r="R473" i="3"/>
  <c r="P474" i="3"/>
  <c r="R474" i="3"/>
  <c r="P475" i="3"/>
  <c r="R475" i="3"/>
  <c r="P476" i="3"/>
  <c r="R476" i="3"/>
  <c r="P477" i="3"/>
  <c r="R477" i="3"/>
  <c r="P478" i="3"/>
  <c r="R478" i="3"/>
  <c r="P479" i="3"/>
  <c r="R479" i="3"/>
  <c r="P480" i="3"/>
  <c r="R480" i="3"/>
  <c r="P481" i="3"/>
  <c r="R481" i="3"/>
  <c r="P482" i="3"/>
  <c r="R482" i="3"/>
  <c r="P483" i="3"/>
  <c r="R483" i="3"/>
  <c r="P484" i="3"/>
  <c r="R484" i="3"/>
  <c r="P485" i="3"/>
  <c r="R485" i="3"/>
  <c r="P486" i="3"/>
  <c r="R486" i="3"/>
  <c r="P487" i="3"/>
  <c r="R487" i="3"/>
  <c r="P488" i="3"/>
  <c r="R488" i="3"/>
  <c r="P489" i="3"/>
  <c r="R489" i="3"/>
  <c r="P490" i="3"/>
  <c r="R490" i="3"/>
  <c r="P491" i="3"/>
  <c r="R491" i="3"/>
  <c r="P492" i="3"/>
  <c r="R492" i="3"/>
  <c r="P493" i="3"/>
  <c r="R493" i="3"/>
  <c r="P494" i="3"/>
  <c r="R494" i="3"/>
  <c r="P495" i="3"/>
  <c r="R495" i="3"/>
  <c r="P496" i="3"/>
  <c r="R496" i="3"/>
  <c r="P497" i="3"/>
  <c r="R497" i="3"/>
  <c r="P498" i="3"/>
  <c r="R498" i="3"/>
  <c r="P499" i="3"/>
  <c r="R499" i="3"/>
  <c r="P500" i="3"/>
  <c r="R500" i="3"/>
  <c r="P501" i="3"/>
  <c r="R501" i="3"/>
  <c r="P502" i="3"/>
  <c r="R502" i="3"/>
  <c r="P503" i="3"/>
  <c r="R503" i="3"/>
  <c r="P504" i="3"/>
  <c r="R504" i="3"/>
  <c r="P505" i="3"/>
  <c r="R505" i="3"/>
  <c r="P506" i="3"/>
  <c r="R506" i="3"/>
  <c r="P507" i="3"/>
  <c r="R507" i="3"/>
  <c r="P508" i="3"/>
  <c r="R508" i="3"/>
  <c r="P509" i="3"/>
  <c r="R509" i="3"/>
  <c r="P510" i="3"/>
  <c r="R510" i="3"/>
  <c r="P511" i="3"/>
  <c r="R511" i="3"/>
  <c r="P512" i="3"/>
  <c r="R512" i="3"/>
  <c r="P513" i="3"/>
  <c r="R513" i="3"/>
  <c r="P514" i="3"/>
  <c r="R514" i="3"/>
  <c r="P515" i="3"/>
  <c r="R515" i="3"/>
  <c r="P516" i="3"/>
  <c r="R516" i="3"/>
  <c r="P517" i="3"/>
  <c r="R517" i="3"/>
  <c r="P518" i="3"/>
  <c r="R518" i="3"/>
  <c r="P519" i="3"/>
  <c r="R519" i="3"/>
  <c r="P520" i="3"/>
  <c r="R520" i="3"/>
  <c r="P521" i="3"/>
  <c r="R521" i="3"/>
  <c r="P522" i="3"/>
  <c r="R522" i="3"/>
  <c r="P523" i="3"/>
  <c r="R523" i="3"/>
  <c r="P524" i="3"/>
  <c r="R524" i="3"/>
  <c r="P525" i="3"/>
  <c r="R525" i="3"/>
  <c r="P526" i="3"/>
  <c r="R526" i="3"/>
  <c r="P527" i="3"/>
  <c r="R527" i="3"/>
  <c r="P528" i="3"/>
  <c r="R528" i="3"/>
  <c r="P529" i="3"/>
  <c r="R529" i="3"/>
  <c r="P530" i="3"/>
  <c r="R530" i="3"/>
  <c r="P531" i="3"/>
  <c r="R531" i="3"/>
  <c r="P532" i="3"/>
  <c r="R532" i="3"/>
  <c r="P533" i="3"/>
  <c r="R533" i="3"/>
  <c r="P534" i="3"/>
  <c r="R534" i="3"/>
  <c r="P535" i="3"/>
  <c r="R535" i="3"/>
  <c r="P536" i="3"/>
  <c r="R536" i="3"/>
  <c r="P537" i="3"/>
  <c r="R537" i="3"/>
  <c r="P538" i="3"/>
  <c r="R538" i="3"/>
  <c r="P539" i="3"/>
  <c r="R539" i="3"/>
  <c r="P540" i="3"/>
  <c r="R540" i="3"/>
  <c r="P541" i="3"/>
  <c r="R541" i="3"/>
  <c r="P542" i="3"/>
  <c r="R542" i="3"/>
  <c r="P543" i="3"/>
  <c r="R543" i="3"/>
  <c r="P544" i="3"/>
  <c r="R544" i="3"/>
  <c r="P545" i="3"/>
  <c r="R545" i="3"/>
  <c r="P546" i="3"/>
  <c r="R546" i="3"/>
  <c r="P547" i="3"/>
  <c r="R547" i="3"/>
  <c r="P548" i="3"/>
  <c r="R548" i="3"/>
  <c r="P549" i="3"/>
  <c r="R549" i="3"/>
  <c r="P550" i="3"/>
  <c r="R550" i="3"/>
  <c r="P551" i="3"/>
  <c r="R551" i="3"/>
  <c r="P552" i="3"/>
  <c r="R552" i="3"/>
  <c r="P553" i="3"/>
  <c r="R553" i="3"/>
  <c r="P554" i="3"/>
  <c r="R554" i="3"/>
  <c r="P555" i="3"/>
  <c r="R555" i="3"/>
  <c r="P556" i="3"/>
  <c r="R556" i="3"/>
  <c r="P557" i="3"/>
  <c r="R557" i="3"/>
  <c r="P558" i="3"/>
  <c r="R558" i="3"/>
  <c r="P559" i="3"/>
  <c r="R559" i="3"/>
  <c r="P560" i="3"/>
  <c r="R560" i="3"/>
  <c r="P561" i="3"/>
  <c r="R561" i="3"/>
  <c r="P562" i="3"/>
  <c r="R562" i="3"/>
  <c r="P563" i="3"/>
  <c r="R563" i="3"/>
  <c r="P564" i="3"/>
  <c r="R564" i="3"/>
  <c r="P565" i="3"/>
  <c r="R565" i="3"/>
  <c r="P566" i="3"/>
  <c r="R566" i="3"/>
  <c r="P567" i="3"/>
  <c r="R567" i="3"/>
  <c r="P568" i="3"/>
  <c r="R568" i="3"/>
  <c r="P569" i="3"/>
  <c r="R569" i="3"/>
  <c r="P570" i="3"/>
  <c r="R570" i="3"/>
  <c r="P571" i="3"/>
  <c r="R571" i="3"/>
  <c r="P572" i="3"/>
  <c r="R572" i="3"/>
  <c r="P573" i="3"/>
  <c r="R573" i="3"/>
  <c r="P574" i="3"/>
  <c r="R574" i="3"/>
  <c r="P575" i="3"/>
  <c r="R575" i="3"/>
  <c r="P576" i="3"/>
  <c r="R576" i="3"/>
  <c r="P577" i="3"/>
  <c r="R577" i="3"/>
  <c r="P578" i="3"/>
  <c r="R578" i="3"/>
  <c r="P579" i="3"/>
  <c r="R579" i="3"/>
  <c r="P580" i="3"/>
  <c r="R580" i="3"/>
  <c r="P581" i="3"/>
  <c r="R581" i="3"/>
  <c r="P582" i="3"/>
  <c r="R582" i="3"/>
  <c r="P583" i="3"/>
  <c r="R583" i="3"/>
  <c r="P584" i="3"/>
  <c r="R584" i="3"/>
  <c r="P585" i="3"/>
  <c r="R585" i="3"/>
  <c r="P586" i="3"/>
  <c r="R586" i="3"/>
  <c r="P587" i="3"/>
  <c r="R587" i="3"/>
  <c r="P588" i="3"/>
  <c r="R588" i="3"/>
  <c r="P589" i="3"/>
  <c r="R589" i="3"/>
  <c r="P590" i="3"/>
  <c r="R590" i="3"/>
  <c r="P591" i="3"/>
  <c r="R591" i="3"/>
  <c r="P592" i="3"/>
  <c r="R592" i="3"/>
  <c r="P593" i="3"/>
  <c r="R593" i="3"/>
  <c r="P594" i="3"/>
  <c r="R594" i="3"/>
  <c r="P595" i="3"/>
  <c r="R595" i="3"/>
  <c r="P596" i="3"/>
  <c r="R596" i="3"/>
  <c r="P597" i="3"/>
  <c r="R597" i="3"/>
  <c r="P598" i="3"/>
  <c r="R598" i="3"/>
  <c r="P599" i="3"/>
  <c r="R599" i="3"/>
  <c r="P600" i="3"/>
  <c r="R600" i="3"/>
  <c r="P601" i="3"/>
  <c r="R601" i="3"/>
  <c r="P602" i="3"/>
  <c r="R602" i="3"/>
  <c r="P603" i="3"/>
  <c r="R603" i="3"/>
  <c r="P604" i="3"/>
  <c r="R604" i="3"/>
  <c r="P605" i="3"/>
  <c r="R605" i="3"/>
  <c r="P606" i="3"/>
  <c r="R606" i="3"/>
  <c r="P607" i="3"/>
  <c r="R607" i="3"/>
  <c r="P608" i="3"/>
  <c r="R608" i="3"/>
  <c r="P609" i="3"/>
  <c r="R609" i="3"/>
  <c r="P610" i="3"/>
  <c r="R610" i="3"/>
  <c r="P611" i="3"/>
  <c r="R611" i="3"/>
  <c r="P612" i="3"/>
  <c r="R612" i="3"/>
  <c r="P613" i="3"/>
  <c r="R613" i="3"/>
  <c r="P614" i="3"/>
  <c r="R614" i="3"/>
  <c r="P615" i="3"/>
  <c r="R615" i="3"/>
  <c r="P616" i="3"/>
  <c r="R616" i="3"/>
  <c r="P617" i="3"/>
  <c r="R617" i="3"/>
  <c r="P618" i="3"/>
  <c r="R618" i="3"/>
  <c r="P619" i="3"/>
  <c r="R619" i="3"/>
  <c r="P620" i="3"/>
  <c r="R620" i="3"/>
  <c r="P621" i="3"/>
  <c r="R621" i="3"/>
  <c r="P622" i="3"/>
  <c r="R622" i="3"/>
  <c r="P623" i="3"/>
  <c r="R623" i="3"/>
  <c r="P624" i="3"/>
  <c r="R624" i="3"/>
  <c r="P625" i="3"/>
  <c r="R625" i="3"/>
  <c r="P626" i="3"/>
  <c r="R626" i="3"/>
  <c r="P627" i="3"/>
  <c r="R627" i="3"/>
  <c r="P628" i="3"/>
  <c r="R628" i="3"/>
  <c r="P629" i="3"/>
  <c r="R629" i="3"/>
  <c r="P630" i="3"/>
  <c r="R630" i="3"/>
  <c r="P631" i="3"/>
  <c r="R631" i="3"/>
  <c r="P632" i="3"/>
  <c r="R632" i="3"/>
  <c r="P633" i="3"/>
  <c r="R633" i="3"/>
  <c r="P634" i="3"/>
  <c r="R634" i="3"/>
  <c r="P635" i="3"/>
  <c r="R635" i="3"/>
  <c r="P636" i="3"/>
  <c r="R636" i="3"/>
  <c r="P637" i="3"/>
  <c r="R637" i="3"/>
  <c r="P638" i="3"/>
  <c r="R638" i="3"/>
  <c r="P639" i="3"/>
  <c r="R639" i="3"/>
  <c r="P640" i="3"/>
  <c r="R640" i="3"/>
  <c r="P641" i="3"/>
  <c r="R641" i="3"/>
  <c r="P642" i="3"/>
  <c r="R642" i="3"/>
  <c r="P643" i="3"/>
  <c r="R643" i="3"/>
  <c r="P644" i="3"/>
  <c r="R644" i="3"/>
  <c r="P645" i="3"/>
  <c r="R645" i="3"/>
  <c r="P646" i="3"/>
  <c r="R646" i="3"/>
  <c r="P647" i="3"/>
  <c r="R647" i="3"/>
  <c r="P648" i="3"/>
  <c r="R648" i="3"/>
  <c r="P649" i="3"/>
  <c r="R649" i="3"/>
  <c r="P650" i="3"/>
  <c r="R650" i="3"/>
  <c r="P651" i="3"/>
  <c r="R651" i="3"/>
  <c r="P652" i="3"/>
  <c r="R652" i="3"/>
  <c r="P653" i="3"/>
  <c r="R653" i="3"/>
  <c r="P654" i="3"/>
  <c r="R654" i="3"/>
  <c r="P655" i="3"/>
  <c r="R655" i="3"/>
  <c r="P656" i="3"/>
  <c r="R656" i="3"/>
  <c r="P657" i="3"/>
  <c r="R657" i="3"/>
  <c r="P658" i="3"/>
  <c r="R658" i="3"/>
  <c r="P659" i="3"/>
  <c r="R659" i="3"/>
  <c r="P660" i="3"/>
  <c r="R660" i="3"/>
  <c r="P661" i="3"/>
  <c r="R661" i="3"/>
  <c r="P662" i="3"/>
  <c r="R662" i="3"/>
  <c r="P663" i="3"/>
  <c r="R663" i="3"/>
  <c r="P664" i="3"/>
  <c r="R664" i="3"/>
  <c r="P665" i="3"/>
  <c r="R665" i="3"/>
  <c r="P666" i="3"/>
  <c r="R666" i="3"/>
  <c r="P667" i="3"/>
  <c r="R667" i="3"/>
  <c r="P668" i="3"/>
  <c r="R668" i="3"/>
  <c r="P669" i="3"/>
  <c r="R669" i="3"/>
  <c r="P670" i="3"/>
  <c r="R670" i="3"/>
  <c r="P671" i="3"/>
  <c r="R671" i="3"/>
  <c r="P672" i="3"/>
  <c r="R672" i="3"/>
  <c r="P673" i="3"/>
  <c r="R673" i="3"/>
  <c r="P674" i="3"/>
  <c r="R674" i="3"/>
  <c r="P675" i="3"/>
  <c r="R675" i="3"/>
  <c r="P676" i="3"/>
  <c r="R676" i="3"/>
  <c r="P677" i="3"/>
  <c r="R677" i="3"/>
  <c r="P678" i="3"/>
  <c r="R678" i="3"/>
  <c r="P679" i="3"/>
  <c r="R679" i="3"/>
  <c r="P680" i="3"/>
  <c r="R680" i="3"/>
  <c r="P681" i="3"/>
  <c r="R681" i="3"/>
  <c r="P682" i="3"/>
  <c r="R682" i="3"/>
  <c r="P683" i="3"/>
  <c r="R683" i="3"/>
  <c r="P684" i="3"/>
  <c r="R684" i="3"/>
  <c r="P685" i="3"/>
  <c r="R685" i="3"/>
  <c r="P686" i="3"/>
  <c r="R686" i="3"/>
  <c r="P687" i="3"/>
  <c r="R687" i="3"/>
  <c r="P688" i="3"/>
  <c r="R688" i="3"/>
  <c r="P689" i="3"/>
  <c r="R689" i="3"/>
  <c r="P690" i="3"/>
  <c r="R690" i="3"/>
  <c r="P691" i="3"/>
  <c r="R691" i="3"/>
  <c r="P692" i="3"/>
  <c r="R692" i="3"/>
  <c r="P693" i="3"/>
  <c r="R693" i="3"/>
  <c r="P694" i="3"/>
  <c r="R694" i="3"/>
  <c r="P695" i="3"/>
  <c r="R695" i="3"/>
  <c r="P696" i="3"/>
  <c r="R696" i="3"/>
  <c r="P697" i="3"/>
  <c r="R697" i="3"/>
  <c r="P698" i="3"/>
  <c r="R698" i="3"/>
  <c r="P699" i="3"/>
  <c r="R699" i="3"/>
  <c r="P700" i="3"/>
  <c r="R700" i="3"/>
  <c r="P701" i="3"/>
  <c r="R701" i="3"/>
  <c r="P702" i="3"/>
  <c r="R702" i="3"/>
  <c r="P703" i="3"/>
  <c r="R703" i="3"/>
  <c r="P704" i="3"/>
  <c r="R704" i="3"/>
  <c r="P705" i="3"/>
  <c r="R705" i="3"/>
  <c r="P706" i="3"/>
  <c r="R706" i="3"/>
  <c r="P707" i="3"/>
  <c r="R707" i="3"/>
  <c r="P708" i="3"/>
  <c r="R708" i="3"/>
  <c r="P709" i="3"/>
  <c r="R709" i="3"/>
  <c r="P710" i="3"/>
  <c r="R710" i="3"/>
  <c r="P711" i="3"/>
  <c r="R711" i="3"/>
  <c r="P712" i="3"/>
  <c r="R712" i="3"/>
  <c r="P713" i="3"/>
  <c r="R713" i="3"/>
  <c r="P714" i="3"/>
  <c r="R714" i="3"/>
  <c r="P715" i="3"/>
  <c r="R715" i="3"/>
  <c r="P716" i="3"/>
  <c r="R716" i="3"/>
  <c r="P717" i="3"/>
  <c r="R717" i="3"/>
  <c r="P718" i="3"/>
  <c r="R718" i="3"/>
  <c r="P719" i="3"/>
  <c r="R719" i="3"/>
  <c r="P720" i="3"/>
  <c r="R720" i="3"/>
  <c r="P721" i="3"/>
  <c r="R721" i="3"/>
  <c r="P722" i="3"/>
  <c r="R722" i="3"/>
  <c r="P723" i="3"/>
  <c r="R723" i="3"/>
  <c r="P724" i="3"/>
  <c r="R724" i="3"/>
  <c r="P725" i="3"/>
  <c r="R725" i="3"/>
  <c r="P726" i="3"/>
  <c r="R726" i="3"/>
  <c r="P727" i="3"/>
  <c r="R727" i="3"/>
  <c r="P728" i="3"/>
  <c r="R728" i="3"/>
  <c r="P729" i="3"/>
  <c r="R729" i="3"/>
  <c r="P730" i="3"/>
  <c r="R730" i="3"/>
  <c r="P731" i="3"/>
  <c r="R731" i="3"/>
  <c r="P732" i="3"/>
  <c r="R732" i="3"/>
  <c r="P733" i="3"/>
  <c r="R733" i="3"/>
  <c r="P734" i="3"/>
  <c r="R734" i="3"/>
  <c r="P735" i="3"/>
  <c r="R735" i="3"/>
  <c r="P736" i="3"/>
  <c r="R736" i="3"/>
  <c r="P737" i="3"/>
  <c r="R737" i="3"/>
  <c r="P738" i="3"/>
  <c r="R738" i="3"/>
  <c r="P739" i="3"/>
  <c r="R739" i="3"/>
  <c r="P740" i="3"/>
  <c r="R740" i="3"/>
  <c r="P741" i="3"/>
  <c r="R741" i="3"/>
  <c r="P742" i="3"/>
  <c r="R742" i="3"/>
  <c r="P743" i="3"/>
  <c r="R743" i="3"/>
  <c r="P744" i="3"/>
  <c r="R744" i="3"/>
  <c r="P745" i="3"/>
  <c r="R745" i="3"/>
  <c r="P746" i="3"/>
  <c r="R746" i="3"/>
  <c r="P747" i="3"/>
  <c r="R747" i="3"/>
  <c r="P748" i="3"/>
  <c r="R748" i="3"/>
  <c r="P749" i="3"/>
  <c r="R749" i="3"/>
  <c r="P750" i="3"/>
  <c r="R750" i="3"/>
  <c r="P751" i="3"/>
  <c r="R751" i="3"/>
  <c r="P752" i="3"/>
  <c r="R752" i="3"/>
  <c r="P753" i="3"/>
  <c r="R753" i="3"/>
  <c r="P754" i="3"/>
  <c r="R754" i="3"/>
  <c r="P755" i="3"/>
  <c r="R755" i="3"/>
  <c r="P756" i="3"/>
  <c r="R756" i="3"/>
  <c r="P757" i="3"/>
  <c r="R757" i="3"/>
  <c r="P758" i="3"/>
  <c r="R758" i="3"/>
  <c r="P759" i="3"/>
  <c r="R759" i="3"/>
  <c r="P760" i="3"/>
  <c r="R760" i="3"/>
  <c r="P761" i="3"/>
  <c r="R761" i="3"/>
  <c r="P762" i="3"/>
  <c r="R762" i="3"/>
  <c r="P763" i="3"/>
  <c r="R763" i="3"/>
  <c r="P764" i="3"/>
  <c r="R764" i="3"/>
  <c r="P765" i="3"/>
  <c r="R765" i="3"/>
  <c r="P766" i="3"/>
  <c r="R766" i="3"/>
  <c r="P767" i="3"/>
  <c r="R767" i="3"/>
  <c r="P768" i="3"/>
  <c r="R768" i="3"/>
  <c r="P769" i="3"/>
  <c r="R769" i="3"/>
  <c r="P770" i="3"/>
  <c r="R770" i="3"/>
  <c r="P771" i="3"/>
  <c r="R771" i="3"/>
  <c r="P772" i="3"/>
  <c r="R772" i="3"/>
  <c r="P773" i="3"/>
  <c r="R773" i="3"/>
  <c r="P774" i="3"/>
  <c r="R774" i="3"/>
  <c r="P775" i="3"/>
  <c r="R775" i="3"/>
  <c r="P776" i="3"/>
  <c r="R776" i="3"/>
  <c r="P777" i="3"/>
  <c r="R777" i="3"/>
  <c r="P778" i="3"/>
  <c r="R778" i="3"/>
  <c r="P779" i="3"/>
  <c r="R779" i="3"/>
  <c r="P780" i="3"/>
  <c r="R780" i="3"/>
  <c r="P781" i="3"/>
  <c r="R781" i="3"/>
  <c r="P782" i="3"/>
  <c r="R782" i="3"/>
  <c r="P783" i="3"/>
  <c r="R783" i="3"/>
  <c r="P784" i="3"/>
  <c r="R784" i="3"/>
  <c r="P785" i="3"/>
  <c r="R785" i="3"/>
  <c r="P786" i="3"/>
  <c r="R786" i="3"/>
  <c r="P787" i="3"/>
  <c r="R787" i="3"/>
  <c r="P788" i="3"/>
  <c r="R788" i="3"/>
  <c r="P789" i="3"/>
  <c r="R789" i="3"/>
  <c r="P790" i="3"/>
  <c r="R790" i="3"/>
  <c r="P791" i="3"/>
  <c r="R791" i="3"/>
  <c r="P792" i="3"/>
  <c r="R792" i="3"/>
  <c r="P793" i="3"/>
  <c r="R793" i="3"/>
  <c r="P794" i="3"/>
  <c r="R794" i="3"/>
  <c r="P795" i="3"/>
  <c r="R795" i="3"/>
  <c r="P796" i="3"/>
  <c r="R796" i="3"/>
  <c r="P797" i="3"/>
  <c r="R797" i="3"/>
  <c r="P798" i="3"/>
  <c r="R798" i="3"/>
  <c r="P799" i="3"/>
  <c r="R799" i="3"/>
  <c r="P800" i="3"/>
  <c r="R800" i="3"/>
  <c r="P801" i="3"/>
  <c r="R801" i="3"/>
  <c r="P802" i="3"/>
  <c r="R802" i="3"/>
  <c r="P803" i="3"/>
  <c r="R803" i="3"/>
  <c r="P804" i="3"/>
  <c r="R804" i="3"/>
  <c r="P805" i="3"/>
  <c r="R805" i="3"/>
  <c r="P806" i="3"/>
  <c r="R806" i="3"/>
  <c r="P807" i="3"/>
  <c r="R807" i="3"/>
  <c r="P808" i="3"/>
  <c r="R808" i="3"/>
  <c r="P809" i="3"/>
  <c r="R809" i="3"/>
  <c r="P810" i="3"/>
  <c r="R810" i="3"/>
  <c r="P811" i="3"/>
  <c r="R811" i="3"/>
  <c r="P812" i="3"/>
  <c r="R812" i="3"/>
  <c r="P813" i="3"/>
  <c r="R813" i="3"/>
  <c r="P814" i="3"/>
  <c r="R814" i="3"/>
  <c r="P815" i="3"/>
  <c r="R815" i="3"/>
  <c r="P816" i="3"/>
  <c r="R816" i="3"/>
  <c r="P817" i="3"/>
  <c r="R817" i="3"/>
  <c r="P818" i="3"/>
  <c r="R818" i="3"/>
  <c r="P819" i="3"/>
  <c r="R819" i="3"/>
  <c r="P820" i="3"/>
  <c r="R820" i="3"/>
  <c r="P821" i="3"/>
  <c r="R821" i="3"/>
  <c r="P822" i="3"/>
  <c r="R822" i="3"/>
  <c r="P823" i="3"/>
  <c r="R823" i="3"/>
  <c r="P824" i="3"/>
  <c r="R824" i="3"/>
  <c r="P825" i="3"/>
  <c r="R825" i="3"/>
  <c r="P826" i="3"/>
  <c r="R826" i="3"/>
  <c r="P827" i="3"/>
  <c r="R827" i="3"/>
  <c r="P828" i="3"/>
  <c r="R828" i="3"/>
  <c r="P829" i="3"/>
  <c r="R829" i="3"/>
  <c r="P830" i="3"/>
  <c r="R830" i="3"/>
  <c r="P831" i="3"/>
  <c r="R831" i="3"/>
  <c r="P832" i="3"/>
  <c r="R832" i="3"/>
  <c r="P833" i="3"/>
  <c r="R833" i="3"/>
  <c r="P834" i="3"/>
  <c r="R834" i="3"/>
  <c r="P835" i="3"/>
  <c r="R835" i="3"/>
  <c r="P836" i="3"/>
  <c r="R836" i="3"/>
  <c r="P837" i="3"/>
  <c r="R837" i="3"/>
  <c r="P838" i="3"/>
  <c r="R838" i="3"/>
  <c r="P839" i="3"/>
  <c r="R839" i="3"/>
  <c r="P840" i="3"/>
  <c r="R840" i="3"/>
  <c r="P841" i="3"/>
  <c r="R841" i="3"/>
  <c r="P842" i="3"/>
  <c r="R842" i="3"/>
  <c r="P843" i="3"/>
  <c r="R843" i="3"/>
  <c r="P844" i="3"/>
  <c r="R844" i="3"/>
  <c r="P845" i="3"/>
  <c r="R845" i="3"/>
  <c r="P846" i="3"/>
  <c r="R846" i="3"/>
  <c r="P847" i="3"/>
  <c r="R847" i="3"/>
  <c r="P848" i="3"/>
  <c r="R848" i="3"/>
  <c r="P849" i="3"/>
  <c r="R849" i="3"/>
  <c r="P850" i="3"/>
  <c r="R850" i="3"/>
  <c r="P851" i="3"/>
  <c r="R851" i="3"/>
  <c r="P852" i="3"/>
  <c r="R852" i="3"/>
  <c r="P853" i="3"/>
  <c r="R853" i="3"/>
  <c r="P854" i="3"/>
  <c r="R854" i="3"/>
  <c r="P855" i="3"/>
  <c r="R855" i="3"/>
  <c r="P856" i="3"/>
  <c r="R856" i="3"/>
  <c r="P857" i="3"/>
  <c r="R857" i="3"/>
  <c r="P858" i="3"/>
  <c r="R858" i="3"/>
  <c r="P859" i="3"/>
  <c r="R859" i="3"/>
  <c r="P860" i="3"/>
  <c r="R860" i="3"/>
  <c r="P861" i="3"/>
  <c r="R861" i="3"/>
  <c r="P862" i="3"/>
  <c r="R862" i="3"/>
  <c r="P863" i="3"/>
  <c r="R863" i="3"/>
  <c r="P864" i="3"/>
  <c r="R864" i="3"/>
  <c r="P865" i="3"/>
  <c r="R865" i="3"/>
  <c r="P866" i="3"/>
  <c r="R866" i="3"/>
  <c r="P867" i="3"/>
  <c r="R867" i="3"/>
  <c r="P868" i="3"/>
  <c r="R868" i="3"/>
  <c r="P869" i="3"/>
  <c r="R869" i="3"/>
  <c r="P870" i="3"/>
  <c r="R870" i="3"/>
  <c r="P871" i="3"/>
  <c r="R871" i="3"/>
  <c r="P872" i="3"/>
  <c r="R872" i="3"/>
  <c r="P873" i="3"/>
  <c r="R873" i="3"/>
  <c r="P874" i="3"/>
  <c r="R874" i="3"/>
  <c r="P875" i="3"/>
  <c r="R875" i="3"/>
  <c r="P876" i="3"/>
  <c r="R876" i="3"/>
  <c r="P877" i="3"/>
  <c r="R877" i="3"/>
  <c r="P878" i="3"/>
  <c r="R878" i="3"/>
  <c r="P879" i="3"/>
  <c r="R879" i="3"/>
  <c r="P880" i="3"/>
  <c r="R880" i="3"/>
  <c r="P881" i="3"/>
  <c r="R881" i="3"/>
  <c r="P882" i="3"/>
  <c r="R882" i="3"/>
  <c r="P883" i="3"/>
  <c r="R883" i="3"/>
  <c r="P884" i="3"/>
  <c r="R884" i="3"/>
  <c r="P885" i="3"/>
  <c r="R885" i="3"/>
  <c r="P886" i="3"/>
  <c r="R886" i="3"/>
  <c r="P887" i="3"/>
  <c r="R887" i="3"/>
  <c r="P888" i="3"/>
  <c r="R888" i="3"/>
  <c r="P889" i="3"/>
  <c r="R889" i="3"/>
  <c r="P890" i="3"/>
  <c r="R890" i="3"/>
  <c r="P891" i="3"/>
  <c r="R891" i="3"/>
  <c r="P892" i="3"/>
  <c r="R892" i="3"/>
  <c r="P893" i="3"/>
  <c r="R893" i="3"/>
  <c r="P894" i="3"/>
  <c r="R894" i="3"/>
  <c r="P895" i="3"/>
  <c r="R895" i="3"/>
  <c r="P896" i="3"/>
  <c r="R896" i="3"/>
  <c r="P897" i="3"/>
  <c r="R897" i="3"/>
  <c r="P898" i="3"/>
  <c r="R898" i="3"/>
  <c r="P899" i="3"/>
  <c r="R899" i="3"/>
  <c r="P900" i="3"/>
  <c r="R900" i="3"/>
  <c r="P901" i="3"/>
  <c r="R901" i="3"/>
  <c r="P902" i="3"/>
  <c r="R902" i="3"/>
  <c r="P903" i="3"/>
  <c r="R903" i="3"/>
  <c r="P904" i="3"/>
  <c r="R904" i="3"/>
  <c r="P905" i="3"/>
  <c r="R905" i="3"/>
  <c r="P906" i="3"/>
  <c r="R906" i="3"/>
  <c r="P907" i="3"/>
  <c r="R907" i="3"/>
  <c r="P908" i="3"/>
  <c r="R908" i="3"/>
  <c r="P909" i="3"/>
  <c r="R909" i="3"/>
  <c r="P910" i="3"/>
  <c r="R910" i="3"/>
  <c r="P911" i="3"/>
  <c r="R911" i="3"/>
  <c r="P912" i="3"/>
  <c r="R912" i="3"/>
  <c r="P913" i="3"/>
  <c r="R913" i="3"/>
  <c r="P914" i="3"/>
  <c r="R914" i="3"/>
  <c r="P915" i="3"/>
  <c r="R915" i="3"/>
  <c r="P916" i="3"/>
  <c r="R916" i="3"/>
  <c r="P917" i="3"/>
  <c r="R917" i="3"/>
  <c r="P918" i="3"/>
  <c r="R918" i="3"/>
  <c r="P919" i="3"/>
  <c r="R919" i="3"/>
  <c r="P920" i="3"/>
  <c r="R920" i="3"/>
  <c r="P921" i="3"/>
  <c r="R921" i="3"/>
  <c r="P922" i="3"/>
  <c r="R922" i="3"/>
  <c r="P923" i="3"/>
  <c r="R923" i="3"/>
  <c r="P924" i="3"/>
  <c r="R924" i="3"/>
  <c r="P925" i="3"/>
  <c r="R925" i="3"/>
  <c r="P926" i="3"/>
  <c r="R926" i="3"/>
  <c r="P927" i="3"/>
  <c r="R927" i="3"/>
  <c r="P928" i="3"/>
  <c r="R928" i="3"/>
  <c r="P929" i="3"/>
  <c r="R929" i="3"/>
  <c r="P930" i="3"/>
  <c r="R930" i="3"/>
  <c r="P931" i="3"/>
  <c r="R931" i="3"/>
  <c r="P932" i="3"/>
  <c r="R932" i="3"/>
  <c r="P933" i="3"/>
  <c r="R933" i="3"/>
  <c r="P934" i="3"/>
  <c r="R934" i="3"/>
  <c r="P935" i="3"/>
  <c r="R935" i="3"/>
  <c r="P936" i="3"/>
  <c r="R936" i="3"/>
  <c r="P937" i="3"/>
  <c r="R937" i="3"/>
  <c r="P938" i="3"/>
  <c r="R938" i="3"/>
  <c r="P939" i="3"/>
  <c r="R939" i="3"/>
  <c r="P940" i="3"/>
  <c r="R940" i="3"/>
  <c r="P941" i="3"/>
  <c r="R941" i="3"/>
  <c r="P942" i="3"/>
  <c r="R942" i="3"/>
  <c r="P943" i="3"/>
  <c r="R943" i="3"/>
  <c r="P944" i="3"/>
  <c r="R944" i="3"/>
  <c r="P945" i="3"/>
  <c r="R945" i="3"/>
  <c r="P946" i="3"/>
  <c r="R946" i="3"/>
  <c r="P947" i="3"/>
  <c r="R947" i="3"/>
  <c r="P948" i="3"/>
  <c r="R948" i="3"/>
  <c r="P949" i="3"/>
  <c r="R949" i="3"/>
  <c r="P950" i="3"/>
  <c r="R950" i="3"/>
  <c r="P951" i="3"/>
  <c r="R951" i="3"/>
  <c r="P952" i="3"/>
  <c r="R952" i="3"/>
  <c r="P953" i="3"/>
  <c r="R953" i="3"/>
  <c r="P954" i="3"/>
  <c r="R954" i="3"/>
  <c r="P955" i="3"/>
  <c r="R955" i="3"/>
  <c r="P956" i="3"/>
  <c r="R956" i="3"/>
  <c r="P957" i="3"/>
  <c r="R957" i="3"/>
  <c r="P958" i="3"/>
  <c r="R958" i="3"/>
  <c r="P959" i="3"/>
  <c r="R959" i="3"/>
  <c r="P960" i="3"/>
  <c r="R960" i="3"/>
  <c r="P961" i="3"/>
  <c r="R961" i="3"/>
  <c r="P962" i="3"/>
  <c r="R962" i="3"/>
  <c r="P963" i="3"/>
  <c r="R963" i="3"/>
  <c r="P964" i="3"/>
  <c r="R964" i="3"/>
  <c r="P965" i="3"/>
  <c r="R965" i="3"/>
  <c r="P966" i="3"/>
  <c r="R966" i="3"/>
  <c r="P967" i="3"/>
  <c r="R967" i="3"/>
  <c r="P968" i="3"/>
  <c r="R968" i="3"/>
  <c r="P969" i="3"/>
  <c r="R969" i="3"/>
  <c r="P970" i="3"/>
  <c r="R970" i="3"/>
  <c r="P971" i="3"/>
  <c r="R971" i="3"/>
  <c r="P972" i="3"/>
  <c r="R972" i="3"/>
  <c r="P973" i="3"/>
  <c r="R973" i="3"/>
  <c r="P974" i="3"/>
  <c r="R974" i="3"/>
  <c r="P975" i="3"/>
  <c r="R975" i="3"/>
  <c r="P976" i="3"/>
  <c r="R976" i="3"/>
  <c r="P977" i="3"/>
  <c r="R977" i="3"/>
  <c r="P978" i="3"/>
  <c r="R978" i="3"/>
  <c r="P979" i="3"/>
  <c r="R979" i="3"/>
  <c r="P980" i="3"/>
  <c r="R980" i="3"/>
  <c r="P981" i="3"/>
  <c r="R981" i="3"/>
  <c r="P982" i="3"/>
  <c r="R982" i="3"/>
  <c r="P983" i="3"/>
  <c r="R983" i="3"/>
  <c r="P984" i="3"/>
  <c r="R984" i="3"/>
  <c r="P985" i="3"/>
  <c r="R985" i="3"/>
  <c r="P986" i="3"/>
  <c r="R986" i="3"/>
  <c r="P987" i="3"/>
  <c r="R987" i="3"/>
  <c r="P988" i="3"/>
  <c r="R988" i="3"/>
  <c r="P989" i="3"/>
  <c r="R989" i="3"/>
  <c r="P990" i="3"/>
  <c r="R990" i="3"/>
  <c r="P991" i="3"/>
  <c r="R991" i="3"/>
  <c r="P992" i="3"/>
  <c r="R992" i="3"/>
  <c r="P993" i="3"/>
  <c r="R993" i="3"/>
  <c r="P994" i="3"/>
  <c r="R994" i="3"/>
  <c r="P995" i="3"/>
  <c r="R995" i="3"/>
  <c r="P996" i="3"/>
  <c r="R996" i="3"/>
  <c r="P997" i="3"/>
  <c r="R997" i="3"/>
  <c r="P998" i="3"/>
  <c r="R998" i="3"/>
  <c r="P999" i="3"/>
  <c r="R999" i="3"/>
  <c r="P1000" i="3"/>
  <c r="R1000" i="3"/>
  <c r="P1001" i="3"/>
  <c r="R1001" i="3"/>
  <c r="P1002" i="3"/>
  <c r="R1002" i="3"/>
  <c r="P1003" i="3"/>
  <c r="R1003" i="3"/>
  <c r="P1004" i="3"/>
  <c r="R1004" i="3"/>
  <c r="P1005" i="3"/>
  <c r="R1005" i="3"/>
  <c r="P1006" i="3"/>
  <c r="R1006" i="3"/>
  <c r="P1007" i="3"/>
  <c r="R1007" i="3"/>
  <c r="P1008" i="3"/>
  <c r="R1008" i="3"/>
  <c r="P1009" i="3"/>
  <c r="R1009" i="3"/>
  <c r="P1010" i="3"/>
  <c r="R1010" i="3"/>
  <c r="P1011" i="3"/>
  <c r="R1011" i="3"/>
  <c r="P1012" i="3"/>
  <c r="R1012" i="3"/>
  <c r="P1013" i="3"/>
  <c r="R1013" i="3"/>
  <c r="P1014" i="3"/>
  <c r="R1014" i="3"/>
  <c r="P1015" i="3"/>
  <c r="R1015" i="3"/>
  <c r="P1016" i="3"/>
  <c r="R1016" i="3"/>
  <c r="P1017" i="3"/>
  <c r="R1017" i="3"/>
  <c r="P1018" i="3"/>
  <c r="R1018" i="3"/>
  <c r="P1019" i="3"/>
  <c r="R1019" i="3"/>
  <c r="P1020" i="3"/>
  <c r="R1020" i="3"/>
  <c r="P1021" i="3"/>
  <c r="R1021" i="3"/>
  <c r="P1022" i="3"/>
  <c r="R1022" i="3"/>
  <c r="P1023" i="3"/>
  <c r="R1023" i="3"/>
  <c r="P1024" i="3"/>
  <c r="R1024" i="3"/>
  <c r="P1025" i="3"/>
  <c r="R1025" i="3"/>
  <c r="P1026" i="3"/>
  <c r="R1026" i="3"/>
  <c r="P1027" i="3"/>
  <c r="R1027" i="3"/>
  <c r="P1028" i="3"/>
  <c r="R1028" i="3"/>
  <c r="P1029" i="3"/>
  <c r="R1029" i="3"/>
  <c r="P1030" i="3"/>
  <c r="R1030" i="3"/>
  <c r="P1031" i="3"/>
  <c r="R1031" i="3"/>
  <c r="P1032" i="3"/>
  <c r="R1032" i="3"/>
  <c r="P1033" i="3"/>
  <c r="R1033" i="3"/>
  <c r="P1034" i="3"/>
  <c r="R1034" i="3"/>
  <c r="P1035" i="3"/>
  <c r="R1035" i="3"/>
  <c r="P1036" i="3"/>
  <c r="R1036" i="3"/>
  <c r="P1037" i="3"/>
  <c r="R1037" i="3"/>
  <c r="P1038" i="3"/>
  <c r="R1038" i="3"/>
  <c r="P1039" i="3"/>
  <c r="R1039" i="3"/>
  <c r="P1040" i="3"/>
  <c r="R1040" i="3"/>
  <c r="P1041" i="3"/>
  <c r="R1041" i="3"/>
  <c r="P1042" i="3"/>
  <c r="R1042" i="3"/>
  <c r="P1043" i="3"/>
  <c r="R1043" i="3"/>
  <c r="P1044" i="3"/>
  <c r="R1044" i="3"/>
  <c r="P1045" i="3"/>
  <c r="R1045" i="3"/>
  <c r="P1046" i="3"/>
  <c r="R1046" i="3"/>
  <c r="P1047" i="3"/>
  <c r="R1047" i="3"/>
  <c r="P1048" i="3"/>
  <c r="R1048" i="3"/>
  <c r="P1049" i="3"/>
  <c r="R1049" i="3"/>
  <c r="P1050" i="3"/>
  <c r="R1050" i="3"/>
  <c r="P1051" i="3"/>
  <c r="R1051" i="3"/>
  <c r="P1052" i="3"/>
  <c r="R1052" i="3"/>
  <c r="P1053" i="3"/>
  <c r="R1053" i="3"/>
  <c r="P1054" i="3"/>
  <c r="R1054" i="3"/>
  <c r="P1055" i="3"/>
  <c r="R1055" i="3"/>
  <c r="P1056" i="3"/>
  <c r="R1056" i="3"/>
  <c r="P1057" i="3"/>
  <c r="R1057" i="3"/>
  <c r="P1058" i="3"/>
  <c r="R1058" i="3"/>
  <c r="P1059" i="3"/>
  <c r="R1059" i="3"/>
  <c r="P1060" i="3"/>
  <c r="R1060" i="3"/>
  <c r="P1061" i="3"/>
  <c r="R1061" i="3"/>
  <c r="P1062" i="3"/>
  <c r="R1062" i="3"/>
  <c r="P1063" i="3"/>
  <c r="R1063" i="3"/>
  <c r="P1064" i="3"/>
  <c r="R1064" i="3"/>
  <c r="P1065" i="3"/>
  <c r="R1065" i="3"/>
  <c r="P1066" i="3"/>
  <c r="R1066" i="3"/>
  <c r="P1067" i="3"/>
  <c r="R1067" i="3"/>
  <c r="P1068" i="3"/>
  <c r="R1068" i="3"/>
  <c r="P1069" i="3"/>
  <c r="R1069" i="3"/>
  <c r="P1070" i="3"/>
  <c r="R1070" i="3"/>
  <c r="P1071" i="3"/>
  <c r="R1071" i="3"/>
  <c r="P1072" i="3"/>
  <c r="R1072" i="3"/>
  <c r="P1073" i="3"/>
  <c r="R1073" i="3"/>
  <c r="P1074" i="3"/>
  <c r="R1074" i="3"/>
  <c r="P1075" i="3"/>
  <c r="R1075" i="3"/>
  <c r="P1076" i="3"/>
  <c r="R1076" i="3"/>
  <c r="P1077" i="3"/>
  <c r="R1077" i="3"/>
  <c r="P1078" i="3"/>
  <c r="R1078" i="3"/>
  <c r="P1079" i="3"/>
  <c r="R1079" i="3"/>
  <c r="P1080" i="3"/>
  <c r="R1080" i="3"/>
  <c r="P1081" i="3"/>
  <c r="R1081" i="3"/>
  <c r="P1082" i="3"/>
  <c r="R1082" i="3"/>
  <c r="P1083" i="3"/>
  <c r="R1083" i="3"/>
  <c r="P1084" i="3"/>
  <c r="R1084" i="3"/>
  <c r="P1085" i="3"/>
  <c r="R1085" i="3"/>
  <c r="P1086" i="3"/>
  <c r="R1086" i="3"/>
  <c r="P1087" i="3"/>
  <c r="R1087" i="3"/>
  <c r="P1088" i="3"/>
  <c r="R1088" i="3"/>
  <c r="P1089" i="3"/>
  <c r="R1089" i="3"/>
  <c r="P1090" i="3"/>
  <c r="R1090" i="3"/>
  <c r="P1091" i="3"/>
  <c r="R1091" i="3"/>
  <c r="P1092" i="3"/>
  <c r="R1092" i="3"/>
  <c r="P1093" i="3"/>
  <c r="R1093" i="3"/>
  <c r="P1094" i="3"/>
  <c r="R1094" i="3"/>
  <c r="P1095" i="3"/>
  <c r="R1095" i="3"/>
  <c r="P1096" i="3"/>
  <c r="R1096" i="3"/>
  <c r="P1097" i="3"/>
  <c r="R1097" i="3"/>
  <c r="P1098" i="3"/>
  <c r="R1098" i="3"/>
  <c r="P1099" i="3"/>
  <c r="R1099" i="3"/>
  <c r="P1100" i="3"/>
  <c r="R1100" i="3"/>
  <c r="P1101" i="3"/>
  <c r="R1101" i="3"/>
  <c r="P1102" i="3"/>
  <c r="R1102" i="3"/>
  <c r="P1103" i="3"/>
  <c r="R1103" i="3"/>
  <c r="P1104" i="3"/>
  <c r="R1104" i="3"/>
  <c r="P1105" i="3"/>
  <c r="R1105" i="3"/>
  <c r="P1106" i="3"/>
  <c r="R1106" i="3"/>
  <c r="P1107" i="3"/>
  <c r="R1107" i="3"/>
  <c r="P1108" i="3"/>
  <c r="R1108" i="3"/>
  <c r="P1109" i="3"/>
  <c r="R1109" i="3"/>
  <c r="P1110" i="3"/>
  <c r="R1110" i="3"/>
  <c r="P1111" i="3"/>
  <c r="R1111" i="3"/>
  <c r="P1112" i="3"/>
  <c r="R1112" i="3"/>
  <c r="P1113" i="3"/>
  <c r="R1113" i="3"/>
  <c r="P1114" i="3"/>
  <c r="R1114" i="3"/>
  <c r="P1115" i="3"/>
  <c r="R1115" i="3"/>
  <c r="P1116" i="3"/>
  <c r="R1116" i="3"/>
  <c r="P1117" i="3"/>
  <c r="R1117" i="3"/>
  <c r="P1118" i="3"/>
  <c r="R1118" i="3"/>
  <c r="P1119" i="3"/>
  <c r="R1119" i="3"/>
  <c r="P1120" i="3"/>
  <c r="R1120" i="3"/>
  <c r="P1121" i="3"/>
  <c r="R1121" i="3"/>
  <c r="P1122" i="3"/>
  <c r="R1122" i="3"/>
  <c r="P1123" i="3"/>
  <c r="R1123" i="3"/>
  <c r="P1124" i="3"/>
  <c r="R1124" i="3"/>
  <c r="P1125" i="3"/>
  <c r="R1125" i="3"/>
  <c r="P1126" i="3"/>
  <c r="R1126" i="3"/>
  <c r="P1127" i="3"/>
  <c r="R1127" i="3"/>
  <c r="P1128" i="3"/>
  <c r="R1128" i="3"/>
  <c r="P1129" i="3"/>
  <c r="R1129" i="3"/>
  <c r="P1130" i="3"/>
  <c r="R1130" i="3"/>
  <c r="P1131" i="3"/>
  <c r="R1131" i="3"/>
  <c r="P1132" i="3"/>
  <c r="R1132" i="3"/>
  <c r="P1133" i="3"/>
  <c r="R1133" i="3"/>
  <c r="P1134" i="3"/>
  <c r="R1134" i="3"/>
  <c r="P1135" i="3"/>
  <c r="R1135" i="3"/>
  <c r="P1136" i="3"/>
  <c r="R1136" i="3"/>
  <c r="P1137" i="3"/>
  <c r="R1137" i="3"/>
  <c r="P1138" i="3"/>
  <c r="R1138" i="3"/>
  <c r="P1139" i="3"/>
  <c r="R1139" i="3"/>
  <c r="P1140" i="3"/>
  <c r="R1140" i="3"/>
  <c r="P1141" i="3"/>
  <c r="R1141" i="3"/>
  <c r="P1142" i="3"/>
  <c r="R1142" i="3"/>
  <c r="P1143" i="3"/>
  <c r="R1143" i="3"/>
  <c r="P1144" i="3"/>
  <c r="R1144" i="3"/>
  <c r="P1145" i="3"/>
  <c r="R1145" i="3"/>
  <c r="P1146" i="3"/>
  <c r="R1146" i="3"/>
  <c r="P1147" i="3"/>
  <c r="R1147" i="3"/>
  <c r="P1148" i="3"/>
  <c r="R1148" i="3"/>
  <c r="P1149" i="3"/>
  <c r="R1149" i="3"/>
  <c r="P1150" i="3"/>
  <c r="R1150" i="3"/>
  <c r="P1151" i="3"/>
  <c r="R1151" i="3"/>
  <c r="P1152" i="3"/>
  <c r="R1152" i="3"/>
  <c r="P1153" i="3"/>
  <c r="R1153" i="3"/>
  <c r="P1154" i="3"/>
  <c r="R1154" i="3"/>
  <c r="P1155" i="3"/>
  <c r="R1155" i="3"/>
  <c r="P1156" i="3"/>
  <c r="R1156" i="3"/>
  <c r="P1157" i="3"/>
  <c r="R1157" i="3"/>
  <c r="P1158" i="3"/>
  <c r="R1158" i="3"/>
  <c r="P1159" i="3"/>
  <c r="R1159" i="3"/>
  <c r="P1160" i="3"/>
  <c r="R1160" i="3"/>
  <c r="P1161" i="3"/>
  <c r="R1161" i="3"/>
  <c r="P1162" i="3"/>
  <c r="R1162" i="3"/>
  <c r="P1163" i="3"/>
  <c r="R1163" i="3"/>
  <c r="P1164" i="3"/>
  <c r="R1164" i="3"/>
  <c r="P1165" i="3"/>
  <c r="R1165" i="3"/>
  <c r="P1166" i="3"/>
  <c r="R1166" i="3"/>
  <c r="P1167" i="3"/>
  <c r="R1167" i="3"/>
  <c r="P1168" i="3"/>
  <c r="R1168" i="3"/>
  <c r="P1169" i="3"/>
  <c r="R1169" i="3"/>
  <c r="P1170" i="3"/>
  <c r="R1170" i="3"/>
  <c r="P1171" i="3"/>
  <c r="R1171" i="3"/>
  <c r="P1172" i="3"/>
  <c r="R1172" i="3"/>
  <c r="P1173" i="3"/>
  <c r="R1173" i="3"/>
  <c r="P1174" i="3"/>
  <c r="R1174" i="3"/>
  <c r="P1175" i="3"/>
  <c r="R1175" i="3"/>
  <c r="P1176" i="3"/>
  <c r="R1176" i="3"/>
  <c r="P1177" i="3"/>
  <c r="R1177" i="3"/>
  <c r="P1178" i="3"/>
  <c r="R1178" i="3"/>
  <c r="P1179" i="3"/>
  <c r="R1179" i="3"/>
  <c r="P1180" i="3"/>
  <c r="R1180" i="3"/>
  <c r="P1181" i="3"/>
  <c r="R1181" i="3"/>
  <c r="P1182" i="3"/>
  <c r="R1182" i="3"/>
  <c r="P1183" i="3"/>
  <c r="R1183" i="3"/>
  <c r="P1184" i="3"/>
  <c r="R1184" i="3"/>
  <c r="P1185" i="3"/>
  <c r="R1185" i="3"/>
  <c r="P1186" i="3"/>
  <c r="R1186" i="3"/>
  <c r="P1187" i="3"/>
  <c r="R1187" i="3"/>
  <c r="P1188" i="3"/>
  <c r="R1188" i="3"/>
  <c r="P1189" i="3"/>
  <c r="R1189" i="3"/>
  <c r="P1190" i="3"/>
  <c r="R1190" i="3"/>
  <c r="P1191" i="3"/>
  <c r="R1191" i="3"/>
  <c r="P1192" i="3"/>
  <c r="R1192" i="3"/>
  <c r="P1193" i="3"/>
  <c r="R1193" i="3"/>
  <c r="P1194" i="3"/>
  <c r="R1194" i="3"/>
  <c r="P1195" i="3"/>
  <c r="R1195" i="3"/>
  <c r="P1196" i="3"/>
  <c r="R1196" i="3"/>
  <c r="P1197" i="3"/>
  <c r="R1197" i="3"/>
  <c r="P1198" i="3"/>
  <c r="R1198" i="3"/>
  <c r="P1199" i="3"/>
  <c r="R1199" i="3"/>
  <c r="P1200" i="3"/>
  <c r="R1200" i="3"/>
  <c r="P1201" i="3"/>
  <c r="R1201" i="3"/>
  <c r="P1202" i="3"/>
  <c r="R1202" i="3"/>
  <c r="P1203" i="3"/>
  <c r="R1203" i="3"/>
  <c r="P1204" i="3"/>
  <c r="R1204" i="3"/>
  <c r="P1205" i="3"/>
  <c r="R1205" i="3"/>
  <c r="P1206" i="3"/>
  <c r="R1206" i="3"/>
  <c r="P1207" i="3"/>
  <c r="R1207" i="3"/>
  <c r="P1208" i="3"/>
  <c r="R1208" i="3"/>
  <c r="P1209" i="3"/>
  <c r="R1209" i="3"/>
  <c r="P1210" i="3"/>
  <c r="R1210" i="3"/>
  <c r="P1211" i="3"/>
  <c r="R1211" i="3"/>
  <c r="P1212" i="3"/>
  <c r="R1212" i="3"/>
  <c r="P1213" i="3"/>
  <c r="R1213" i="3"/>
  <c r="P1214" i="3"/>
  <c r="R1214" i="3"/>
  <c r="P1215" i="3"/>
  <c r="R1215" i="3"/>
  <c r="P1216" i="3"/>
  <c r="R1216" i="3"/>
  <c r="P1217" i="3"/>
  <c r="R1217" i="3"/>
  <c r="P1218" i="3"/>
  <c r="R1218" i="3"/>
  <c r="P1219" i="3"/>
  <c r="R1219" i="3"/>
  <c r="P1220" i="3"/>
  <c r="R1220" i="3"/>
  <c r="P1221" i="3"/>
  <c r="R1221" i="3"/>
  <c r="P1222" i="3"/>
  <c r="R1222" i="3"/>
  <c r="P1223" i="3"/>
  <c r="R1223" i="3"/>
  <c r="P1224" i="3"/>
  <c r="R1224" i="3"/>
  <c r="P1225" i="3"/>
  <c r="R1225" i="3"/>
  <c r="P1226" i="3"/>
  <c r="R1226" i="3"/>
  <c r="P1227" i="3"/>
  <c r="R1227" i="3"/>
  <c r="P1228" i="3"/>
  <c r="R1228" i="3"/>
  <c r="P1229" i="3"/>
  <c r="R1229" i="3"/>
  <c r="P1230" i="3"/>
  <c r="R1230" i="3"/>
  <c r="P1231" i="3"/>
  <c r="R1231" i="3"/>
  <c r="P1232" i="3"/>
  <c r="R1232" i="3"/>
  <c r="P1233" i="3"/>
  <c r="R1233" i="3"/>
  <c r="P1234" i="3"/>
  <c r="R1234" i="3"/>
  <c r="P1235" i="3"/>
  <c r="R1235" i="3"/>
  <c r="P1236" i="3"/>
  <c r="R1236" i="3"/>
  <c r="P1237" i="3"/>
  <c r="R1237" i="3"/>
  <c r="P1238" i="3"/>
  <c r="R1238" i="3"/>
  <c r="P1239" i="3"/>
  <c r="R1239" i="3"/>
  <c r="P1240" i="3"/>
  <c r="R1240" i="3"/>
  <c r="P1241" i="3"/>
  <c r="R1241" i="3"/>
  <c r="P1242" i="3"/>
  <c r="R1242" i="3"/>
  <c r="P1243" i="3"/>
  <c r="R1243" i="3"/>
  <c r="P1244" i="3"/>
  <c r="R1244" i="3"/>
  <c r="P1245" i="3"/>
  <c r="R1245" i="3"/>
  <c r="P1246" i="3"/>
  <c r="R1246" i="3"/>
  <c r="P1247" i="3"/>
  <c r="R1247" i="3"/>
  <c r="P1248" i="3"/>
  <c r="R1248" i="3"/>
  <c r="P1249" i="3"/>
  <c r="R1249" i="3"/>
  <c r="P1250" i="3"/>
  <c r="R1250" i="3"/>
  <c r="P1251" i="3"/>
  <c r="R1251" i="3"/>
  <c r="P1252" i="3"/>
  <c r="R1252" i="3"/>
  <c r="P1253" i="3"/>
  <c r="R1253" i="3"/>
  <c r="P1254" i="3"/>
  <c r="R1254" i="3"/>
  <c r="P1255" i="3"/>
  <c r="R1255" i="3"/>
  <c r="P1256" i="3"/>
  <c r="R1256" i="3"/>
  <c r="P1257" i="3"/>
  <c r="R1257" i="3"/>
  <c r="P1258" i="3"/>
  <c r="R1258" i="3"/>
  <c r="P1259" i="3"/>
  <c r="R1259" i="3"/>
  <c r="P1260" i="3"/>
  <c r="R1260" i="3"/>
  <c r="P1261" i="3"/>
  <c r="R1261" i="3"/>
  <c r="P1262" i="3"/>
  <c r="R1262" i="3"/>
  <c r="P1263" i="3"/>
  <c r="R1263" i="3"/>
  <c r="P1264" i="3"/>
  <c r="R1264" i="3"/>
  <c r="P1265" i="3"/>
  <c r="R1265" i="3"/>
  <c r="P1266" i="3"/>
  <c r="R1266" i="3"/>
  <c r="P1267" i="3"/>
  <c r="R1267" i="3"/>
  <c r="P1268" i="3"/>
  <c r="R1268" i="3"/>
  <c r="P1269" i="3"/>
  <c r="R1269" i="3"/>
  <c r="P1270" i="3"/>
  <c r="R1270" i="3"/>
  <c r="P1271" i="3"/>
  <c r="R1271" i="3"/>
  <c r="P1272" i="3"/>
  <c r="R1272" i="3"/>
  <c r="P1273" i="3"/>
  <c r="R1273" i="3"/>
  <c r="P1274" i="3"/>
  <c r="R1274" i="3"/>
  <c r="P1275" i="3"/>
  <c r="R1275" i="3"/>
  <c r="P1276" i="3"/>
  <c r="R1276" i="3"/>
  <c r="P1277" i="3"/>
  <c r="R1277" i="3"/>
  <c r="P1278" i="3"/>
  <c r="R1278" i="3"/>
  <c r="P1279" i="3"/>
  <c r="R1279" i="3"/>
  <c r="P1280" i="3"/>
  <c r="R1280" i="3"/>
  <c r="P1281" i="3"/>
  <c r="R1281" i="3"/>
  <c r="P1282" i="3"/>
  <c r="R1282" i="3"/>
  <c r="P1283" i="3"/>
  <c r="R1283" i="3"/>
  <c r="P1284" i="3"/>
  <c r="R1284" i="3"/>
  <c r="P1285" i="3"/>
  <c r="R1285" i="3"/>
  <c r="P1286" i="3"/>
  <c r="R1286" i="3"/>
  <c r="P1287" i="3"/>
  <c r="R1287" i="3"/>
  <c r="P1288" i="3"/>
  <c r="R1288" i="3"/>
  <c r="P1289" i="3"/>
  <c r="R1289" i="3"/>
  <c r="P1290" i="3"/>
  <c r="R1290" i="3"/>
  <c r="P1291" i="3"/>
  <c r="R1291" i="3"/>
  <c r="P1292" i="3"/>
  <c r="R1292" i="3"/>
  <c r="P1293" i="3"/>
  <c r="R1293" i="3"/>
  <c r="P1294" i="3"/>
  <c r="R1294" i="3"/>
  <c r="P1295" i="3"/>
  <c r="R1295" i="3"/>
  <c r="P1296" i="3"/>
  <c r="R1296" i="3"/>
  <c r="P1297" i="3"/>
  <c r="R1297" i="3"/>
  <c r="P1298" i="3"/>
  <c r="R1298" i="3"/>
  <c r="P1299" i="3"/>
  <c r="R1299" i="3"/>
  <c r="P1300" i="3"/>
  <c r="R1300" i="3"/>
  <c r="P1301" i="3"/>
  <c r="R1301" i="3"/>
  <c r="P1302" i="3"/>
  <c r="R1302" i="3"/>
  <c r="P1303" i="3"/>
  <c r="R1303" i="3"/>
  <c r="P1304" i="3"/>
  <c r="R1304" i="3"/>
  <c r="P1305" i="3"/>
  <c r="R1305" i="3"/>
  <c r="P1306" i="3"/>
  <c r="R1306" i="3"/>
  <c r="P1307" i="3"/>
  <c r="R1307" i="3"/>
  <c r="P1308" i="3"/>
  <c r="R1308" i="3"/>
  <c r="P1309" i="3"/>
  <c r="R1309" i="3"/>
  <c r="P1310" i="3"/>
  <c r="R1310" i="3"/>
  <c r="P1311" i="3"/>
  <c r="R1311" i="3"/>
  <c r="P1312" i="3"/>
  <c r="R1312" i="3"/>
  <c r="P1313" i="3"/>
  <c r="R1313" i="3"/>
  <c r="P1314" i="3"/>
  <c r="R1314" i="3"/>
  <c r="P1315" i="3"/>
  <c r="R1315" i="3"/>
  <c r="P1316" i="3"/>
  <c r="R1316" i="3"/>
  <c r="P1317" i="3"/>
  <c r="R1317" i="3"/>
  <c r="P1318" i="3"/>
  <c r="R1318" i="3"/>
  <c r="P1319" i="3"/>
  <c r="R1319" i="3"/>
  <c r="P1320" i="3"/>
  <c r="R1320" i="3"/>
  <c r="P1321" i="3"/>
  <c r="R1321" i="3"/>
  <c r="P1322" i="3"/>
  <c r="R1322" i="3"/>
  <c r="P1323" i="3"/>
  <c r="R1323" i="3"/>
  <c r="P1324" i="3"/>
  <c r="R1324" i="3"/>
  <c r="P1325" i="3"/>
  <c r="R1325" i="3"/>
  <c r="P1326" i="3"/>
  <c r="R1326" i="3"/>
  <c r="P1327" i="3"/>
  <c r="R1327" i="3"/>
  <c r="P1328" i="3"/>
  <c r="R1328" i="3"/>
  <c r="P1329" i="3"/>
  <c r="R1329" i="3"/>
  <c r="P1330" i="3"/>
  <c r="R1330" i="3"/>
  <c r="P1331" i="3"/>
  <c r="R1331" i="3"/>
  <c r="P1332" i="3"/>
  <c r="R1332" i="3"/>
  <c r="P1333" i="3"/>
  <c r="R1333" i="3"/>
  <c r="P1334" i="3"/>
  <c r="R1334" i="3"/>
  <c r="P1335" i="3"/>
  <c r="R1335" i="3"/>
  <c r="P1336" i="3"/>
  <c r="R1336" i="3"/>
  <c r="P1337" i="3"/>
  <c r="R1337" i="3"/>
  <c r="P1338" i="3"/>
  <c r="R1338" i="3"/>
  <c r="P1339" i="3"/>
  <c r="R1339" i="3"/>
  <c r="P1340" i="3"/>
  <c r="R1340" i="3"/>
  <c r="P1341" i="3"/>
  <c r="R1341" i="3"/>
  <c r="P1342" i="3"/>
  <c r="R1342" i="3"/>
  <c r="P1343" i="3"/>
  <c r="R1343" i="3"/>
  <c r="P1344" i="3"/>
  <c r="R1344" i="3"/>
  <c r="P1345" i="3"/>
  <c r="R1345" i="3"/>
  <c r="P1346" i="3"/>
  <c r="R1346" i="3"/>
  <c r="P1347" i="3"/>
  <c r="R1347" i="3"/>
  <c r="P1348" i="3"/>
  <c r="R1348" i="3"/>
  <c r="P1349" i="3"/>
  <c r="R1349" i="3"/>
  <c r="P1350" i="3"/>
  <c r="R1350" i="3"/>
  <c r="P1351" i="3"/>
  <c r="R1351" i="3"/>
  <c r="P1352" i="3"/>
  <c r="R1352" i="3"/>
  <c r="P1353" i="3"/>
  <c r="R1353" i="3"/>
  <c r="P1354" i="3"/>
  <c r="R1354" i="3"/>
  <c r="P1355" i="3"/>
  <c r="R1355" i="3"/>
  <c r="P1356" i="3"/>
  <c r="R1356" i="3"/>
  <c r="P1357" i="3"/>
  <c r="R1357" i="3"/>
  <c r="P1358" i="3"/>
  <c r="R1358" i="3"/>
  <c r="P1359" i="3"/>
  <c r="R1359" i="3"/>
  <c r="P1360" i="3"/>
  <c r="R1360" i="3"/>
  <c r="P1361" i="3"/>
  <c r="R1361" i="3"/>
  <c r="P1362" i="3"/>
  <c r="R1362" i="3"/>
  <c r="P1363" i="3"/>
  <c r="R1363" i="3"/>
  <c r="P1364" i="3"/>
  <c r="R1364" i="3"/>
  <c r="P1365" i="3"/>
  <c r="R1365" i="3"/>
  <c r="P1366" i="3"/>
  <c r="R1366" i="3"/>
  <c r="P1367" i="3"/>
  <c r="R1367" i="3"/>
  <c r="P1368" i="3"/>
  <c r="R1368" i="3"/>
  <c r="P1369" i="3"/>
  <c r="R1369" i="3"/>
  <c r="P1370" i="3"/>
  <c r="R1370" i="3"/>
  <c r="P1371" i="3"/>
  <c r="R1371" i="3"/>
  <c r="P1372" i="3"/>
  <c r="R1372" i="3"/>
  <c r="P1373" i="3"/>
  <c r="R1373" i="3"/>
  <c r="P1374" i="3"/>
  <c r="R1374" i="3"/>
  <c r="P1375" i="3"/>
  <c r="R1375" i="3"/>
  <c r="P1376" i="3"/>
  <c r="R1376" i="3"/>
  <c r="P1377" i="3"/>
  <c r="R1377" i="3"/>
  <c r="P1378" i="3"/>
  <c r="R1378" i="3"/>
  <c r="P1379" i="3"/>
  <c r="R1379" i="3"/>
  <c r="P1380" i="3"/>
  <c r="R1380" i="3"/>
  <c r="P1381" i="3"/>
  <c r="R1381" i="3"/>
  <c r="P1382" i="3"/>
  <c r="R1382" i="3"/>
  <c r="P1383" i="3"/>
  <c r="R1383" i="3"/>
  <c r="P1384" i="3"/>
  <c r="R1384" i="3"/>
  <c r="P1385" i="3"/>
  <c r="R1385" i="3"/>
  <c r="P1386" i="3"/>
  <c r="R1386" i="3"/>
  <c r="P1387" i="3"/>
  <c r="R1387" i="3"/>
  <c r="P1388" i="3"/>
  <c r="R1388" i="3"/>
  <c r="P1389" i="3"/>
  <c r="R1389" i="3"/>
  <c r="P1390" i="3"/>
  <c r="R1390" i="3"/>
  <c r="P1391" i="3"/>
  <c r="R1391" i="3"/>
  <c r="P1392" i="3"/>
  <c r="R1392" i="3"/>
  <c r="P1393" i="3"/>
  <c r="R1393" i="3"/>
  <c r="P1394" i="3"/>
  <c r="R1394" i="3"/>
  <c r="P1395" i="3"/>
  <c r="R1395" i="3"/>
  <c r="P1396" i="3"/>
  <c r="R1396" i="3"/>
  <c r="P1397" i="3"/>
  <c r="R1397" i="3"/>
  <c r="P1398" i="3"/>
  <c r="R1398" i="3"/>
  <c r="P1399" i="3"/>
  <c r="R1399" i="3"/>
  <c r="P1400" i="3"/>
  <c r="R1400" i="3"/>
  <c r="P1401" i="3"/>
  <c r="R1401" i="3"/>
  <c r="P1402" i="3"/>
  <c r="R1402" i="3"/>
  <c r="P1403" i="3"/>
  <c r="R1403" i="3"/>
  <c r="P1404" i="3"/>
  <c r="R1404" i="3"/>
  <c r="P1405" i="3"/>
  <c r="R1405" i="3"/>
  <c r="P1406" i="3"/>
  <c r="R1406" i="3"/>
  <c r="P1407" i="3"/>
  <c r="R1407" i="3"/>
  <c r="P1408" i="3"/>
  <c r="R1408" i="3"/>
  <c r="P1409" i="3"/>
  <c r="R1409" i="3"/>
  <c r="P1410" i="3"/>
  <c r="R1410" i="3"/>
  <c r="P1411" i="3"/>
  <c r="R1411" i="3"/>
  <c r="P1412" i="3"/>
  <c r="R1412" i="3"/>
  <c r="P1413" i="3"/>
  <c r="R1413" i="3"/>
  <c r="P1414" i="3"/>
  <c r="R1414" i="3"/>
  <c r="P1415" i="3"/>
  <c r="R1415" i="3"/>
  <c r="P1416" i="3"/>
  <c r="R1416" i="3"/>
  <c r="P1417" i="3"/>
  <c r="R1417" i="3"/>
  <c r="P1418" i="3"/>
  <c r="R1418" i="3"/>
  <c r="P1419" i="3"/>
  <c r="R1419" i="3"/>
  <c r="P1420" i="3"/>
  <c r="R1420" i="3"/>
  <c r="P1421" i="3"/>
  <c r="R1421" i="3"/>
  <c r="P1422" i="3"/>
  <c r="R1422" i="3"/>
  <c r="P1423" i="3"/>
  <c r="R1423" i="3"/>
  <c r="P1424" i="3"/>
  <c r="R1424" i="3"/>
  <c r="P1425" i="3"/>
  <c r="R1425" i="3"/>
  <c r="P1426" i="3"/>
  <c r="R1426" i="3"/>
  <c r="P1427" i="3"/>
  <c r="R1427" i="3"/>
  <c r="P1428" i="3"/>
  <c r="R1428" i="3"/>
  <c r="P1429" i="3"/>
  <c r="R1429" i="3"/>
  <c r="P1430" i="3"/>
  <c r="R1430" i="3"/>
  <c r="P1431" i="3"/>
  <c r="R1431" i="3"/>
  <c r="P1432" i="3"/>
  <c r="R1432" i="3"/>
  <c r="P1433" i="3"/>
  <c r="R1433" i="3"/>
  <c r="P1434" i="3"/>
  <c r="R1434" i="3"/>
  <c r="P1435" i="3"/>
  <c r="R1435" i="3"/>
  <c r="P1436" i="3"/>
  <c r="R1436" i="3"/>
  <c r="P1437" i="3"/>
  <c r="R1437" i="3"/>
  <c r="P1438" i="3"/>
  <c r="R1438" i="3"/>
  <c r="P1439" i="3"/>
  <c r="R1439" i="3"/>
  <c r="P1440" i="3"/>
  <c r="R1440" i="3"/>
  <c r="P1441" i="3"/>
  <c r="R1441" i="3"/>
  <c r="P1442" i="3"/>
  <c r="R1442" i="3"/>
  <c r="P1443" i="3"/>
  <c r="R1443" i="3"/>
  <c r="P1444" i="3"/>
  <c r="R1444" i="3"/>
  <c r="P1445" i="3"/>
  <c r="R1445" i="3"/>
  <c r="P1446" i="3"/>
  <c r="R1446" i="3"/>
  <c r="P1447" i="3"/>
  <c r="R1447" i="3"/>
  <c r="P1448" i="3"/>
  <c r="R1448" i="3"/>
  <c r="P1449" i="3"/>
  <c r="R1449" i="3"/>
  <c r="P1450" i="3"/>
  <c r="R1450" i="3"/>
  <c r="P1451" i="3"/>
  <c r="R1451" i="3"/>
  <c r="P1452" i="3"/>
  <c r="R1452" i="3"/>
  <c r="P1453" i="3"/>
  <c r="R1453" i="3"/>
  <c r="P1454" i="3"/>
  <c r="R1454" i="3"/>
  <c r="P1455" i="3"/>
  <c r="R1455" i="3"/>
  <c r="P1456" i="3"/>
  <c r="R1456" i="3"/>
  <c r="P1457" i="3"/>
  <c r="R1457" i="3"/>
  <c r="P1458" i="3"/>
  <c r="R1458" i="3"/>
  <c r="P1459" i="3"/>
  <c r="R1459" i="3"/>
  <c r="P1460" i="3"/>
  <c r="R1460" i="3"/>
  <c r="P1461" i="3"/>
  <c r="R1461" i="3"/>
  <c r="P1462" i="3"/>
  <c r="R1462" i="3"/>
  <c r="P1463" i="3"/>
  <c r="R1463" i="3"/>
  <c r="P1464" i="3"/>
  <c r="R1464" i="3"/>
  <c r="P1465" i="3"/>
  <c r="R1465" i="3"/>
  <c r="P1466" i="3"/>
  <c r="R1466" i="3"/>
  <c r="P1467" i="3"/>
  <c r="R1467" i="3"/>
  <c r="P1468" i="3"/>
  <c r="R1468" i="3"/>
  <c r="P1469" i="3"/>
  <c r="R1469" i="3"/>
  <c r="P1470" i="3"/>
  <c r="R1470" i="3"/>
  <c r="P1471" i="3"/>
  <c r="R1471" i="3"/>
  <c r="P1472" i="3"/>
  <c r="R1472" i="3"/>
  <c r="P1473" i="3"/>
  <c r="R1473" i="3"/>
  <c r="P1474" i="3"/>
  <c r="R1474" i="3"/>
  <c r="P1475" i="3"/>
  <c r="R1475" i="3"/>
  <c r="P1476" i="3"/>
  <c r="R1476" i="3"/>
  <c r="P1477" i="3"/>
  <c r="R1477" i="3"/>
  <c r="P1478" i="3"/>
  <c r="R1478" i="3"/>
  <c r="P1479" i="3"/>
  <c r="R1479" i="3"/>
  <c r="P1480" i="3"/>
  <c r="R1480" i="3"/>
  <c r="P1481" i="3"/>
  <c r="R1481" i="3"/>
  <c r="P1482" i="3"/>
  <c r="R1482" i="3"/>
  <c r="P1483" i="3"/>
  <c r="R1483" i="3"/>
  <c r="P1484" i="3"/>
  <c r="R1484" i="3"/>
  <c r="P1485" i="3"/>
  <c r="R1485" i="3"/>
  <c r="P1486" i="3"/>
  <c r="R1486" i="3"/>
  <c r="P1487" i="3"/>
  <c r="R1487" i="3"/>
  <c r="P1488" i="3"/>
  <c r="R1488" i="3"/>
  <c r="P1489" i="3"/>
  <c r="R1489" i="3"/>
  <c r="P1490" i="3"/>
  <c r="R1490" i="3"/>
  <c r="P1491" i="3"/>
  <c r="R1491" i="3"/>
  <c r="P1492" i="3"/>
  <c r="R1492" i="3"/>
  <c r="P1493" i="3"/>
  <c r="R1493" i="3"/>
  <c r="P1494" i="3"/>
  <c r="R1494" i="3"/>
  <c r="P1495" i="3"/>
  <c r="R1495" i="3"/>
  <c r="P1496" i="3"/>
  <c r="R1496" i="3"/>
  <c r="P1497" i="3"/>
  <c r="R1497" i="3"/>
  <c r="P1498" i="3"/>
  <c r="R1498" i="3"/>
  <c r="P1499" i="3"/>
  <c r="R1499" i="3"/>
  <c r="P1500" i="3"/>
  <c r="R1500" i="3"/>
  <c r="P1501" i="3"/>
  <c r="R1501" i="3"/>
  <c r="P1502" i="3"/>
  <c r="R1502" i="3"/>
  <c r="P1503" i="3"/>
  <c r="R1503" i="3"/>
  <c r="P1504" i="3"/>
  <c r="R1504" i="3"/>
  <c r="P1505" i="3"/>
  <c r="R1505" i="3"/>
  <c r="P1506" i="3"/>
  <c r="R1506" i="3"/>
  <c r="P1507" i="3"/>
  <c r="R1507" i="3"/>
  <c r="P1508" i="3"/>
  <c r="R1508" i="3"/>
  <c r="P1509" i="3"/>
  <c r="R1509" i="3"/>
  <c r="P1510" i="3"/>
  <c r="R1510" i="3"/>
  <c r="P1511" i="3"/>
  <c r="R1511" i="3"/>
  <c r="P1512" i="3"/>
  <c r="R1512" i="3"/>
  <c r="P1513" i="3"/>
  <c r="R1513" i="3"/>
  <c r="P1514" i="3"/>
  <c r="R1514" i="3"/>
  <c r="P1515" i="3"/>
  <c r="R1515" i="3"/>
  <c r="P1516" i="3"/>
  <c r="R1516" i="3"/>
  <c r="P1517" i="3"/>
  <c r="R1517" i="3"/>
  <c r="P1518" i="3"/>
  <c r="R1518" i="3"/>
  <c r="P1519" i="3"/>
  <c r="R1519" i="3"/>
  <c r="P1520" i="3"/>
  <c r="R1520" i="3"/>
  <c r="P1521" i="3"/>
  <c r="R1521" i="3"/>
  <c r="P1522" i="3"/>
  <c r="R1522" i="3"/>
  <c r="P1523" i="3"/>
  <c r="R1523" i="3"/>
  <c r="P1524" i="3"/>
  <c r="R1524" i="3"/>
  <c r="P1525" i="3"/>
  <c r="R1525" i="3"/>
  <c r="P1526" i="3"/>
  <c r="R1526" i="3"/>
  <c r="P1527" i="3"/>
  <c r="R1527" i="3"/>
  <c r="P1528" i="3"/>
  <c r="R1528" i="3"/>
  <c r="P1529" i="3"/>
  <c r="R1529" i="3"/>
  <c r="P1530" i="3"/>
  <c r="R1530" i="3"/>
  <c r="P1531" i="3"/>
  <c r="R1531" i="3"/>
  <c r="P1532" i="3"/>
  <c r="R1532" i="3"/>
  <c r="P1533" i="3"/>
  <c r="R1533" i="3"/>
  <c r="P1534" i="3"/>
  <c r="R1534" i="3"/>
  <c r="P1535" i="3"/>
  <c r="R1535" i="3"/>
  <c r="P1536" i="3"/>
  <c r="R1536" i="3"/>
  <c r="P1537" i="3"/>
  <c r="R1537" i="3"/>
  <c r="P1538" i="3"/>
  <c r="R1538" i="3"/>
  <c r="P1539" i="3"/>
  <c r="R1539" i="3"/>
  <c r="P1540" i="3"/>
  <c r="R1540" i="3"/>
  <c r="P1541" i="3"/>
  <c r="R1541" i="3"/>
  <c r="P1542" i="3"/>
  <c r="R1542" i="3"/>
  <c r="P1543" i="3"/>
  <c r="R1543" i="3"/>
  <c r="P1544" i="3"/>
  <c r="R1544" i="3"/>
  <c r="P1545" i="3"/>
  <c r="R1545" i="3"/>
  <c r="P1546" i="3"/>
  <c r="R1546" i="3"/>
  <c r="P1547" i="3"/>
  <c r="R1547" i="3"/>
  <c r="P1548" i="3"/>
  <c r="R1548" i="3"/>
  <c r="P1549" i="3"/>
  <c r="R1549" i="3"/>
  <c r="P1550" i="3"/>
  <c r="R1550" i="3"/>
  <c r="P1551" i="3"/>
  <c r="R1551" i="3"/>
  <c r="P1552" i="3"/>
  <c r="R1552" i="3"/>
  <c r="P1553" i="3"/>
  <c r="R1553" i="3"/>
  <c r="P1554" i="3"/>
  <c r="R1554" i="3"/>
  <c r="P1555" i="3"/>
  <c r="R1555" i="3"/>
  <c r="P1556" i="3"/>
  <c r="R1556" i="3"/>
  <c r="P1557" i="3"/>
  <c r="R1557" i="3"/>
  <c r="P1558" i="3"/>
  <c r="R1558" i="3"/>
  <c r="P1559" i="3"/>
  <c r="R1559" i="3"/>
  <c r="P1560" i="3"/>
  <c r="R1560" i="3"/>
  <c r="P1561" i="3"/>
  <c r="R1561" i="3"/>
  <c r="P1562" i="3"/>
  <c r="R1562" i="3"/>
  <c r="P1563" i="3"/>
  <c r="R1563" i="3"/>
  <c r="P1564" i="3"/>
  <c r="R1564" i="3"/>
  <c r="P1565" i="3"/>
  <c r="R1565" i="3"/>
  <c r="P1566" i="3"/>
  <c r="R1566" i="3"/>
  <c r="P1567" i="3"/>
  <c r="R1567" i="3"/>
  <c r="P1568" i="3"/>
  <c r="R1568" i="3"/>
  <c r="P1569" i="3"/>
  <c r="R1569" i="3"/>
  <c r="P1570" i="3"/>
  <c r="R1570" i="3"/>
  <c r="P1571" i="3"/>
  <c r="R1571" i="3"/>
  <c r="P1572" i="3"/>
  <c r="R1572" i="3"/>
  <c r="P1573" i="3"/>
  <c r="R1573" i="3"/>
  <c r="P1574" i="3"/>
  <c r="R1574" i="3"/>
  <c r="P1575" i="3"/>
  <c r="R1575" i="3"/>
  <c r="P1576" i="3"/>
  <c r="R1576" i="3"/>
  <c r="P1577" i="3"/>
  <c r="R1577" i="3"/>
  <c r="P1578" i="3"/>
  <c r="R1578" i="3"/>
  <c r="P1579" i="3"/>
  <c r="R1579" i="3"/>
  <c r="P1580" i="3"/>
  <c r="R1580" i="3"/>
  <c r="P1581" i="3"/>
  <c r="R1581" i="3"/>
  <c r="P1582" i="3"/>
  <c r="R1582" i="3"/>
  <c r="P1583" i="3"/>
  <c r="R1583" i="3"/>
  <c r="P1584" i="3"/>
  <c r="R1584" i="3"/>
  <c r="P1585" i="3"/>
  <c r="R1585" i="3"/>
  <c r="P1586" i="3"/>
  <c r="R1586" i="3"/>
  <c r="P1587" i="3"/>
  <c r="R1587" i="3"/>
  <c r="P1588" i="3"/>
  <c r="R1588" i="3"/>
  <c r="P1589" i="3"/>
  <c r="R1589" i="3"/>
  <c r="P1590" i="3"/>
  <c r="R1590" i="3"/>
  <c r="P1591" i="3"/>
  <c r="R1591" i="3"/>
  <c r="P1592" i="3"/>
  <c r="R1592" i="3"/>
  <c r="P1593" i="3"/>
  <c r="R1593" i="3"/>
  <c r="P1594" i="3"/>
  <c r="R1594" i="3"/>
  <c r="P1595" i="3"/>
  <c r="R1595" i="3"/>
  <c r="P1596" i="3"/>
  <c r="R1596" i="3"/>
  <c r="P1597" i="3"/>
  <c r="R1597" i="3"/>
  <c r="P1598" i="3"/>
  <c r="R1598" i="3"/>
  <c r="P1599" i="3"/>
  <c r="R1599" i="3"/>
  <c r="P1600" i="3"/>
  <c r="R1600" i="3"/>
  <c r="P1601" i="3"/>
  <c r="R1601" i="3"/>
  <c r="P1602" i="3"/>
  <c r="R1602" i="3"/>
  <c r="P1603" i="3"/>
  <c r="R1603" i="3"/>
  <c r="P1604" i="3"/>
  <c r="R1604" i="3"/>
  <c r="P1605" i="3"/>
  <c r="R1605" i="3"/>
  <c r="P1606" i="3"/>
  <c r="R1606" i="3"/>
  <c r="P1607" i="3"/>
  <c r="R1607" i="3"/>
  <c r="P1608" i="3"/>
  <c r="R1608" i="3"/>
  <c r="P1609" i="3"/>
  <c r="R1609" i="3"/>
  <c r="P1610" i="3"/>
  <c r="R1610" i="3"/>
  <c r="P1611" i="3"/>
  <c r="R1611" i="3"/>
  <c r="P1612" i="3"/>
  <c r="R1612" i="3"/>
  <c r="P1613" i="3"/>
  <c r="R1613" i="3"/>
  <c r="P1614" i="3"/>
  <c r="R1614" i="3"/>
  <c r="P1615" i="3"/>
  <c r="R1615" i="3"/>
  <c r="P1616" i="3"/>
  <c r="R1616" i="3"/>
  <c r="P1617" i="3"/>
  <c r="R1617" i="3"/>
  <c r="P1618" i="3"/>
  <c r="R1618" i="3"/>
  <c r="P1619" i="3"/>
  <c r="R1619" i="3"/>
  <c r="P1620" i="3"/>
  <c r="R1620" i="3"/>
  <c r="P1621" i="3"/>
  <c r="R1621" i="3"/>
  <c r="P1622" i="3"/>
  <c r="R1622" i="3"/>
  <c r="P1623" i="3"/>
  <c r="R1623" i="3"/>
  <c r="P1624" i="3"/>
  <c r="R1624" i="3"/>
  <c r="P1625" i="3"/>
  <c r="R1625" i="3"/>
  <c r="P1626" i="3"/>
  <c r="R1626" i="3"/>
  <c r="P1627" i="3"/>
  <c r="R1627" i="3"/>
  <c r="P1628" i="3"/>
  <c r="R1628" i="3"/>
  <c r="P1629" i="3"/>
  <c r="R1629" i="3"/>
  <c r="P1630" i="3"/>
  <c r="R1630" i="3"/>
  <c r="P1631" i="3"/>
  <c r="R1631" i="3"/>
  <c r="P1632" i="3"/>
  <c r="R1632" i="3"/>
  <c r="P1633" i="3"/>
  <c r="R1633" i="3"/>
  <c r="P1634" i="3"/>
  <c r="R1634" i="3"/>
  <c r="P1635" i="3"/>
  <c r="R1635" i="3"/>
  <c r="P1636" i="3"/>
  <c r="R1636" i="3"/>
  <c r="P1637" i="3"/>
  <c r="R1637" i="3"/>
  <c r="P1638" i="3"/>
  <c r="R1638" i="3"/>
  <c r="P1639" i="3"/>
  <c r="R1639" i="3"/>
  <c r="P1640" i="3"/>
  <c r="R1640" i="3"/>
  <c r="P1641" i="3"/>
  <c r="R1641" i="3"/>
  <c r="P1642" i="3"/>
  <c r="R1642" i="3"/>
  <c r="P1643" i="3"/>
  <c r="R1643" i="3"/>
  <c r="P1644" i="3"/>
  <c r="R1644" i="3"/>
  <c r="P1645" i="3"/>
  <c r="R1645" i="3"/>
  <c r="P1646" i="3"/>
  <c r="R1646" i="3"/>
  <c r="P1647" i="3"/>
  <c r="R1647" i="3"/>
  <c r="P1648" i="3"/>
  <c r="R1648" i="3"/>
  <c r="P1649" i="3"/>
  <c r="R1649" i="3"/>
  <c r="P1650" i="3"/>
  <c r="R1650" i="3"/>
  <c r="P1651" i="3"/>
  <c r="R1651" i="3"/>
  <c r="P1652" i="3"/>
  <c r="R1652" i="3"/>
  <c r="P1653" i="3"/>
  <c r="R1653" i="3"/>
  <c r="P1654" i="3"/>
  <c r="R1654" i="3"/>
  <c r="P1655" i="3"/>
  <c r="R1655" i="3"/>
  <c r="P1656" i="3"/>
  <c r="R1656" i="3"/>
  <c r="P1657" i="3"/>
  <c r="R1657" i="3"/>
  <c r="P1658" i="3"/>
  <c r="R1658" i="3"/>
  <c r="P1659" i="3"/>
  <c r="R1659" i="3"/>
  <c r="P1660" i="3"/>
  <c r="R1660" i="3"/>
  <c r="P1661" i="3"/>
  <c r="R1661" i="3"/>
  <c r="P1662" i="3"/>
  <c r="R1662" i="3"/>
  <c r="P1663" i="3"/>
  <c r="R1663" i="3"/>
  <c r="P1664" i="3"/>
  <c r="R1664" i="3"/>
  <c r="P1665" i="3"/>
  <c r="R1665" i="3"/>
  <c r="P1666" i="3"/>
  <c r="R1666" i="3"/>
  <c r="P1667" i="3"/>
  <c r="R1667" i="3"/>
  <c r="P1668" i="3"/>
  <c r="R1668" i="3"/>
  <c r="P1669" i="3"/>
  <c r="R1669" i="3"/>
  <c r="P1670" i="3"/>
  <c r="R1670" i="3"/>
  <c r="P1671" i="3"/>
  <c r="R1671" i="3"/>
  <c r="P1672" i="3"/>
  <c r="R1672" i="3"/>
  <c r="P1673" i="3"/>
  <c r="R1673" i="3"/>
  <c r="P1674" i="3"/>
  <c r="R1674" i="3"/>
  <c r="P1675" i="3"/>
  <c r="R1675" i="3"/>
  <c r="P1676" i="3"/>
  <c r="R1676" i="3"/>
  <c r="P1677" i="3"/>
  <c r="R1677" i="3"/>
  <c r="P1678" i="3"/>
  <c r="R1678" i="3"/>
  <c r="P1679" i="3"/>
  <c r="R1679" i="3"/>
  <c r="P1680" i="3"/>
  <c r="R1680" i="3"/>
  <c r="P1681" i="3"/>
  <c r="R1681" i="3"/>
  <c r="P1682" i="3"/>
  <c r="R1682" i="3"/>
  <c r="P1683" i="3"/>
  <c r="R1683" i="3"/>
  <c r="P1684" i="3"/>
  <c r="R1684" i="3"/>
  <c r="P1685" i="3"/>
  <c r="R1685" i="3"/>
  <c r="P1686" i="3"/>
  <c r="R1686" i="3"/>
  <c r="P1687" i="3"/>
  <c r="R1687" i="3"/>
  <c r="P1688" i="3"/>
  <c r="R1688" i="3"/>
  <c r="P1689" i="3"/>
  <c r="R1689" i="3"/>
  <c r="P1690" i="3"/>
  <c r="R1690" i="3"/>
  <c r="P1691" i="3"/>
  <c r="R1691" i="3"/>
  <c r="P1692" i="3"/>
  <c r="R1692" i="3"/>
  <c r="P1693" i="3"/>
  <c r="R1693" i="3"/>
  <c r="P1694" i="3"/>
  <c r="R1694" i="3"/>
  <c r="P1695" i="3"/>
  <c r="R1695" i="3"/>
  <c r="P1696" i="3"/>
  <c r="R1696" i="3"/>
  <c r="P1697" i="3"/>
  <c r="R1697" i="3"/>
  <c r="P1698" i="3"/>
  <c r="R1698" i="3"/>
  <c r="P1699" i="3"/>
  <c r="R1699" i="3"/>
  <c r="P1700" i="3"/>
  <c r="R1700" i="3"/>
  <c r="P1701" i="3"/>
  <c r="R1701" i="3"/>
  <c r="P1702" i="3"/>
  <c r="R1702" i="3"/>
  <c r="P1703" i="3"/>
  <c r="R1703" i="3"/>
  <c r="P1704" i="3"/>
  <c r="R1704" i="3"/>
  <c r="P1705" i="3"/>
  <c r="R1705" i="3"/>
  <c r="P1706" i="3"/>
  <c r="R1706" i="3"/>
  <c r="P1707" i="3"/>
  <c r="R1707" i="3"/>
  <c r="P1708" i="3"/>
  <c r="R1708" i="3"/>
  <c r="P1709" i="3"/>
  <c r="R1709" i="3"/>
  <c r="P1710" i="3"/>
  <c r="R1710" i="3"/>
  <c r="P1711" i="3"/>
  <c r="R1711" i="3"/>
  <c r="P1712" i="3"/>
  <c r="R1712" i="3"/>
  <c r="P1713" i="3"/>
  <c r="R1713" i="3"/>
  <c r="P1714" i="3"/>
  <c r="R1714" i="3"/>
  <c r="P1715" i="3"/>
  <c r="R1715" i="3"/>
  <c r="P1716" i="3"/>
  <c r="R1716" i="3"/>
  <c r="P1717" i="3"/>
  <c r="R1717" i="3"/>
  <c r="P1718" i="3"/>
  <c r="R1718" i="3"/>
  <c r="P1719" i="3"/>
  <c r="R1719" i="3"/>
  <c r="P1720" i="3"/>
  <c r="R1720" i="3"/>
  <c r="P1721" i="3"/>
  <c r="R1721" i="3"/>
  <c r="P1722" i="3"/>
  <c r="R1722" i="3"/>
  <c r="P1723" i="3"/>
  <c r="R1723" i="3"/>
  <c r="P1724" i="3"/>
  <c r="R1724" i="3"/>
  <c r="P1725" i="3"/>
  <c r="R1725" i="3"/>
  <c r="P1726" i="3"/>
  <c r="R1726" i="3"/>
  <c r="P1727" i="3"/>
  <c r="R1727" i="3"/>
  <c r="P1728" i="3"/>
  <c r="R1728" i="3"/>
  <c r="P1729" i="3"/>
  <c r="R1729" i="3"/>
  <c r="P1730" i="3"/>
  <c r="R1730" i="3"/>
  <c r="P1731" i="3"/>
  <c r="R1731" i="3"/>
  <c r="P1732" i="3"/>
  <c r="R1732" i="3"/>
  <c r="P1733" i="3"/>
  <c r="R1733" i="3"/>
  <c r="P1734" i="3"/>
  <c r="R1734" i="3"/>
  <c r="P1735" i="3"/>
  <c r="R1735" i="3"/>
  <c r="P1736" i="3"/>
  <c r="R1736" i="3"/>
  <c r="P1737" i="3"/>
  <c r="R1737" i="3"/>
  <c r="P1738" i="3"/>
  <c r="R1738" i="3"/>
  <c r="P1739" i="3"/>
  <c r="R1739" i="3"/>
  <c r="P1740" i="3"/>
  <c r="R1740" i="3"/>
  <c r="P1741" i="3"/>
  <c r="R1741" i="3"/>
  <c r="P1742" i="3"/>
  <c r="R1742" i="3"/>
  <c r="P1743" i="3"/>
  <c r="R1743" i="3"/>
  <c r="P1744" i="3"/>
  <c r="R1744" i="3"/>
  <c r="P1745" i="3"/>
  <c r="R1745" i="3"/>
  <c r="P1746" i="3"/>
  <c r="R1746" i="3"/>
  <c r="P1747" i="3"/>
  <c r="R1747" i="3"/>
  <c r="P1748" i="3"/>
  <c r="R1748" i="3"/>
  <c r="P1749" i="3"/>
  <c r="R1749" i="3"/>
  <c r="P1750" i="3"/>
  <c r="R1750" i="3"/>
  <c r="P1751" i="3"/>
  <c r="R1751" i="3"/>
  <c r="P1752" i="3"/>
  <c r="R1752" i="3"/>
  <c r="P1753" i="3"/>
  <c r="R1753" i="3"/>
  <c r="P1754" i="3"/>
  <c r="R1754" i="3"/>
  <c r="P1755" i="3"/>
  <c r="R1755" i="3"/>
  <c r="P1756" i="3"/>
  <c r="R1756" i="3"/>
  <c r="P1757" i="3"/>
  <c r="R1757" i="3"/>
  <c r="P1758" i="3"/>
  <c r="R1758" i="3"/>
  <c r="P1759" i="3"/>
  <c r="R1759" i="3"/>
  <c r="P1760" i="3"/>
  <c r="R1760" i="3"/>
  <c r="P1761" i="3"/>
  <c r="R1761" i="3"/>
  <c r="P1762" i="3"/>
  <c r="R1762" i="3"/>
  <c r="P1763" i="3"/>
  <c r="R1763" i="3"/>
  <c r="P1764" i="3"/>
  <c r="R1764" i="3"/>
  <c r="P1765" i="3"/>
  <c r="R1765" i="3"/>
  <c r="P1766" i="3"/>
  <c r="R1766" i="3"/>
  <c r="P1767" i="3"/>
  <c r="R1767" i="3"/>
  <c r="P1768" i="3"/>
  <c r="R1768" i="3"/>
  <c r="P1769" i="3"/>
  <c r="R1769" i="3"/>
  <c r="P1770" i="3"/>
  <c r="R1770" i="3"/>
  <c r="P1771" i="3"/>
  <c r="R1771" i="3"/>
  <c r="P1772" i="3"/>
  <c r="R1772" i="3"/>
  <c r="P1773" i="3"/>
  <c r="R1773" i="3"/>
  <c r="P1774" i="3"/>
  <c r="R1774" i="3"/>
  <c r="P1775" i="3"/>
  <c r="R1775" i="3"/>
  <c r="P1776" i="3"/>
  <c r="R1776" i="3"/>
  <c r="P1777" i="3"/>
  <c r="R1777" i="3"/>
  <c r="P1778" i="3"/>
  <c r="R1778" i="3"/>
  <c r="P1779" i="3"/>
  <c r="R1779" i="3"/>
  <c r="P1780" i="3"/>
  <c r="R1780" i="3"/>
  <c r="P1781" i="3"/>
  <c r="R1781" i="3"/>
  <c r="P1782" i="3"/>
  <c r="R1782" i="3"/>
  <c r="P1783" i="3"/>
  <c r="R1783" i="3"/>
  <c r="P1784" i="3"/>
  <c r="R1784" i="3"/>
  <c r="P1785" i="3"/>
  <c r="R1785" i="3"/>
  <c r="P1786" i="3"/>
  <c r="R1786" i="3"/>
  <c r="P1787" i="3"/>
  <c r="R1787" i="3"/>
  <c r="P1788" i="3"/>
  <c r="R1788" i="3"/>
  <c r="P1789" i="3"/>
  <c r="R1789" i="3"/>
  <c r="P1790" i="3"/>
  <c r="R1790" i="3"/>
  <c r="P1791" i="3"/>
  <c r="R1791" i="3"/>
  <c r="P1792" i="3"/>
  <c r="R1792" i="3"/>
  <c r="P1793" i="3"/>
  <c r="R1793" i="3"/>
  <c r="P1794" i="3"/>
  <c r="R1794" i="3"/>
  <c r="P1795" i="3"/>
  <c r="R1795" i="3"/>
  <c r="P1796" i="3"/>
  <c r="R1796" i="3"/>
  <c r="P1797" i="3"/>
  <c r="R1797" i="3"/>
  <c r="P1798" i="3"/>
  <c r="R1798" i="3"/>
  <c r="P1799" i="3"/>
  <c r="R1799" i="3"/>
  <c r="P1800" i="3"/>
  <c r="R1800" i="3"/>
  <c r="P1801" i="3"/>
  <c r="R1801" i="3"/>
  <c r="P1802" i="3"/>
  <c r="R1802" i="3"/>
  <c r="P1803" i="3"/>
  <c r="R1803" i="3"/>
  <c r="P1804" i="3"/>
  <c r="R1804" i="3"/>
  <c r="P1805" i="3"/>
  <c r="R1805" i="3"/>
  <c r="P1806" i="3"/>
  <c r="R1806" i="3"/>
  <c r="P1807" i="3"/>
  <c r="R1807" i="3"/>
  <c r="P1808" i="3"/>
  <c r="R1808" i="3"/>
  <c r="P1809" i="3"/>
  <c r="R1809" i="3"/>
  <c r="P1810" i="3"/>
  <c r="R1810" i="3"/>
  <c r="P1811" i="3"/>
  <c r="R1811" i="3"/>
  <c r="P1812" i="3"/>
  <c r="R1812" i="3"/>
  <c r="P1813" i="3"/>
  <c r="R1813" i="3"/>
  <c r="P1814" i="3"/>
  <c r="R1814" i="3"/>
  <c r="P1815" i="3"/>
  <c r="R1815" i="3"/>
  <c r="P1816" i="3"/>
  <c r="R1816" i="3"/>
  <c r="P1817" i="3"/>
  <c r="R1817" i="3"/>
  <c r="P1818" i="3"/>
  <c r="R1818" i="3"/>
  <c r="P1819" i="3"/>
  <c r="R1819" i="3"/>
  <c r="P1820" i="3"/>
  <c r="R1820" i="3"/>
  <c r="P1821" i="3"/>
  <c r="R1821" i="3"/>
  <c r="P1822" i="3"/>
  <c r="R1822" i="3"/>
  <c r="P1823" i="3"/>
  <c r="R1823" i="3"/>
  <c r="P1824" i="3"/>
  <c r="R1824" i="3"/>
  <c r="P1825" i="3"/>
  <c r="R1825" i="3"/>
  <c r="P1826" i="3"/>
  <c r="R1826" i="3"/>
  <c r="P1827" i="3"/>
  <c r="R1827" i="3"/>
  <c r="P1828" i="3"/>
  <c r="R1828" i="3"/>
  <c r="P1829" i="3"/>
  <c r="R1829" i="3"/>
  <c r="P1830" i="3"/>
  <c r="R1830" i="3"/>
  <c r="P1831" i="3"/>
  <c r="R1831" i="3"/>
  <c r="P1832" i="3"/>
  <c r="R1832" i="3"/>
  <c r="P1833" i="3"/>
  <c r="R1833" i="3"/>
  <c r="P1834" i="3"/>
  <c r="R1834" i="3"/>
  <c r="P1835" i="3"/>
  <c r="R1835" i="3"/>
  <c r="P1836" i="3"/>
  <c r="R1836" i="3"/>
  <c r="P1837" i="3"/>
  <c r="R1837" i="3"/>
  <c r="P1838" i="3"/>
  <c r="R1838" i="3"/>
  <c r="P1839" i="3"/>
  <c r="R1839" i="3"/>
  <c r="P1840" i="3"/>
  <c r="R1840" i="3"/>
  <c r="P1841" i="3"/>
  <c r="R1841" i="3"/>
  <c r="P1842" i="3"/>
  <c r="R1842" i="3"/>
  <c r="P1843" i="3"/>
  <c r="R1843" i="3"/>
  <c r="P1844" i="3"/>
  <c r="R1844" i="3"/>
  <c r="P1845" i="3"/>
  <c r="R1845" i="3"/>
  <c r="P1846" i="3"/>
  <c r="R1846" i="3"/>
  <c r="P1847" i="3"/>
  <c r="R1847" i="3"/>
  <c r="P1848" i="3"/>
  <c r="R1848" i="3"/>
  <c r="P1849" i="3"/>
  <c r="R1849" i="3"/>
  <c r="P1850" i="3"/>
  <c r="R1850" i="3"/>
  <c r="P1851" i="3"/>
  <c r="R1851" i="3"/>
  <c r="P1852" i="3"/>
  <c r="R1852" i="3"/>
  <c r="P1853" i="3"/>
  <c r="R1853" i="3"/>
  <c r="P1854" i="3"/>
  <c r="R1854" i="3"/>
  <c r="P1855" i="3"/>
  <c r="R1855" i="3"/>
  <c r="P1856" i="3"/>
  <c r="R1856" i="3"/>
  <c r="P1857" i="3"/>
  <c r="R1857" i="3"/>
  <c r="P1858" i="3"/>
  <c r="R1858" i="3"/>
  <c r="P1859" i="3"/>
  <c r="R1859" i="3"/>
  <c r="P1860" i="3"/>
  <c r="R1860" i="3"/>
  <c r="P1861" i="3"/>
  <c r="R1861" i="3"/>
  <c r="P1862" i="3"/>
  <c r="R1862" i="3"/>
  <c r="P1863" i="3"/>
  <c r="R1863" i="3"/>
  <c r="P1864" i="3"/>
  <c r="R1864" i="3"/>
  <c r="P1865" i="3"/>
  <c r="R1865" i="3"/>
  <c r="P1866" i="3"/>
  <c r="R1866" i="3"/>
  <c r="P1867" i="3"/>
  <c r="R1867" i="3"/>
  <c r="P1868" i="3"/>
  <c r="R1868" i="3"/>
  <c r="P1869" i="3"/>
  <c r="R1869" i="3"/>
  <c r="P1870" i="3"/>
  <c r="R1870" i="3"/>
  <c r="P1871" i="3"/>
  <c r="R1871" i="3"/>
  <c r="P1872" i="3"/>
  <c r="R1872" i="3"/>
  <c r="P1873" i="3"/>
  <c r="R1873" i="3"/>
  <c r="P1874" i="3"/>
  <c r="R1874" i="3"/>
  <c r="P1875" i="3"/>
  <c r="R1875" i="3"/>
  <c r="P1876" i="3"/>
  <c r="R1876" i="3"/>
  <c r="P1877" i="3"/>
  <c r="R1877" i="3"/>
  <c r="P1878" i="3"/>
  <c r="R1878" i="3"/>
  <c r="P1879" i="3"/>
  <c r="R1879" i="3"/>
  <c r="P1880" i="3"/>
  <c r="R1880" i="3"/>
  <c r="P1881" i="3"/>
  <c r="R1881" i="3"/>
  <c r="P1882" i="3"/>
  <c r="R1882" i="3"/>
  <c r="P1883" i="3"/>
  <c r="R1883" i="3"/>
  <c r="P1884" i="3"/>
  <c r="R1884" i="3"/>
  <c r="P1885" i="3"/>
  <c r="R1885" i="3"/>
  <c r="P1886" i="3"/>
  <c r="R1886" i="3"/>
  <c r="P1887" i="3"/>
  <c r="R1887" i="3"/>
  <c r="P1888" i="3"/>
  <c r="R1888" i="3"/>
  <c r="P1889" i="3"/>
  <c r="R1889" i="3"/>
  <c r="P1890" i="3"/>
  <c r="R1890" i="3"/>
  <c r="P1891" i="3"/>
  <c r="R1891" i="3"/>
  <c r="P1892" i="3"/>
  <c r="R1892" i="3"/>
  <c r="P1893" i="3"/>
  <c r="R1893" i="3"/>
  <c r="P1894" i="3"/>
  <c r="R1894" i="3"/>
  <c r="P1895" i="3"/>
  <c r="R1895" i="3"/>
  <c r="P1896" i="3"/>
  <c r="R1896" i="3"/>
  <c r="P1897" i="3"/>
  <c r="R1897" i="3"/>
  <c r="P1898" i="3"/>
  <c r="R1898" i="3"/>
  <c r="P1899" i="3"/>
  <c r="R1899" i="3"/>
  <c r="P1900" i="3"/>
  <c r="R1900" i="3"/>
  <c r="P1901" i="3"/>
  <c r="R1901" i="3"/>
  <c r="P1902" i="3"/>
  <c r="R1902" i="3"/>
  <c r="P1903" i="3"/>
  <c r="R1903" i="3"/>
  <c r="P1904" i="3"/>
  <c r="R1904" i="3"/>
  <c r="P1905" i="3"/>
  <c r="R1905" i="3"/>
  <c r="P1906" i="3"/>
  <c r="R1906" i="3"/>
  <c r="P1907" i="3"/>
  <c r="R1907" i="3"/>
  <c r="P1908" i="3"/>
  <c r="R1908" i="3"/>
  <c r="P1909" i="3"/>
  <c r="R1909" i="3"/>
  <c r="P1910" i="3"/>
  <c r="R1910" i="3"/>
  <c r="P1911" i="3"/>
  <c r="R1911" i="3"/>
  <c r="P1912" i="3"/>
  <c r="R1912" i="3"/>
  <c r="P1913" i="3"/>
  <c r="R1913" i="3"/>
  <c r="P1914" i="3"/>
  <c r="R1914" i="3"/>
  <c r="P1915" i="3"/>
  <c r="R1915" i="3"/>
  <c r="P1916" i="3"/>
  <c r="R1916" i="3"/>
  <c r="P1917" i="3"/>
  <c r="R1917" i="3"/>
  <c r="P1918" i="3"/>
  <c r="R1918" i="3"/>
  <c r="P1919" i="3"/>
  <c r="R1919" i="3"/>
  <c r="P1920" i="3"/>
  <c r="R1920" i="3"/>
  <c r="P1921" i="3"/>
  <c r="R1921" i="3"/>
  <c r="P1922" i="3"/>
  <c r="R1922" i="3"/>
  <c r="P1923" i="3"/>
  <c r="R1923" i="3"/>
  <c r="P1924" i="3"/>
  <c r="R1924" i="3"/>
  <c r="P1925" i="3"/>
  <c r="R1925" i="3"/>
  <c r="P1926" i="3"/>
  <c r="R1926" i="3"/>
  <c r="P1927" i="3"/>
  <c r="R1927" i="3"/>
  <c r="P1928" i="3"/>
  <c r="R1928" i="3"/>
  <c r="P1929" i="3"/>
  <c r="R1929" i="3"/>
  <c r="P1930" i="3"/>
  <c r="R1930" i="3"/>
  <c r="P1931" i="3"/>
  <c r="R1931" i="3"/>
  <c r="P1932" i="3"/>
  <c r="R1932" i="3"/>
  <c r="P1933" i="3"/>
  <c r="R1933" i="3"/>
  <c r="P1934" i="3"/>
  <c r="R1934" i="3"/>
  <c r="P1935" i="3"/>
  <c r="R1935" i="3"/>
  <c r="P1936" i="3"/>
  <c r="R1936" i="3"/>
  <c r="P1937" i="3"/>
  <c r="R1937" i="3"/>
  <c r="P1938" i="3"/>
  <c r="R1938" i="3"/>
  <c r="P1939" i="3"/>
  <c r="R1939" i="3"/>
  <c r="P1940" i="3"/>
  <c r="R1940" i="3"/>
  <c r="P1941" i="3"/>
  <c r="R1941" i="3"/>
  <c r="P1942" i="3"/>
  <c r="R1942" i="3"/>
  <c r="P1943" i="3"/>
  <c r="R1943" i="3"/>
  <c r="P1944" i="3"/>
  <c r="R1944" i="3"/>
  <c r="P1945" i="3"/>
  <c r="R1945" i="3"/>
  <c r="P1946" i="3"/>
  <c r="R1946" i="3"/>
  <c r="P1947" i="3"/>
  <c r="R1947" i="3"/>
  <c r="P1948" i="3"/>
  <c r="R1948" i="3"/>
  <c r="P1949" i="3"/>
  <c r="R1949" i="3"/>
  <c r="P1950" i="3"/>
  <c r="R1950" i="3"/>
  <c r="P1951" i="3"/>
  <c r="R1951" i="3"/>
  <c r="P1952" i="3"/>
  <c r="R1952" i="3"/>
  <c r="P1953" i="3"/>
  <c r="R1953" i="3"/>
  <c r="P1954" i="3"/>
  <c r="R1954" i="3"/>
  <c r="P1955" i="3"/>
  <c r="R1955" i="3"/>
  <c r="P1956" i="3"/>
  <c r="R1956" i="3"/>
  <c r="P1957" i="3"/>
  <c r="R1957" i="3"/>
  <c r="P1958" i="3"/>
  <c r="R1958" i="3"/>
  <c r="P1959" i="3"/>
  <c r="R1959" i="3"/>
  <c r="P1960" i="3"/>
  <c r="R1960" i="3"/>
  <c r="P1961" i="3"/>
  <c r="R1961" i="3"/>
  <c r="P1962" i="3"/>
  <c r="R1962" i="3"/>
  <c r="P1963" i="3"/>
  <c r="R1963" i="3"/>
  <c r="P1964" i="3"/>
  <c r="R1964" i="3"/>
  <c r="P1965" i="3"/>
  <c r="R1965" i="3"/>
  <c r="P1966" i="3"/>
  <c r="R1966" i="3"/>
  <c r="P1967" i="3"/>
  <c r="R1967" i="3"/>
  <c r="P1968" i="3"/>
  <c r="R1968" i="3"/>
  <c r="P1969" i="3"/>
  <c r="R1969" i="3"/>
  <c r="P1970" i="3"/>
  <c r="R1970" i="3"/>
  <c r="P1971" i="3"/>
  <c r="R1971" i="3"/>
  <c r="P1972" i="3"/>
  <c r="R1972" i="3"/>
  <c r="P1973" i="3"/>
  <c r="R1973" i="3"/>
  <c r="P1974" i="3"/>
  <c r="R1974" i="3"/>
  <c r="P1975" i="3"/>
  <c r="R1975" i="3"/>
  <c r="P1976" i="3"/>
  <c r="R1976" i="3"/>
  <c r="P1977" i="3"/>
  <c r="R1977" i="3"/>
  <c r="P1978" i="3"/>
  <c r="R1978" i="3"/>
  <c r="P1979" i="3"/>
  <c r="R1979" i="3"/>
  <c r="P1980" i="3"/>
  <c r="R1980" i="3"/>
  <c r="P1981" i="3"/>
  <c r="R1981" i="3"/>
  <c r="P1982" i="3"/>
  <c r="R1982" i="3"/>
  <c r="P1983" i="3"/>
  <c r="R1983" i="3"/>
  <c r="P1984" i="3"/>
  <c r="R1984" i="3"/>
  <c r="P1985" i="3"/>
  <c r="R1985" i="3"/>
  <c r="P1986" i="3"/>
  <c r="R1986" i="3"/>
  <c r="P1987" i="3"/>
  <c r="R1987" i="3"/>
  <c r="P1988" i="3"/>
  <c r="R1988" i="3"/>
  <c r="P1989" i="3"/>
  <c r="R1989" i="3"/>
  <c r="P1990" i="3"/>
  <c r="R1990" i="3"/>
  <c r="P1991" i="3"/>
  <c r="R1991" i="3"/>
  <c r="P1992" i="3"/>
  <c r="R1992" i="3"/>
  <c r="P1993" i="3"/>
  <c r="R1993" i="3"/>
  <c r="P1994" i="3"/>
  <c r="R1994" i="3"/>
  <c r="P1995" i="3"/>
  <c r="R1995" i="3"/>
  <c r="P1996" i="3"/>
  <c r="R1996" i="3"/>
  <c r="P1997" i="3"/>
  <c r="R1997" i="3"/>
  <c r="P1998" i="3"/>
  <c r="R1998" i="3"/>
  <c r="P1999" i="3"/>
  <c r="R1999" i="3"/>
  <c r="P2000" i="3"/>
  <c r="R2000" i="3"/>
  <c r="P2001" i="3"/>
  <c r="R2001" i="3"/>
  <c r="P2002" i="3"/>
  <c r="R2002" i="3"/>
  <c r="P2003" i="3"/>
  <c r="R2003" i="3"/>
  <c r="P2004" i="3"/>
  <c r="R2004" i="3"/>
  <c r="P2005" i="3"/>
  <c r="R2005" i="3"/>
  <c r="P2006" i="3"/>
  <c r="R2006" i="3"/>
  <c r="P2007" i="3"/>
  <c r="R2007" i="3"/>
  <c r="P2008" i="3"/>
  <c r="R2008" i="3"/>
  <c r="P2009" i="3"/>
  <c r="R2009" i="3"/>
  <c r="P2010" i="3"/>
  <c r="R2010" i="3"/>
  <c r="P2011" i="3"/>
  <c r="R2011" i="3"/>
  <c r="P2012" i="3"/>
  <c r="R2012" i="3"/>
  <c r="P2013" i="3"/>
  <c r="R2013" i="3"/>
  <c r="P2014" i="3"/>
  <c r="R2014" i="3"/>
  <c r="P2015" i="3"/>
  <c r="R2015" i="3"/>
  <c r="P2016" i="3"/>
  <c r="R2016" i="3"/>
  <c r="P2017" i="3"/>
  <c r="R2017" i="3"/>
  <c r="P2018" i="3"/>
  <c r="R2018" i="3"/>
  <c r="P2019" i="3"/>
  <c r="R2019" i="3"/>
  <c r="P2020" i="3"/>
  <c r="R2020" i="3"/>
  <c r="P2021" i="3"/>
  <c r="R2021" i="3"/>
  <c r="P2022" i="3"/>
  <c r="R2022" i="3"/>
  <c r="P2023" i="3"/>
  <c r="R2023" i="3"/>
  <c r="P2024" i="3"/>
  <c r="R2024" i="3"/>
  <c r="P2025" i="3"/>
  <c r="R2025" i="3"/>
  <c r="P2026" i="3"/>
  <c r="R2026" i="3"/>
  <c r="P2027" i="3"/>
  <c r="R2027" i="3"/>
  <c r="P2028" i="3"/>
  <c r="R2028" i="3"/>
  <c r="P2029" i="3"/>
  <c r="R2029" i="3"/>
  <c r="P2030" i="3"/>
  <c r="R2030" i="3"/>
  <c r="P2031" i="3"/>
  <c r="R2031" i="3"/>
  <c r="P2032" i="3"/>
  <c r="R2032" i="3"/>
  <c r="P2033" i="3"/>
  <c r="R2033" i="3"/>
  <c r="P2034" i="3"/>
  <c r="R2034" i="3"/>
  <c r="P2035" i="3"/>
  <c r="R2035" i="3"/>
  <c r="P2036" i="3"/>
  <c r="R2036" i="3"/>
  <c r="P2037" i="3"/>
  <c r="R2037" i="3"/>
  <c r="P2038" i="3"/>
  <c r="R2038" i="3"/>
  <c r="P2039" i="3"/>
  <c r="R2039" i="3"/>
  <c r="P2040" i="3"/>
  <c r="R2040" i="3"/>
  <c r="P2041" i="3"/>
  <c r="R2041" i="3"/>
  <c r="P2042" i="3"/>
  <c r="R2042" i="3"/>
  <c r="P2043" i="3"/>
  <c r="R2043" i="3"/>
  <c r="P2044" i="3"/>
  <c r="R2044" i="3"/>
  <c r="P2045" i="3"/>
  <c r="R2045" i="3"/>
  <c r="P2046" i="3"/>
  <c r="R2046" i="3"/>
  <c r="P2047" i="3"/>
  <c r="R2047" i="3"/>
  <c r="P2048" i="3"/>
  <c r="R2048" i="3"/>
  <c r="P2049" i="3"/>
  <c r="R2049" i="3"/>
  <c r="P2050" i="3"/>
  <c r="R2050" i="3"/>
  <c r="P2051" i="3"/>
  <c r="R2051" i="3"/>
  <c r="P2052" i="3"/>
  <c r="R2052" i="3"/>
  <c r="P2053" i="3"/>
  <c r="R2053" i="3"/>
  <c r="P2054" i="3"/>
  <c r="R2054" i="3"/>
  <c r="P2055" i="3"/>
  <c r="R2055" i="3"/>
  <c r="P2056" i="3"/>
  <c r="R2056" i="3"/>
  <c r="P2057" i="3"/>
  <c r="R2057" i="3"/>
  <c r="P2058" i="3"/>
  <c r="R2058" i="3"/>
  <c r="P2059" i="3"/>
  <c r="R2059" i="3"/>
  <c r="P2060" i="3"/>
  <c r="R2060" i="3"/>
  <c r="P2061" i="3"/>
  <c r="R2061" i="3"/>
  <c r="P2062" i="3"/>
  <c r="R2062" i="3"/>
  <c r="P2063" i="3"/>
  <c r="R2063" i="3"/>
  <c r="P2064" i="3"/>
  <c r="R2064" i="3"/>
  <c r="P2065" i="3"/>
  <c r="R2065" i="3"/>
  <c r="P2066" i="3"/>
  <c r="R2066" i="3"/>
  <c r="P2067" i="3"/>
  <c r="R2067" i="3"/>
  <c r="P2068" i="3"/>
  <c r="R2068" i="3"/>
  <c r="P2069" i="3"/>
  <c r="R2069" i="3"/>
  <c r="P2070" i="3"/>
  <c r="R2070" i="3"/>
  <c r="P2071" i="3"/>
  <c r="R2071" i="3"/>
  <c r="P2072" i="3"/>
  <c r="R2072" i="3"/>
  <c r="P2073" i="3"/>
  <c r="R2073" i="3"/>
  <c r="P2074" i="3"/>
  <c r="R2074" i="3"/>
  <c r="P2075" i="3"/>
  <c r="R2075" i="3"/>
  <c r="P2076" i="3"/>
  <c r="R2076" i="3"/>
  <c r="P2077" i="3"/>
  <c r="R2077" i="3"/>
  <c r="P2078" i="3"/>
  <c r="R2078" i="3"/>
  <c r="P2079" i="3"/>
  <c r="R2079" i="3"/>
  <c r="P2080" i="3"/>
  <c r="R2080" i="3"/>
  <c r="P2081" i="3"/>
  <c r="R2081" i="3"/>
  <c r="P2082" i="3"/>
  <c r="R2082" i="3"/>
  <c r="P2083" i="3"/>
  <c r="R2083" i="3"/>
  <c r="P2084" i="3"/>
  <c r="R2084" i="3"/>
  <c r="P2085" i="3"/>
  <c r="R2085" i="3"/>
  <c r="P2086" i="3"/>
  <c r="R2086" i="3"/>
  <c r="P2087" i="3"/>
  <c r="R2087" i="3"/>
  <c r="P2088" i="3"/>
  <c r="R2088" i="3"/>
  <c r="P2089" i="3"/>
  <c r="R2089" i="3"/>
  <c r="P2090" i="3"/>
  <c r="R2090" i="3"/>
  <c r="P2091" i="3"/>
  <c r="R2091" i="3"/>
  <c r="P2092" i="3"/>
  <c r="R2092" i="3"/>
  <c r="P2093" i="3"/>
  <c r="R2093" i="3"/>
  <c r="P2094" i="3"/>
  <c r="R2094" i="3"/>
  <c r="P2095" i="3"/>
  <c r="R2095" i="3"/>
  <c r="P2096" i="3"/>
  <c r="R2096" i="3"/>
  <c r="P2097" i="3"/>
  <c r="R2097" i="3"/>
  <c r="P2098" i="3"/>
  <c r="R2098" i="3"/>
  <c r="P2099" i="3"/>
  <c r="R2099" i="3"/>
  <c r="P2100" i="3"/>
  <c r="R2100" i="3"/>
  <c r="P2101" i="3"/>
  <c r="R2101" i="3"/>
  <c r="P2102" i="3"/>
  <c r="R2102" i="3"/>
  <c r="P2103" i="3"/>
  <c r="R2103" i="3"/>
  <c r="P2104" i="3"/>
  <c r="R2104" i="3"/>
  <c r="P2105" i="3"/>
  <c r="R2105" i="3"/>
  <c r="P2106" i="3"/>
  <c r="R2106" i="3"/>
  <c r="P2107" i="3"/>
  <c r="R2107" i="3"/>
  <c r="P2108" i="3"/>
  <c r="R2108" i="3"/>
  <c r="P2109" i="3"/>
  <c r="R2109" i="3"/>
  <c r="P2110" i="3"/>
  <c r="R2110" i="3"/>
  <c r="P2111" i="3"/>
  <c r="R2111" i="3"/>
  <c r="P2112" i="3"/>
  <c r="R2112" i="3"/>
  <c r="P2113" i="3"/>
  <c r="R2113" i="3"/>
  <c r="P2114" i="3"/>
  <c r="R2114" i="3"/>
  <c r="P2115" i="3"/>
  <c r="R2115" i="3"/>
  <c r="P2116" i="3"/>
  <c r="R2116" i="3"/>
  <c r="P2117" i="3"/>
  <c r="R2117" i="3"/>
  <c r="P2118" i="3"/>
  <c r="R2118" i="3"/>
  <c r="P2119" i="3"/>
  <c r="R2119" i="3"/>
  <c r="P2120" i="3"/>
  <c r="R2120" i="3"/>
  <c r="P2121" i="3"/>
  <c r="R2121" i="3"/>
  <c r="P2122" i="3"/>
  <c r="R2122" i="3"/>
  <c r="P2123" i="3"/>
  <c r="R2123" i="3"/>
  <c r="P2124" i="3"/>
  <c r="R2124" i="3"/>
  <c r="P2125" i="3"/>
  <c r="R2125" i="3"/>
  <c r="P2126" i="3"/>
  <c r="R2126" i="3"/>
  <c r="P2127" i="3"/>
  <c r="R2127" i="3"/>
  <c r="P2128" i="3"/>
  <c r="R2128" i="3"/>
  <c r="P2129" i="3"/>
  <c r="R2129" i="3"/>
  <c r="P2130" i="3"/>
  <c r="R2130" i="3"/>
  <c r="P2131" i="3"/>
  <c r="R2131" i="3"/>
  <c r="P2132" i="3"/>
  <c r="R2132" i="3"/>
  <c r="P2133" i="3"/>
  <c r="R2133" i="3"/>
  <c r="P2134" i="3"/>
  <c r="R2134" i="3"/>
  <c r="P2135" i="3"/>
  <c r="R2135" i="3"/>
  <c r="P2136" i="3"/>
  <c r="R2136" i="3"/>
  <c r="P2137" i="3"/>
  <c r="R2137" i="3"/>
  <c r="P2138" i="3"/>
  <c r="R2138" i="3"/>
  <c r="P2139" i="3"/>
  <c r="R2139" i="3"/>
  <c r="P2140" i="3"/>
  <c r="R2140" i="3"/>
  <c r="P2141" i="3"/>
  <c r="R2141" i="3"/>
  <c r="P2142" i="3"/>
  <c r="R2142" i="3"/>
  <c r="P2143" i="3"/>
  <c r="R2143" i="3"/>
  <c r="P2144" i="3"/>
  <c r="R2144" i="3"/>
  <c r="P2145" i="3"/>
  <c r="R2145" i="3"/>
  <c r="P2146" i="3"/>
  <c r="R2146" i="3"/>
  <c r="P2147" i="3"/>
  <c r="R2147" i="3"/>
  <c r="P2148" i="3"/>
  <c r="R2148" i="3"/>
  <c r="P2149" i="3"/>
  <c r="R2149" i="3"/>
  <c r="P2150" i="3"/>
  <c r="R2150" i="3"/>
  <c r="P2151" i="3"/>
  <c r="R2151" i="3"/>
  <c r="P2152" i="3"/>
  <c r="R2152" i="3"/>
  <c r="P2153" i="3"/>
  <c r="R2153" i="3"/>
  <c r="P2154" i="3"/>
  <c r="R2154" i="3"/>
  <c r="P2155" i="3"/>
  <c r="R2155" i="3"/>
  <c r="P2156" i="3"/>
  <c r="R2156" i="3"/>
  <c r="P2157" i="3"/>
  <c r="R2157" i="3"/>
  <c r="P2158" i="3"/>
  <c r="R2158" i="3"/>
  <c r="P2159" i="3"/>
  <c r="R2159" i="3"/>
  <c r="P2160" i="3"/>
  <c r="R2160" i="3"/>
  <c r="P2161" i="3"/>
  <c r="R2161" i="3"/>
  <c r="P2162" i="3"/>
  <c r="R2162" i="3"/>
  <c r="P2163" i="3"/>
  <c r="R2163" i="3"/>
  <c r="P2164" i="3"/>
  <c r="R2164" i="3"/>
  <c r="P2165" i="3"/>
  <c r="R2165" i="3"/>
  <c r="P2166" i="3"/>
  <c r="R2166" i="3"/>
  <c r="P2167" i="3"/>
  <c r="R2167" i="3"/>
  <c r="P2168" i="3"/>
  <c r="R2168" i="3"/>
  <c r="P2169" i="3"/>
  <c r="R2169" i="3"/>
  <c r="P2170" i="3"/>
  <c r="R2170" i="3"/>
  <c r="P2171" i="3"/>
  <c r="R2171" i="3"/>
  <c r="P2172" i="3"/>
  <c r="R2172" i="3"/>
  <c r="P2173" i="3"/>
  <c r="R2173" i="3"/>
  <c r="P2174" i="3"/>
  <c r="R2174" i="3"/>
  <c r="P2175" i="3"/>
  <c r="R2175" i="3"/>
  <c r="P2176" i="3"/>
  <c r="R2176" i="3"/>
  <c r="P2177" i="3"/>
  <c r="R2177" i="3"/>
  <c r="P2178" i="3"/>
  <c r="R2178" i="3"/>
  <c r="P2179" i="3"/>
  <c r="R2179" i="3"/>
  <c r="P2180" i="3"/>
  <c r="R2180" i="3"/>
  <c r="P2181" i="3"/>
  <c r="R2181" i="3"/>
  <c r="P2182" i="3"/>
  <c r="R2182" i="3"/>
  <c r="P2183" i="3"/>
  <c r="R2183" i="3"/>
  <c r="P2184" i="3"/>
  <c r="R2184" i="3"/>
  <c r="P2185" i="3"/>
  <c r="R2185" i="3"/>
  <c r="P2186" i="3"/>
  <c r="R2186" i="3"/>
  <c r="P2187" i="3"/>
  <c r="R2187" i="3"/>
  <c r="P2188" i="3"/>
  <c r="R2188" i="3"/>
  <c r="P2189" i="3"/>
  <c r="R2189" i="3"/>
  <c r="P2190" i="3"/>
  <c r="R2190" i="3"/>
  <c r="P2191" i="3"/>
  <c r="R2191" i="3"/>
  <c r="P2192" i="3"/>
  <c r="R2192" i="3"/>
  <c r="P2193" i="3"/>
  <c r="R2193" i="3"/>
  <c r="P2194" i="3"/>
  <c r="R2194" i="3"/>
  <c r="P2195" i="3"/>
  <c r="R2195" i="3"/>
  <c r="P2196" i="3"/>
  <c r="R2196" i="3"/>
  <c r="P2197" i="3"/>
  <c r="R2197" i="3"/>
  <c r="P2198" i="3"/>
  <c r="R2198" i="3"/>
  <c r="P2199" i="3"/>
  <c r="R2199" i="3"/>
  <c r="P2200" i="3"/>
  <c r="R2200" i="3"/>
  <c r="P2201" i="3"/>
  <c r="R2201" i="3"/>
  <c r="P2202" i="3"/>
  <c r="R2202" i="3"/>
  <c r="P2203" i="3"/>
  <c r="R2203" i="3"/>
  <c r="P2204" i="3"/>
  <c r="R2204" i="3"/>
  <c r="P2205" i="3"/>
  <c r="R2205" i="3"/>
  <c r="P2206" i="3"/>
  <c r="R2206" i="3"/>
  <c r="P2207" i="3"/>
  <c r="R2207" i="3"/>
  <c r="P2208" i="3"/>
  <c r="R2208" i="3"/>
  <c r="P2209" i="3"/>
  <c r="R2209" i="3"/>
  <c r="P2210" i="3"/>
  <c r="R2210" i="3"/>
  <c r="P2211" i="3"/>
  <c r="R2211" i="3"/>
  <c r="P2212" i="3"/>
  <c r="R2212" i="3"/>
  <c r="P2213" i="3"/>
  <c r="R2213" i="3"/>
  <c r="P2214" i="3"/>
  <c r="R2214" i="3"/>
  <c r="P2215" i="3"/>
  <c r="R2215" i="3"/>
  <c r="P2216" i="3"/>
  <c r="R2216" i="3"/>
  <c r="P2217" i="3"/>
  <c r="R2217" i="3"/>
  <c r="P2218" i="3"/>
  <c r="R2218" i="3"/>
  <c r="P2219" i="3"/>
  <c r="R2219" i="3"/>
  <c r="P2220" i="3"/>
  <c r="R2220" i="3"/>
  <c r="P2221" i="3"/>
  <c r="R2221" i="3"/>
  <c r="P2222" i="3"/>
  <c r="R2222" i="3"/>
  <c r="P2223" i="3"/>
  <c r="R2223" i="3"/>
  <c r="P2224" i="3"/>
  <c r="R2224" i="3"/>
  <c r="P2225" i="3"/>
  <c r="R2225" i="3"/>
  <c r="P2226" i="3"/>
  <c r="R2226" i="3"/>
  <c r="P2227" i="3"/>
  <c r="R2227" i="3"/>
  <c r="P2228" i="3"/>
  <c r="R2228" i="3"/>
  <c r="P2229" i="3"/>
  <c r="R2229" i="3"/>
  <c r="P2230" i="3"/>
  <c r="R2230" i="3"/>
  <c r="P2231" i="3"/>
  <c r="R2231" i="3"/>
  <c r="P2232" i="3"/>
  <c r="R2232" i="3"/>
  <c r="P2233" i="3"/>
  <c r="R2233" i="3"/>
  <c r="P2234" i="3"/>
  <c r="R2234" i="3"/>
  <c r="P2235" i="3"/>
  <c r="R2235" i="3"/>
  <c r="P2236" i="3"/>
  <c r="R2236" i="3"/>
  <c r="P2237" i="3"/>
  <c r="R2237" i="3"/>
  <c r="P2238" i="3"/>
  <c r="R2238" i="3"/>
  <c r="P2239" i="3"/>
  <c r="R2239" i="3"/>
  <c r="P2240" i="3"/>
  <c r="R2240" i="3"/>
  <c r="P2241" i="3"/>
  <c r="R2241" i="3"/>
  <c r="P2242" i="3"/>
  <c r="R2242" i="3"/>
  <c r="P2243" i="3"/>
  <c r="R2243" i="3"/>
  <c r="P2244" i="3"/>
  <c r="R2244" i="3"/>
  <c r="P2245" i="3"/>
  <c r="R2245" i="3"/>
  <c r="P2246" i="3"/>
  <c r="R2246" i="3"/>
  <c r="P2247" i="3"/>
  <c r="R2247" i="3"/>
  <c r="P2248" i="3"/>
  <c r="R2248" i="3"/>
  <c r="P2249" i="3"/>
  <c r="R2249" i="3"/>
  <c r="P2250" i="3"/>
  <c r="R2250" i="3"/>
  <c r="P2251" i="3"/>
  <c r="R2251" i="3"/>
  <c r="P2252" i="3"/>
  <c r="R2252" i="3"/>
  <c r="P2253" i="3"/>
  <c r="R2253" i="3"/>
  <c r="P2254" i="3"/>
  <c r="R2254" i="3"/>
  <c r="P2255" i="3"/>
  <c r="R2255" i="3"/>
  <c r="P2256" i="3"/>
  <c r="R2256" i="3"/>
  <c r="P2257" i="3"/>
  <c r="R2257" i="3"/>
  <c r="P2258" i="3"/>
  <c r="R2258" i="3"/>
  <c r="P2259" i="3"/>
  <c r="R2259" i="3"/>
  <c r="P2260" i="3"/>
  <c r="R2260" i="3"/>
  <c r="P2261" i="3"/>
  <c r="R2261" i="3"/>
  <c r="P2262" i="3"/>
  <c r="R2262" i="3"/>
  <c r="P2263" i="3"/>
  <c r="R2263" i="3"/>
  <c r="P2264" i="3"/>
  <c r="R2264" i="3"/>
  <c r="P2265" i="3"/>
  <c r="R2265" i="3"/>
  <c r="P2266" i="3"/>
  <c r="R2266" i="3"/>
  <c r="P2267" i="3"/>
  <c r="R2267" i="3"/>
  <c r="P2268" i="3"/>
  <c r="R2268" i="3"/>
  <c r="P2269" i="3"/>
  <c r="R2269" i="3"/>
  <c r="P2270" i="3"/>
  <c r="R2270" i="3"/>
  <c r="P2271" i="3"/>
  <c r="R2271" i="3"/>
  <c r="P2272" i="3"/>
  <c r="R2272" i="3"/>
  <c r="P2273" i="3"/>
  <c r="R2273" i="3"/>
  <c r="P2274" i="3"/>
  <c r="R2274" i="3"/>
  <c r="P2275" i="3"/>
  <c r="R2275" i="3"/>
  <c r="P2276" i="3"/>
  <c r="R2276" i="3"/>
  <c r="P2277" i="3"/>
  <c r="R2277" i="3"/>
  <c r="P2278" i="3"/>
  <c r="R2278" i="3"/>
  <c r="P2279" i="3"/>
  <c r="R2279" i="3"/>
  <c r="P2280" i="3"/>
  <c r="R2280" i="3"/>
  <c r="P2281" i="3"/>
  <c r="R2281" i="3"/>
  <c r="P2282" i="3"/>
  <c r="R2282" i="3"/>
  <c r="P2283" i="3"/>
  <c r="R2283" i="3"/>
  <c r="P2284" i="3"/>
  <c r="R2284" i="3"/>
  <c r="P2285" i="3"/>
  <c r="R2285" i="3"/>
  <c r="P2286" i="3"/>
  <c r="R2286" i="3"/>
  <c r="P2287" i="3"/>
  <c r="R2287" i="3"/>
  <c r="P2288" i="3"/>
  <c r="R2288" i="3"/>
  <c r="P2289" i="3"/>
  <c r="R2289" i="3"/>
  <c r="P2290" i="3"/>
  <c r="R2290" i="3"/>
  <c r="P2291" i="3"/>
  <c r="R2291" i="3"/>
  <c r="P2292" i="3"/>
  <c r="R2292" i="3"/>
  <c r="P2293" i="3"/>
  <c r="R2293" i="3"/>
  <c r="P2294" i="3"/>
  <c r="R2294" i="3"/>
  <c r="P2295" i="3"/>
  <c r="R2295" i="3"/>
  <c r="P2296" i="3"/>
  <c r="R2296" i="3"/>
  <c r="P2297" i="3"/>
  <c r="R2297" i="3"/>
  <c r="P2298" i="3"/>
  <c r="R2298" i="3"/>
  <c r="P2299" i="3"/>
  <c r="R2299" i="3"/>
  <c r="P2300" i="3"/>
  <c r="R2300" i="3"/>
  <c r="P2301" i="3"/>
  <c r="R2301" i="3"/>
  <c r="P2302" i="3"/>
  <c r="R2302" i="3"/>
  <c r="P2303" i="3"/>
  <c r="R2303" i="3"/>
  <c r="P2304" i="3"/>
  <c r="R2304" i="3"/>
  <c r="P2305" i="3"/>
  <c r="R2305" i="3"/>
  <c r="P2306" i="3"/>
  <c r="R2306" i="3"/>
  <c r="P2307" i="3"/>
  <c r="R2307" i="3"/>
  <c r="P2308" i="3"/>
  <c r="R2308" i="3"/>
  <c r="P2309" i="3"/>
  <c r="R2309" i="3"/>
  <c r="P2310" i="3"/>
  <c r="R2310" i="3"/>
  <c r="P2311" i="3"/>
  <c r="R2311" i="3"/>
  <c r="P2312" i="3"/>
  <c r="R2312" i="3"/>
  <c r="P2313" i="3"/>
  <c r="R2313" i="3"/>
  <c r="P2314" i="3"/>
  <c r="R2314" i="3"/>
  <c r="P2315" i="3"/>
  <c r="R2315" i="3"/>
  <c r="P2316" i="3"/>
  <c r="R2316" i="3"/>
  <c r="P2317" i="3"/>
  <c r="R2317" i="3"/>
  <c r="P2318" i="3"/>
  <c r="R2318" i="3"/>
  <c r="P2319" i="3"/>
  <c r="R2319" i="3"/>
  <c r="P2320" i="3"/>
  <c r="R2320" i="3"/>
  <c r="P2321" i="3"/>
  <c r="R2321" i="3"/>
  <c r="P2322" i="3"/>
  <c r="R2322" i="3"/>
  <c r="P2323" i="3"/>
  <c r="R2323" i="3"/>
  <c r="P2324" i="3"/>
  <c r="R2324" i="3"/>
  <c r="P2325" i="3"/>
  <c r="R2325" i="3"/>
  <c r="P2326" i="3"/>
  <c r="R2326" i="3"/>
  <c r="P2327" i="3"/>
  <c r="R2327" i="3"/>
  <c r="P2328" i="3"/>
  <c r="R2328" i="3"/>
  <c r="P2329" i="3"/>
  <c r="R2329" i="3"/>
  <c r="P2330" i="3"/>
  <c r="R2330" i="3"/>
  <c r="P2331" i="3"/>
  <c r="R2331" i="3"/>
  <c r="P2332" i="3"/>
  <c r="R2332" i="3"/>
  <c r="P2333" i="3"/>
  <c r="R2333" i="3"/>
  <c r="P2334" i="3"/>
  <c r="R2334" i="3"/>
  <c r="P2335" i="3"/>
  <c r="R2335" i="3"/>
  <c r="P2336" i="3"/>
  <c r="R2336" i="3"/>
  <c r="P2337" i="3"/>
  <c r="R2337" i="3"/>
  <c r="P2338" i="3"/>
  <c r="R2338" i="3"/>
  <c r="P2339" i="3"/>
  <c r="R2339" i="3"/>
  <c r="P2340" i="3"/>
  <c r="R2340" i="3"/>
  <c r="P2341" i="3"/>
  <c r="R2341" i="3"/>
  <c r="P2342" i="3"/>
  <c r="R2342" i="3"/>
  <c r="P2343" i="3"/>
  <c r="R2343" i="3"/>
  <c r="P2344" i="3"/>
  <c r="R2344" i="3"/>
  <c r="P2345" i="3"/>
  <c r="R2345" i="3"/>
  <c r="P2346" i="3"/>
  <c r="R2346" i="3"/>
  <c r="P2347" i="3"/>
  <c r="R2347" i="3"/>
  <c r="P2348" i="3"/>
  <c r="R2348" i="3"/>
  <c r="P2349" i="3"/>
  <c r="R2349" i="3"/>
  <c r="P2350" i="3"/>
  <c r="R2350" i="3"/>
  <c r="P2351" i="3"/>
  <c r="R2351" i="3"/>
  <c r="P2352" i="3"/>
  <c r="R2352" i="3"/>
  <c r="P2353" i="3"/>
  <c r="R2353" i="3"/>
  <c r="P2354" i="3"/>
  <c r="R2354" i="3"/>
  <c r="P2355" i="3"/>
  <c r="R2355" i="3"/>
  <c r="P2356" i="3"/>
  <c r="R2356" i="3"/>
  <c r="P2357" i="3"/>
  <c r="R2357" i="3"/>
  <c r="P2358" i="3"/>
  <c r="R2358" i="3"/>
  <c r="P2359" i="3"/>
  <c r="R2359" i="3"/>
  <c r="P2360" i="3"/>
  <c r="R2360" i="3"/>
  <c r="P2361" i="3"/>
  <c r="R2361" i="3"/>
  <c r="P2362" i="3"/>
  <c r="R2362" i="3"/>
  <c r="P2363" i="3"/>
  <c r="R2363" i="3"/>
  <c r="P2364" i="3"/>
  <c r="R2364" i="3"/>
  <c r="P2365" i="3"/>
  <c r="R2365" i="3"/>
  <c r="P2366" i="3"/>
  <c r="R2366" i="3"/>
  <c r="P2367" i="3"/>
  <c r="R2367" i="3"/>
  <c r="P2368" i="3"/>
  <c r="R2368" i="3"/>
  <c r="P2369" i="3"/>
  <c r="R2369" i="3"/>
  <c r="P2370" i="3"/>
  <c r="R2370" i="3"/>
  <c r="P2371" i="3"/>
  <c r="R2371" i="3"/>
  <c r="P2372" i="3"/>
  <c r="R2372" i="3"/>
  <c r="P2373" i="3"/>
  <c r="R2373" i="3"/>
  <c r="P2374" i="3"/>
  <c r="R2374" i="3"/>
  <c r="P2375" i="3"/>
  <c r="R2375" i="3"/>
  <c r="P2376" i="3"/>
  <c r="R2376" i="3"/>
  <c r="P2377" i="3"/>
  <c r="R2377" i="3"/>
  <c r="P2378" i="3"/>
  <c r="R2378" i="3"/>
  <c r="P2379" i="3"/>
  <c r="R2379" i="3"/>
  <c r="P2380" i="3"/>
  <c r="R2380" i="3"/>
  <c r="P2381" i="3"/>
  <c r="R2381" i="3"/>
  <c r="P2382" i="3"/>
  <c r="R2382" i="3"/>
  <c r="P2383" i="3"/>
  <c r="R2383" i="3"/>
  <c r="P2384" i="3"/>
  <c r="R2384" i="3"/>
  <c r="P2385" i="3"/>
  <c r="R2385" i="3"/>
  <c r="P2386" i="3"/>
  <c r="R2386" i="3"/>
  <c r="P2387" i="3"/>
  <c r="R2387" i="3"/>
  <c r="P2388" i="3"/>
  <c r="R2388" i="3"/>
  <c r="P2389" i="3"/>
  <c r="R2389" i="3"/>
  <c r="P2390" i="3"/>
  <c r="R2390" i="3"/>
  <c r="P2391" i="3"/>
  <c r="R2391" i="3"/>
  <c r="P2392" i="3"/>
  <c r="R2392" i="3"/>
  <c r="P2393" i="3"/>
  <c r="R2393" i="3"/>
  <c r="P2394" i="3"/>
  <c r="R2394" i="3"/>
  <c r="P2395" i="3"/>
  <c r="R2395" i="3"/>
  <c r="P2396" i="3"/>
  <c r="R2396" i="3"/>
  <c r="P2397" i="3"/>
  <c r="R2397" i="3"/>
  <c r="P2398" i="3"/>
  <c r="R2398" i="3"/>
  <c r="P2399" i="3"/>
  <c r="R2399" i="3"/>
  <c r="P2400" i="3"/>
  <c r="R2400" i="3"/>
  <c r="P2401" i="3"/>
  <c r="R2401" i="3"/>
  <c r="P2402" i="3"/>
  <c r="R2402" i="3"/>
  <c r="P2403" i="3"/>
  <c r="R2403" i="3"/>
  <c r="P2404" i="3"/>
  <c r="R2404" i="3"/>
  <c r="P2405" i="3"/>
  <c r="R2405" i="3"/>
  <c r="P2406" i="3"/>
  <c r="R2406" i="3"/>
  <c r="P2407" i="3"/>
  <c r="R2407" i="3"/>
  <c r="P2408" i="3"/>
  <c r="R2408" i="3"/>
  <c r="P2409" i="3"/>
  <c r="R2409" i="3"/>
  <c r="P2410" i="3"/>
  <c r="R2410" i="3"/>
  <c r="P2411" i="3"/>
  <c r="R2411" i="3"/>
  <c r="P2412" i="3"/>
  <c r="R2412" i="3"/>
  <c r="P2413" i="3"/>
  <c r="R2413" i="3"/>
  <c r="P2414" i="3"/>
  <c r="R2414" i="3"/>
  <c r="P2415" i="3"/>
  <c r="R2415" i="3"/>
  <c r="P2416" i="3"/>
  <c r="R2416" i="3"/>
  <c r="P2417" i="3"/>
  <c r="R2417" i="3"/>
  <c r="P2418" i="3"/>
  <c r="R2418" i="3"/>
  <c r="P2419" i="3"/>
  <c r="R2419" i="3"/>
  <c r="P2420" i="3"/>
  <c r="R2420" i="3"/>
  <c r="P2421" i="3"/>
  <c r="R2421" i="3"/>
  <c r="P2422" i="3"/>
  <c r="R2422" i="3"/>
  <c r="P2423" i="3"/>
  <c r="R2423" i="3"/>
  <c r="P2424" i="3"/>
  <c r="R2424" i="3"/>
  <c r="P2425" i="3"/>
  <c r="R2425" i="3"/>
  <c r="P2426" i="3"/>
  <c r="R2426" i="3"/>
  <c r="P2427" i="3"/>
  <c r="R2427" i="3"/>
  <c r="P2428" i="3"/>
  <c r="R2428" i="3"/>
  <c r="P2429" i="3"/>
  <c r="R2429" i="3"/>
  <c r="P2430" i="3"/>
  <c r="R2430" i="3"/>
  <c r="P2431" i="3"/>
  <c r="R2431" i="3"/>
  <c r="P2432" i="3"/>
  <c r="R2432" i="3"/>
  <c r="P2433" i="3"/>
  <c r="R2433" i="3"/>
  <c r="P2434" i="3"/>
  <c r="R2434" i="3"/>
  <c r="P2435" i="3"/>
  <c r="R2435" i="3"/>
  <c r="P2436" i="3"/>
  <c r="R2436" i="3"/>
  <c r="P2437" i="3"/>
  <c r="R2437" i="3"/>
  <c r="P2438" i="3"/>
  <c r="R2438" i="3"/>
  <c r="P2439" i="3"/>
  <c r="R2439" i="3"/>
  <c r="P2440" i="3"/>
  <c r="R2440" i="3"/>
  <c r="P2441" i="3"/>
  <c r="R2441" i="3"/>
  <c r="P2442" i="3"/>
  <c r="R2442" i="3"/>
  <c r="P2443" i="3"/>
  <c r="R2443" i="3"/>
  <c r="P2444" i="3"/>
  <c r="R2444" i="3"/>
  <c r="P2445" i="3"/>
  <c r="R2445" i="3"/>
  <c r="P2446" i="3"/>
  <c r="R2446" i="3"/>
  <c r="P2447" i="3"/>
  <c r="R2447" i="3"/>
  <c r="P2448" i="3"/>
  <c r="R2448" i="3"/>
  <c r="P2449" i="3"/>
  <c r="R2449" i="3"/>
  <c r="P2450" i="3"/>
  <c r="R2450" i="3"/>
  <c r="P2451" i="3"/>
  <c r="R2451" i="3"/>
  <c r="P2452" i="3"/>
  <c r="R2452" i="3"/>
  <c r="P2453" i="3"/>
  <c r="R2453" i="3"/>
  <c r="P2454" i="3"/>
  <c r="R2454" i="3"/>
  <c r="P2455" i="3"/>
  <c r="R2455" i="3"/>
  <c r="P2456" i="3"/>
  <c r="R2456" i="3"/>
  <c r="P2457" i="3"/>
  <c r="R2457" i="3"/>
  <c r="P2458" i="3"/>
  <c r="R2458" i="3"/>
  <c r="P2459" i="3"/>
  <c r="R2459" i="3"/>
  <c r="P2460" i="3"/>
  <c r="R2460" i="3"/>
  <c r="P2461" i="3"/>
  <c r="R2461" i="3"/>
  <c r="P2462" i="3"/>
  <c r="R2462" i="3"/>
  <c r="P2463" i="3"/>
  <c r="R2463" i="3"/>
  <c r="P2464" i="3"/>
  <c r="R2464" i="3"/>
  <c r="P2465" i="3"/>
  <c r="R2465" i="3"/>
  <c r="P2466" i="3"/>
  <c r="R2466" i="3"/>
  <c r="P2467" i="3"/>
  <c r="R2467" i="3"/>
  <c r="P2468" i="3"/>
  <c r="R2468" i="3"/>
  <c r="P2469" i="3"/>
  <c r="R2469" i="3"/>
  <c r="P2470" i="3"/>
  <c r="R2470" i="3"/>
  <c r="P2471" i="3"/>
  <c r="R2471" i="3"/>
  <c r="P2472" i="3"/>
  <c r="R2472" i="3"/>
  <c r="P2473" i="3"/>
  <c r="R2473" i="3"/>
  <c r="P2474" i="3"/>
  <c r="R2474" i="3"/>
  <c r="P2475" i="3"/>
  <c r="R2475" i="3"/>
  <c r="P2476" i="3"/>
  <c r="R2476" i="3"/>
  <c r="P2477" i="3"/>
  <c r="R2477" i="3"/>
  <c r="P2478" i="3"/>
  <c r="R2478" i="3"/>
  <c r="P2479" i="3"/>
  <c r="R2479" i="3"/>
  <c r="P2480" i="3"/>
  <c r="R2480" i="3"/>
  <c r="P2481" i="3"/>
  <c r="R2481" i="3"/>
  <c r="P2482" i="3"/>
  <c r="R2482" i="3"/>
  <c r="P2483" i="3"/>
  <c r="R2483" i="3"/>
  <c r="P2484" i="3"/>
  <c r="R2484" i="3"/>
  <c r="P2485" i="3"/>
  <c r="R2485" i="3"/>
  <c r="P2486" i="3"/>
  <c r="R2486" i="3"/>
  <c r="P2487" i="3"/>
  <c r="R2487" i="3"/>
  <c r="P2488" i="3"/>
  <c r="R2488" i="3"/>
  <c r="P2489" i="3"/>
  <c r="R2489" i="3"/>
  <c r="P2490" i="3"/>
  <c r="R2490" i="3"/>
  <c r="P2491" i="3"/>
  <c r="R2491" i="3"/>
  <c r="P2492" i="3"/>
  <c r="R2492" i="3"/>
  <c r="P2493" i="3"/>
  <c r="R2493" i="3"/>
  <c r="P2494" i="3"/>
  <c r="R2494" i="3"/>
  <c r="P2495" i="3"/>
  <c r="R2495" i="3"/>
  <c r="P2496" i="3"/>
  <c r="R2496" i="3"/>
  <c r="P2497" i="3"/>
  <c r="R2497" i="3"/>
  <c r="P2498" i="3"/>
  <c r="R2498" i="3"/>
  <c r="P2499" i="3"/>
  <c r="R2499" i="3"/>
  <c r="P2500" i="3"/>
  <c r="R2500" i="3"/>
  <c r="P2501" i="3"/>
  <c r="R2501" i="3"/>
  <c r="P2502" i="3"/>
  <c r="R2502" i="3"/>
  <c r="P2503" i="3"/>
  <c r="R2503" i="3"/>
  <c r="P2504" i="3"/>
  <c r="R2504" i="3"/>
  <c r="P2505" i="3"/>
  <c r="R2505" i="3"/>
  <c r="P2506" i="3"/>
  <c r="R2506" i="3"/>
  <c r="P2507" i="3"/>
  <c r="R2507" i="3"/>
  <c r="P2508" i="3"/>
  <c r="R2508" i="3"/>
  <c r="P2509" i="3"/>
  <c r="R2509" i="3"/>
  <c r="P2510" i="3"/>
  <c r="R2510" i="3"/>
  <c r="P2511" i="3"/>
  <c r="R2511" i="3"/>
  <c r="P2512" i="3"/>
  <c r="R2512" i="3"/>
  <c r="P2513" i="3"/>
  <c r="R2513" i="3"/>
  <c r="P2514" i="3"/>
  <c r="R2514" i="3"/>
  <c r="P2515" i="3"/>
  <c r="R2515" i="3"/>
  <c r="P2516" i="3"/>
  <c r="R2516" i="3"/>
  <c r="P2517" i="3"/>
  <c r="R2517" i="3"/>
  <c r="P2518" i="3"/>
  <c r="R2518" i="3"/>
  <c r="P2519" i="3"/>
  <c r="R2519" i="3"/>
  <c r="P2520" i="3"/>
  <c r="R2520" i="3"/>
  <c r="P2521" i="3"/>
  <c r="R2521" i="3"/>
  <c r="P2522" i="3"/>
  <c r="R2522" i="3"/>
  <c r="P2523" i="3"/>
  <c r="R2523" i="3"/>
  <c r="P2524" i="3"/>
  <c r="R2524" i="3"/>
  <c r="P2525" i="3"/>
  <c r="R2525" i="3"/>
  <c r="P2526" i="3"/>
  <c r="R2526" i="3"/>
  <c r="P2527" i="3"/>
  <c r="R2527" i="3"/>
  <c r="P2528" i="3"/>
  <c r="R2528" i="3"/>
  <c r="P2529" i="3"/>
  <c r="R2529" i="3"/>
  <c r="P2530" i="3"/>
  <c r="R2530" i="3"/>
  <c r="P2531" i="3"/>
  <c r="R2531" i="3"/>
  <c r="P2532" i="3"/>
  <c r="R2532" i="3"/>
  <c r="P2533" i="3"/>
  <c r="R2533" i="3"/>
  <c r="P2534" i="3"/>
  <c r="R2534" i="3"/>
  <c r="P2535" i="3"/>
  <c r="R2535" i="3"/>
  <c r="P2536" i="3"/>
  <c r="R2536" i="3"/>
  <c r="P2537" i="3"/>
  <c r="R2537" i="3"/>
  <c r="P2538" i="3"/>
  <c r="R2538" i="3"/>
  <c r="P2539" i="3"/>
  <c r="R2539" i="3"/>
  <c r="P2540" i="3"/>
  <c r="R2540" i="3"/>
  <c r="P2541" i="3"/>
  <c r="R2541" i="3"/>
  <c r="P2542" i="3"/>
  <c r="R2542" i="3"/>
  <c r="P2543" i="3"/>
  <c r="R2543" i="3"/>
  <c r="P2544" i="3"/>
  <c r="R2544" i="3"/>
  <c r="P2545" i="3"/>
  <c r="R2545" i="3"/>
  <c r="P2546" i="3"/>
  <c r="R2546" i="3"/>
  <c r="P2547" i="3"/>
  <c r="R2547" i="3"/>
  <c r="P2548" i="3"/>
  <c r="R2548" i="3"/>
  <c r="P2549" i="3"/>
  <c r="R2549" i="3"/>
  <c r="P2550" i="3"/>
  <c r="R2550" i="3"/>
  <c r="P2551" i="3"/>
  <c r="R2551" i="3"/>
  <c r="P2552" i="3"/>
  <c r="R2552" i="3"/>
  <c r="P2553" i="3"/>
  <c r="R2553" i="3"/>
  <c r="P2554" i="3"/>
  <c r="R2554" i="3"/>
  <c r="P2555" i="3"/>
  <c r="R2555" i="3"/>
  <c r="P2556" i="3"/>
  <c r="R2556" i="3"/>
  <c r="P2557" i="3"/>
  <c r="R2557" i="3"/>
  <c r="P2558" i="3"/>
  <c r="R2558" i="3"/>
  <c r="P2559" i="3"/>
  <c r="R2559" i="3"/>
  <c r="P2560" i="3"/>
  <c r="R2560" i="3"/>
  <c r="P2561" i="3"/>
  <c r="R2561" i="3"/>
  <c r="P2562" i="3"/>
  <c r="R2562" i="3"/>
  <c r="P2563" i="3"/>
  <c r="R2563" i="3"/>
  <c r="P2564" i="3"/>
  <c r="R2564" i="3"/>
  <c r="P2565" i="3"/>
  <c r="R2565" i="3"/>
  <c r="P2566" i="3"/>
  <c r="R2566" i="3"/>
  <c r="P2567" i="3"/>
  <c r="R2567" i="3"/>
  <c r="P2568" i="3"/>
  <c r="R2568" i="3"/>
  <c r="P2569" i="3"/>
  <c r="R2569" i="3"/>
  <c r="P2570" i="3"/>
  <c r="R2570" i="3"/>
  <c r="P2571" i="3"/>
  <c r="R2571" i="3"/>
  <c r="P2572" i="3"/>
  <c r="R2572" i="3"/>
  <c r="P2573" i="3"/>
  <c r="R2573" i="3"/>
  <c r="P2574" i="3"/>
  <c r="R2574" i="3"/>
  <c r="P2575" i="3"/>
  <c r="R2575" i="3"/>
  <c r="P2576" i="3"/>
  <c r="R2576" i="3"/>
  <c r="P2577" i="3"/>
  <c r="R2577" i="3"/>
  <c r="P2578" i="3"/>
  <c r="R2578" i="3"/>
  <c r="P2579" i="3"/>
  <c r="R2579" i="3"/>
  <c r="P2580" i="3"/>
  <c r="R2580" i="3"/>
  <c r="P2581" i="3"/>
  <c r="R2581" i="3"/>
  <c r="P2582" i="3"/>
  <c r="R2582" i="3"/>
  <c r="P2583" i="3"/>
  <c r="R2583" i="3"/>
  <c r="P2584" i="3"/>
  <c r="R2584" i="3"/>
  <c r="P2585" i="3"/>
  <c r="R2585" i="3"/>
  <c r="P2586" i="3"/>
  <c r="R2586" i="3"/>
  <c r="P2587" i="3"/>
  <c r="R2587" i="3"/>
  <c r="P2588" i="3"/>
  <c r="R2588" i="3"/>
  <c r="P2589" i="3"/>
  <c r="R2589" i="3"/>
  <c r="P2590" i="3"/>
  <c r="R2590" i="3"/>
  <c r="P2591" i="3"/>
  <c r="R2591" i="3"/>
  <c r="P2592" i="3"/>
  <c r="R2592" i="3"/>
  <c r="P2593" i="3"/>
  <c r="R2593" i="3"/>
  <c r="P2594" i="3"/>
  <c r="R2594" i="3"/>
  <c r="P2595" i="3"/>
  <c r="R2595" i="3"/>
  <c r="P2596" i="3"/>
  <c r="R2596" i="3"/>
  <c r="P2597" i="3"/>
  <c r="R2597" i="3"/>
  <c r="P2598" i="3"/>
  <c r="R2598" i="3"/>
  <c r="P2599" i="3"/>
  <c r="R2599" i="3"/>
  <c r="P2600" i="3"/>
  <c r="R2600" i="3"/>
  <c r="P2601" i="3"/>
  <c r="R2601" i="3"/>
  <c r="P2602" i="3"/>
  <c r="R2602" i="3"/>
  <c r="P2603" i="3"/>
  <c r="R2603" i="3"/>
  <c r="P2604" i="3"/>
  <c r="R2604" i="3"/>
  <c r="P2605" i="3"/>
  <c r="R2605" i="3"/>
  <c r="P2606" i="3"/>
  <c r="R2606" i="3"/>
  <c r="P2607" i="3"/>
  <c r="R2607" i="3"/>
  <c r="P2608" i="3"/>
  <c r="R2608" i="3"/>
  <c r="P2609" i="3"/>
  <c r="R2609" i="3"/>
  <c r="P2610" i="3"/>
  <c r="R2610" i="3"/>
  <c r="P2611" i="3"/>
  <c r="R2611" i="3"/>
  <c r="P2612" i="3"/>
  <c r="R2612" i="3"/>
  <c r="P2613" i="3"/>
  <c r="R2613" i="3"/>
  <c r="P2614" i="3"/>
  <c r="R2614" i="3"/>
  <c r="P2615" i="3"/>
  <c r="R2615" i="3"/>
  <c r="P2616" i="3"/>
  <c r="R2616" i="3"/>
  <c r="P2617" i="3"/>
  <c r="R2617" i="3"/>
  <c r="P2618" i="3"/>
  <c r="R2618" i="3"/>
  <c r="P2619" i="3"/>
  <c r="R2619" i="3"/>
  <c r="P2620" i="3"/>
  <c r="R2620" i="3"/>
  <c r="P2621" i="3"/>
  <c r="R2621" i="3"/>
  <c r="P2622" i="3"/>
  <c r="R2622" i="3"/>
  <c r="P2623" i="3"/>
  <c r="R2623" i="3"/>
  <c r="P2624" i="3"/>
  <c r="R2624" i="3"/>
  <c r="P2625" i="3"/>
  <c r="R2625" i="3"/>
  <c r="P2626" i="3"/>
  <c r="R2626" i="3"/>
  <c r="P2627" i="3"/>
  <c r="R2627" i="3"/>
  <c r="P2628" i="3"/>
  <c r="R2628" i="3"/>
  <c r="P2629" i="3"/>
  <c r="R2629" i="3"/>
  <c r="P2630" i="3"/>
  <c r="R2630" i="3"/>
  <c r="P2631" i="3"/>
  <c r="R2631" i="3"/>
  <c r="P2632" i="3"/>
  <c r="R2632" i="3"/>
  <c r="P2633" i="3"/>
  <c r="R2633" i="3"/>
  <c r="P2634" i="3"/>
  <c r="R2634" i="3"/>
  <c r="P2635" i="3"/>
  <c r="R2635" i="3"/>
  <c r="P2636" i="3"/>
  <c r="R2636" i="3"/>
  <c r="P2637" i="3"/>
  <c r="R2637" i="3"/>
  <c r="P2638" i="3"/>
  <c r="R2638" i="3"/>
  <c r="P2639" i="3"/>
  <c r="R2639" i="3"/>
  <c r="P2640" i="3"/>
  <c r="R2640" i="3"/>
  <c r="P2641" i="3"/>
  <c r="R2641" i="3"/>
  <c r="P2642" i="3"/>
  <c r="R2642" i="3"/>
  <c r="P2643" i="3"/>
  <c r="R2643" i="3"/>
  <c r="P2644" i="3"/>
  <c r="R2644" i="3"/>
  <c r="P2645" i="3"/>
  <c r="R2645" i="3"/>
  <c r="P2646" i="3"/>
  <c r="R2646" i="3"/>
  <c r="P2647" i="3"/>
  <c r="R2647" i="3"/>
  <c r="P2648" i="3"/>
  <c r="R2648" i="3"/>
  <c r="P2649" i="3"/>
  <c r="R2649" i="3"/>
  <c r="P2650" i="3"/>
  <c r="R2650" i="3"/>
  <c r="P2651" i="3"/>
  <c r="R2651" i="3"/>
  <c r="P2652" i="3"/>
  <c r="R2652" i="3"/>
  <c r="P2653" i="3"/>
  <c r="R2653" i="3"/>
  <c r="P2654" i="3"/>
  <c r="R2654" i="3"/>
  <c r="P2655" i="3"/>
  <c r="R2655" i="3"/>
  <c r="P2656" i="3"/>
  <c r="R2656" i="3"/>
  <c r="P2657" i="3"/>
  <c r="R2657" i="3"/>
  <c r="P2658" i="3"/>
  <c r="R2658" i="3"/>
  <c r="P2659" i="3"/>
  <c r="R2659" i="3"/>
  <c r="P2660" i="3"/>
  <c r="R2660" i="3"/>
  <c r="P2661" i="3"/>
  <c r="R2661" i="3"/>
  <c r="P2662" i="3"/>
  <c r="R2662" i="3"/>
  <c r="P2663" i="3"/>
  <c r="R2663" i="3"/>
  <c r="P2664" i="3"/>
  <c r="R2664" i="3"/>
  <c r="P2665" i="3"/>
  <c r="R2665" i="3"/>
  <c r="P2666" i="3"/>
  <c r="R2666" i="3"/>
  <c r="P2667" i="3"/>
  <c r="R2667" i="3"/>
  <c r="P2668" i="3"/>
  <c r="R2668" i="3"/>
  <c r="P2669" i="3"/>
  <c r="R2669" i="3"/>
  <c r="P2670" i="3"/>
  <c r="R2670" i="3"/>
  <c r="P2671" i="3"/>
  <c r="R2671" i="3"/>
  <c r="P2672" i="3"/>
  <c r="R2672" i="3"/>
  <c r="P2673" i="3"/>
  <c r="R2673" i="3"/>
  <c r="P2674" i="3"/>
  <c r="R2674" i="3"/>
  <c r="P2675" i="3"/>
  <c r="R2675" i="3"/>
  <c r="P2676" i="3"/>
  <c r="R2676" i="3"/>
  <c r="P2677" i="3"/>
  <c r="R2677" i="3"/>
  <c r="P2678" i="3"/>
  <c r="R2678" i="3"/>
  <c r="P2679" i="3"/>
  <c r="R2679" i="3"/>
  <c r="P2680" i="3"/>
  <c r="R2680" i="3"/>
  <c r="P2681" i="3"/>
  <c r="R2681" i="3"/>
  <c r="P2682" i="3"/>
  <c r="R2682" i="3"/>
  <c r="P2683" i="3"/>
  <c r="R2683" i="3"/>
  <c r="P2684" i="3"/>
  <c r="R2684" i="3"/>
  <c r="P2685" i="3"/>
  <c r="R2685" i="3"/>
  <c r="P2686" i="3"/>
  <c r="R2686" i="3"/>
  <c r="P2687" i="3"/>
  <c r="R2687" i="3"/>
  <c r="P2688" i="3"/>
  <c r="R2688" i="3"/>
  <c r="P2689" i="3"/>
  <c r="R2689" i="3"/>
  <c r="M436" i="3"/>
  <c r="N436" i="3" s="1"/>
  <c r="M438" i="3"/>
  <c r="N438" i="3" s="1"/>
  <c r="M317" i="3"/>
  <c r="M460" i="3"/>
  <c r="N460" i="3" s="1"/>
  <c r="M476" i="3"/>
  <c r="N476" i="3" s="1"/>
  <c r="M473" i="3"/>
  <c r="N473" i="3" s="1"/>
  <c r="M477" i="3"/>
  <c r="N477" i="3" s="1"/>
  <c r="M481" i="3"/>
  <c r="N481" i="3" s="1"/>
  <c r="M484" i="3"/>
  <c r="N484" i="3" s="1"/>
  <c r="M494" i="3"/>
  <c r="N494" i="3" s="1"/>
  <c r="M496" i="3"/>
  <c r="N496" i="3" s="1"/>
  <c r="M497" i="3"/>
  <c r="N497" i="3" s="1"/>
  <c r="M499" i="3"/>
  <c r="N499" i="3" s="1"/>
  <c r="M501" i="3"/>
  <c r="N501" i="3" s="1"/>
  <c r="M505" i="3"/>
  <c r="N505" i="3" s="1"/>
  <c r="M507" i="3"/>
  <c r="N507" i="3" s="1"/>
  <c r="M524" i="3"/>
  <c r="N524" i="3" s="1"/>
  <c r="M525" i="3"/>
  <c r="N525" i="3" s="1"/>
  <c r="M576" i="3"/>
  <c r="N576" i="3" s="1"/>
  <c r="M571" i="3"/>
  <c r="N571" i="3" s="1"/>
  <c r="M589" i="3"/>
  <c r="N589" i="3" s="1"/>
  <c r="M590" i="3"/>
  <c r="N590" i="3" s="1"/>
  <c r="M588" i="3"/>
  <c r="N588" i="3" s="1"/>
  <c r="M593" i="3"/>
  <c r="N593" i="3" s="1"/>
  <c r="M598" i="3"/>
  <c r="N598" i="3" s="1"/>
  <c r="M596" i="3"/>
  <c r="N596" i="3" s="1"/>
  <c r="M604" i="3"/>
  <c r="N604" i="3" s="1"/>
  <c r="M606" i="3"/>
  <c r="N606" i="3" s="1"/>
  <c r="M610" i="3"/>
  <c r="N610" i="3" s="1"/>
  <c r="M611" i="3"/>
  <c r="N611" i="3" s="1"/>
  <c r="M616" i="3"/>
  <c r="N616" i="3" s="1"/>
  <c r="M612" i="3"/>
  <c r="N612" i="3" s="1"/>
  <c r="M615" i="3"/>
  <c r="N615" i="3" s="1"/>
  <c r="M629" i="3"/>
  <c r="N629" i="3" s="1"/>
  <c r="M630" i="3"/>
  <c r="N630" i="3" s="1"/>
  <c r="M623" i="3"/>
  <c r="N623" i="3" s="1"/>
  <c r="M620" i="3"/>
  <c r="N620" i="3" s="1"/>
  <c r="M376" i="3"/>
  <c r="M655" i="3"/>
  <c r="N655" i="3" s="1"/>
  <c r="M656" i="3"/>
  <c r="N656" i="3" s="1"/>
  <c r="M168" i="3"/>
  <c r="M673" i="3"/>
  <c r="N673" i="3" s="1"/>
  <c r="M688" i="3"/>
  <c r="N688" i="3" s="1"/>
  <c r="M690" i="3"/>
  <c r="N690" i="3" s="1"/>
  <c r="M698" i="3"/>
  <c r="N698" i="3" s="1"/>
  <c r="M695" i="3"/>
  <c r="N695" i="3" s="1"/>
  <c r="M700" i="3"/>
  <c r="N700" i="3" s="1"/>
  <c r="M701" i="3"/>
  <c r="N701" i="3" s="1"/>
  <c r="M703" i="3"/>
  <c r="N703" i="3" s="1"/>
  <c r="M725" i="3"/>
  <c r="N725" i="3" s="1"/>
  <c r="M726" i="3"/>
  <c r="N726" i="3" s="1"/>
  <c r="M729" i="3"/>
  <c r="N729" i="3" s="1"/>
  <c r="M732" i="3"/>
  <c r="N732" i="3" s="1"/>
  <c r="M724" i="3"/>
  <c r="N724" i="3" s="1"/>
  <c r="M762" i="3"/>
  <c r="N762" i="3" s="1"/>
  <c r="M763" i="3"/>
  <c r="N763" i="3" s="1"/>
  <c r="M761" i="3"/>
  <c r="N761" i="3" s="1"/>
  <c r="M772" i="3"/>
  <c r="N772" i="3" s="1"/>
  <c r="M766" i="3"/>
  <c r="N766" i="3" s="1"/>
  <c r="M767" i="3"/>
  <c r="N767" i="3" s="1"/>
  <c r="M804" i="3"/>
  <c r="N804" i="3" s="1"/>
  <c r="M139" i="3"/>
  <c r="M806" i="3"/>
  <c r="N806" i="3" s="1"/>
  <c r="M803" i="3"/>
  <c r="N803" i="3" s="1"/>
  <c r="M848" i="3"/>
  <c r="N848" i="3" s="1"/>
  <c r="M846" i="3"/>
  <c r="N846" i="3" s="1"/>
  <c r="M863" i="3"/>
  <c r="N863" i="3" s="1"/>
  <c r="M866" i="3"/>
  <c r="N866" i="3" s="1"/>
  <c r="M860" i="3"/>
  <c r="N860" i="3" s="1"/>
  <c r="M861" i="3"/>
  <c r="N861" i="3" s="1"/>
  <c r="M869" i="3"/>
  <c r="N869" i="3" s="1"/>
  <c r="M875" i="3"/>
  <c r="N875" i="3" s="1"/>
  <c r="M876" i="3"/>
  <c r="N876" i="3" s="1"/>
  <c r="M878" i="3"/>
  <c r="N878" i="3" s="1"/>
  <c r="M877" i="3"/>
  <c r="N877" i="3" s="1"/>
  <c r="M893" i="3"/>
  <c r="N893" i="3" s="1"/>
  <c r="M895" i="3"/>
  <c r="N895" i="3" s="1"/>
  <c r="M933" i="3"/>
  <c r="N933" i="3" s="1"/>
  <c r="M927" i="3"/>
  <c r="N927" i="3" s="1"/>
  <c r="M947" i="3"/>
  <c r="N947" i="3" s="1"/>
  <c r="M952" i="3"/>
  <c r="N952" i="3" s="1"/>
  <c r="M954" i="3"/>
  <c r="N954" i="3" s="1"/>
  <c r="M966" i="3"/>
  <c r="N966" i="3" s="1"/>
  <c r="M972" i="3"/>
  <c r="N972" i="3" s="1"/>
  <c r="M980" i="3"/>
  <c r="N980" i="3" s="1"/>
  <c r="M985" i="3"/>
  <c r="N985" i="3" s="1"/>
  <c r="M1016" i="3"/>
  <c r="N1016" i="3" s="1"/>
  <c r="M1014" i="3"/>
  <c r="N1014" i="3" s="1"/>
  <c r="M388" i="3"/>
  <c r="M1034" i="3"/>
  <c r="N1034" i="3" s="1"/>
  <c r="M1030" i="3"/>
  <c r="N1030" i="3" s="1"/>
  <c r="M1048" i="3"/>
  <c r="N1048" i="3" s="1"/>
  <c r="M1049" i="3"/>
  <c r="N1049" i="3" s="1"/>
  <c r="M1066" i="3"/>
  <c r="N1066" i="3" s="1"/>
  <c r="M1068" i="3"/>
  <c r="N1068" i="3" s="1"/>
  <c r="M1065" i="3"/>
  <c r="N1065" i="3" s="1"/>
  <c r="M1057" i="3"/>
  <c r="N1057" i="3" s="1"/>
  <c r="M1071" i="3"/>
  <c r="N1071" i="3" s="1"/>
  <c r="M1073" i="3"/>
  <c r="N1073" i="3" s="1"/>
  <c r="M1094" i="3"/>
  <c r="N1094" i="3" s="1"/>
  <c r="M1092" i="3"/>
  <c r="N1092" i="3" s="1"/>
  <c r="M1111" i="3"/>
  <c r="N1111" i="3" s="1"/>
  <c r="M1109" i="3"/>
  <c r="N1109" i="3" s="1"/>
  <c r="M1187" i="3"/>
  <c r="N1187" i="3" s="1"/>
  <c r="M1186" i="3"/>
  <c r="N1186" i="3" s="1"/>
  <c r="M184" i="3"/>
  <c r="M1201" i="3"/>
  <c r="N1201" i="3" s="1"/>
  <c r="M1223" i="3"/>
  <c r="N1223" i="3" s="1"/>
  <c r="M1226" i="3"/>
  <c r="N1226" i="3" s="1"/>
  <c r="M1227" i="3"/>
  <c r="N1227" i="3" s="1"/>
  <c r="M1231" i="3"/>
  <c r="N1231" i="3" s="1"/>
  <c r="M1232" i="3"/>
  <c r="N1232" i="3" s="1"/>
  <c r="M1235" i="3"/>
  <c r="N1235" i="3" s="1"/>
  <c r="M1236" i="3"/>
  <c r="N1236" i="3" s="1"/>
  <c r="M1237" i="3"/>
  <c r="N1237" i="3" s="1"/>
  <c r="M1248" i="3"/>
  <c r="N1248" i="3" s="1"/>
  <c r="M1243" i="3"/>
  <c r="N1243" i="3" s="1"/>
  <c r="M1271" i="3"/>
  <c r="N1271" i="3" s="1"/>
  <c r="M1269" i="3"/>
  <c r="N1269" i="3" s="1"/>
  <c r="M1302" i="3"/>
  <c r="N1302" i="3" s="1"/>
  <c r="M1304" i="3"/>
  <c r="N1304" i="3" s="1"/>
  <c r="M1340" i="3"/>
  <c r="N1340" i="3" s="1"/>
  <c r="M1341" i="3"/>
  <c r="N1341" i="3" s="1"/>
  <c r="M1352" i="3"/>
  <c r="N1352" i="3" s="1"/>
  <c r="M1345" i="3"/>
  <c r="N1345" i="3" s="1"/>
  <c r="M1414" i="3"/>
  <c r="N1414" i="3" s="1"/>
  <c r="M1418" i="3"/>
  <c r="N1418" i="3" s="1"/>
  <c r="M1421" i="3"/>
  <c r="N1421" i="3" s="1"/>
  <c r="M1419" i="3"/>
  <c r="N1419" i="3" s="1"/>
  <c r="M301" i="3"/>
  <c r="M1439" i="3"/>
  <c r="N1439" i="3" s="1"/>
  <c r="M378" i="3"/>
  <c r="M1464" i="3"/>
  <c r="N1464" i="3" s="1"/>
  <c r="M1456" i="3"/>
  <c r="N1456" i="3" s="1"/>
  <c r="M1468" i="3"/>
  <c r="N1468" i="3" s="1"/>
  <c r="M1465" i="3"/>
  <c r="N1465" i="3" s="1"/>
  <c r="M1458" i="3"/>
  <c r="N1458" i="3" s="1"/>
  <c r="M1457" i="3"/>
  <c r="N1457" i="3" s="1"/>
  <c r="M1460" i="3"/>
  <c r="N1460" i="3" s="1"/>
  <c r="M1485" i="3"/>
  <c r="N1485" i="3" s="1"/>
  <c r="M1482" i="3"/>
  <c r="N1482" i="3" s="1"/>
  <c r="M1508" i="3"/>
  <c r="N1508" i="3" s="1"/>
  <c r="M1505" i="3"/>
  <c r="N1505" i="3" s="1"/>
  <c r="M1494" i="3"/>
  <c r="N1494" i="3" s="1"/>
  <c r="M1526" i="3"/>
  <c r="N1526" i="3" s="1"/>
  <c r="M1533" i="3"/>
  <c r="N1533" i="3" s="1"/>
  <c r="M1554" i="3"/>
  <c r="N1554" i="3" s="1"/>
  <c r="M1557" i="3"/>
  <c r="N1557" i="3" s="1"/>
  <c r="M1559" i="3"/>
  <c r="N1559" i="3" s="1"/>
  <c r="M1550" i="3"/>
  <c r="N1550" i="3" s="1"/>
  <c r="M1571" i="3"/>
  <c r="N1571" i="3" s="1"/>
  <c r="M1574" i="3"/>
  <c r="N1574" i="3" s="1"/>
  <c r="M1576" i="3"/>
  <c r="N1576" i="3" s="1"/>
  <c r="M1581" i="3"/>
  <c r="N1581" i="3" s="1"/>
  <c r="M1580" i="3"/>
  <c r="N1580" i="3" s="1"/>
  <c r="M345" i="3"/>
  <c r="M1593" i="3"/>
  <c r="N1593" i="3" s="1"/>
  <c r="M1588" i="3"/>
  <c r="N1588" i="3" s="1"/>
  <c r="M1587" i="3"/>
  <c r="N1587" i="3" s="1"/>
  <c r="M1610" i="3"/>
  <c r="N1610" i="3" s="1"/>
  <c r="M1622" i="3"/>
  <c r="N1622" i="3" s="1"/>
  <c r="M1609" i="3"/>
  <c r="N1609" i="3" s="1"/>
  <c r="M1631" i="3"/>
  <c r="N1631" i="3" s="1"/>
  <c r="M1630" i="3"/>
  <c r="N1630" i="3" s="1"/>
  <c r="M1642" i="3"/>
  <c r="N1642" i="3" s="1"/>
  <c r="M1645" i="3"/>
  <c r="N1645" i="3" s="1"/>
  <c r="M1637" i="3"/>
  <c r="N1637" i="3" s="1"/>
  <c r="M1657" i="3"/>
  <c r="N1657" i="3" s="1"/>
  <c r="M1651" i="3"/>
  <c r="N1651" i="3" s="1"/>
  <c r="M1714" i="3"/>
  <c r="N1714" i="3" s="1"/>
  <c r="M1712" i="3"/>
  <c r="N1712" i="3" s="1"/>
  <c r="M1710" i="3"/>
  <c r="N1710" i="3" s="1"/>
  <c r="M1706" i="3"/>
  <c r="N1706" i="3" s="1"/>
  <c r="M1705" i="3"/>
  <c r="N1705" i="3" s="1"/>
  <c r="M1771" i="3"/>
  <c r="N1771" i="3" s="1"/>
  <c r="M1770" i="3"/>
  <c r="N1770" i="3" s="1"/>
  <c r="M1767" i="3"/>
  <c r="N1767" i="3" s="1"/>
  <c r="M1774" i="3"/>
  <c r="N1774" i="3" s="1"/>
  <c r="M1772" i="3"/>
  <c r="N1772" i="3" s="1"/>
  <c r="M1778" i="3"/>
  <c r="N1778" i="3" s="1"/>
  <c r="M1779" i="3"/>
  <c r="N1779" i="3" s="1"/>
  <c r="M1782" i="3"/>
  <c r="N1782" i="3" s="1"/>
  <c r="M1783" i="3"/>
  <c r="N1783" i="3" s="1"/>
  <c r="M1791" i="3"/>
  <c r="N1791" i="3" s="1"/>
  <c r="M1790" i="3"/>
  <c r="N1790" i="3" s="1"/>
  <c r="M1792" i="3"/>
  <c r="N1792" i="3" s="1"/>
  <c r="M1794" i="3"/>
  <c r="N1794" i="3" s="1"/>
  <c r="M207" i="3"/>
  <c r="M1797" i="3"/>
  <c r="N1797" i="3" s="1"/>
  <c r="M1802" i="3"/>
  <c r="N1802" i="3" s="1"/>
  <c r="M1800" i="3"/>
  <c r="N1800" i="3" s="1"/>
  <c r="M1799" i="3"/>
  <c r="N1799" i="3" s="1"/>
  <c r="M1819" i="3"/>
  <c r="N1819" i="3" s="1"/>
  <c r="M1824" i="3"/>
  <c r="N1824" i="3" s="1"/>
  <c r="M1825" i="3"/>
  <c r="N1825" i="3" s="1"/>
  <c r="M1830" i="3"/>
  <c r="N1830" i="3" s="1"/>
  <c r="M1832" i="3"/>
  <c r="N1832" i="3" s="1"/>
  <c r="M1846" i="3"/>
  <c r="N1846" i="3" s="1"/>
  <c r="M1849" i="3"/>
  <c r="N1849" i="3" s="1"/>
  <c r="M1854" i="3"/>
  <c r="N1854" i="3" s="1"/>
  <c r="M1872" i="3"/>
  <c r="N1872" i="3" s="1"/>
  <c r="M1881" i="3"/>
  <c r="N1881" i="3" s="1"/>
  <c r="M1883" i="3"/>
  <c r="N1883" i="3" s="1"/>
  <c r="M1887" i="3"/>
  <c r="N1887" i="3" s="1"/>
  <c r="M1888" i="3"/>
  <c r="N1888" i="3" s="1"/>
  <c r="M1894" i="3"/>
  <c r="N1894" i="3" s="1"/>
  <c r="M1895" i="3"/>
  <c r="N1895" i="3" s="1"/>
  <c r="M405" i="3"/>
  <c r="M1907" i="3"/>
  <c r="N1907" i="3" s="1"/>
  <c r="M1908" i="3"/>
  <c r="N1908" i="3" s="1"/>
  <c r="M1912" i="3"/>
  <c r="N1912" i="3" s="1"/>
  <c r="M1913" i="3"/>
  <c r="N1913" i="3" s="1"/>
  <c r="M1921" i="3"/>
  <c r="N1921" i="3" s="1"/>
  <c r="M1922" i="3"/>
  <c r="N1922" i="3" s="1"/>
  <c r="M1949" i="3"/>
  <c r="N1949" i="3" s="1"/>
  <c r="M1951" i="3"/>
  <c r="N1951" i="3" s="1"/>
  <c r="M1952" i="3"/>
  <c r="N1952" i="3" s="1"/>
  <c r="M1953" i="3"/>
  <c r="N1953" i="3" s="1"/>
  <c r="M1958" i="3"/>
  <c r="N1958" i="3" s="1"/>
  <c r="M1954" i="3"/>
  <c r="N1954" i="3" s="1"/>
  <c r="M1956" i="3"/>
  <c r="N1956" i="3" s="1"/>
  <c r="M1988" i="3"/>
  <c r="N1988" i="3" s="1"/>
  <c r="M1987" i="3"/>
  <c r="N1987" i="3" s="1"/>
  <c r="M1996" i="3"/>
  <c r="N1996" i="3" s="1"/>
  <c r="M1995" i="3"/>
  <c r="N1995" i="3" s="1"/>
  <c r="M2044" i="3"/>
  <c r="N2044" i="3" s="1"/>
  <c r="M2037" i="3"/>
  <c r="N2037" i="3" s="1"/>
  <c r="M2040" i="3"/>
  <c r="N2040" i="3" s="1"/>
  <c r="M2049" i="3"/>
  <c r="N2049" i="3" s="1"/>
  <c r="M2048" i="3"/>
  <c r="N2048" i="3" s="1"/>
  <c r="M2062" i="3"/>
  <c r="N2062" i="3" s="1"/>
  <c r="M2065" i="3"/>
  <c r="N2065" i="3" s="1"/>
  <c r="M2061" i="3"/>
  <c r="N2061" i="3" s="1"/>
  <c r="M2058" i="3"/>
  <c r="N2058" i="3" s="1"/>
  <c r="M2056" i="3"/>
  <c r="N2056" i="3" s="1"/>
  <c r="M2101" i="3"/>
  <c r="N2101" i="3" s="1"/>
  <c r="M2099" i="3"/>
  <c r="N2099" i="3" s="1"/>
  <c r="M2102" i="3"/>
  <c r="N2102" i="3" s="1"/>
  <c r="M2106" i="3"/>
  <c r="N2106" i="3" s="1"/>
  <c r="M326" i="3"/>
  <c r="M2128" i="3"/>
  <c r="N2128" i="3" s="1"/>
  <c r="M2126" i="3"/>
  <c r="N2126" i="3" s="1"/>
  <c r="M189" i="3"/>
  <c r="M2145" i="3"/>
  <c r="N2145" i="3" s="1"/>
  <c r="M2149" i="3"/>
  <c r="N2149" i="3" s="1"/>
  <c r="M2155" i="3"/>
  <c r="N2155" i="3" s="1"/>
  <c r="M2176" i="3"/>
  <c r="N2176" i="3" s="1"/>
  <c r="M2177" i="3"/>
  <c r="N2177" i="3" s="1"/>
  <c r="M2190" i="3"/>
  <c r="N2190" i="3" s="1"/>
  <c r="M2183" i="3"/>
  <c r="N2183" i="3" s="1"/>
  <c r="M2184" i="3"/>
  <c r="N2184" i="3" s="1"/>
  <c r="M2186" i="3"/>
  <c r="N2186" i="3" s="1"/>
  <c r="M2189" i="3"/>
  <c r="N2189" i="3" s="1"/>
  <c r="M2197" i="3"/>
  <c r="N2197" i="3" s="1"/>
  <c r="M2193" i="3"/>
  <c r="N2193" i="3" s="1"/>
  <c r="M2195" i="3"/>
  <c r="N2195" i="3" s="1"/>
  <c r="M2224" i="3"/>
  <c r="N2224" i="3" s="1"/>
  <c r="M2226" i="3"/>
  <c r="N2226" i="3" s="1"/>
  <c r="M152" i="3"/>
  <c r="M2242" i="3"/>
  <c r="N2242" i="3" s="1"/>
  <c r="M2245" i="3"/>
  <c r="N2245" i="3" s="1"/>
  <c r="M2247" i="3"/>
  <c r="N2247" i="3" s="1"/>
  <c r="M2252" i="3"/>
  <c r="N2252" i="3" s="1"/>
  <c r="M2253" i="3"/>
  <c r="N2253" i="3" s="1"/>
  <c r="M2272" i="3"/>
  <c r="N2272" i="3" s="1"/>
  <c r="M2277" i="3"/>
  <c r="N2277" i="3" s="1"/>
  <c r="M2316" i="3"/>
  <c r="N2316" i="3" s="1"/>
  <c r="M2318" i="3"/>
  <c r="N2318" i="3" s="1"/>
  <c r="M2319" i="3"/>
  <c r="N2319" i="3" s="1"/>
  <c r="M2323" i="3"/>
  <c r="N2323" i="3" s="1"/>
  <c r="M2326" i="3"/>
  <c r="N2326" i="3" s="1"/>
  <c r="M2335" i="3"/>
  <c r="N2335" i="3" s="1"/>
  <c r="M2338" i="3"/>
  <c r="N2338" i="3" s="1"/>
  <c r="M2339" i="3"/>
  <c r="N2339" i="3" s="1"/>
  <c r="M2354" i="3"/>
  <c r="N2354" i="3" s="1"/>
  <c r="M86" i="3"/>
  <c r="M2376" i="3"/>
  <c r="N2376" i="3" s="1"/>
  <c r="M2373" i="3"/>
  <c r="N2373" i="3" s="1"/>
  <c r="M2375" i="3"/>
  <c r="N2375" i="3" s="1"/>
  <c r="M2392" i="3"/>
  <c r="N2392" i="3" s="1"/>
  <c r="M2387" i="3"/>
  <c r="N2387" i="3" s="1"/>
  <c r="M2385" i="3"/>
  <c r="N2385" i="3" s="1"/>
  <c r="M2379" i="3"/>
  <c r="N2379" i="3" s="1"/>
  <c r="M2405" i="3"/>
  <c r="N2405" i="3" s="1"/>
  <c r="M2404" i="3"/>
  <c r="N2404" i="3" s="1"/>
  <c r="M2415" i="3"/>
  <c r="N2415" i="3" s="1"/>
  <c r="M2413" i="3"/>
  <c r="N2413" i="3" s="1"/>
  <c r="M2452" i="3"/>
  <c r="N2452" i="3" s="1"/>
  <c r="M2454" i="3"/>
  <c r="N2454" i="3" s="1"/>
  <c r="M2462" i="3"/>
  <c r="N2462" i="3" s="1"/>
  <c r="M2461" i="3"/>
  <c r="N2461" i="3" s="1"/>
  <c r="M2458" i="3"/>
  <c r="N2458" i="3" s="1"/>
  <c r="M2457" i="3"/>
  <c r="N2457" i="3" s="1"/>
  <c r="M2470" i="3"/>
  <c r="N2470" i="3" s="1"/>
  <c r="M178" i="3"/>
  <c r="M2473" i="3"/>
  <c r="N2473" i="3" s="1"/>
  <c r="M2474" i="3"/>
  <c r="N2474" i="3" s="1"/>
  <c r="M119" i="3"/>
  <c r="M2489" i="3"/>
  <c r="N2489" i="3" s="1"/>
  <c r="M401" i="3"/>
  <c r="M2500" i="3"/>
  <c r="N2500" i="3" s="1"/>
  <c r="M2521" i="3"/>
  <c r="N2521" i="3" s="1"/>
  <c r="M95" i="3"/>
  <c r="M2519" i="3"/>
  <c r="N2519" i="3" s="1"/>
  <c r="M2515" i="3"/>
  <c r="N2515" i="3" s="1"/>
  <c r="M174" i="3"/>
  <c r="M62" i="3"/>
  <c r="M337" i="3"/>
  <c r="M2572" i="3"/>
  <c r="N2572" i="3" s="1"/>
  <c r="M2568" i="3"/>
  <c r="N2568" i="3" s="1"/>
  <c r="M2595" i="3"/>
  <c r="N2595" i="3" s="1"/>
  <c r="M216" i="3"/>
  <c r="M181" i="3"/>
  <c r="M386" i="3"/>
  <c r="M2610" i="3"/>
  <c r="N2610" i="3" s="1"/>
  <c r="M238" i="3"/>
  <c r="M20" i="3"/>
  <c r="M187" i="3"/>
  <c r="M6" i="3"/>
  <c r="M2624" i="3"/>
  <c r="N2624" i="3" s="1"/>
  <c r="M85" i="3"/>
  <c r="M240" i="3"/>
  <c r="M2628" i="3"/>
  <c r="N2628" i="3" s="1"/>
  <c r="M136" i="3"/>
  <c r="M246" i="3"/>
  <c r="M2639" i="3"/>
  <c r="N2639" i="3" s="1"/>
  <c r="M226" i="3"/>
  <c r="M2652" i="3"/>
  <c r="N2652" i="3" s="1"/>
  <c r="M206" i="3"/>
  <c r="M2656" i="3"/>
  <c r="N2656" i="3" s="1"/>
  <c r="M2657" i="3"/>
  <c r="N2657" i="3" s="1"/>
  <c r="M263" i="3"/>
  <c r="M2659" i="3"/>
  <c r="N2659" i="3" s="1"/>
  <c r="M229" i="3"/>
  <c r="M2664" i="3"/>
  <c r="N2664" i="3" s="1"/>
  <c r="M69" i="3"/>
  <c r="M59" i="3"/>
  <c r="M175" i="3"/>
  <c r="M288" i="3"/>
  <c r="M362" i="3"/>
  <c r="M57" i="3"/>
  <c r="M284" i="3"/>
  <c r="M310" i="3"/>
  <c r="M23" i="3"/>
  <c r="M11" i="3"/>
  <c r="M148" i="3"/>
  <c r="M214" i="3"/>
  <c r="M200" i="3"/>
  <c r="M331" i="3"/>
  <c r="M120" i="3"/>
  <c r="M309" i="3"/>
  <c r="M398" i="3"/>
  <c r="M151" i="3"/>
  <c r="M16" i="3"/>
  <c r="M47" i="3"/>
  <c r="M96" i="3"/>
  <c r="M126" i="3"/>
  <c r="M387" i="3"/>
  <c r="M166" i="3"/>
  <c r="M429" i="3"/>
  <c r="N429" i="3" s="1"/>
  <c r="M430" i="3"/>
  <c r="N430" i="3" s="1"/>
  <c r="M433" i="3"/>
  <c r="N433" i="3" s="1"/>
  <c r="M434" i="3"/>
  <c r="N434" i="3" s="1"/>
  <c r="M308" i="3"/>
  <c r="M437" i="3"/>
  <c r="N437" i="3" s="1"/>
  <c r="M442" i="3"/>
  <c r="N442" i="3" s="1"/>
  <c r="M444" i="3"/>
  <c r="N444" i="3" s="1"/>
  <c r="M445" i="3"/>
  <c r="N445" i="3" s="1"/>
  <c r="M453" i="3"/>
  <c r="N453" i="3" s="1"/>
  <c r="M456" i="3"/>
  <c r="N456" i="3" s="1"/>
  <c r="M478" i="3"/>
  <c r="N478" i="3" s="1"/>
  <c r="M470" i="3"/>
  <c r="N470" i="3" s="1"/>
  <c r="M515" i="3"/>
  <c r="N515" i="3" s="1"/>
  <c r="M519" i="3"/>
  <c r="N519" i="3" s="1"/>
  <c r="M516" i="3"/>
  <c r="N516" i="3" s="1"/>
  <c r="M530" i="3"/>
  <c r="N530" i="3" s="1"/>
  <c r="M528" i="3"/>
  <c r="N528" i="3" s="1"/>
  <c r="M551" i="3"/>
  <c r="N551" i="3" s="1"/>
  <c r="M552" i="3"/>
  <c r="N552" i="3" s="1"/>
  <c r="M553" i="3"/>
  <c r="N553" i="3" s="1"/>
  <c r="M575" i="3"/>
  <c r="N575" i="3" s="1"/>
  <c r="M577" i="3"/>
  <c r="N577" i="3" s="1"/>
  <c r="M594" i="3"/>
  <c r="N594" i="3" s="1"/>
  <c r="M599" i="3"/>
  <c r="N599" i="3" s="1"/>
  <c r="M603" i="3"/>
  <c r="N603" i="3" s="1"/>
  <c r="M605" i="3"/>
  <c r="N605" i="3" s="1"/>
  <c r="M628" i="3"/>
  <c r="N628" i="3" s="1"/>
  <c r="M621" i="3"/>
  <c r="N621" i="3" s="1"/>
  <c r="M624" i="3"/>
  <c r="N624" i="3" s="1"/>
  <c r="M618" i="3"/>
  <c r="N618" i="3" s="1"/>
  <c r="M650" i="3"/>
  <c r="N650" i="3" s="1"/>
  <c r="M647" i="3"/>
  <c r="N647" i="3" s="1"/>
  <c r="M665" i="3"/>
  <c r="N665" i="3" s="1"/>
  <c r="M661" i="3"/>
  <c r="N661" i="3" s="1"/>
  <c r="M672" i="3"/>
  <c r="N672" i="3" s="1"/>
  <c r="M674" i="3"/>
  <c r="N674" i="3" s="1"/>
  <c r="M682" i="3"/>
  <c r="N682" i="3" s="1"/>
  <c r="M679" i="3"/>
  <c r="N679" i="3" s="1"/>
  <c r="M683" i="3"/>
  <c r="N683" i="3" s="1"/>
  <c r="M708" i="3"/>
  <c r="N708" i="3" s="1"/>
  <c r="M711" i="3"/>
  <c r="N711" i="3" s="1"/>
  <c r="M719" i="3"/>
  <c r="N719" i="3" s="1"/>
  <c r="M721" i="3"/>
  <c r="N721" i="3" s="1"/>
  <c r="M746" i="3"/>
  <c r="N746" i="3" s="1"/>
  <c r="M747" i="3"/>
  <c r="N747" i="3" s="1"/>
  <c r="M748" i="3"/>
  <c r="N748" i="3" s="1"/>
  <c r="M775" i="3"/>
  <c r="N775" i="3" s="1"/>
  <c r="M776" i="3"/>
  <c r="N776" i="3" s="1"/>
  <c r="M785" i="3"/>
  <c r="N785" i="3" s="1"/>
  <c r="M787" i="3"/>
  <c r="N787" i="3" s="1"/>
  <c r="M824" i="3"/>
  <c r="N824" i="3" s="1"/>
  <c r="M823" i="3"/>
  <c r="N823" i="3" s="1"/>
  <c r="M835" i="3"/>
  <c r="N835" i="3" s="1"/>
  <c r="M838" i="3"/>
  <c r="N838" i="3" s="1"/>
  <c r="M862" i="3"/>
  <c r="N862" i="3" s="1"/>
  <c r="M858" i="3"/>
  <c r="N858" i="3" s="1"/>
  <c r="M865" i="3"/>
  <c r="N865" i="3" s="1"/>
  <c r="M864" i="3"/>
  <c r="N864" i="3" s="1"/>
  <c r="M905" i="3"/>
  <c r="N905" i="3" s="1"/>
  <c r="M906" i="3"/>
  <c r="N906" i="3" s="1"/>
  <c r="M903" i="3"/>
  <c r="N903" i="3" s="1"/>
  <c r="M352" i="3"/>
  <c r="M908" i="3"/>
  <c r="N908" i="3" s="1"/>
  <c r="M907" i="3"/>
  <c r="N907" i="3" s="1"/>
  <c r="M904" i="3"/>
  <c r="N904" i="3" s="1"/>
  <c r="M914" i="3"/>
  <c r="N914" i="3" s="1"/>
  <c r="M910" i="3"/>
  <c r="N910" i="3" s="1"/>
  <c r="M916" i="3"/>
  <c r="N916" i="3" s="1"/>
  <c r="M940" i="3"/>
  <c r="N940" i="3" s="1"/>
  <c r="M938" i="3"/>
  <c r="N938" i="3" s="1"/>
  <c r="M961" i="3"/>
  <c r="N961" i="3" s="1"/>
  <c r="M963" i="3"/>
  <c r="N963" i="3" s="1"/>
  <c r="M967" i="3"/>
  <c r="N967" i="3" s="1"/>
  <c r="M971" i="3"/>
  <c r="N971" i="3" s="1"/>
  <c r="M973" i="3"/>
  <c r="N973" i="3" s="1"/>
  <c r="M969" i="3"/>
  <c r="N969" i="3" s="1"/>
  <c r="M995" i="3"/>
  <c r="N995" i="3" s="1"/>
  <c r="M998" i="3"/>
  <c r="N998" i="3" s="1"/>
  <c r="M1006" i="3"/>
  <c r="N1006" i="3" s="1"/>
  <c r="M1008" i="3"/>
  <c r="N1008" i="3" s="1"/>
  <c r="M1010" i="3"/>
  <c r="N1010" i="3" s="1"/>
  <c r="M1009" i="3"/>
  <c r="N1009" i="3" s="1"/>
  <c r="M1024" i="3"/>
  <c r="N1024" i="3" s="1"/>
  <c r="M1022" i="3"/>
  <c r="N1022" i="3" s="1"/>
  <c r="M1021" i="3"/>
  <c r="N1021" i="3" s="1"/>
  <c r="M1031" i="3"/>
  <c r="N1031" i="3" s="1"/>
  <c r="M1032" i="3"/>
  <c r="N1032" i="3" s="1"/>
  <c r="M1047" i="3"/>
  <c r="N1047" i="3" s="1"/>
  <c r="M1043" i="3"/>
  <c r="N1043" i="3" s="1"/>
  <c r="M1060" i="3"/>
  <c r="N1060" i="3" s="1"/>
  <c r="M1061" i="3"/>
  <c r="N1061" i="3" s="1"/>
  <c r="M1090" i="3"/>
  <c r="N1090" i="3" s="1"/>
  <c r="M1095" i="3"/>
  <c r="N1095" i="3" s="1"/>
  <c r="M1085" i="3"/>
  <c r="N1085" i="3" s="1"/>
  <c r="M1115" i="3"/>
  <c r="N1115" i="3" s="1"/>
  <c r="M1108" i="3"/>
  <c r="N1108" i="3" s="1"/>
  <c r="M1114" i="3"/>
  <c r="N1114" i="3" s="1"/>
  <c r="M279" i="3"/>
  <c r="M1107" i="3"/>
  <c r="N1107" i="3" s="1"/>
  <c r="M1122" i="3"/>
  <c r="N1122" i="3" s="1"/>
  <c r="M1121" i="3"/>
  <c r="N1121" i="3" s="1"/>
  <c r="M1144" i="3"/>
  <c r="N1144" i="3" s="1"/>
  <c r="M1142" i="3"/>
  <c r="N1142" i="3" s="1"/>
  <c r="M108" i="3"/>
  <c r="M1139" i="3"/>
  <c r="N1139" i="3" s="1"/>
  <c r="M1136" i="3"/>
  <c r="N1136" i="3" s="1"/>
  <c r="M1135" i="3"/>
  <c r="N1135" i="3" s="1"/>
  <c r="M1160" i="3"/>
  <c r="N1160" i="3" s="1"/>
  <c r="M1165" i="3"/>
  <c r="N1165" i="3" s="1"/>
  <c r="M1167" i="3"/>
  <c r="N1167" i="3" s="1"/>
  <c r="M1166" i="3"/>
  <c r="N1166" i="3" s="1"/>
  <c r="M1178" i="3"/>
  <c r="N1178" i="3" s="1"/>
  <c r="M1175" i="3"/>
  <c r="N1175" i="3" s="1"/>
  <c r="M1177" i="3"/>
  <c r="N1177" i="3" s="1"/>
  <c r="M1191" i="3"/>
  <c r="N1191" i="3" s="1"/>
  <c r="M1198" i="3"/>
  <c r="N1198" i="3" s="1"/>
  <c r="M1193" i="3"/>
  <c r="N1193" i="3" s="1"/>
  <c r="M1192" i="3"/>
  <c r="N1192" i="3" s="1"/>
  <c r="M1205" i="3"/>
  <c r="N1205" i="3" s="1"/>
  <c r="M1203" i="3"/>
  <c r="N1203" i="3" s="1"/>
  <c r="M1219" i="3"/>
  <c r="N1219" i="3" s="1"/>
  <c r="M1224" i="3"/>
  <c r="N1224" i="3" s="1"/>
  <c r="M1225" i="3"/>
  <c r="N1225" i="3" s="1"/>
  <c r="M1213" i="3"/>
  <c r="N1213" i="3" s="1"/>
  <c r="M1215" i="3"/>
  <c r="N1215" i="3" s="1"/>
  <c r="M1247" i="3"/>
  <c r="N1247" i="3" s="1"/>
  <c r="M1238" i="3"/>
  <c r="N1238" i="3" s="1"/>
  <c r="M1252" i="3"/>
  <c r="N1252" i="3" s="1"/>
  <c r="M1251" i="3"/>
  <c r="N1251" i="3" s="1"/>
  <c r="M1264" i="3"/>
  <c r="N1264" i="3" s="1"/>
  <c r="M1265" i="3"/>
  <c r="N1265" i="3" s="1"/>
  <c r="M1279" i="3"/>
  <c r="N1279" i="3" s="1"/>
  <c r="M1278" i="3"/>
  <c r="N1278" i="3" s="1"/>
  <c r="M1297" i="3"/>
  <c r="N1297" i="3" s="1"/>
  <c r="M1292" i="3"/>
  <c r="N1292" i="3" s="1"/>
  <c r="M1289" i="3"/>
  <c r="N1289" i="3" s="1"/>
  <c r="M1294" i="3"/>
  <c r="N1294" i="3" s="1"/>
  <c r="M1295" i="3"/>
  <c r="N1295" i="3" s="1"/>
  <c r="M1288" i="3"/>
  <c r="N1288" i="3" s="1"/>
  <c r="M1309" i="3"/>
  <c r="N1309" i="3" s="1"/>
  <c r="M1310" i="3"/>
  <c r="N1310" i="3" s="1"/>
  <c r="M1325" i="3"/>
  <c r="N1325" i="3" s="1"/>
  <c r="M1323" i="3"/>
  <c r="N1323" i="3" s="1"/>
  <c r="M1318" i="3"/>
  <c r="N1318" i="3" s="1"/>
  <c r="M1314" i="3"/>
  <c r="N1314" i="3" s="1"/>
  <c r="M1320" i="3"/>
  <c r="N1320" i="3" s="1"/>
  <c r="M1334" i="3"/>
  <c r="N1334" i="3" s="1"/>
  <c r="M1333" i="3"/>
  <c r="N1333" i="3" s="1"/>
  <c r="M1332" i="3"/>
  <c r="N1332" i="3" s="1"/>
  <c r="M1355" i="3"/>
  <c r="N1355" i="3" s="1"/>
  <c r="M303" i="3"/>
  <c r="M1369" i="3"/>
  <c r="N1369" i="3" s="1"/>
  <c r="M1372" i="3"/>
  <c r="N1372" i="3" s="1"/>
  <c r="M1390" i="3"/>
  <c r="N1390" i="3" s="1"/>
  <c r="M1389" i="3"/>
  <c r="N1389" i="3" s="1"/>
  <c r="M1395" i="3"/>
  <c r="N1395" i="3" s="1"/>
  <c r="M1392" i="3"/>
  <c r="N1392" i="3" s="1"/>
  <c r="M1405" i="3"/>
  <c r="N1405" i="3" s="1"/>
  <c r="M1404" i="3"/>
  <c r="N1404" i="3" s="1"/>
  <c r="M1422" i="3"/>
  <c r="N1422" i="3" s="1"/>
  <c r="M1416" i="3"/>
  <c r="N1416" i="3" s="1"/>
  <c r="M1427" i="3"/>
  <c r="N1427" i="3" s="1"/>
  <c r="M1431" i="3"/>
  <c r="N1431" i="3" s="1"/>
  <c r="M1435" i="3"/>
  <c r="N1435" i="3" s="1"/>
  <c r="M1433" i="3"/>
  <c r="N1433" i="3" s="1"/>
  <c r="M1434" i="3"/>
  <c r="N1434" i="3" s="1"/>
  <c r="M1438" i="3"/>
  <c r="N1438" i="3" s="1"/>
  <c r="M1442" i="3"/>
  <c r="N1442" i="3" s="1"/>
  <c r="M1450" i="3"/>
  <c r="N1450" i="3" s="1"/>
  <c r="M1448" i="3"/>
  <c r="N1448" i="3" s="1"/>
  <c r="M1506" i="3"/>
  <c r="N1506" i="3" s="1"/>
  <c r="M1501" i="3"/>
  <c r="N1501" i="3" s="1"/>
  <c r="M1510" i="3"/>
  <c r="N1510" i="3" s="1"/>
  <c r="M1530" i="3"/>
  <c r="N1530" i="3" s="1"/>
  <c r="M1531" i="3"/>
  <c r="N1531" i="3" s="1"/>
  <c r="M1534" i="3"/>
  <c r="N1534" i="3" s="1"/>
  <c r="M1537" i="3"/>
  <c r="N1537" i="3" s="1"/>
  <c r="M1538" i="3"/>
  <c r="N1538" i="3" s="1"/>
  <c r="M1548" i="3"/>
  <c r="N1548" i="3" s="1"/>
  <c r="M1547" i="3"/>
  <c r="N1547" i="3" s="1"/>
  <c r="M292" i="3"/>
  <c r="M1549" i="3"/>
  <c r="N1549" i="3" s="1"/>
  <c r="M1551" i="3"/>
  <c r="N1551" i="3" s="1"/>
  <c r="M1555" i="3"/>
  <c r="N1555" i="3" s="1"/>
  <c r="M1586" i="3"/>
  <c r="N1586" i="3" s="1"/>
  <c r="M1583" i="3"/>
  <c r="N1583" i="3" s="1"/>
  <c r="M1591" i="3"/>
  <c r="N1591" i="3" s="1"/>
  <c r="M1594" i="3"/>
  <c r="N1594" i="3" s="1"/>
  <c r="M1592" i="3"/>
  <c r="N1592" i="3" s="1"/>
  <c r="M1604" i="3"/>
  <c r="N1604" i="3" s="1"/>
  <c r="M1603" i="3"/>
  <c r="N1603" i="3" s="1"/>
  <c r="M1616" i="3"/>
  <c r="N1616" i="3" s="1"/>
  <c r="M1617" i="3"/>
  <c r="N1617" i="3" s="1"/>
  <c r="M1621" i="3"/>
  <c r="N1621" i="3" s="1"/>
  <c r="M380" i="3"/>
  <c r="M1638" i="3"/>
  <c r="N1638" i="3" s="1"/>
  <c r="M369" i="3"/>
  <c r="M1659" i="3"/>
  <c r="N1659" i="3" s="1"/>
  <c r="M1653" i="3"/>
  <c r="N1653" i="3" s="1"/>
  <c r="M1663" i="3"/>
  <c r="N1663" i="3" s="1"/>
  <c r="M1662" i="3"/>
  <c r="N1662" i="3" s="1"/>
  <c r="M1661" i="3"/>
  <c r="N1661" i="3" s="1"/>
  <c r="M1693" i="3"/>
  <c r="N1693" i="3" s="1"/>
  <c r="M1694" i="3"/>
  <c r="N1694" i="3" s="1"/>
  <c r="M1723" i="3"/>
  <c r="N1723" i="3" s="1"/>
  <c r="M1724" i="3"/>
  <c r="N1724" i="3" s="1"/>
  <c r="M1768" i="3"/>
  <c r="N1768" i="3" s="1"/>
  <c r="M1765" i="3"/>
  <c r="N1765" i="3" s="1"/>
  <c r="M1781" i="3"/>
  <c r="N1781" i="3" s="1"/>
  <c r="M408" i="3"/>
  <c r="M1793" i="3"/>
  <c r="N1793" i="3" s="1"/>
  <c r="M1796" i="3"/>
  <c r="N1796" i="3" s="1"/>
  <c r="M1809" i="3"/>
  <c r="N1809" i="3" s="1"/>
  <c r="M1813" i="3"/>
  <c r="N1813" i="3" s="1"/>
  <c r="M1817" i="3"/>
  <c r="N1817" i="3" s="1"/>
  <c r="M1818" i="3"/>
  <c r="N1818" i="3" s="1"/>
  <c r="M1821" i="3"/>
  <c r="N1821" i="3" s="1"/>
  <c r="M1848" i="3"/>
  <c r="N1848" i="3" s="1"/>
  <c r="M1850" i="3"/>
  <c r="N1850" i="3" s="1"/>
  <c r="M1867" i="3"/>
  <c r="N1867" i="3" s="1"/>
  <c r="M1868" i="3"/>
  <c r="N1868" i="3" s="1"/>
  <c r="M1871" i="3"/>
  <c r="N1871" i="3" s="1"/>
  <c r="M1885" i="3"/>
  <c r="N1885" i="3" s="1"/>
  <c r="M273" i="3"/>
  <c r="M1891" i="3"/>
  <c r="N1891" i="3" s="1"/>
  <c r="M1892" i="3"/>
  <c r="N1892" i="3" s="1"/>
  <c r="M1898" i="3"/>
  <c r="N1898" i="3" s="1"/>
  <c r="M1902" i="3"/>
  <c r="N1902" i="3" s="1"/>
  <c r="M1900" i="3"/>
  <c r="N1900" i="3" s="1"/>
  <c r="M1904" i="3"/>
  <c r="N1904" i="3" s="1"/>
  <c r="M1906" i="3"/>
  <c r="N1906" i="3" s="1"/>
  <c r="M1915" i="3"/>
  <c r="N1915" i="3" s="1"/>
  <c r="M1916" i="3"/>
  <c r="N1916" i="3" s="1"/>
  <c r="M1945" i="3"/>
  <c r="N1945" i="3" s="1"/>
  <c r="M1941" i="3"/>
  <c r="N1941" i="3" s="1"/>
  <c r="M1977" i="3"/>
  <c r="N1977" i="3" s="1"/>
  <c r="M1976" i="3"/>
  <c r="N1976" i="3" s="1"/>
  <c r="M1989" i="3"/>
  <c r="N1989" i="3" s="1"/>
  <c r="M372" i="3"/>
  <c r="M1991" i="3"/>
  <c r="N1991" i="3" s="1"/>
  <c r="M1993" i="3"/>
  <c r="N1993" i="3" s="1"/>
  <c r="M1997" i="3"/>
  <c r="N1997" i="3" s="1"/>
  <c r="M1999" i="3"/>
  <c r="N1999" i="3" s="1"/>
  <c r="M2001" i="3"/>
  <c r="N2001" i="3" s="1"/>
  <c r="M2025" i="3"/>
  <c r="N2025" i="3" s="1"/>
  <c r="M2024" i="3"/>
  <c r="N2024" i="3" s="1"/>
  <c r="M2047" i="3"/>
  <c r="N2047" i="3" s="1"/>
  <c r="M130" i="3"/>
  <c r="M2054" i="3"/>
  <c r="N2054" i="3" s="1"/>
  <c r="M2053" i="3"/>
  <c r="N2053" i="3" s="1"/>
  <c r="M2051" i="3"/>
  <c r="N2051" i="3" s="1"/>
  <c r="M2057" i="3"/>
  <c r="N2057" i="3" s="1"/>
  <c r="M205" i="3"/>
  <c r="M2063" i="3"/>
  <c r="N2063" i="3" s="1"/>
  <c r="M2085" i="3"/>
  <c r="N2085" i="3" s="1"/>
  <c r="M2089" i="3"/>
  <c r="N2089" i="3" s="1"/>
  <c r="M2082" i="3"/>
  <c r="N2082" i="3" s="1"/>
  <c r="M2088" i="3"/>
  <c r="N2088" i="3" s="1"/>
  <c r="M2114" i="3"/>
  <c r="N2114" i="3" s="1"/>
  <c r="M2115" i="3"/>
  <c r="N2115" i="3" s="1"/>
  <c r="M2119" i="3"/>
  <c r="N2119" i="3" s="1"/>
  <c r="M2135" i="3"/>
  <c r="N2135" i="3" s="1"/>
  <c r="M2133" i="3"/>
  <c r="N2133" i="3" s="1"/>
  <c r="M2134" i="3"/>
  <c r="N2134" i="3" s="1"/>
  <c r="M2143" i="3"/>
  <c r="N2143" i="3" s="1"/>
  <c r="M2141" i="3"/>
  <c r="N2141" i="3" s="1"/>
  <c r="M2150" i="3"/>
  <c r="N2150" i="3" s="1"/>
  <c r="M2154" i="3"/>
  <c r="N2154" i="3" s="1"/>
  <c r="M2148" i="3"/>
  <c r="N2148" i="3" s="1"/>
  <c r="M2163" i="3"/>
  <c r="N2163" i="3" s="1"/>
  <c r="M2162" i="3"/>
  <c r="N2162" i="3" s="1"/>
  <c r="M2179" i="3"/>
  <c r="N2179" i="3" s="1"/>
  <c r="M2178" i="3"/>
  <c r="N2178" i="3" s="1"/>
  <c r="M52" i="3"/>
  <c r="M2211" i="3"/>
  <c r="N2211" i="3" s="1"/>
  <c r="M2218" i="3"/>
  <c r="N2218" i="3" s="1"/>
  <c r="M2219" i="3"/>
  <c r="N2219" i="3" s="1"/>
  <c r="M2220" i="3"/>
  <c r="N2220" i="3" s="1"/>
  <c r="M2221" i="3"/>
  <c r="N2221" i="3" s="1"/>
  <c r="M2228" i="3"/>
  <c r="N2228" i="3" s="1"/>
  <c r="M2229" i="3"/>
  <c r="N2229" i="3" s="1"/>
  <c r="M2233" i="3"/>
  <c r="N2233" i="3" s="1"/>
  <c r="M2235" i="3"/>
  <c r="N2235" i="3" s="1"/>
  <c r="M2236" i="3"/>
  <c r="N2236" i="3" s="1"/>
  <c r="M2238" i="3"/>
  <c r="N2238" i="3" s="1"/>
  <c r="M2241" i="3"/>
  <c r="N2241" i="3" s="1"/>
  <c r="M2260" i="3"/>
  <c r="N2260" i="3" s="1"/>
  <c r="M290" i="3"/>
  <c r="M2263" i="3"/>
  <c r="N2263" i="3" s="1"/>
  <c r="M228" i="3"/>
  <c r="M2264" i="3"/>
  <c r="N2264" i="3" s="1"/>
  <c r="M2276" i="3"/>
  <c r="N2276" i="3" s="1"/>
  <c r="M2275" i="3"/>
  <c r="N2275" i="3" s="1"/>
  <c r="M2279" i="3"/>
  <c r="N2279" i="3" s="1"/>
  <c r="M2282" i="3"/>
  <c r="N2282" i="3" s="1"/>
  <c r="M2285" i="3"/>
  <c r="N2285" i="3" s="1"/>
  <c r="M359" i="3"/>
  <c r="M2278" i="3"/>
  <c r="N2278" i="3" s="1"/>
  <c r="M211" i="3"/>
  <c r="M2298" i="3"/>
  <c r="N2298" i="3" s="1"/>
  <c r="M2297" i="3"/>
  <c r="N2297" i="3" s="1"/>
  <c r="M2296" i="3"/>
  <c r="N2296" i="3" s="1"/>
  <c r="M2295" i="3"/>
  <c r="N2295" i="3" s="1"/>
  <c r="M201" i="3"/>
  <c r="M2306" i="3"/>
  <c r="N2306" i="3" s="1"/>
  <c r="M2307" i="3"/>
  <c r="N2307" i="3" s="1"/>
  <c r="M2315" i="3"/>
  <c r="N2315" i="3" s="1"/>
  <c r="M2314" i="3"/>
  <c r="N2314" i="3" s="1"/>
  <c r="M2320" i="3"/>
  <c r="N2320" i="3" s="1"/>
  <c r="M2324" i="3"/>
  <c r="N2324" i="3" s="1"/>
  <c r="M2333" i="3"/>
  <c r="N2333" i="3" s="1"/>
  <c r="M2336" i="3"/>
  <c r="N2336" i="3" s="1"/>
  <c r="M2327" i="3"/>
  <c r="N2327" i="3" s="1"/>
  <c r="M2328" i="3"/>
  <c r="N2328" i="3" s="1"/>
  <c r="M2332" i="3"/>
  <c r="N2332" i="3" s="1"/>
  <c r="M97" i="3"/>
  <c r="M2340" i="3"/>
  <c r="N2340" i="3" s="1"/>
  <c r="M2341" i="3"/>
  <c r="N2341" i="3" s="1"/>
  <c r="M2355" i="3"/>
  <c r="N2355" i="3" s="1"/>
  <c r="M2356" i="3"/>
  <c r="N2356" i="3" s="1"/>
  <c r="M2378" i="3"/>
  <c r="N2378" i="3" s="1"/>
  <c r="M2383" i="3"/>
  <c r="N2383" i="3" s="1"/>
  <c r="M2389" i="3"/>
  <c r="N2389" i="3" s="1"/>
  <c r="M2390" i="3"/>
  <c r="N2390" i="3" s="1"/>
  <c r="M2391" i="3"/>
  <c r="N2391" i="3" s="1"/>
  <c r="M2400" i="3"/>
  <c r="N2400" i="3" s="1"/>
  <c r="M2403" i="3"/>
  <c r="N2403" i="3" s="1"/>
  <c r="M2412" i="3"/>
  <c r="N2412" i="3" s="1"/>
  <c r="M2414" i="3"/>
  <c r="N2414" i="3" s="1"/>
  <c r="M2418" i="3"/>
  <c r="N2418" i="3" s="1"/>
  <c r="M2424" i="3"/>
  <c r="N2424" i="3" s="1"/>
  <c r="M2425" i="3"/>
  <c r="N2425" i="3" s="1"/>
  <c r="M2430" i="3"/>
  <c r="N2430" i="3" s="1"/>
  <c r="M2431" i="3"/>
  <c r="N2431" i="3" s="1"/>
  <c r="M2433" i="3"/>
  <c r="N2433" i="3" s="1"/>
  <c r="M385" i="3"/>
  <c r="M2443" i="3"/>
  <c r="N2443" i="3" s="1"/>
  <c r="M2441" i="3"/>
  <c r="N2441" i="3" s="1"/>
  <c r="M2444" i="3"/>
  <c r="N2444" i="3" s="1"/>
  <c r="M2437" i="3"/>
  <c r="N2437" i="3" s="1"/>
  <c r="M2463" i="3"/>
  <c r="N2463" i="3" s="1"/>
  <c r="M2464" i="3"/>
  <c r="N2464" i="3" s="1"/>
  <c r="M2486" i="3"/>
  <c r="N2486" i="3" s="1"/>
  <c r="M2485" i="3"/>
  <c r="N2485" i="3" s="1"/>
  <c r="M2490" i="3"/>
  <c r="N2490" i="3" s="1"/>
  <c r="M2499" i="3"/>
  <c r="N2499" i="3" s="1"/>
  <c r="M2497" i="3"/>
  <c r="N2497" i="3" s="1"/>
  <c r="M2498" i="3"/>
  <c r="N2498" i="3" s="1"/>
  <c r="M230" i="3"/>
  <c r="M2517" i="3"/>
  <c r="N2517" i="3" s="1"/>
  <c r="M2518" i="3"/>
  <c r="N2518" i="3" s="1"/>
  <c r="M2538" i="3"/>
  <c r="N2538" i="3" s="1"/>
  <c r="M2537" i="3"/>
  <c r="N2537" i="3" s="1"/>
  <c r="M2541" i="3"/>
  <c r="N2541" i="3" s="1"/>
  <c r="M2539" i="3"/>
  <c r="N2539" i="3" s="1"/>
  <c r="M29" i="3"/>
  <c r="M2550" i="3"/>
  <c r="N2550" i="3" s="1"/>
  <c r="M307" i="3"/>
  <c r="M2570" i="3"/>
  <c r="N2570" i="3" s="1"/>
  <c r="M2565" i="3"/>
  <c r="N2565" i="3" s="1"/>
  <c r="M2585" i="3"/>
  <c r="N2585" i="3" s="1"/>
  <c r="M2590" i="3"/>
  <c r="N2590" i="3" s="1"/>
  <c r="M260" i="3"/>
  <c r="M2586" i="3"/>
  <c r="N2586" i="3" s="1"/>
  <c r="M2592" i="3"/>
  <c r="N2592" i="3" s="1"/>
  <c r="M2596" i="3"/>
  <c r="N2596" i="3" s="1"/>
  <c r="M2594" i="3"/>
  <c r="N2594" i="3" s="1"/>
  <c r="M227" i="3"/>
  <c r="M2600" i="3"/>
  <c r="N2600" i="3" s="1"/>
  <c r="M2608" i="3"/>
  <c r="N2608" i="3" s="1"/>
  <c r="M134" i="3"/>
  <c r="M2609" i="3"/>
  <c r="N2609" i="3" s="1"/>
  <c r="M2611" i="3"/>
  <c r="N2611" i="3" s="1"/>
  <c r="M2612" i="3"/>
  <c r="N2612" i="3" s="1"/>
  <c r="M2618" i="3"/>
  <c r="N2618" i="3" s="1"/>
  <c r="M381" i="3"/>
  <c r="M191" i="3"/>
  <c r="M4" i="3"/>
  <c r="M88" i="3"/>
  <c r="M2633" i="3"/>
  <c r="N2633" i="3" s="1"/>
  <c r="M245" i="3"/>
  <c r="M161" i="3"/>
  <c r="M2643" i="3"/>
  <c r="N2643" i="3" s="1"/>
  <c r="M2647" i="3"/>
  <c r="N2647" i="3" s="1"/>
  <c r="M122" i="3"/>
  <c r="M194" i="3"/>
  <c r="M2669" i="3"/>
  <c r="N2669" i="3" s="1"/>
  <c r="M55" i="3"/>
  <c r="M30" i="3"/>
  <c r="M259" i="3"/>
  <c r="M293" i="3"/>
  <c r="M40" i="3"/>
  <c r="M330" i="3"/>
  <c r="M311" i="3"/>
  <c r="M335" i="3"/>
  <c r="M125" i="3"/>
  <c r="M333" i="3"/>
  <c r="M100" i="3"/>
  <c r="M115" i="3"/>
  <c r="M127" i="3"/>
  <c r="M12" i="3"/>
  <c r="M50" i="3"/>
  <c r="M102" i="3"/>
  <c r="M45" i="3"/>
  <c r="M112" i="3"/>
  <c r="M18" i="3"/>
  <c r="M212" i="3"/>
  <c r="M209" i="3"/>
  <c r="O354" i="3"/>
  <c r="N354" i="3"/>
  <c r="O396" i="3"/>
  <c r="N396" i="3"/>
  <c r="O270" i="3"/>
  <c r="N270" i="3"/>
  <c r="N402" i="3"/>
  <c r="O402" i="3"/>
  <c r="O327" i="3"/>
  <c r="N327" i="3"/>
  <c r="O255" i="3"/>
  <c r="N255" i="3"/>
  <c r="N186" i="3"/>
  <c r="O186" i="3"/>
  <c r="N403" i="3"/>
  <c r="O403" i="3"/>
  <c r="O302" i="3"/>
  <c r="N302" i="3"/>
  <c r="O87" i="3"/>
  <c r="N87" i="3"/>
  <c r="O394" i="3"/>
  <c r="N394" i="3"/>
  <c r="O110" i="3"/>
  <c r="N110" i="3"/>
  <c r="N377" i="3"/>
  <c r="O377" i="3"/>
  <c r="N400" i="3"/>
  <c r="O400" i="3"/>
  <c r="N371" i="3"/>
  <c r="O371" i="3"/>
  <c r="N323" i="3"/>
  <c r="O323" i="3"/>
  <c r="N117" i="3"/>
  <c r="O117" i="3"/>
  <c r="N77" i="3"/>
  <c r="O77" i="3"/>
  <c r="N384" i="3"/>
  <c r="O384" i="3"/>
  <c r="N397" i="3"/>
  <c r="O397" i="3"/>
  <c r="N393" i="3"/>
  <c r="O393" i="3"/>
  <c r="N250" i="3"/>
  <c r="O250" i="3"/>
  <c r="N272" i="3"/>
  <c r="O272" i="3"/>
  <c r="N348" i="3"/>
  <c r="O348" i="3"/>
  <c r="N253" i="3"/>
  <c r="O253" i="3"/>
  <c r="N417" i="3"/>
  <c r="O417" i="3"/>
  <c r="N242" i="3"/>
  <c r="O242" i="3"/>
  <c r="N328" i="3"/>
  <c r="O328" i="3"/>
  <c r="N415" i="3"/>
  <c r="O415" i="3"/>
  <c r="N268" i="3"/>
  <c r="O268" i="3"/>
  <c r="N265" i="3"/>
  <c r="O265" i="3"/>
  <c r="N319" i="3"/>
  <c r="O319" i="3"/>
  <c r="N320" i="3"/>
  <c r="O320" i="3"/>
  <c r="N210" i="3"/>
  <c r="O210" i="3"/>
  <c r="N364" i="3"/>
  <c r="O364" i="3"/>
  <c r="N128" i="3"/>
  <c r="O128" i="3"/>
  <c r="N355" i="3"/>
  <c r="O355" i="3"/>
  <c r="N338" i="3"/>
  <c r="O338" i="3"/>
  <c r="N118" i="3"/>
  <c r="O118" i="3"/>
  <c r="N404" i="3"/>
  <c r="O404" i="3"/>
  <c r="N414" i="3"/>
  <c r="O414" i="3"/>
  <c r="N43" i="3"/>
  <c r="O43" i="3"/>
  <c r="N413" i="3"/>
  <c r="O413" i="3"/>
  <c r="N410" i="3"/>
  <c r="O410" i="3"/>
  <c r="N409" i="3"/>
  <c r="O409" i="3"/>
  <c r="N24" i="3"/>
  <c r="O24" i="3"/>
  <c r="N91" i="3"/>
  <c r="O91" i="3"/>
  <c r="N248" i="3"/>
  <c r="O248" i="3"/>
  <c r="N177" i="3"/>
  <c r="O177" i="3"/>
  <c r="N316" i="3"/>
  <c r="O316" i="3"/>
  <c r="N321" i="3"/>
  <c r="O321" i="3"/>
  <c r="N164" i="3"/>
  <c r="O164" i="3"/>
  <c r="N368" i="3"/>
  <c r="O368" i="3"/>
  <c r="N373" i="3"/>
  <c r="O373" i="3"/>
  <c r="N252" i="3"/>
  <c r="O252" i="3"/>
  <c r="N334" i="3"/>
  <c r="O334" i="3"/>
  <c r="N132" i="3"/>
  <c r="O132" i="3"/>
  <c r="N221" i="3"/>
  <c r="O221" i="3"/>
  <c r="N412" i="3"/>
  <c r="O412" i="3"/>
  <c r="N49" i="3"/>
  <c r="O49" i="3"/>
  <c r="N13" i="3"/>
  <c r="O13" i="3"/>
  <c r="N318" i="3"/>
  <c r="O318" i="3"/>
  <c r="N63" i="3"/>
  <c r="O63" i="3"/>
  <c r="N15" i="3"/>
  <c r="O15" i="3"/>
  <c r="N366" i="3"/>
  <c r="O366" i="3"/>
  <c r="N170" i="3"/>
  <c r="O170" i="3"/>
  <c r="N176" i="3"/>
  <c r="O176" i="3"/>
  <c r="N149" i="3"/>
  <c r="O149" i="3"/>
  <c r="N160" i="3"/>
  <c r="O160" i="3"/>
  <c r="N300" i="3"/>
  <c r="O300" i="3"/>
  <c r="N383" i="3"/>
  <c r="O383" i="3"/>
  <c r="N111" i="3"/>
  <c r="O111" i="3"/>
  <c r="N356" i="3"/>
  <c r="O356" i="3"/>
  <c r="N25" i="3"/>
  <c r="O25" i="3"/>
  <c r="N390" i="3"/>
  <c r="O390" i="3"/>
  <c r="N123" i="3"/>
  <c r="O123" i="3"/>
  <c r="N254" i="3"/>
  <c r="O254" i="3"/>
  <c r="N33" i="3"/>
  <c r="O33" i="3"/>
  <c r="N281" i="3"/>
  <c r="O281" i="3"/>
  <c r="N347" i="3"/>
  <c r="O347" i="3"/>
  <c r="N193" i="3"/>
  <c r="O193" i="3"/>
  <c r="N358" i="3"/>
  <c r="O358" i="3"/>
  <c r="N249" i="3"/>
  <c r="O249" i="3"/>
  <c r="N156" i="3"/>
  <c r="O156" i="3"/>
  <c r="N271" i="3"/>
  <c r="O271" i="3"/>
  <c r="N285" i="3"/>
  <c r="O285" i="3"/>
  <c r="N266" i="3"/>
  <c r="O266" i="3"/>
  <c r="N363" i="3"/>
  <c r="O363" i="3"/>
  <c r="N133" i="3"/>
  <c r="O133" i="3"/>
  <c r="N39" i="3"/>
  <c r="O39" i="3"/>
  <c r="N213" i="3"/>
  <c r="O213" i="3"/>
  <c r="N232" i="3"/>
  <c r="O232" i="3"/>
  <c r="N198" i="3"/>
  <c r="O198" i="3"/>
  <c r="N269" i="3"/>
  <c r="O269" i="3"/>
  <c r="N34" i="3"/>
  <c r="O34" i="3"/>
  <c r="N64" i="3"/>
  <c r="O64" i="3"/>
  <c r="N138" i="3"/>
  <c r="O138" i="3"/>
  <c r="N146" i="3"/>
  <c r="O146" i="3"/>
  <c r="N157" i="3"/>
  <c r="O157" i="3"/>
  <c r="N104" i="3"/>
  <c r="O104" i="3"/>
  <c r="N202" i="3"/>
  <c r="O202" i="3"/>
  <c r="N182" i="3"/>
  <c r="O182" i="3"/>
  <c r="N140" i="3"/>
  <c r="O140" i="3"/>
  <c r="N287" i="3"/>
  <c r="O287" i="3"/>
  <c r="N208" i="3"/>
  <c r="O208" i="3"/>
  <c r="N324" i="3"/>
  <c r="O324" i="3"/>
  <c r="N83" i="3"/>
  <c r="O83" i="3"/>
  <c r="N17" i="3"/>
  <c r="O17" i="3"/>
  <c r="N282" i="3"/>
  <c r="O282" i="3"/>
  <c r="N8" i="3"/>
  <c r="O8" i="3"/>
  <c r="N78" i="3"/>
  <c r="O78" i="3"/>
  <c r="N195" i="3"/>
  <c r="O195" i="3"/>
  <c r="N297" i="3"/>
  <c r="O297" i="3"/>
  <c r="N295" i="3"/>
  <c r="O295" i="3"/>
  <c r="N304" i="3"/>
  <c r="O304" i="3"/>
  <c r="N162" i="3"/>
  <c r="O162" i="3"/>
  <c r="N144" i="3"/>
  <c r="O144" i="3"/>
  <c r="N82" i="3"/>
  <c r="O82" i="3"/>
  <c r="N61" i="3"/>
  <c r="O61" i="3"/>
  <c r="N219" i="3"/>
  <c r="O219" i="3"/>
  <c r="N32" i="3"/>
  <c r="O32" i="3"/>
  <c r="N374" i="3"/>
  <c r="O374" i="3"/>
  <c r="N65" i="3"/>
  <c r="O65" i="3"/>
  <c r="N399" i="3"/>
  <c r="O399" i="3"/>
  <c r="N222" i="3"/>
  <c r="O222" i="3"/>
  <c r="N239" i="3"/>
  <c r="O239" i="3"/>
  <c r="N155" i="3"/>
  <c r="O155" i="3"/>
  <c r="N28" i="3"/>
  <c r="O28" i="3"/>
  <c r="N84" i="3"/>
  <c r="O84" i="3"/>
  <c r="N274" i="3"/>
  <c r="O274" i="3"/>
  <c r="N158" i="3"/>
  <c r="O158" i="3"/>
  <c r="N169" i="3"/>
  <c r="O169" i="3"/>
  <c r="N188" i="3"/>
  <c r="O188" i="3"/>
  <c r="N46" i="3"/>
  <c r="O46" i="3"/>
  <c r="N257" i="3"/>
  <c r="O257" i="3"/>
  <c r="N305" i="3"/>
  <c r="O305" i="3"/>
  <c r="N90" i="3"/>
  <c r="O90" i="3"/>
  <c r="N48" i="3"/>
  <c r="O48" i="3"/>
  <c r="N375" i="3"/>
  <c r="O375" i="3"/>
  <c r="N251" i="3"/>
  <c r="O251" i="3"/>
  <c r="N325" i="3"/>
  <c r="O325" i="3"/>
  <c r="N70" i="3"/>
  <c r="O70" i="3"/>
  <c r="N350" i="3"/>
  <c r="O350" i="3"/>
  <c r="N267" i="3"/>
  <c r="O267" i="3"/>
  <c r="N10" i="3"/>
  <c r="O10" i="3"/>
  <c r="N131" i="3"/>
  <c r="O131" i="3"/>
  <c r="N67" i="3"/>
  <c r="O67" i="3"/>
  <c r="N51" i="3"/>
  <c r="O51" i="3"/>
  <c r="N280" i="3"/>
  <c r="O280" i="3"/>
  <c r="N197" i="3"/>
  <c r="O197" i="3"/>
  <c r="N41" i="3"/>
  <c r="O41" i="3"/>
  <c r="N66" i="3"/>
  <c r="O66" i="3"/>
  <c r="N185" i="3"/>
  <c r="O185" i="3"/>
  <c r="N196" i="3"/>
  <c r="O196" i="3"/>
  <c r="N135" i="3"/>
  <c r="O135" i="3"/>
  <c r="N129" i="3"/>
  <c r="O129" i="3"/>
  <c r="N22" i="3"/>
  <c r="O22" i="3"/>
  <c r="N225" i="3"/>
  <c r="O225" i="3"/>
  <c r="N379" i="3"/>
  <c r="O379" i="3"/>
  <c r="N344" i="3"/>
  <c r="O344" i="3"/>
  <c r="N36" i="3"/>
  <c r="O36" i="3"/>
  <c r="N81" i="3"/>
  <c r="O81" i="3"/>
  <c r="N5" i="3"/>
  <c r="O5" i="3"/>
  <c r="N73" i="3"/>
  <c r="O73" i="3"/>
  <c r="N143" i="3"/>
  <c r="O143" i="3"/>
  <c r="N241" i="3"/>
  <c r="O241" i="3"/>
  <c r="N346" i="3"/>
  <c r="O346" i="3"/>
  <c r="N7" i="3"/>
  <c r="O7" i="3"/>
  <c r="N286" i="3"/>
  <c r="O286" i="3"/>
  <c r="N313" i="3"/>
  <c r="O313" i="3"/>
  <c r="N173" i="3"/>
  <c r="O173" i="3"/>
  <c r="N116" i="3"/>
  <c r="O116" i="3"/>
  <c r="N44" i="3"/>
  <c r="O44" i="3"/>
  <c r="N9" i="3"/>
  <c r="O9" i="3"/>
  <c r="N199" i="3"/>
  <c r="O199" i="3"/>
  <c r="N329" i="3"/>
  <c r="O329" i="3"/>
  <c r="N99" i="3"/>
  <c r="O99" i="3"/>
  <c r="N171" i="3"/>
  <c r="O171" i="3"/>
  <c r="N159" i="3"/>
  <c r="O159" i="3"/>
  <c r="N56" i="3"/>
  <c r="O56" i="3"/>
  <c r="N256" i="3"/>
  <c r="O256" i="3"/>
  <c r="N357" i="3"/>
  <c r="O357" i="3"/>
  <c r="N262" i="3"/>
  <c r="O262" i="3"/>
  <c r="N167" i="3"/>
  <c r="O167" i="3"/>
  <c r="N60" i="3"/>
  <c r="O60" i="3"/>
  <c r="N98" i="3"/>
  <c r="O98" i="3"/>
  <c r="N14" i="3"/>
  <c r="O14" i="3"/>
  <c r="N340" i="3"/>
  <c r="O340" i="3"/>
  <c r="N103" i="3"/>
  <c r="O103" i="3"/>
  <c r="N215" i="3"/>
  <c r="O215" i="3"/>
  <c r="N179" i="3"/>
  <c r="O179" i="3"/>
  <c r="N147" i="3"/>
  <c r="O147" i="3"/>
  <c r="N105" i="3"/>
  <c r="O105" i="3"/>
  <c r="N192" i="3"/>
  <c r="O192" i="3"/>
  <c r="N107" i="3"/>
  <c r="O107" i="3"/>
  <c r="N106" i="3"/>
  <c r="O106" i="3"/>
  <c r="N31" i="3"/>
  <c r="O31" i="3"/>
  <c r="N3" i="3"/>
  <c r="O3" i="3"/>
  <c r="N154" i="3"/>
  <c r="O154" i="3"/>
  <c r="N233" i="3"/>
  <c r="O233" i="3"/>
  <c r="N35" i="3"/>
  <c r="O35" i="3"/>
  <c r="N234" i="3"/>
  <c r="O234" i="3"/>
  <c r="N231" i="3"/>
  <c r="O231" i="3"/>
  <c r="N275" i="3"/>
  <c r="O275" i="3"/>
  <c r="N27" i="3"/>
  <c r="O27" i="3"/>
  <c r="N312" i="3"/>
  <c r="O312" i="3"/>
  <c r="N53" i="3"/>
  <c r="O53" i="3"/>
  <c r="N75" i="3"/>
  <c r="O75" i="3"/>
  <c r="N291" i="3"/>
  <c r="O291" i="3"/>
  <c r="N353" i="3"/>
  <c r="O353" i="3"/>
  <c r="N113" i="3"/>
  <c r="O113" i="3"/>
  <c r="N204" i="3"/>
  <c r="O204" i="3"/>
  <c r="N315" i="3"/>
  <c r="O315" i="3"/>
  <c r="N277" i="3"/>
  <c r="O277" i="3"/>
  <c r="N261" i="3"/>
  <c r="O261" i="3"/>
  <c r="N332" i="3"/>
  <c r="O332" i="3"/>
  <c r="N299" i="3"/>
  <c r="O299" i="3"/>
  <c r="N37" i="3"/>
  <c r="O37" i="3"/>
  <c r="N365" i="3"/>
  <c r="O365" i="3"/>
  <c r="N165" i="3"/>
  <c r="O165" i="3"/>
  <c r="N258" i="3"/>
  <c r="O258" i="3"/>
  <c r="N163" i="3"/>
  <c r="O163" i="3"/>
  <c r="N71" i="3"/>
  <c r="O71" i="3"/>
  <c r="N343" i="3"/>
  <c r="O343" i="3"/>
  <c r="N342" i="3"/>
  <c r="O342" i="3"/>
  <c r="N89" i="3"/>
  <c r="O89" i="3"/>
  <c r="N244" i="3"/>
  <c r="O244" i="3"/>
  <c r="O351" i="3" l="1"/>
  <c r="P351" i="3" s="1"/>
  <c r="R351" i="3" s="1"/>
  <c r="N351" i="3"/>
  <c r="O411" i="3"/>
  <c r="P411" i="3" s="1"/>
  <c r="R411" i="3" s="1"/>
  <c r="N411" i="3"/>
  <c r="N392" i="3"/>
  <c r="O392" i="3"/>
  <c r="P392" i="3" s="1"/>
  <c r="R392" i="3" s="1"/>
  <c r="N42" i="3"/>
  <c r="O42" i="3"/>
  <c r="P42" i="3" s="1"/>
  <c r="R42" i="3" s="1"/>
  <c r="N93" i="3"/>
  <c r="O93" i="3"/>
  <c r="P93" i="3" s="1"/>
  <c r="R93" i="3" s="1"/>
  <c r="N276" i="3"/>
  <c r="O276" i="3"/>
  <c r="P276" i="3" s="1"/>
  <c r="R276" i="3" s="1"/>
  <c r="N72" i="3"/>
  <c r="O72" i="3"/>
  <c r="P72" i="3" s="1"/>
  <c r="R72" i="3" s="1"/>
  <c r="N360" i="3"/>
  <c r="O360" i="3"/>
  <c r="P360" i="3" s="1"/>
  <c r="R360" i="3" s="1"/>
  <c r="N416" i="3"/>
  <c r="O416" i="3"/>
  <c r="P416" i="3" s="1"/>
  <c r="R416" i="3" s="1"/>
  <c r="N361" i="3"/>
  <c r="O361" i="3"/>
  <c r="P361" i="3" s="1"/>
  <c r="R361" i="3" s="1"/>
  <c r="N407" i="3"/>
  <c r="O407" i="3"/>
  <c r="P407" i="3" s="1"/>
  <c r="R407" i="3" s="1"/>
  <c r="N76" i="3"/>
  <c r="O76" i="3"/>
  <c r="P76" i="3" s="1"/>
  <c r="R76" i="3" s="1"/>
  <c r="N190" i="3"/>
  <c r="O190" i="3"/>
  <c r="P190" i="3" s="1"/>
  <c r="R190" i="3" s="1"/>
  <c r="N391" i="3"/>
  <c r="O391" i="3"/>
  <c r="P391" i="3" s="1"/>
  <c r="R391" i="3" s="1"/>
  <c r="N153" i="3"/>
  <c r="O153" i="3"/>
  <c r="P153" i="3" s="1"/>
  <c r="R153" i="3" s="1"/>
  <c r="N21" i="3"/>
  <c r="O21" i="3"/>
  <c r="P21" i="3" s="1"/>
  <c r="R21" i="3" s="1"/>
  <c r="N121" i="3"/>
  <c r="O121" i="3"/>
  <c r="P121" i="3" s="1"/>
  <c r="R121" i="3" s="1"/>
  <c r="N278" i="3"/>
  <c r="O278" i="3"/>
  <c r="P278" i="3" s="1"/>
  <c r="R278" i="3" s="1"/>
  <c r="N283" i="3"/>
  <c r="O283" i="3"/>
  <c r="P283" i="3" s="1"/>
  <c r="R283" i="3" s="1"/>
  <c r="N74" i="3"/>
  <c r="O74" i="3"/>
  <c r="P74" i="3" s="1"/>
  <c r="R74" i="3" s="1"/>
  <c r="N218" i="3"/>
  <c r="O218" i="3"/>
  <c r="P218" i="3" s="1"/>
  <c r="R218" i="3" s="1"/>
  <c r="N141" i="3"/>
  <c r="O141" i="3"/>
  <c r="P141" i="3" s="1"/>
  <c r="R141" i="3" s="1"/>
  <c r="N339" i="3"/>
  <c r="O339" i="3"/>
  <c r="P339" i="3" s="1"/>
  <c r="R339" i="3" s="1"/>
  <c r="N92" i="3"/>
  <c r="O92" i="3"/>
  <c r="P92" i="3" s="1"/>
  <c r="R92" i="3" s="1"/>
  <c r="N180" i="3"/>
  <c r="O180" i="3"/>
  <c r="P180" i="3" s="1"/>
  <c r="R180" i="3" s="1"/>
  <c r="N172" i="3"/>
  <c r="O172" i="3"/>
  <c r="P172" i="3" s="1"/>
  <c r="R172" i="3" s="1"/>
  <c r="N217" i="3"/>
  <c r="O217" i="3"/>
  <c r="P217" i="3" s="1"/>
  <c r="R217" i="3" s="1"/>
  <c r="N183" i="3"/>
  <c r="O183" i="3"/>
  <c r="P183" i="3" s="1"/>
  <c r="R183" i="3" s="1"/>
  <c r="N349" i="3"/>
  <c r="O349" i="3"/>
  <c r="P349" i="3" s="1"/>
  <c r="R349" i="3" s="1"/>
  <c r="N150" i="3"/>
  <c r="O150" i="3"/>
  <c r="P150" i="3" s="1"/>
  <c r="R150" i="3" s="1"/>
  <c r="N2" i="3"/>
  <c r="D7" i="11" s="1"/>
  <c r="G7" i="11" s="1"/>
  <c r="J7" i="11" s="1"/>
  <c r="O2" i="3"/>
  <c r="P2" i="3" s="1"/>
  <c r="R2" i="3" s="1"/>
  <c r="N124" i="3"/>
  <c r="O124" i="3"/>
  <c r="P124" i="3" s="1"/>
  <c r="R124" i="3" s="1"/>
  <c r="N54" i="3"/>
  <c r="O54" i="3"/>
  <c r="P54" i="3" s="1"/>
  <c r="R54" i="3" s="1"/>
  <c r="N341" i="3"/>
  <c r="O341" i="3"/>
  <c r="P341" i="3" s="1"/>
  <c r="R341" i="3" s="1"/>
  <c r="N80" i="3"/>
  <c r="O80" i="3"/>
  <c r="P80" i="3" s="1"/>
  <c r="R80" i="3" s="1"/>
  <c r="N114" i="3"/>
  <c r="O114" i="3"/>
  <c r="P114" i="3" s="1"/>
  <c r="R114" i="3" s="1"/>
  <c r="N372" i="3"/>
  <c r="O372" i="3"/>
  <c r="P372" i="3" s="1"/>
  <c r="R372" i="3" s="1"/>
  <c r="N130" i="3"/>
  <c r="O130" i="3"/>
  <c r="P130" i="3" s="1"/>
  <c r="R130" i="3" s="1"/>
  <c r="N205" i="3"/>
  <c r="O205" i="3"/>
  <c r="P205" i="3" s="1"/>
  <c r="R205" i="3" s="1"/>
  <c r="N52" i="3"/>
  <c r="O52" i="3"/>
  <c r="P52" i="3" s="1"/>
  <c r="R52" i="3" s="1"/>
  <c r="N290" i="3"/>
  <c r="O290" i="3"/>
  <c r="P290" i="3" s="1"/>
  <c r="R290" i="3" s="1"/>
  <c r="N228" i="3"/>
  <c r="O228" i="3"/>
  <c r="P228" i="3" s="1"/>
  <c r="R228" i="3" s="1"/>
  <c r="N359" i="3"/>
  <c r="O359" i="3"/>
  <c r="P359" i="3" s="1"/>
  <c r="R359" i="3" s="1"/>
  <c r="N211" i="3"/>
  <c r="O211" i="3"/>
  <c r="P211" i="3" s="1"/>
  <c r="R211" i="3" s="1"/>
  <c r="N201" i="3"/>
  <c r="O201" i="3"/>
  <c r="P201" i="3" s="1"/>
  <c r="R201" i="3" s="1"/>
  <c r="N97" i="3"/>
  <c r="O97" i="3"/>
  <c r="P97" i="3" s="1"/>
  <c r="R97" i="3" s="1"/>
  <c r="N385" i="3"/>
  <c r="O385" i="3"/>
  <c r="P385" i="3" s="1"/>
  <c r="R385" i="3" s="1"/>
  <c r="N230" i="3"/>
  <c r="O230" i="3"/>
  <c r="P230" i="3" s="1"/>
  <c r="R230" i="3" s="1"/>
  <c r="N29" i="3"/>
  <c r="O29" i="3"/>
  <c r="P29" i="3" s="1"/>
  <c r="R29" i="3" s="1"/>
  <c r="N307" i="3"/>
  <c r="O307" i="3"/>
  <c r="P307" i="3" s="1"/>
  <c r="R307" i="3" s="1"/>
  <c r="N260" i="3"/>
  <c r="O260" i="3"/>
  <c r="P260" i="3" s="1"/>
  <c r="R260" i="3" s="1"/>
  <c r="N227" i="3"/>
  <c r="O227" i="3"/>
  <c r="P227" i="3" s="1"/>
  <c r="R227" i="3" s="1"/>
  <c r="N134" i="3"/>
  <c r="O134" i="3"/>
  <c r="P134" i="3" s="1"/>
  <c r="R134" i="3" s="1"/>
  <c r="N381" i="3"/>
  <c r="O381" i="3"/>
  <c r="P381" i="3" s="1"/>
  <c r="R381" i="3" s="1"/>
  <c r="N191" i="3"/>
  <c r="O191" i="3"/>
  <c r="P191" i="3" s="1"/>
  <c r="R191" i="3" s="1"/>
  <c r="N4" i="3"/>
  <c r="D5" i="11" s="1"/>
  <c r="G5" i="11" s="1"/>
  <c r="J5" i="11" s="1"/>
  <c r="O4" i="3"/>
  <c r="P4" i="3" s="1"/>
  <c r="R4" i="3" s="1"/>
  <c r="N88" i="3"/>
  <c r="O88" i="3"/>
  <c r="P88" i="3" s="1"/>
  <c r="R88" i="3" s="1"/>
  <c r="N245" i="3"/>
  <c r="O245" i="3"/>
  <c r="P245" i="3" s="1"/>
  <c r="R245" i="3" s="1"/>
  <c r="N161" i="3"/>
  <c r="O161" i="3"/>
  <c r="P161" i="3" s="1"/>
  <c r="R161" i="3" s="1"/>
  <c r="N122" i="3"/>
  <c r="O122" i="3"/>
  <c r="P122" i="3" s="1"/>
  <c r="R122" i="3" s="1"/>
  <c r="N194" i="3"/>
  <c r="O194" i="3"/>
  <c r="P194" i="3" s="1"/>
  <c r="R194" i="3" s="1"/>
  <c r="N55" i="3"/>
  <c r="O55" i="3"/>
  <c r="P55" i="3" s="1"/>
  <c r="R55" i="3" s="1"/>
  <c r="N30" i="3"/>
  <c r="O30" i="3"/>
  <c r="P30" i="3" s="1"/>
  <c r="R30" i="3" s="1"/>
  <c r="N259" i="3"/>
  <c r="O259" i="3"/>
  <c r="P259" i="3" s="1"/>
  <c r="R259" i="3" s="1"/>
  <c r="N293" i="3"/>
  <c r="O293" i="3"/>
  <c r="P293" i="3" s="1"/>
  <c r="R293" i="3" s="1"/>
  <c r="N40" i="3"/>
  <c r="O40" i="3"/>
  <c r="P40" i="3" s="1"/>
  <c r="R40" i="3" s="1"/>
  <c r="N330" i="3"/>
  <c r="O330" i="3"/>
  <c r="P330" i="3" s="1"/>
  <c r="R330" i="3" s="1"/>
  <c r="N311" i="3"/>
  <c r="O311" i="3"/>
  <c r="P311" i="3" s="1"/>
  <c r="R311" i="3" s="1"/>
  <c r="N335" i="3"/>
  <c r="O335" i="3"/>
  <c r="P335" i="3" s="1"/>
  <c r="R335" i="3" s="1"/>
  <c r="N125" i="3"/>
  <c r="O125" i="3"/>
  <c r="P125" i="3" s="1"/>
  <c r="R125" i="3" s="1"/>
  <c r="N333" i="3"/>
  <c r="O333" i="3"/>
  <c r="P333" i="3" s="1"/>
  <c r="R333" i="3" s="1"/>
  <c r="N100" i="3"/>
  <c r="O100" i="3"/>
  <c r="P100" i="3" s="1"/>
  <c r="R100" i="3" s="1"/>
  <c r="N115" i="3"/>
  <c r="O115" i="3"/>
  <c r="P115" i="3" s="1"/>
  <c r="R115" i="3" s="1"/>
  <c r="N127" i="3"/>
  <c r="O127" i="3"/>
  <c r="P127" i="3" s="1"/>
  <c r="R127" i="3" s="1"/>
  <c r="N12" i="3"/>
  <c r="O12" i="3"/>
  <c r="P12" i="3" s="1"/>
  <c r="R12" i="3" s="1"/>
  <c r="N50" i="3"/>
  <c r="O50" i="3"/>
  <c r="P50" i="3" s="1"/>
  <c r="R50" i="3" s="1"/>
  <c r="N102" i="3"/>
  <c r="O102" i="3"/>
  <c r="P102" i="3" s="1"/>
  <c r="R102" i="3" s="1"/>
  <c r="N45" i="3"/>
  <c r="O45" i="3"/>
  <c r="P45" i="3" s="1"/>
  <c r="R45" i="3" s="1"/>
  <c r="N112" i="3"/>
  <c r="O112" i="3"/>
  <c r="P112" i="3" s="1"/>
  <c r="R112" i="3" s="1"/>
  <c r="N18" i="3"/>
  <c r="O18" i="3"/>
  <c r="P18" i="3" s="1"/>
  <c r="R18" i="3" s="1"/>
  <c r="N212" i="3"/>
  <c r="O212" i="3"/>
  <c r="P212" i="3" s="1"/>
  <c r="R212" i="3" s="1"/>
  <c r="N209" i="3"/>
  <c r="O209" i="3"/>
  <c r="P209" i="3" s="1"/>
  <c r="R209" i="3" s="1"/>
  <c r="O237" i="3"/>
  <c r="P237" i="3" s="1"/>
  <c r="R237" i="3" s="1"/>
  <c r="N237" i="3"/>
  <c r="N243" i="3"/>
  <c r="O243" i="3"/>
  <c r="P243" i="3" s="1"/>
  <c r="R243" i="3" s="1"/>
  <c r="N395" i="3"/>
  <c r="O395" i="3"/>
  <c r="P395" i="3" s="1"/>
  <c r="R395" i="3" s="1"/>
  <c r="N406" i="3"/>
  <c r="O406" i="3"/>
  <c r="P406" i="3" s="1"/>
  <c r="R406" i="3" s="1"/>
  <c r="N298" i="3"/>
  <c r="O298" i="3"/>
  <c r="P298" i="3" s="1"/>
  <c r="R298" i="3" s="1"/>
  <c r="N236" i="3"/>
  <c r="O236" i="3"/>
  <c r="P236" i="3" s="1"/>
  <c r="R236" i="3" s="1"/>
  <c r="N142" i="3"/>
  <c r="O142" i="3"/>
  <c r="P142" i="3" s="1"/>
  <c r="R142" i="3" s="1"/>
  <c r="N370" i="3"/>
  <c r="O370" i="3"/>
  <c r="P370" i="3" s="1"/>
  <c r="R370" i="3" s="1"/>
  <c r="N296" i="3"/>
  <c r="O296" i="3"/>
  <c r="P296" i="3" s="1"/>
  <c r="R296" i="3" s="1"/>
  <c r="N389" i="3"/>
  <c r="O389" i="3"/>
  <c r="P389" i="3" s="1"/>
  <c r="R389" i="3" s="1"/>
  <c r="N26" i="3"/>
  <c r="O26" i="3"/>
  <c r="P26" i="3" s="1"/>
  <c r="R26" i="3" s="1"/>
  <c r="N264" i="3"/>
  <c r="O264" i="3"/>
  <c r="P264" i="3" s="1"/>
  <c r="R264" i="3" s="1"/>
  <c r="N314" i="3"/>
  <c r="O314" i="3"/>
  <c r="P314" i="3" s="1"/>
  <c r="R314" i="3" s="1"/>
  <c r="N137" i="3"/>
  <c r="O137" i="3"/>
  <c r="P137" i="3" s="1"/>
  <c r="R137" i="3" s="1"/>
  <c r="N68" i="3"/>
  <c r="O68" i="3"/>
  <c r="P68" i="3" s="1"/>
  <c r="R68" i="3" s="1"/>
  <c r="N322" i="3"/>
  <c r="O322" i="3"/>
  <c r="P322" i="3" s="1"/>
  <c r="R322" i="3" s="1"/>
  <c r="N247" i="3"/>
  <c r="O247" i="3"/>
  <c r="P247" i="3" s="1"/>
  <c r="R247" i="3" s="1"/>
  <c r="N19" i="3"/>
  <c r="O19" i="3"/>
  <c r="P19" i="3" s="1"/>
  <c r="R19" i="3" s="1"/>
  <c r="N306" i="3"/>
  <c r="O306" i="3"/>
  <c r="P306" i="3" s="1"/>
  <c r="R306" i="3" s="1"/>
  <c r="N289" i="3"/>
  <c r="O289" i="3"/>
  <c r="P289" i="3" s="1"/>
  <c r="R289" i="3" s="1"/>
  <c r="N38" i="3"/>
  <c r="O38" i="3"/>
  <c r="P38" i="3" s="1"/>
  <c r="R38" i="3" s="1"/>
  <c r="N145" i="3"/>
  <c r="O145" i="3"/>
  <c r="P145" i="3" s="1"/>
  <c r="R145" i="3" s="1"/>
  <c r="N58" i="3"/>
  <c r="O58" i="3"/>
  <c r="P58" i="3" s="1"/>
  <c r="R58" i="3" s="1"/>
  <c r="N367" i="3"/>
  <c r="O367" i="3"/>
  <c r="P367" i="3" s="1"/>
  <c r="R367" i="3" s="1"/>
  <c r="N294" i="3"/>
  <c r="O294" i="3"/>
  <c r="P294" i="3" s="1"/>
  <c r="R294" i="3" s="1"/>
  <c r="N382" i="3"/>
  <c r="O382" i="3"/>
  <c r="P382" i="3" s="1"/>
  <c r="R382" i="3" s="1"/>
  <c r="N101" i="3"/>
  <c r="O101" i="3"/>
  <c r="P101" i="3" s="1"/>
  <c r="R101" i="3" s="1"/>
  <c r="N223" i="3"/>
  <c r="O223" i="3"/>
  <c r="P223" i="3" s="1"/>
  <c r="R223" i="3" s="1"/>
  <c r="N94" i="3"/>
  <c r="O94" i="3"/>
  <c r="P94" i="3" s="1"/>
  <c r="R94" i="3" s="1"/>
  <c r="N224" i="3"/>
  <c r="O224" i="3"/>
  <c r="P224" i="3" s="1"/>
  <c r="R224" i="3" s="1"/>
  <c r="N203" i="3"/>
  <c r="O203" i="3"/>
  <c r="P203" i="3" s="1"/>
  <c r="R203" i="3" s="1"/>
  <c r="N220" i="3"/>
  <c r="O220" i="3"/>
  <c r="P220" i="3" s="1"/>
  <c r="R220" i="3" s="1"/>
  <c r="N79" i="3"/>
  <c r="O79" i="3"/>
  <c r="P79" i="3" s="1"/>
  <c r="R79" i="3" s="1"/>
  <c r="N336" i="3"/>
  <c r="O336" i="3"/>
  <c r="P336" i="3" s="1"/>
  <c r="R336" i="3" s="1"/>
  <c r="N109" i="3"/>
  <c r="O109" i="3"/>
  <c r="P109" i="3" s="1"/>
  <c r="R109" i="3" s="1"/>
  <c r="N235" i="3"/>
  <c r="O235" i="3"/>
  <c r="P235" i="3" s="1"/>
  <c r="R235" i="3" s="1"/>
  <c r="N317" i="3"/>
  <c r="O317" i="3"/>
  <c r="P317" i="3" s="1"/>
  <c r="R317" i="3" s="1"/>
  <c r="N376" i="3"/>
  <c r="O376" i="3"/>
  <c r="P376" i="3" s="1"/>
  <c r="R376" i="3" s="1"/>
  <c r="O168" i="3"/>
  <c r="N168" i="3"/>
  <c r="O139" i="3"/>
  <c r="N139" i="3"/>
  <c r="N388" i="3"/>
  <c r="O388" i="3"/>
  <c r="N184" i="3"/>
  <c r="O184" i="3"/>
  <c r="P184" i="3" s="1"/>
  <c r="R184" i="3" s="1"/>
  <c r="N301" i="3"/>
  <c r="O301" i="3"/>
  <c r="P301" i="3" s="1"/>
  <c r="R301" i="3" s="1"/>
  <c r="N378" i="3"/>
  <c r="O378" i="3"/>
  <c r="P378" i="3" s="1"/>
  <c r="R378" i="3" s="1"/>
  <c r="N345" i="3"/>
  <c r="O345" i="3"/>
  <c r="P345" i="3" s="1"/>
  <c r="R345" i="3" s="1"/>
  <c r="N207" i="3"/>
  <c r="O207" i="3"/>
  <c r="P207" i="3" s="1"/>
  <c r="R207" i="3" s="1"/>
  <c r="N405" i="3"/>
  <c r="O405" i="3"/>
  <c r="P405" i="3" s="1"/>
  <c r="R405" i="3" s="1"/>
  <c r="N326" i="3"/>
  <c r="O326" i="3"/>
  <c r="P326" i="3" s="1"/>
  <c r="R326" i="3" s="1"/>
  <c r="N189" i="3"/>
  <c r="O189" i="3"/>
  <c r="P189" i="3" s="1"/>
  <c r="R189" i="3" s="1"/>
  <c r="O152" i="3"/>
  <c r="P152" i="3" s="1"/>
  <c r="R152" i="3" s="1"/>
  <c r="N152" i="3"/>
  <c r="O86" i="3"/>
  <c r="P86" i="3" s="1"/>
  <c r="R86" i="3" s="1"/>
  <c r="N86" i="3"/>
  <c r="O178" i="3"/>
  <c r="P178" i="3" s="1"/>
  <c r="R178" i="3" s="1"/>
  <c r="N178" i="3"/>
  <c r="O119" i="3"/>
  <c r="P119" i="3" s="1"/>
  <c r="R119" i="3" s="1"/>
  <c r="N119" i="3"/>
  <c r="O401" i="3"/>
  <c r="P401" i="3" s="1"/>
  <c r="R401" i="3" s="1"/>
  <c r="N401" i="3"/>
  <c r="N95" i="3"/>
  <c r="O95" i="3"/>
  <c r="P95" i="3" s="1"/>
  <c r="R95" i="3" s="1"/>
  <c r="O174" i="3"/>
  <c r="P174" i="3" s="1"/>
  <c r="R174" i="3" s="1"/>
  <c r="N174" i="3"/>
  <c r="N62" i="3"/>
  <c r="O62" i="3"/>
  <c r="P62" i="3" s="1"/>
  <c r="R62" i="3" s="1"/>
  <c r="O337" i="3"/>
  <c r="P337" i="3" s="1"/>
  <c r="R337" i="3" s="1"/>
  <c r="N337" i="3"/>
  <c r="O216" i="3"/>
  <c r="P216" i="3" s="1"/>
  <c r="R216" i="3" s="1"/>
  <c r="N216" i="3"/>
  <c r="N181" i="3"/>
  <c r="O181" i="3"/>
  <c r="P181" i="3" s="1"/>
  <c r="R181" i="3" s="1"/>
  <c r="N386" i="3"/>
  <c r="O386" i="3"/>
  <c r="P386" i="3" s="1"/>
  <c r="R386" i="3" s="1"/>
  <c r="O238" i="3"/>
  <c r="P238" i="3" s="1"/>
  <c r="R238" i="3" s="1"/>
  <c r="N238" i="3"/>
  <c r="O20" i="3"/>
  <c r="P20" i="3" s="1"/>
  <c r="R20" i="3" s="1"/>
  <c r="N20" i="3"/>
  <c r="O187" i="3"/>
  <c r="P187" i="3" s="1"/>
  <c r="R187" i="3" s="1"/>
  <c r="N187" i="3"/>
  <c r="O6" i="3"/>
  <c r="P6" i="3" s="1"/>
  <c r="R6" i="3" s="1"/>
  <c r="N6" i="3"/>
  <c r="D3" i="11" s="1"/>
  <c r="G3" i="11" s="1"/>
  <c r="J3" i="11" s="1"/>
  <c r="N85" i="3"/>
  <c r="O85" i="3"/>
  <c r="P85" i="3" s="1"/>
  <c r="R85" i="3" s="1"/>
  <c r="O240" i="3"/>
  <c r="P240" i="3" s="1"/>
  <c r="R240" i="3" s="1"/>
  <c r="N240" i="3"/>
  <c r="N136" i="3"/>
  <c r="D6" i="11" s="1"/>
  <c r="G6" i="11" s="1"/>
  <c r="J6" i="11" s="1"/>
  <c r="O136" i="3"/>
  <c r="P136" i="3" s="1"/>
  <c r="R136" i="3" s="1"/>
  <c r="N246" i="3"/>
  <c r="O246" i="3"/>
  <c r="P246" i="3" s="1"/>
  <c r="R246" i="3" s="1"/>
  <c r="O226" i="3"/>
  <c r="P226" i="3" s="1"/>
  <c r="R226" i="3" s="1"/>
  <c r="N226" i="3"/>
  <c r="N206" i="3"/>
  <c r="O206" i="3"/>
  <c r="P206" i="3" s="1"/>
  <c r="R206" i="3" s="1"/>
  <c r="N263" i="3"/>
  <c r="O263" i="3"/>
  <c r="P263" i="3" s="1"/>
  <c r="R263" i="3" s="1"/>
  <c r="N229" i="3"/>
  <c r="O229" i="3"/>
  <c r="P229" i="3" s="1"/>
  <c r="R229" i="3" s="1"/>
  <c r="N69" i="3"/>
  <c r="O69" i="3"/>
  <c r="P69" i="3" s="1"/>
  <c r="R69" i="3" s="1"/>
  <c r="N59" i="3"/>
  <c r="O59" i="3"/>
  <c r="P59" i="3" s="1"/>
  <c r="R59" i="3" s="1"/>
  <c r="N175" i="3"/>
  <c r="O175" i="3"/>
  <c r="P175" i="3" s="1"/>
  <c r="R175" i="3" s="1"/>
  <c r="N288" i="3"/>
  <c r="O288" i="3"/>
  <c r="P288" i="3" s="1"/>
  <c r="R288" i="3" s="1"/>
  <c r="N362" i="3"/>
  <c r="O362" i="3"/>
  <c r="P362" i="3" s="1"/>
  <c r="R362" i="3" s="1"/>
  <c r="N57" i="3"/>
  <c r="O57" i="3"/>
  <c r="P57" i="3" s="1"/>
  <c r="R57" i="3" s="1"/>
  <c r="N284" i="3"/>
  <c r="O284" i="3"/>
  <c r="P284" i="3" s="1"/>
  <c r="R284" i="3" s="1"/>
  <c r="N310" i="3"/>
  <c r="O310" i="3"/>
  <c r="P310" i="3" s="1"/>
  <c r="R310" i="3" s="1"/>
  <c r="N23" i="3"/>
  <c r="O23" i="3"/>
  <c r="P23" i="3" s="1"/>
  <c r="R23" i="3" s="1"/>
  <c r="N11" i="3"/>
  <c r="D4" i="11" s="1"/>
  <c r="G4" i="11" s="1"/>
  <c r="J4" i="11" s="1"/>
  <c r="O11" i="3"/>
  <c r="P11" i="3" s="1"/>
  <c r="R11" i="3" s="1"/>
  <c r="N148" i="3"/>
  <c r="O148" i="3"/>
  <c r="P148" i="3" s="1"/>
  <c r="R148" i="3" s="1"/>
  <c r="N214" i="3"/>
  <c r="O214" i="3"/>
  <c r="P214" i="3" s="1"/>
  <c r="R214" i="3" s="1"/>
  <c r="N200" i="3"/>
  <c r="O200" i="3"/>
  <c r="P200" i="3" s="1"/>
  <c r="R200" i="3" s="1"/>
  <c r="N331" i="3"/>
  <c r="O331" i="3"/>
  <c r="P331" i="3" s="1"/>
  <c r="R331" i="3" s="1"/>
  <c r="N120" i="3"/>
  <c r="O120" i="3"/>
  <c r="P120" i="3" s="1"/>
  <c r="R120" i="3" s="1"/>
  <c r="O309" i="3"/>
  <c r="P309" i="3" s="1"/>
  <c r="R309" i="3" s="1"/>
  <c r="N309" i="3"/>
  <c r="N398" i="3"/>
  <c r="O398" i="3"/>
  <c r="P398" i="3" s="1"/>
  <c r="R398" i="3" s="1"/>
  <c r="O151" i="3"/>
  <c r="P151" i="3" s="1"/>
  <c r="R151" i="3" s="1"/>
  <c r="N151" i="3"/>
  <c r="N16" i="3"/>
  <c r="O16" i="3"/>
  <c r="P16" i="3" s="1"/>
  <c r="R16" i="3" s="1"/>
  <c r="N47" i="3"/>
  <c r="O47" i="3"/>
  <c r="P47" i="3" s="1"/>
  <c r="R47" i="3" s="1"/>
  <c r="N96" i="3"/>
  <c r="O96" i="3"/>
  <c r="P96" i="3" s="1"/>
  <c r="R96" i="3" s="1"/>
  <c r="N126" i="3"/>
  <c r="O126" i="3"/>
  <c r="P126" i="3" s="1"/>
  <c r="R126" i="3" s="1"/>
  <c r="N387" i="3"/>
  <c r="O387" i="3"/>
  <c r="P387" i="3" s="1"/>
  <c r="R387" i="3" s="1"/>
  <c r="N166" i="3"/>
  <c r="O166" i="3"/>
  <c r="P166" i="3" s="1"/>
  <c r="R166" i="3" s="1"/>
  <c r="N308" i="3"/>
  <c r="O308" i="3"/>
  <c r="N352" i="3"/>
  <c r="O352" i="3"/>
  <c r="O279" i="3"/>
  <c r="P279" i="3" s="1"/>
  <c r="R279" i="3" s="1"/>
  <c r="N279" i="3"/>
  <c r="N108" i="3"/>
  <c r="O108" i="3"/>
  <c r="P108" i="3" s="1"/>
  <c r="R108" i="3" s="1"/>
  <c r="O303" i="3"/>
  <c r="P303" i="3" s="1"/>
  <c r="R303" i="3" s="1"/>
  <c r="N303" i="3"/>
  <c r="O292" i="3"/>
  <c r="P292" i="3" s="1"/>
  <c r="R292" i="3" s="1"/>
  <c r="N292" i="3"/>
  <c r="O380" i="3"/>
  <c r="P380" i="3" s="1"/>
  <c r="R380" i="3" s="1"/>
  <c r="N380" i="3"/>
  <c r="O369" i="3"/>
  <c r="P369" i="3" s="1"/>
  <c r="R369" i="3" s="1"/>
  <c r="N369" i="3"/>
  <c r="O408" i="3"/>
  <c r="N408" i="3"/>
  <c r="O273" i="3"/>
  <c r="N273" i="3"/>
  <c r="P354" i="3"/>
  <c r="R354" i="3" s="1"/>
  <c r="P308" i="3"/>
  <c r="R308" i="3" s="1"/>
  <c r="P396" i="3"/>
  <c r="R396" i="3" s="1"/>
  <c r="P270" i="3"/>
  <c r="R270" i="3" s="1"/>
  <c r="P402" i="3"/>
  <c r="R402" i="3" s="1"/>
  <c r="P327" i="3"/>
  <c r="R327" i="3" s="1"/>
  <c r="P255" i="3"/>
  <c r="R255" i="3" s="1"/>
  <c r="P186" i="3"/>
  <c r="R186" i="3" s="1"/>
  <c r="P403" i="3"/>
  <c r="R403" i="3" s="1"/>
  <c r="P302" i="3"/>
  <c r="R302" i="3" s="1"/>
  <c r="P87" i="3"/>
  <c r="R87" i="3" s="1"/>
  <c r="P394" i="3"/>
  <c r="R394" i="3" s="1"/>
  <c r="P110" i="3"/>
  <c r="R110" i="3" s="1"/>
  <c r="P377" i="3"/>
  <c r="R377" i="3" s="1"/>
  <c r="P400" i="3"/>
  <c r="R400" i="3" s="1"/>
  <c r="P371" i="3"/>
  <c r="R371" i="3" s="1"/>
  <c r="P323" i="3"/>
  <c r="R323" i="3" s="1"/>
  <c r="P117" i="3"/>
  <c r="R117" i="3" s="1"/>
  <c r="P77" i="3"/>
  <c r="R77" i="3" s="1"/>
  <c r="P384" i="3"/>
  <c r="R384" i="3" s="1"/>
  <c r="P397" i="3"/>
  <c r="R397" i="3" s="1"/>
  <c r="P393" i="3"/>
  <c r="R393" i="3" s="1"/>
  <c r="P250" i="3"/>
  <c r="R250" i="3" s="1"/>
  <c r="P272" i="3"/>
  <c r="R272" i="3" s="1"/>
  <c r="P348" i="3"/>
  <c r="R348" i="3" s="1"/>
  <c r="P253" i="3"/>
  <c r="R253" i="3" s="1"/>
  <c r="P417" i="3"/>
  <c r="R417" i="3" s="1"/>
  <c r="P242" i="3"/>
  <c r="R242" i="3" s="1"/>
  <c r="P328" i="3"/>
  <c r="R328" i="3" s="1"/>
  <c r="P415" i="3"/>
  <c r="R415" i="3" s="1"/>
  <c r="P268" i="3"/>
  <c r="R268" i="3" s="1"/>
  <c r="P265" i="3"/>
  <c r="R265" i="3" s="1"/>
  <c r="P319" i="3"/>
  <c r="R319" i="3" s="1"/>
  <c r="P320" i="3"/>
  <c r="R320" i="3" s="1"/>
  <c r="P210" i="3"/>
  <c r="R210" i="3" s="1"/>
  <c r="P408" i="3"/>
  <c r="R408" i="3" s="1"/>
  <c r="P364" i="3"/>
  <c r="R364" i="3" s="1"/>
  <c r="P128" i="3"/>
  <c r="R128" i="3" s="1"/>
  <c r="P355" i="3"/>
  <c r="R355" i="3" s="1"/>
  <c r="P273" i="3"/>
  <c r="R273" i="3" s="1"/>
  <c r="P338" i="3"/>
  <c r="R338" i="3" s="1"/>
  <c r="P118" i="3"/>
  <c r="R118" i="3" s="1"/>
  <c r="P404" i="3"/>
  <c r="R404" i="3" s="1"/>
  <c r="P414" i="3"/>
  <c r="R414" i="3" s="1"/>
  <c r="P43" i="3"/>
  <c r="R43" i="3" s="1"/>
  <c r="P413" i="3"/>
  <c r="R413" i="3" s="1"/>
  <c r="P410" i="3"/>
  <c r="R410" i="3" s="1"/>
  <c r="P409" i="3"/>
  <c r="R409" i="3" s="1"/>
  <c r="P24" i="3"/>
  <c r="R24" i="3" s="1"/>
  <c r="P91" i="3"/>
  <c r="R91" i="3" s="1"/>
  <c r="P248" i="3"/>
  <c r="R248" i="3" s="1"/>
  <c r="P177" i="3"/>
  <c r="R177" i="3" s="1"/>
  <c r="P316" i="3"/>
  <c r="R316" i="3" s="1"/>
  <c r="P321" i="3"/>
  <c r="R321" i="3" s="1"/>
  <c r="P164" i="3"/>
  <c r="R164" i="3" s="1"/>
  <c r="P368" i="3"/>
  <c r="R368" i="3" s="1"/>
  <c r="P373" i="3"/>
  <c r="R373" i="3" s="1"/>
  <c r="P252" i="3"/>
  <c r="R252" i="3" s="1"/>
  <c r="P334" i="3"/>
  <c r="R334" i="3" s="1"/>
  <c r="P132" i="3"/>
  <c r="R132" i="3" s="1"/>
  <c r="P221" i="3"/>
  <c r="R221" i="3" s="1"/>
  <c r="P412" i="3"/>
  <c r="R412" i="3" s="1"/>
  <c r="P49" i="3"/>
  <c r="R49" i="3" s="1"/>
  <c r="P13" i="3"/>
  <c r="R13" i="3" s="1"/>
  <c r="P318" i="3"/>
  <c r="R318" i="3" s="1"/>
  <c r="P63" i="3"/>
  <c r="R63" i="3" s="1"/>
  <c r="P15" i="3"/>
  <c r="R15" i="3" s="1"/>
  <c r="P366" i="3"/>
  <c r="R366" i="3" s="1"/>
  <c r="P170" i="3"/>
  <c r="R170" i="3" s="1"/>
  <c r="P176" i="3"/>
  <c r="R176" i="3" s="1"/>
  <c r="P149" i="3"/>
  <c r="R149" i="3" s="1"/>
  <c r="P160" i="3"/>
  <c r="R160" i="3" s="1"/>
  <c r="P300" i="3"/>
  <c r="R300" i="3" s="1"/>
  <c r="P383" i="3"/>
  <c r="R383" i="3" s="1"/>
  <c r="P111" i="3"/>
  <c r="R111" i="3" s="1"/>
  <c r="P356" i="3"/>
  <c r="R356" i="3" s="1"/>
  <c r="P25" i="3"/>
  <c r="R25" i="3" s="1"/>
  <c r="P390" i="3"/>
  <c r="R390" i="3" s="1"/>
  <c r="P123" i="3"/>
  <c r="R123" i="3" s="1"/>
  <c r="P254" i="3"/>
  <c r="R254" i="3" s="1"/>
  <c r="P33" i="3"/>
  <c r="R33" i="3" s="1"/>
  <c r="P281" i="3"/>
  <c r="R281" i="3" s="1"/>
  <c r="P347" i="3"/>
  <c r="R347" i="3" s="1"/>
  <c r="P193" i="3"/>
  <c r="R193" i="3" s="1"/>
  <c r="P358" i="3"/>
  <c r="R358" i="3" s="1"/>
  <c r="P249" i="3"/>
  <c r="R249" i="3" s="1"/>
  <c r="P156" i="3"/>
  <c r="R156" i="3" s="1"/>
  <c r="P271" i="3"/>
  <c r="R271" i="3" s="1"/>
  <c r="P285" i="3"/>
  <c r="R285" i="3" s="1"/>
  <c r="P266" i="3"/>
  <c r="R266" i="3" s="1"/>
  <c r="P363" i="3"/>
  <c r="R363" i="3" s="1"/>
  <c r="P133" i="3"/>
  <c r="R133" i="3" s="1"/>
  <c r="P39" i="3"/>
  <c r="R39" i="3" s="1"/>
  <c r="P213" i="3"/>
  <c r="R213" i="3" s="1"/>
  <c r="P232" i="3"/>
  <c r="R232" i="3" s="1"/>
  <c r="P198" i="3"/>
  <c r="R198" i="3" s="1"/>
  <c r="P269" i="3"/>
  <c r="R269" i="3" s="1"/>
  <c r="P34" i="3"/>
  <c r="R34" i="3" s="1"/>
  <c r="P64" i="3"/>
  <c r="R64" i="3" s="1"/>
  <c r="P138" i="3"/>
  <c r="R138" i="3" s="1"/>
  <c r="P146" i="3"/>
  <c r="R146" i="3" s="1"/>
  <c r="P157" i="3"/>
  <c r="R157" i="3" s="1"/>
  <c r="P104" i="3"/>
  <c r="R104" i="3" s="1"/>
  <c r="P202" i="3"/>
  <c r="R202" i="3" s="1"/>
  <c r="P182" i="3"/>
  <c r="R182" i="3" s="1"/>
  <c r="P140" i="3"/>
  <c r="R140" i="3" s="1"/>
  <c r="P287" i="3"/>
  <c r="R287" i="3" s="1"/>
  <c r="P208" i="3"/>
  <c r="R208" i="3" s="1"/>
  <c r="P324" i="3"/>
  <c r="R324" i="3" s="1"/>
  <c r="P83" i="3"/>
  <c r="R83" i="3" s="1"/>
  <c r="P17" i="3"/>
  <c r="R17" i="3" s="1"/>
  <c r="P282" i="3"/>
  <c r="R282" i="3" s="1"/>
  <c r="P8" i="3"/>
  <c r="R8" i="3" s="1"/>
  <c r="P78" i="3"/>
  <c r="R78" i="3" s="1"/>
  <c r="P195" i="3"/>
  <c r="R195" i="3" s="1"/>
  <c r="P297" i="3"/>
  <c r="R297" i="3" s="1"/>
  <c r="P295" i="3"/>
  <c r="R295" i="3" s="1"/>
  <c r="P304" i="3"/>
  <c r="R304" i="3" s="1"/>
  <c r="P162" i="3"/>
  <c r="R162" i="3" s="1"/>
  <c r="P144" i="3"/>
  <c r="R144" i="3" s="1"/>
  <c r="P82" i="3"/>
  <c r="R82" i="3" s="1"/>
  <c r="P61" i="3"/>
  <c r="R61" i="3" s="1"/>
  <c r="P219" i="3"/>
  <c r="R219" i="3" s="1"/>
  <c r="P32" i="3"/>
  <c r="R32" i="3" s="1"/>
  <c r="P374" i="3"/>
  <c r="R374" i="3" s="1"/>
  <c r="P65" i="3"/>
  <c r="R65" i="3" s="1"/>
  <c r="P399" i="3"/>
  <c r="R399" i="3" s="1"/>
  <c r="P222" i="3"/>
  <c r="R222" i="3" s="1"/>
  <c r="P239" i="3"/>
  <c r="R239" i="3" s="1"/>
  <c r="P155" i="3"/>
  <c r="R155" i="3" s="1"/>
  <c r="P28" i="3"/>
  <c r="R28" i="3" s="1"/>
  <c r="P84" i="3"/>
  <c r="R84" i="3" s="1"/>
  <c r="P274" i="3"/>
  <c r="R274" i="3" s="1"/>
  <c r="P158" i="3"/>
  <c r="R158" i="3" s="1"/>
  <c r="P169" i="3"/>
  <c r="R169" i="3" s="1"/>
  <c r="P188" i="3"/>
  <c r="R188" i="3" s="1"/>
  <c r="P46" i="3"/>
  <c r="R46" i="3" s="1"/>
  <c r="P257" i="3"/>
  <c r="R257" i="3" s="1"/>
  <c r="P305" i="3"/>
  <c r="R305" i="3" s="1"/>
  <c r="P90" i="3"/>
  <c r="R90" i="3" s="1"/>
  <c r="P48" i="3"/>
  <c r="R48" i="3" s="1"/>
  <c r="P375" i="3"/>
  <c r="R375" i="3" s="1"/>
  <c r="P251" i="3"/>
  <c r="R251" i="3" s="1"/>
  <c r="P325" i="3"/>
  <c r="R325" i="3" s="1"/>
  <c r="P70" i="3"/>
  <c r="R70" i="3" s="1"/>
  <c r="P350" i="3"/>
  <c r="R350" i="3" s="1"/>
  <c r="P267" i="3"/>
  <c r="R267" i="3" s="1"/>
  <c r="P10" i="3"/>
  <c r="R10" i="3" s="1"/>
  <c r="P131" i="3"/>
  <c r="R131" i="3" s="1"/>
  <c r="P67" i="3"/>
  <c r="R67" i="3" s="1"/>
  <c r="P51" i="3"/>
  <c r="R51" i="3" s="1"/>
  <c r="P280" i="3"/>
  <c r="R280" i="3" s="1"/>
  <c r="P197" i="3"/>
  <c r="R197" i="3" s="1"/>
  <c r="P41" i="3"/>
  <c r="R41" i="3" s="1"/>
  <c r="P66" i="3"/>
  <c r="R66" i="3" s="1"/>
  <c r="P185" i="3"/>
  <c r="R185" i="3" s="1"/>
  <c r="P196" i="3"/>
  <c r="R196" i="3" s="1"/>
  <c r="P135" i="3"/>
  <c r="R135" i="3" s="1"/>
  <c r="P129" i="3"/>
  <c r="R129" i="3" s="1"/>
  <c r="P22" i="3"/>
  <c r="R22" i="3" s="1"/>
  <c r="P225" i="3"/>
  <c r="R225" i="3" s="1"/>
  <c r="P379" i="3"/>
  <c r="R379" i="3" s="1"/>
  <c r="P344" i="3"/>
  <c r="R344" i="3" s="1"/>
  <c r="P36" i="3"/>
  <c r="R36" i="3" s="1"/>
  <c r="P81" i="3"/>
  <c r="R81" i="3" s="1"/>
  <c r="P5" i="3"/>
  <c r="R5" i="3" s="1"/>
  <c r="P73" i="3"/>
  <c r="R73" i="3" s="1"/>
  <c r="P143" i="3"/>
  <c r="R143" i="3" s="1"/>
  <c r="P241" i="3"/>
  <c r="R241" i="3" s="1"/>
  <c r="P346" i="3"/>
  <c r="R346" i="3" s="1"/>
  <c r="P7" i="3"/>
  <c r="R7" i="3" s="1"/>
  <c r="P286" i="3"/>
  <c r="R286" i="3" s="1"/>
  <c r="P313" i="3"/>
  <c r="R313" i="3" s="1"/>
  <c r="P173" i="3"/>
  <c r="R173" i="3" s="1"/>
  <c r="P116" i="3"/>
  <c r="R116" i="3" s="1"/>
  <c r="P44" i="3"/>
  <c r="R44" i="3" s="1"/>
  <c r="P9" i="3"/>
  <c r="R9" i="3" s="1"/>
  <c r="P199" i="3"/>
  <c r="R199" i="3" s="1"/>
  <c r="P329" i="3"/>
  <c r="R329" i="3" s="1"/>
  <c r="P99" i="3"/>
  <c r="R99" i="3" s="1"/>
  <c r="P171" i="3"/>
  <c r="R171" i="3" s="1"/>
  <c r="P159" i="3"/>
  <c r="R159" i="3" s="1"/>
  <c r="P56" i="3"/>
  <c r="R56" i="3" s="1"/>
  <c r="P256" i="3"/>
  <c r="R256" i="3" s="1"/>
  <c r="P357" i="3"/>
  <c r="R357" i="3" s="1"/>
  <c r="P262" i="3"/>
  <c r="R262" i="3" s="1"/>
  <c r="P167" i="3"/>
  <c r="R167" i="3" s="1"/>
  <c r="P60" i="3"/>
  <c r="R60" i="3" s="1"/>
  <c r="P98" i="3"/>
  <c r="R98" i="3" s="1"/>
  <c r="P14" i="3"/>
  <c r="R14" i="3" s="1"/>
  <c r="P340" i="3"/>
  <c r="R340" i="3" s="1"/>
  <c r="P103" i="3"/>
  <c r="R103" i="3" s="1"/>
  <c r="P215" i="3"/>
  <c r="R215" i="3" s="1"/>
  <c r="P179" i="3"/>
  <c r="R179" i="3" s="1"/>
  <c r="P147" i="3"/>
  <c r="R147" i="3" s="1"/>
  <c r="P105" i="3"/>
  <c r="R105" i="3" s="1"/>
  <c r="P192" i="3"/>
  <c r="R192" i="3" s="1"/>
  <c r="P107" i="3"/>
  <c r="R107" i="3" s="1"/>
  <c r="P106" i="3"/>
  <c r="R106" i="3" s="1"/>
  <c r="P31" i="3"/>
  <c r="R31" i="3" s="1"/>
  <c r="P3" i="3"/>
  <c r="R3" i="3" s="1"/>
  <c r="P154" i="3"/>
  <c r="R154" i="3" s="1"/>
  <c r="P233" i="3"/>
  <c r="R233" i="3" s="1"/>
  <c r="P35" i="3"/>
  <c r="R35" i="3" s="1"/>
  <c r="P234" i="3"/>
  <c r="R234" i="3" s="1"/>
  <c r="P231" i="3"/>
  <c r="R231" i="3" s="1"/>
  <c r="P275" i="3"/>
  <c r="R275" i="3" s="1"/>
  <c r="P27" i="3"/>
  <c r="R27" i="3" s="1"/>
  <c r="P312" i="3"/>
  <c r="R312" i="3" s="1"/>
  <c r="P53" i="3"/>
  <c r="R53" i="3" s="1"/>
  <c r="P75" i="3"/>
  <c r="R75" i="3" s="1"/>
  <c r="P291" i="3"/>
  <c r="R291" i="3" s="1"/>
  <c r="P353" i="3"/>
  <c r="R353" i="3" s="1"/>
  <c r="P113" i="3"/>
  <c r="R113" i="3" s="1"/>
  <c r="P204" i="3"/>
  <c r="R204" i="3" s="1"/>
  <c r="P315" i="3"/>
  <c r="R315" i="3" s="1"/>
  <c r="P277" i="3"/>
  <c r="R277" i="3" s="1"/>
  <c r="P261" i="3"/>
  <c r="R261" i="3" s="1"/>
  <c r="P332" i="3"/>
  <c r="R332" i="3" s="1"/>
  <c r="P299" i="3"/>
  <c r="R299" i="3" s="1"/>
  <c r="P37" i="3"/>
  <c r="R37" i="3" s="1"/>
  <c r="P365" i="3"/>
  <c r="R365" i="3" s="1"/>
  <c r="P165" i="3"/>
  <c r="R165" i="3" s="1"/>
  <c r="P258" i="3"/>
  <c r="R258" i="3" s="1"/>
  <c r="P163" i="3"/>
  <c r="R163" i="3" s="1"/>
  <c r="P71" i="3"/>
  <c r="R71" i="3" s="1"/>
  <c r="P343" i="3"/>
  <c r="R343" i="3" s="1"/>
  <c r="P342" i="3"/>
  <c r="R342" i="3" s="1"/>
  <c r="P89" i="3"/>
  <c r="R89" i="3" s="1"/>
  <c r="P244" i="3"/>
  <c r="R244" i="3" s="1"/>
  <c r="P168" i="3" l="1"/>
  <c r="R168" i="3" s="1"/>
  <c r="P139" i="3"/>
  <c r="R139" i="3" s="1"/>
  <c r="P388" i="3"/>
  <c r="R388" i="3" s="1"/>
  <c r="P352" i="3"/>
  <c r="R35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7D235A-2B29-4A6D-8E8C-E96179FACB1F}" keepAlive="1" name="Query - business_units" description="Connection to the 'business_units' query in the workbook." type="5" refreshedVersion="8" background="1" saveData="1">
    <dbPr connection="Provider=Microsoft.Mashup.OleDb.1;Data Source=$Workbook$;Location=business_units;Extended Properties=&quot;&quot;" command="SELECT * FROM [business_units]"/>
  </connection>
  <connection id="2" xr16:uid="{F135D946-60B7-429C-A6D3-955EA36E8F5E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B08C0548-5DE1-47D8-91D3-A7DEEF5C5B01}" keepAlive="1" name="Query - invoices" description="Connection to the 'invoices' query in the workbook." type="5" refreshedVersion="8" background="1" saveData="1">
    <dbPr connection="Provider=Microsoft.Mashup.OleDb.1;Data Source=$Workbook$;Location=invoices;Extended Properties=&quot;&quot;" command="SELECT * FROM [invoices]"/>
  </connection>
  <connection id="4" xr16:uid="{D99B822E-7857-4816-9F30-ECB7455A4704}" keepAlive="1" name="Query - market_prices" description="Connection to the 'market_prices' query in the workbook." type="5" refreshedVersion="8" background="1" saveData="1">
    <dbPr connection="Provider=Microsoft.Mashup.OleDb.1;Data Source=$Workbook$;Location=market_prices;Extended Properties=&quot;&quot;" command="SELECT * FROM [market_prices]"/>
  </connection>
  <connection id="5" xr16:uid="{34FCD047-506A-41D4-BFA5-5061376EF27B}" keepAlive="1" name="Query - purchases" description="Connection to the 'purchases' query in the workbook." type="5" refreshedVersion="8" background="1" saveData="1">
    <dbPr connection="Provider=Microsoft.Mashup.OleDb.1;Data Source=$Workbook$;Location=purchases;Extended Properties=&quot;&quot;" command="SELECT * FROM [purchases]"/>
  </connection>
  <connection id="6" xr16:uid="{D9D8D38E-B37D-4F87-A148-C3633E47E877}" keepAlive="1" name="Query - treasury_monthly" description="Connection to the 'treasury_monthly' query in the workbook." type="5" refreshedVersion="8" background="1" saveData="1">
    <dbPr connection="Provider=Microsoft.Mashup.OleDb.1;Data Source=$Workbook$;Location=treasury_monthly;Extended Properties=&quot;&quot;" command="SELECT * FROM [treasury_monthly]"/>
  </connection>
</connections>
</file>

<file path=xl/sharedStrings.xml><?xml version="1.0" encoding="utf-8"?>
<sst xmlns="http://schemas.openxmlformats.org/spreadsheetml/2006/main" count="36377" uniqueCount="6534">
  <si>
    <t>customer_id</t>
  </si>
  <si>
    <t>customer_name</t>
  </si>
  <si>
    <t>country</t>
  </si>
  <si>
    <t>billing_currency</t>
  </si>
  <si>
    <t>industry</t>
  </si>
  <si>
    <t>credit_rating</t>
  </si>
  <si>
    <t>credit_limit_inr</t>
  </si>
  <si>
    <t>onboarding_date</t>
  </si>
  <si>
    <t>limit_flag</t>
  </si>
  <si>
    <t>payment_terms_days</t>
  </si>
  <si>
    <t>C0001</t>
  </si>
  <si>
    <t>Alpine Construction Industries Ltd</t>
  </si>
  <si>
    <t>India</t>
  </si>
  <si>
    <t>INR</t>
  </si>
  <si>
    <t>Construction</t>
  </si>
  <si>
    <t>BBB</t>
  </si>
  <si>
    <t>C0002</t>
  </si>
  <si>
    <t>Sahyadri Textiles Enterprises Pvt Ltd</t>
  </si>
  <si>
    <t>Packaging</t>
  </si>
  <si>
    <t>C0003</t>
  </si>
  <si>
    <t>Danube Industrial Plastics LLP</t>
  </si>
  <si>
    <t>B</t>
  </si>
  <si>
    <t>C0004</t>
  </si>
  <si>
    <t>Aarav FMCG Plastics LLP</t>
  </si>
  <si>
    <t>FMCG</t>
  </si>
  <si>
    <t>C0005</t>
  </si>
  <si>
    <t>Everest Agri Products Enterprises Pvt Ltd</t>
  </si>
  <si>
    <t>Industrial</t>
  </si>
  <si>
    <t>C0006</t>
  </si>
  <si>
    <t>Danube Packaging GmbH</t>
  </si>
  <si>
    <t>Germany</t>
  </si>
  <si>
    <t>EUR</t>
  </si>
  <si>
    <t>A</t>
  </si>
  <si>
    <t>C0007</t>
  </si>
  <si>
    <t>Titan Packaging Inc</t>
  </si>
  <si>
    <t>USA</t>
  </si>
  <si>
    <t>USD</t>
  </si>
  <si>
    <t>Auto Components</t>
  </si>
  <si>
    <t>BB</t>
  </si>
  <si>
    <t>C0008</t>
  </si>
  <si>
    <t>Meridian Agri Products Industries Ltd</t>
  </si>
  <si>
    <t>Electricals</t>
  </si>
  <si>
    <t>C0009</t>
  </si>
  <si>
    <t>Gateway Healthcare Industries Ltd</t>
  </si>
  <si>
    <t>Textiles</t>
  </si>
  <si>
    <t>AA</t>
  </si>
  <si>
    <t>C0010</t>
  </si>
  <si>
    <t>Titan Industrial Co. Ltd</t>
  </si>
  <si>
    <t>Vietnam</t>
  </si>
  <si>
    <t>C0011</t>
  </si>
  <si>
    <t>Titan Electricals Industries Ltd</t>
  </si>
  <si>
    <t>C0012</t>
  </si>
  <si>
    <t>Harbor Industrial SAS</t>
  </si>
  <si>
    <t>France</t>
  </si>
  <si>
    <t>Unrated</t>
  </si>
  <si>
    <t>C0013</t>
  </si>
  <si>
    <t>Zenith FMCG Pte Ltd</t>
  </si>
  <si>
    <t>Singapore</t>
  </si>
  <si>
    <t>Consumer Goods</t>
  </si>
  <si>
    <t>C0014</t>
  </si>
  <si>
    <t>Aarav Electricals S.p.A.</t>
  </si>
  <si>
    <t>Italy</t>
  </si>
  <si>
    <t>C0015</t>
  </si>
  <si>
    <t>Baltic Consumer Goods Enterprises Pvt Ltd</t>
  </si>
  <si>
    <t>Agri Products</t>
  </si>
  <si>
    <t>C0016</t>
  </si>
  <si>
    <t>Fjord Auto Components Polymers Pvt Ltd</t>
  </si>
  <si>
    <t>C0017</t>
  </si>
  <si>
    <t>Elbe Industrial Trading FZE</t>
  </si>
  <si>
    <t>UAE</t>
  </si>
  <si>
    <t>C0018</t>
  </si>
  <si>
    <t>Lakeshore Electricals Polymers Pvt Ltd</t>
  </si>
  <si>
    <t>C0019</t>
  </si>
  <si>
    <t>Redwood Textiles GmbH</t>
  </si>
  <si>
    <t>Invalid limit</t>
  </si>
  <si>
    <t>C0020</t>
  </si>
  <si>
    <t>Maple Construction Co. Ltd</t>
  </si>
  <si>
    <t>CCC</t>
  </si>
  <si>
    <t>C0021</t>
  </si>
  <si>
    <t>Zephyr FMCG Inc</t>
  </si>
  <si>
    <t>Healthcare</t>
  </si>
  <si>
    <t>C0022</t>
  </si>
  <si>
    <t>Harbor Textiles Industries Ltd</t>
  </si>
  <si>
    <t>C0023</t>
  </si>
  <si>
    <t>Udaya Auto Components Industries Ltd</t>
  </si>
  <si>
    <t>C0024</t>
  </si>
  <si>
    <t>Xenon Textiles Industries Ltd</t>
  </si>
  <si>
    <t>C0025</t>
  </si>
  <si>
    <t>Lotus FMCG Pte Ltd</t>
  </si>
  <si>
    <t>C0026</t>
  </si>
  <si>
    <t>Pacific Consumer Goods Plastics LLP</t>
  </si>
  <si>
    <t>C0027</t>
  </si>
  <si>
    <t>Udaya Agri Products Ltd</t>
  </si>
  <si>
    <t>Bangladesh</t>
  </si>
  <si>
    <t>C0028</t>
  </si>
  <si>
    <t>Rajdhani Consumer Goods Enterprises Pvt Ltd</t>
  </si>
  <si>
    <t>C0029</t>
  </si>
  <si>
    <t>Quartz Healthcare Polymers Pvt Ltd</t>
  </si>
  <si>
    <t>C0030</t>
  </si>
  <si>
    <t>Cedar FMCG Industries Ltd</t>
  </si>
  <si>
    <t>C0031</t>
  </si>
  <si>
    <t>Sahyadri Electricals Plastics LLP</t>
  </si>
  <si>
    <t>AAA</t>
  </si>
  <si>
    <t>C0032</t>
  </si>
  <si>
    <t>Quartz Industrial Plastics LLP</t>
  </si>
  <si>
    <t>C0033</t>
  </si>
  <si>
    <t>Horizon Electricals Ltd</t>
  </si>
  <si>
    <t>C0034</t>
  </si>
  <si>
    <t>Udaya Consumer Goods Industries Ltd</t>
  </si>
  <si>
    <t>C0035</t>
  </si>
  <si>
    <t>Lotus Healthcare Enterprises Pvt Ltd</t>
  </si>
  <si>
    <t>C0036</t>
  </si>
  <si>
    <t>Xenon FMCG Polymers Pvt Ltd</t>
  </si>
  <si>
    <t>C0037</t>
  </si>
  <si>
    <t>Keystone Healthcare Plastics LLP</t>
  </si>
  <si>
    <t>C0038</t>
  </si>
  <si>
    <t>Nilgiri Industrial Polymers Pvt Ltd</t>
  </si>
  <si>
    <t>C0039</t>
  </si>
  <si>
    <t>Iberia Auto Components Polymers Pvt Ltd</t>
  </si>
  <si>
    <t>C0040</t>
  </si>
  <si>
    <t>Elbe Industrial BV</t>
  </si>
  <si>
    <t>Netherlands</t>
  </si>
  <si>
    <t>C0041</t>
  </si>
  <si>
    <t>Northstar Auto Components Plastics LLP</t>
  </si>
  <si>
    <t>C0042</t>
  </si>
  <si>
    <t>Delta Industrial GmbH</t>
  </si>
  <si>
    <t>C0043</t>
  </si>
  <si>
    <t>Nilgiri FMCG Enterprises Pvt Ltd</t>
  </si>
  <si>
    <t>C0044</t>
  </si>
  <si>
    <t>Oasis Textiles Plastics LLP</t>
  </si>
  <si>
    <t>C0045</t>
  </si>
  <si>
    <t>Juniper Consumer Goods Enterprises Pvt Ltd</t>
  </si>
  <si>
    <t>C0046</t>
  </si>
  <si>
    <t>Baltic Packaging Industries Ltd</t>
  </si>
  <si>
    <t>C0047</t>
  </si>
  <si>
    <t>Aarav Industrial General Trading LLC</t>
  </si>
  <si>
    <t>C0048</t>
  </si>
  <si>
    <t>Zephyr Construction Industries Ltd</t>
  </si>
  <si>
    <t>C0049</t>
  </si>
  <si>
    <t>Meridian Packaging Enterprises Pvt Ltd</t>
  </si>
  <si>
    <t>C0050</t>
  </si>
  <si>
    <t>Aarav Agri Products Plastics LLP</t>
  </si>
  <si>
    <t>C0051</t>
  </si>
  <si>
    <t>Harbor Auto Components S.p.A.</t>
  </si>
  <si>
    <t>C0052</t>
  </si>
  <si>
    <t>Unity Construction Plastics LLP</t>
  </si>
  <si>
    <t>C0053</t>
  </si>
  <si>
    <t>Everest Healthcare GmbH</t>
  </si>
  <si>
    <t>C0054</t>
  </si>
  <si>
    <t>Ganga Auto Components GmbH</t>
  </si>
  <si>
    <t>C0055</t>
  </si>
  <si>
    <t>Indus Industrial Industries Ltd</t>
  </si>
  <si>
    <t>C0056</t>
  </si>
  <si>
    <t>Yamuna Healthcare Industries Ltd</t>
  </si>
  <si>
    <t>C0057</t>
  </si>
  <si>
    <t>Yamuna Industrial Industries Ltd</t>
  </si>
  <si>
    <t>C0058</t>
  </si>
  <si>
    <t>Vista Textiles Enterprises Pvt Ltd</t>
  </si>
  <si>
    <t>C0059</t>
  </si>
  <si>
    <t>Harbor Packaging Polymers Pvt Ltd</t>
  </si>
  <si>
    <t>C0060</t>
  </si>
  <si>
    <t>Quantum Electricals Polymers Pvt Ltd</t>
  </si>
  <si>
    <t>C0061</t>
  </si>
  <si>
    <t>Delta Auto Components Plastics LLP</t>
  </si>
  <si>
    <t>C0062</t>
  </si>
  <si>
    <t>Northstar Textiles Co. Ltd</t>
  </si>
  <si>
    <t>C0063</t>
  </si>
  <si>
    <t>Baltic Healthcare Plastics LLP</t>
  </si>
  <si>
    <t>C0064</t>
  </si>
  <si>
    <t>Keystone Agri Products Co. Ltd</t>
  </si>
  <si>
    <t>C0065</t>
  </si>
  <si>
    <t>Vertex Auto Components Industries Ltd</t>
  </si>
  <si>
    <t>C0066</t>
  </si>
  <si>
    <t>Juniper Consumer Goods Polymers Pvt Ltd</t>
  </si>
  <si>
    <t>C0067</t>
  </si>
  <si>
    <t>Jupiter Construction GmbH</t>
  </si>
  <si>
    <t>C0068</t>
  </si>
  <si>
    <t>Redwood Auto Components Enterprises Pvt Ltd</t>
  </si>
  <si>
    <t>C0069</t>
  </si>
  <si>
    <t>Kaveri Electricals Polymers Pvt Ltd</t>
  </si>
  <si>
    <t>C0070</t>
  </si>
  <si>
    <t>Northstar Construction Polymers Pvt Ltd</t>
  </si>
  <si>
    <t>C0071</t>
  </si>
  <si>
    <t>Meridian Construction Trading FZE</t>
  </si>
  <si>
    <t>C0072</t>
  </si>
  <si>
    <t>Nilgiri Construction BV</t>
  </si>
  <si>
    <t>C0073</t>
  </si>
  <si>
    <t>Udaya Agri Products General Trading LLC</t>
  </si>
  <si>
    <t>C0074</t>
  </si>
  <si>
    <t>Quartz Packaging Plastics LLP</t>
  </si>
  <si>
    <t>C0075</t>
  </si>
  <si>
    <t>Jupiter Agri Products Plastics LLP</t>
  </si>
  <si>
    <t>C0076</t>
  </si>
  <si>
    <t>Iberia Electricals Plastics LLP</t>
  </si>
  <si>
    <t>C0077</t>
  </si>
  <si>
    <t>Lakeshore FMCG Industries Ltd</t>
  </si>
  <si>
    <t>C0078</t>
  </si>
  <si>
    <t>Alpine Electricals Polymers Pvt Ltd</t>
  </si>
  <si>
    <t>C0079</t>
  </si>
  <si>
    <t>Northstar Textiles Pte Ltd</t>
  </si>
  <si>
    <t>C0080</t>
  </si>
  <si>
    <t>Ganga Agri Products Polymers Pvt Ltd</t>
  </si>
  <si>
    <t>C0081</t>
  </si>
  <si>
    <t>Harbor Construction Polymers Pvt Ltd</t>
  </si>
  <si>
    <t>C0082</t>
  </si>
  <si>
    <t>Quantum Auto Components Enterprises Pvt Ltd</t>
  </si>
  <si>
    <t>C0083</t>
  </si>
  <si>
    <t>Summit Auto Components Plastics LLP</t>
  </si>
  <si>
    <t>C0084</t>
  </si>
  <si>
    <t>Aarav FMCG Enterprises Pvt Ltd</t>
  </si>
  <si>
    <t>C0085</t>
  </si>
  <si>
    <t>Aarav FMCG BV</t>
  </si>
  <si>
    <t>C0086</t>
  </si>
  <si>
    <t>Willow Agri Products Plastics LLP</t>
  </si>
  <si>
    <t>C0087</t>
  </si>
  <si>
    <t>Willow Electricals BV</t>
  </si>
  <si>
    <t>C0088</t>
  </si>
  <si>
    <t>Vertex FMCG Polymers Pvt Ltd</t>
  </si>
  <si>
    <t>C0089</t>
  </si>
  <si>
    <t>Delta Packaging Ltd</t>
  </si>
  <si>
    <t>C0090</t>
  </si>
  <si>
    <t>Gateway Industrial S.p.A.</t>
  </si>
  <si>
    <t>C0091</t>
  </si>
  <si>
    <t>Quantum Electricals Co. Ltd</t>
  </si>
  <si>
    <t>C0092</t>
  </si>
  <si>
    <t>Kaveri Industrial Plastics LLP</t>
  </si>
  <si>
    <t>C0093</t>
  </si>
  <si>
    <t>Quantum Packaging Ltd</t>
  </si>
  <si>
    <t>C0094</t>
  </si>
  <si>
    <t>Meridian Industrial Industries Ltd</t>
  </si>
  <si>
    <t>C0095</t>
  </si>
  <si>
    <t>Orion Agri Products Plastics LLP</t>
  </si>
  <si>
    <t>C0096</t>
  </si>
  <si>
    <t>Quartz FMCG LLC</t>
  </si>
  <si>
    <t>C0097</t>
  </si>
  <si>
    <t>Sahyadri Packaging Plastics LLP</t>
  </si>
  <si>
    <t>C0098</t>
  </si>
  <si>
    <t>Kaveri Textiles Polymers Pvt Ltd</t>
  </si>
  <si>
    <t>C0099</t>
  </si>
  <si>
    <t>Kaveri Construction BV</t>
  </si>
  <si>
    <t>C0100</t>
  </si>
  <si>
    <t>Oasis Packaging Ltd</t>
  </si>
  <si>
    <t>C0101</t>
  </si>
  <si>
    <t>Jupiter Agri Products Co. Ltd</t>
  </si>
  <si>
    <t>C0102</t>
  </si>
  <si>
    <t>Yamuna Industrial Ltd</t>
  </si>
  <si>
    <t>C0103</t>
  </si>
  <si>
    <t>Unity Healthcare Polymers Pvt Ltd</t>
  </si>
  <si>
    <t>C0104</t>
  </si>
  <si>
    <t>Unity FMCG Polymers Pvt Ltd</t>
  </si>
  <si>
    <t>C0105</t>
  </si>
  <si>
    <t>Horizon Packaging Industries Ltd</t>
  </si>
  <si>
    <t>C0106</t>
  </si>
  <si>
    <t>Titan Textiles Trading FZE</t>
  </si>
  <si>
    <t>C0107</t>
  </si>
  <si>
    <t>Coastal Auto Components Industries Ltd</t>
  </si>
  <si>
    <t>C0108</t>
  </si>
  <si>
    <t>Vista Auto Components Polymers Pvt Ltd</t>
  </si>
  <si>
    <t>C0109</t>
  </si>
  <si>
    <t>Horizon Healthcare Enterprises Pvt Ltd</t>
  </si>
  <si>
    <t>C0110</t>
  </si>
  <si>
    <t>Jupiter Electricals Pte Ltd</t>
  </si>
  <si>
    <t>C0111</t>
  </si>
  <si>
    <t>Keystone Textiles S.p.A.</t>
  </si>
  <si>
    <t>C0112</t>
  </si>
  <si>
    <t>Meridian Packaging Plastics LLP</t>
  </si>
  <si>
    <t>C0113</t>
  </si>
  <si>
    <t>Bharat FMCG Industries Ltd</t>
  </si>
  <si>
    <t>C0114</t>
  </si>
  <si>
    <t>Horizon Auto Components Plastics LLP</t>
  </si>
  <si>
    <t>C0115</t>
  </si>
  <si>
    <t>Quantum Auto Components GmbH</t>
  </si>
  <si>
    <t>C0116</t>
  </si>
  <si>
    <t>Cedar Consumer Goods Enterprises Pvt Ltd</t>
  </si>
  <si>
    <t>C0117</t>
  </si>
  <si>
    <t>Quantum Textiles Plastics LLP</t>
  </si>
  <si>
    <t>C0118</t>
  </si>
  <si>
    <t>Pacific Auto Components Polymers Pvt Ltd</t>
  </si>
  <si>
    <t>C0119</t>
  </si>
  <si>
    <t>Keystone Construction Polymers Pvt Ltd</t>
  </si>
  <si>
    <t>C0120</t>
  </si>
  <si>
    <t>Unity Electricals LLC</t>
  </si>
  <si>
    <t>C0121</t>
  </si>
  <si>
    <t>Ganga FMCG Industries Ltd</t>
  </si>
  <si>
    <t>C0122</t>
  </si>
  <si>
    <t>Pioneer Electricals BV</t>
  </si>
  <si>
    <t>C0123</t>
  </si>
  <si>
    <t>Lotus Textiles Ltd</t>
  </si>
  <si>
    <t>C0124</t>
  </si>
  <si>
    <t>Jupiter Electricals Industries Ltd</t>
  </si>
  <si>
    <t>C0125</t>
  </si>
  <si>
    <t>Xenon Industrial Industries Ltd</t>
  </si>
  <si>
    <t>C0126</t>
  </si>
  <si>
    <t>Ganga Healthcare BV</t>
  </si>
  <si>
    <t>C0127</t>
  </si>
  <si>
    <t>Titan Electricals Enterprises Pvt Ltd</t>
  </si>
  <si>
    <t>C0128</t>
  </si>
  <si>
    <t>Meridian Agri Products Enterprises Pvt Ltd</t>
  </si>
  <si>
    <t>C0129</t>
  </si>
  <si>
    <t>Nilgiri FMCG GmbH</t>
  </si>
  <si>
    <t>C0130</t>
  </si>
  <si>
    <t>Delta Electricals Industries Ltd</t>
  </si>
  <si>
    <t>C0131</t>
  </si>
  <si>
    <t>Orion Textiles Industries Ltd</t>
  </si>
  <si>
    <t>C0132</t>
  </si>
  <si>
    <t>Cedar Industrial LLC</t>
  </si>
  <si>
    <t>C0133</t>
  </si>
  <si>
    <t>Orion Industrial General Trading LLC</t>
  </si>
  <si>
    <t>C0134</t>
  </si>
  <si>
    <t>Iberia Healthcare Plastics LLP</t>
  </si>
  <si>
    <t>C0135</t>
  </si>
  <si>
    <t>Quantum Consumer Goods S.p.A.</t>
  </si>
  <si>
    <t>C0136</t>
  </si>
  <si>
    <t>Zenith Textiles Polymers Pvt Ltd</t>
  </si>
  <si>
    <t>C0137</t>
  </si>
  <si>
    <t>Nilgiri Consumer Goods Ltd</t>
  </si>
  <si>
    <t>C0138</t>
  </si>
  <si>
    <t>Redwood Packaging Enterprises Pvt Ltd</t>
  </si>
  <si>
    <t>C0139</t>
  </si>
  <si>
    <t>Rajdhani Electricals Pte Ltd</t>
  </si>
  <si>
    <t>C0140</t>
  </si>
  <si>
    <t>Nilgiri Industrial Enterprises Pvt Ltd</t>
  </si>
  <si>
    <t>C0141</t>
  </si>
  <si>
    <t>Everest Auto Components Polymers Pvt Ltd</t>
  </si>
  <si>
    <t>C0142</t>
  </si>
  <si>
    <t>Bharat Consumer Goods SAS</t>
  </si>
  <si>
    <t>C0143</t>
  </si>
  <si>
    <t>Orion Construction Enterprises Pvt Ltd</t>
  </si>
  <si>
    <t>C0144</t>
  </si>
  <si>
    <t>Sahyadri Electricals Polymers Pvt Ltd</t>
  </si>
  <si>
    <t>C0145</t>
  </si>
  <si>
    <t>Nilgiri Healthcare GmbH</t>
  </si>
  <si>
    <t>C0146</t>
  </si>
  <si>
    <t>Vista Packaging Pte Ltd</t>
  </si>
  <si>
    <t>C0147</t>
  </si>
  <si>
    <t>Ganga Healthcare Polymers Pvt Ltd</t>
  </si>
  <si>
    <t>C0148</t>
  </si>
  <si>
    <t>Oasis Packaging Plastics LLP</t>
  </si>
  <si>
    <t>C0149</t>
  </si>
  <si>
    <t>Iberia Textiles Enterprises Pvt Ltd</t>
  </si>
  <si>
    <t>C0150</t>
  </si>
  <si>
    <t>Willow Healthcare Inc</t>
  </si>
  <si>
    <t>C0151</t>
  </si>
  <si>
    <t>Nilgiri Auto Components Industries Ltd</t>
  </si>
  <si>
    <t>C0152</t>
  </si>
  <si>
    <t>Gateway Agri Products Plastics LLP</t>
  </si>
  <si>
    <t>C0153</t>
  </si>
  <si>
    <t>Keystone Industrial Enterprises Pvt Ltd</t>
  </si>
  <si>
    <t>C0154</t>
  </si>
  <si>
    <t>Elbe FMCG Enterprises Pvt Ltd</t>
  </si>
  <si>
    <t>C0155</t>
  </si>
  <si>
    <t>Jupiter Construction Pte Ltd</t>
  </si>
  <si>
    <t>C0156</t>
  </si>
  <si>
    <t>Danube Textiles Pte Ltd</t>
  </si>
  <si>
    <t>C0157</t>
  </si>
  <si>
    <t>Orion FMCG Plastics LLP</t>
  </si>
  <si>
    <t>C0158</t>
  </si>
  <si>
    <t>Zephyr Packaging Plastics LLP</t>
  </si>
  <si>
    <t>C0159</t>
  </si>
  <si>
    <t>Ganga Textiles Industries Ltd</t>
  </si>
  <si>
    <t>C0160</t>
  </si>
  <si>
    <t>Horizon FMCG Plastics LLP</t>
  </si>
  <si>
    <t>C0161</t>
  </si>
  <si>
    <t>Willow Agri Products General Trading LLC</t>
  </si>
  <si>
    <t>C0162</t>
  </si>
  <si>
    <t>Quartz Auto Components Polymers Pvt Ltd</t>
  </si>
  <si>
    <t>C0163</t>
  </si>
  <si>
    <t>Indus Construction SAS</t>
  </si>
  <si>
    <t>C0164</t>
  </si>
  <si>
    <t>Gateway FMCG Pte Ltd</t>
  </si>
  <si>
    <t>C0165</t>
  </si>
  <si>
    <t>Cedar Construction LLC</t>
  </si>
  <si>
    <t>C0166</t>
  </si>
  <si>
    <t>Zenith Construction Polymers Pvt Ltd</t>
  </si>
  <si>
    <t>C0167</t>
  </si>
  <si>
    <t>Zenith Consumer Goods Enterprises Pvt Ltd</t>
  </si>
  <si>
    <t>C0168</t>
  </si>
  <si>
    <t>Yamuna Consumer Goods Plastics LLP</t>
  </si>
  <si>
    <t>C0169</t>
  </si>
  <si>
    <t>Danube Auto Components GmbH</t>
  </si>
  <si>
    <t>C0170</t>
  </si>
  <si>
    <t>Pacific FMCG Enterprises Pvt Ltd</t>
  </si>
  <si>
    <t>C0171</t>
  </si>
  <si>
    <t>Sahyadri Agri Products Co. Ltd</t>
  </si>
  <si>
    <t>C0172</t>
  </si>
  <si>
    <t>Cedar Healthcare Plastics LLP</t>
  </si>
  <si>
    <t>C0173</t>
  </si>
  <si>
    <t>Redwood Industrial S.p.A.</t>
  </si>
  <si>
    <t>C0174</t>
  </si>
  <si>
    <t>Harbor Agri Products SAS</t>
  </si>
  <si>
    <t>C0175</t>
  </si>
  <si>
    <t>Rajdhani Electricals Enterprises Pvt Ltd</t>
  </si>
  <si>
    <t>C0176</t>
  </si>
  <si>
    <t>Udaya FMCG Industries Ltd</t>
  </si>
  <si>
    <t>C0177</t>
  </si>
  <si>
    <t>Gateway Agri Products S.p.A.</t>
  </si>
  <si>
    <t>C0178</t>
  </si>
  <si>
    <t>Tidewater FMCG Industries Ltd</t>
  </si>
  <si>
    <t>C0179</t>
  </si>
  <si>
    <t>Lotus Agri Products Enterprises Pvt Ltd</t>
  </si>
  <si>
    <t>C0180</t>
  </si>
  <si>
    <t>Quantum Consumer Goods Co. Ltd</t>
  </si>
  <si>
    <t>C0181</t>
  </si>
  <si>
    <t>Rajdhani Industrial Plastics LLP</t>
  </si>
  <si>
    <t>C0182</t>
  </si>
  <si>
    <t>Pioneer Construction Plastics LLP</t>
  </si>
  <si>
    <t>C0183</t>
  </si>
  <si>
    <t>Summit Consumer Goods Industries Ltd</t>
  </si>
  <si>
    <t>C0184</t>
  </si>
  <si>
    <t>Pioneer Textiles Industries Ltd</t>
  </si>
  <si>
    <t>C0185</t>
  </si>
  <si>
    <t>Delta Industrial Industries Ltd</t>
  </si>
  <si>
    <t>C0186</t>
  </si>
  <si>
    <t>Kaveri Agri Products Trading FZE</t>
  </si>
  <si>
    <t>C0187</t>
  </si>
  <si>
    <t>Alpine Industrial Enterprises Pvt Ltd</t>
  </si>
  <si>
    <t>C0188</t>
  </si>
  <si>
    <t>Northstar FMCG Polymers Pvt Ltd</t>
  </si>
  <si>
    <t>C0189</t>
  </si>
  <si>
    <t>Western Packaging Polymers Pvt Ltd</t>
  </si>
  <si>
    <t>C0190</t>
  </si>
  <si>
    <t>Sahyadri FMCG Plastics LLP</t>
  </si>
  <si>
    <t>C0191</t>
  </si>
  <si>
    <t>Lakeshore FMCG BV</t>
  </si>
  <si>
    <t>C0192</t>
  </si>
  <si>
    <t>Titan Healthcare S.p.A.</t>
  </si>
  <si>
    <t>C0193</t>
  </si>
  <si>
    <t>Redwood Healthcare SAS</t>
  </si>
  <si>
    <t>C0194</t>
  </si>
  <si>
    <t>Ganga Electricals Industries Ltd</t>
  </si>
  <si>
    <t>C0195</t>
  </si>
  <si>
    <t>Sahyadri Auto Components SAS</t>
  </si>
  <si>
    <t>C0196</t>
  </si>
  <si>
    <t>Alpine Construction Co. Ltd</t>
  </si>
  <si>
    <t>C0197</t>
  </si>
  <si>
    <t>Baltic FMCG Enterprises Pvt Ltd</t>
  </si>
  <si>
    <t>C0198</t>
  </si>
  <si>
    <t>Alpine Healthcare Pte Ltd</t>
  </si>
  <si>
    <t>C0199</t>
  </si>
  <si>
    <t>Unity Consumer Goods LLC</t>
  </si>
  <si>
    <t>C0200</t>
  </si>
  <si>
    <t>Maple Auto Components GmbH</t>
  </si>
  <si>
    <t>C0201</t>
  </si>
  <si>
    <t>Juniper Textiles Industries Ltd</t>
  </si>
  <si>
    <t>C0202</t>
  </si>
  <si>
    <t>Kaveri FMCG Co. Ltd</t>
  </si>
  <si>
    <t>C0203</t>
  </si>
  <si>
    <t>Zenith Industrial Plastics LLP</t>
  </si>
  <si>
    <t>C0204</t>
  </si>
  <si>
    <t>Lakeshore Agri Products Pte Ltd</t>
  </si>
  <si>
    <t>C0205</t>
  </si>
  <si>
    <t>Horizon Industrial Industries Ltd</t>
  </si>
  <si>
    <t>C0206</t>
  </si>
  <si>
    <t>Willow Consumer Goods Industries Ltd</t>
  </si>
  <si>
    <t>C0207</t>
  </si>
  <si>
    <t>Lakeshore Packaging Polymers Pvt Ltd</t>
  </si>
  <si>
    <t>C0208</t>
  </si>
  <si>
    <t>Pioneer Industrial Plastics LLP</t>
  </si>
  <si>
    <t>C0209</t>
  </si>
  <si>
    <t>Baltic Construction Industries Ltd</t>
  </si>
  <si>
    <t>C0210</t>
  </si>
  <si>
    <t>Falcon Healthcare Pte Ltd</t>
  </si>
  <si>
    <t>C0211</t>
  </si>
  <si>
    <t>Gateway Packaging Enterprises Pvt Ltd</t>
  </si>
  <si>
    <t>C0212</t>
  </si>
  <si>
    <t>Indus Textiles Industries Ltd</t>
  </si>
  <si>
    <t>C0213</t>
  </si>
  <si>
    <t>Rajdhani Electricals S.p.A.</t>
  </si>
  <si>
    <t>C0214</t>
  </si>
  <si>
    <t>Vista Construction Industries Ltd</t>
  </si>
  <si>
    <t>C0215</t>
  </si>
  <si>
    <t>Western Construction Co. Ltd</t>
  </si>
  <si>
    <t>C0216</t>
  </si>
  <si>
    <t>Northstar Consumer Goods Pte Ltd</t>
  </si>
  <si>
    <t>C0217</t>
  </si>
  <si>
    <t>Maple Textiles Trading FZE</t>
  </si>
  <si>
    <t>C0218</t>
  </si>
  <si>
    <t>Vista Industrial Plastics LLP</t>
  </si>
  <si>
    <t>C0219</t>
  </si>
  <si>
    <t>Summit Agri Products Enterprises Pvt Ltd</t>
  </si>
  <si>
    <t>C0220</t>
  </si>
  <si>
    <t>Juniper Electricals Enterprises Pvt Ltd</t>
  </si>
  <si>
    <t>C0221</t>
  </si>
  <si>
    <t>Udaya Textiles Enterprises Pvt Ltd</t>
  </si>
  <si>
    <t>C0222</t>
  </si>
  <si>
    <t>Rajdhani FMCG GmbH</t>
  </si>
  <si>
    <t>C0223</t>
  </si>
  <si>
    <t>Lakeshore Agri Products Industries Ltd</t>
  </si>
  <si>
    <t>C0224</t>
  </si>
  <si>
    <t>Coastal Textiles S.p.A.</t>
  </si>
  <si>
    <t>C0225</t>
  </si>
  <si>
    <t>Maple Industrial Co. Ltd</t>
  </si>
  <si>
    <t>C0226</t>
  </si>
  <si>
    <t>Udaya Electricals Enterprises Pvt Ltd</t>
  </si>
  <si>
    <t>C0227</t>
  </si>
  <si>
    <t>Quantum Electricals Plastics LLP</t>
  </si>
  <si>
    <t>C0228</t>
  </si>
  <si>
    <t>Gateway Auto Components Plastics LLP</t>
  </si>
  <si>
    <t>C0229</t>
  </si>
  <si>
    <t>Western Electricals Pte Ltd</t>
  </si>
  <si>
    <t>C0230</t>
  </si>
  <si>
    <t>Gateway Industrial Enterprises Pvt Ltd</t>
  </si>
  <si>
    <t>C0231</t>
  </si>
  <si>
    <t>Ganga Consumer Goods Polymers Pvt Ltd</t>
  </si>
  <si>
    <t>C0232</t>
  </si>
  <si>
    <t>Pioneer Agri Products BV</t>
  </si>
  <si>
    <t>C0233</t>
  </si>
  <si>
    <t>Baltic Healthcare Polymers Pvt Ltd</t>
  </si>
  <si>
    <t>C0234</t>
  </si>
  <si>
    <t>Zephyr Auto Components Enterprises Pvt Ltd</t>
  </si>
  <si>
    <t>C0235</t>
  </si>
  <si>
    <t>Elbe Construction SAS</t>
  </si>
  <si>
    <t>C0236</t>
  </si>
  <si>
    <t>Bharat Agri Products S.p.A.</t>
  </si>
  <si>
    <t>C0237</t>
  </si>
  <si>
    <t>Udaya Auto Components Enterprises Pvt Ltd</t>
  </si>
  <si>
    <t>C0238</t>
  </si>
  <si>
    <t>Willow Electricals Plastics LLP</t>
  </si>
  <si>
    <t>C0239</t>
  </si>
  <si>
    <t>Juniper Electricals Plastics LLP</t>
  </si>
  <si>
    <t>C0240</t>
  </si>
  <si>
    <t>Danube Auto Components Polymers Pvt Ltd</t>
  </si>
  <si>
    <t>C0241</t>
  </si>
  <si>
    <t>Zephyr Packaging S.p.A.</t>
  </si>
  <si>
    <t>C0242</t>
  </si>
  <si>
    <t>Northstar Industrial BV</t>
  </si>
  <si>
    <t>C0243</t>
  </si>
  <si>
    <t>Coastal Packaging GmbH</t>
  </si>
  <si>
    <t>C0244</t>
  </si>
  <si>
    <t>Gateway Packaging Industries Ltd</t>
  </si>
  <si>
    <t>C0245</t>
  </si>
  <si>
    <t>Fjord Healthcare Pte Ltd</t>
  </si>
  <si>
    <t>C0246</t>
  </si>
  <si>
    <t>Alpine Agri Products Co. Ltd</t>
  </si>
  <si>
    <t>C0247</t>
  </si>
  <si>
    <t>Redwood Healthcare Co. Ltd</t>
  </si>
  <si>
    <t>C0248</t>
  </si>
  <si>
    <t>Delta Textiles Co. Ltd</t>
  </si>
  <si>
    <t>C0249</t>
  </si>
  <si>
    <t>Elbe Textiles S.p.A.</t>
  </si>
  <si>
    <t>C0250</t>
  </si>
  <si>
    <t>Lotus Consumer Goods Polymers Pvt Ltd</t>
  </si>
  <si>
    <t>invoice_id</t>
  </si>
  <si>
    <t>bu_id</t>
  </si>
  <si>
    <t>invoice_date</t>
  </si>
  <si>
    <t>due_date</t>
  </si>
  <si>
    <t>currency</t>
  </si>
  <si>
    <t>invoice_amount</t>
  </si>
  <si>
    <t>amount_paid</t>
  </si>
  <si>
    <t>paid_date</t>
  </si>
  <si>
    <t>status</t>
  </si>
  <si>
    <t>hedged_flag</t>
  </si>
  <si>
    <t>hedge_rate</t>
  </si>
  <si>
    <t>INV000001</t>
  </si>
  <si>
    <t>BU04</t>
  </si>
  <si>
    <t>PAID</t>
  </si>
  <si>
    <t>N</t>
  </si>
  <si>
    <t>INV000002</t>
  </si>
  <si>
    <t>BU02</t>
  </si>
  <si>
    <t>INV000003</t>
  </si>
  <si>
    <t>BU05</t>
  </si>
  <si>
    <t>INV000004</t>
  </si>
  <si>
    <t>INV000005</t>
  </si>
  <si>
    <t>INV000006</t>
  </si>
  <si>
    <t>INV000008</t>
  </si>
  <si>
    <t>INV000009</t>
  </si>
  <si>
    <t>BU01</t>
  </si>
  <si>
    <t>PARTIALLY PAID</t>
  </si>
  <si>
    <t>INV000010</t>
  </si>
  <si>
    <t>INV000011</t>
  </si>
  <si>
    <t>INV000012</t>
  </si>
  <si>
    <t>INV000013</t>
  </si>
  <si>
    <t>INV000014</t>
  </si>
  <si>
    <t>Y</t>
  </si>
  <si>
    <t>INV000015</t>
  </si>
  <si>
    <t>BU03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</si>
  <si>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</si>
  <si>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</si>
  <si>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</si>
  <si>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</si>
  <si>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</si>
  <si>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</si>
  <si>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</si>
  <si>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</si>
  <si>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</si>
  <si>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</si>
  <si>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</si>
  <si>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</si>
  <si>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</si>
  <si>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</si>
  <si>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</si>
  <si>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</si>
  <si>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</si>
  <si>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</si>
  <si>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</si>
  <si>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</si>
  <si>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</si>
  <si>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</si>
  <si>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</si>
  <si>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</si>
  <si>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</si>
  <si>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</si>
  <si>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</si>
  <si>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</si>
  <si>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</si>
  <si>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</si>
  <si>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</si>
  <si>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</si>
  <si>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</si>
  <si>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</si>
  <si>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</si>
  <si>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</si>
  <si>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</si>
  <si>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</si>
  <si>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</si>
  <si>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</si>
  <si>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</si>
  <si>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</si>
  <si>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</si>
  <si>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</si>
  <si>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</si>
  <si>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</si>
  <si>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</si>
  <si>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</si>
  <si>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</si>
  <si>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</si>
  <si>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</si>
  <si>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</si>
  <si>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</si>
  <si>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</si>
  <si>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</si>
  <si>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</si>
  <si>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</si>
  <si>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</si>
  <si>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</si>
  <si>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</si>
  <si>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</si>
  <si>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</si>
  <si>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</si>
  <si>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</si>
  <si>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</si>
  <si>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</si>
  <si>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</si>
  <si>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</si>
  <si>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</si>
  <si>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</si>
  <si>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</si>
  <si>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</si>
  <si>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</si>
  <si>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</si>
  <si>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</si>
  <si>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</si>
  <si>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</si>
  <si>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</si>
  <si>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</si>
  <si>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</si>
  <si>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</si>
  <si>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</si>
  <si>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</si>
  <si>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</si>
  <si>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</si>
  <si>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</si>
  <si>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</si>
  <si>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</si>
  <si>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</si>
  <si>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</si>
  <si>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</si>
  <si>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</si>
  <si>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</si>
  <si>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</si>
  <si>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</si>
  <si>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</si>
  <si>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</si>
  <si>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</si>
  <si>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</si>
  <si>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</si>
  <si>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</si>
  <si>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</si>
  <si>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</si>
  <si>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</si>
  <si>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</si>
  <si>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</si>
  <si>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</si>
  <si>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</si>
  <si>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</si>
  <si>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</si>
  <si>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</si>
  <si>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</si>
  <si>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</si>
  <si>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</si>
  <si>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</si>
  <si>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</si>
  <si>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</si>
  <si>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</si>
  <si>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</si>
  <si>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</si>
  <si>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</si>
  <si>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</si>
  <si>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</si>
  <si>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</si>
  <si>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</si>
  <si>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</si>
  <si>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</si>
  <si>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</si>
  <si>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</si>
  <si>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</si>
  <si>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</si>
  <si>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</si>
  <si>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</si>
  <si>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</si>
  <si>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</si>
  <si>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</si>
  <si>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</si>
  <si>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</si>
  <si>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</si>
  <si>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</si>
  <si>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</si>
  <si>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WRITTEN OFF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</si>
  <si>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</si>
  <si>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</si>
  <si>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</si>
  <si>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</si>
  <si>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</si>
  <si>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</si>
  <si>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</si>
  <si>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</si>
  <si>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</si>
  <si>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</si>
  <si>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</si>
  <si>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</si>
  <si>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</si>
  <si>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</si>
  <si>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</si>
  <si>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</si>
  <si>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</si>
  <si>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</si>
  <si>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</si>
  <si>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</si>
  <si>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</si>
  <si>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</si>
  <si>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</si>
  <si>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</si>
  <si>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</si>
  <si>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</si>
  <si>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</si>
  <si>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</si>
  <si>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</si>
  <si>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</si>
  <si>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</si>
  <si>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</si>
  <si>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</si>
  <si>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</si>
  <si>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</si>
  <si>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</si>
  <si>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</si>
  <si>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</si>
  <si>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</si>
  <si>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</si>
  <si>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</si>
  <si>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</si>
  <si>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</si>
  <si>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</si>
  <si>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</si>
  <si>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</si>
  <si>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</si>
  <si>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</si>
  <si>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</si>
  <si>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</si>
  <si>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</si>
  <si>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</si>
  <si>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</si>
  <si>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</si>
  <si>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</si>
  <si>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</si>
  <si>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</si>
  <si>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</si>
  <si>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</si>
  <si>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</si>
  <si>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</si>
  <si>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</si>
  <si>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</si>
  <si>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</si>
  <si>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</si>
  <si>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</si>
  <si>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</si>
  <si>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</si>
  <si>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</si>
  <si>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</si>
  <si>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</si>
  <si>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</si>
  <si>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</si>
  <si>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</si>
  <si>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</si>
  <si>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</si>
  <si>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</si>
  <si>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</si>
  <si>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</si>
  <si>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</si>
  <si>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</si>
  <si>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</si>
  <si>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</si>
  <si>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</si>
  <si>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</si>
  <si>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</si>
  <si>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</si>
  <si>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</si>
  <si>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</si>
  <si>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</si>
  <si>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</si>
  <si>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</si>
  <si>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</si>
  <si>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</si>
  <si>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</si>
  <si>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</si>
  <si>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</si>
  <si>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</si>
  <si>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</si>
  <si>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</si>
  <si>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</si>
  <si>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</si>
  <si>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</si>
  <si>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</si>
  <si>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</si>
  <si>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</si>
  <si>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</si>
  <si>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</si>
  <si>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</si>
  <si>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</si>
  <si>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</si>
  <si>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</si>
  <si>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</si>
  <si>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</si>
  <si>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</si>
  <si>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</si>
  <si>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</si>
  <si>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</si>
  <si>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</si>
  <si>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</si>
  <si>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</si>
  <si>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</si>
  <si>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</si>
  <si>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</si>
  <si>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</si>
  <si>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</si>
  <si>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</si>
  <si>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</si>
  <si>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</si>
  <si>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</si>
  <si>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</si>
  <si>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</si>
  <si>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</si>
  <si>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</si>
  <si>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</si>
  <si>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</si>
  <si>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</si>
  <si>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</si>
  <si>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</si>
  <si>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</si>
  <si>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</si>
  <si>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</si>
  <si>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</si>
  <si>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</si>
  <si>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</si>
  <si>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</si>
  <si>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</si>
  <si>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</si>
  <si>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</si>
  <si>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</si>
  <si>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</si>
  <si>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</si>
  <si>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</si>
  <si>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</si>
  <si>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</si>
  <si>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</si>
  <si>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</si>
  <si>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</si>
  <si>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</si>
  <si>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</si>
  <si>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</si>
  <si>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</si>
  <si>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</si>
  <si>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</si>
  <si>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</si>
  <si>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</si>
  <si>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</si>
  <si>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</si>
  <si>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</si>
  <si>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</si>
  <si>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</si>
  <si>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</si>
  <si>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</si>
  <si>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</si>
  <si>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</si>
  <si>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</si>
  <si>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</si>
  <si>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</si>
  <si>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</si>
  <si>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</si>
  <si>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</si>
  <si>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</si>
  <si>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</si>
  <si>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</si>
  <si>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</si>
  <si>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</si>
  <si>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</si>
  <si>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</si>
  <si>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</si>
  <si>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</si>
  <si>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</si>
  <si>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</si>
  <si>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</si>
  <si>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</si>
  <si>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</si>
  <si>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</si>
  <si>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</si>
  <si>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</si>
  <si>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</si>
  <si>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</si>
  <si>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</si>
  <si>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</si>
  <si>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</si>
  <si>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</si>
  <si>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</si>
  <si>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</si>
  <si>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</si>
  <si>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</si>
  <si>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</si>
  <si>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</si>
  <si>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</si>
  <si>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</si>
  <si>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</si>
  <si>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</si>
  <si>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</si>
  <si>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</si>
  <si>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</si>
  <si>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</si>
  <si>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</si>
  <si>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</si>
  <si>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</si>
  <si>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</si>
  <si>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</si>
  <si>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</si>
  <si>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</si>
  <si>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</si>
  <si>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</si>
  <si>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</si>
  <si>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</si>
  <si>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</si>
  <si>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</si>
  <si>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</si>
  <si>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</si>
  <si>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</si>
  <si>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</si>
  <si>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</si>
  <si>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</si>
  <si>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</si>
  <si>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</si>
  <si>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</si>
  <si>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</si>
  <si>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</si>
  <si>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</si>
  <si>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</si>
  <si>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</si>
  <si>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</si>
  <si>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</si>
  <si>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</si>
  <si>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</si>
  <si>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</si>
  <si>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</si>
  <si>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</si>
  <si>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</si>
  <si>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</si>
  <si>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</si>
  <si>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</si>
  <si>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</si>
  <si>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</si>
  <si>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</si>
  <si>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</si>
  <si>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</si>
  <si>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</si>
  <si>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</si>
  <si>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</si>
  <si>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</si>
  <si>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</si>
  <si>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</si>
  <si>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</si>
  <si>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</si>
  <si>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</si>
  <si>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</si>
  <si>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</si>
  <si>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</si>
  <si>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</si>
  <si>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</si>
  <si>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</si>
  <si>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</si>
  <si>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</si>
  <si>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</si>
  <si>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</si>
  <si>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</si>
  <si>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</si>
  <si>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</si>
  <si>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</si>
  <si>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</si>
  <si>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</si>
  <si>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</si>
  <si>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</si>
  <si>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</si>
  <si>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</si>
  <si>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</si>
  <si>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</si>
  <si>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</si>
  <si>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</si>
  <si>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</si>
  <si>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</si>
  <si>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</si>
  <si>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</si>
  <si>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</si>
  <si>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</si>
  <si>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</si>
  <si>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</si>
  <si>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</si>
  <si>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</si>
  <si>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</si>
  <si>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</si>
  <si>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</si>
  <si>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</si>
  <si>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</si>
  <si>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</si>
  <si>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</si>
  <si>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</si>
  <si>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</si>
  <si>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</si>
  <si>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</si>
  <si>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</si>
  <si>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</si>
  <si>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</si>
  <si>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</si>
  <si>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</si>
  <si>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</si>
  <si>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</si>
  <si>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</si>
  <si>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</si>
  <si>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</si>
  <si>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</si>
  <si>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</si>
  <si>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</si>
  <si>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</si>
  <si>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</si>
  <si>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</si>
  <si>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</si>
  <si>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</si>
  <si>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</si>
  <si>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</si>
  <si>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</si>
  <si>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</si>
  <si>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</si>
  <si>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</si>
  <si>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</si>
  <si>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</si>
  <si>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</si>
  <si>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</si>
  <si>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</si>
  <si>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</si>
  <si>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</si>
  <si>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</si>
  <si>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</si>
  <si>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</si>
  <si>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</si>
  <si>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</si>
  <si>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</si>
  <si>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</si>
  <si>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</si>
  <si>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</si>
  <si>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</si>
  <si>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</si>
  <si>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</si>
  <si>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</si>
  <si>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</si>
  <si>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</si>
  <si>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</si>
  <si>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</si>
  <si>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</si>
  <si>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</si>
  <si>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</si>
  <si>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</si>
  <si>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</si>
  <si>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</si>
  <si>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</si>
  <si>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</si>
  <si>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</si>
  <si>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</si>
  <si>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</si>
  <si>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</si>
  <si>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</si>
  <si>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</si>
  <si>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</si>
  <si>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</si>
  <si>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</si>
  <si>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</si>
  <si>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</si>
  <si>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</si>
  <si>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</si>
  <si>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</si>
  <si>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</si>
  <si>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</si>
  <si>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</si>
  <si>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</si>
  <si>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</si>
  <si>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</si>
  <si>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</si>
  <si>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</si>
  <si>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</si>
  <si>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</si>
  <si>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</si>
  <si>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</si>
  <si>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</si>
  <si>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</si>
  <si>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</si>
  <si>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</si>
  <si>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</si>
  <si>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</si>
  <si>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</si>
  <si>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</si>
  <si>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</si>
  <si>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</si>
  <si>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</si>
  <si>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</si>
  <si>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</si>
  <si>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</si>
  <si>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</si>
  <si>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</si>
  <si>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</si>
  <si>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</si>
  <si>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</si>
  <si>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</si>
  <si>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</si>
  <si>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</si>
  <si>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</si>
  <si>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</si>
  <si>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</si>
  <si>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</si>
  <si>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</si>
  <si>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</si>
  <si>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</si>
  <si>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</si>
  <si>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</si>
  <si>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</si>
  <si>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</si>
  <si>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</si>
  <si>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</si>
  <si>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</si>
  <si>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</si>
  <si>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</si>
  <si>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</si>
  <si>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</si>
  <si>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</si>
  <si>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</si>
  <si>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</si>
  <si>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</si>
  <si>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</si>
  <si>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</si>
  <si>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</si>
  <si>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</si>
  <si>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</si>
  <si>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</si>
  <si>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</si>
  <si>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</si>
  <si>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</si>
  <si>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</si>
  <si>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</si>
  <si>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</si>
  <si>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</si>
  <si>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</si>
  <si>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</si>
  <si>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</si>
  <si>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</si>
  <si>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</si>
  <si>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</si>
  <si>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</si>
  <si>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</si>
  <si>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</si>
  <si>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</si>
  <si>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</si>
  <si>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</si>
  <si>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</si>
  <si>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</si>
  <si>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</si>
  <si>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</si>
  <si>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</si>
  <si>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</si>
  <si>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</si>
  <si>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</si>
  <si>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</si>
  <si>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</si>
  <si>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</si>
  <si>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</si>
  <si>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</si>
  <si>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</si>
  <si>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</si>
  <si>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</si>
  <si>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</si>
  <si>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</si>
  <si>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</si>
  <si>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</si>
  <si>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</si>
  <si>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</si>
  <si>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</si>
  <si>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</si>
  <si>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</si>
  <si>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</si>
  <si>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</si>
  <si>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</si>
  <si>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</si>
  <si>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</si>
  <si>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</si>
  <si>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</si>
  <si>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</si>
  <si>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</si>
  <si>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</si>
  <si>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</si>
  <si>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</si>
  <si>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</si>
  <si>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</si>
  <si>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</si>
  <si>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</si>
  <si>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</si>
  <si>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</si>
  <si>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</si>
  <si>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</si>
  <si>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</si>
  <si>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</si>
  <si>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</si>
  <si>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</si>
  <si>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</si>
  <si>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</si>
  <si>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</si>
  <si>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</si>
  <si>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</si>
  <si>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</si>
  <si>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</si>
  <si>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</si>
  <si>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</si>
  <si>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</si>
  <si>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</si>
  <si>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</si>
  <si>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</si>
  <si>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</si>
  <si>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</si>
  <si>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</si>
  <si>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</si>
  <si>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</si>
  <si>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</si>
  <si>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</si>
  <si>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</si>
  <si>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</si>
  <si>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</si>
  <si>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</si>
  <si>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</si>
  <si>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</si>
  <si>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</si>
  <si>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</si>
  <si>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</si>
  <si>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</si>
  <si>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</si>
  <si>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</si>
  <si>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</si>
  <si>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</si>
  <si>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</si>
  <si>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</si>
  <si>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</si>
  <si>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</si>
  <si>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</si>
  <si>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</si>
  <si>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</si>
  <si>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</si>
  <si>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</si>
  <si>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</si>
  <si>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</si>
  <si>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</si>
  <si>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</si>
  <si>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</si>
  <si>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</si>
  <si>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</si>
  <si>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</si>
  <si>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</si>
  <si>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</si>
  <si>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</si>
  <si>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</si>
  <si>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</si>
  <si>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</si>
  <si>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</si>
  <si>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</si>
  <si>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</si>
  <si>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</si>
  <si>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</si>
  <si>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</si>
  <si>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</si>
  <si>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</si>
  <si>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</si>
  <si>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</si>
  <si>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</si>
  <si>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</si>
  <si>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</si>
  <si>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</si>
  <si>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</si>
  <si>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</si>
  <si>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</si>
  <si>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</si>
  <si>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</si>
  <si>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</si>
  <si>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</si>
  <si>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</si>
  <si>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</si>
  <si>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</si>
  <si>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</si>
  <si>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</si>
  <si>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</si>
  <si>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</si>
  <si>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</si>
  <si>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</si>
  <si>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</si>
  <si>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</si>
  <si>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</si>
  <si>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</si>
  <si>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</si>
  <si>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</si>
  <si>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</si>
  <si>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</si>
  <si>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</si>
  <si>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</si>
  <si>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</si>
  <si>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</si>
  <si>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</si>
  <si>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</si>
  <si>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</si>
  <si>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</si>
  <si>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</si>
  <si>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</si>
  <si>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</si>
  <si>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</si>
  <si>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</si>
  <si>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</si>
  <si>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</si>
  <si>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</si>
  <si>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</si>
  <si>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</si>
  <si>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</si>
  <si>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</si>
  <si>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</si>
  <si>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</si>
  <si>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</si>
  <si>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</si>
  <si>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</si>
  <si>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</si>
  <si>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</si>
  <si>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</si>
  <si>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</si>
  <si>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</si>
  <si>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</si>
  <si>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</si>
  <si>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</si>
  <si>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</si>
  <si>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</si>
  <si>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</si>
  <si>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</si>
  <si>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</si>
  <si>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</si>
  <si>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</si>
  <si>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</si>
  <si>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</si>
  <si>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</si>
  <si>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</si>
  <si>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</si>
  <si>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</si>
  <si>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</si>
  <si>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</si>
  <si>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</si>
  <si>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</si>
  <si>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</si>
  <si>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</si>
  <si>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</si>
  <si>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</si>
  <si>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</si>
  <si>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</si>
  <si>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</si>
  <si>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</si>
  <si>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</si>
  <si>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</si>
  <si>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</si>
  <si>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</si>
  <si>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</si>
  <si>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</si>
  <si>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</si>
  <si>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</si>
  <si>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</si>
  <si>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</si>
  <si>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</si>
  <si>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</si>
  <si>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</si>
  <si>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</si>
  <si>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</si>
  <si>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</si>
  <si>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</si>
  <si>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</si>
  <si>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</si>
  <si>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</si>
  <si>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</si>
  <si>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</si>
  <si>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</si>
  <si>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</si>
  <si>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</si>
  <si>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</si>
  <si>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</si>
  <si>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</si>
  <si>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</si>
  <si>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</si>
  <si>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</si>
  <si>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</si>
  <si>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</si>
  <si>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</si>
  <si>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</si>
  <si>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</si>
  <si>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</si>
  <si>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</si>
  <si>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</si>
  <si>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</si>
  <si>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</si>
  <si>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</si>
  <si>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</si>
  <si>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</si>
  <si>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</si>
  <si>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</si>
  <si>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</si>
  <si>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</si>
  <si>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</si>
  <si>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</si>
  <si>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</si>
  <si>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</si>
  <si>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</si>
  <si>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</si>
  <si>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</si>
  <si>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</si>
  <si>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</si>
  <si>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</si>
  <si>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</si>
  <si>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</si>
  <si>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</si>
  <si>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</si>
  <si>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</si>
  <si>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</si>
  <si>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</si>
  <si>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</si>
  <si>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</si>
  <si>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</si>
  <si>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</si>
  <si>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</si>
  <si>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</si>
  <si>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</si>
  <si>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</si>
  <si>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</si>
  <si>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</si>
  <si>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</si>
  <si>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</si>
  <si>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</si>
  <si>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</si>
  <si>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</si>
  <si>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</si>
  <si>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</si>
  <si>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</si>
  <si>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</si>
  <si>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</si>
  <si>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</si>
  <si>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</si>
  <si>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</si>
  <si>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</si>
  <si>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</si>
  <si>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</si>
  <si>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</si>
  <si>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</si>
  <si>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</si>
  <si>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</si>
  <si>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</si>
  <si>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</si>
  <si>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</si>
  <si>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</si>
  <si>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</si>
  <si>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</si>
  <si>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</si>
  <si>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</si>
  <si>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</si>
  <si>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</si>
  <si>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</si>
  <si>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</si>
  <si>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</si>
  <si>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</si>
  <si>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</si>
  <si>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</si>
  <si>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</si>
  <si>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</si>
  <si>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</si>
  <si>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</si>
  <si>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</si>
  <si>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</si>
  <si>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</si>
  <si>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</si>
  <si>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</si>
  <si>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</si>
  <si>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</si>
  <si>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</si>
  <si>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</si>
  <si>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</si>
  <si>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</si>
  <si>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</si>
  <si>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</si>
  <si>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</si>
  <si>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</si>
  <si>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</si>
  <si>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</si>
  <si>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</si>
  <si>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</si>
  <si>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</si>
  <si>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</si>
  <si>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</si>
  <si>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</si>
  <si>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</si>
  <si>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</si>
  <si>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</si>
  <si>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</si>
  <si>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</si>
  <si>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</si>
  <si>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</si>
  <si>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</si>
  <si>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</si>
  <si>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</si>
  <si>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</si>
  <si>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</si>
  <si>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</si>
  <si>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</si>
  <si>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</si>
  <si>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</si>
  <si>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</si>
  <si>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</si>
  <si>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</si>
  <si>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</si>
  <si>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</si>
  <si>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</si>
  <si>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</si>
  <si>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</si>
  <si>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</si>
  <si>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</si>
  <si>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</si>
  <si>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</si>
  <si>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</si>
  <si>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</si>
  <si>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</si>
  <si>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</si>
  <si>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</si>
  <si>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</si>
  <si>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</si>
  <si>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</si>
  <si>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</si>
  <si>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</si>
  <si>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</si>
  <si>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</si>
  <si>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</si>
  <si>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</si>
  <si>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</si>
  <si>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</si>
  <si>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</si>
  <si>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</si>
  <si>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</si>
  <si>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</si>
  <si>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</si>
  <si>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</si>
  <si>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</si>
  <si>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</si>
  <si>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</si>
  <si>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</si>
  <si>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</si>
  <si>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</si>
  <si>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</si>
  <si>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</si>
  <si>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</si>
  <si>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</si>
  <si>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</si>
  <si>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</si>
  <si>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</si>
  <si>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</si>
  <si>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</si>
  <si>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</si>
  <si>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</si>
  <si>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</si>
  <si>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</si>
  <si>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</si>
  <si>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</si>
  <si>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</si>
  <si>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</si>
  <si>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</si>
  <si>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</si>
  <si>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</si>
  <si>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</si>
  <si>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</si>
  <si>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</si>
  <si>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</si>
  <si>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</si>
  <si>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</si>
  <si>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</si>
  <si>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</si>
  <si>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</si>
  <si>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</si>
  <si>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</si>
  <si>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</si>
  <si>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</si>
  <si>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</si>
  <si>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</si>
  <si>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</si>
  <si>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</si>
  <si>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</si>
  <si>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</si>
  <si>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</si>
  <si>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</si>
  <si>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</si>
  <si>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</si>
  <si>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</si>
  <si>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</si>
  <si>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</si>
  <si>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</si>
  <si>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</si>
  <si>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</si>
  <si>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</si>
  <si>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</si>
  <si>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</si>
  <si>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</si>
  <si>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</si>
  <si>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</si>
  <si>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</si>
  <si>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</si>
  <si>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</si>
  <si>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</si>
  <si>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</si>
  <si>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</si>
  <si>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</si>
  <si>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</si>
  <si>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</si>
  <si>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</si>
  <si>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</si>
  <si>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</si>
  <si>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</si>
  <si>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</si>
  <si>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</si>
  <si>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</si>
  <si>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</si>
  <si>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</si>
  <si>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</si>
  <si>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</si>
  <si>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</si>
  <si>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</si>
  <si>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</si>
  <si>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</si>
  <si>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</si>
  <si>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</si>
  <si>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</si>
  <si>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</si>
  <si>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</si>
  <si>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</si>
  <si>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</si>
  <si>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</si>
  <si>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</si>
  <si>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</si>
  <si>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</si>
  <si>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</si>
  <si>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</si>
  <si>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</si>
  <si>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</si>
  <si>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</si>
  <si>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</si>
  <si>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</si>
  <si>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</si>
  <si>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</si>
  <si>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</si>
  <si>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</si>
  <si>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</si>
  <si>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</si>
  <si>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</si>
  <si>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</si>
  <si>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</si>
  <si>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</si>
  <si>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</si>
  <si>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</si>
  <si>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</si>
  <si>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</si>
  <si>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</si>
  <si>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</si>
  <si>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</si>
  <si>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</si>
  <si>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</si>
  <si>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</si>
  <si>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</si>
  <si>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</si>
  <si>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</si>
  <si>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</si>
  <si>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</si>
  <si>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</si>
  <si>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</si>
  <si>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</si>
  <si>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</si>
  <si>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</si>
  <si>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</si>
  <si>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</si>
  <si>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</si>
  <si>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</si>
  <si>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</si>
  <si>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</si>
  <si>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</si>
  <si>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</si>
  <si>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</si>
  <si>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</si>
  <si>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</si>
  <si>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</si>
  <si>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</si>
  <si>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</si>
  <si>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</si>
  <si>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</si>
  <si>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</si>
  <si>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</si>
  <si>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</si>
  <si>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</si>
  <si>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</si>
  <si>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</si>
  <si>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</si>
  <si>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</si>
  <si>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</si>
  <si>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</si>
  <si>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</si>
  <si>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</si>
  <si>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</si>
  <si>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</si>
  <si>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</si>
  <si>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</si>
  <si>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</si>
  <si>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</si>
  <si>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</si>
  <si>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</si>
  <si>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</si>
  <si>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</si>
  <si>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</si>
  <si>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</si>
  <si>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</si>
  <si>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</si>
  <si>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</si>
  <si>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</si>
  <si>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</si>
  <si>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</si>
  <si>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</si>
  <si>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</si>
  <si>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</si>
  <si>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</si>
  <si>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</si>
  <si>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</si>
  <si>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</si>
  <si>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</si>
  <si>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</si>
  <si>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</si>
  <si>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</si>
  <si>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</si>
  <si>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</si>
  <si>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</si>
  <si>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</si>
  <si>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</si>
  <si>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</si>
  <si>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</si>
  <si>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</si>
  <si>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</si>
  <si>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</si>
  <si>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</si>
  <si>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</si>
  <si>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</si>
  <si>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</si>
  <si>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</si>
  <si>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</si>
  <si>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</si>
  <si>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</si>
  <si>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</si>
  <si>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</si>
  <si>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</si>
  <si>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</si>
  <si>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</si>
  <si>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</si>
  <si>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</si>
  <si>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</si>
  <si>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</si>
  <si>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</si>
  <si>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</si>
  <si>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</si>
  <si>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</si>
  <si>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</si>
  <si>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</si>
  <si>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</si>
  <si>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</si>
  <si>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</si>
  <si>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</si>
  <si>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</si>
  <si>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</si>
  <si>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</si>
  <si>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</si>
  <si>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</si>
  <si>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</si>
  <si>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</si>
  <si>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</si>
  <si>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</si>
  <si>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</si>
  <si>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</si>
  <si>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</si>
  <si>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</si>
  <si>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</si>
  <si>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</si>
  <si>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</si>
  <si>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</si>
  <si>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</si>
  <si>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</si>
  <si>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</si>
  <si>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INV001269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</si>
  <si>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</si>
  <si>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</si>
  <si>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</si>
  <si>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</si>
  <si>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</si>
  <si>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</si>
  <si>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</si>
  <si>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INV001277</t>
  </si>
  <si>
    <t>INV001278</t>
  </si>
  <si>
    <t>INV001279</t>
  </si>
  <si>
    <t>INV001280</t>
  </si>
  <si>
    <t>INV001281</t>
  </si>
  <si>
    <t>INV001282</t>
  </si>
  <si>
    <t>INV001283</t>
  </si>
  <si>
    <t>INV001284</t>
  </si>
  <si>
    <t>INV001285</t>
  </si>
  <si>
    <t>INV001286</t>
  </si>
  <si>
    <t>INV001287</t>
  </si>
  <si>
    <t>INV001288</t>
  </si>
  <si>
    <t>INV001289</t>
  </si>
  <si>
    <t>INV001290</t>
  </si>
  <si>
    <t>INV001291</t>
  </si>
  <si>
    <t>INV001292</t>
  </si>
  <si>
    <t>INV001293</t>
  </si>
  <si>
    <t>INV001294</t>
  </si>
  <si>
    <t>INV001296</t>
  </si>
  <si>
    <t>INV001297</t>
  </si>
  <si>
    <t>INV001298</t>
  </si>
  <si>
    <t>INV001299</t>
  </si>
  <si>
    <t>INV001300</t>
  </si>
  <si>
    <t>INV001301</t>
  </si>
  <si>
    <t>INV001302</t>
  </si>
  <si>
    <t>INV001303</t>
  </si>
  <si>
    <t>INV001304</t>
  </si>
  <si>
    <t>INV001305</t>
  </si>
  <si>
    <t>INV001306</t>
  </si>
  <si>
    <t>INV001307</t>
  </si>
  <si>
    <t>INV001308</t>
  </si>
  <si>
    <t>INV001309</t>
  </si>
  <si>
    <t>INV001310</t>
  </si>
  <si>
    <t>INV001311</t>
  </si>
  <si>
    <t>INV001312</t>
  </si>
  <si>
    <t>INV001313</t>
  </si>
  <si>
    <t>INV001314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</si>
  <si>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</si>
  <si>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</si>
  <si>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</si>
  <si>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</si>
  <si>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</si>
  <si>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</si>
  <si>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</si>
  <si>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</si>
  <si>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</si>
  <si>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</si>
  <si>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</si>
  <si>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</si>
  <si>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</si>
  <si>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</si>
  <si>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</si>
  <si>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INV001330</t>
  </si>
  <si>
    <t>INV001331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</si>
  <si>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</si>
  <si>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</si>
  <si>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</si>
  <si>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</si>
  <si>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</si>
  <si>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</si>
  <si>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</si>
  <si>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</si>
  <si>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</si>
  <si>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INV001341</t>
  </si>
  <si>
    <t>INV001342</t>
  </si>
  <si>
    <t>INV001343</t>
  </si>
  <si>
    <t>INV001344</t>
  </si>
  <si>
    <t>INV001345</t>
  </si>
  <si>
    <t>INV001346</t>
  </si>
  <si>
    <t>INV001347</t>
  </si>
  <si>
    <t>INV001348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</si>
  <si>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</si>
  <si>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</si>
  <si>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</si>
  <si>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</si>
  <si>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</si>
  <si>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</si>
  <si>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</si>
  <si>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</si>
  <si>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</si>
  <si>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</si>
  <si>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</si>
  <si>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</si>
  <si>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</si>
  <si>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INV001362</t>
  </si>
  <si>
    <t>INV001363</t>
  </si>
  <si>
    <t>INV001364</t>
  </si>
  <si>
    <t>INV001365</t>
  </si>
  <si>
    <t>INV001366</t>
  </si>
  <si>
    <t>INV001367</t>
  </si>
  <si>
    <t>INV001368</t>
  </si>
  <si>
    <t>INV001369</t>
  </si>
  <si>
    <t>INV001370</t>
  </si>
  <si>
    <t>INV001371</t>
  </si>
  <si>
    <t>INV001372</t>
  </si>
  <si>
    <t>INV001373</t>
  </si>
  <si>
    <t>INV001374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</si>
  <si>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</si>
  <si>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</si>
  <si>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</si>
  <si>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</si>
  <si>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</si>
  <si>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</si>
  <si>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</si>
  <si>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</si>
  <si>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INV001383</t>
  </si>
  <si>
    <t>INV001384</t>
  </si>
  <si>
    <t>INV001385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</si>
  <si>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</si>
  <si>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</si>
  <si>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</si>
  <si>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</si>
  <si>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</si>
  <si>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</si>
  <si>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</si>
  <si>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</si>
  <si>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</si>
  <si>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</si>
  <si>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</si>
  <si>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</si>
  <si>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</si>
  <si>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INV001399</t>
  </si>
  <si>
    <t>INV001400</t>
  </si>
  <si>
    <t>INV001401</t>
  </si>
  <si>
    <t>INV001402</t>
  </si>
  <si>
    <t>INV001403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</si>
  <si>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</si>
  <si>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</si>
  <si>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</si>
  <si>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</si>
  <si>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</si>
  <si>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</si>
  <si>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</si>
  <si>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</si>
  <si>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</si>
  <si>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</si>
  <si>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</si>
  <si>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</si>
  <si>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</si>
  <si>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</si>
  <si>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INV001418</t>
  </si>
  <si>
    <t>INV001419</t>
  </si>
  <si>
    <t>INV001420</t>
  </si>
  <si>
    <t>INV001421</t>
  </si>
  <si>
    <t>INV001422</t>
  </si>
  <si>
    <t>INV001423</t>
  </si>
  <si>
    <t>INV001424</t>
  </si>
  <si>
    <t>INV001425</t>
  </si>
  <si>
    <t>INV001426</t>
  </si>
  <si>
    <t>INV001427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</si>
  <si>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</si>
  <si>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</si>
  <si>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</si>
  <si>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</si>
  <si>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</si>
  <si>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</si>
  <si>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</si>
  <si>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</si>
  <si>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</si>
  <si>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</si>
  <si>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</si>
  <si>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INV001439</t>
  </si>
  <si>
    <t>INV001440</t>
  </si>
  <si>
    <t>INV001441</t>
  </si>
  <si>
    <t>INV001442</t>
  </si>
  <si>
    <t>INV001443</t>
  </si>
  <si>
    <t>INV001444</t>
  </si>
  <si>
    <t>INV001445</t>
  </si>
  <si>
    <t>INV001446</t>
  </si>
  <si>
    <t>INV001447</t>
  </si>
  <si>
    <t>INV001448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</si>
  <si>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</si>
  <si>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</si>
  <si>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</si>
  <si>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</si>
  <si>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</si>
  <si>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</si>
  <si>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</si>
  <si>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</si>
  <si>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INV001457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</si>
  <si>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</si>
  <si>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</si>
  <si>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</si>
  <si>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</si>
  <si>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</si>
  <si>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</si>
  <si>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</si>
  <si>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</si>
  <si>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</si>
  <si>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</si>
  <si>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</si>
  <si>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</si>
  <si>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</si>
  <si>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</si>
  <si>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</si>
  <si>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</si>
  <si>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</si>
  <si>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</si>
  <si>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INV001476</t>
  </si>
  <si>
    <t>INV001477</t>
  </si>
  <si>
    <t>INV001478</t>
  </si>
  <si>
    <t>INV001479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</si>
  <si>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</si>
  <si>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</si>
  <si>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</si>
  <si>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</si>
  <si>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</si>
  <si>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</si>
  <si>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</si>
  <si>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</si>
  <si>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</si>
  <si>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</si>
  <si>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</si>
  <si>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</si>
  <si>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</si>
  <si>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</si>
  <si>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</si>
  <si>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</si>
  <si>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</si>
  <si>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</si>
  <si>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</si>
  <si>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</si>
  <si>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</si>
  <si>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</si>
  <si>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</si>
  <si>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</si>
  <si>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</si>
  <si>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</si>
  <si>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</si>
  <si>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</si>
  <si>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</si>
  <si>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</si>
  <si>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</si>
  <si>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</si>
  <si>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</si>
  <si>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</si>
  <si>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</si>
  <si>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</si>
  <si>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</si>
  <si>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</si>
  <si>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</si>
  <si>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</si>
  <si>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</si>
  <si>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</si>
  <si>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INV001522</t>
  </si>
  <si>
    <t>INV001523</t>
  </si>
  <si>
    <t>INV001524</t>
  </si>
  <si>
    <t>INV001525</t>
  </si>
  <si>
    <t>INV001526</t>
  </si>
  <si>
    <t>INV001527</t>
  </si>
  <si>
    <t>INV001528</t>
  </si>
  <si>
    <t>INV001529</t>
  </si>
  <si>
    <t>INV001530</t>
  </si>
  <si>
    <t>INV001531</t>
  </si>
  <si>
    <t>INV001532</t>
  </si>
  <si>
    <t>INV001533</t>
  </si>
  <si>
    <t>INV001534</t>
  </si>
  <si>
    <t>INV001535</t>
  </si>
  <si>
    <t>INV001536</t>
  </si>
  <si>
    <t>INV001537</t>
  </si>
  <si>
    <t>INV001538</t>
  </si>
  <si>
    <t>INV001539</t>
  </si>
  <si>
    <t>INV001540</t>
  </si>
  <si>
    <t>INV001541</t>
  </si>
  <si>
    <t>INV001542</t>
  </si>
  <si>
    <t>INV001543</t>
  </si>
  <si>
    <t>INV001544</t>
  </si>
  <si>
    <t>INV001545</t>
  </si>
  <si>
    <t>INV001546</t>
  </si>
  <si>
    <t>INV001548</t>
  </si>
  <si>
    <t>INV001549</t>
  </si>
  <si>
    <t>INV001550</t>
  </si>
  <si>
    <t>INV001551</t>
  </si>
  <si>
    <t>INV001552</t>
  </si>
  <si>
    <t>INV001553</t>
  </si>
  <si>
    <t>INV001554</t>
  </si>
  <si>
    <t>INV001555</t>
  </si>
  <si>
    <t>INV001556</t>
  </si>
  <si>
    <t>INV001557</t>
  </si>
  <si>
    <t>INV001558</t>
  </si>
  <si>
    <t>INV001559</t>
  </si>
  <si>
    <t>INV001560</t>
  </si>
  <si>
    <t>INV001561</t>
  </si>
  <si>
    <t>INV001562</t>
  </si>
  <si>
    <t>INV001563</t>
  </si>
  <si>
    <t>INV001564</t>
  </si>
  <si>
    <t>INV001565</t>
  </si>
  <si>
    <t>INV001566</t>
  </si>
  <si>
    <t>INV001567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</si>
  <si>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</si>
  <si>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</si>
  <si>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</si>
  <si>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</si>
  <si>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</si>
  <si>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</si>
  <si>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</si>
  <si>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</si>
  <si>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</si>
  <si>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</si>
  <si>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INV001578</t>
  </si>
  <si>
    <t>INV001579</t>
  </si>
  <si>
    <t>INV001580</t>
  </si>
  <si>
    <t>INV001581</t>
  </si>
  <si>
    <t>INV001582</t>
  </si>
  <si>
    <t>INV001583</t>
  </si>
  <si>
    <t>INV001584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</si>
  <si>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</si>
  <si>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</si>
  <si>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</si>
  <si>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</si>
  <si>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</si>
  <si>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</si>
  <si>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</si>
  <si>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</si>
  <si>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INV001593</t>
  </si>
  <si>
    <t>INV001594</t>
  </si>
  <si>
    <t>INV001595</t>
  </si>
  <si>
    <t>INV001596</t>
  </si>
  <si>
    <t>INV001597</t>
  </si>
  <si>
    <t>INV001598</t>
  </si>
  <si>
    <t>INV001599</t>
  </si>
  <si>
    <t>INV001600</t>
  </si>
  <si>
    <t>INV001601</t>
  </si>
  <si>
    <t>INV001602</t>
  </si>
  <si>
    <t>INV001603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</si>
  <si>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</si>
  <si>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</si>
  <si>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</si>
  <si>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</si>
  <si>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</si>
  <si>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</si>
  <si>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</si>
  <si>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</si>
  <si>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</si>
  <si>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</si>
  <si>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</si>
  <si>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INV001615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</si>
  <si>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</si>
  <si>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</si>
  <si>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</si>
  <si>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</si>
  <si>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</si>
  <si>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</si>
  <si>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</si>
  <si>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</si>
  <si>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</si>
  <si>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</si>
  <si>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</si>
  <si>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</si>
  <si>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</si>
  <si>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</si>
  <si>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</si>
  <si>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</si>
  <si>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</si>
  <si>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INV001633</t>
  </si>
  <si>
    <t>INV001634</t>
  </si>
  <si>
    <t>INV001635</t>
  </si>
  <si>
    <t>INV001636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</si>
  <si>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</si>
  <si>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</si>
  <si>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</si>
  <si>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</si>
  <si>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</si>
  <si>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</si>
  <si>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</si>
  <si>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</si>
  <si>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</si>
  <si>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</si>
  <si>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</si>
  <si>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INV001648</t>
  </si>
  <si>
    <t>INV001649</t>
  </si>
  <si>
    <t>INV001650</t>
  </si>
  <si>
    <t>INV001651</t>
  </si>
  <si>
    <t>INV001652</t>
  </si>
  <si>
    <t>INV001653</t>
  </si>
  <si>
    <t>INV001654</t>
  </si>
  <si>
    <t>INV001655</t>
  </si>
  <si>
    <t>OPEN</t>
  </si>
  <si>
    <t>INV001656</t>
  </si>
  <si>
    <t>INV001657</t>
  </si>
  <si>
    <t>INV001658</t>
  </si>
  <si>
    <t>INV001659</t>
  </si>
  <si>
    <t>INV001660</t>
  </si>
  <si>
    <t>INV001661</t>
  </si>
  <si>
    <t>INV001662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</si>
  <si>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</si>
  <si>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</si>
  <si>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</si>
  <si>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</si>
  <si>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</si>
  <si>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</si>
  <si>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</si>
  <si>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</si>
  <si>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</si>
  <si>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</si>
  <si>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</si>
  <si>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</si>
  <si>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INV001675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</si>
  <si>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</si>
  <si>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</si>
  <si>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</si>
  <si>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</si>
  <si>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</si>
  <si>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</si>
  <si>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</si>
  <si>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</si>
  <si>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</si>
  <si>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</si>
  <si>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</si>
  <si>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</si>
  <si>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</si>
  <si>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</si>
  <si>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</si>
  <si>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</si>
  <si>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</si>
  <si>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</si>
  <si>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</si>
  <si>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</si>
  <si>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</si>
  <si>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</si>
  <si>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</si>
  <si>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</si>
  <si>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</si>
  <si>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</si>
  <si>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</si>
  <si>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</si>
  <si>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</si>
  <si>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</si>
  <si>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</si>
  <si>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</si>
  <si>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</si>
  <si>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</si>
  <si>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INV001710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</si>
  <si>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</si>
  <si>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</si>
  <si>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</si>
  <si>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</si>
  <si>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</si>
  <si>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</si>
  <si>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</si>
  <si>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</si>
  <si>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</si>
  <si>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</si>
  <si>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</si>
  <si>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</si>
  <si>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</si>
  <si>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INV001724</t>
  </si>
  <si>
    <t>INV001725</t>
  </si>
  <si>
    <t>INV001726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</si>
  <si>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</si>
  <si>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</si>
  <si>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</si>
  <si>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</si>
  <si>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</si>
  <si>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</si>
  <si>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</si>
  <si>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</si>
  <si>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</si>
  <si>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</si>
  <si>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</si>
  <si>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</si>
  <si>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</si>
  <si>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</si>
  <si>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</si>
  <si>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</si>
  <si>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INV001743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</si>
  <si>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</si>
  <si>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</si>
  <si>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</si>
  <si>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</si>
  <si>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</si>
  <si>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</si>
  <si>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</si>
  <si>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</si>
  <si>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</si>
  <si>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</si>
  <si>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</si>
  <si>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</si>
  <si>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</si>
  <si>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</si>
  <si>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</si>
  <si>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</si>
  <si>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</si>
  <si>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</si>
  <si>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</si>
  <si>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</si>
  <si>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</si>
  <si>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</si>
  <si>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</si>
  <si>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</si>
  <si>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</si>
  <si>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</si>
  <si>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</si>
  <si>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</si>
  <si>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</si>
  <si>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</si>
  <si>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</si>
  <si>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</si>
  <si>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INV001776</t>
  </si>
  <si>
    <t>INV001777</t>
  </si>
  <si>
    <t>INV001778</t>
  </si>
  <si>
    <t>INV001779</t>
  </si>
  <si>
    <t>INV001780</t>
  </si>
  <si>
    <t>INV001781</t>
  </si>
  <si>
    <t>INV001782</t>
  </si>
  <si>
    <t>INV001783</t>
  </si>
  <si>
    <t>INV001784</t>
  </si>
  <si>
    <t>INV001785</t>
  </si>
  <si>
    <t>INV001786</t>
  </si>
  <si>
    <t>INV001787</t>
  </si>
  <si>
    <t>INV001788</t>
  </si>
  <si>
    <t>INV001789</t>
  </si>
  <si>
    <t>INV001790</t>
  </si>
  <si>
    <t>INV001791</t>
  </si>
  <si>
    <t>INV001792</t>
  </si>
  <si>
    <t>INV001793</t>
  </si>
  <si>
    <t>INV001794</t>
  </si>
  <si>
    <t>INV001795</t>
  </si>
  <si>
    <t>INV001796</t>
  </si>
  <si>
    <t>INV001797</t>
  </si>
  <si>
    <t>INV001798</t>
  </si>
  <si>
    <t>INV001799</t>
  </si>
  <si>
    <t>INV001800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</si>
  <si>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</si>
  <si>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</si>
  <si>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</si>
  <si>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</si>
  <si>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</si>
  <si>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</si>
  <si>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</si>
  <si>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INV001808</t>
  </si>
  <si>
    <t>INV001809</t>
  </si>
  <si>
    <t>INV001810</t>
  </si>
  <si>
    <t>INV001811</t>
  </si>
  <si>
    <t>INV001812</t>
  </si>
  <si>
    <t>INV001813</t>
  </si>
  <si>
    <t>INV001814</t>
  </si>
  <si>
    <t>INV001815</t>
  </si>
  <si>
    <t>INV001816</t>
  </si>
  <si>
    <t>INV001817</t>
  </si>
  <si>
    <t>INV001818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</si>
  <si>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</si>
  <si>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</si>
  <si>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</si>
  <si>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</si>
  <si>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</si>
  <si>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</si>
  <si>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</si>
  <si>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</si>
  <si>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</si>
  <si>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</si>
  <si>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</si>
  <si>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</si>
  <si>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</si>
  <si>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</si>
  <si>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</si>
  <si>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</si>
  <si>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</si>
  <si>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</si>
  <si>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</si>
  <si>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</si>
  <si>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</si>
  <si>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</si>
  <si>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</si>
  <si>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</si>
  <si>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</si>
  <si>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</si>
  <si>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</si>
  <si>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</si>
  <si>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</si>
  <si>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</si>
  <si>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</si>
  <si>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</si>
  <si>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</si>
  <si>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</si>
  <si>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</si>
  <si>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</si>
  <si>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</si>
  <si>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</si>
  <si>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</si>
  <si>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</si>
  <si>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INV001859</t>
  </si>
  <si>
    <t>INV001860</t>
  </si>
  <si>
    <t>INV001861</t>
  </si>
  <si>
    <t>INV001862</t>
  </si>
  <si>
    <t>INV001863</t>
  </si>
  <si>
    <t>INV001864</t>
  </si>
  <si>
    <t>INV001865</t>
  </si>
  <si>
    <t>INV001866</t>
  </si>
  <si>
    <t>INV001867</t>
  </si>
  <si>
    <t>INV001868</t>
  </si>
  <si>
    <t>INV001869</t>
  </si>
  <si>
    <t>INV001870</t>
  </si>
  <si>
    <t>INV001871</t>
  </si>
  <si>
    <t>INV001872</t>
  </si>
  <si>
    <t>INV001873</t>
  </si>
  <si>
    <t>INV001874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</si>
  <si>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</si>
  <si>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</si>
  <si>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</si>
  <si>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</si>
  <si>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</si>
  <si>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</si>
  <si>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</si>
  <si>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</si>
  <si>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</si>
  <si>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</si>
  <si>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</si>
  <si>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</si>
  <si>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</si>
  <si>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</si>
  <si>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</si>
  <si>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</si>
  <si>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</si>
  <si>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</si>
  <si>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</si>
  <si>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INV001894</t>
  </si>
  <si>
    <t>INV001895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</si>
  <si>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</si>
  <si>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</si>
  <si>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</si>
  <si>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</si>
  <si>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</si>
  <si>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</si>
  <si>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</si>
  <si>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</si>
  <si>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</si>
  <si>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</si>
  <si>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</si>
  <si>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INV001907</t>
  </si>
  <si>
    <t>INV001908</t>
  </si>
  <si>
    <t>INV001909</t>
  </si>
  <si>
    <t>INV001910</t>
  </si>
  <si>
    <t>INV001911</t>
  </si>
  <si>
    <t>INV001912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</si>
  <si>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</si>
  <si>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</si>
  <si>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</si>
  <si>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</si>
  <si>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</si>
  <si>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</si>
  <si>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</si>
  <si>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</si>
  <si>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</si>
  <si>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</si>
  <si>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</si>
  <si>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</si>
  <si>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</si>
  <si>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</si>
  <si>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</si>
  <si>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</si>
  <si>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</si>
  <si>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</si>
  <si>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</si>
  <si>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</si>
  <si>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</si>
  <si>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</si>
  <si>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</si>
  <si>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</si>
  <si>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</si>
  <si>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</si>
  <si>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</si>
  <si>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</si>
  <si>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</si>
  <si>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</si>
  <si>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</si>
  <si>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</si>
  <si>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</si>
  <si>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</si>
  <si>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</si>
  <si>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</si>
  <si>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</si>
  <si>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</si>
  <si>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INV001951</t>
  </si>
  <si>
    <t>INV001952</t>
  </si>
  <si>
    <t>INV001953</t>
  </si>
  <si>
    <t>INV001954</t>
  </si>
  <si>
    <t>INV001955</t>
  </si>
  <si>
    <t>INV001956</t>
  </si>
  <si>
    <t>INV001957</t>
  </si>
  <si>
    <t>INV001958</t>
  </si>
  <si>
    <t>INV001959</t>
  </si>
  <si>
    <t>INV001960</t>
  </si>
  <si>
    <t>INV001961</t>
  </si>
  <si>
    <t>INV001962</t>
  </si>
  <si>
    <t>INV001963</t>
  </si>
  <si>
    <t>INV001964</t>
  </si>
  <si>
    <t>INV001965</t>
  </si>
  <si>
    <t>INV001966</t>
  </si>
  <si>
    <t>INV001967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</si>
  <si>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</si>
  <si>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</si>
  <si>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</si>
  <si>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</si>
  <si>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</si>
  <si>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</si>
  <si>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</si>
  <si>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</si>
  <si>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</si>
  <si>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</si>
  <si>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</si>
  <si>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</si>
  <si>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</si>
  <si>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</si>
  <si>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</si>
  <si>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</si>
  <si>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</si>
  <si>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</si>
  <si>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</si>
  <si>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</si>
  <si>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</si>
  <si>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</si>
  <si>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</si>
  <si>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</si>
  <si>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</si>
  <si>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</si>
  <si>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</si>
  <si>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</si>
  <si>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</si>
  <si>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</si>
  <si>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</si>
  <si>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</si>
  <si>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</si>
  <si>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INV002001</t>
  </si>
  <si>
    <t>INV002002</t>
  </si>
  <si>
    <t>INV002003</t>
  </si>
  <si>
    <t>INV002004</t>
  </si>
  <si>
    <t>INV002005</t>
  </si>
  <si>
    <t>INV002006</t>
  </si>
  <si>
    <t>INV002007</t>
  </si>
  <si>
    <t>INV002008</t>
  </si>
  <si>
    <t>INV002009</t>
  </si>
  <si>
    <t>INV002010</t>
  </si>
  <si>
    <t>INV002011</t>
  </si>
  <si>
    <t>INV002012</t>
  </si>
  <si>
    <t>INV002013</t>
  </si>
  <si>
    <t>INV002014</t>
  </si>
  <si>
    <t>INV002015</t>
  </si>
  <si>
    <t>INV002016</t>
  </si>
  <si>
    <t>INV002017</t>
  </si>
  <si>
    <t>INV002018</t>
  </si>
  <si>
    <t>INV002019</t>
  </si>
  <si>
    <t>INV002020</t>
  </si>
  <si>
    <t>INV002021</t>
  </si>
  <si>
    <t>INV002022</t>
  </si>
  <si>
    <t>INV002023</t>
  </si>
  <si>
    <t>INV002024</t>
  </si>
  <si>
    <t>INV002025</t>
  </si>
  <si>
    <t>INV002026</t>
  </si>
  <si>
    <t>INV002027</t>
  </si>
  <si>
    <t>INV002028</t>
  </si>
  <si>
    <t>INV002029</t>
  </si>
  <si>
    <t>INV002030</t>
  </si>
  <si>
    <t>INV002031</t>
  </si>
  <si>
    <t>INV002032</t>
  </si>
  <si>
    <t>INV002033</t>
  </si>
  <si>
    <t>INV002034</t>
  </si>
  <si>
    <t>INV002035</t>
  </si>
  <si>
    <t>INV002036</t>
  </si>
  <si>
    <t>INV002037</t>
  </si>
  <si>
    <t>INV002038</t>
  </si>
  <si>
    <t>INV002039</t>
  </si>
  <si>
    <t>INV002040</t>
  </si>
  <si>
    <t>INV002041</t>
  </si>
  <si>
    <t>INV002042</t>
  </si>
  <si>
    <t>INV002043</t>
  </si>
  <si>
    <t>INV002044</t>
  </si>
  <si>
    <t>INV002045</t>
  </si>
  <si>
    <t>INV002046</t>
  </si>
  <si>
    <t>INV002047</t>
  </si>
  <si>
    <t>INV002048</t>
  </si>
  <si>
    <t>INV002049</t>
  </si>
  <si>
    <t>INV002050</t>
  </si>
  <si>
    <t>INV002051</t>
  </si>
  <si>
    <t>INV002052</t>
  </si>
  <si>
    <t>INV002053</t>
  </si>
  <si>
    <t>INV002054</t>
  </si>
  <si>
    <t>INV002055</t>
  </si>
  <si>
    <t>INV002056</t>
  </si>
  <si>
    <t>INV002057</t>
  </si>
  <si>
    <t>INV002058</t>
  </si>
  <si>
    <t>INV002059</t>
  </si>
  <si>
    <t>INV002060</t>
  </si>
  <si>
    <t>INV002061</t>
  </si>
  <si>
    <t>INV002062</t>
  </si>
  <si>
    <t>INV002063</t>
  </si>
  <si>
    <t>INV002064</t>
  </si>
  <si>
    <t>INV002065</t>
  </si>
  <si>
    <t>INV002066</t>
  </si>
  <si>
    <t>INV002067</t>
  </si>
  <si>
    <t>INV002068</t>
  </si>
  <si>
    <t>INV002069</t>
  </si>
  <si>
    <t>INV002070</t>
  </si>
  <si>
    <t>INV002071</t>
  </si>
  <si>
    <t>INV002072</t>
  </si>
  <si>
    <t>INV002073</t>
  </si>
  <si>
    <t>INV002074</t>
  </si>
  <si>
    <t>INV002075</t>
  </si>
  <si>
    <t>INV002076</t>
  </si>
  <si>
    <t>INV002077</t>
  </si>
  <si>
    <t>INV002078</t>
  </si>
  <si>
    <t>INV002079</t>
  </si>
  <si>
    <t>INV002080</t>
  </si>
  <si>
    <t>INV002081</t>
  </si>
  <si>
    <t>INV002082</t>
  </si>
  <si>
    <t>INV002083</t>
  </si>
  <si>
    <t>INV002084</t>
  </si>
  <si>
    <t>INV002085</t>
  </si>
  <si>
    <t>INV002086</t>
  </si>
  <si>
    <t>INV002087</t>
  </si>
  <si>
    <t>INV002088</t>
  </si>
  <si>
    <t>INV002089</t>
  </si>
  <si>
    <t>INV002090</t>
  </si>
  <si>
    <t>INV002091</t>
  </si>
  <si>
    <t>INV002092</t>
  </si>
  <si>
    <t>INV002093</t>
  </si>
  <si>
    <t>INV002094</t>
  </si>
  <si>
    <t>INV002095</t>
  </si>
  <si>
    <t>INV002096</t>
  </si>
  <si>
    <t>INV002097</t>
  </si>
  <si>
    <t>INV002098</t>
  </si>
  <si>
    <t>INV002099</t>
  </si>
  <si>
    <t>INV002100</t>
  </si>
  <si>
    <t>INV002101</t>
  </si>
  <si>
    <t>INV002102</t>
  </si>
  <si>
    <t>INV002103</t>
  </si>
  <si>
    <t>INV002104</t>
  </si>
  <si>
    <t>INV002105</t>
  </si>
  <si>
    <t>INV002106</t>
  </si>
  <si>
    <t>INV002107</t>
  </si>
  <si>
    <t>INV002108</t>
  </si>
  <si>
    <t>INV002109</t>
  </si>
  <si>
    <t>INV002110</t>
  </si>
  <si>
    <t>INV002111</t>
  </si>
  <si>
    <t>INV002112</t>
  </si>
  <si>
    <t>INV002113</t>
  </si>
  <si>
    <t>INV002114</t>
  </si>
  <si>
    <t>INV002115</t>
  </si>
  <si>
    <t>INV002116</t>
  </si>
  <si>
    <t>INV002117</t>
  </si>
  <si>
    <t>INV002118</t>
  </si>
  <si>
    <t>INV002119</t>
  </si>
  <si>
    <t>INV002120</t>
  </si>
  <si>
    <t>INV002121</t>
  </si>
  <si>
    <t>INV002122</t>
  </si>
  <si>
    <t>INV002123</t>
  </si>
  <si>
    <t>INV002124</t>
  </si>
  <si>
    <t>INV002125</t>
  </si>
  <si>
    <t>INV002126</t>
  </si>
  <si>
    <t>INV002127</t>
  </si>
  <si>
    <t>INV002128</t>
  </si>
  <si>
    <t>INV002129</t>
  </si>
  <si>
    <t>INV002130</t>
  </si>
  <si>
    <t>INV002131</t>
  </si>
  <si>
    <t>INV002132</t>
  </si>
  <si>
    <t>INV002133</t>
  </si>
  <si>
    <t>INV002134</t>
  </si>
  <si>
    <t>INV002135</t>
  </si>
  <si>
    <t>INV002136</t>
  </si>
  <si>
    <t>INV002137</t>
  </si>
  <si>
    <t>INV002138</t>
  </si>
  <si>
    <t>INV002139</t>
  </si>
  <si>
    <t>INV002140</t>
  </si>
  <si>
    <t>INV002141</t>
  </si>
  <si>
    <t>INV002142</t>
  </si>
  <si>
    <t>INV002143</t>
  </si>
  <si>
    <t>INV002144</t>
  </si>
  <si>
    <t>INV002145</t>
  </si>
  <si>
    <t>INV002146</t>
  </si>
  <si>
    <t>INV002147</t>
  </si>
  <si>
    <t>INV002148</t>
  </si>
  <si>
    <t>INV002149</t>
  </si>
  <si>
    <t>INV002150</t>
  </si>
  <si>
    <t>INV002151</t>
  </si>
  <si>
    <t>INV002152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</si>
  <si>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</si>
  <si>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</si>
  <si>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</si>
  <si>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</si>
  <si>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</si>
  <si>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</si>
  <si>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</si>
  <si>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</si>
  <si>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INV002161</t>
  </si>
  <si>
    <t>INV002162</t>
  </si>
  <si>
    <t>INV002163</t>
  </si>
  <si>
    <t>INV002164</t>
  </si>
  <si>
    <t>INV002165</t>
  </si>
  <si>
    <t>INV002166</t>
  </si>
  <si>
    <t>INV002167</t>
  </si>
  <si>
    <t>INV002168</t>
  </si>
  <si>
    <t>INV002169</t>
  </si>
  <si>
    <t>INV002170</t>
  </si>
  <si>
    <t>INV002171</t>
  </si>
  <si>
    <t>INV002172</t>
  </si>
  <si>
    <t>INV002173</t>
  </si>
  <si>
    <t>INV002174</t>
  </si>
  <si>
    <t>INV002175</t>
  </si>
  <si>
    <t>INV002176</t>
  </si>
  <si>
    <t>INV002177</t>
  </si>
  <si>
    <t>INV002178</t>
  </si>
  <si>
    <t>INV002179</t>
  </si>
  <si>
    <t>INV002180</t>
  </si>
  <si>
    <t>INV002181</t>
  </si>
  <si>
    <t>INV002182</t>
  </si>
  <si>
    <t>INV002183</t>
  </si>
  <si>
    <t>INV002184</t>
  </si>
  <si>
    <t>INV002185</t>
  </si>
  <si>
    <t>INV002186</t>
  </si>
  <si>
    <t>INV002187</t>
  </si>
  <si>
    <t>INV002188</t>
  </si>
  <si>
    <t>INV002189</t>
  </si>
  <si>
    <t>INV002190</t>
  </si>
  <si>
    <t>INV002191</t>
  </si>
  <si>
    <t>INV002192</t>
  </si>
  <si>
    <t>INV002193</t>
  </si>
  <si>
    <t>INV002194</t>
  </si>
  <si>
    <t>INV002195</t>
  </si>
  <si>
    <t>INV002196</t>
  </si>
  <si>
    <t>INV002197</t>
  </si>
  <si>
    <t>INV002198</t>
  </si>
  <si>
    <t>INV002199</t>
  </si>
  <si>
    <t>INV002200</t>
  </si>
  <si>
    <t>INV002201</t>
  </si>
  <si>
    <t>INV002202</t>
  </si>
  <si>
    <t>INV002203</t>
  </si>
  <si>
    <t>INV002204</t>
  </si>
  <si>
    <t>INV002205</t>
  </si>
  <si>
    <t>INV002206</t>
  </si>
  <si>
    <t>INV002207</t>
  </si>
  <si>
    <t>INV002208</t>
  </si>
  <si>
    <t>INV002209</t>
  </si>
  <si>
    <t>INV002210</t>
  </si>
  <si>
    <t>INV002211</t>
  </si>
  <si>
    <t>INV002212</t>
  </si>
  <si>
    <t>INV002213</t>
  </si>
  <si>
    <t>INV002214</t>
  </si>
  <si>
    <t>INV002215</t>
  </si>
  <si>
    <t>INV002216</t>
  </si>
  <si>
    <t>INV002217</t>
  </si>
  <si>
    <t>INV002218</t>
  </si>
  <si>
    <t>INV002219</t>
  </si>
  <si>
    <t>INV002220</t>
  </si>
  <si>
    <t>INV002221</t>
  </si>
  <si>
    <t>INV002222</t>
  </si>
  <si>
    <t>INV002223</t>
  </si>
  <si>
    <t>INV002224</t>
  </si>
  <si>
    <t>INV002225</t>
  </si>
  <si>
    <t>INV002226</t>
  </si>
  <si>
    <t>INV002227</t>
  </si>
  <si>
    <t>INV002228</t>
  </si>
  <si>
    <t>INV002229</t>
  </si>
  <si>
    <t>INV002230</t>
  </si>
  <si>
    <t>INV002231</t>
  </si>
  <si>
    <t>INV002232</t>
  </si>
  <si>
    <t>INV002233</t>
  </si>
  <si>
    <t>INV002234</t>
  </si>
  <si>
    <t>INV002235</t>
  </si>
  <si>
    <t>INV002236</t>
  </si>
  <si>
    <t>INV002237</t>
  </si>
  <si>
    <t>INV002238</t>
  </si>
  <si>
    <t>INV002239</t>
  </si>
  <si>
    <t>INV002240</t>
  </si>
  <si>
    <t>INV002241</t>
  </si>
  <si>
    <t>INV002242</t>
  </si>
  <si>
    <t>INV002243</t>
  </si>
  <si>
    <t>INV002244</t>
  </si>
  <si>
    <t>INV002245</t>
  </si>
  <si>
    <t>INV002246</t>
  </si>
  <si>
    <t>INV002247</t>
  </si>
  <si>
    <t>INV002248</t>
  </si>
  <si>
    <t>INV002249</t>
  </si>
  <si>
    <t>INV002250</t>
  </si>
  <si>
    <t>INV002251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</si>
  <si>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</si>
  <si>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</si>
  <si>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</si>
  <si>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</si>
  <si>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</si>
  <si>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</si>
  <si>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</si>
  <si>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</si>
  <si>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INV002260</t>
  </si>
  <si>
    <t>INV002261</t>
  </si>
  <si>
    <t>INV002262</t>
  </si>
  <si>
    <t>INV002263</t>
  </si>
  <si>
    <t>INV002264</t>
  </si>
  <si>
    <t>INV002265</t>
  </si>
  <si>
    <t>INV002266</t>
  </si>
  <si>
    <t>INV002267</t>
  </si>
  <si>
    <t>INV002268</t>
  </si>
  <si>
    <t>INV002269</t>
  </si>
  <si>
    <t>INV002270</t>
  </si>
  <si>
    <t>INV002271</t>
  </si>
  <si>
    <t>INV002272</t>
  </si>
  <si>
    <t>INV002273</t>
  </si>
  <si>
    <t>INV002274</t>
  </si>
  <si>
    <t>INV002275</t>
  </si>
  <si>
    <t>INV002276</t>
  </si>
  <si>
    <t>INV002277</t>
  </si>
  <si>
    <t>INV002278</t>
  </si>
  <si>
    <t>INV002279</t>
  </si>
  <si>
    <t>INV002280</t>
  </si>
  <si>
    <t>INV002281</t>
  </si>
  <si>
    <t>INV002282</t>
  </si>
  <si>
    <t>INV002283</t>
  </si>
  <si>
    <t>INV002284</t>
  </si>
  <si>
    <t>INV002285</t>
  </si>
  <si>
    <t>INV002286</t>
  </si>
  <si>
    <t>INV002287</t>
  </si>
  <si>
    <t>INV002288</t>
  </si>
  <si>
    <t>INV002289</t>
  </si>
  <si>
    <t>INV002290</t>
  </si>
  <si>
    <t>INV002291</t>
  </si>
  <si>
    <t>INV002292</t>
  </si>
  <si>
    <t>INV002293</t>
  </si>
  <si>
    <t>INV002294</t>
  </si>
  <si>
    <t>INV002295</t>
  </si>
  <si>
    <t>INV002296</t>
  </si>
  <si>
    <t>INV002297</t>
  </si>
  <si>
    <t>INV002298</t>
  </si>
  <si>
    <t>INV002299</t>
  </si>
  <si>
    <t>INV002300</t>
  </si>
  <si>
    <t>INV002301</t>
  </si>
  <si>
    <t>INV002302</t>
  </si>
  <si>
    <t>INV002303</t>
  </si>
  <si>
    <t>INV002304</t>
  </si>
  <si>
    <t>INV002305</t>
  </si>
  <si>
    <t>INV002306</t>
  </si>
  <si>
    <t>INV002307</t>
  </si>
  <si>
    <t>INV002308</t>
  </si>
  <si>
    <t>INV002309</t>
  </si>
  <si>
    <t>INV002310</t>
  </si>
  <si>
    <t>INV002311</t>
  </si>
  <si>
    <t>INV002312</t>
  </si>
  <si>
    <t>INV002313</t>
  </si>
  <si>
    <t>INV002314</t>
  </si>
  <si>
    <t>INV002315</t>
  </si>
  <si>
    <t>INV002316</t>
  </si>
  <si>
    <t>INV002317</t>
  </si>
  <si>
    <t>INV002318</t>
  </si>
  <si>
    <t>INV002319</t>
  </si>
  <si>
    <t>INV002320</t>
  </si>
  <si>
    <t>INV002321</t>
  </si>
  <si>
    <t>INV002322</t>
  </si>
  <si>
    <t>INV002323</t>
  </si>
  <si>
    <t>INV002324</t>
  </si>
  <si>
    <t>INV002325</t>
  </si>
  <si>
    <t>INV002326</t>
  </si>
  <si>
    <t>INV002327</t>
  </si>
  <si>
    <t>INV002328</t>
  </si>
  <si>
    <t>INV002329</t>
  </si>
  <si>
    <t>INV002330</t>
  </si>
  <si>
    <t>INV002331</t>
  </si>
  <si>
    <t>INV002332</t>
  </si>
  <si>
    <t>INV002333</t>
  </si>
  <si>
    <t>INV002334</t>
  </si>
  <si>
    <t>INV002335</t>
  </si>
  <si>
    <t>INV002336</t>
  </si>
  <si>
    <t>INV002337</t>
  </si>
  <si>
    <t>INV002338</t>
  </si>
  <si>
    <t>INV002339</t>
  </si>
  <si>
    <t>INV002340</t>
  </si>
  <si>
    <t>INV002341</t>
  </si>
  <si>
    <t>INV002342</t>
  </si>
  <si>
    <t>INV002343</t>
  </si>
  <si>
    <t>INV002344</t>
  </si>
  <si>
    <t>INV002345</t>
  </si>
  <si>
    <t>INV002346</t>
  </si>
  <si>
    <t>INV002347</t>
  </si>
  <si>
    <t>INV002348</t>
  </si>
  <si>
    <t>INV002349</t>
  </si>
  <si>
    <t>INV002350</t>
  </si>
  <si>
    <t>INV002351</t>
  </si>
  <si>
    <t>INV002352</t>
  </si>
  <si>
    <t>INV002353</t>
  </si>
  <si>
    <t>INV002354</t>
  </si>
  <si>
    <t>INV002355</t>
  </si>
  <si>
    <t>INV002356</t>
  </si>
  <si>
    <t>INV002357</t>
  </si>
  <si>
    <t>INV002358</t>
  </si>
  <si>
    <t>INV002359</t>
  </si>
  <si>
    <t>INV002360</t>
  </si>
  <si>
    <t>INV002361</t>
  </si>
  <si>
    <t>INV002362</t>
  </si>
  <si>
    <t>INV002363</t>
  </si>
  <si>
    <t>INV002364</t>
  </si>
  <si>
    <t>INV002365</t>
  </si>
  <si>
    <t>INV002366</t>
  </si>
  <si>
    <t>INV002367</t>
  </si>
  <si>
    <t>INV002368</t>
  </si>
  <si>
    <t>INV002369</t>
  </si>
  <si>
    <t>INV002370</t>
  </si>
  <si>
    <t>INV002371</t>
  </si>
  <si>
    <t>INV002372</t>
  </si>
  <si>
    <t>INV002373</t>
  </si>
  <si>
    <t>INV002374</t>
  </si>
  <si>
    <t>INV002375</t>
  </si>
  <si>
    <t>INV002376</t>
  </si>
  <si>
    <t>INV002377</t>
  </si>
  <si>
    <t>INV002378</t>
  </si>
  <si>
    <t>INV002379</t>
  </si>
  <si>
    <t>INV002380</t>
  </si>
  <si>
    <t>INV002381</t>
  </si>
  <si>
    <t>INV002382</t>
  </si>
  <si>
    <t>INV002383</t>
  </si>
  <si>
    <t>INV002384</t>
  </si>
  <si>
    <t>INV002385</t>
  </si>
  <si>
    <t>INV002386</t>
  </si>
  <si>
    <t>INV002387</t>
  </si>
  <si>
    <t>INV002388</t>
  </si>
  <si>
    <t>INV002389</t>
  </si>
  <si>
    <t>INV002390</t>
  </si>
  <si>
    <t>INV002391</t>
  </si>
  <si>
    <t>INV002392</t>
  </si>
  <si>
    <t>INV002393</t>
  </si>
  <si>
    <t>INV002394</t>
  </si>
  <si>
    <t>INV002395</t>
  </si>
  <si>
    <t>INV002396</t>
  </si>
  <si>
    <t>INV002397</t>
  </si>
  <si>
    <t>INV002398</t>
  </si>
  <si>
    <t>INV002399</t>
  </si>
  <si>
    <t>INV002400</t>
  </si>
  <si>
    <t>INV002401</t>
  </si>
  <si>
    <t>INV002402</t>
  </si>
  <si>
    <t>INV002403</t>
  </si>
  <si>
    <t>INV002404</t>
  </si>
  <si>
    <t>INV002405</t>
  </si>
  <si>
    <t>INV002406</t>
  </si>
  <si>
    <t>INV002407</t>
  </si>
  <si>
    <t>INV002408</t>
  </si>
  <si>
    <t>INV002409</t>
  </si>
  <si>
    <t>INV002410</t>
  </si>
  <si>
    <t>INV002411</t>
  </si>
  <si>
    <t>INV002412</t>
  </si>
  <si>
    <t>INV002413</t>
  </si>
  <si>
    <t>INV002414</t>
  </si>
  <si>
    <t>INV002415</t>
  </si>
  <si>
    <t>INV002416</t>
  </si>
  <si>
    <t>INV002417</t>
  </si>
  <si>
    <t>INV002418</t>
  </si>
  <si>
    <t>INV002419</t>
  </si>
  <si>
    <t>INV002420</t>
  </si>
  <si>
    <t>INV002421</t>
  </si>
  <si>
    <t>INV002422</t>
  </si>
  <si>
    <t>INV002423</t>
  </si>
  <si>
    <t>INV002424</t>
  </si>
  <si>
    <t>INV002425</t>
  </si>
  <si>
    <t>INV002426</t>
  </si>
  <si>
    <t>INV002427</t>
  </si>
  <si>
    <t>INV002428</t>
  </si>
  <si>
    <t>INV002429</t>
  </si>
  <si>
    <t>INV002430</t>
  </si>
  <si>
    <t>INV002431</t>
  </si>
  <si>
    <t>INV002432</t>
  </si>
  <si>
    <t>INV002433</t>
  </si>
  <si>
    <t>INV002434</t>
  </si>
  <si>
    <t>INV002435</t>
  </si>
  <si>
    <t>INV002436</t>
  </si>
  <si>
    <t>INV002437</t>
  </si>
  <si>
    <t>INV002438</t>
  </si>
  <si>
    <t>INV002439</t>
  </si>
  <si>
    <t>INV002440</t>
  </si>
  <si>
    <t>INV002441</t>
  </si>
  <si>
    <t>INV002442</t>
  </si>
  <si>
    <t>INV002443</t>
  </si>
  <si>
    <t>INV002444</t>
  </si>
  <si>
    <t>INV002445</t>
  </si>
  <si>
    <t>INV002446</t>
  </si>
  <si>
    <t>INV002447</t>
  </si>
  <si>
    <t>INV002448</t>
  </si>
  <si>
    <t>INV002449</t>
  </si>
  <si>
    <t>INV002450</t>
  </si>
  <si>
    <t>INV002451</t>
  </si>
  <si>
    <t>INV002452</t>
  </si>
  <si>
    <t>INV002453</t>
  </si>
  <si>
    <t>INV002454</t>
  </si>
  <si>
    <t>INV002455</t>
  </si>
  <si>
    <t>INV002456</t>
  </si>
  <si>
    <t>INV002457</t>
  </si>
  <si>
    <t>INV002458</t>
  </si>
  <si>
    <t>INV002459</t>
  </si>
  <si>
    <t>INV002460</t>
  </si>
  <si>
    <t>INV002461</t>
  </si>
  <si>
    <t>INV002462</t>
  </si>
  <si>
    <t>INV002463</t>
  </si>
  <si>
    <t>INV002464</t>
  </si>
  <si>
    <t>INV002465</t>
  </si>
  <si>
    <t>INV002466</t>
  </si>
  <si>
    <t>INV002467</t>
  </si>
  <si>
    <t>INV002468</t>
  </si>
  <si>
    <t>INV002469</t>
  </si>
  <si>
    <t>INV002470</t>
  </si>
  <si>
    <t>INV002471</t>
  </si>
  <si>
    <t>INV002472</t>
  </si>
  <si>
    <t>INV002473</t>
  </si>
  <si>
    <t>INV002474</t>
  </si>
  <si>
    <t>INV002475</t>
  </si>
  <si>
    <t>INV002476</t>
  </si>
  <si>
    <t>INV002477</t>
  </si>
  <si>
    <t>INV002478</t>
  </si>
  <si>
    <t>INV002479</t>
  </si>
  <si>
    <t>INV002480</t>
  </si>
  <si>
    <t>INV002481</t>
  </si>
  <si>
    <t>INV002482</t>
  </si>
  <si>
    <t>INV002483</t>
  </si>
  <si>
    <t>INV002484</t>
  </si>
  <si>
    <t>INV002485</t>
  </si>
  <si>
    <t>INV002486</t>
  </si>
  <si>
    <t>INV002487</t>
  </si>
  <si>
    <t>INV002488</t>
  </si>
  <si>
    <t>INV002489</t>
  </si>
  <si>
    <t>INV002490</t>
  </si>
  <si>
    <t>INV002491</t>
  </si>
  <si>
    <t>INV002492</t>
  </si>
  <si>
    <t>INV002493</t>
  </si>
  <si>
    <t>INV002494</t>
  </si>
  <si>
    <t>INV002495</t>
  </si>
  <si>
    <t>INV002496</t>
  </si>
  <si>
    <t>INV002497</t>
  </si>
  <si>
    <t>INV002498</t>
  </si>
  <si>
    <t>INV002499</t>
  </si>
  <si>
    <t>INV002500</t>
  </si>
  <si>
    <t>INV002501</t>
  </si>
  <si>
    <t>INV002502</t>
  </si>
  <si>
    <t>INV002503</t>
  </si>
  <si>
    <t>INV002504</t>
  </si>
  <si>
    <t>INV002505</t>
  </si>
  <si>
    <t>INV002506</t>
  </si>
  <si>
    <t>INV002507</t>
  </si>
  <si>
    <t>INV002508</t>
  </si>
  <si>
    <t>INV002509</t>
  </si>
  <si>
    <t>INV002510</t>
  </si>
  <si>
    <t>INV002511</t>
  </si>
  <si>
    <t>INV002512</t>
  </si>
  <si>
    <t>INV002513</t>
  </si>
  <si>
    <t>INV002514</t>
  </si>
  <si>
    <t>INV002515</t>
  </si>
  <si>
    <t>INV002516</t>
  </si>
  <si>
    <t>INV002517</t>
  </si>
  <si>
    <t>INV002518</t>
  </si>
  <si>
    <t>INV002519</t>
  </si>
  <si>
    <t>INV002520</t>
  </si>
  <si>
    <t>INV002521</t>
  </si>
  <si>
    <t>INV002522</t>
  </si>
  <si>
    <t>INV002523</t>
  </si>
  <si>
    <t>INV002524</t>
  </si>
  <si>
    <t>INV002525</t>
  </si>
  <si>
    <t>INV002526</t>
  </si>
  <si>
    <t>INV002527</t>
  </si>
  <si>
    <t>INV002528</t>
  </si>
  <si>
    <t>INV002529</t>
  </si>
  <si>
    <t>INV002530</t>
  </si>
  <si>
    <t>INV002531</t>
  </si>
  <si>
    <t>INV002532</t>
  </si>
  <si>
    <t>INV002533</t>
  </si>
  <si>
    <t>INV002534</t>
  </si>
  <si>
    <t>INV002535</t>
  </si>
  <si>
    <t>INV002536</t>
  </si>
  <si>
    <t>INV002537</t>
  </si>
  <si>
    <t>INV002538</t>
  </si>
  <si>
    <t>INV002539</t>
  </si>
  <si>
    <t>INV002540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</si>
  <si>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</si>
  <si>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</si>
  <si>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</si>
  <si>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</si>
  <si>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</si>
  <si>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</si>
  <si>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</si>
  <si>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</si>
  <si>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</si>
  <si>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INV002550</t>
  </si>
  <si>
    <t>INV002551</t>
  </si>
  <si>
    <t>INV002552</t>
  </si>
  <si>
    <t>INV002553</t>
  </si>
  <si>
    <t>INV002554</t>
  </si>
  <si>
    <t>INV002555</t>
  </si>
  <si>
    <t>INV002556</t>
  </si>
  <si>
    <t>INV002557</t>
  </si>
  <si>
    <t>INV002558</t>
  </si>
  <si>
    <t>INV002559</t>
  </si>
  <si>
    <t>INV002560</t>
  </si>
  <si>
    <t>INV002561</t>
  </si>
  <si>
    <t>INV002562</t>
  </si>
  <si>
    <t>INV002563</t>
  </si>
  <si>
    <t>INV002564</t>
  </si>
  <si>
    <t>INV002565</t>
  </si>
  <si>
    <t>INV002566</t>
  </si>
  <si>
    <t>INV002567</t>
  </si>
  <si>
    <t>INV002568</t>
  </si>
  <si>
    <t>INV002569</t>
  </si>
  <si>
    <t>INV002570</t>
  </si>
  <si>
    <t>INV002571</t>
  </si>
  <si>
    <t>INV002572</t>
  </si>
  <si>
    <t>INV002573</t>
  </si>
  <si>
    <t>INV002574</t>
  </si>
  <si>
    <t>INV002575</t>
  </si>
  <si>
    <t>INV002576</t>
  </si>
  <si>
    <t>INV002577</t>
  </si>
  <si>
    <t>INV002578</t>
  </si>
  <si>
    <t>INV002579</t>
  </si>
  <si>
    <t>INV002580</t>
  </si>
  <si>
    <t>INV002581</t>
  </si>
  <si>
    <t>INV002582</t>
  </si>
  <si>
    <t>INV002583</t>
  </si>
  <si>
    <t>INV002584</t>
  </si>
  <si>
    <t>INV002585</t>
  </si>
  <si>
    <t>INV002586</t>
  </si>
  <si>
    <t>INV002587</t>
  </si>
  <si>
    <t>INV002588</t>
  </si>
  <si>
    <t>INV002589</t>
  </si>
  <si>
    <t>INV002590</t>
  </si>
  <si>
    <t>INV002591</t>
  </si>
  <si>
    <t>INV002592</t>
  </si>
  <si>
    <t>INV002593</t>
  </si>
  <si>
    <t>INV002594</t>
  </si>
  <si>
    <t>INV002595</t>
  </si>
  <si>
    <t>INV002596</t>
  </si>
  <si>
    <t>INV002597</t>
  </si>
  <si>
    <t>INV002598</t>
  </si>
  <si>
    <t>INV002599</t>
  </si>
  <si>
    <t>INV002600</t>
  </si>
  <si>
    <t>INV002601</t>
  </si>
  <si>
    <t>INV002602</t>
  </si>
  <si>
    <t>INV002603</t>
  </si>
  <si>
    <t>INV002604</t>
  </si>
  <si>
    <t>INV002605</t>
  </si>
  <si>
    <t>INV002606</t>
  </si>
  <si>
    <t>INV002607</t>
  </si>
  <si>
    <t>INV002608</t>
  </si>
  <si>
    <t>INV002609</t>
  </si>
  <si>
    <t>INV002610</t>
  </si>
  <si>
    <t>INV002611</t>
  </si>
  <si>
    <t>INV002612</t>
  </si>
  <si>
    <t>INV002613</t>
  </si>
  <si>
    <t>INV002614</t>
  </si>
  <si>
    <t>INV002615</t>
  </si>
  <si>
    <t>INV002616</t>
  </si>
  <si>
    <t>INV002617</t>
  </si>
  <si>
    <t>INV002618</t>
  </si>
  <si>
    <t>INV002619</t>
  </si>
  <si>
    <t>INV002620</t>
  </si>
  <si>
    <t>INV002621</t>
  </si>
  <si>
    <t>INV002622</t>
  </si>
  <si>
    <t>INV002623</t>
  </si>
  <si>
    <t>INV002624</t>
  </si>
  <si>
    <t>INV002625</t>
  </si>
  <si>
    <t>INV002626</t>
  </si>
  <si>
    <t>INV002627</t>
  </si>
  <si>
    <t>INV002628</t>
  </si>
  <si>
    <t>INV002629</t>
  </si>
  <si>
    <t>INV002630</t>
  </si>
  <si>
    <t>INV002631</t>
  </si>
  <si>
    <t>INV002632</t>
  </si>
  <si>
    <t>INV002633</t>
  </si>
  <si>
    <t>INV002634</t>
  </si>
  <si>
    <t>INV002635</t>
  </si>
  <si>
    <t>INV002636</t>
  </si>
  <si>
    <t>INV002637</t>
  </si>
  <si>
    <t>INV002638</t>
  </si>
  <si>
    <t>INV002639</t>
  </si>
  <si>
    <t>INV002640</t>
  </si>
  <si>
    <t>INV002641</t>
  </si>
  <si>
    <t>INV002642</t>
  </si>
  <si>
    <t>INV002643</t>
  </si>
  <si>
    <t>INV002644</t>
  </si>
  <si>
    <t>INV002645</t>
  </si>
  <si>
    <t>INV002646</t>
  </si>
  <si>
    <t>INV002647</t>
  </si>
  <si>
    <t>INV002648</t>
  </si>
  <si>
    <t>INV002649</t>
  </si>
  <si>
    <t>INV002650</t>
  </si>
  <si>
    <t>INV002651</t>
  </si>
  <si>
    <t>INV002652</t>
  </si>
  <si>
    <t>INV002653</t>
  </si>
  <si>
    <t>INV002654</t>
  </si>
  <si>
    <t>INV002655</t>
  </si>
  <si>
    <t>INV002656</t>
  </si>
  <si>
    <t>INV002657</t>
  </si>
  <si>
    <t>INV002658</t>
  </si>
  <si>
    <t>INV002659</t>
  </si>
  <si>
    <t>INV002660</t>
  </si>
  <si>
    <t>INV002661</t>
  </si>
  <si>
    <t>INV002662</t>
  </si>
  <si>
    <t>INV002663</t>
  </si>
  <si>
    <t>INV002664</t>
  </si>
  <si>
    <t>INV002665</t>
  </si>
  <si>
    <t>INV002666</t>
  </si>
  <si>
    <t>INV002667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</si>
  <si>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</si>
  <si>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</si>
  <si>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</si>
  <si>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</si>
  <si>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</si>
  <si>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</si>
  <si>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</si>
  <si>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</si>
  <si>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</si>
  <si>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INV002677</t>
  </si>
  <si>
    <t>INV002678</t>
  </si>
  <si>
    <t>INV002679</t>
  </si>
  <si>
    <t>INV002680</t>
  </si>
  <si>
    <t>INV002681</t>
  </si>
  <si>
    <t>INV002682</t>
  </si>
  <si>
    <t>INV002683</t>
  </si>
  <si>
    <t>INV002684</t>
  </si>
  <si>
    <t>INV002685</t>
  </si>
  <si>
    <t>INV002686</t>
  </si>
  <si>
    <t>INV002687</t>
  </si>
  <si>
    <t>INV002688</t>
  </si>
  <si>
    <t>INV002689</t>
  </si>
  <si>
    <t>INV002690</t>
  </si>
  <si>
    <t>INV002691</t>
  </si>
  <si>
    <t>INV002692</t>
  </si>
  <si>
    <t>INV002693</t>
  </si>
  <si>
    <t>INV002694</t>
  </si>
  <si>
    <t>INV002695</t>
  </si>
  <si>
    <t>INV002696</t>
  </si>
  <si>
    <t>INV002697</t>
  </si>
  <si>
    <t>INV002698</t>
  </si>
  <si>
    <t>INV002699</t>
  </si>
  <si>
    <t>INV002700</t>
  </si>
  <si>
    <t>purchase_id</t>
  </si>
  <si>
    <t>purchase_date</t>
  </si>
  <si>
    <t>quantity</t>
  </si>
  <si>
    <t>unit</t>
  </si>
  <si>
    <t>total_amount</t>
  </si>
  <si>
    <t>hedge_price</t>
  </si>
  <si>
    <t>material</t>
  </si>
  <si>
    <t>unit_price</t>
  </si>
  <si>
    <t>payment_date</t>
  </si>
  <si>
    <t>PUR00001</t>
  </si>
  <si>
    <t>bbl-eq</t>
  </si>
  <si>
    <t>Crude-linked feedstock</t>
  </si>
  <si>
    <t>PUR00002</t>
  </si>
  <si>
    <t>PUR00003</t>
  </si>
  <si>
    <t>PUR00004</t>
  </si>
  <si>
    <t>PUR00005</t>
  </si>
  <si>
    <t>PUR00006</t>
  </si>
  <si>
    <t>PUR00007</t>
  </si>
  <si>
    <t>kg</t>
  </si>
  <si>
    <t>Additives &amp; packaging</t>
  </si>
  <si>
    <t>PUR00008</t>
  </si>
  <si>
    <t>PUR00009</t>
  </si>
  <si>
    <t>PUR00010</t>
  </si>
  <si>
    <t>PUR00011</t>
  </si>
  <si>
    <t>PUR00012</t>
  </si>
  <si>
    <t>PUR00013</t>
  </si>
  <si>
    <t>PUR00014</t>
  </si>
  <si>
    <t>PUR00015</t>
  </si>
  <si>
    <t>PUR00016</t>
  </si>
  <si>
    <t>PUR00017</t>
  </si>
  <si>
    <t>PUR00018</t>
  </si>
  <si>
    <t>PUR00019</t>
  </si>
  <si>
    <t>PUR00020</t>
  </si>
  <si>
    <t>PUR00021</t>
  </si>
  <si>
    <t>PUR00022</t>
  </si>
  <si>
    <t>PUR00023</t>
  </si>
  <si>
    <t>PUR00024</t>
  </si>
  <si>
    <t>PUR00025</t>
  </si>
  <si>
    <t>PUR00026</t>
  </si>
  <si>
    <t>PUR00027</t>
  </si>
  <si>
    <t>PUR00028</t>
  </si>
  <si>
    <t>PUR00029</t>
  </si>
  <si>
    <t>PUR00030</t>
  </si>
  <si>
    <t>PUR00031</t>
  </si>
  <si>
    <t>PUR00032</t>
  </si>
  <si>
    <t>PUR00033</t>
  </si>
  <si>
    <t>PUR00034</t>
  </si>
  <si>
    <t>PUR00035</t>
  </si>
  <si>
    <t>PUR00036</t>
  </si>
  <si>
    <t>PUR00037</t>
  </si>
  <si>
    <t>PUR00038</t>
  </si>
  <si>
    <t>PUR00039</t>
  </si>
  <si>
    <t>PUR00040</t>
  </si>
  <si>
    <t>PUR00041</t>
  </si>
  <si>
    <t>PUR00042</t>
  </si>
  <si>
    <t>PUR00043</t>
  </si>
  <si>
    <t>PUR00044</t>
  </si>
  <si>
    <t>PUR00045</t>
  </si>
  <si>
    <t>PUR00046</t>
  </si>
  <si>
    <t>PUR00047</t>
  </si>
  <si>
    <t>PUR00048</t>
  </si>
  <si>
    <t>PUR00049</t>
  </si>
  <si>
    <t>PUR00050</t>
  </si>
  <si>
    <t>PUR00051</t>
  </si>
  <si>
    <t>PUR00052</t>
  </si>
  <si>
    <t>PUR00053</t>
  </si>
  <si>
    <t>PUR00054</t>
  </si>
  <si>
    <t>PUR00055</t>
  </si>
  <si>
    <t>PUR00056</t>
  </si>
  <si>
    <t>PUR00057</t>
  </si>
  <si>
    <t>PUR00058</t>
  </si>
  <si>
    <t>PUR00059</t>
  </si>
  <si>
    <t>PUR00060</t>
  </si>
  <si>
    <t>PUR00061</t>
  </si>
  <si>
    <t>PUR00062</t>
  </si>
  <si>
    <t>PUR00063</t>
  </si>
  <si>
    <t>PUR00064</t>
  </si>
  <si>
    <t>PUR00065</t>
  </si>
  <si>
    <t>PUR00066</t>
  </si>
  <si>
    <t>PUR00067</t>
  </si>
  <si>
    <t>PUR00068</t>
  </si>
  <si>
    <t>PUR00069</t>
  </si>
  <si>
    <t>PUR00070</t>
  </si>
  <si>
    <t>PUR00071</t>
  </si>
  <si>
    <t>PUR00072</t>
  </si>
  <si>
    <t>PUR00073</t>
  </si>
  <si>
    <t>PUR00074</t>
  </si>
  <si>
    <t>PUR00075</t>
  </si>
  <si>
    <t>PUR00076</t>
  </si>
  <si>
    <t>PUR00077</t>
  </si>
  <si>
    <t>PUR00078</t>
  </si>
  <si>
    <t>PUR00079</t>
  </si>
  <si>
    <t>PUR00080</t>
  </si>
  <si>
    <t>PUR00081</t>
  </si>
  <si>
    <t>PUR00082</t>
  </si>
  <si>
    <t>PUR00083</t>
  </si>
  <si>
    <t>PUR00084</t>
  </si>
  <si>
    <t>PUR00085</t>
  </si>
  <si>
    <t>PUR00086</t>
  </si>
  <si>
    <t>PUR00087</t>
  </si>
  <si>
    <t>PUR00088</t>
  </si>
  <si>
    <t>PUR00089</t>
  </si>
  <si>
    <t>PUR00090</t>
  </si>
  <si>
    <t>PUR00091</t>
  </si>
  <si>
    <t>PUR00092</t>
  </si>
  <si>
    <t>PUR00093</t>
  </si>
  <si>
    <t>PUR00094</t>
  </si>
  <si>
    <t>PUR00095</t>
  </si>
  <si>
    <t>PUR00096</t>
  </si>
  <si>
    <t>PUR00097</t>
  </si>
  <si>
    <t>PUR00098</t>
  </si>
  <si>
    <t>PUR00099</t>
  </si>
  <si>
    <t>PUR00100</t>
  </si>
  <si>
    <t>PUR00101</t>
  </si>
  <si>
    <t>PUR00102</t>
  </si>
  <si>
    <t>PUR00103</t>
  </si>
  <si>
    <t>PUR00104</t>
  </si>
  <si>
    <t>PUR00105</t>
  </si>
  <si>
    <t>PUR00106</t>
  </si>
  <si>
    <t>PUR00107</t>
  </si>
  <si>
    <t>PUR00108</t>
  </si>
  <si>
    <t>PUR00109</t>
  </si>
  <si>
    <t>PUR00110</t>
  </si>
  <si>
    <t>PUR00111</t>
  </si>
  <si>
    <t>PUR00112</t>
  </si>
  <si>
    <t>PUR00113</t>
  </si>
  <si>
    <t>PUR00114</t>
  </si>
  <si>
    <t>PUR00115</t>
  </si>
  <si>
    <t>PUR00116</t>
  </si>
  <si>
    <t>PUR00117</t>
  </si>
  <si>
    <t>PUR00118</t>
  </si>
  <si>
    <t>PUR00119</t>
  </si>
  <si>
    <t>PUR00120</t>
  </si>
  <si>
    <t>PUR00121</t>
  </si>
  <si>
    <t>PUR00122</t>
  </si>
  <si>
    <t>PUR00123</t>
  </si>
  <si>
    <t>PUR00124</t>
  </si>
  <si>
    <t>PUR00125</t>
  </si>
  <si>
    <t>PUR00126</t>
  </si>
  <si>
    <t>PUR00127</t>
  </si>
  <si>
    <t>PUR00128</t>
  </si>
  <si>
    <t>PUR00129</t>
  </si>
  <si>
    <t>PUR00130</t>
  </si>
  <si>
    <t>PUR00131</t>
  </si>
  <si>
    <t>PUR00132</t>
  </si>
  <si>
    <t>PUR00133</t>
  </si>
  <si>
    <t>PUR00134</t>
  </si>
  <si>
    <t>PUR00135</t>
  </si>
  <si>
    <t>PUR00136</t>
  </si>
  <si>
    <t>PUR00137</t>
  </si>
  <si>
    <t>PUR00138</t>
  </si>
  <si>
    <t>PUR00139</t>
  </si>
  <si>
    <t>PUR00140</t>
  </si>
  <si>
    <t>PUR00141</t>
  </si>
  <si>
    <t>PUR00142</t>
  </si>
  <si>
    <t>PUR00143</t>
  </si>
  <si>
    <t>PUR00144</t>
  </si>
  <si>
    <t>PUR00145</t>
  </si>
  <si>
    <t>PUR00146</t>
  </si>
  <si>
    <t>PUR00147</t>
  </si>
  <si>
    <t>PUR00148</t>
  </si>
  <si>
    <t>PUR00149</t>
  </si>
  <si>
    <t>PUR00150</t>
  </si>
  <si>
    <t>PUR00151</t>
  </si>
  <si>
    <t>PUR00152</t>
  </si>
  <si>
    <t>PUR00153</t>
  </si>
  <si>
    <t>PUR00154</t>
  </si>
  <si>
    <t>PUR00155</t>
  </si>
  <si>
    <t>PUR00156</t>
  </si>
  <si>
    <t>PUR00157</t>
  </si>
  <si>
    <t>PUR00158</t>
  </si>
  <si>
    <t>PUR00159</t>
  </si>
  <si>
    <t>PUR00160</t>
  </si>
  <si>
    <t>PUR00161</t>
  </si>
  <si>
    <t>PUR00162</t>
  </si>
  <si>
    <t>PUR00163</t>
  </si>
  <si>
    <t>PUR00164</t>
  </si>
  <si>
    <t>PUR00165</t>
  </si>
  <si>
    <t>PUR00166</t>
  </si>
  <si>
    <t>PUR00167</t>
  </si>
  <si>
    <t>PUR00168</t>
  </si>
  <si>
    <t>PUR00169</t>
  </si>
  <si>
    <t>PUR00170</t>
  </si>
  <si>
    <t>PUR00171</t>
  </si>
  <si>
    <t>PUR00172</t>
  </si>
  <si>
    <t>PUR00173</t>
  </si>
  <si>
    <t>PUR00174</t>
  </si>
  <si>
    <t>PUR00175</t>
  </si>
  <si>
    <t>PUR00176</t>
  </si>
  <si>
    <t>PUR00177</t>
  </si>
  <si>
    <t>PUR00178</t>
  </si>
  <si>
    <t>PUR00179</t>
  </si>
  <si>
    <t>PUR00180</t>
  </si>
  <si>
    <t>PUR00181</t>
  </si>
  <si>
    <t>PUR00182</t>
  </si>
  <si>
    <t>PUR00183</t>
  </si>
  <si>
    <t>PUR00184</t>
  </si>
  <si>
    <t>PUR00185</t>
  </si>
  <si>
    <t>PUR00186</t>
  </si>
  <si>
    <t>PUR00187</t>
  </si>
  <si>
    <t>PUR00188</t>
  </si>
  <si>
    <t>PUR00189</t>
  </si>
  <si>
    <t>PUR00190</t>
  </si>
  <si>
    <t>PUR00191</t>
  </si>
  <si>
    <t>PUR00192</t>
  </si>
  <si>
    <t>PUR00193</t>
  </si>
  <si>
    <t>PUR00194</t>
  </si>
  <si>
    <t>PUR00195</t>
  </si>
  <si>
    <t>PUR00196</t>
  </si>
  <si>
    <t>PUR00197</t>
  </si>
  <si>
    <t>PUR00198</t>
  </si>
  <si>
    <t>PUR00199</t>
  </si>
  <si>
    <t>PUR00200</t>
  </si>
  <si>
    <t>PUR00201</t>
  </si>
  <si>
    <t>PUR00202</t>
  </si>
  <si>
    <t>PUR00203</t>
  </si>
  <si>
    <t>PUR00204</t>
  </si>
  <si>
    <t>PUR00205</t>
  </si>
  <si>
    <t>PUR00206</t>
  </si>
  <si>
    <t>PUR00207</t>
  </si>
  <si>
    <t>PUR00208</t>
  </si>
  <si>
    <t>PUR00209</t>
  </si>
  <si>
    <t>PUR00210</t>
  </si>
  <si>
    <t>PUR00211</t>
  </si>
  <si>
    <t>PUR00212</t>
  </si>
  <si>
    <t>PUR00213</t>
  </si>
  <si>
    <t>PUR00214</t>
  </si>
  <si>
    <t>PUR00215</t>
  </si>
  <si>
    <t>PUR00216</t>
  </si>
  <si>
    <t>PUR00217</t>
  </si>
  <si>
    <t>PUR00218</t>
  </si>
  <si>
    <t>PUR00219</t>
  </si>
  <si>
    <t>PUR00220</t>
  </si>
  <si>
    <t>PUR00221</t>
  </si>
  <si>
    <t>PUR00222</t>
  </si>
  <si>
    <t>PUR00223</t>
  </si>
  <si>
    <t>PUR00224</t>
  </si>
  <si>
    <t>PUR00225</t>
  </si>
  <si>
    <t>PUR00226</t>
  </si>
  <si>
    <t>PUR00227</t>
  </si>
  <si>
    <t>PUR00228</t>
  </si>
  <si>
    <t>PUR00229</t>
  </si>
  <si>
    <t>PUR00230</t>
  </si>
  <si>
    <t>PUR00231</t>
  </si>
  <si>
    <t>PUR00232</t>
  </si>
  <si>
    <t>PUR00233</t>
  </si>
  <si>
    <t>PUR00234</t>
  </si>
  <si>
    <t>PUR00235</t>
  </si>
  <si>
    <t>PUR00236</t>
  </si>
  <si>
    <t>PUR00237</t>
  </si>
  <si>
    <t>PUR00238</t>
  </si>
  <si>
    <t>PUR00239</t>
  </si>
  <si>
    <t>PUR00240</t>
  </si>
  <si>
    <t>PUR00241</t>
  </si>
  <si>
    <t>PUR00242</t>
  </si>
  <si>
    <t>PUR00243</t>
  </si>
  <si>
    <t>PUR00244</t>
  </si>
  <si>
    <t>PUR00245</t>
  </si>
  <si>
    <t>PUR00246</t>
  </si>
  <si>
    <t>PUR00247</t>
  </si>
  <si>
    <t>PUR00248</t>
  </si>
  <si>
    <t>PUR00249</t>
  </si>
  <si>
    <t>PUR00250</t>
  </si>
  <si>
    <t>PUR00251</t>
  </si>
  <si>
    <t>PUR00252</t>
  </si>
  <si>
    <t>PUR00253</t>
  </si>
  <si>
    <t>PUR00254</t>
  </si>
  <si>
    <t>PUR00255</t>
  </si>
  <si>
    <t>PUR00256</t>
  </si>
  <si>
    <t>PUR00257</t>
  </si>
  <si>
    <t>PUR00258</t>
  </si>
  <si>
    <t>PUR00259</t>
  </si>
  <si>
    <t>PUR00260</t>
  </si>
  <si>
    <t>PUR00261</t>
  </si>
  <si>
    <t>PUR00262</t>
  </si>
  <si>
    <t>PUR00263</t>
  </si>
  <si>
    <t>PUR00264</t>
  </si>
  <si>
    <t>PUR00265</t>
  </si>
  <si>
    <t>PUR00266</t>
  </si>
  <si>
    <t>PUR00267</t>
  </si>
  <si>
    <t>PUR00268</t>
  </si>
  <si>
    <t>PUR00269</t>
  </si>
  <si>
    <t>PUR00270</t>
  </si>
  <si>
    <t>PUR00271</t>
  </si>
  <si>
    <t>PUR00272</t>
  </si>
  <si>
    <t>PUR00273</t>
  </si>
  <si>
    <t>PUR00274</t>
  </si>
  <si>
    <t>PUR00275</t>
  </si>
  <si>
    <t>PUR00276</t>
  </si>
  <si>
    <t>PUR00277</t>
  </si>
  <si>
    <t>PUR00278</t>
  </si>
  <si>
    <t>PUR00279</t>
  </si>
  <si>
    <t>PUR00280</t>
  </si>
  <si>
    <t>PUR00281</t>
  </si>
  <si>
    <t>PUR00282</t>
  </si>
  <si>
    <t>PUR00283</t>
  </si>
  <si>
    <t>PUR00284</t>
  </si>
  <si>
    <t>PUR00285</t>
  </si>
  <si>
    <t>PUR00286</t>
  </si>
  <si>
    <t>PUR00287</t>
  </si>
  <si>
    <t>PUR00288</t>
  </si>
  <si>
    <t>PUR00289</t>
  </si>
  <si>
    <t>PUR00290</t>
  </si>
  <si>
    <t>PUR00291</t>
  </si>
  <si>
    <t>PUR00292</t>
  </si>
  <si>
    <t>PUR00293</t>
  </si>
  <si>
    <t>PUR00294</t>
  </si>
  <si>
    <t>PUR00295</t>
  </si>
  <si>
    <t>PUR00296</t>
  </si>
  <si>
    <t>PUR00297</t>
  </si>
  <si>
    <t>PUR00298</t>
  </si>
  <si>
    <t>PUR00299</t>
  </si>
  <si>
    <t>PUR00300</t>
  </si>
  <si>
    <t>PUR00301</t>
  </si>
  <si>
    <t>PUR00302</t>
  </si>
  <si>
    <t>PUR00303</t>
  </si>
  <si>
    <t>PUR00304</t>
  </si>
  <si>
    <t>PUR00305</t>
  </si>
  <si>
    <t>PUR00306</t>
  </si>
  <si>
    <t>PUR00307</t>
  </si>
  <si>
    <t>PUR00308</t>
  </si>
  <si>
    <t>PUR00309</t>
  </si>
  <si>
    <t>PUR00310</t>
  </si>
  <si>
    <t>PUR00311</t>
  </si>
  <si>
    <t>PUR00312</t>
  </si>
  <si>
    <t>PUR00313</t>
  </si>
  <si>
    <t>PUR00314</t>
  </si>
  <si>
    <t>PUR00315</t>
  </si>
  <si>
    <t>PUR00316</t>
  </si>
  <si>
    <t>PUR00317</t>
  </si>
  <si>
    <t>PUR00318</t>
  </si>
  <si>
    <t>PUR00319</t>
  </si>
  <si>
    <t>PUR00320</t>
  </si>
  <si>
    <t>PUR00321</t>
  </si>
  <si>
    <t>PUR00322</t>
  </si>
  <si>
    <t>PUR00323</t>
  </si>
  <si>
    <t>PUR00324</t>
  </si>
  <si>
    <t>PUR00325</t>
  </si>
  <si>
    <t>PUR00326</t>
  </si>
  <si>
    <t>PUR00327</t>
  </si>
  <si>
    <t>PUR00328</t>
  </si>
  <si>
    <t>PUR00329</t>
  </si>
  <si>
    <t>PUR00330</t>
  </si>
  <si>
    <t>PUR00331</t>
  </si>
  <si>
    <t>PUR00332</t>
  </si>
  <si>
    <t>PUR00333</t>
  </si>
  <si>
    <t>PUR00334</t>
  </si>
  <si>
    <t>PUR00335</t>
  </si>
  <si>
    <t>PUR00336</t>
  </si>
  <si>
    <t>PUR00337</t>
  </si>
  <si>
    <t>PUR00338</t>
  </si>
  <si>
    <t>PUR00339</t>
  </si>
  <si>
    <t>PUR00340</t>
  </si>
  <si>
    <t>PUR00341</t>
  </si>
  <si>
    <t>PUR00342</t>
  </si>
  <si>
    <t>PUR00343</t>
  </si>
  <si>
    <t>PUR00344</t>
  </si>
  <si>
    <t>PUR00345</t>
  </si>
  <si>
    <t>PUR00346</t>
  </si>
  <si>
    <t>PUR00347</t>
  </si>
  <si>
    <t>PUR00348</t>
  </si>
  <si>
    <t>PUR00349</t>
  </si>
  <si>
    <t>PUR00350</t>
  </si>
  <si>
    <t>PUR00351</t>
  </si>
  <si>
    <t>PUR00352</t>
  </si>
  <si>
    <t>PUR00353</t>
  </si>
  <si>
    <t>PUR00354</t>
  </si>
  <si>
    <t>PUR00355</t>
  </si>
  <si>
    <t>PUR00356</t>
  </si>
  <si>
    <t>PUR00357</t>
  </si>
  <si>
    <t>PUR00358</t>
  </si>
  <si>
    <t>PUR00359</t>
  </si>
  <si>
    <t>PUR00360</t>
  </si>
  <si>
    <t>PUR00361</t>
  </si>
  <si>
    <t>PUR00362</t>
  </si>
  <si>
    <t>PUR00363</t>
  </si>
  <si>
    <t>PUR00364</t>
  </si>
  <si>
    <t>PUR00365</t>
  </si>
  <si>
    <t>PUR00366</t>
  </si>
  <si>
    <t>PUR00367</t>
  </si>
  <si>
    <t>PUR00368</t>
  </si>
  <si>
    <t>PUR00369</t>
  </si>
  <si>
    <t>PUR00370</t>
  </si>
  <si>
    <t>PUR00371</t>
  </si>
  <si>
    <t>PUR00372</t>
  </si>
  <si>
    <t>PUR00373</t>
  </si>
  <si>
    <t>PUR00374</t>
  </si>
  <si>
    <t>PUR00375</t>
  </si>
  <si>
    <t>PUR00376</t>
  </si>
  <si>
    <t>PUR00377</t>
  </si>
  <si>
    <t>PUR00378</t>
  </si>
  <si>
    <t>PUR00379</t>
  </si>
  <si>
    <t>PUR00380</t>
  </si>
  <si>
    <t>PUR00381</t>
  </si>
  <si>
    <t>PUR00382</t>
  </si>
  <si>
    <t>PUR00383</t>
  </si>
  <si>
    <t>PUR00384</t>
  </si>
  <si>
    <t>PUR00385</t>
  </si>
  <si>
    <t>PUR00386</t>
  </si>
  <si>
    <t>PUR00387</t>
  </si>
  <si>
    <t>PUR00388</t>
  </si>
  <si>
    <t>PUR00389</t>
  </si>
  <si>
    <t>PUR00390</t>
  </si>
  <si>
    <t>PUR00391</t>
  </si>
  <si>
    <t>PUR00392</t>
  </si>
  <si>
    <t>PUR00393</t>
  </si>
  <si>
    <t>PUR00394</t>
  </si>
  <si>
    <t>PUR00395</t>
  </si>
  <si>
    <t>PUR00396</t>
  </si>
  <si>
    <t>PUR00397</t>
  </si>
  <si>
    <t>PUR00398</t>
  </si>
  <si>
    <t>PUR00399</t>
  </si>
  <si>
    <t>PUR00400</t>
  </si>
  <si>
    <t>PUR00401</t>
  </si>
  <si>
    <t>PUR00402</t>
  </si>
  <si>
    <t>PUR00403</t>
  </si>
  <si>
    <t>PUR00404</t>
  </si>
  <si>
    <t>PUR00405</t>
  </si>
  <si>
    <t>PUR00406</t>
  </si>
  <si>
    <t>PUR00407</t>
  </si>
  <si>
    <t>PUR00408</t>
  </si>
  <si>
    <t>PUR00409</t>
  </si>
  <si>
    <t>PUR00410</t>
  </si>
  <si>
    <t>PUR00411</t>
  </si>
  <si>
    <t>PUR00412</t>
  </si>
  <si>
    <t>PUR00413</t>
  </si>
  <si>
    <t>PUR00414</t>
  </si>
  <si>
    <t>PUR00415</t>
  </si>
  <si>
    <t>PUR00416</t>
  </si>
  <si>
    <t>PUR00417</t>
  </si>
  <si>
    <t>PUR00418</t>
  </si>
  <si>
    <t>PUR00419</t>
  </si>
  <si>
    <t>PUR00420</t>
  </si>
  <si>
    <t>PUR00421</t>
  </si>
  <si>
    <t>PUR00422</t>
  </si>
  <si>
    <t>PUR00423</t>
  </si>
  <si>
    <t>PUR00424</t>
  </si>
  <si>
    <t>PUR00425</t>
  </si>
  <si>
    <t>PUR00426</t>
  </si>
  <si>
    <t>PUR00427</t>
  </si>
  <si>
    <t>PUR00428</t>
  </si>
  <si>
    <t>PUR00429</t>
  </si>
  <si>
    <t>PUR00430</t>
  </si>
  <si>
    <t>PUR00431</t>
  </si>
  <si>
    <t>PUR00432</t>
  </si>
  <si>
    <t>PUR00433</t>
  </si>
  <si>
    <t>PUR00434</t>
  </si>
  <si>
    <t>PUR00435</t>
  </si>
  <si>
    <t>PUR00436</t>
  </si>
  <si>
    <t>PUR00437</t>
  </si>
  <si>
    <t>PUR00438</t>
  </si>
  <si>
    <t>PUR00439</t>
  </si>
  <si>
    <t>PUR00440</t>
  </si>
  <si>
    <t>PUR00441</t>
  </si>
  <si>
    <t>PUR00442</t>
  </si>
  <si>
    <t>PUR00443</t>
  </si>
  <si>
    <t>PUR00444</t>
  </si>
  <si>
    <t>PUR00445</t>
  </si>
  <si>
    <t>PUR00446</t>
  </si>
  <si>
    <t>PUR00447</t>
  </si>
  <si>
    <t>PUR00448</t>
  </si>
  <si>
    <t>PUR00449</t>
  </si>
  <si>
    <t>PUR00450</t>
  </si>
  <si>
    <t>PUR00451</t>
  </si>
  <si>
    <t>PUR00452</t>
  </si>
  <si>
    <t>PUR00453</t>
  </si>
  <si>
    <t>PUR00454</t>
  </si>
  <si>
    <t>PUR00455</t>
  </si>
  <si>
    <t>PUR00456</t>
  </si>
  <si>
    <t>PUR00457</t>
  </si>
  <si>
    <t>PUR00458</t>
  </si>
  <si>
    <t>PUR00459</t>
  </si>
  <si>
    <t>PUR00460</t>
  </si>
  <si>
    <t>PUR00461</t>
  </si>
  <si>
    <t>PUR00462</t>
  </si>
  <si>
    <t>PUR00463</t>
  </si>
  <si>
    <t>PUR00464</t>
  </si>
  <si>
    <t>PUR00465</t>
  </si>
  <si>
    <t>PUR00466</t>
  </si>
  <si>
    <t>PUR00467</t>
  </si>
  <si>
    <t>PUR00468</t>
  </si>
  <si>
    <t>PUR00469</t>
  </si>
  <si>
    <t>PUR00470</t>
  </si>
  <si>
    <t>PUR00471</t>
  </si>
  <si>
    <t>PUR00472</t>
  </si>
  <si>
    <t>PUR00473</t>
  </si>
  <si>
    <t>PUR00474</t>
  </si>
  <si>
    <t>PUR00475</t>
  </si>
  <si>
    <t>PUR00476</t>
  </si>
  <si>
    <t>PUR00477</t>
  </si>
  <si>
    <t>PUR00478</t>
  </si>
  <si>
    <t>PUR00479</t>
  </si>
  <si>
    <t>PUR00480</t>
  </si>
  <si>
    <t>PUR00481</t>
  </si>
  <si>
    <t>PUR00482</t>
  </si>
  <si>
    <t>PUR00483</t>
  </si>
  <si>
    <t>PUR00484</t>
  </si>
  <si>
    <t>PUR00485</t>
  </si>
  <si>
    <t>PUR00486</t>
  </si>
  <si>
    <t>PUR00487</t>
  </si>
  <si>
    <t>PUR00488</t>
  </si>
  <si>
    <t>PUR00489</t>
  </si>
  <si>
    <t>PUR00490</t>
  </si>
  <si>
    <t>PUR00491</t>
  </si>
  <si>
    <t>PUR00492</t>
  </si>
  <si>
    <t>PUR00493</t>
  </si>
  <si>
    <t>PUR00494</t>
  </si>
  <si>
    <t>PUR00495</t>
  </si>
  <si>
    <t>PUR00496</t>
  </si>
  <si>
    <t>PUR00497</t>
  </si>
  <si>
    <t>PUR00498</t>
  </si>
  <si>
    <t>PUR00499</t>
  </si>
  <si>
    <t>PUR00500</t>
  </si>
  <si>
    <t>PUR00501</t>
  </si>
  <si>
    <t>PUR00502</t>
  </si>
  <si>
    <t>PUR00503</t>
  </si>
  <si>
    <t>PUR00504</t>
  </si>
  <si>
    <t>PUR00505</t>
  </si>
  <si>
    <t>PUR00506</t>
  </si>
  <si>
    <t>PUR00507</t>
  </si>
  <si>
    <t>PUR00508</t>
  </si>
  <si>
    <t>PUR00509</t>
  </si>
  <si>
    <t>PUR00510</t>
  </si>
  <si>
    <t>PUR00511</t>
  </si>
  <si>
    <t>PUR00512</t>
  </si>
  <si>
    <t>PUR00513</t>
  </si>
  <si>
    <t>PUR00514</t>
  </si>
  <si>
    <t>PUR00515</t>
  </si>
  <si>
    <t>PUR00516</t>
  </si>
  <si>
    <t>PUR00517</t>
  </si>
  <si>
    <t>PUR00518</t>
  </si>
  <si>
    <t>PUR00519</t>
  </si>
  <si>
    <t>PUR00520</t>
  </si>
  <si>
    <t>PUR00521</t>
  </si>
  <si>
    <t>PUR00522</t>
  </si>
  <si>
    <t>PUR00523</t>
  </si>
  <si>
    <t>PUR00524</t>
  </si>
  <si>
    <t>PUR00525</t>
  </si>
  <si>
    <t>PUR00526</t>
  </si>
  <si>
    <t>PUR00527</t>
  </si>
  <si>
    <t>PUR00528</t>
  </si>
  <si>
    <t>PUR00529</t>
  </si>
  <si>
    <t>PUR00530</t>
  </si>
  <si>
    <t>PUR00531</t>
  </si>
  <si>
    <t>PUR00532</t>
  </si>
  <si>
    <t>PUR00533</t>
  </si>
  <si>
    <t>PUR00534</t>
  </si>
  <si>
    <t>PUR00535</t>
  </si>
  <si>
    <t>PUR00536</t>
  </si>
  <si>
    <t>PUR00537</t>
  </si>
  <si>
    <t>PUR00538</t>
  </si>
  <si>
    <t>PUR00539</t>
  </si>
  <si>
    <t>PUR00540</t>
  </si>
  <si>
    <t>PUR00541</t>
  </si>
  <si>
    <t>PUR00542</t>
  </si>
  <si>
    <t>PUR00543</t>
  </si>
  <si>
    <t>PUR00544</t>
  </si>
  <si>
    <t>PUR00545</t>
  </si>
  <si>
    <t>PUR00546</t>
  </si>
  <si>
    <t>PUR00547</t>
  </si>
  <si>
    <t>PUR00548</t>
  </si>
  <si>
    <t>PUR00549</t>
  </si>
  <si>
    <t>PUR00550</t>
  </si>
  <si>
    <t>PUR00551</t>
  </si>
  <si>
    <t>PUR00552</t>
  </si>
  <si>
    <t>PUR00553</t>
  </si>
  <si>
    <t>PUR00554</t>
  </si>
  <si>
    <t>PUR00555</t>
  </si>
  <si>
    <t>PUR00556</t>
  </si>
  <si>
    <t>PUR00557</t>
  </si>
  <si>
    <t>PUR00558</t>
  </si>
  <si>
    <t>PUR00559</t>
  </si>
  <si>
    <t>PUR00560</t>
  </si>
  <si>
    <t>PUR00561</t>
  </si>
  <si>
    <t>PUR00562</t>
  </si>
  <si>
    <t>PUR00563</t>
  </si>
  <si>
    <t>PUR00564</t>
  </si>
  <si>
    <t>PUR00565</t>
  </si>
  <si>
    <t>PUR00566</t>
  </si>
  <si>
    <t>PUR00567</t>
  </si>
  <si>
    <t>PUR00568</t>
  </si>
  <si>
    <t>PUR00569</t>
  </si>
  <si>
    <t>PUR00570</t>
  </si>
  <si>
    <t>PUR00571</t>
  </si>
  <si>
    <t>PUR00572</t>
  </si>
  <si>
    <t>PUR00573</t>
  </si>
  <si>
    <t>PUR00574</t>
  </si>
  <si>
    <t>PUR00575</t>
  </si>
  <si>
    <t>PUR00576</t>
  </si>
  <si>
    <t>PUR00577</t>
  </si>
  <si>
    <t>PUR00578</t>
  </si>
  <si>
    <t>PUR00579</t>
  </si>
  <si>
    <t>PUR00580</t>
  </si>
  <si>
    <t>PUR00581</t>
  </si>
  <si>
    <t>PUR00582</t>
  </si>
  <si>
    <t>PUR00583</t>
  </si>
  <si>
    <t>PUR00584</t>
  </si>
  <si>
    <t>PUR00585</t>
  </si>
  <si>
    <t>PUR00586</t>
  </si>
  <si>
    <t>PUR00587</t>
  </si>
  <si>
    <t>PUR00588</t>
  </si>
  <si>
    <t>PUR00589</t>
  </si>
  <si>
    <t>PUR00590</t>
  </si>
  <si>
    <t>PUR00591</t>
  </si>
  <si>
    <t>PUR00592</t>
  </si>
  <si>
    <t>PUR00593</t>
  </si>
  <si>
    <t>PUR00594</t>
  </si>
  <si>
    <t>PUR00595</t>
  </si>
  <si>
    <t>PUR00596</t>
  </si>
  <si>
    <t>PUR00597</t>
  </si>
  <si>
    <t>PUR00598</t>
  </si>
  <si>
    <t>PUR00599</t>
  </si>
  <si>
    <t>PUR00600</t>
  </si>
  <si>
    <t>PUR00601</t>
  </si>
  <si>
    <t>PUR00602</t>
  </si>
  <si>
    <t>PUR00603</t>
  </si>
  <si>
    <t>PUR00604</t>
  </si>
  <si>
    <t>PUR00605</t>
  </si>
  <si>
    <t>PUR00606</t>
  </si>
  <si>
    <t>PUR00607</t>
  </si>
  <si>
    <t>PUR00608</t>
  </si>
  <si>
    <t>PUR00609</t>
  </si>
  <si>
    <t>PUR00610</t>
  </si>
  <si>
    <t>PUR00611</t>
  </si>
  <si>
    <t>PUR00612</t>
  </si>
  <si>
    <t>PUR00613</t>
  </si>
  <si>
    <t>PUR00614</t>
  </si>
  <si>
    <t>PUR00615</t>
  </si>
  <si>
    <t>PUR00616</t>
  </si>
  <si>
    <t>PUR00617</t>
  </si>
  <si>
    <t>PUR00618</t>
  </si>
  <si>
    <t>PUR00619</t>
  </si>
  <si>
    <t>PUR00620</t>
  </si>
  <si>
    <t>PUR00621</t>
  </si>
  <si>
    <t>PUR00622</t>
  </si>
  <si>
    <t>PUR00623</t>
  </si>
  <si>
    <t>PUR00624</t>
  </si>
  <si>
    <t>PUR00625</t>
  </si>
  <si>
    <t>PUR00626</t>
  </si>
  <si>
    <t>PUR00627</t>
  </si>
  <si>
    <t>PUR00628</t>
  </si>
  <si>
    <t>PUR00629</t>
  </si>
  <si>
    <t>PUR00630</t>
  </si>
  <si>
    <t>PUR00631</t>
  </si>
  <si>
    <t>PUR00632</t>
  </si>
  <si>
    <t>PUR00633</t>
  </si>
  <si>
    <t>PUR00634</t>
  </si>
  <si>
    <t>PUR00635</t>
  </si>
  <si>
    <t>PUR00636</t>
  </si>
  <si>
    <t>PUR00637</t>
  </si>
  <si>
    <t>PUR00638</t>
  </si>
  <si>
    <t>PUR00639</t>
  </si>
  <si>
    <t>PUR00640</t>
  </si>
  <si>
    <t>PUR00641</t>
  </si>
  <si>
    <t>PUR00642</t>
  </si>
  <si>
    <t>PUR00643</t>
  </si>
  <si>
    <t>PUR00644</t>
  </si>
  <si>
    <t>PUR00645</t>
  </si>
  <si>
    <t>PUR00646</t>
  </si>
  <si>
    <t>PUR00647</t>
  </si>
  <si>
    <t>PUR00648</t>
  </si>
  <si>
    <t>PUR00649</t>
  </si>
  <si>
    <t>PUR00650</t>
  </si>
  <si>
    <t>PUR00651</t>
  </si>
  <si>
    <t>PUR00652</t>
  </si>
  <si>
    <t>PUR00653</t>
  </si>
  <si>
    <t>PUR00654</t>
  </si>
  <si>
    <t>PUR00655</t>
  </si>
  <si>
    <t>PUR00656</t>
  </si>
  <si>
    <t>PUR00657</t>
  </si>
  <si>
    <t>PUR00658</t>
  </si>
  <si>
    <t>PUR00659</t>
  </si>
  <si>
    <t>PUR00660</t>
  </si>
  <si>
    <t>PUR00661</t>
  </si>
  <si>
    <t>PUR00662</t>
  </si>
  <si>
    <t>PUR00663</t>
  </si>
  <si>
    <t>PUR00664</t>
  </si>
  <si>
    <t>PUR00665</t>
  </si>
  <si>
    <t>PUR00666</t>
  </si>
  <si>
    <t>PUR00667</t>
  </si>
  <si>
    <t>PUR00668</t>
  </si>
  <si>
    <t>PUR00669</t>
  </si>
  <si>
    <t>PUR00670</t>
  </si>
  <si>
    <t>PUR00671</t>
  </si>
  <si>
    <t>PUR00672</t>
  </si>
  <si>
    <t>PUR00673</t>
  </si>
  <si>
    <t>PUR00674</t>
  </si>
  <si>
    <t>PUR00675</t>
  </si>
  <si>
    <t>PUR00676</t>
  </si>
  <si>
    <t>PUR00677</t>
  </si>
  <si>
    <t>PUR00678</t>
  </si>
  <si>
    <t>PUR00679</t>
  </si>
  <si>
    <t>PUR00680</t>
  </si>
  <si>
    <t>PUR00681</t>
  </si>
  <si>
    <t>PUR00682</t>
  </si>
  <si>
    <t>PUR00683</t>
  </si>
  <si>
    <t>PUR00684</t>
  </si>
  <si>
    <t>PUR00685</t>
  </si>
  <si>
    <t>PUR00686</t>
  </si>
  <si>
    <t>PUR00687</t>
  </si>
  <si>
    <t>PUR00688</t>
  </si>
  <si>
    <t>PUR00689</t>
  </si>
  <si>
    <t>PUR00690</t>
  </si>
  <si>
    <t>PUR00691</t>
  </si>
  <si>
    <t>PUR00692</t>
  </si>
  <si>
    <t>PUR00693</t>
  </si>
  <si>
    <t>PUR00694</t>
  </si>
  <si>
    <t>PUR00695</t>
  </si>
  <si>
    <t>PUR00696</t>
  </si>
  <si>
    <t>PUR00697</t>
  </si>
  <si>
    <t>PUR00698</t>
  </si>
  <si>
    <t>PUR00699</t>
  </si>
  <si>
    <t>PUR00700</t>
  </si>
  <si>
    <t>PUR00701</t>
  </si>
  <si>
    <t>PUR00702</t>
  </si>
  <si>
    <t>PUR00703</t>
  </si>
  <si>
    <t>PUR00704</t>
  </si>
  <si>
    <t>PUR00705</t>
  </si>
  <si>
    <t>PUR00706</t>
  </si>
  <si>
    <t>PUR00707</t>
  </si>
  <si>
    <t>PUR00708</t>
  </si>
  <si>
    <t>PUR00709</t>
  </si>
  <si>
    <t>PUR00710</t>
  </si>
  <si>
    <t>PUR00711</t>
  </si>
  <si>
    <t>PUR00712</t>
  </si>
  <si>
    <t>PUR00713</t>
  </si>
  <si>
    <t>PUR00714</t>
  </si>
  <si>
    <t>PUR00715</t>
  </si>
  <si>
    <t>PUR00716</t>
  </si>
  <si>
    <t>PUR00717</t>
  </si>
  <si>
    <t>PUR00718</t>
  </si>
  <si>
    <t>PUR00719</t>
  </si>
  <si>
    <t>PUR00720</t>
  </si>
  <si>
    <t>PUR00721</t>
  </si>
  <si>
    <t>PUR00722</t>
  </si>
  <si>
    <t>PUR00723</t>
  </si>
  <si>
    <t>PUR00724</t>
  </si>
  <si>
    <t>PUR00725</t>
  </si>
  <si>
    <t>PUR00726</t>
  </si>
  <si>
    <t>PUR00727</t>
  </si>
  <si>
    <t>PUR00728</t>
  </si>
  <si>
    <t>PUR00729</t>
  </si>
  <si>
    <t>PUR00730</t>
  </si>
  <si>
    <t>PUR00731</t>
  </si>
  <si>
    <t>PUR00732</t>
  </si>
  <si>
    <t>PUR00733</t>
  </si>
  <si>
    <t>PUR00734</t>
  </si>
  <si>
    <t>PUR00735</t>
  </si>
  <si>
    <t>PUR00736</t>
  </si>
  <si>
    <t>PUR00737</t>
  </si>
  <si>
    <t>PUR00738</t>
  </si>
  <si>
    <t>PUR00739</t>
  </si>
  <si>
    <t>PUR00740</t>
  </si>
  <si>
    <t>PUR00741</t>
  </si>
  <si>
    <t>PUR00742</t>
  </si>
  <si>
    <t>PUR00743</t>
  </si>
  <si>
    <t>PUR00744</t>
  </si>
  <si>
    <t>PUR00745</t>
  </si>
  <si>
    <t>PUR00746</t>
  </si>
  <si>
    <t>PUR00747</t>
  </si>
  <si>
    <t>PUR00748</t>
  </si>
  <si>
    <t>PUR00749</t>
  </si>
  <si>
    <t>PUR00750</t>
  </si>
  <si>
    <t>PUR00751</t>
  </si>
  <si>
    <t>PUR00752</t>
  </si>
  <si>
    <t>PUR00753</t>
  </si>
  <si>
    <t>PUR00754</t>
  </si>
  <si>
    <t>PUR00755</t>
  </si>
  <si>
    <t>PUR00756</t>
  </si>
  <si>
    <t>PUR00757</t>
  </si>
  <si>
    <t>PUR00758</t>
  </si>
  <si>
    <t>PUR00759</t>
  </si>
  <si>
    <t>PUR00760</t>
  </si>
  <si>
    <t>PUR00761</t>
  </si>
  <si>
    <t>PUR00762</t>
  </si>
  <si>
    <t>PUR00763</t>
  </si>
  <si>
    <t>PUR00764</t>
  </si>
  <si>
    <t>PUR00765</t>
  </si>
  <si>
    <t>PUR00766</t>
  </si>
  <si>
    <t>PUR00767</t>
  </si>
  <si>
    <t>PUR00768</t>
  </si>
  <si>
    <t>PUR00769</t>
  </si>
  <si>
    <t>PUR00770</t>
  </si>
  <si>
    <t>PUR00771</t>
  </si>
  <si>
    <t>PUR00772</t>
  </si>
  <si>
    <t>PUR00773</t>
  </si>
  <si>
    <t>PUR00774</t>
  </si>
  <si>
    <t>PUR00775</t>
  </si>
  <si>
    <t>PUR00776</t>
  </si>
  <si>
    <t>PUR00777</t>
  </si>
  <si>
    <t>PUR00778</t>
  </si>
  <si>
    <t>PUR00779</t>
  </si>
  <si>
    <t>PUR00780</t>
  </si>
  <si>
    <t>PUR00781</t>
  </si>
  <si>
    <t>PUR00782</t>
  </si>
  <si>
    <t>PUR00783</t>
  </si>
  <si>
    <t>PUR00784</t>
  </si>
  <si>
    <t>PUR00785</t>
  </si>
  <si>
    <t>PUR00786</t>
  </si>
  <si>
    <t>PUR00787</t>
  </si>
  <si>
    <t>PUR00788</t>
  </si>
  <si>
    <t>PUR00789</t>
  </si>
  <si>
    <t>PUR00790</t>
  </si>
  <si>
    <t>PUR00791</t>
  </si>
  <si>
    <t>PUR00792</t>
  </si>
  <si>
    <t>PUR00793</t>
  </si>
  <si>
    <t>PUR00794</t>
  </si>
  <si>
    <t>PUR00795</t>
  </si>
  <si>
    <t>PUR00796</t>
  </si>
  <si>
    <t>PUR00797</t>
  </si>
  <si>
    <t>PUR00798</t>
  </si>
  <si>
    <t>PUR00799</t>
  </si>
  <si>
    <t>PUR00800</t>
  </si>
  <si>
    <t>PUR00801</t>
  </si>
  <si>
    <t>PUR00802</t>
  </si>
  <si>
    <t>PUR00803</t>
  </si>
  <si>
    <t>PUR00804</t>
  </si>
  <si>
    <t>PUR00805</t>
  </si>
  <si>
    <t>PUR00806</t>
  </si>
  <si>
    <t>PUR00807</t>
  </si>
  <si>
    <t>PUR00808</t>
  </si>
  <si>
    <t>PUR00809</t>
  </si>
  <si>
    <t>PUR00810</t>
  </si>
  <si>
    <t>PUR00811</t>
  </si>
  <si>
    <t>PUR00812</t>
  </si>
  <si>
    <t>PUR00813</t>
  </si>
  <si>
    <t>PUR00814</t>
  </si>
  <si>
    <t>PUR00815</t>
  </si>
  <si>
    <t>PUR00816</t>
  </si>
  <si>
    <t>PUR00817</t>
  </si>
  <si>
    <t>PUR00818</t>
  </si>
  <si>
    <t>PUR00819</t>
  </si>
  <si>
    <t>PUR00820</t>
  </si>
  <si>
    <t>PUR00821</t>
  </si>
  <si>
    <t>PUR00822</t>
  </si>
  <si>
    <t>PUR00823</t>
  </si>
  <si>
    <t>PUR00824</t>
  </si>
  <si>
    <t>PUR00825</t>
  </si>
  <si>
    <t>PUR00826</t>
  </si>
  <si>
    <t>PUR00827</t>
  </si>
  <si>
    <t>PUR00828</t>
  </si>
  <si>
    <t>PUR00829</t>
  </si>
  <si>
    <t>PUR00830</t>
  </si>
  <si>
    <t>PUR00831</t>
  </si>
  <si>
    <t>PUR00832</t>
  </si>
  <si>
    <t>PUR00833</t>
  </si>
  <si>
    <t>PUR00834</t>
  </si>
  <si>
    <t>PUR00835</t>
  </si>
  <si>
    <t>PUR00836</t>
  </si>
  <si>
    <t>PUR00837</t>
  </si>
  <si>
    <t>PUR00838</t>
  </si>
  <si>
    <t>PUR00839</t>
  </si>
  <si>
    <t>PUR00840</t>
  </si>
  <si>
    <t>PUR00841</t>
  </si>
  <si>
    <t>PUR00842</t>
  </si>
  <si>
    <t>PUR00843</t>
  </si>
  <si>
    <t>PUR00844</t>
  </si>
  <si>
    <t>PUR00845</t>
  </si>
  <si>
    <t>PUR00846</t>
  </si>
  <si>
    <t>PUR00847</t>
  </si>
  <si>
    <t>PUR00848</t>
  </si>
  <si>
    <t>PUR00849</t>
  </si>
  <si>
    <t>PUR00850</t>
  </si>
  <si>
    <t>PUR00851</t>
  </si>
  <si>
    <t>PUR00852</t>
  </si>
  <si>
    <t>PUR00853</t>
  </si>
  <si>
    <t>PUR00854</t>
  </si>
  <si>
    <t>PUR00855</t>
  </si>
  <si>
    <t>PUR00856</t>
  </si>
  <si>
    <t>PUR00857</t>
  </si>
  <si>
    <t>PUR00858</t>
  </si>
  <si>
    <t>PUR00859</t>
  </si>
  <si>
    <t>PUR00860</t>
  </si>
  <si>
    <t>PUR00861</t>
  </si>
  <si>
    <t>PUR00862</t>
  </si>
  <si>
    <t>PUR00863</t>
  </si>
  <si>
    <t>PUR00864</t>
  </si>
  <si>
    <t>PUR00865</t>
  </si>
  <si>
    <t>PUR00866</t>
  </si>
  <si>
    <t>PUR00867</t>
  </si>
  <si>
    <t>PUR00868</t>
  </si>
  <si>
    <t>PUR00869</t>
  </si>
  <si>
    <t>PUR00870</t>
  </si>
  <si>
    <t>PUR00871</t>
  </si>
  <si>
    <t>PUR00872</t>
  </si>
  <si>
    <t>PUR00873</t>
  </si>
  <si>
    <t>PUR00874</t>
  </si>
  <si>
    <t>PUR00875</t>
  </si>
  <si>
    <t>PUR00876</t>
  </si>
  <si>
    <t>PUR00877</t>
  </si>
  <si>
    <t>PUR00878</t>
  </si>
  <si>
    <t>PUR00879</t>
  </si>
  <si>
    <t>PUR00880</t>
  </si>
  <si>
    <t>PUR00881</t>
  </si>
  <si>
    <t>PUR00882</t>
  </si>
  <si>
    <t>PUR00883</t>
  </si>
  <si>
    <t>PUR00884</t>
  </si>
  <si>
    <t>PUR00885</t>
  </si>
  <si>
    <t>PUR00886</t>
  </si>
  <si>
    <t>PUR00887</t>
  </si>
  <si>
    <t>PUR00888</t>
  </si>
  <si>
    <t>PUR00889</t>
  </si>
  <si>
    <t>PUR00890</t>
  </si>
  <si>
    <t>PUR00891</t>
  </si>
  <si>
    <t>PUR00892</t>
  </si>
  <si>
    <t>PUR00893</t>
  </si>
  <si>
    <t>PUR00894</t>
  </si>
  <si>
    <t>PUR00895</t>
  </si>
  <si>
    <t>PUR00896</t>
  </si>
  <si>
    <t>PUR00897</t>
  </si>
  <si>
    <t>PUR00898</t>
  </si>
  <si>
    <t>PUR00899</t>
  </si>
  <si>
    <t>PUR00900</t>
  </si>
  <si>
    <t>PUR00901</t>
  </si>
  <si>
    <t>PUR00902</t>
  </si>
  <si>
    <t>PUR00903</t>
  </si>
  <si>
    <t>PUR00904</t>
  </si>
  <si>
    <t>PUR00905</t>
  </si>
  <si>
    <t>PUR00906</t>
  </si>
  <si>
    <t>PUR00907</t>
  </si>
  <si>
    <t>PUR00908</t>
  </si>
  <si>
    <t>PUR00909</t>
  </si>
  <si>
    <t>PUR00910</t>
  </si>
  <si>
    <t>PUR00911</t>
  </si>
  <si>
    <t>PUR00912</t>
  </si>
  <si>
    <t>PUR00913</t>
  </si>
  <si>
    <t>PUR00914</t>
  </si>
  <si>
    <t>PUR00915</t>
  </si>
  <si>
    <t>PUR00916</t>
  </si>
  <si>
    <t>PUR00917</t>
  </si>
  <si>
    <t>PUR00918</t>
  </si>
  <si>
    <t>PUR00919</t>
  </si>
  <si>
    <t>PUR00920</t>
  </si>
  <si>
    <t>PUR00921</t>
  </si>
  <si>
    <t>PUR00922</t>
  </si>
  <si>
    <t>PUR00923</t>
  </si>
  <si>
    <t>PUR00924</t>
  </si>
  <si>
    <t>PUR00925</t>
  </si>
  <si>
    <t>PUR00926</t>
  </si>
  <si>
    <t>PUR00927</t>
  </si>
  <si>
    <t>PUR00928</t>
  </si>
  <si>
    <t>PUR00929</t>
  </si>
  <si>
    <t>PUR00930</t>
  </si>
  <si>
    <t>PUR00931</t>
  </si>
  <si>
    <t>PUR00932</t>
  </si>
  <si>
    <t>PUR00933</t>
  </si>
  <si>
    <t>PUR00934</t>
  </si>
  <si>
    <t>PUR00935</t>
  </si>
  <si>
    <t>PUR00936</t>
  </si>
  <si>
    <t>PUR00937</t>
  </si>
  <si>
    <t>PUR00938</t>
  </si>
  <si>
    <t>PUR00939</t>
  </si>
  <si>
    <t>PUR00940</t>
  </si>
  <si>
    <t>PUR00941</t>
  </si>
  <si>
    <t>PUR00942</t>
  </si>
  <si>
    <t>PUR00943</t>
  </si>
  <si>
    <t>PUR00944</t>
  </si>
  <si>
    <t>PUR00945</t>
  </si>
  <si>
    <t>PUR00946</t>
  </si>
  <si>
    <t>PUR00947</t>
  </si>
  <si>
    <t>PUR00948</t>
  </si>
  <si>
    <t>PUR00949</t>
  </si>
  <si>
    <t>PUR00950</t>
  </si>
  <si>
    <t>PUR00951</t>
  </si>
  <si>
    <t>PUR00952</t>
  </si>
  <si>
    <t>PUR00953</t>
  </si>
  <si>
    <t>PUR00954</t>
  </si>
  <si>
    <t>PUR00955</t>
  </si>
  <si>
    <t>PUR00956</t>
  </si>
  <si>
    <t>PUR00957</t>
  </si>
  <si>
    <t>PUR00958</t>
  </si>
  <si>
    <t>PUR00959</t>
  </si>
  <si>
    <t>PUR00960</t>
  </si>
  <si>
    <t>PUR00961</t>
  </si>
  <si>
    <t>PUR00962</t>
  </si>
  <si>
    <t>PUR00963</t>
  </si>
  <si>
    <t>PUR00964</t>
  </si>
  <si>
    <t>PUR00965</t>
  </si>
  <si>
    <t>PUR00966</t>
  </si>
  <si>
    <t>PUR00967</t>
  </si>
  <si>
    <t>PUR00968</t>
  </si>
  <si>
    <t>PUR00969</t>
  </si>
  <si>
    <t>PUR00970</t>
  </si>
  <si>
    <t>PUR00971</t>
  </si>
  <si>
    <t>PUR00972</t>
  </si>
  <si>
    <t>PUR00973</t>
  </si>
  <si>
    <t>PUR00974</t>
  </si>
  <si>
    <t>PUR00975</t>
  </si>
  <si>
    <t>PUR00976</t>
  </si>
  <si>
    <t>PUR00977</t>
  </si>
  <si>
    <t>PUR00978</t>
  </si>
  <si>
    <t>PUR00979</t>
  </si>
  <si>
    <t>PUR00980</t>
  </si>
  <si>
    <t>PUR00981</t>
  </si>
  <si>
    <t>PUR00982</t>
  </si>
  <si>
    <t>PUR00983</t>
  </si>
  <si>
    <t>PUR00984</t>
  </si>
  <si>
    <t>PUR00985</t>
  </si>
  <si>
    <t>PUR00986</t>
  </si>
  <si>
    <t>PUR00987</t>
  </si>
  <si>
    <t>PUR00988</t>
  </si>
  <si>
    <t>PUR00989</t>
  </si>
  <si>
    <t>PUR00990</t>
  </si>
  <si>
    <t>PUR00991</t>
  </si>
  <si>
    <t>PUR00992</t>
  </si>
  <si>
    <t>PUR00993</t>
  </si>
  <si>
    <t>PUR00994</t>
  </si>
  <si>
    <t>PUR00995</t>
  </si>
  <si>
    <t>PUR00996</t>
  </si>
  <si>
    <t>PUR00997</t>
  </si>
  <si>
    <t>PUR00998</t>
  </si>
  <si>
    <t>PUR00999</t>
  </si>
  <si>
    <t>PUR01000</t>
  </si>
  <si>
    <t>PUR01001</t>
  </si>
  <si>
    <t>PUR01002</t>
  </si>
  <si>
    <t>PUR01003</t>
  </si>
  <si>
    <t>PUR01004</t>
  </si>
  <si>
    <t>PUR01005</t>
  </si>
  <si>
    <t>PUR01006</t>
  </si>
  <si>
    <t>PUR01007</t>
  </si>
  <si>
    <t>PUR01008</t>
  </si>
  <si>
    <t>PUR01009</t>
  </si>
  <si>
    <t>PUR01010</t>
  </si>
  <si>
    <t>PUR01011</t>
  </si>
  <si>
    <t>PUR01012</t>
  </si>
  <si>
    <t>PUR01013</t>
  </si>
  <si>
    <t>PUR01014</t>
  </si>
  <si>
    <t>PUR01015</t>
  </si>
  <si>
    <t>PUR01016</t>
  </si>
  <si>
    <t>PUR01017</t>
  </si>
  <si>
    <t>PUR01018</t>
  </si>
  <si>
    <t>PUR01019</t>
  </si>
  <si>
    <t>PUR01020</t>
  </si>
  <si>
    <t>PUR01021</t>
  </si>
  <si>
    <t>PUR01022</t>
  </si>
  <si>
    <t>PUR01023</t>
  </si>
  <si>
    <t>PUR01024</t>
  </si>
  <si>
    <t>PUR01025</t>
  </si>
  <si>
    <t>PUR01026</t>
  </si>
  <si>
    <t>PUR01027</t>
  </si>
  <si>
    <t>PUR01028</t>
  </si>
  <si>
    <t>PUR01029</t>
  </si>
  <si>
    <t>PUR01030</t>
  </si>
  <si>
    <t>PUR01031</t>
  </si>
  <si>
    <t>PUR01032</t>
  </si>
  <si>
    <t>PUR01033</t>
  </si>
  <si>
    <t>PUR01034</t>
  </si>
  <si>
    <t>PUR01035</t>
  </si>
  <si>
    <t>PUR01036</t>
  </si>
  <si>
    <t>PUR01037</t>
  </si>
  <si>
    <t>PUR01038</t>
  </si>
  <si>
    <t>PUR01039</t>
  </si>
  <si>
    <t>PUR01040</t>
  </si>
  <si>
    <t>PUR01041</t>
  </si>
  <si>
    <t>PUR01042</t>
  </si>
  <si>
    <t>PUR01043</t>
  </si>
  <si>
    <t>PUR01044</t>
  </si>
  <si>
    <t>PUR01045</t>
  </si>
  <si>
    <t>PUR01046</t>
  </si>
  <si>
    <t>PUR01047</t>
  </si>
  <si>
    <t>PUR01048</t>
  </si>
  <si>
    <t>PUR01049</t>
  </si>
  <si>
    <t>PUR01050</t>
  </si>
  <si>
    <t>PUR01051</t>
  </si>
  <si>
    <t>PUR01052</t>
  </si>
  <si>
    <t>PUR01053</t>
  </si>
  <si>
    <t>PUR01054</t>
  </si>
  <si>
    <t>PUR01055</t>
  </si>
  <si>
    <t>PUR01056</t>
  </si>
  <si>
    <t>PUR01057</t>
  </si>
  <si>
    <t>PUR01058</t>
  </si>
  <si>
    <t>PUR01059</t>
  </si>
  <si>
    <t>PUR01060</t>
  </si>
  <si>
    <t>PUR01061</t>
  </si>
  <si>
    <t>PUR01062</t>
  </si>
  <si>
    <t>PUR01063</t>
  </si>
  <si>
    <t>PUR01064</t>
  </si>
  <si>
    <t>PUR01065</t>
  </si>
  <si>
    <t>PUR01066</t>
  </si>
  <si>
    <t>PUR01067</t>
  </si>
  <si>
    <t>PUR01068</t>
  </si>
  <si>
    <t>PUR01069</t>
  </si>
  <si>
    <t>PUR01070</t>
  </si>
  <si>
    <t>PUR01071</t>
  </si>
  <si>
    <t>PUR01072</t>
  </si>
  <si>
    <t>PUR01073</t>
  </si>
  <si>
    <t>PUR01074</t>
  </si>
  <si>
    <t>PUR01075</t>
  </si>
  <si>
    <t>PUR01076</t>
  </si>
  <si>
    <t>PUR01077</t>
  </si>
  <si>
    <t>PUR01078</t>
  </si>
  <si>
    <t>PUR01079</t>
  </si>
  <si>
    <t>PUR01080</t>
  </si>
  <si>
    <t>PUR01081</t>
  </si>
  <si>
    <t>PUR01082</t>
  </si>
  <si>
    <t>PUR01083</t>
  </si>
  <si>
    <t>PUR01084</t>
  </si>
  <si>
    <t>PUR01085</t>
  </si>
  <si>
    <t>PUR01086</t>
  </si>
  <si>
    <t>PUR01087</t>
  </si>
  <si>
    <t>PUR01088</t>
  </si>
  <si>
    <t>PUR01089</t>
  </si>
  <si>
    <t>PUR01090</t>
  </si>
  <si>
    <t>PUR01091</t>
  </si>
  <si>
    <t>PUR01092</t>
  </si>
  <si>
    <t>PUR01093</t>
  </si>
  <si>
    <t>PUR01094</t>
  </si>
  <si>
    <t>PUR01095</t>
  </si>
  <si>
    <t>PUR01096</t>
  </si>
  <si>
    <t>PUR01097</t>
  </si>
  <si>
    <t>PUR01098</t>
  </si>
  <si>
    <t>PUR01099</t>
  </si>
  <si>
    <t>PUR01100</t>
  </si>
  <si>
    <t>PUR01101</t>
  </si>
  <si>
    <t>PUR01102</t>
  </si>
  <si>
    <t>PUR01103</t>
  </si>
  <si>
    <t>PUR01104</t>
  </si>
  <si>
    <t>PUR01105</t>
  </si>
  <si>
    <t>PUR01106</t>
  </si>
  <si>
    <t>PUR01107</t>
  </si>
  <si>
    <t>PUR01108</t>
  </si>
  <si>
    <t>PUR01109</t>
  </si>
  <si>
    <t>PUR01110</t>
  </si>
  <si>
    <t>PUR01111</t>
  </si>
  <si>
    <t>PUR01112</t>
  </si>
  <si>
    <t>PUR01113</t>
  </si>
  <si>
    <t>PUR01114</t>
  </si>
  <si>
    <t>PUR01115</t>
  </si>
  <si>
    <t>PUR01116</t>
  </si>
  <si>
    <t>PUR01117</t>
  </si>
  <si>
    <t>PUR01118</t>
  </si>
  <si>
    <t>PUR01119</t>
  </si>
  <si>
    <t>PUR01120</t>
  </si>
  <si>
    <t>PUR01121</t>
  </si>
  <si>
    <t>PUR01122</t>
  </si>
  <si>
    <t>PUR01123</t>
  </si>
  <si>
    <t>PUR01124</t>
  </si>
  <si>
    <t>PUR01125</t>
  </si>
  <si>
    <t>PUR01126</t>
  </si>
  <si>
    <t>PUR01127</t>
  </si>
  <si>
    <t>PUR01128</t>
  </si>
  <si>
    <t>PUR01129</t>
  </si>
  <si>
    <t>PUR01130</t>
  </si>
  <si>
    <t>PUR01131</t>
  </si>
  <si>
    <t>PUR01132</t>
  </si>
  <si>
    <t>PUR01133</t>
  </si>
  <si>
    <t>PUR01134</t>
  </si>
  <si>
    <t>PUR01135</t>
  </si>
  <si>
    <t>PUR01136</t>
  </si>
  <si>
    <t>PUR01137</t>
  </si>
  <si>
    <t>PUR01138</t>
  </si>
  <si>
    <t>PUR01139</t>
  </si>
  <si>
    <t>PUR01140</t>
  </si>
  <si>
    <t>PUR01141</t>
  </si>
  <si>
    <t>PUR01142</t>
  </si>
  <si>
    <t>PUR01143</t>
  </si>
  <si>
    <t>PUR01144</t>
  </si>
  <si>
    <t>PUR01145</t>
  </si>
  <si>
    <t>PUR01146</t>
  </si>
  <si>
    <t>PUR01147</t>
  </si>
  <si>
    <t>PUR01148</t>
  </si>
  <si>
    <t>PUR01149</t>
  </si>
  <si>
    <t>PUR01150</t>
  </si>
  <si>
    <t>PUR01151</t>
  </si>
  <si>
    <t>PUR01152</t>
  </si>
  <si>
    <t>PUR01153</t>
  </si>
  <si>
    <t>PUR01154</t>
  </si>
  <si>
    <t>PUR01155</t>
  </si>
  <si>
    <t>PUR01156</t>
  </si>
  <si>
    <t>PUR01157</t>
  </si>
  <si>
    <t>PUR01158</t>
  </si>
  <si>
    <t>PUR01159</t>
  </si>
  <si>
    <t>PUR01160</t>
  </si>
  <si>
    <t>PUR01161</t>
  </si>
  <si>
    <t>PUR01162</t>
  </si>
  <si>
    <t>PUR01163</t>
  </si>
  <si>
    <t>PUR01164</t>
  </si>
  <si>
    <t>PUR01165</t>
  </si>
  <si>
    <t>PUR01166</t>
  </si>
  <si>
    <t>PUR01167</t>
  </si>
  <si>
    <t>PUR01168</t>
  </si>
  <si>
    <t>PUR01169</t>
  </si>
  <si>
    <t>PUR01170</t>
  </si>
  <si>
    <t>PUR01171</t>
  </si>
  <si>
    <t>PUR01172</t>
  </si>
  <si>
    <t>PUR01173</t>
  </si>
  <si>
    <t>PUR01174</t>
  </si>
  <si>
    <t>PUR01175</t>
  </si>
  <si>
    <t>PUR01176</t>
  </si>
  <si>
    <t>PUR01177</t>
  </si>
  <si>
    <t>PUR01178</t>
  </si>
  <si>
    <t>PUR01179</t>
  </si>
  <si>
    <t>PUR01180</t>
  </si>
  <si>
    <t>PUR01181</t>
  </si>
  <si>
    <t>PUR01182</t>
  </si>
  <si>
    <t>PUR01183</t>
  </si>
  <si>
    <t>PUR01184</t>
  </si>
  <si>
    <t>PUR01185</t>
  </si>
  <si>
    <t>PUR01186</t>
  </si>
  <si>
    <t>PUR01187</t>
  </si>
  <si>
    <t>PUR01188</t>
  </si>
  <si>
    <t>PUR01189</t>
  </si>
  <si>
    <t>PUR01190</t>
  </si>
  <si>
    <t>PUR01191</t>
  </si>
  <si>
    <t>PUR01192</t>
  </si>
  <si>
    <t>PUR01193</t>
  </si>
  <si>
    <t>PUR01194</t>
  </si>
  <si>
    <t>PUR01195</t>
  </si>
  <si>
    <t>PUR01196</t>
  </si>
  <si>
    <t>PUR01197</t>
  </si>
  <si>
    <t>PUR01198</t>
  </si>
  <si>
    <t>PUR01199</t>
  </si>
  <si>
    <t>PUR01200</t>
  </si>
  <si>
    <t>PUR01201</t>
  </si>
  <si>
    <t>PUR01202</t>
  </si>
  <si>
    <t>PUR01203</t>
  </si>
  <si>
    <t>PUR01204</t>
  </si>
  <si>
    <t>PUR01205</t>
  </si>
  <si>
    <t>PUR01206</t>
  </si>
  <si>
    <t>PUR01207</t>
  </si>
  <si>
    <t>PUR01208</t>
  </si>
  <si>
    <t>PUR01209</t>
  </si>
  <si>
    <t>PUR01210</t>
  </si>
  <si>
    <t>PUR01211</t>
  </si>
  <si>
    <t>PUR01212</t>
  </si>
  <si>
    <t>PUR01213</t>
  </si>
  <si>
    <t>PUR01214</t>
  </si>
  <si>
    <t>PUR01215</t>
  </si>
  <si>
    <t>PUR01216</t>
  </si>
  <si>
    <t>PUR01217</t>
  </si>
  <si>
    <t>PUR01218</t>
  </si>
  <si>
    <t>PUR01219</t>
  </si>
  <si>
    <t>PUR01220</t>
  </si>
  <si>
    <t>PUR01221</t>
  </si>
  <si>
    <t>PUR01222</t>
  </si>
  <si>
    <t>PUR01223</t>
  </si>
  <si>
    <t>PUR01224</t>
  </si>
  <si>
    <t>PUR01225</t>
  </si>
  <si>
    <t>PUR01226</t>
  </si>
  <si>
    <t>PUR01227</t>
  </si>
  <si>
    <t>PUR01228</t>
  </si>
  <si>
    <t>PUR01229</t>
  </si>
  <si>
    <t>PUR01230</t>
  </si>
  <si>
    <t>PUR01231</t>
  </si>
  <si>
    <t>PUR01232</t>
  </si>
  <si>
    <t>PUR01233</t>
  </si>
  <si>
    <t>PUR01234</t>
  </si>
  <si>
    <t>PUR01235</t>
  </si>
  <si>
    <t>PUR01236</t>
  </si>
  <si>
    <t>PUR01237</t>
  </si>
  <si>
    <t>PUR01238</t>
  </si>
  <si>
    <t>PUR01239</t>
  </si>
  <si>
    <t>PUR01240</t>
  </si>
  <si>
    <t>PUR01241</t>
  </si>
  <si>
    <t>PUR01242</t>
  </si>
  <si>
    <t>PUR01243</t>
  </si>
  <si>
    <t>PUR01244</t>
  </si>
  <si>
    <t>PUR01245</t>
  </si>
  <si>
    <t>PUR01246</t>
  </si>
  <si>
    <t>PUR01247</t>
  </si>
  <si>
    <t>PUR01248</t>
  </si>
  <si>
    <t>PUR01249</t>
  </si>
  <si>
    <t>PUR01250</t>
  </si>
  <si>
    <t>PUR01251</t>
  </si>
  <si>
    <t>PUR01252</t>
  </si>
  <si>
    <t>PUR01253</t>
  </si>
  <si>
    <t>PUR01254</t>
  </si>
  <si>
    <t>PUR01255</t>
  </si>
  <si>
    <t>PUR01256</t>
  </si>
  <si>
    <t>PUR01257</t>
  </si>
  <si>
    <t>PUR01258</t>
  </si>
  <si>
    <t>PUR01259</t>
  </si>
  <si>
    <t>PUR01260</t>
  </si>
  <si>
    <t>PUR01261</t>
  </si>
  <si>
    <t>PUR01262</t>
  </si>
  <si>
    <t>PUR01263</t>
  </si>
  <si>
    <t>PUR01264</t>
  </si>
  <si>
    <t>PUR01265</t>
  </si>
  <si>
    <t>PUR01266</t>
  </si>
  <si>
    <t>PUR01267</t>
  </si>
  <si>
    <t>PUR01268</t>
  </si>
  <si>
    <t>PUR01269</t>
  </si>
  <si>
    <t>PUR01270</t>
  </si>
  <si>
    <t>PUR01271</t>
  </si>
  <si>
    <t>PUR01272</t>
  </si>
  <si>
    <t>PUR01273</t>
  </si>
  <si>
    <t>PUR01274</t>
  </si>
  <si>
    <t>PUR01275</t>
  </si>
  <si>
    <t>PUR01276</t>
  </si>
  <si>
    <t>PUR01277</t>
  </si>
  <si>
    <t>PUR01278</t>
  </si>
  <si>
    <t>PUR01279</t>
  </si>
  <si>
    <t>PUR01280</t>
  </si>
  <si>
    <t>PUR01281</t>
  </si>
  <si>
    <t>PUR01282</t>
  </si>
  <si>
    <t>PUR01283</t>
  </si>
  <si>
    <t>PUR01284</t>
  </si>
  <si>
    <t>PUR01285</t>
  </si>
  <si>
    <t>PUR01286</t>
  </si>
  <si>
    <t>PUR01287</t>
  </si>
  <si>
    <t>PUR01288</t>
  </si>
  <si>
    <t>PUR01289</t>
  </si>
  <si>
    <t>PUR01290</t>
  </si>
  <si>
    <t>PUR01291</t>
  </si>
  <si>
    <t>PUR01292</t>
  </si>
  <si>
    <t>PUR01293</t>
  </si>
  <si>
    <t>PUR01294</t>
  </si>
  <si>
    <t>PUR01295</t>
  </si>
  <si>
    <t>PUR01296</t>
  </si>
  <si>
    <t>PUR01297</t>
  </si>
  <si>
    <t>PUR01298</t>
  </si>
  <si>
    <t>PUR01299</t>
  </si>
  <si>
    <t>PUR01300</t>
  </si>
  <si>
    <t>PUR01301</t>
  </si>
  <si>
    <t>PUR01302</t>
  </si>
  <si>
    <t>PUR01303</t>
  </si>
  <si>
    <t>PUR01304</t>
  </si>
  <si>
    <t>PUR01305</t>
  </si>
  <si>
    <t>PUR01306</t>
  </si>
  <si>
    <t>PUR01307</t>
  </si>
  <si>
    <t>PUR01308</t>
  </si>
  <si>
    <t>PUR01309</t>
  </si>
  <si>
    <t>PUR01310</t>
  </si>
  <si>
    <t>PUR01311</t>
  </si>
  <si>
    <t>PUR01312</t>
  </si>
  <si>
    <t>PUR01313</t>
  </si>
  <si>
    <t>PUR01314</t>
  </si>
  <si>
    <t>PUR01315</t>
  </si>
  <si>
    <t>PUR01316</t>
  </si>
  <si>
    <t>PUR01317</t>
  </si>
  <si>
    <t>PUR01318</t>
  </si>
  <si>
    <t>PUR01319</t>
  </si>
  <si>
    <t>PUR01320</t>
  </si>
  <si>
    <t>PUR01321</t>
  </si>
  <si>
    <t>PUR01322</t>
  </si>
  <si>
    <t>PUR01323</t>
  </si>
  <si>
    <t>PUR01324</t>
  </si>
  <si>
    <t>PUR01325</t>
  </si>
  <si>
    <t>PUR01326</t>
  </si>
  <si>
    <t>PUR01327</t>
  </si>
  <si>
    <t>PUR01328</t>
  </si>
  <si>
    <t>PUR01329</t>
  </si>
  <si>
    <t>PUR01330</t>
  </si>
  <si>
    <t>PUR01331</t>
  </si>
  <si>
    <t>PUR01332</t>
  </si>
  <si>
    <t>PUR01333</t>
  </si>
  <si>
    <t>PUR01334</t>
  </si>
  <si>
    <t>PUR01335</t>
  </si>
  <si>
    <t>PUR01336</t>
  </si>
  <si>
    <t>PUR01337</t>
  </si>
  <si>
    <t>PUR01338</t>
  </si>
  <si>
    <t>PUR01339</t>
  </si>
  <si>
    <t>PUR01340</t>
  </si>
  <si>
    <t>PUR01341</t>
  </si>
  <si>
    <t>PUR01342</t>
  </si>
  <si>
    <t>PUR01343</t>
  </si>
  <si>
    <t>PUR01344</t>
  </si>
  <si>
    <t>PUR01345</t>
  </si>
  <si>
    <t>PUR01346</t>
  </si>
  <si>
    <t>PUR01347</t>
  </si>
  <si>
    <t>PUR01348</t>
  </si>
  <si>
    <t>PUR01349</t>
  </si>
  <si>
    <t>PUR01350</t>
  </si>
  <si>
    <t>PUR01351</t>
  </si>
  <si>
    <t>PUR01352</t>
  </si>
  <si>
    <t>PUR01353</t>
  </si>
  <si>
    <t>PUR01354</t>
  </si>
  <si>
    <t>PUR01355</t>
  </si>
  <si>
    <t>PUR01356</t>
  </si>
  <si>
    <t>PUR01357</t>
  </si>
  <si>
    <t>PUR01358</t>
  </si>
  <si>
    <t>PUR01359</t>
  </si>
  <si>
    <t>PUR01360</t>
  </si>
  <si>
    <t>PUR01361</t>
  </si>
  <si>
    <t>PUR01362</t>
  </si>
  <si>
    <t>PUR01363</t>
  </si>
  <si>
    <t>PUR01364</t>
  </si>
  <si>
    <t>PUR01365</t>
  </si>
  <si>
    <t>PUR01366</t>
  </si>
  <si>
    <t>PUR01367</t>
  </si>
  <si>
    <t>PUR01368</t>
  </si>
  <si>
    <t>PUR01369</t>
  </si>
  <si>
    <t>PUR01370</t>
  </si>
  <si>
    <t>PUR01371</t>
  </si>
  <si>
    <t>PUR01372</t>
  </si>
  <si>
    <t>PUR01373</t>
  </si>
  <si>
    <t>PUR01374</t>
  </si>
  <si>
    <t>PUR01375</t>
  </si>
  <si>
    <t>PUR01376</t>
  </si>
  <si>
    <t>PUR01377</t>
  </si>
  <si>
    <t>PUR01378</t>
  </si>
  <si>
    <t>PUR01379</t>
  </si>
  <si>
    <t>PUR01380</t>
  </si>
  <si>
    <t>PUR01381</t>
  </si>
  <si>
    <t>PUR01382</t>
  </si>
  <si>
    <t>PUR01383</t>
  </si>
  <si>
    <t>PUR01384</t>
  </si>
  <si>
    <t>PUR01385</t>
  </si>
  <si>
    <t>PUR01386</t>
  </si>
  <si>
    <t>PUR01387</t>
  </si>
  <si>
    <t>PUR01388</t>
  </si>
  <si>
    <t>PUR01389</t>
  </si>
  <si>
    <t>PUR01390</t>
  </si>
  <si>
    <t>PUR01391</t>
  </si>
  <si>
    <t>PUR01392</t>
  </si>
  <si>
    <t>PUR01393</t>
  </si>
  <si>
    <t>PUR01394</t>
  </si>
  <si>
    <t>PUR01395</t>
  </si>
  <si>
    <t>PUR01396</t>
  </si>
  <si>
    <t>PUR01397</t>
  </si>
  <si>
    <t>PUR01398</t>
  </si>
  <si>
    <t>PUR01399</t>
  </si>
  <si>
    <t>PUR01400</t>
  </si>
  <si>
    <t>PUR01401</t>
  </si>
  <si>
    <t>PUR01402</t>
  </si>
  <si>
    <t>PUR01403</t>
  </si>
  <si>
    <t>PUR01404</t>
  </si>
  <si>
    <t>PUR01405</t>
  </si>
  <si>
    <t>PUR01406</t>
  </si>
  <si>
    <t>PUR01407</t>
  </si>
  <si>
    <t>PUR01408</t>
  </si>
  <si>
    <t>PUR01409</t>
  </si>
  <si>
    <t>PUR01410</t>
  </si>
  <si>
    <t>PUR01411</t>
  </si>
  <si>
    <t>PUR01412</t>
  </si>
  <si>
    <t>PUR01413</t>
  </si>
  <si>
    <t>PUR01414</t>
  </si>
  <si>
    <t>PUR01415</t>
  </si>
  <si>
    <t>PUR01416</t>
  </si>
  <si>
    <t>PUR01417</t>
  </si>
  <si>
    <t>PUR01418</t>
  </si>
  <si>
    <t>PUR01419</t>
  </si>
  <si>
    <t>PUR01420</t>
  </si>
  <si>
    <t>PUR01421</t>
  </si>
  <si>
    <t>PUR01422</t>
  </si>
  <si>
    <t>PUR01423</t>
  </si>
  <si>
    <t>PUR01424</t>
  </si>
  <si>
    <t>PUR01425</t>
  </si>
  <si>
    <t>PUR01426</t>
  </si>
  <si>
    <t>PUR01427</t>
  </si>
  <si>
    <t>PUR01428</t>
  </si>
  <si>
    <t>PUR01429</t>
  </si>
  <si>
    <t>PUR01430</t>
  </si>
  <si>
    <t>PUR01431</t>
  </si>
  <si>
    <t>PUR01432</t>
  </si>
  <si>
    <t>PUR01433</t>
  </si>
  <si>
    <t>PUR01434</t>
  </si>
  <si>
    <t>PUR01435</t>
  </si>
  <si>
    <t>PUR01436</t>
  </si>
  <si>
    <t>PUR01437</t>
  </si>
  <si>
    <t>PUR01438</t>
  </si>
  <si>
    <t>PUR01439</t>
  </si>
  <si>
    <t>PUR01440</t>
  </si>
  <si>
    <t>PUR01441</t>
  </si>
  <si>
    <t>PUR01442</t>
  </si>
  <si>
    <t>PUR01443</t>
  </si>
  <si>
    <t>PUR01444</t>
  </si>
  <si>
    <t>PUR01445</t>
  </si>
  <si>
    <t>PUR01446</t>
  </si>
  <si>
    <t>PUR01447</t>
  </si>
  <si>
    <t>PUR01448</t>
  </si>
  <si>
    <t>PUR01449</t>
  </si>
  <si>
    <t>PUR01450</t>
  </si>
  <si>
    <t>PUR01451</t>
  </si>
  <si>
    <t>PUR01452</t>
  </si>
  <si>
    <t>PUR01453</t>
  </si>
  <si>
    <t>PUR01454</t>
  </si>
  <si>
    <t>PUR01455</t>
  </si>
  <si>
    <t>PUR01456</t>
  </si>
  <si>
    <t>PUR01457</t>
  </si>
  <si>
    <t>PUR01458</t>
  </si>
  <si>
    <t>PUR01459</t>
  </si>
  <si>
    <t>PUR01460</t>
  </si>
  <si>
    <t>PUR01461</t>
  </si>
  <si>
    <t>PUR01462</t>
  </si>
  <si>
    <t>PUR01463</t>
  </si>
  <si>
    <t>PUR01464</t>
  </si>
  <si>
    <t>PUR01465</t>
  </si>
  <si>
    <t>PUR01466</t>
  </si>
  <si>
    <t>PUR01467</t>
  </si>
  <si>
    <t>PUR01468</t>
  </si>
  <si>
    <t>PUR01469</t>
  </si>
  <si>
    <t>PUR01470</t>
  </si>
  <si>
    <t>PUR01471</t>
  </si>
  <si>
    <t>PUR01472</t>
  </si>
  <si>
    <t>PUR01473</t>
  </si>
  <si>
    <t>PUR01474</t>
  </si>
  <si>
    <t>PUR01475</t>
  </si>
  <si>
    <t>PUR01476</t>
  </si>
  <si>
    <t>PUR01477</t>
  </si>
  <si>
    <t>PUR01478</t>
  </si>
  <si>
    <t>PUR01479</t>
  </si>
  <si>
    <t>PUR01480</t>
  </si>
  <si>
    <t>PUR01481</t>
  </si>
  <si>
    <t>PUR01482</t>
  </si>
  <si>
    <t>PUR01483</t>
  </si>
  <si>
    <t>PUR01484</t>
  </si>
  <si>
    <t>PUR01485</t>
  </si>
  <si>
    <t>PUR01486</t>
  </si>
  <si>
    <t>PUR01487</t>
  </si>
  <si>
    <t>PUR01488</t>
  </si>
  <si>
    <t>PUR01489</t>
  </si>
  <si>
    <t>PUR01490</t>
  </si>
  <si>
    <t>PUR01491</t>
  </si>
  <si>
    <t>PUR01492</t>
  </si>
  <si>
    <t>PUR01493</t>
  </si>
  <si>
    <t>PUR01494</t>
  </si>
  <si>
    <t>PUR01495</t>
  </si>
  <si>
    <t>PUR01496</t>
  </si>
  <si>
    <t>PUR01497</t>
  </si>
  <si>
    <t>PUR01498</t>
  </si>
  <si>
    <t>PUR01499</t>
  </si>
  <si>
    <t>PUR01500</t>
  </si>
  <si>
    <t>treasury_id</t>
  </si>
  <si>
    <t>month_end</t>
  </si>
  <si>
    <t>opening_cash</t>
  </si>
  <si>
    <t>cash_inflows</t>
  </si>
  <si>
    <t>cash_outflows</t>
  </si>
  <si>
    <t>net_borrowing</t>
  </si>
  <si>
    <t>inventory</t>
  </si>
  <si>
    <t>trade_receivables</t>
  </si>
  <si>
    <t>current_assets</t>
  </si>
  <si>
    <t>current_liabilities</t>
  </si>
  <si>
    <t>short_term_debt_due_30d</t>
  </si>
  <si>
    <t>undrawn_credit_line</t>
  </si>
  <si>
    <t>closing_cash</t>
  </si>
  <si>
    <t>TR0001</t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</si>
  <si>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</si>
  <si>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</si>
  <si>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</si>
  <si>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</si>
  <si>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</si>
  <si>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</si>
  <si>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</si>
  <si>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</si>
  <si>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</si>
  <si>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</si>
  <si>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</si>
  <si>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</si>
  <si>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</si>
  <si>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</si>
  <si>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</si>
  <si>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</si>
  <si>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</si>
  <si>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</si>
  <si>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</si>
  <si>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</si>
  <si>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</si>
  <si>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</si>
  <si>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</si>
  <si>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</si>
  <si>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</si>
  <si>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</si>
  <si>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</si>
  <si>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</si>
  <si>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</si>
  <si>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</si>
  <si>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</si>
  <si>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</si>
  <si>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</si>
  <si>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</si>
  <si>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</si>
  <si>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</si>
  <si>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</si>
  <si>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</si>
  <si>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</si>
  <si>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</si>
  <si>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</si>
  <si>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</si>
  <si>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</si>
  <si>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</si>
  <si>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</si>
  <si>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</si>
  <si>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</si>
  <si>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</si>
  <si>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</si>
  <si>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</si>
  <si>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</si>
  <si>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</si>
  <si>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</si>
  <si>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</si>
  <si>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</si>
  <si>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</si>
  <si>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</si>
  <si>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</si>
  <si>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</si>
  <si>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</si>
  <si>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</si>
  <si>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</si>
  <si>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</si>
  <si>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</si>
  <si>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</si>
  <si>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</si>
  <si>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</si>
  <si>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</si>
  <si>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</si>
  <si>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</si>
  <si>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</si>
  <si>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</si>
  <si>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</si>
  <si>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</si>
  <si>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</si>
  <si>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</si>
  <si>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</si>
  <si>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</si>
  <si>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</si>
  <si>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</si>
  <si>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</si>
  <si>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</si>
  <si>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</si>
  <si>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</si>
  <si>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</si>
  <si>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</si>
  <si>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</si>
  <si>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</si>
  <si>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</si>
  <si>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</si>
  <si>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</si>
  <si>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</si>
  <si>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</si>
  <si>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</si>
  <si>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</si>
  <si>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</si>
  <si>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</si>
  <si>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</si>
  <si>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</si>
  <si>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</si>
  <si>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</si>
  <si>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</si>
  <si>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</si>
  <si>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</si>
  <si>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</si>
  <si>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</si>
  <si>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</si>
  <si>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</si>
  <si>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</si>
  <si>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</si>
  <si>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</si>
  <si>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</si>
  <si>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</si>
  <si>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</si>
  <si>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</si>
  <si>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</si>
  <si>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</si>
  <si>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</si>
  <si>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bu_name</t>
  </si>
  <si>
    <t>primary_product</t>
  </si>
  <si>
    <t>target_hedge_ratio</t>
  </si>
  <si>
    <t>hedging_policy</t>
  </si>
  <si>
    <t>sanctioned_credit_line_inr</t>
  </si>
  <si>
    <t>Packaging Films</t>
  </si>
  <si>
    <t>Flexible packaging films</t>
  </si>
  <si>
    <t>Hedge 60-80% of USD/EUR exports and crude-linked feedstock</t>
  </si>
  <si>
    <t>Industrial Resins</t>
  </si>
  <si>
    <t>Commodity and industrial resins</t>
  </si>
  <si>
    <t>Hedge 20% of crude-linked feedstock; exports left open</t>
  </si>
  <si>
    <t>Specialty Chemicals</t>
  </si>
  <si>
    <t>Specialty chemicals for export</t>
  </si>
  <si>
    <t>Hedge about 50% of EUR/USD exports</t>
  </si>
  <si>
    <t>Consumer Plastics</t>
  </si>
  <si>
    <t>Domestic consumer plastics</t>
  </si>
  <si>
    <t>Hedge about 50% of feedstock; mainly INR sales</t>
  </si>
  <si>
    <t>Engineering Compounds</t>
  </si>
  <si>
    <t>Engineering plastic compounds</t>
  </si>
  <si>
    <t>Hedge 30-40% of feedstock and exports</t>
  </si>
  <si>
    <t>price_id</t>
  </si>
  <si>
    <t>date</t>
  </si>
  <si>
    <t>asset</t>
  </si>
  <si>
    <t>asset_class</t>
  </si>
  <si>
    <t>price</t>
  </si>
  <si>
    <t>source</t>
  </si>
  <si>
    <t>carried_forward</t>
  </si>
  <si>
    <t>MP00522</t>
  </si>
  <si>
    <t>EUR/INR</t>
  </si>
  <si>
    <t>FX</t>
  </si>
  <si>
    <t>INR per EUR</t>
  </si>
  <si>
    <t>Derived: FRED DEXUSEU x DEXINUS (Federal Reserve H.10)</t>
  </si>
  <si>
    <t>No</t>
  </si>
  <si>
    <t>MP00523</t>
  </si>
  <si>
    <t>MP00524</t>
  </si>
  <si>
    <t>MP00525</t>
  </si>
  <si>
    <t>MP00526</t>
  </si>
  <si>
    <t>MP00527</t>
  </si>
  <si>
    <t>MP00528</t>
  </si>
  <si>
    <t>MP00529</t>
  </si>
  <si>
    <t>MP00530</t>
  </si>
  <si>
    <t>MP00531</t>
  </si>
  <si>
    <t>MP00532</t>
  </si>
  <si>
    <t>MP00533</t>
  </si>
  <si>
    <t>MP00534</t>
  </si>
  <si>
    <t>MP00535</t>
  </si>
  <si>
    <t>MP00536</t>
  </si>
  <si>
    <t>MP00537</t>
  </si>
  <si>
    <t>MP00538</t>
  </si>
  <si>
    <t>MP00539</t>
  </si>
  <si>
    <t>MP00540</t>
  </si>
  <si>
    <t>MP00541</t>
  </si>
  <si>
    <t>MP00542</t>
  </si>
  <si>
    <t>MP00543</t>
  </si>
  <si>
    <t>MP00544</t>
  </si>
  <si>
    <t>MP00545</t>
  </si>
  <si>
    <t>MP00546</t>
  </si>
  <si>
    <t>MP00547</t>
  </si>
  <si>
    <t>MP00548</t>
  </si>
  <si>
    <t>MP00549</t>
  </si>
  <si>
    <t>MP00550</t>
  </si>
  <si>
    <t>MP00551</t>
  </si>
  <si>
    <t>MP00552</t>
  </si>
  <si>
    <t>MP00553</t>
  </si>
  <si>
    <t>MP00554</t>
  </si>
  <si>
    <t>MP00555</t>
  </si>
  <si>
    <t>MP00556</t>
  </si>
  <si>
    <t>MP00557</t>
  </si>
  <si>
    <t>MP00558</t>
  </si>
  <si>
    <t>MP00559</t>
  </si>
  <si>
    <t>MP00560</t>
  </si>
  <si>
    <t>MP00561</t>
  </si>
  <si>
    <t>MP00562</t>
  </si>
  <si>
    <t>Yes</t>
  </si>
  <si>
    <t>MP00563</t>
  </si>
  <si>
    <t>MP00564</t>
  </si>
  <si>
    <t>MP00565</t>
  </si>
  <si>
    <t>MP00566</t>
  </si>
  <si>
    <t>MP00567</t>
  </si>
  <si>
    <t>MP00568</t>
  </si>
  <si>
    <t>MP00569</t>
  </si>
  <si>
    <t>MP00570</t>
  </si>
  <si>
    <t>MP00571</t>
  </si>
  <si>
    <t>MP00572</t>
  </si>
  <si>
    <t>MP00573</t>
  </si>
  <si>
    <t>MP00574</t>
  </si>
  <si>
    <t>MP00575</t>
  </si>
  <si>
    <t>MP00576</t>
  </si>
  <si>
    <t>MP00577</t>
  </si>
  <si>
    <t>MP00578</t>
  </si>
  <si>
    <t>MP00579</t>
  </si>
  <si>
    <t>MP00580</t>
  </si>
  <si>
    <t>MP00581</t>
  </si>
  <si>
    <t>MP00582</t>
  </si>
  <si>
    <t>MP00583</t>
  </si>
  <si>
    <t>MP00584</t>
  </si>
  <si>
    <t>MP00585</t>
  </si>
  <si>
    <t>MP00586</t>
  </si>
  <si>
    <t>MP00587</t>
  </si>
  <si>
    <t>MP00588</t>
  </si>
  <si>
    <t>MP00589</t>
  </si>
  <si>
    <t>MP00590</t>
  </si>
  <si>
    <t>MP00591</t>
  </si>
  <si>
    <t>MP00592</t>
  </si>
  <si>
    <t>MP00593</t>
  </si>
  <si>
    <t>MP00594</t>
  </si>
  <si>
    <t>MP00595</t>
  </si>
  <si>
    <t>MP00596</t>
  </si>
  <si>
    <t>MP00597</t>
  </si>
  <si>
    <t>MP00598</t>
  </si>
  <si>
    <t>MP00599</t>
  </si>
  <si>
    <t>MP00600</t>
  </si>
  <si>
    <t>MP00601</t>
  </si>
  <si>
    <t>MP00602</t>
  </si>
  <si>
    <t>MP00603</t>
  </si>
  <si>
    <t>MP00604</t>
  </si>
  <si>
    <t>MP00605</t>
  </si>
  <si>
    <t>MP00606</t>
  </si>
  <si>
    <t>MP00607</t>
  </si>
  <si>
    <t>MP00608</t>
  </si>
  <si>
    <t>MP00609</t>
  </si>
  <si>
    <t>MP00610</t>
  </si>
  <si>
    <t>MP00611</t>
  </si>
  <si>
    <t>MP00612</t>
  </si>
  <si>
    <t>MP00613</t>
  </si>
  <si>
    <t>MP00614</t>
  </si>
  <si>
    <t>MP00615</t>
  </si>
  <si>
    <t>MP00616</t>
  </si>
  <si>
    <t>MP00617</t>
  </si>
  <si>
    <t>MP00618</t>
  </si>
  <si>
    <t>MP00619</t>
  </si>
  <si>
    <t>MP00620</t>
  </si>
  <si>
    <t>MP00621</t>
  </si>
  <si>
    <t>MP00622</t>
  </si>
  <si>
    <t>MP00623</t>
  </si>
  <si>
    <t>MP00624</t>
  </si>
  <si>
    <t>MP00625</t>
  </si>
  <si>
    <t>MP00626</t>
  </si>
  <si>
    <t>MP00627</t>
  </si>
  <si>
    <t>MP00628</t>
  </si>
  <si>
    <t>MP00629</t>
  </si>
  <si>
    <t>MP00630</t>
  </si>
  <si>
    <t>MP00631</t>
  </si>
  <si>
    <t>MP00632</t>
  </si>
  <si>
    <t>MP00633</t>
  </si>
  <si>
    <t>MP00634</t>
  </si>
  <si>
    <t>MP00635</t>
  </si>
  <si>
    <t>MP00636</t>
  </si>
  <si>
    <t>MP00637</t>
  </si>
  <si>
    <t>MP00638</t>
  </si>
  <si>
    <t>MP00639</t>
  </si>
  <si>
    <t>MP00640</t>
  </si>
  <si>
    <t>MP00641</t>
  </si>
  <si>
    <t>MP00642</t>
  </si>
  <si>
    <t>MP00643</t>
  </si>
  <si>
    <t>MP00644</t>
  </si>
  <si>
    <t>MP00645</t>
  </si>
  <si>
    <t>MP00646</t>
  </si>
  <si>
    <t>MP00647</t>
  </si>
  <si>
    <t>MP00648</t>
  </si>
  <si>
    <t>MP00649</t>
  </si>
  <si>
    <t>MP00650</t>
  </si>
  <si>
    <t>MP00651</t>
  </si>
  <si>
    <t>MP00652</t>
  </si>
  <si>
    <t>MP00653</t>
  </si>
  <si>
    <t>MP00654</t>
  </si>
  <si>
    <t>MP00655</t>
  </si>
  <si>
    <t>MP00656</t>
  </si>
  <si>
    <t>MP00657</t>
  </si>
  <si>
    <t>MP00658</t>
  </si>
  <si>
    <t>MP00659</t>
  </si>
  <si>
    <t>MP00660</t>
  </si>
  <si>
    <t>MP00661</t>
  </si>
  <si>
    <t>MP00662</t>
  </si>
  <si>
    <t>MP00663</t>
  </si>
  <si>
    <t>MP00664</t>
  </si>
  <si>
    <t>MP00665</t>
  </si>
  <si>
    <t>MP00666</t>
  </si>
  <si>
    <t>MP00667</t>
  </si>
  <si>
    <t>MP00668</t>
  </si>
  <si>
    <t>MP00669</t>
  </si>
  <si>
    <t>MP00670</t>
  </si>
  <si>
    <t>MP00671</t>
  </si>
  <si>
    <t>MP00672</t>
  </si>
  <si>
    <t>MP00673</t>
  </si>
  <si>
    <t>MP00674</t>
  </si>
  <si>
    <t>MP00675</t>
  </si>
  <si>
    <t>MP00676</t>
  </si>
  <si>
    <t>MP00677</t>
  </si>
  <si>
    <t>MP00678</t>
  </si>
  <si>
    <t>MP00679</t>
  </si>
  <si>
    <t>MP00680</t>
  </si>
  <si>
    <t>MP00681</t>
  </si>
  <si>
    <t>MP00682</t>
  </si>
  <si>
    <t>MP00683</t>
  </si>
  <si>
    <t>MP00684</t>
  </si>
  <si>
    <t>MP00685</t>
  </si>
  <si>
    <t>MP00686</t>
  </si>
  <si>
    <t>MP00687</t>
  </si>
  <si>
    <t>MP00688</t>
  </si>
  <si>
    <t>MP00689</t>
  </si>
  <si>
    <t>MP00690</t>
  </si>
  <si>
    <t>MP00691</t>
  </si>
  <si>
    <t>MP00692</t>
  </si>
  <si>
    <t>MP00693</t>
  </si>
  <si>
    <t>MP00694</t>
  </si>
  <si>
    <t>MP00695</t>
  </si>
  <si>
    <t>MP00696</t>
  </si>
  <si>
    <t>MP00697</t>
  </si>
  <si>
    <t>MP00698</t>
  </si>
  <si>
    <t>MP00699</t>
  </si>
  <si>
    <t>MP00700</t>
  </si>
  <si>
    <t>MP00701</t>
  </si>
  <si>
    <t>MP00702</t>
  </si>
  <si>
    <t>MP00703</t>
  </si>
  <si>
    <t>MP00704</t>
  </si>
  <si>
    <t>MP00705</t>
  </si>
  <si>
    <t>MP00706</t>
  </si>
  <si>
    <t>MP00707</t>
  </si>
  <si>
    <t>MP00708</t>
  </si>
  <si>
    <t>MP00709</t>
  </si>
  <si>
    <t>MP00710</t>
  </si>
  <si>
    <t>MP00711</t>
  </si>
  <si>
    <t>MP00712</t>
  </si>
  <si>
    <t>MP00713</t>
  </si>
  <si>
    <t>MP00714</t>
  </si>
  <si>
    <t>MP00715</t>
  </si>
  <si>
    <t>MP00716</t>
  </si>
  <si>
    <t>MP00717</t>
  </si>
  <si>
    <t>MP00718</t>
  </si>
  <si>
    <t>MP00719</t>
  </si>
  <si>
    <t>MP00720</t>
  </si>
  <si>
    <t>MP00721</t>
  </si>
  <si>
    <t>MP00722</t>
  </si>
  <si>
    <t>MP00723</t>
  </si>
  <si>
    <t>MP00724</t>
  </si>
  <si>
    <t>MP00725</t>
  </si>
  <si>
    <t>MP00726</t>
  </si>
  <si>
    <t>MP00727</t>
  </si>
  <si>
    <t>MP00728</t>
  </si>
  <si>
    <t>MP00729</t>
  </si>
  <si>
    <t>MP00730</t>
  </si>
  <si>
    <t>MP00731</t>
  </si>
  <si>
    <t>MP00732</t>
  </si>
  <si>
    <t>MP00733</t>
  </si>
  <si>
    <t>MP00734</t>
  </si>
  <si>
    <t>MP00735</t>
  </si>
  <si>
    <t>MP00736</t>
  </si>
  <si>
    <t>MP00737</t>
  </si>
  <si>
    <t>MP00738</t>
  </si>
  <si>
    <t>MP00739</t>
  </si>
  <si>
    <t>MP00740</t>
  </si>
  <si>
    <t>MP00741</t>
  </si>
  <si>
    <t>MP00742</t>
  </si>
  <si>
    <t>MP00743</t>
  </si>
  <si>
    <t>MP00744</t>
  </si>
  <si>
    <t>MP00745</t>
  </si>
  <si>
    <t>MP00746</t>
  </si>
  <si>
    <t>MP00747</t>
  </si>
  <si>
    <t>MP00748</t>
  </si>
  <si>
    <t>MP00749</t>
  </si>
  <si>
    <t>MP00750</t>
  </si>
  <si>
    <t>MP00751</t>
  </si>
  <si>
    <t>MP00752</t>
  </si>
  <si>
    <t>MP00753</t>
  </si>
  <si>
    <t>MP00754</t>
  </si>
  <si>
    <t>MP00755</t>
  </si>
  <si>
    <t>MP00756</t>
  </si>
  <si>
    <t>MP00757</t>
  </si>
  <si>
    <t>MP00758</t>
  </si>
  <si>
    <t>MP00759</t>
  </si>
  <si>
    <t>MP00760</t>
  </si>
  <si>
    <t>MP00761</t>
  </si>
  <si>
    <t>MP00762</t>
  </si>
  <si>
    <t>MP00763</t>
  </si>
  <si>
    <t>MP00764</t>
  </si>
  <si>
    <t>MP00765</t>
  </si>
  <si>
    <t>MP00766</t>
  </si>
  <si>
    <t>MP00767</t>
  </si>
  <si>
    <t>MP00768</t>
  </si>
  <si>
    <t>MP00769</t>
  </si>
  <si>
    <t>MP00770</t>
  </si>
  <si>
    <t>MP00771</t>
  </si>
  <si>
    <t>MP00772</t>
  </si>
  <si>
    <t>MP00773</t>
  </si>
  <si>
    <t>MP00774</t>
  </si>
  <si>
    <t>MP00775</t>
  </si>
  <si>
    <t>MP00776</t>
  </si>
  <si>
    <t>MP00777</t>
  </si>
  <si>
    <t>MP00778</t>
  </si>
  <si>
    <t>MP00779</t>
  </si>
  <si>
    <t>MP00780</t>
  </si>
  <si>
    <t>MP00781</t>
  </si>
  <si>
    <t>MP00782</t>
  </si>
  <si>
    <t>MP00783</t>
  </si>
  <si>
    <t>MP00784</t>
  </si>
  <si>
    <t>MP00785</t>
  </si>
  <si>
    <t>MP00786</t>
  </si>
  <si>
    <t>MP00787</t>
  </si>
  <si>
    <t>MP00788</t>
  </si>
  <si>
    <t>MP00789</t>
  </si>
  <si>
    <t>MP00790</t>
  </si>
  <si>
    <t>MP00791</t>
  </si>
  <si>
    <t>MP00792</t>
  </si>
  <si>
    <t>MP00793</t>
  </si>
  <si>
    <t>MP00794</t>
  </si>
  <si>
    <t>MP00795</t>
  </si>
  <si>
    <t>MP00796</t>
  </si>
  <si>
    <t>MP00797</t>
  </si>
  <si>
    <t>MP00798</t>
  </si>
  <si>
    <t>MP00799</t>
  </si>
  <si>
    <t>MP00800</t>
  </si>
  <si>
    <t>MP00801</t>
  </si>
  <si>
    <t>MP00802</t>
  </si>
  <si>
    <t>MP00803</t>
  </si>
  <si>
    <t>MP00804</t>
  </si>
  <si>
    <t>MP00805</t>
  </si>
  <si>
    <t>MP00806</t>
  </si>
  <si>
    <t>MP00807</t>
  </si>
  <si>
    <t>MP00808</t>
  </si>
  <si>
    <t>MP00809</t>
  </si>
  <si>
    <t>MP00810</t>
  </si>
  <si>
    <t>MP00811</t>
  </si>
  <si>
    <t>MP00812</t>
  </si>
  <si>
    <t>MP00813</t>
  </si>
  <si>
    <t>MP00814</t>
  </si>
  <si>
    <t>MP00815</t>
  </si>
  <si>
    <t>MP00816</t>
  </si>
  <si>
    <t>MP00817</t>
  </si>
  <si>
    <t>MP00818</t>
  </si>
  <si>
    <t>MP00819</t>
  </si>
  <si>
    <t>MP00820</t>
  </si>
  <si>
    <t>MP00821</t>
  </si>
  <si>
    <t>MP00822</t>
  </si>
  <si>
    <t>MP00823</t>
  </si>
  <si>
    <t>MP00824</t>
  </si>
  <si>
    <t>MP00825</t>
  </si>
  <si>
    <t>MP00826</t>
  </si>
  <si>
    <t>MP00827</t>
  </si>
  <si>
    <t>MP00828</t>
  </si>
  <si>
    <t>MP00829</t>
  </si>
  <si>
    <t>MP00830</t>
  </si>
  <si>
    <t>MP00831</t>
  </si>
  <si>
    <t>MP00832</t>
  </si>
  <si>
    <t>MP00833</t>
  </si>
  <si>
    <t>MP00834</t>
  </si>
  <si>
    <t>MP00835</t>
  </si>
  <si>
    <t>MP00836</t>
  </si>
  <si>
    <t>MP00837</t>
  </si>
  <si>
    <t>MP00838</t>
  </si>
  <si>
    <t>MP00839</t>
  </si>
  <si>
    <t>MP00840</t>
  </si>
  <si>
    <t>MP00841</t>
  </si>
  <si>
    <t>MP00842</t>
  </si>
  <si>
    <t>MP00843</t>
  </si>
  <si>
    <t>MP00844</t>
  </si>
  <si>
    <t>MP00845</t>
  </si>
  <si>
    <t>MP00846</t>
  </si>
  <si>
    <t>MP00847</t>
  </si>
  <si>
    <t>MP00848</t>
  </si>
  <si>
    <t>MP00849</t>
  </si>
  <si>
    <t>MP00850</t>
  </si>
  <si>
    <t>MP00851</t>
  </si>
  <si>
    <t>MP00852</t>
  </si>
  <si>
    <t>MP00853</t>
  </si>
  <si>
    <t>MP00854</t>
  </si>
  <si>
    <t>MP00855</t>
  </si>
  <si>
    <t>MP00856</t>
  </si>
  <si>
    <t>MP00857</t>
  </si>
  <si>
    <t>MP00858</t>
  </si>
  <si>
    <t>MP00859</t>
  </si>
  <si>
    <t>MP00860</t>
  </si>
  <si>
    <t>MP00861</t>
  </si>
  <si>
    <t>MP00862</t>
  </si>
  <si>
    <t>MP00863</t>
  </si>
  <si>
    <t>MP00864</t>
  </si>
  <si>
    <t>MP00865</t>
  </si>
  <si>
    <t>MP00866</t>
  </si>
  <si>
    <t>MP00867</t>
  </si>
  <si>
    <t>MP00868</t>
  </si>
  <si>
    <t>MP00869</t>
  </si>
  <si>
    <t>MP00870</t>
  </si>
  <si>
    <t>MP00871</t>
  </si>
  <si>
    <t>MP00872</t>
  </si>
  <si>
    <t>MP00873</t>
  </si>
  <si>
    <t>MP00874</t>
  </si>
  <si>
    <t>MP00875</t>
  </si>
  <si>
    <t>MP00876</t>
  </si>
  <si>
    <t>MP00877</t>
  </si>
  <si>
    <t>MP00878</t>
  </si>
  <si>
    <t>MP00879</t>
  </si>
  <si>
    <t>MP00880</t>
  </si>
  <si>
    <t>MP00881</t>
  </si>
  <si>
    <t>MP00882</t>
  </si>
  <si>
    <t>MP00883</t>
  </si>
  <si>
    <t>MP00884</t>
  </si>
  <si>
    <t>MP00885</t>
  </si>
  <si>
    <t>MP00886</t>
  </si>
  <si>
    <t>MP00887</t>
  </si>
  <si>
    <t>MP00888</t>
  </si>
  <si>
    <t>MP00889</t>
  </si>
  <si>
    <t>MP00890</t>
  </si>
  <si>
    <t>MP00891</t>
  </si>
  <si>
    <t>MP00892</t>
  </si>
  <si>
    <t>MP00893</t>
  </si>
  <si>
    <t>MP00894</t>
  </si>
  <si>
    <t>MP00895</t>
  </si>
  <si>
    <t>MP00896</t>
  </si>
  <si>
    <t>MP00897</t>
  </si>
  <si>
    <t>MP00898</t>
  </si>
  <si>
    <t>MP00899</t>
  </si>
  <si>
    <t>MP00900</t>
  </si>
  <si>
    <t>MP00901</t>
  </si>
  <si>
    <t>MP00902</t>
  </si>
  <si>
    <t>MP00903</t>
  </si>
  <si>
    <t>MP00904</t>
  </si>
  <si>
    <t>MP00905</t>
  </si>
  <si>
    <t>MP00906</t>
  </si>
  <si>
    <t>MP00907</t>
  </si>
  <si>
    <t>MP00908</t>
  </si>
  <si>
    <t>MP00909</t>
  </si>
  <si>
    <t>MP00910</t>
  </si>
  <si>
    <t>MP00911</t>
  </si>
  <si>
    <t>MP00912</t>
  </si>
  <si>
    <t>MP00913</t>
  </si>
  <si>
    <t>MP00914</t>
  </si>
  <si>
    <t>MP00915</t>
  </si>
  <si>
    <t>MP00916</t>
  </si>
  <si>
    <t>MP00917</t>
  </si>
  <si>
    <t>MP00918</t>
  </si>
  <si>
    <t>MP00919</t>
  </si>
  <si>
    <t>MP00920</t>
  </si>
  <si>
    <t>MP00921</t>
  </si>
  <si>
    <t>MP00922</t>
  </si>
  <si>
    <t>MP00923</t>
  </si>
  <si>
    <t>MP00924</t>
  </si>
  <si>
    <t>MP00925</t>
  </si>
  <si>
    <t>MP00926</t>
  </si>
  <si>
    <t>MP00927</t>
  </si>
  <si>
    <t>MP00928</t>
  </si>
  <si>
    <t>MP00929</t>
  </si>
  <si>
    <t>MP00930</t>
  </si>
  <si>
    <t>MP00931</t>
  </si>
  <si>
    <t>MP00932</t>
  </si>
  <si>
    <t>MP00933</t>
  </si>
  <si>
    <t>MP00934</t>
  </si>
  <si>
    <t>MP00935</t>
  </si>
  <si>
    <t>MP00936</t>
  </si>
  <si>
    <t>MP00937</t>
  </si>
  <si>
    <t>MP00938</t>
  </si>
  <si>
    <t>MP00939</t>
  </si>
  <si>
    <t>MP00940</t>
  </si>
  <si>
    <t>MP00941</t>
  </si>
  <si>
    <t>MP00942</t>
  </si>
  <si>
    <t>MP00943</t>
  </si>
  <si>
    <t>MP00944</t>
  </si>
  <si>
    <t>MP00945</t>
  </si>
  <si>
    <t>MP00946</t>
  </si>
  <si>
    <t>MP00947</t>
  </si>
  <si>
    <t>MP00948</t>
  </si>
  <si>
    <t>MP00949</t>
  </si>
  <si>
    <t>MP00950</t>
  </si>
  <si>
    <t>MP00951</t>
  </si>
  <si>
    <t>MP00952</t>
  </si>
  <si>
    <t>MP00953</t>
  </si>
  <si>
    <t>MP00954</t>
  </si>
  <si>
    <t>MP00955</t>
  </si>
  <si>
    <t>MP00956</t>
  </si>
  <si>
    <t>MP00957</t>
  </si>
  <si>
    <t>MP00958</t>
  </si>
  <si>
    <t>MP00959</t>
  </si>
  <si>
    <t>MP00960</t>
  </si>
  <si>
    <t>MP00961</t>
  </si>
  <si>
    <t>MP00962</t>
  </si>
  <si>
    <t>MP00963</t>
  </si>
  <si>
    <t>MP00964</t>
  </si>
  <si>
    <t>MP00965</t>
  </si>
  <si>
    <t>MP00966</t>
  </si>
  <si>
    <t>MP00967</t>
  </si>
  <si>
    <t>MP00968</t>
  </si>
  <si>
    <t>MP00969</t>
  </si>
  <si>
    <t>MP00970</t>
  </si>
  <si>
    <t>MP00971</t>
  </si>
  <si>
    <t>MP00972</t>
  </si>
  <si>
    <t>MP00973</t>
  </si>
  <si>
    <t>MP00974</t>
  </si>
  <si>
    <t>MP00975</t>
  </si>
  <si>
    <t>MP00976</t>
  </si>
  <si>
    <t>MP00977</t>
  </si>
  <si>
    <t>MP00978</t>
  </si>
  <si>
    <t>MP00979</t>
  </si>
  <si>
    <t>MP00980</t>
  </si>
  <si>
    <t>MP00981</t>
  </si>
  <si>
    <t>MP00982</t>
  </si>
  <si>
    <t>MP00983</t>
  </si>
  <si>
    <t>MP00984</t>
  </si>
  <si>
    <t>MP00985</t>
  </si>
  <si>
    <t>MP00986</t>
  </si>
  <si>
    <t>MP00987</t>
  </si>
  <si>
    <t>MP00988</t>
  </si>
  <si>
    <t>MP00989</t>
  </si>
  <si>
    <t>MP00990</t>
  </si>
  <si>
    <t>MP00991</t>
  </si>
  <si>
    <t>MP00992</t>
  </si>
  <si>
    <t>MP00993</t>
  </si>
  <si>
    <t>MP00994</t>
  </si>
  <si>
    <t>MP00995</t>
  </si>
  <si>
    <t>MP00996</t>
  </si>
  <si>
    <t>MP00997</t>
  </si>
  <si>
    <t>MP00998</t>
  </si>
  <si>
    <t>MP00999</t>
  </si>
  <si>
    <t>MP01000</t>
  </si>
  <si>
    <t>MP01001</t>
  </si>
  <si>
    <t>MP01002</t>
  </si>
  <si>
    <t>MP01003</t>
  </si>
  <si>
    <t>MP01004</t>
  </si>
  <si>
    <t>MP01005</t>
  </si>
  <si>
    <t>MP01006</t>
  </si>
  <si>
    <t>MP01007</t>
  </si>
  <si>
    <t>MP01008</t>
  </si>
  <si>
    <t>MP01009</t>
  </si>
  <si>
    <t>MP01010</t>
  </si>
  <si>
    <t>MP01011</t>
  </si>
  <si>
    <t>MP01012</t>
  </si>
  <si>
    <t>MP01013</t>
  </si>
  <si>
    <t>MP01014</t>
  </si>
  <si>
    <t>MP01015</t>
  </si>
  <si>
    <t>MP01016</t>
  </si>
  <si>
    <t>MP01017</t>
  </si>
  <si>
    <t>MP01018</t>
  </si>
  <si>
    <t>MP01019</t>
  </si>
  <si>
    <t>MP01020</t>
  </si>
  <si>
    <t>MP01021</t>
  </si>
  <si>
    <t>MP01022</t>
  </si>
  <si>
    <t>MP01023</t>
  </si>
  <si>
    <t>MP01024</t>
  </si>
  <si>
    <t>MP01025</t>
  </si>
  <si>
    <t>MP01026</t>
  </si>
  <si>
    <t>MP01027</t>
  </si>
  <si>
    <t>MP01028</t>
  </si>
  <si>
    <t>MP01029</t>
  </si>
  <si>
    <t>MP01030</t>
  </si>
  <si>
    <t>MP01031</t>
  </si>
  <si>
    <t>MP01032</t>
  </si>
  <si>
    <t>MP01033</t>
  </si>
  <si>
    <t>MP01034</t>
  </si>
  <si>
    <t>MP01035</t>
  </si>
  <si>
    <t>MP01036</t>
  </si>
  <si>
    <t>MP01037</t>
  </si>
  <si>
    <t>MP01038</t>
  </si>
  <si>
    <t>MP01039</t>
  </si>
  <si>
    <t>MP01040</t>
  </si>
  <si>
    <t>MP01041</t>
  </si>
  <si>
    <t>MP01042</t>
  </si>
  <si>
    <t>MP00001</t>
  </si>
  <si>
    <t>USD/INR</t>
  </si>
  <si>
    <t>INR per USD</t>
  </si>
  <si>
    <t>FRED DEXINUS (Federal Reserve H.10)</t>
  </si>
  <si>
    <t>MP00002</t>
  </si>
  <si>
    <t>MP00003</t>
  </si>
  <si>
    <t>MP00004</t>
  </si>
  <si>
    <t>MP00005</t>
  </si>
  <si>
    <t>MP00006</t>
  </si>
  <si>
    <t>MP00007</t>
  </si>
  <si>
    <t>MP00008</t>
  </si>
  <si>
    <t>MP00009</t>
  </si>
  <si>
    <t>MP00010</t>
  </si>
  <si>
    <t>MP00011</t>
  </si>
  <si>
    <t>MP00012</t>
  </si>
  <si>
    <t>MP00013</t>
  </si>
  <si>
    <t>MP00014</t>
  </si>
  <si>
    <t>MP00015</t>
  </si>
  <si>
    <t>MP00016</t>
  </si>
  <si>
    <t>MP00017</t>
  </si>
  <si>
    <t>MP00018</t>
  </si>
  <si>
    <t>MP00019</t>
  </si>
  <si>
    <t>MP00020</t>
  </si>
  <si>
    <t>MP00021</t>
  </si>
  <si>
    <t>MP00022</t>
  </si>
  <si>
    <t>MP00023</t>
  </si>
  <si>
    <t>MP00024</t>
  </si>
  <si>
    <t>MP00025</t>
  </si>
  <si>
    <t>MP00026</t>
  </si>
  <si>
    <t>MP00027</t>
  </si>
  <si>
    <t>MP00028</t>
  </si>
  <si>
    <t>MP00029</t>
  </si>
  <si>
    <t>MP00030</t>
  </si>
  <si>
    <t>MP00031</t>
  </si>
  <si>
    <t>MP00032</t>
  </si>
  <si>
    <t>MP00033</t>
  </si>
  <si>
    <t>MP00034</t>
  </si>
  <si>
    <t>MP00035</t>
  </si>
  <si>
    <t>MP00036</t>
  </si>
  <si>
    <t>MP00037</t>
  </si>
  <si>
    <t>MP00038</t>
  </si>
  <si>
    <t>MP00039</t>
  </si>
  <si>
    <t>MP00040</t>
  </si>
  <si>
    <t>MP00041</t>
  </si>
  <si>
    <t>MP00042</t>
  </si>
  <si>
    <t>MP00043</t>
  </si>
  <si>
    <t>MP00044</t>
  </si>
  <si>
    <t>MP00045</t>
  </si>
  <si>
    <t>MP00046</t>
  </si>
  <si>
    <t>MP00047</t>
  </si>
  <si>
    <t>MP00048</t>
  </si>
  <si>
    <t>MP00049</t>
  </si>
  <si>
    <t>MP00050</t>
  </si>
  <si>
    <t>MP00051</t>
  </si>
  <si>
    <t>MP00052</t>
  </si>
  <si>
    <t>MP00053</t>
  </si>
  <si>
    <t>MP00054</t>
  </si>
  <si>
    <t>MP00055</t>
  </si>
  <si>
    <t>MP00056</t>
  </si>
  <si>
    <t>MP00057</t>
  </si>
  <si>
    <t>MP00058</t>
  </si>
  <si>
    <t>MP00059</t>
  </si>
  <si>
    <t>MP00060</t>
  </si>
  <si>
    <t>MP00061</t>
  </si>
  <si>
    <t>MP00062</t>
  </si>
  <si>
    <t>MP00063</t>
  </si>
  <si>
    <t>MP00064</t>
  </si>
  <si>
    <t>MP00065</t>
  </si>
  <si>
    <t>MP00066</t>
  </si>
  <si>
    <t>MP00067</t>
  </si>
  <si>
    <t>MP00068</t>
  </si>
  <si>
    <t>MP00069</t>
  </si>
  <si>
    <t>MP00070</t>
  </si>
  <si>
    <t>MP00071</t>
  </si>
  <si>
    <t>MP00072</t>
  </si>
  <si>
    <t>MP00073</t>
  </si>
  <si>
    <t>MP00074</t>
  </si>
  <si>
    <t>MP00075</t>
  </si>
  <si>
    <t>MP00076</t>
  </si>
  <si>
    <t>MP00077</t>
  </si>
  <si>
    <t>MP00078</t>
  </si>
  <si>
    <t>MP00079</t>
  </si>
  <si>
    <t>MP00080</t>
  </si>
  <si>
    <t>MP00081</t>
  </si>
  <si>
    <t>MP00082</t>
  </si>
  <si>
    <t>MP00083</t>
  </si>
  <si>
    <t>MP00084</t>
  </si>
  <si>
    <t>MP00085</t>
  </si>
  <si>
    <t>MP00086</t>
  </si>
  <si>
    <t>MP00087</t>
  </si>
  <si>
    <t>MP00088</t>
  </si>
  <si>
    <t>MP00089</t>
  </si>
  <si>
    <t>MP00090</t>
  </si>
  <si>
    <t>MP00091</t>
  </si>
  <si>
    <t>MP00092</t>
  </si>
  <si>
    <t>MP00093</t>
  </si>
  <si>
    <t>MP00094</t>
  </si>
  <si>
    <t>MP00095</t>
  </si>
  <si>
    <t>MP00096</t>
  </si>
  <si>
    <t>MP00097</t>
  </si>
  <si>
    <t>MP00098</t>
  </si>
  <si>
    <t>MP00099</t>
  </si>
  <si>
    <t>MP00100</t>
  </si>
  <si>
    <t>MP00101</t>
  </si>
  <si>
    <t>MP00102</t>
  </si>
  <si>
    <t>MP00103</t>
  </si>
  <si>
    <t>MP00104</t>
  </si>
  <si>
    <t>MP00105</t>
  </si>
  <si>
    <t>MP00106</t>
  </si>
  <si>
    <t>MP00107</t>
  </si>
  <si>
    <t>MP00108</t>
  </si>
  <si>
    <t>MP00109</t>
  </si>
  <si>
    <t>MP00110</t>
  </si>
  <si>
    <t>MP00111</t>
  </si>
  <si>
    <t>MP00112</t>
  </si>
  <si>
    <t>MP00113</t>
  </si>
  <si>
    <t>MP00114</t>
  </si>
  <si>
    <t>MP00115</t>
  </si>
  <si>
    <t>MP00116</t>
  </si>
  <si>
    <t>MP00117</t>
  </si>
  <si>
    <t>MP00118</t>
  </si>
  <si>
    <t>MP00119</t>
  </si>
  <si>
    <t>MP00120</t>
  </si>
  <si>
    <t>MP00121</t>
  </si>
  <si>
    <t>MP00122</t>
  </si>
  <si>
    <t>MP00123</t>
  </si>
  <si>
    <t>MP00124</t>
  </si>
  <si>
    <t>MP00125</t>
  </si>
  <si>
    <t>MP00126</t>
  </si>
  <si>
    <t>MP00127</t>
  </si>
  <si>
    <t>MP00128</t>
  </si>
  <si>
    <t>MP00129</t>
  </si>
  <si>
    <t>MP00130</t>
  </si>
  <si>
    <t>MP00131</t>
  </si>
  <si>
    <t>MP00132</t>
  </si>
  <si>
    <t>MP00133</t>
  </si>
  <si>
    <t>MP00134</t>
  </si>
  <si>
    <t>MP00135</t>
  </si>
  <si>
    <t>MP00136</t>
  </si>
  <si>
    <t>MP00137</t>
  </si>
  <si>
    <t>MP00138</t>
  </si>
  <si>
    <t>MP00139</t>
  </si>
  <si>
    <t>MP00140</t>
  </si>
  <si>
    <t>MP00141</t>
  </si>
  <si>
    <t>MP00142</t>
  </si>
  <si>
    <t>MP00143</t>
  </si>
  <si>
    <t>MP00144</t>
  </si>
  <si>
    <t>MP00145</t>
  </si>
  <si>
    <t>MP00146</t>
  </si>
  <si>
    <t>MP00147</t>
  </si>
  <si>
    <t>MP00148</t>
  </si>
  <si>
    <t>MP00149</t>
  </si>
  <si>
    <t>MP00150</t>
  </si>
  <si>
    <t>MP00151</t>
  </si>
  <si>
    <t>MP00152</t>
  </si>
  <si>
    <t>MP00153</t>
  </si>
  <si>
    <t>MP00154</t>
  </si>
  <si>
    <t>MP00155</t>
  </si>
  <si>
    <t>MP00156</t>
  </si>
  <si>
    <t>MP00157</t>
  </si>
  <si>
    <t>MP00158</t>
  </si>
  <si>
    <t>MP00159</t>
  </si>
  <si>
    <t>MP00160</t>
  </si>
  <si>
    <t>MP00161</t>
  </si>
  <si>
    <t>MP00162</t>
  </si>
  <si>
    <t>MP00163</t>
  </si>
  <si>
    <t>MP00164</t>
  </si>
  <si>
    <t>MP00165</t>
  </si>
  <si>
    <t>MP00166</t>
  </si>
  <si>
    <t>MP00167</t>
  </si>
  <si>
    <t>MP00168</t>
  </si>
  <si>
    <t>MP00169</t>
  </si>
  <si>
    <t>MP00170</t>
  </si>
  <si>
    <t>MP00171</t>
  </si>
  <si>
    <t>MP00172</t>
  </si>
  <si>
    <t>MP00173</t>
  </si>
  <si>
    <t>MP00174</t>
  </si>
  <si>
    <t>MP00175</t>
  </si>
  <si>
    <t>MP00176</t>
  </si>
  <si>
    <t>MP00177</t>
  </si>
  <si>
    <t>MP00178</t>
  </si>
  <si>
    <t>MP00179</t>
  </si>
  <si>
    <t>MP00180</t>
  </si>
  <si>
    <t>MP00181</t>
  </si>
  <si>
    <t>MP00182</t>
  </si>
  <si>
    <t>MP00183</t>
  </si>
  <si>
    <t>MP00184</t>
  </si>
  <si>
    <t>MP00185</t>
  </si>
  <si>
    <t>MP00186</t>
  </si>
  <si>
    <t>MP00187</t>
  </si>
  <si>
    <t>MP00188</t>
  </si>
  <si>
    <t>MP00189</t>
  </si>
  <si>
    <t>MP00190</t>
  </si>
  <si>
    <t>MP00191</t>
  </si>
  <si>
    <t>MP00192</t>
  </si>
  <si>
    <t>MP00193</t>
  </si>
  <si>
    <t>MP00194</t>
  </si>
  <si>
    <t>MP00195</t>
  </si>
  <si>
    <t>MP00196</t>
  </si>
  <si>
    <t>MP00197</t>
  </si>
  <si>
    <t>MP00198</t>
  </si>
  <si>
    <t>MP00199</t>
  </si>
  <si>
    <t>MP00200</t>
  </si>
  <si>
    <t>MP00201</t>
  </si>
  <si>
    <t>MP00202</t>
  </si>
  <si>
    <t>MP00203</t>
  </si>
  <si>
    <t>MP00204</t>
  </si>
  <si>
    <t>MP00205</t>
  </si>
  <si>
    <t>MP00206</t>
  </si>
  <si>
    <t>MP00207</t>
  </si>
  <si>
    <t>MP00208</t>
  </si>
  <si>
    <t>MP00209</t>
  </si>
  <si>
    <t>MP00210</t>
  </si>
  <si>
    <t>MP00211</t>
  </si>
  <si>
    <t>MP00212</t>
  </si>
  <si>
    <t>MP00213</t>
  </si>
  <si>
    <t>MP00214</t>
  </si>
  <si>
    <t>MP00215</t>
  </si>
  <si>
    <t>MP00216</t>
  </si>
  <si>
    <t>MP00217</t>
  </si>
  <si>
    <t>MP00218</t>
  </si>
  <si>
    <t>MP00219</t>
  </si>
  <si>
    <t>MP00220</t>
  </si>
  <si>
    <t>MP00221</t>
  </si>
  <si>
    <t>MP00222</t>
  </si>
  <si>
    <t>MP00223</t>
  </si>
  <si>
    <t>MP00224</t>
  </si>
  <si>
    <t>MP00225</t>
  </si>
  <si>
    <t>MP00226</t>
  </si>
  <si>
    <t>MP00227</t>
  </si>
  <si>
    <t>MP00228</t>
  </si>
  <si>
    <t>MP00229</t>
  </si>
  <si>
    <t>MP00230</t>
  </si>
  <si>
    <t>MP00231</t>
  </si>
  <si>
    <t>MP00232</t>
  </si>
  <si>
    <t>MP00233</t>
  </si>
  <si>
    <t>MP00234</t>
  </si>
  <si>
    <t>MP00235</t>
  </si>
  <si>
    <t>MP00236</t>
  </si>
  <si>
    <t>MP00237</t>
  </si>
  <si>
    <t>MP00238</t>
  </si>
  <si>
    <t>MP00239</t>
  </si>
  <si>
    <t>MP00240</t>
  </si>
  <si>
    <t>MP00241</t>
  </si>
  <si>
    <t>MP00242</t>
  </si>
  <si>
    <t>MP00243</t>
  </si>
  <si>
    <t>MP00244</t>
  </si>
  <si>
    <t>MP00245</t>
  </si>
  <si>
    <t>MP00246</t>
  </si>
  <si>
    <t>MP00247</t>
  </si>
  <si>
    <t>MP00248</t>
  </si>
  <si>
    <t>MP00249</t>
  </si>
  <si>
    <t>MP00250</t>
  </si>
  <si>
    <t>MP00251</t>
  </si>
  <si>
    <t>MP00252</t>
  </si>
  <si>
    <t>MP00253</t>
  </si>
  <si>
    <t>MP00254</t>
  </si>
  <si>
    <t>MP00255</t>
  </si>
  <si>
    <t>MP00256</t>
  </si>
  <si>
    <t>MP00257</t>
  </si>
  <si>
    <t>MP00258</t>
  </si>
  <si>
    <t>MP00259</t>
  </si>
  <si>
    <t>MP00260</t>
  </si>
  <si>
    <t>MP00261</t>
  </si>
  <si>
    <t>MP00262</t>
  </si>
  <si>
    <t>MP00263</t>
  </si>
  <si>
    <t>MP00264</t>
  </si>
  <si>
    <t>MP00265</t>
  </si>
  <si>
    <t>MP00266</t>
  </si>
  <si>
    <t>MP00267</t>
  </si>
  <si>
    <t>MP00268</t>
  </si>
  <si>
    <t>MP00269</t>
  </si>
  <si>
    <t>MP00270</t>
  </si>
  <si>
    <t>MP00271</t>
  </si>
  <si>
    <t>MP00272</t>
  </si>
  <si>
    <t>MP00273</t>
  </si>
  <si>
    <t>MP00274</t>
  </si>
  <si>
    <t>MP00275</t>
  </si>
  <si>
    <t>MP00276</t>
  </si>
  <si>
    <t>MP00277</t>
  </si>
  <si>
    <t>MP00278</t>
  </si>
  <si>
    <t>MP00279</t>
  </si>
  <si>
    <t>MP00280</t>
  </si>
  <si>
    <t>MP00281</t>
  </si>
  <si>
    <t>MP00282</t>
  </si>
  <si>
    <t>MP00283</t>
  </si>
  <si>
    <t>MP00284</t>
  </si>
  <si>
    <t>MP00285</t>
  </si>
  <si>
    <t>MP00286</t>
  </si>
  <si>
    <t>MP00287</t>
  </si>
  <si>
    <t>MP00288</t>
  </si>
  <si>
    <t>MP00289</t>
  </si>
  <si>
    <t>MP00290</t>
  </si>
  <si>
    <t>MP00291</t>
  </si>
  <si>
    <t>MP00292</t>
  </si>
  <si>
    <t>MP00293</t>
  </si>
  <si>
    <t>MP00294</t>
  </si>
  <si>
    <t>MP00295</t>
  </si>
  <si>
    <t>MP00296</t>
  </si>
  <si>
    <t>MP00297</t>
  </si>
  <si>
    <t>MP00298</t>
  </si>
  <si>
    <t>MP00299</t>
  </si>
  <si>
    <t>MP00300</t>
  </si>
  <si>
    <t>MP00301</t>
  </si>
  <si>
    <t>MP00302</t>
  </si>
  <si>
    <t>MP00303</t>
  </si>
  <si>
    <t>MP00304</t>
  </si>
  <si>
    <t>MP00305</t>
  </si>
  <si>
    <t>MP00306</t>
  </si>
  <si>
    <t>MP00307</t>
  </si>
  <si>
    <t>MP00308</t>
  </si>
  <si>
    <t>MP00309</t>
  </si>
  <si>
    <t>MP00310</t>
  </si>
  <si>
    <t>MP00311</t>
  </si>
  <si>
    <t>MP00312</t>
  </si>
  <si>
    <t>MP00313</t>
  </si>
  <si>
    <t>MP00314</t>
  </si>
  <si>
    <t>MP00315</t>
  </si>
  <si>
    <t>MP00316</t>
  </si>
  <si>
    <t>MP00317</t>
  </si>
  <si>
    <t>MP00318</t>
  </si>
  <si>
    <t>MP00319</t>
  </si>
  <si>
    <t>MP00320</t>
  </si>
  <si>
    <t>MP00321</t>
  </si>
  <si>
    <t>MP00322</t>
  </si>
  <si>
    <t>MP00323</t>
  </si>
  <si>
    <t>MP00324</t>
  </si>
  <si>
    <t>MP00325</t>
  </si>
  <si>
    <t>MP00326</t>
  </si>
  <si>
    <t>MP00327</t>
  </si>
  <si>
    <t>MP00328</t>
  </si>
  <si>
    <t>MP00329</t>
  </si>
  <si>
    <t>MP00330</t>
  </si>
  <si>
    <t>MP00331</t>
  </si>
  <si>
    <t>MP00332</t>
  </si>
  <si>
    <t>MP00333</t>
  </si>
  <si>
    <t>MP00334</t>
  </si>
  <si>
    <t>MP00335</t>
  </si>
  <si>
    <t>MP00336</t>
  </si>
  <si>
    <t>MP00337</t>
  </si>
  <si>
    <t>MP00338</t>
  </si>
  <si>
    <t>MP00339</t>
  </si>
  <si>
    <t>MP00340</t>
  </si>
  <si>
    <t>MP00341</t>
  </si>
  <si>
    <t>MP00342</t>
  </si>
  <si>
    <t>MP00343</t>
  </si>
  <si>
    <t>MP00344</t>
  </si>
  <si>
    <t>MP00345</t>
  </si>
  <si>
    <t>MP00346</t>
  </si>
  <si>
    <t>MP00347</t>
  </si>
  <si>
    <t>MP00348</t>
  </si>
  <si>
    <t>MP00349</t>
  </si>
  <si>
    <t>MP00350</t>
  </si>
  <si>
    <t>MP00351</t>
  </si>
  <si>
    <t>MP00352</t>
  </si>
  <si>
    <t>MP00353</t>
  </si>
  <si>
    <t>MP00354</t>
  </si>
  <si>
    <t>MP00355</t>
  </si>
  <si>
    <t>MP00356</t>
  </si>
  <si>
    <t>MP00357</t>
  </si>
  <si>
    <t>MP00358</t>
  </si>
  <si>
    <t>MP00359</t>
  </si>
  <si>
    <t>MP00360</t>
  </si>
  <si>
    <t>MP00361</t>
  </si>
  <si>
    <t>MP00362</t>
  </si>
  <si>
    <t>MP00363</t>
  </si>
  <si>
    <t>MP00364</t>
  </si>
  <si>
    <t>MP00365</t>
  </si>
  <si>
    <t>MP00366</t>
  </si>
  <si>
    <t>MP00367</t>
  </si>
  <si>
    <t>MP00368</t>
  </si>
  <si>
    <t>MP00369</t>
  </si>
  <si>
    <t>MP00370</t>
  </si>
  <si>
    <t>MP00371</t>
  </si>
  <si>
    <t>MP00372</t>
  </si>
  <si>
    <t>MP00373</t>
  </si>
  <si>
    <t>MP00374</t>
  </si>
  <si>
    <t>MP00375</t>
  </si>
  <si>
    <t>MP00376</t>
  </si>
  <si>
    <t>MP00377</t>
  </si>
  <si>
    <t>MP00378</t>
  </si>
  <si>
    <t>MP00379</t>
  </si>
  <si>
    <t>MP00380</t>
  </si>
  <si>
    <t>MP00381</t>
  </si>
  <si>
    <t>MP00382</t>
  </si>
  <si>
    <t>MP00383</t>
  </si>
  <si>
    <t>MP00384</t>
  </si>
  <si>
    <t>MP00385</t>
  </si>
  <si>
    <t>MP00386</t>
  </si>
  <si>
    <t>MP00387</t>
  </si>
  <si>
    <t>MP00388</t>
  </si>
  <si>
    <t>MP00389</t>
  </si>
  <si>
    <t>MP00390</t>
  </si>
  <si>
    <t>MP00391</t>
  </si>
  <si>
    <t>MP00392</t>
  </si>
  <si>
    <t>MP00393</t>
  </si>
  <si>
    <t>MP00394</t>
  </si>
  <si>
    <t>MP00395</t>
  </si>
  <si>
    <t>MP00396</t>
  </si>
  <si>
    <t>MP00397</t>
  </si>
  <si>
    <t>MP00398</t>
  </si>
  <si>
    <t>MP00399</t>
  </si>
  <si>
    <t>MP00400</t>
  </si>
  <si>
    <t>MP00401</t>
  </si>
  <si>
    <t>MP00402</t>
  </si>
  <si>
    <t>MP00403</t>
  </si>
  <si>
    <t>MP00404</t>
  </si>
  <si>
    <t>MP00405</t>
  </si>
  <si>
    <t>MP00406</t>
  </si>
  <si>
    <t>MP00407</t>
  </si>
  <si>
    <t>MP00408</t>
  </si>
  <si>
    <t>MP00409</t>
  </si>
  <si>
    <t>MP00410</t>
  </si>
  <si>
    <t>MP00411</t>
  </si>
  <si>
    <t>MP00412</t>
  </si>
  <si>
    <t>MP00413</t>
  </si>
  <si>
    <t>MP00414</t>
  </si>
  <si>
    <t>MP00415</t>
  </si>
  <si>
    <t>MP00416</t>
  </si>
  <si>
    <t>MP00417</t>
  </si>
  <si>
    <t>MP00418</t>
  </si>
  <si>
    <t>MP00419</t>
  </si>
  <si>
    <t>MP00420</t>
  </si>
  <si>
    <t>MP00421</t>
  </si>
  <si>
    <t>MP00422</t>
  </si>
  <si>
    <t>MP00423</t>
  </si>
  <si>
    <t>MP00424</t>
  </si>
  <si>
    <t>MP00425</t>
  </si>
  <si>
    <t>MP00426</t>
  </si>
  <si>
    <t>MP00427</t>
  </si>
  <si>
    <t>MP00428</t>
  </si>
  <si>
    <t>MP00429</t>
  </si>
  <si>
    <t>MP00430</t>
  </si>
  <si>
    <t>MP00431</t>
  </si>
  <si>
    <t>MP00432</t>
  </si>
  <si>
    <t>MP00433</t>
  </si>
  <si>
    <t>MP00434</t>
  </si>
  <si>
    <t>MP00435</t>
  </si>
  <si>
    <t>MP00436</t>
  </si>
  <si>
    <t>MP00437</t>
  </si>
  <si>
    <t>MP00438</t>
  </si>
  <si>
    <t>MP00439</t>
  </si>
  <si>
    <t>MP00440</t>
  </si>
  <si>
    <t>MP00441</t>
  </si>
  <si>
    <t>MP00442</t>
  </si>
  <si>
    <t>MP00443</t>
  </si>
  <si>
    <t>MP00444</t>
  </si>
  <si>
    <t>MP00445</t>
  </si>
  <si>
    <t>MP00446</t>
  </si>
  <si>
    <t>MP00447</t>
  </si>
  <si>
    <t>MP00448</t>
  </si>
  <si>
    <t>MP00449</t>
  </si>
  <si>
    <t>MP00450</t>
  </si>
  <si>
    <t>MP00451</t>
  </si>
  <si>
    <t>MP00452</t>
  </si>
  <si>
    <t>MP00453</t>
  </si>
  <si>
    <t>MP00454</t>
  </si>
  <si>
    <t>MP00455</t>
  </si>
  <si>
    <t>MP00456</t>
  </si>
  <si>
    <t>MP00457</t>
  </si>
  <si>
    <t>MP00458</t>
  </si>
  <si>
    <t>MP00459</t>
  </si>
  <si>
    <t>MP00460</t>
  </si>
  <si>
    <t>MP00461</t>
  </si>
  <si>
    <t>MP00462</t>
  </si>
  <si>
    <t>MP00463</t>
  </si>
  <si>
    <t>MP00464</t>
  </si>
  <si>
    <t>MP00465</t>
  </si>
  <si>
    <t>MP00466</t>
  </si>
  <si>
    <t>MP00467</t>
  </si>
  <si>
    <t>MP00468</t>
  </si>
  <si>
    <t>MP00469</t>
  </si>
  <si>
    <t>MP00470</t>
  </si>
  <si>
    <t>MP00471</t>
  </si>
  <si>
    <t>MP00472</t>
  </si>
  <si>
    <t>MP00473</t>
  </si>
  <si>
    <t>MP00474</t>
  </si>
  <si>
    <t>MP00475</t>
  </si>
  <si>
    <t>MP00476</t>
  </si>
  <si>
    <t>MP00477</t>
  </si>
  <si>
    <t>MP00478</t>
  </si>
  <si>
    <t>MP00479</t>
  </si>
  <si>
    <t>MP00480</t>
  </si>
  <si>
    <t>MP00481</t>
  </si>
  <si>
    <t>MP00482</t>
  </si>
  <si>
    <t>MP00483</t>
  </si>
  <si>
    <t>MP00484</t>
  </si>
  <si>
    <t>MP00485</t>
  </si>
  <si>
    <t>MP00486</t>
  </si>
  <si>
    <t>MP00487</t>
  </si>
  <si>
    <t>MP00488</t>
  </si>
  <si>
    <t>MP00489</t>
  </si>
  <si>
    <t>MP00490</t>
  </si>
  <si>
    <t>MP00491</t>
  </si>
  <si>
    <t>MP00492</t>
  </si>
  <si>
    <t>MP00493</t>
  </si>
  <si>
    <t>MP00494</t>
  </si>
  <si>
    <t>MP00495</t>
  </si>
  <si>
    <t>MP00496</t>
  </si>
  <si>
    <t>MP00497</t>
  </si>
  <si>
    <t>MP00498</t>
  </si>
  <si>
    <t>MP00499</t>
  </si>
  <si>
    <t>MP00500</t>
  </si>
  <si>
    <t>MP00501</t>
  </si>
  <si>
    <t>MP00502</t>
  </si>
  <si>
    <t>MP00503</t>
  </si>
  <si>
    <t>MP00504</t>
  </si>
  <si>
    <t>MP00505</t>
  </si>
  <si>
    <t>MP00506</t>
  </si>
  <si>
    <t>MP00507</t>
  </si>
  <si>
    <t>MP00508</t>
  </si>
  <si>
    <t>MP00509</t>
  </si>
  <si>
    <t>MP00510</t>
  </si>
  <si>
    <t>MP00511</t>
  </si>
  <si>
    <t>MP00512</t>
  </si>
  <si>
    <t>MP00513</t>
  </si>
  <si>
    <t>MP00514</t>
  </si>
  <si>
    <t>MP00515</t>
  </si>
  <si>
    <t>MP00516</t>
  </si>
  <si>
    <t>MP00517</t>
  </si>
  <si>
    <t>MP00518</t>
  </si>
  <si>
    <t>MP00519</t>
  </si>
  <si>
    <t>MP00520</t>
  </si>
  <si>
    <t>MP00521</t>
  </si>
  <si>
    <t>MP01043</t>
  </si>
  <si>
    <t>WTI Crude</t>
  </si>
  <si>
    <t>Commodity</t>
  </si>
  <si>
    <t>USD per barrel</t>
  </si>
  <si>
    <t>FRED DCOILWTICO (US EIA)</t>
  </si>
  <si>
    <t>MP01044</t>
  </si>
  <si>
    <t>MP01045</t>
  </si>
  <si>
    <t>MP01046</t>
  </si>
  <si>
    <t>MP01047</t>
  </si>
  <si>
    <t>MP01048</t>
  </si>
  <si>
    <t>MP01049</t>
  </si>
  <si>
    <t>MP01050</t>
  </si>
  <si>
    <t>MP01051</t>
  </si>
  <si>
    <t>MP01052</t>
  </si>
  <si>
    <t>MP01053</t>
  </si>
  <si>
    <t>MP01054</t>
  </si>
  <si>
    <t>MP01055</t>
  </si>
  <si>
    <t>MP01056</t>
  </si>
  <si>
    <t>MP01057</t>
  </si>
  <si>
    <t>MP01058</t>
  </si>
  <si>
    <t>MP01059</t>
  </si>
  <si>
    <t>MP01060</t>
  </si>
  <si>
    <t>MP01061</t>
  </si>
  <si>
    <t>MP01062</t>
  </si>
  <si>
    <t>MP01063</t>
  </si>
  <si>
    <t>MP01064</t>
  </si>
  <si>
    <t>MP01065</t>
  </si>
  <si>
    <t>MP01066</t>
  </si>
  <si>
    <t>MP01067</t>
  </si>
  <si>
    <t>MP01068</t>
  </si>
  <si>
    <t>MP01069</t>
  </si>
  <si>
    <t>MP01070</t>
  </si>
  <si>
    <t>MP01071</t>
  </si>
  <si>
    <t>MP01072</t>
  </si>
  <si>
    <t>MP01073</t>
  </si>
  <si>
    <t>MP01074</t>
  </si>
  <si>
    <t>MP01075</t>
  </si>
  <si>
    <t>MP01076</t>
  </si>
  <si>
    <t>MP01077</t>
  </si>
  <si>
    <t>MP01078</t>
  </si>
  <si>
    <t>MP01079</t>
  </si>
  <si>
    <t>MP01080</t>
  </si>
  <si>
    <t>MP01081</t>
  </si>
  <si>
    <t>MP01082</t>
  </si>
  <si>
    <t>MP01083</t>
  </si>
  <si>
    <t>MP01084</t>
  </si>
  <si>
    <t>MP01085</t>
  </si>
  <si>
    <t>MP01086</t>
  </si>
  <si>
    <t>MP01087</t>
  </si>
  <si>
    <t>MP01088</t>
  </si>
  <si>
    <t>MP01089</t>
  </si>
  <si>
    <t>MP01090</t>
  </si>
  <si>
    <t>MP01091</t>
  </si>
  <si>
    <t>MP01092</t>
  </si>
  <si>
    <t>MP01093</t>
  </si>
  <si>
    <t>MP01094</t>
  </si>
  <si>
    <t>MP01095</t>
  </si>
  <si>
    <t>MP01096</t>
  </si>
  <si>
    <t>MP01097</t>
  </si>
  <si>
    <t>MP01098</t>
  </si>
  <si>
    <t>MP01099</t>
  </si>
  <si>
    <t>MP01100</t>
  </si>
  <si>
    <t>MP01101</t>
  </si>
  <si>
    <t>MP01102</t>
  </si>
  <si>
    <t>MP01103</t>
  </si>
  <si>
    <t>MP01104</t>
  </si>
  <si>
    <t>MP01105</t>
  </si>
  <si>
    <t>MP01106</t>
  </si>
  <si>
    <t>MP01107</t>
  </si>
  <si>
    <t>MP01108</t>
  </si>
  <si>
    <t>MP01109</t>
  </si>
  <si>
    <t>MP01110</t>
  </si>
  <si>
    <t>MP01111</t>
  </si>
  <si>
    <t>MP01112</t>
  </si>
  <si>
    <t>MP01113</t>
  </si>
  <si>
    <t>MP01114</t>
  </si>
  <si>
    <t>MP01115</t>
  </si>
  <si>
    <t>MP01116</t>
  </si>
  <si>
    <t>MP01117</t>
  </si>
  <si>
    <t>MP01118</t>
  </si>
  <si>
    <t>MP01119</t>
  </si>
  <si>
    <t>MP01120</t>
  </si>
  <si>
    <t>MP01121</t>
  </si>
  <si>
    <t>MP01122</t>
  </si>
  <si>
    <t>MP01123</t>
  </si>
  <si>
    <t>MP01124</t>
  </si>
  <si>
    <t>MP01125</t>
  </si>
  <si>
    <t>MP01126</t>
  </si>
  <si>
    <t>MP01127</t>
  </si>
  <si>
    <t>MP01128</t>
  </si>
  <si>
    <t>MP01129</t>
  </si>
  <si>
    <t>MP01130</t>
  </si>
  <si>
    <t>MP01131</t>
  </si>
  <si>
    <t>MP01132</t>
  </si>
  <si>
    <t>MP01133</t>
  </si>
  <si>
    <t>MP01134</t>
  </si>
  <si>
    <t>MP01135</t>
  </si>
  <si>
    <t>MP01136</t>
  </si>
  <si>
    <t>MP01137</t>
  </si>
  <si>
    <t>MP01138</t>
  </si>
  <si>
    <t>MP01139</t>
  </si>
  <si>
    <t>MP01140</t>
  </si>
  <si>
    <t>MP01141</t>
  </si>
  <si>
    <t>MP01142</t>
  </si>
  <si>
    <t>MP01143</t>
  </si>
  <si>
    <t>MP01144</t>
  </si>
  <si>
    <t>MP01145</t>
  </si>
  <si>
    <t>MP01146</t>
  </si>
  <si>
    <t>MP01147</t>
  </si>
  <si>
    <t>MP01148</t>
  </si>
  <si>
    <t>MP01149</t>
  </si>
  <si>
    <t>MP01150</t>
  </si>
  <si>
    <t>MP01151</t>
  </si>
  <si>
    <t>MP01152</t>
  </si>
  <si>
    <t>MP01153</t>
  </si>
  <si>
    <t>MP01154</t>
  </si>
  <si>
    <t>MP01155</t>
  </si>
  <si>
    <t>MP01156</t>
  </si>
  <si>
    <t>MP01157</t>
  </si>
  <si>
    <t>MP01158</t>
  </si>
  <si>
    <t>MP01159</t>
  </si>
  <si>
    <t>MP01160</t>
  </si>
  <si>
    <t>MP01161</t>
  </si>
  <si>
    <t>MP01162</t>
  </si>
  <si>
    <t>MP01163</t>
  </si>
  <si>
    <t>MP01164</t>
  </si>
  <si>
    <t>MP01165</t>
  </si>
  <si>
    <t>MP01166</t>
  </si>
  <si>
    <t>MP01167</t>
  </si>
  <si>
    <t>MP01168</t>
  </si>
  <si>
    <t>MP01169</t>
  </si>
  <si>
    <t>MP01170</t>
  </si>
  <si>
    <t>MP01171</t>
  </si>
  <si>
    <t>MP01172</t>
  </si>
  <si>
    <t>MP01173</t>
  </si>
  <si>
    <t>MP01174</t>
  </si>
  <si>
    <t>MP01175</t>
  </si>
  <si>
    <t>MP01176</t>
  </si>
  <si>
    <t>MP01177</t>
  </si>
  <si>
    <t>MP01178</t>
  </si>
  <si>
    <t>MP01179</t>
  </si>
  <si>
    <t>MP01180</t>
  </si>
  <si>
    <t>MP01181</t>
  </si>
  <si>
    <t>MP01182</t>
  </si>
  <si>
    <t>MP01183</t>
  </si>
  <si>
    <t>MP01184</t>
  </si>
  <si>
    <t>MP01185</t>
  </si>
  <si>
    <t>MP01186</t>
  </si>
  <si>
    <t>MP01187</t>
  </si>
  <si>
    <t>MP01188</t>
  </si>
  <si>
    <t>MP01189</t>
  </si>
  <si>
    <t>MP01190</t>
  </si>
  <si>
    <t>MP01191</t>
  </si>
  <si>
    <t>MP01192</t>
  </si>
  <si>
    <t>MP01193</t>
  </si>
  <si>
    <t>MP01194</t>
  </si>
  <si>
    <t>MP01195</t>
  </si>
  <si>
    <t>MP01196</t>
  </si>
  <si>
    <t>MP01197</t>
  </si>
  <si>
    <t>MP01198</t>
  </si>
  <si>
    <t>MP01199</t>
  </si>
  <si>
    <t>MP01200</t>
  </si>
  <si>
    <t>MP01201</t>
  </si>
  <si>
    <t>MP01202</t>
  </si>
  <si>
    <t>MP01203</t>
  </si>
  <si>
    <t>MP01204</t>
  </si>
  <si>
    <t>MP01205</t>
  </si>
  <si>
    <t>MP01206</t>
  </si>
  <si>
    <t>MP01207</t>
  </si>
  <si>
    <t>MP01208</t>
  </si>
  <si>
    <t>MP01209</t>
  </si>
  <si>
    <t>MP01210</t>
  </si>
  <si>
    <t>MP01211</t>
  </si>
  <si>
    <t>MP01212</t>
  </si>
  <si>
    <t>MP01213</t>
  </si>
  <si>
    <t>MP01214</t>
  </si>
  <si>
    <t>MP01215</t>
  </si>
  <si>
    <t>MP01216</t>
  </si>
  <si>
    <t>MP01217</t>
  </si>
  <si>
    <t>MP01218</t>
  </si>
  <si>
    <t>MP01219</t>
  </si>
  <si>
    <t>MP01220</t>
  </si>
  <si>
    <t>MP01221</t>
  </si>
  <si>
    <t>MP01222</t>
  </si>
  <si>
    <t>MP01223</t>
  </si>
  <si>
    <t>MP01224</t>
  </si>
  <si>
    <t>MP01225</t>
  </si>
  <si>
    <t>MP01226</t>
  </si>
  <si>
    <t>MP01227</t>
  </si>
  <si>
    <t>MP01228</t>
  </si>
  <si>
    <t>MP01229</t>
  </si>
  <si>
    <t>MP01230</t>
  </si>
  <si>
    <t>MP01231</t>
  </si>
  <si>
    <t>MP01232</t>
  </si>
  <si>
    <t>MP01233</t>
  </si>
  <si>
    <t>MP01234</t>
  </si>
  <si>
    <t>MP01235</t>
  </si>
  <si>
    <t>MP01236</t>
  </si>
  <si>
    <t>MP01237</t>
  </si>
  <si>
    <t>MP01238</t>
  </si>
  <si>
    <t>MP01239</t>
  </si>
  <si>
    <t>MP01240</t>
  </si>
  <si>
    <t>MP01241</t>
  </si>
  <si>
    <t>MP01242</t>
  </si>
  <si>
    <t>MP01243</t>
  </si>
  <si>
    <t>MP01244</t>
  </si>
  <si>
    <t>MP01245</t>
  </si>
  <si>
    <t>MP01246</t>
  </si>
  <si>
    <t>MP01247</t>
  </si>
  <si>
    <t>MP01248</t>
  </si>
  <si>
    <t>MP01249</t>
  </si>
  <si>
    <t>MP01250</t>
  </si>
  <si>
    <t>MP01251</t>
  </si>
  <si>
    <t>MP01252</t>
  </si>
  <si>
    <t>MP01253</t>
  </si>
  <si>
    <t>MP01254</t>
  </si>
  <si>
    <t>MP01255</t>
  </si>
  <si>
    <t>MP01256</t>
  </si>
  <si>
    <t>MP01257</t>
  </si>
  <si>
    <t>MP01258</t>
  </si>
  <si>
    <t>MP01259</t>
  </si>
  <si>
    <t>MP01260</t>
  </si>
  <si>
    <t>MP01261</t>
  </si>
  <si>
    <t>MP01262</t>
  </si>
  <si>
    <t>MP01263</t>
  </si>
  <si>
    <t>MP01264</t>
  </si>
  <si>
    <t>MP01265</t>
  </si>
  <si>
    <t>MP01266</t>
  </si>
  <si>
    <t>MP01267</t>
  </si>
  <si>
    <t>MP01268</t>
  </si>
  <si>
    <t>MP01269</t>
  </si>
  <si>
    <t>MP01270</t>
  </si>
  <si>
    <t>MP01271</t>
  </si>
  <si>
    <t>MP01272</t>
  </si>
  <si>
    <t>MP01273</t>
  </si>
  <si>
    <t>MP01274</t>
  </si>
  <si>
    <t>MP01275</t>
  </si>
  <si>
    <t>MP01276</t>
  </si>
  <si>
    <t>MP01277</t>
  </si>
  <si>
    <t>MP01278</t>
  </si>
  <si>
    <t>MP01279</t>
  </si>
  <si>
    <t>MP01280</t>
  </si>
  <si>
    <t>MP01281</t>
  </si>
  <si>
    <t>MP01282</t>
  </si>
  <si>
    <t>MP01283</t>
  </si>
  <si>
    <t>MP01284</t>
  </si>
  <si>
    <t>MP01285</t>
  </si>
  <si>
    <t>MP01286</t>
  </si>
  <si>
    <t>MP01287</t>
  </si>
  <si>
    <t>MP01288</t>
  </si>
  <si>
    <t>MP01289</t>
  </si>
  <si>
    <t>MP01290</t>
  </si>
  <si>
    <t>MP01291</t>
  </si>
  <si>
    <t>MP01292</t>
  </si>
  <si>
    <t>MP01293</t>
  </si>
  <si>
    <t>MP01294</t>
  </si>
  <si>
    <t>MP01295</t>
  </si>
  <si>
    <t>MP01296</t>
  </si>
  <si>
    <t>MP01297</t>
  </si>
  <si>
    <t>MP01298</t>
  </si>
  <si>
    <t>MP01299</t>
  </si>
  <si>
    <t>MP01300</t>
  </si>
  <si>
    <t>MP01301</t>
  </si>
  <si>
    <t>MP01302</t>
  </si>
  <si>
    <t>MP01303</t>
  </si>
  <si>
    <t>MP01304</t>
  </si>
  <si>
    <t>MP01305</t>
  </si>
  <si>
    <t>MP01306</t>
  </si>
  <si>
    <t>MP01307</t>
  </si>
  <si>
    <t>MP01308</t>
  </si>
  <si>
    <t>MP01309</t>
  </si>
  <si>
    <t>MP01310</t>
  </si>
  <si>
    <t>MP01311</t>
  </si>
  <si>
    <t>MP01312</t>
  </si>
  <si>
    <t>MP01313</t>
  </si>
  <si>
    <t>MP01314</t>
  </si>
  <si>
    <t>MP01315</t>
  </si>
  <si>
    <t>MP01316</t>
  </si>
  <si>
    <t>MP01317</t>
  </si>
  <si>
    <t>MP01318</t>
  </si>
  <si>
    <t>MP01319</t>
  </si>
  <si>
    <t>MP01320</t>
  </si>
  <si>
    <t>MP01321</t>
  </si>
  <si>
    <t>MP01322</t>
  </si>
  <si>
    <t>MP01323</t>
  </si>
  <si>
    <t>MP01324</t>
  </si>
  <si>
    <t>MP01325</t>
  </si>
  <si>
    <t>MP01326</t>
  </si>
  <si>
    <t>MP01327</t>
  </si>
  <si>
    <t>MP01328</t>
  </si>
  <si>
    <t>MP01329</t>
  </si>
  <si>
    <t>MP01330</t>
  </si>
  <si>
    <t>MP01331</t>
  </si>
  <si>
    <t>MP01332</t>
  </si>
  <si>
    <t>MP01333</t>
  </si>
  <si>
    <t>MP01334</t>
  </si>
  <si>
    <t>MP01335</t>
  </si>
  <si>
    <t>MP01336</t>
  </si>
  <si>
    <t>MP01337</t>
  </si>
  <si>
    <t>MP01338</t>
  </si>
  <si>
    <t>MP01339</t>
  </si>
  <si>
    <t>MP01340</t>
  </si>
  <si>
    <t>MP01341</t>
  </si>
  <si>
    <t>MP01342</t>
  </si>
  <si>
    <t>MP01343</t>
  </si>
  <si>
    <t>MP01344</t>
  </si>
  <si>
    <t>MP01345</t>
  </si>
  <si>
    <t>MP01346</t>
  </si>
  <si>
    <t>MP01347</t>
  </si>
  <si>
    <t>MP01348</t>
  </si>
  <si>
    <t>MP01349</t>
  </si>
  <si>
    <t>MP01350</t>
  </si>
  <si>
    <t>MP01351</t>
  </si>
  <si>
    <t>MP01352</t>
  </si>
  <si>
    <t>MP01353</t>
  </si>
  <si>
    <t>MP01354</t>
  </si>
  <si>
    <t>MP01355</t>
  </si>
  <si>
    <t>MP01356</t>
  </si>
  <si>
    <t>MP01357</t>
  </si>
  <si>
    <t>MP01358</t>
  </si>
  <si>
    <t>MP01359</t>
  </si>
  <si>
    <t>MP01360</t>
  </si>
  <si>
    <t>MP01361</t>
  </si>
  <si>
    <t>MP01362</t>
  </si>
  <si>
    <t>MP01363</t>
  </si>
  <si>
    <t>MP01364</t>
  </si>
  <si>
    <t>MP01365</t>
  </si>
  <si>
    <t>MP01366</t>
  </si>
  <si>
    <t>MP01367</t>
  </si>
  <si>
    <t>MP01368</t>
  </si>
  <si>
    <t>MP01369</t>
  </si>
  <si>
    <t>MP01370</t>
  </si>
  <si>
    <t>MP01371</t>
  </si>
  <si>
    <t>MP01372</t>
  </si>
  <si>
    <t>MP01373</t>
  </si>
  <si>
    <t>MP01374</t>
  </si>
  <si>
    <t>MP01375</t>
  </si>
  <si>
    <t>MP01376</t>
  </si>
  <si>
    <t>MP01377</t>
  </si>
  <si>
    <t>MP01378</t>
  </si>
  <si>
    <t>MP01379</t>
  </si>
  <si>
    <t>MP01380</t>
  </si>
  <si>
    <t>MP01381</t>
  </si>
  <si>
    <t>MP01382</t>
  </si>
  <si>
    <t>MP01383</t>
  </si>
  <si>
    <t>MP01384</t>
  </si>
  <si>
    <t>MP01385</t>
  </si>
  <si>
    <t>MP01386</t>
  </si>
  <si>
    <t>MP01387</t>
  </si>
  <si>
    <t>MP01388</t>
  </si>
  <si>
    <t>MP01389</t>
  </si>
  <si>
    <t>MP01390</t>
  </si>
  <si>
    <t>MP01391</t>
  </si>
  <si>
    <t>MP01392</t>
  </si>
  <si>
    <t>MP01393</t>
  </si>
  <si>
    <t>MP01394</t>
  </si>
  <si>
    <t>MP01395</t>
  </si>
  <si>
    <t>MP01396</t>
  </si>
  <si>
    <t>MP01397</t>
  </si>
  <si>
    <t>MP01398</t>
  </si>
  <si>
    <t>MP01399</t>
  </si>
  <si>
    <t>MP01400</t>
  </si>
  <si>
    <t>MP01401</t>
  </si>
  <si>
    <t>MP01402</t>
  </si>
  <si>
    <t>MP01403</t>
  </si>
  <si>
    <t>MP01404</t>
  </si>
  <si>
    <t>MP01405</t>
  </si>
  <si>
    <t>MP01406</t>
  </si>
  <si>
    <t>MP01407</t>
  </si>
  <si>
    <t>MP01408</t>
  </si>
  <si>
    <t>MP01409</t>
  </si>
  <si>
    <t>MP01410</t>
  </si>
  <si>
    <t>MP01411</t>
  </si>
  <si>
    <t>MP01412</t>
  </si>
  <si>
    <t>MP01413</t>
  </si>
  <si>
    <t>MP01414</t>
  </si>
  <si>
    <t>MP01415</t>
  </si>
  <si>
    <t>MP01416</t>
  </si>
  <si>
    <t>MP01417</t>
  </si>
  <si>
    <t>MP01418</t>
  </si>
  <si>
    <t>MP01419</t>
  </si>
  <si>
    <t>MP01420</t>
  </si>
  <si>
    <t>MP01421</t>
  </si>
  <si>
    <t>MP01422</t>
  </si>
  <si>
    <t>MP01423</t>
  </si>
  <si>
    <t>MP01424</t>
  </si>
  <si>
    <t>MP01425</t>
  </si>
  <si>
    <t>MP01426</t>
  </si>
  <si>
    <t>MP01427</t>
  </si>
  <si>
    <t>MP01428</t>
  </si>
  <si>
    <t>MP01429</t>
  </si>
  <si>
    <t>MP01430</t>
  </si>
  <si>
    <t>MP01431</t>
  </si>
  <si>
    <t>MP01432</t>
  </si>
  <si>
    <t>MP01433</t>
  </si>
  <si>
    <t>MP01434</t>
  </si>
  <si>
    <t>MP01435</t>
  </si>
  <si>
    <t>MP01436</t>
  </si>
  <si>
    <t>MP01437</t>
  </si>
  <si>
    <t>MP01438</t>
  </si>
  <si>
    <t>MP01439</t>
  </si>
  <si>
    <t>MP01440</t>
  </si>
  <si>
    <t>MP01441</t>
  </si>
  <si>
    <t>MP01442</t>
  </si>
  <si>
    <t>MP01443</t>
  </si>
  <si>
    <t>MP01444</t>
  </si>
  <si>
    <t>MP01445</t>
  </si>
  <si>
    <t>MP01446</t>
  </si>
  <si>
    <t>MP01447</t>
  </si>
  <si>
    <t>MP01448</t>
  </si>
  <si>
    <t>MP01449</t>
  </si>
  <si>
    <t>MP01450</t>
  </si>
  <si>
    <t>MP01451</t>
  </si>
  <si>
    <t>MP01452</t>
  </si>
  <si>
    <t>MP01453</t>
  </si>
  <si>
    <t>MP01454</t>
  </si>
  <si>
    <t>MP01455</t>
  </si>
  <si>
    <t>MP01456</t>
  </si>
  <si>
    <t>MP01457</t>
  </si>
  <si>
    <t>MP01458</t>
  </si>
  <si>
    <t>MP01459</t>
  </si>
  <si>
    <t>MP01460</t>
  </si>
  <si>
    <t>MP01461</t>
  </si>
  <si>
    <t>MP01462</t>
  </si>
  <si>
    <t>MP01463</t>
  </si>
  <si>
    <t>MP01464</t>
  </si>
  <si>
    <t>MP01465</t>
  </si>
  <si>
    <t>MP01466</t>
  </si>
  <si>
    <t>MP01467</t>
  </si>
  <si>
    <t>MP01468</t>
  </si>
  <si>
    <t>MP01469</t>
  </si>
  <si>
    <t>MP01470</t>
  </si>
  <si>
    <t>MP01471</t>
  </si>
  <si>
    <t>MP01472</t>
  </si>
  <si>
    <t>MP01473</t>
  </si>
  <si>
    <t>MP01474</t>
  </si>
  <si>
    <t>MP01475</t>
  </si>
  <si>
    <t>MP01476</t>
  </si>
  <si>
    <t>MP01477</t>
  </si>
  <si>
    <t>MP01478</t>
  </si>
  <si>
    <t>MP01479</t>
  </si>
  <si>
    <t>MP01480</t>
  </si>
  <si>
    <t>MP01481</t>
  </si>
  <si>
    <t>MP01482</t>
  </si>
  <si>
    <t>MP01483</t>
  </si>
  <si>
    <t>MP01484</t>
  </si>
  <si>
    <t>MP01485</t>
  </si>
  <si>
    <t>MP01486</t>
  </si>
  <si>
    <t>MP01487</t>
  </si>
  <si>
    <t>MP01488</t>
  </si>
  <si>
    <t>MP01489</t>
  </si>
  <si>
    <t>MP01490</t>
  </si>
  <si>
    <t>MP01491</t>
  </si>
  <si>
    <t>MP01492</t>
  </si>
  <si>
    <t>MP01493</t>
  </si>
  <si>
    <t>MP01494</t>
  </si>
  <si>
    <t>MP01495</t>
  </si>
  <si>
    <t>MP01496</t>
  </si>
  <si>
    <t>MP01497</t>
  </si>
  <si>
    <t>MP01498</t>
  </si>
  <si>
    <t>MP01499</t>
  </si>
  <si>
    <t>MP01500</t>
  </si>
  <si>
    <t>MP01501</t>
  </si>
  <si>
    <t>MP01502</t>
  </si>
  <si>
    <t>MP01503</t>
  </si>
  <si>
    <t>MP01504</t>
  </si>
  <si>
    <t>MP01505</t>
  </si>
  <si>
    <t>MP01506</t>
  </si>
  <si>
    <t>MP01507</t>
  </si>
  <si>
    <t>MP01508</t>
  </si>
  <si>
    <t>MP01509</t>
  </si>
  <si>
    <t>MP01510</t>
  </si>
  <si>
    <t>MP01511</t>
  </si>
  <si>
    <t>MP01512</t>
  </si>
  <si>
    <t>MP01513</t>
  </si>
  <si>
    <t>MP01514</t>
  </si>
  <si>
    <t>MP01515</t>
  </si>
  <si>
    <t>MP01516</t>
  </si>
  <si>
    <t>MP01517</t>
  </si>
  <si>
    <t>MP01518</t>
  </si>
  <si>
    <t>MP01519</t>
  </si>
  <si>
    <t>MP01520</t>
  </si>
  <si>
    <t>MP01521</t>
  </si>
  <si>
    <t>MP01522</t>
  </si>
  <si>
    <t>MP01523</t>
  </si>
  <si>
    <t>MP01524</t>
  </si>
  <si>
    <t>MP01525</t>
  </si>
  <si>
    <t>MP01526</t>
  </si>
  <si>
    <t>MP01527</t>
  </si>
  <si>
    <t>MP01528</t>
  </si>
  <si>
    <t>MP01529</t>
  </si>
  <si>
    <t>MP01530</t>
  </si>
  <si>
    <t>MP01531</t>
  </si>
  <si>
    <t>MP01532</t>
  </si>
  <si>
    <t>MP01533</t>
  </si>
  <si>
    <t>MP01534</t>
  </si>
  <si>
    <t>MP01535</t>
  </si>
  <si>
    <t>MP01536</t>
  </si>
  <si>
    <t>MP01537</t>
  </si>
  <si>
    <t>MP01538</t>
  </si>
  <si>
    <t>MP01539</t>
  </si>
  <si>
    <t>MP01540</t>
  </si>
  <si>
    <t>MP01541</t>
  </si>
  <si>
    <t>MP01542</t>
  </si>
  <si>
    <t>MP01543</t>
  </si>
  <si>
    <t>MP01544</t>
  </si>
  <si>
    <t>MP01545</t>
  </si>
  <si>
    <t>MP01546</t>
  </si>
  <si>
    <t>MP01547</t>
  </si>
  <si>
    <t>MP01548</t>
  </si>
  <si>
    <t>MP01549</t>
  </si>
  <si>
    <t>MP01550</t>
  </si>
  <si>
    <t>MP01551</t>
  </si>
  <si>
    <t>MP01552</t>
  </si>
  <si>
    <t>MP01553</t>
  </si>
  <si>
    <t>MP01554</t>
  </si>
  <si>
    <t>MP01555</t>
  </si>
  <si>
    <t>MP01556</t>
  </si>
  <si>
    <t>MP01557</t>
  </si>
  <si>
    <t>MP01558</t>
  </si>
  <si>
    <t>MP01559</t>
  </si>
  <si>
    <t>MP01560</t>
  </si>
  <si>
    <t>MP01561</t>
  </si>
  <si>
    <t>MP01562</t>
  </si>
  <si>
    <t>MP01563</t>
  </si>
  <si>
    <t>fx_rate_inv</t>
  </si>
  <si>
    <t>invoice_amount_inr</t>
  </si>
  <si>
    <t>open_balance_inr</t>
  </si>
  <si>
    <t>days_overdue</t>
  </si>
  <si>
    <t>days_late</t>
  </si>
  <si>
    <t>aging</t>
  </si>
  <si>
    <t>1-30</t>
  </si>
  <si>
    <t>31-60</t>
  </si>
  <si>
    <t>61-90</t>
  </si>
  <si>
    <t>90+</t>
  </si>
  <si>
    <t>Not yet due</t>
  </si>
  <si>
    <t>Grand Total</t>
  </si>
  <si>
    <t>USD/INR return</t>
  </si>
  <si>
    <t>EUR/INR return</t>
  </si>
  <si>
    <t>WTI return</t>
  </si>
  <si>
    <t>Metric</t>
  </si>
  <si>
    <t>Daily volatility</t>
  </si>
  <si>
    <t>Annualised volatility</t>
  </si>
  <si>
    <t>1-day 95% VaR, worst fall</t>
  </si>
  <si>
    <t>1-day 95% VaR, worst rise</t>
  </si>
  <si>
    <t>Aging Group</t>
  </si>
  <si>
    <t>Count of invoice</t>
  </si>
  <si>
    <t>Open Balance in Cr.</t>
  </si>
  <si>
    <t>days_to_pay_supplier</t>
  </si>
  <si>
    <t>Days in period</t>
  </si>
  <si>
    <t>Business Units</t>
  </si>
  <si>
    <t>Avg Receivables</t>
  </si>
  <si>
    <t>Revenue</t>
  </si>
  <si>
    <t>Avg inventory</t>
  </si>
  <si>
    <t>Purchases</t>
  </si>
  <si>
    <t>DSO</t>
  </si>
  <si>
    <t>DIO</t>
  </si>
  <si>
    <t>DPO</t>
  </si>
  <si>
    <t>total_amount_INR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</si>
</sst>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9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center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[Risk Analysis Project.xlsx]aging_pivot!PivotTable1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aging_pivot!$C$2</c:f>
              <c:strCache>
                <c:ptCount val="1"/>
                <c:pt idx="0">
                  <c:v>Count of invoice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aging_pivot!$B$3:$B$8</c:f>
              <c:strCache>
                <c:ptCount val="5"/>
                <c:pt idx="0">
                  <c:v>1-30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  <c:pt idx="4">
                  <c:v>Not yet due</c:v>
                </c:pt>
              </c:strCache>
            </c:strRef>
          </c:cat>
          <c:val>
            <c:numRef>
              <c:f>aging_pivot!$C$3:$C$8</c:f>
              <c:numCache>
                <c:formatCode>General</c:formatCode>
                <c:ptCount val="5"/>
                <c:pt idx="0">
                  <c:v>47</c:v>
                </c:pt>
                <c:pt idx="1">
                  <c:v>15</c:v>
                </c:pt>
                <c:pt idx="2">
                  <c:v>11</c:v>
                </c:pt>
                <c:pt idx="3">
                  <c:v>112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2-4A65-ABB4-813F0D435CE4}"/>
            </c:ext>
          </c:extLst>
        </c:ser>
        <c:ser>
          <c:idx val="1"/>
          <c:order val="1"/>
          <c:tx>
            <c:strRef>
              <c:f>aging_pivot!$D$2</c:f>
              <c:strCache>
                <c:ptCount val="1"/>
                <c:pt idx="0">
                  <c:v>Open Balance in Cr.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aging_pivot!$B$3:$B$8</c:f>
              <c:strCache>
                <c:ptCount val="5"/>
                <c:pt idx="0">
                  <c:v>1-30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  <c:pt idx="4">
                  <c:v>Not yet due</c:v>
                </c:pt>
              </c:strCache>
            </c:strRef>
          </c:cat>
          <c:val>
            <c:numRef>
              <c:f>aging_pivot!$D$3:$D$8</c:f>
              <c:numCache>
                <c:formatCode>#,##0.00</c:formatCode>
                <c:ptCount val="5"/>
                <c:pt idx="0">
                  <c:v>33.451257330857096</c:v>
                </c:pt>
                <c:pt idx="1">
                  <c:v>9.115476447599999</c:v>
                </c:pt>
                <c:pt idx="2">
                  <c:v>6.4302572607426001</c:v>
                </c:pt>
                <c:pt idx="3">
                  <c:v>43.607400698894004</c:v>
                </c:pt>
                <c:pt idx="4">
                  <c:v>194.78669552941381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2-4A65-ABB4-813F0D435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372143"/>
        <c:axId val="557370863"/>
      </c:barChart>
      <c:catAx>
        <c:axId val="634372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370863"/>
        <c:crosses val="autoZero"/>
        <c:auto val="1"/>
        <c:lblAlgn val="ctr"/>
        <c:lblOffset val="100"/>
        <c:noMultiLvlLbl val="0"/>
      </c:catAx>
      <c:valAx>
        <c:axId val="55737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7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365016</xdr:colOff>
      <xdr:row>0</xdr:row>
      <xdr:rowOff>176892</xdr:rowOff>
    </xdr:from>
    <xdr:to>
      <xdr:col>8</xdr:col>
      <xdr:colOff>557932</xdr:colOff>
      <xdr:row>17</xdr:row>
      <xdr:rowOff>64263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5E506E-2097-ACB8-21E8-4BC53B8A9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KASH S" refreshedDate="46310.503280092591" createdVersion="8" refreshedVersion="8" minRefreshableVersion="3" recordCount="2688" xr:uid="{3BA0FA5E-1441-45F8-AE50-D36B6A055300}">
  <cacheSource type="worksheet">
    <worksheetSource name="invoices"/>
  </cacheSource>
  <cacheFields count="19">
    <cacheField name="invoice_id" numFmtId="0">
      <sharedItems count="2688">
        <s v="INV000001"/>
        <s v="INV000002"/>
        <s v="INV000003"/>
        <s v="INV000004"/>
        <s v="INV000005"/>
        <s v="INV000006"/>
        <s v="INV000008"/>
        <s v="INV000009"/>
        <s v="INV000010"/>
        <s v="INV000011"/>
        <s v="INV000012"/>
        <s v="INV000013"/>
        <s v="INV000014"/>
        <s v="INV000015"/>
        <s v="INV000016"/>
        <s v="INV000017"/>
        <s v="INV000018"/>
        <s v="INV000019"/>
        <s v="INV000020"/>
        <s v="INV000021"/>
        <s v="INV000022"/>
        <s v="INV000023"/>
        <s v="INV000024"/>
        <s v="INV000025"/>
        <s v="INV000026"/>
        <s v="INV000027"/>
        <s v="INV000028"/>
        <s v="INV000029"/>
        <s v="INV000030"/>
        <s v="INV000031"/>
        <s v="INV000032"/>
        <s v="INV000033"/>
        <s v="INV000034"/>
        <s v="INV000035"/>
        <s v="INV000036"/>
        <s v="INV000037"/>
        <s v="INV000038"/>
        <s v="INV000039"/>
        <s v="INV000040"/>
        <s v="INV000041"/>
        <s v="INV000042"/>
        <s v="INV000043"/>
        <s v="INV000044"/>
        <s v="INV000045"/>
        <s v="INV000046"/>
        <s v="INV000047"/>
        <s v="INV000048"/>
        <s v="INV000049"/>
        <s v="INV000050"/>
        <s v="INV000051"/>
        <s v="INV000052"/>
        <s v="INV000053"/>
        <s v="INV000054"/>
        <s v="INV000055"/>
        <s v="INV000056"/>
        <s v="INV000057"/>
        <s v="INV000058"/>
        <s v="INV000059"/>
        <s v="INV000060"/>
        <s v="INV000061"/>
        <s v="INV000062"/>
        <s v="INV000063"/>
        <s v="INV000064"/>
        <s v="INV000065"/>
        <s v="INV000066"/>
        <s v="INV000067"/>
        <s v="INV000068"/>
        <s v="INV000069"/>
        <s v="INV000070"/>
        <s v="INV000071"/>
        <s v="INV000072"/>
        <s v="INV000073"/>
        <s v="INV000074"/>
        <s v="INV000075"/>
        <s v="INV000076"/>
        <s v="INV000077"/>
        <s v="INV000078"/>
        <s v="INV000079"/>
        <s v="INV000080"/>
        <s v="INV000081"/>
        <s v="INV000082"/>
        <s v="INV000083"/>
        <s v="INV000084"/>
        <s v="INV000085"/>
        <s v="INV000086"/>
        <s v="INV000087"/>
        <s v="INV000088"/>
        <s v="INV000089"/>
        <s v="INV000090"/>
        <s v="INV000091"/>
        <s v="INV000092"/>
        <s v="INV000093"/>
        <s v="INV000094"/>
        <s v="INV000095"/>
        <s v="INV000096"/>
        <s v="INV000097"/>
        <s v="INV000098"/>
        <s v="INV000099"/>
        <s v="INV000100"/>
        <s v="INV000101"/>
        <s v="INV000102"/>
        <s v="INV000103"/>
        <s v="INV000104"/>
        <s v="INV000105"/>
        <s v="INV000106"/>
        <s v="INV000107"/>
        <s v="INV000108"/>
        <s v="INV000109"/>
        <s v="INV000110"/>
        <s v="INV000111"/>
        <s v="INV000112"/>
        <s v="INV000113"/>
        <s v="INV000114"/>
        <s v="INV000115"/>
        <s v="INV000116"/>
        <s v="INV000117"/>
        <s v="INV000118"/>
        <s v="INV000119"/>
        <s v="INV000120"/>
        <s v="INV000121"/>
        <s v="INV000122"/>
        <s v="INV000123"/>
        <s v="INV000124"/>
        <s v="INV000125"/>
        <s v="INV000126"/>
        <s v="INV000127"/>
        <s v="INV000128"/>
        <s v="INV000129"/>
        <s v="INV000130"/>
        <s v="INV000131"/>
        <s v="INV000132"/>
        <s v="INV000133"/>
        <s v="INV000134"/>
        <s v="INV000135"/>
        <s v="INV000136"/>
        <s v="INV000137"/>
        <s v="INV000138"/>
        <s v="INV000139"/>
        <s v="INV000140"/>
        <s v="INV000141"/>
        <s v="INV000142"/>
        <s v="INV000143"/>
        <s v="INV000144"/>
        <s v="INV000145"/>
        <s v="INV000146"/>
        <s v="INV000147"/>
        <s v="INV000148"/>
        <s v="INV000149"/>
        <s v="INV000150"/>
        <s v="INV000151"/>
        <s v="INV000152"/>
        <s v="INV000153"/>
        <s v="INV000154"/>
        <s v="INV000155"/>
        <s v="INV000156"/>
        <s v="INV000157"/>
        <s v="INV000158"/>
        <s v="INV000159"/>
        <s v="INV000160"/>
        <s v="INV000161"/>
        <s v="INV000162"/>
        <s v="INV000163"/>
        <s v="INV000164"/>
        <s v="INV000165"/>
        <s v="INV000166"/>
        <s v="INV000167"/>
        <s v="INV000168"/>
        <s v="INV000169"/>
        <s v="INV000170"/>
        <s v="INV000171"/>
        <s v="INV000172"/>
        <s v="INV000173"/>
        <s v="INV000174"/>
        <s v="INV000175"/>
        <s v="INV000176"/>
        <s v="INV000177"/>
        <s v="INV000178"/>
        <s v="INV000179"/>
        <s v="INV000180"/>
        <s v="INV000181"/>
        <s v="INV000182"/>
        <s v="INV000183"/>
        <s v="INV000184"/>
        <s v="INV000185"/>
        <s v="INV000186"/>
        <s v="INV000187"/>
        <s v="INV000188"/>
        <s v="INV000189"/>
        <s v="INV000190"/>
        <s v="INV000191"/>
        <s v="INV000192"/>
        <s v="INV000193"/>
        <s v="INV000194"/>
        <s v="INV000195"/>
        <s v="INV000196"/>
        <s v="INV000197"/>
        <s v="INV000198"/>
        <s v="INV000199"/>
        <s v="INV000200"/>
        <s v="INV000201"/>
        <s v="INV000202"/>
        <s v="INV000203"/>
        <s v="INV000204"/>
        <s v="INV000205"/>
        <s v="INV000206"/>
        <s v="INV000207"/>
        <s v="INV000208"/>
        <s v="INV000209"/>
        <s v="INV000210"/>
        <s v="INV000211"/>
        <s v="INV000212"/>
        <s v="INV000213"/>
        <s v="INV000214"/>
        <s v="INV000215"/>
        <s v="INV000216"/>
        <s v="INV000217"/>
        <s v="INV000218"/>
        <s v="INV000219"/>
        <s v="INV000220"/>
        <s v="INV000221"/>
        <s v="INV000222"/>
        <s v="INV000223"/>
        <s v="INV000224"/>
        <s v="INV000225"/>
        <s v="INV000226"/>
        <s v="INV000227"/>
        <s v="INV000228"/>
        <s v="INV000229"/>
        <s v="INV000230"/>
        <s v="INV000231"/>
        <s v="INV000233"/>
        <s v="INV000234"/>
        <s v="INV000235"/>
        <s v="INV000236"/>
        <s v="INV000237"/>
        <s v="INV000238"/>
        <s v="INV000239"/>
        <s v="INV000240"/>
        <s v="INV000241"/>
        <s v="INV000242"/>
        <s v="INV000243"/>
        <s v="INV000244"/>
        <s v="INV000245"/>
        <s v="INV000246"/>
        <s v="INV000247"/>
        <s v="INV000248"/>
        <s v="INV000249"/>
        <s v="INV000250"/>
        <s v="INV000251"/>
        <s v="INV000252"/>
        <s v="INV000253"/>
        <s v="INV000254"/>
        <s v="INV000255"/>
        <s v="INV000257"/>
        <s v="INV000258"/>
        <s v="INV000259"/>
        <s v="INV000260"/>
        <s v="INV000261"/>
        <s v="INV000262"/>
        <s v="INV000263"/>
        <s v="INV000264"/>
        <s v="INV000265"/>
        <s v="INV000266"/>
        <s v="INV000267"/>
        <s v="INV000268"/>
        <s v="INV000269"/>
        <s v="INV000270"/>
        <s v="INV000271"/>
        <s v="INV000272"/>
        <s v="INV000273"/>
        <s v="INV000274"/>
        <s v="INV000275"/>
        <s v="INV000276"/>
        <s v="INV000277"/>
        <s v="INV000278"/>
        <s v="INV000279"/>
        <s v="INV000280"/>
        <s v="INV000281"/>
        <s v="INV000282"/>
        <s v="INV000284"/>
        <s v="INV000285"/>
        <s v="INV000286"/>
        <s v="INV000287"/>
        <s v="INV000288"/>
        <s v="INV000289"/>
        <s v="INV000290"/>
        <s v="INV000291"/>
        <s v="INV000292"/>
        <s v="INV000293"/>
        <s v="INV000294"/>
        <s v="INV000295"/>
        <s v="INV000296"/>
        <s v="INV000297"/>
        <s v="INV000298"/>
        <s v="INV000299"/>
        <s v="INV000300"/>
        <s v="INV000301"/>
        <s v="INV000303"/>
        <s v="INV000304"/>
        <s v="INV000305"/>
        <s v="INV000306"/>
        <s v="INV000307"/>
        <s v="INV000308"/>
        <s v="INV000309"/>
        <s v="INV000310"/>
        <s v="INV000311"/>
        <s v="INV000312"/>
        <s v="INV000313"/>
        <s v="INV000314"/>
        <s v="INV000315"/>
        <s v="INV000316"/>
        <s v="INV000317"/>
        <s v="INV000318"/>
        <s v="INV000319"/>
        <s v="INV000320"/>
        <s v="INV000321"/>
        <s v="INV000322"/>
        <s v="INV000323"/>
        <s v="INV000324"/>
        <s v="INV000325"/>
        <s v="INV000326"/>
        <s v="INV000327"/>
        <s v="INV000328"/>
        <s v="INV000329"/>
        <s v="INV000330"/>
        <s v="INV000331"/>
        <s v="INV000332"/>
        <s v="INV000333"/>
        <s v="INV000334"/>
        <s v="INV000335"/>
        <s v="INV000336"/>
        <s v="INV000337"/>
        <s v="INV000338"/>
        <s v="INV000339"/>
        <s v="INV000340"/>
        <s v="INV000341"/>
        <s v="INV000342"/>
        <s v="INV000343"/>
        <s v="INV000344"/>
        <s v="INV000345"/>
        <s v="INV000346"/>
        <s v="INV000347"/>
        <s v="INV000348"/>
        <s v="INV000349"/>
        <s v="INV000350"/>
        <s v="INV000351"/>
        <s v="INV000352"/>
        <s v="INV000353"/>
        <s v="INV000354"/>
        <s v="INV000355"/>
        <s v="INV000356"/>
        <s v="INV000357"/>
        <s v="INV000358"/>
        <s v="INV000359"/>
        <s v="INV000360"/>
        <s v="INV000361"/>
        <s v="INV000362"/>
        <s v="INV000363"/>
        <s v="INV000364"/>
        <s v="INV000365"/>
        <s v="INV000366"/>
        <s v="INV000367"/>
        <s v="INV000368"/>
        <s v="INV000369"/>
        <s v="INV000370"/>
        <s v="INV000371"/>
        <s v="INV000372"/>
        <s v="INV000373"/>
        <s v="INV000374"/>
        <s v="INV000375"/>
        <s v="INV000376"/>
        <s v="INV000377"/>
        <s v="INV000378"/>
        <s v="INV000379"/>
        <s v="INV000380"/>
        <s v="INV000381"/>
        <s v="INV000382"/>
        <s v="INV000383"/>
        <s v="INV000384"/>
        <s v="INV000385"/>
        <s v="INV000386"/>
        <s v="INV000387"/>
        <s v="INV000388"/>
        <s v="INV000389"/>
        <s v="INV000390"/>
        <s v="INV000391"/>
        <s v="INV000392"/>
        <s v="INV000393"/>
        <s v="INV000394"/>
        <s v="INV000395"/>
        <s v="INV000396"/>
        <s v="INV000397"/>
        <s v="INV000398"/>
        <s v="INV000399"/>
        <s v="INV000400"/>
        <s v="INV000401"/>
        <s v="INV000402"/>
        <s v="INV000403"/>
        <s v="INV000404"/>
        <s v="INV000405"/>
        <s v="INV000406"/>
        <s v="INV000407"/>
        <s v="INV000408"/>
        <s v="INV000409"/>
        <s v="INV000410"/>
        <s v="INV000411"/>
        <s v="INV000412"/>
        <s v="INV000413"/>
        <s v="INV000414"/>
        <s v="INV000415"/>
        <s v="INV000416"/>
        <s v="INV000417"/>
        <s v="INV000418"/>
        <s v="INV000419"/>
        <s v="INV000420"/>
        <s v="INV000421"/>
        <s v="INV000422"/>
        <s v="INV000423"/>
        <s v="INV000424"/>
        <s v="INV000425"/>
        <s v="INV000426"/>
        <s v="INV000427"/>
        <s v="INV000428"/>
        <s v="INV000429"/>
        <s v="INV000430"/>
        <s v="INV000431"/>
        <s v="INV000432"/>
        <s v="INV000433"/>
        <s v="INV000434"/>
        <s v="INV000435"/>
        <s v="INV000436"/>
        <s v="INV000437"/>
        <s v="INV000438"/>
        <s v="INV000439"/>
        <s v="INV000440"/>
        <s v="INV000441"/>
        <s v="INV000442"/>
        <s v="INV000443"/>
        <s v="INV000444"/>
        <s v="INV000445"/>
        <s v="INV000446"/>
        <s v="INV000447"/>
        <s v="INV000448"/>
        <s v="INV000449"/>
        <s v="INV000450"/>
        <s v="INV000452"/>
        <s v="INV000453"/>
        <s v="INV000454"/>
        <s v="INV000455"/>
        <s v="INV000456"/>
        <s v="INV000457"/>
        <s v="INV000458"/>
        <s v="INV000459"/>
        <s v="INV000460"/>
        <s v="INV000461"/>
        <s v="INV000462"/>
        <s v="INV000463"/>
        <s v="INV000464"/>
        <s v="INV000465"/>
        <s v="INV000466"/>
        <s v="INV000467"/>
        <s v="INV000468"/>
        <s v="INV000469"/>
        <s v="INV000470"/>
        <s v="INV000471"/>
        <s v="INV000472"/>
        <s v="INV000473"/>
        <s v="INV000474"/>
        <s v="INV000475"/>
        <s v="INV000476"/>
        <s v="INV000477"/>
        <s v="INV000478"/>
        <s v="INV000479"/>
        <s v="INV000480"/>
        <s v="INV000481"/>
        <s v="INV000482"/>
        <s v="INV000483"/>
        <s v="INV000484"/>
        <s v="INV000485"/>
        <s v="INV000486"/>
        <s v="INV000487"/>
        <s v="INV000488"/>
        <s v="INV000489"/>
        <s v="INV000490"/>
        <s v="INV000491"/>
        <s v="INV000492"/>
        <s v="INV000493"/>
        <s v="INV000494"/>
        <s v="INV000495"/>
        <s v="INV000496"/>
        <s v="INV000497"/>
        <s v="INV000498"/>
        <s v="INV000499"/>
        <s v="INV000500"/>
        <s v="INV000501"/>
        <s v="INV000502"/>
        <s v="INV000503"/>
        <s v="INV000504"/>
        <s v="INV000505"/>
        <s v="INV000506"/>
        <s v="INV000507"/>
        <s v="INV000508"/>
        <s v="INV000509"/>
        <s v="INV000510"/>
        <s v="INV000511"/>
        <s v="INV000512"/>
        <s v="INV000513"/>
        <s v="INV000514"/>
        <s v="INV000515"/>
        <s v="INV000516"/>
        <s v="INV000517"/>
        <s v="INV000518"/>
        <s v="INV000519"/>
        <s v="INV000520"/>
        <s v="INV000521"/>
        <s v="INV000522"/>
        <s v="INV000523"/>
        <s v="INV000524"/>
        <s v="INV000525"/>
        <s v="INV000526"/>
        <s v="INV000527"/>
        <s v="INV000528"/>
        <s v="INV000529"/>
        <s v="INV000530"/>
        <s v="INV000531"/>
        <s v="INV000532"/>
        <s v="INV000533"/>
        <s v="INV000534"/>
        <s v="INV000535"/>
        <s v="INV000536"/>
        <s v="INV000537"/>
        <s v="INV000538"/>
        <s v="INV000539"/>
        <s v="INV000540"/>
        <s v="INV000541"/>
        <s v="INV000542"/>
        <s v="INV000543"/>
        <s v="INV000544"/>
        <s v="INV000545"/>
        <s v="INV000546"/>
        <s v="INV000547"/>
        <s v="INV000548"/>
        <s v="INV000549"/>
        <s v="INV000550"/>
        <s v="INV000551"/>
        <s v="INV000552"/>
        <s v="INV000553"/>
        <s v="INV000554"/>
        <s v="INV000555"/>
        <s v="INV000556"/>
        <s v="INV000557"/>
        <s v="INV000558"/>
        <s v="INV000559"/>
        <s v="INV000560"/>
        <s v="INV000561"/>
        <s v="INV000562"/>
        <s v="INV000563"/>
        <s v="INV000564"/>
        <s v="INV000565"/>
        <s v="INV000566"/>
        <s v="INV000567"/>
        <s v="INV000568"/>
        <s v="INV000569"/>
        <s v="INV000570"/>
        <s v="INV000571"/>
        <s v="INV000572"/>
        <s v="INV000573"/>
        <s v="INV000574"/>
        <s v="INV000575"/>
        <s v="INV000576"/>
        <s v="INV000577"/>
        <s v="INV000578"/>
        <s v="INV000579"/>
        <s v="INV000580"/>
        <s v="INV000581"/>
        <s v="INV000582"/>
        <s v="INV000583"/>
        <s v="INV000584"/>
        <s v="INV000585"/>
        <s v="INV000586"/>
        <s v="INV000587"/>
        <s v="INV000588"/>
        <s v="INV000589"/>
        <s v="INV000590"/>
        <s v="INV000591"/>
        <s v="INV000592"/>
        <s v="INV000593"/>
        <s v="INV000594"/>
        <s v="INV000595"/>
        <s v="INV000596"/>
        <s v="INV000597"/>
        <s v="INV000598"/>
        <s v="INV000599"/>
        <s v="INV000600"/>
        <s v="INV000601"/>
        <s v="INV000602"/>
        <s v="INV000603"/>
        <s v="INV000604"/>
        <s v="INV000605"/>
        <s v="INV000606"/>
        <s v="INV000607"/>
        <s v="INV000608"/>
        <s v="INV000609"/>
        <s v="INV000610"/>
        <s v="INV000611"/>
        <s v="INV000612"/>
        <s v="INV000613"/>
        <s v="INV000614"/>
        <s v="INV000615"/>
        <s v="INV000616"/>
        <s v="INV000617"/>
        <s v="INV000618"/>
        <s v="INV000619"/>
        <s v="INV000620"/>
        <s v="INV000621"/>
        <s v="INV000622"/>
        <s v="INV000623"/>
        <s v="INV000624"/>
        <s v="INV000625"/>
        <s v="INV000626"/>
        <s v="INV000627"/>
        <s v="INV000628"/>
        <s v="INV000629"/>
        <s v="INV000630"/>
        <s v="INV000631"/>
        <s v="INV000632"/>
        <s v="INV000633"/>
        <s v="INV000634"/>
        <s v="INV000635"/>
        <s v="INV000636"/>
        <s v="INV000637"/>
        <s v="INV000638"/>
        <s v="INV000639"/>
        <s v="INV000640"/>
        <s v="INV000641"/>
        <s v="INV000642"/>
        <s v="INV000643"/>
        <s v="INV000644"/>
        <s v="INV000645"/>
        <s v="INV000646"/>
        <s v="INV000647"/>
        <s v="INV000648"/>
        <s v="INV000649"/>
        <s v="INV000650"/>
        <s v="INV000651"/>
        <s v="INV000652"/>
        <s v="INV000653"/>
        <s v="INV000654"/>
        <s v="INV000655"/>
        <s v="INV000656"/>
        <s v="INV000657"/>
        <s v="INV000658"/>
        <s v="INV000659"/>
        <s v="INV000660"/>
        <s v="INV000661"/>
        <s v="INV000662"/>
        <s v="INV000663"/>
        <s v="INV000664"/>
        <s v="INV000665"/>
        <s v="INV000666"/>
        <s v="INV000667"/>
        <s v="INV000668"/>
        <s v="INV000669"/>
        <s v="INV000670"/>
        <s v="INV000671"/>
        <s v="INV000672"/>
        <s v="INV000673"/>
        <s v="INV000674"/>
        <s v="INV000675"/>
        <s v="INV000676"/>
        <s v="INV000677"/>
        <s v="INV000678"/>
        <s v="INV000679"/>
        <s v="INV000681"/>
        <s v="INV000682"/>
        <s v="INV000683"/>
        <s v="INV000684"/>
        <s v="INV000685"/>
        <s v="INV000686"/>
        <s v="INV000687"/>
        <s v="INV000688"/>
        <s v="INV000689"/>
        <s v="INV000690"/>
        <s v="INV000691"/>
        <s v="INV000693"/>
        <s v="INV000694"/>
        <s v="INV000695"/>
        <s v="INV000696"/>
        <s v="INV000697"/>
        <s v="INV000698"/>
        <s v="INV000699"/>
        <s v="INV000700"/>
        <s v="INV000701"/>
        <s v="INV000702"/>
        <s v="INV000703"/>
        <s v="INV000704"/>
        <s v="INV000705"/>
        <s v="INV000706"/>
        <s v="INV000707"/>
        <s v="INV000708"/>
        <s v="INV000709"/>
        <s v="INV000710"/>
        <s v="INV000711"/>
        <s v="INV000712"/>
        <s v="INV000713"/>
        <s v="INV000714"/>
        <s v="INV000715"/>
        <s v="INV000716"/>
        <s v="INV000717"/>
        <s v="INV000718"/>
        <s v="INV000719"/>
        <s v="INV000720"/>
        <s v="INV000721"/>
        <s v="INV000722"/>
        <s v="INV000723"/>
        <s v="INV000724"/>
        <s v="INV000725"/>
        <s v="INV000726"/>
        <s v="INV000727"/>
        <s v="INV000728"/>
        <s v="INV000729"/>
        <s v="INV000730"/>
        <s v="INV000731"/>
        <s v="INV000732"/>
        <s v="INV000733"/>
        <s v="INV000734"/>
        <s v="INV000735"/>
        <s v="INV000736"/>
        <s v="INV000737"/>
        <s v="INV000738"/>
        <s v="INV000739"/>
        <s v="INV000740"/>
        <s v="INV000741"/>
        <s v="INV000742"/>
        <s v="INV000743"/>
        <s v="INV000744"/>
        <s v="INV000745"/>
        <s v="INV000746"/>
        <s v="INV000747"/>
        <s v="INV000748"/>
        <s v="INV000749"/>
        <s v="INV000750"/>
        <s v="INV000751"/>
        <s v="INV000752"/>
        <s v="INV000753"/>
        <s v="INV000754"/>
        <s v="INV000755"/>
        <s v="INV000756"/>
        <s v="INV000757"/>
        <s v="INV000758"/>
        <s v="INV000759"/>
        <s v="INV000760"/>
        <s v="INV000761"/>
        <s v="INV000762"/>
        <s v="INV000763"/>
        <s v="INV000764"/>
        <s v="INV000765"/>
        <s v="INV000766"/>
        <s v="INV000767"/>
        <s v="INV000768"/>
        <s v="INV000769"/>
        <s v="INV000770"/>
        <s v="INV000771"/>
        <s v="INV000772"/>
        <s v="INV000773"/>
        <s v="INV000774"/>
        <s v="INV000775"/>
        <s v="INV000776"/>
        <s v="INV000777"/>
        <s v="INV000778"/>
        <s v="INV000779"/>
        <s v="INV000780"/>
        <s v="INV000781"/>
        <s v="INV000782"/>
        <s v="INV000783"/>
        <s v="INV000784"/>
        <s v="INV000785"/>
        <s v="INV000786"/>
        <s v="INV000787"/>
        <s v="INV000788"/>
        <s v="INV000789"/>
        <s v="INV000790"/>
        <s v="INV000791"/>
        <s v="INV000792"/>
        <s v="INV000793"/>
        <s v="INV000794"/>
        <s v="INV000795"/>
        <s v="INV000796"/>
        <s v="INV000797"/>
        <s v="INV000798"/>
        <s v="INV000799"/>
        <s v="INV000800"/>
        <s v="INV000801"/>
        <s v="INV000802"/>
        <s v="INV000803"/>
        <s v="INV000804"/>
        <s v="INV000805"/>
        <s v="INV000806"/>
        <s v="INV000807"/>
        <s v="INV000808"/>
        <s v="INV000809"/>
        <s v="INV000810"/>
        <s v="INV000811"/>
        <s v="INV000812"/>
        <s v="INV000813"/>
        <s v="INV000814"/>
        <s v="INV000815"/>
        <s v="INV000816"/>
        <s v="INV000817"/>
        <s v="INV000818"/>
        <s v="INV000819"/>
        <s v="INV000820"/>
        <s v="INV000821"/>
        <s v="INV000822"/>
        <s v="INV000823"/>
        <s v="INV000824"/>
        <s v="INV000825"/>
        <s v="INV000826"/>
        <s v="INV000827"/>
        <s v="INV000828"/>
        <s v="INV000829"/>
        <s v="INV000830"/>
        <s v="INV000831"/>
        <s v="INV000832"/>
        <s v="INV000833"/>
        <s v="INV000834"/>
        <s v="INV000835"/>
        <s v="INV000836"/>
        <s v="INV000837"/>
        <s v="INV000838"/>
        <s v="INV000839"/>
        <s v="INV000840"/>
        <s v="INV000841"/>
        <s v="INV000842"/>
        <s v="INV000843"/>
        <s v="INV000844"/>
        <s v="INV000845"/>
        <s v="INV000846"/>
        <s v="INV000847"/>
        <s v="INV000848"/>
        <s v="INV000849"/>
        <s v="INV000850"/>
        <s v="INV000851"/>
        <s v="INV000852"/>
        <s v="INV000853"/>
        <s v="INV000854"/>
        <s v="INV000855"/>
        <s v="INV000856"/>
        <s v="INV000857"/>
        <s v="INV000858"/>
        <s v="INV000859"/>
        <s v="INV000860"/>
        <s v="INV000861"/>
        <s v="INV000862"/>
        <s v="INV000863"/>
        <s v="INV000864"/>
        <s v="INV000865"/>
        <s v="INV000866"/>
        <s v="INV000867"/>
        <s v="INV000868"/>
        <s v="INV000869"/>
        <s v="INV000870"/>
        <s v="INV000871"/>
        <s v="INV000872"/>
        <s v="INV000873"/>
        <s v="INV000874"/>
        <s v="INV000875"/>
        <s v="INV000876"/>
        <s v="INV000877"/>
        <s v="INV000878"/>
        <s v="INV000879"/>
        <s v="INV000880"/>
        <s v="INV000881"/>
        <s v="INV000882"/>
        <s v="INV000883"/>
        <s v="INV000884"/>
        <s v="INV000885"/>
        <s v="INV000886"/>
        <s v="INV000887"/>
        <s v="INV000888"/>
        <s v="INV000889"/>
        <s v="INV000890"/>
        <s v="INV000891"/>
        <s v="INV000892"/>
        <s v="INV000893"/>
        <s v="INV000894"/>
        <s v="INV000895"/>
        <s v="INV000896"/>
        <s v="INV000897"/>
        <s v="INV000898"/>
        <s v="INV000899"/>
        <s v="INV000900"/>
        <s v="INV000901"/>
        <s v="INV000902"/>
        <s v="INV000903"/>
        <s v="INV000904"/>
        <s v="INV000905"/>
        <s v="INV000906"/>
        <s v="INV000907"/>
        <s v="INV000908"/>
        <s v="INV000909"/>
        <s v="INV000910"/>
        <s v="INV000911"/>
        <s v="INV000912"/>
        <s v="INV000913"/>
        <s v="INV000914"/>
        <s v="INV000915"/>
        <s v="INV000916"/>
        <s v="INV000917"/>
        <s v="INV000918"/>
        <s v="INV000919"/>
        <s v="INV000920"/>
        <s v="INV000921"/>
        <s v="INV000922"/>
        <s v="INV000923"/>
        <s v="INV000924"/>
        <s v="INV000925"/>
        <s v="INV000926"/>
        <s v="INV000927"/>
        <s v="INV000928"/>
        <s v="INV000929"/>
        <s v="INV000930"/>
        <s v="INV000931"/>
        <s v="INV000932"/>
        <s v="INV000933"/>
        <s v="INV000934"/>
        <s v="INV000935"/>
        <s v="INV000936"/>
        <s v="INV000937"/>
        <s v="INV000938"/>
        <s v="INV000939"/>
        <s v="INV000940"/>
        <s v="INV000941"/>
        <s v="INV000942"/>
        <s v="INV000943"/>
        <s v="INV000944"/>
        <s v="INV000945"/>
        <s v="INV000946"/>
        <s v="INV000947"/>
        <s v="INV000948"/>
        <s v="INV000949"/>
        <s v="INV000950"/>
        <s v="INV000951"/>
        <s v="INV000952"/>
        <s v="INV000953"/>
        <s v="INV000954"/>
        <s v="INV000955"/>
        <s v="INV000956"/>
        <s v="INV000957"/>
        <s v="INV000958"/>
        <s v="INV000959"/>
        <s v="INV000960"/>
        <s v="INV000961"/>
        <s v="INV000962"/>
        <s v="INV000963"/>
        <s v="INV000964"/>
        <s v="INV000965"/>
        <s v="INV000966"/>
        <s v="INV000967"/>
        <s v="INV000968"/>
        <s v="INV000969"/>
        <s v="INV000970"/>
        <s v="INV000971"/>
        <s v="INV000972"/>
        <s v="INV000973"/>
        <s v="INV000974"/>
        <s v="INV000975"/>
        <s v="INV000976"/>
        <s v="INV000977"/>
        <s v="INV000978"/>
        <s v="INV000979"/>
        <s v="INV000980"/>
        <s v="INV000981"/>
        <s v="INV000982"/>
        <s v="INV000983"/>
        <s v="INV000984"/>
        <s v="INV000985"/>
        <s v="INV000986"/>
        <s v="INV000987"/>
        <s v="INV000988"/>
        <s v="INV000989"/>
        <s v="INV000990"/>
        <s v="INV000991"/>
        <s v="INV000992"/>
        <s v="INV000993"/>
        <s v="INV000994"/>
        <s v="INV000995"/>
        <s v="INV000996"/>
        <s v="INV000997"/>
        <s v="INV000998"/>
        <s v="INV000999"/>
        <s v="INV001000"/>
        <s v="INV001001"/>
        <s v="INV001002"/>
        <s v="INV001003"/>
        <s v="INV001004"/>
        <s v="INV001005"/>
        <s v="INV001006"/>
        <s v="INV001007"/>
        <s v="INV001008"/>
        <s v="INV001009"/>
        <s v="INV001010"/>
        <s v="INV001011"/>
        <s v="INV001012"/>
        <s v="INV001013"/>
        <s v="INV001014"/>
        <s v="INV001015"/>
        <s v="INV001016"/>
        <s v="INV001017"/>
        <s v="INV001018"/>
        <s v="INV001019"/>
        <s v="INV001020"/>
        <s v="INV001021"/>
        <s v="INV001022"/>
        <s v="INV001023"/>
        <s v="INV001024"/>
        <s v="INV001025"/>
        <s v="INV001026"/>
        <s v="INV001027"/>
        <s v="INV001028"/>
        <s v="INV001029"/>
        <s v="INV001030"/>
        <s v="INV001031"/>
        <s v="INV001032"/>
        <s v="INV001033"/>
        <s v="INV001034"/>
        <s v="INV001035"/>
        <s v="INV001036"/>
        <s v="INV001037"/>
        <s v="INV001038"/>
        <s v="INV001039"/>
        <s v="INV001040"/>
        <s v="INV001041"/>
        <s v="INV001042"/>
        <s v="INV001043"/>
        <s v="INV001044"/>
        <s v="INV001045"/>
        <s v="INV001046"/>
        <s v="INV001047"/>
        <s v="INV001048"/>
        <s v="INV001049"/>
        <s v="INV001050"/>
        <s v="INV001051"/>
        <s v="INV001052"/>
        <s v="INV001053"/>
        <s v="INV001054"/>
        <s v="INV001055"/>
        <s v="INV001056"/>
        <s v="INV001057"/>
        <s v="INV001058"/>
        <s v="INV001059"/>
        <s v="INV001060"/>
        <s v="INV001061"/>
        <s v="INV001062"/>
        <s v="INV001063"/>
        <s v="INV001064"/>
        <s v="INV001065"/>
        <s v="INV001066"/>
        <s v="INV001067"/>
        <s v="INV001068"/>
        <s v="INV001069"/>
        <s v="INV001070"/>
        <s v="INV001071"/>
        <s v="INV001072"/>
        <s v="INV001073"/>
        <s v="INV001074"/>
        <s v="INV001075"/>
        <s v="INV001076"/>
        <s v="INV001077"/>
        <s v="INV001078"/>
        <s v="INV001079"/>
        <s v="INV001080"/>
        <s v="INV001081"/>
        <s v="INV001082"/>
        <s v="INV001083"/>
        <s v="INV001084"/>
        <s v="INV001085"/>
        <s v="INV001086"/>
        <s v="INV001087"/>
        <s v="INV001088"/>
        <s v="INV001089"/>
        <s v="INV001090"/>
        <s v="INV001091"/>
        <s v="INV001092"/>
        <s v="INV001093"/>
        <s v="INV001094"/>
        <s v="INV001095"/>
        <s v="INV001096"/>
        <s v="INV001097"/>
        <s v="INV001098"/>
        <s v="INV001099"/>
        <s v="INV001100"/>
        <s v="INV001101"/>
        <s v="INV001102"/>
        <s v="INV001103"/>
        <s v="INV001104"/>
        <s v="INV001105"/>
        <s v="INV001106"/>
        <s v="INV001107"/>
        <s v="INV001108"/>
        <s v="INV001109"/>
        <s v="INV001110"/>
        <s v="INV001111"/>
        <s v="INV001112"/>
        <s v="INV001113"/>
        <s v="INV001114"/>
        <s v="INV001115"/>
        <s v="INV001116"/>
        <s v="INV001117"/>
        <s v="INV001118"/>
        <s v="INV001119"/>
        <s v="INV001120"/>
        <s v="INV001121"/>
        <s v="INV001122"/>
        <s v="INV001123"/>
        <s v="INV001124"/>
        <s v="INV001125"/>
        <s v="INV001126"/>
        <s v="INV001127"/>
        <s v="INV001128"/>
        <s v="INV001129"/>
        <s v="INV001130"/>
        <s v="INV001131"/>
        <s v="INV001132"/>
        <s v="INV001133"/>
        <s v="INV001134"/>
        <s v="INV001135"/>
        <s v="INV001136"/>
        <s v="INV001137"/>
        <s v="INV001138"/>
        <s v="INV001139"/>
        <s v="INV001140"/>
        <s v="INV001141"/>
        <s v="INV001142"/>
        <s v="INV001143"/>
        <s v="INV001145"/>
        <s v="INV001146"/>
        <s v="INV001147"/>
        <s v="INV001148"/>
        <s v="INV001149"/>
        <s v="INV001150"/>
        <s v="INV001151"/>
        <s v="INV001152"/>
        <s v="INV001153"/>
        <s v="INV001154"/>
        <s v="INV001155"/>
        <s v="INV001156"/>
        <s v="INV001157"/>
        <s v="INV001158"/>
        <s v="INV001159"/>
        <s v="INV001160"/>
        <s v="INV001161"/>
        <s v="INV001162"/>
        <s v="INV001163"/>
        <s v="INV001164"/>
        <s v="INV001165"/>
        <s v="INV001166"/>
        <s v="INV001167"/>
        <s v="INV001168"/>
        <s v="INV001169"/>
        <s v="INV001170"/>
        <s v="INV001171"/>
        <s v="INV001172"/>
        <s v="INV001173"/>
        <s v="INV001174"/>
        <s v="INV001175"/>
        <s v="INV001176"/>
        <s v="INV001177"/>
        <s v="INV001178"/>
        <s v="INV001179"/>
        <s v="INV001180"/>
        <s v="INV001181"/>
        <s v="INV001182"/>
        <s v="INV001183"/>
        <s v="INV001184"/>
        <s v="INV001185"/>
        <s v="INV001186"/>
        <s v="INV001187"/>
        <s v="INV001188"/>
        <s v="INV001189"/>
        <s v="INV001190"/>
        <s v="INV001191"/>
        <s v="INV001192"/>
        <s v="INV001193"/>
        <s v="INV001194"/>
        <s v="INV001195"/>
        <s v="INV001196"/>
        <s v="INV001197"/>
        <s v="INV001199"/>
        <s v="INV001200"/>
        <s v="INV001201"/>
        <s v="INV001202"/>
        <s v="INV001203"/>
        <s v="INV001204"/>
        <s v="INV001205"/>
        <s v="INV001206"/>
        <s v="INV001207"/>
        <s v="INV001208"/>
        <s v="INV001209"/>
        <s v="INV001210"/>
        <s v="INV001211"/>
        <s v="INV001212"/>
        <s v="INV001213"/>
        <s v="INV001214"/>
        <s v="INV001215"/>
        <s v="INV001216"/>
        <s v="INV001217"/>
        <s v="INV001218"/>
        <s v="INV001219"/>
        <s v="INV001220"/>
        <s v="INV001221"/>
        <s v="INV001222"/>
        <s v="INV001223"/>
        <s v="INV001224"/>
        <s v="INV001225"/>
        <s v="INV001226"/>
        <s v="INV001227"/>
        <s v="INV001228"/>
        <s v="INV001229"/>
        <s v="INV001230"/>
        <s v="INV001231"/>
        <s v="INV001232"/>
        <s v="INV001233"/>
        <s v="INV001234"/>
        <s v="INV001235"/>
        <s v="INV001236"/>
        <s v="INV001237"/>
        <s v="INV001238"/>
        <s v="INV001239"/>
        <s v="INV001240"/>
        <s v="INV001241"/>
        <s v="INV001242"/>
        <s v="INV001243"/>
        <s v="INV001244"/>
        <s v="INV001245"/>
        <s v="INV001246"/>
        <s v="INV001247"/>
        <s v="INV001248"/>
        <s v="INV001249"/>
        <s v="INV001250"/>
        <s v="INV001251"/>
        <s v="INV001252"/>
        <s v="INV001253"/>
        <s v="INV001254"/>
        <s v="INV001255"/>
        <s v="INV001256"/>
        <s v="INV001257"/>
        <s v="INV001258"/>
        <s v="INV001259"/>
        <s v="INV001260"/>
        <s v="INV001261"/>
        <s v="INV001262"/>
        <s v="INV001263"/>
        <s v="INV001264"/>
        <s v="INV001265"/>
        <s v="INV001266"/>
        <s v="INV001267"/>
        <s v="INV001268"/>
        <s v="INV001269"/>
        <s v="INV001270"/>
        <s v="INV001271"/>
        <s v="INV001272"/>
        <s v="INV001273"/>
        <s v="INV001274"/>
        <s v="INV001275"/>
        <s v="INV001276"/>
        <s v="INV001277"/>
        <s v="INV001278"/>
        <s v="INV001279"/>
        <s v="INV001280"/>
        <s v="INV001281"/>
        <s v="INV001282"/>
        <s v="INV001283"/>
        <s v="INV001284"/>
        <s v="INV001285"/>
        <s v="INV001286"/>
        <s v="INV001287"/>
        <s v="INV001288"/>
        <s v="INV001289"/>
        <s v="INV001290"/>
        <s v="INV001291"/>
        <s v="INV001292"/>
        <s v="INV001293"/>
        <s v="INV001294"/>
        <s v="INV001296"/>
        <s v="INV001297"/>
        <s v="INV001298"/>
        <s v="INV001299"/>
        <s v="INV001300"/>
        <s v="INV001301"/>
        <s v="INV001302"/>
        <s v="INV001303"/>
        <s v="INV001304"/>
        <s v="INV001305"/>
        <s v="INV001306"/>
        <s v="INV001307"/>
        <s v="INV001308"/>
        <s v="INV001309"/>
        <s v="INV001310"/>
        <s v="INV001311"/>
        <s v="INV001312"/>
        <s v="INV001313"/>
        <s v="INV001314"/>
        <s v="INV001315"/>
        <s v="INV001316"/>
        <s v="INV001317"/>
        <s v="INV001318"/>
        <s v="INV001319"/>
        <s v="INV001320"/>
        <s v="INV001321"/>
        <s v="INV001322"/>
        <s v="INV001323"/>
        <s v="INV001324"/>
        <s v="INV001325"/>
        <s v="INV001326"/>
        <s v="INV001327"/>
        <s v="INV001328"/>
        <s v="INV001329"/>
        <s v="INV001330"/>
        <s v="INV001331"/>
        <s v="INV001332"/>
        <s v="INV001333"/>
        <s v="INV001334"/>
        <s v="INV001335"/>
        <s v="INV001336"/>
        <s v="INV001337"/>
        <s v="INV001338"/>
        <s v="INV001339"/>
        <s v="INV001340"/>
        <s v="INV001341"/>
        <s v="INV001342"/>
        <s v="INV001343"/>
        <s v="INV001344"/>
        <s v="INV001345"/>
        <s v="INV001346"/>
        <s v="INV001347"/>
        <s v="INV001348"/>
        <s v="INV001349"/>
        <s v="INV001350"/>
        <s v="INV001351"/>
        <s v="INV001352"/>
        <s v="INV001353"/>
        <s v="INV001354"/>
        <s v="INV001355"/>
        <s v="INV001356"/>
        <s v="INV001357"/>
        <s v="INV001358"/>
        <s v="INV001359"/>
        <s v="INV001360"/>
        <s v="INV001361"/>
        <s v="INV001362"/>
        <s v="INV001363"/>
        <s v="INV001364"/>
        <s v="INV001365"/>
        <s v="INV001366"/>
        <s v="INV001367"/>
        <s v="INV001368"/>
        <s v="INV001369"/>
        <s v="INV001370"/>
        <s v="INV001371"/>
        <s v="INV001372"/>
        <s v="INV001373"/>
        <s v="INV001374"/>
        <s v="INV001375"/>
        <s v="INV001376"/>
        <s v="INV001377"/>
        <s v="INV001378"/>
        <s v="INV001379"/>
        <s v="INV001380"/>
        <s v="INV001381"/>
        <s v="INV001382"/>
        <s v="INV001383"/>
        <s v="INV001384"/>
        <s v="INV001385"/>
        <s v="INV001386"/>
        <s v="INV001387"/>
        <s v="INV001388"/>
        <s v="INV001389"/>
        <s v="INV001390"/>
        <s v="INV001391"/>
        <s v="INV001392"/>
        <s v="INV001393"/>
        <s v="INV001394"/>
        <s v="INV001395"/>
        <s v="INV001396"/>
        <s v="INV001397"/>
        <s v="INV001398"/>
        <s v="INV001399"/>
        <s v="INV001400"/>
        <s v="INV001401"/>
        <s v="INV001402"/>
        <s v="INV001403"/>
        <s v="INV001404"/>
        <s v="INV001405"/>
        <s v="INV001406"/>
        <s v="INV001407"/>
        <s v="INV001408"/>
        <s v="INV001409"/>
        <s v="INV001410"/>
        <s v="INV001411"/>
        <s v="INV001412"/>
        <s v="INV001413"/>
        <s v="INV001414"/>
        <s v="INV001415"/>
        <s v="INV001416"/>
        <s v="INV001417"/>
        <s v="INV001418"/>
        <s v="INV001419"/>
        <s v="INV001420"/>
        <s v="INV001421"/>
        <s v="INV001422"/>
        <s v="INV001423"/>
        <s v="INV001424"/>
        <s v="INV001425"/>
        <s v="INV001426"/>
        <s v="INV001427"/>
        <s v="INV001428"/>
        <s v="INV001429"/>
        <s v="INV001430"/>
        <s v="INV001431"/>
        <s v="INV001432"/>
        <s v="INV001433"/>
        <s v="INV001434"/>
        <s v="INV001435"/>
        <s v="INV001436"/>
        <s v="INV001437"/>
        <s v="INV001438"/>
        <s v="INV001439"/>
        <s v="INV001440"/>
        <s v="INV001441"/>
        <s v="INV001442"/>
        <s v="INV001443"/>
        <s v="INV001444"/>
        <s v="INV001445"/>
        <s v="INV001446"/>
        <s v="INV001447"/>
        <s v="INV001448"/>
        <s v="INV001449"/>
        <s v="INV001450"/>
        <s v="INV001451"/>
        <s v="INV001452"/>
        <s v="INV001453"/>
        <s v="INV001454"/>
        <s v="INV001455"/>
        <s v="INV001456"/>
        <s v="INV001457"/>
        <s v="INV001458"/>
        <s v="INV001459"/>
        <s v="INV001460"/>
        <s v="INV001461"/>
        <s v="INV001462"/>
        <s v="INV001463"/>
        <s v="INV001464"/>
        <s v="INV001465"/>
        <s v="INV001466"/>
        <s v="INV001467"/>
        <s v="INV001468"/>
        <s v="INV001469"/>
        <s v="INV001470"/>
        <s v="INV001471"/>
        <s v="INV001472"/>
        <s v="INV001473"/>
        <s v="INV001474"/>
        <s v="INV001475"/>
        <s v="INV001476"/>
        <s v="INV001477"/>
        <s v="INV001478"/>
        <s v="INV001479"/>
        <s v="INV001480"/>
        <s v="INV001481"/>
        <s v="INV001482"/>
        <s v="INV001483"/>
        <s v="INV001484"/>
        <s v="INV001485"/>
        <s v="INV001486"/>
        <s v="INV001487"/>
        <s v="INV001488"/>
        <s v="INV001489"/>
        <s v="INV001490"/>
        <s v="INV001491"/>
        <s v="INV001492"/>
        <s v="INV001493"/>
        <s v="INV001494"/>
        <s v="INV001495"/>
        <s v="INV001496"/>
        <s v="INV001497"/>
        <s v="INV001498"/>
        <s v="INV001499"/>
        <s v="INV001500"/>
        <s v="INV001501"/>
        <s v="INV001502"/>
        <s v="INV001503"/>
        <s v="INV001504"/>
        <s v="INV001505"/>
        <s v="INV001506"/>
        <s v="INV001507"/>
        <s v="INV001508"/>
        <s v="INV001509"/>
        <s v="INV001510"/>
        <s v="INV001511"/>
        <s v="INV001512"/>
        <s v="INV001513"/>
        <s v="INV001514"/>
        <s v="INV001515"/>
        <s v="INV001516"/>
        <s v="INV001517"/>
        <s v="INV001518"/>
        <s v="INV001519"/>
        <s v="INV001520"/>
        <s v="INV001521"/>
        <s v="INV001522"/>
        <s v="INV001523"/>
        <s v="INV001524"/>
        <s v="INV001525"/>
        <s v="INV001526"/>
        <s v="INV001527"/>
        <s v="INV001528"/>
        <s v="INV001529"/>
        <s v="INV001530"/>
        <s v="INV001531"/>
        <s v="INV001532"/>
        <s v="INV001533"/>
        <s v="INV001534"/>
        <s v="INV001535"/>
        <s v="INV001536"/>
        <s v="INV001537"/>
        <s v="INV001538"/>
        <s v="INV001539"/>
        <s v="INV001540"/>
        <s v="INV001541"/>
        <s v="INV001542"/>
        <s v="INV001543"/>
        <s v="INV001544"/>
        <s v="INV001545"/>
        <s v="INV001546"/>
        <s v="INV001548"/>
        <s v="INV001549"/>
        <s v="INV001550"/>
        <s v="INV001551"/>
        <s v="INV001552"/>
        <s v="INV001553"/>
        <s v="INV001554"/>
        <s v="INV001555"/>
        <s v="INV001556"/>
        <s v="INV001557"/>
        <s v="INV001558"/>
        <s v="INV001559"/>
        <s v="INV001560"/>
        <s v="INV001561"/>
        <s v="INV001562"/>
        <s v="INV001563"/>
        <s v="INV001564"/>
        <s v="INV001565"/>
        <s v="INV001566"/>
        <s v="INV001567"/>
        <s v="INV001568"/>
        <s v="INV001569"/>
        <s v="INV001570"/>
        <s v="INV001571"/>
        <s v="INV001572"/>
        <s v="INV001573"/>
        <s v="INV001574"/>
        <s v="INV001575"/>
        <s v="INV001576"/>
        <s v="INV001577"/>
        <s v="INV001578"/>
        <s v="INV001579"/>
        <s v="INV001580"/>
        <s v="INV001581"/>
        <s v="INV001582"/>
        <s v="INV001583"/>
        <s v="INV001584"/>
        <s v="INV001585"/>
        <s v="INV001586"/>
        <s v="INV001587"/>
        <s v="INV001588"/>
        <s v="INV001589"/>
        <s v="INV001590"/>
        <s v="INV001591"/>
        <s v="INV001592"/>
        <s v="INV001593"/>
        <s v="INV001594"/>
        <s v="INV001595"/>
        <s v="INV001596"/>
        <s v="INV001597"/>
        <s v="INV001598"/>
        <s v="INV001599"/>
        <s v="INV001600"/>
        <s v="INV001601"/>
        <s v="INV001602"/>
        <s v="INV001603"/>
        <s v="INV001604"/>
        <s v="INV001605"/>
        <s v="INV001606"/>
        <s v="INV001607"/>
        <s v="INV001608"/>
        <s v="INV001609"/>
        <s v="INV001610"/>
        <s v="INV001611"/>
        <s v="INV001612"/>
        <s v="INV001613"/>
        <s v="INV001614"/>
        <s v="INV001615"/>
        <s v="INV001616"/>
        <s v="INV001617"/>
        <s v="INV001618"/>
        <s v="INV001619"/>
        <s v="INV001620"/>
        <s v="INV001621"/>
        <s v="INV001622"/>
        <s v="INV001623"/>
        <s v="INV001624"/>
        <s v="INV001625"/>
        <s v="INV001626"/>
        <s v="INV001627"/>
        <s v="INV001628"/>
        <s v="INV001629"/>
        <s v="INV001630"/>
        <s v="INV001631"/>
        <s v="INV001632"/>
        <s v="INV001633"/>
        <s v="INV001634"/>
        <s v="INV001635"/>
        <s v="INV001636"/>
        <s v="INV001637"/>
        <s v="INV001638"/>
        <s v="INV001639"/>
        <s v="INV001640"/>
        <s v="INV001641"/>
        <s v="INV001642"/>
        <s v="INV001643"/>
        <s v="INV001644"/>
        <s v="INV001645"/>
        <s v="INV001646"/>
        <s v="INV001647"/>
        <s v="INV001648"/>
        <s v="INV001649"/>
        <s v="INV001650"/>
        <s v="INV001651"/>
        <s v="INV001652"/>
        <s v="INV001653"/>
        <s v="INV001654"/>
        <s v="INV001655"/>
        <s v="INV001656"/>
        <s v="INV001657"/>
        <s v="INV001658"/>
        <s v="INV001659"/>
        <s v="INV001660"/>
        <s v="INV001661"/>
        <s v="INV001662"/>
        <s v="INV001663"/>
        <s v="INV001664"/>
        <s v="INV001665"/>
        <s v="INV001666"/>
        <s v="INV001667"/>
        <s v="INV001668"/>
        <s v="INV001669"/>
        <s v="INV001670"/>
        <s v="INV001671"/>
        <s v="INV001672"/>
        <s v="INV001673"/>
        <s v="INV001674"/>
        <s v="INV001675"/>
        <s v="INV001676"/>
        <s v="INV001677"/>
        <s v="INV001678"/>
        <s v="INV001679"/>
        <s v="INV001680"/>
        <s v="INV001681"/>
        <s v="INV001682"/>
        <s v="INV001683"/>
        <s v="INV001684"/>
        <s v="INV001685"/>
        <s v="INV001686"/>
        <s v="INV001687"/>
        <s v="INV001688"/>
        <s v="INV001689"/>
        <s v="INV001690"/>
        <s v="INV001691"/>
        <s v="INV001692"/>
        <s v="INV001693"/>
        <s v="INV001694"/>
        <s v="INV001695"/>
        <s v="INV001696"/>
        <s v="INV001697"/>
        <s v="INV001698"/>
        <s v="INV001699"/>
        <s v="INV001700"/>
        <s v="INV001701"/>
        <s v="INV001702"/>
        <s v="INV001703"/>
        <s v="INV001704"/>
        <s v="INV001705"/>
        <s v="INV001706"/>
        <s v="INV001707"/>
        <s v="INV001708"/>
        <s v="INV001709"/>
        <s v="INV001710"/>
        <s v="INV001711"/>
        <s v="INV001712"/>
        <s v="INV001713"/>
        <s v="INV001714"/>
        <s v="INV001715"/>
        <s v="INV001716"/>
        <s v="INV001717"/>
        <s v="INV001718"/>
        <s v="INV001719"/>
        <s v="INV001720"/>
        <s v="INV001721"/>
        <s v="INV001722"/>
        <s v="INV001723"/>
        <s v="INV001724"/>
        <s v="INV001725"/>
        <s v="INV001726"/>
        <s v="INV001727"/>
        <s v="INV001728"/>
        <s v="INV001729"/>
        <s v="INV001730"/>
        <s v="INV001731"/>
        <s v="INV001732"/>
        <s v="INV001733"/>
        <s v="INV001734"/>
        <s v="INV001735"/>
        <s v="INV001736"/>
        <s v="INV001737"/>
        <s v="INV001738"/>
        <s v="INV001739"/>
        <s v="INV001740"/>
        <s v="INV001741"/>
        <s v="INV001742"/>
        <s v="INV001743"/>
        <s v="INV001744"/>
        <s v="INV001745"/>
        <s v="INV001746"/>
        <s v="INV001747"/>
        <s v="INV001748"/>
        <s v="INV001749"/>
        <s v="INV001750"/>
        <s v="INV001751"/>
        <s v="INV001752"/>
        <s v="INV001753"/>
        <s v="INV001754"/>
        <s v="INV001755"/>
        <s v="INV001756"/>
        <s v="INV001757"/>
        <s v="INV001758"/>
        <s v="INV001759"/>
        <s v="INV001760"/>
        <s v="INV001761"/>
        <s v="INV001762"/>
        <s v="INV001763"/>
        <s v="INV001764"/>
        <s v="INV001765"/>
        <s v="INV001766"/>
        <s v="INV001767"/>
        <s v="INV001768"/>
        <s v="INV001769"/>
        <s v="INV001770"/>
        <s v="INV001771"/>
        <s v="INV001772"/>
        <s v="INV001773"/>
        <s v="INV001774"/>
        <s v="INV001775"/>
        <s v="INV001776"/>
        <s v="INV001777"/>
        <s v="INV001778"/>
        <s v="INV001779"/>
        <s v="INV001780"/>
        <s v="INV001781"/>
        <s v="INV001782"/>
        <s v="INV001783"/>
        <s v="INV001784"/>
        <s v="INV001785"/>
        <s v="INV001786"/>
        <s v="INV001787"/>
        <s v="INV001788"/>
        <s v="INV001789"/>
        <s v="INV001790"/>
        <s v="INV001791"/>
        <s v="INV001792"/>
        <s v="INV001793"/>
        <s v="INV001794"/>
        <s v="INV001795"/>
        <s v="INV001796"/>
        <s v="INV001797"/>
        <s v="INV001798"/>
        <s v="INV001799"/>
        <s v="INV001800"/>
        <s v="INV001801"/>
        <s v="INV001802"/>
        <s v="INV001803"/>
        <s v="INV001804"/>
        <s v="INV001805"/>
        <s v="INV001806"/>
        <s v="INV001807"/>
        <s v="INV001808"/>
        <s v="INV001809"/>
        <s v="INV001810"/>
        <s v="INV001811"/>
        <s v="INV001812"/>
        <s v="INV001813"/>
        <s v="INV001814"/>
        <s v="INV001815"/>
        <s v="INV001816"/>
        <s v="INV001817"/>
        <s v="INV001818"/>
        <s v="INV001819"/>
        <s v="INV001820"/>
        <s v="INV001821"/>
        <s v="INV001822"/>
        <s v="INV001823"/>
        <s v="INV001824"/>
        <s v="INV001825"/>
        <s v="INV001826"/>
        <s v="INV001827"/>
        <s v="INV001828"/>
        <s v="INV001829"/>
        <s v="INV001830"/>
        <s v="INV001831"/>
        <s v="INV001832"/>
        <s v="INV001833"/>
        <s v="INV001834"/>
        <s v="INV001835"/>
        <s v="INV001836"/>
        <s v="INV001837"/>
        <s v="INV001838"/>
        <s v="INV001839"/>
        <s v="INV001840"/>
        <s v="INV001841"/>
        <s v="INV001842"/>
        <s v="INV001843"/>
        <s v="INV001844"/>
        <s v="INV001845"/>
        <s v="INV001846"/>
        <s v="INV001847"/>
        <s v="INV001848"/>
        <s v="INV001849"/>
        <s v="INV001850"/>
        <s v="INV001851"/>
        <s v="INV001852"/>
        <s v="INV001853"/>
        <s v="INV001854"/>
        <s v="INV001855"/>
        <s v="INV001856"/>
        <s v="INV001857"/>
        <s v="INV001858"/>
        <s v="INV001859"/>
        <s v="INV001860"/>
        <s v="INV001861"/>
        <s v="INV001862"/>
        <s v="INV001863"/>
        <s v="INV001864"/>
        <s v="INV001865"/>
        <s v="INV001866"/>
        <s v="INV001867"/>
        <s v="INV001868"/>
        <s v="INV001869"/>
        <s v="INV001870"/>
        <s v="INV001871"/>
        <s v="INV001872"/>
        <s v="INV001873"/>
        <s v="INV001874"/>
        <s v="INV001875"/>
        <s v="INV001876"/>
        <s v="INV001877"/>
        <s v="INV001878"/>
        <s v="INV001879"/>
        <s v="INV001880"/>
        <s v="INV001881"/>
        <s v="INV001882"/>
        <s v="INV001883"/>
        <s v="INV001884"/>
        <s v="INV001885"/>
        <s v="INV001886"/>
        <s v="INV001887"/>
        <s v="INV001888"/>
        <s v="INV001889"/>
        <s v="INV001890"/>
        <s v="INV001891"/>
        <s v="INV001892"/>
        <s v="INV001893"/>
        <s v="INV001894"/>
        <s v="INV001895"/>
        <s v="INV001896"/>
        <s v="INV001897"/>
        <s v="INV001898"/>
        <s v="INV001899"/>
        <s v="INV001900"/>
        <s v="INV001901"/>
        <s v="INV001902"/>
        <s v="INV001903"/>
        <s v="INV001904"/>
        <s v="INV001905"/>
        <s v="INV001906"/>
        <s v="INV001907"/>
        <s v="INV001908"/>
        <s v="INV001909"/>
        <s v="INV001910"/>
        <s v="INV001911"/>
        <s v="INV001912"/>
        <s v="INV001913"/>
        <s v="INV001914"/>
        <s v="INV001915"/>
        <s v="INV001916"/>
        <s v="INV001917"/>
        <s v="INV001918"/>
        <s v="INV001919"/>
        <s v="INV001920"/>
        <s v="INV001921"/>
        <s v="INV001922"/>
        <s v="INV001923"/>
        <s v="INV001924"/>
        <s v="INV001925"/>
        <s v="INV001926"/>
        <s v="INV001927"/>
        <s v="INV001928"/>
        <s v="INV001929"/>
        <s v="INV001930"/>
        <s v="INV001931"/>
        <s v="INV001932"/>
        <s v="INV001933"/>
        <s v="INV001934"/>
        <s v="INV001935"/>
        <s v="INV001936"/>
        <s v="INV001937"/>
        <s v="INV001938"/>
        <s v="INV001939"/>
        <s v="INV001940"/>
        <s v="INV001941"/>
        <s v="INV001942"/>
        <s v="INV001943"/>
        <s v="INV001944"/>
        <s v="INV001945"/>
        <s v="INV001946"/>
        <s v="INV001947"/>
        <s v="INV001948"/>
        <s v="INV001949"/>
        <s v="INV001950"/>
        <s v="INV001951"/>
        <s v="INV001952"/>
        <s v="INV001953"/>
        <s v="INV001954"/>
        <s v="INV001955"/>
        <s v="INV001956"/>
        <s v="INV001957"/>
        <s v="INV001958"/>
        <s v="INV001959"/>
        <s v="INV001960"/>
        <s v="INV001961"/>
        <s v="INV001962"/>
        <s v="INV001963"/>
        <s v="INV001964"/>
        <s v="INV001965"/>
        <s v="INV001966"/>
        <s v="INV001967"/>
        <s v="INV001968"/>
        <s v="INV001969"/>
        <s v="INV001970"/>
        <s v="INV001971"/>
        <s v="INV001972"/>
        <s v="INV001973"/>
        <s v="INV001974"/>
        <s v="INV001975"/>
        <s v="INV001976"/>
        <s v="INV001977"/>
        <s v="INV001978"/>
        <s v="INV001979"/>
        <s v="INV001980"/>
        <s v="INV001981"/>
        <s v="INV001982"/>
        <s v="INV001983"/>
        <s v="INV001984"/>
        <s v="INV001985"/>
        <s v="INV001986"/>
        <s v="INV001987"/>
        <s v="INV001988"/>
        <s v="INV001989"/>
        <s v="INV001990"/>
        <s v="INV001991"/>
        <s v="INV001992"/>
        <s v="INV001993"/>
        <s v="INV001994"/>
        <s v="INV001995"/>
        <s v="INV001996"/>
        <s v="INV001997"/>
        <s v="INV001998"/>
        <s v="INV001999"/>
        <s v="INV002000"/>
        <s v="INV002001"/>
        <s v="INV002002"/>
        <s v="INV002003"/>
        <s v="INV002004"/>
        <s v="INV002005"/>
        <s v="INV002006"/>
        <s v="INV002007"/>
        <s v="INV002008"/>
        <s v="INV002009"/>
        <s v="INV002010"/>
        <s v="INV002011"/>
        <s v="INV002012"/>
        <s v="INV002013"/>
        <s v="INV002014"/>
        <s v="INV002015"/>
        <s v="INV002016"/>
        <s v="INV002017"/>
        <s v="INV002018"/>
        <s v="INV002019"/>
        <s v="INV002020"/>
        <s v="INV002021"/>
        <s v="INV002022"/>
        <s v="INV002023"/>
        <s v="INV002024"/>
        <s v="INV002025"/>
        <s v="INV002026"/>
        <s v="INV002027"/>
        <s v="INV002028"/>
        <s v="INV002029"/>
        <s v="INV002030"/>
        <s v="INV002031"/>
        <s v="INV002032"/>
        <s v="INV002033"/>
        <s v="INV002034"/>
        <s v="INV002035"/>
        <s v="INV002036"/>
        <s v="INV002037"/>
        <s v="INV002038"/>
        <s v="INV002039"/>
        <s v="INV002040"/>
        <s v="INV002041"/>
        <s v="INV002042"/>
        <s v="INV002043"/>
        <s v="INV002044"/>
        <s v="INV002045"/>
        <s v="INV002046"/>
        <s v="INV002047"/>
        <s v="INV002048"/>
        <s v="INV002049"/>
        <s v="INV002050"/>
        <s v="INV002051"/>
        <s v="INV002052"/>
        <s v="INV002053"/>
        <s v="INV002054"/>
        <s v="INV002055"/>
        <s v="INV002056"/>
        <s v="INV002057"/>
        <s v="INV002058"/>
        <s v="INV002059"/>
        <s v="INV002060"/>
        <s v="INV002061"/>
        <s v="INV002062"/>
        <s v="INV002063"/>
        <s v="INV002064"/>
        <s v="INV002065"/>
        <s v="INV002066"/>
        <s v="INV002067"/>
        <s v="INV002068"/>
        <s v="INV002069"/>
        <s v="INV002070"/>
        <s v="INV002071"/>
        <s v="INV002072"/>
        <s v="INV002073"/>
        <s v="INV002074"/>
        <s v="INV002075"/>
        <s v="INV002076"/>
        <s v="INV002077"/>
        <s v="INV002078"/>
        <s v="INV002079"/>
        <s v="INV002080"/>
        <s v="INV002081"/>
        <s v="INV002082"/>
        <s v="INV002083"/>
        <s v="INV002084"/>
        <s v="INV002085"/>
        <s v="INV002086"/>
        <s v="INV002087"/>
        <s v="INV002088"/>
        <s v="INV002089"/>
        <s v="INV002090"/>
        <s v="INV002091"/>
        <s v="INV002092"/>
        <s v="INV002093"/>
        <s v="INV002094"/>
        <s v="INV002095"/>
        <s v="INV002096"/>
        <s v="INV002097"/>
        <s v="INV002098"/>
        <s v="INV002099"/>
        <s v="INV002100"/>
        <s v="INV002101"/>
        <s v="INV002102"/>
        <s v="INV002103"/>
        <s v="INV002104"/>
        <s v="INV002105"/>
        <s v="INV002106"/>
        <s v="INV002107"/>
        <s v="INV002108"/>
        <s v="INV002109"/>
        <s v="INV002110"/>
        <s v="INV002111"/>
        <s v="INV002112"/>
        <s v="INV002113"/>
        <s v="INV002114"/>
        <s v="INV002115"/>
        <s v="INV002116"/>
        <s v="INV002117"/>
        <s v="INV002118"/>
        <s v="INV002119"/>
        <s v="INV002120"/>
        <s v="INV002121"/>
        <s v="INV002122"/>
        <s v="INV002123"/>
        <s v="INV002124"/>
        <s v="INV002125"/>
        <s v="INV002126"/>
        <s v="INV002127"/>
        <s v="INV002128"/>
        <s v="INV002129"/>
        <s v="INV002130"/>
        <s v="INV002131"/>
        <s v="INV002132"/>
        <s v="INV002133"/>
        <s v="INV002134"/>
        <s v="INV002135"/>
        <s v="INV002136"/>
        <s v="INV002137"/>
        <s v="INV002138"/>
        <s v="INV002139"/>
        <s v="INV002140"/>
        <s v="INV002141"/>
        <s v="INV002142"/>
        <s v="INV002143"/>
        <s v="INV002144"/>
        <s v="INV002145"/>
        <s v="INV002146"/>
        <s v="INV002147"/>
        <s v="INV002148"/>
        <s v="INV002149"/>
        <s v="INV002150"/>
        <s v="INV002151"/>
        <s v="INV002152"/>
        <s v="INV002153"/>
        <s v="INV002154"/>
        <s v="INV002155"/>
        <s v="INV002156"/>
        <s v="INV002157"/>
        <s v="INV002158"/>
        <s v="INV002159"/>
        <s v="INV002160"/>
        <s v="INV002161"/>
        <s v="INV002162"/>
        <s v="INV002163"/>
        <s v="INV002164"/>
        <s v="INV002165"/>
        <s v="INV002166"/>
        <s v="INV002167"/>
        <s v="INV002168"/>
        <s v="INV002169"/>
        <s v="INV002170"/>
        <s v="INV002171"/>
        <s v="INV002172"/>
        <s v="INV002173"/>
        <s v="INV002174"/>
        <s v="INV002175"/>
        <s v="INV002176"/>
        <s v="INV002177"/>
        <s v="INV002178"/>
        <s v="INV002179"/>
        <s v="INV002180"/>
        <s v="INV002181"/>
        <s v="INV002182"/>
        <s v="INV002183"/>
        <s v="INV002184"/>
        <s v="INV002185"/>
        <s v="INV002186"/>
        <s v="INV002187"/>
        <s v="INV002188"/>
        <s v="INV002189"/>
        <s v="INV002190"/>
        <s v="INV002191"/>
        <s v="INV002192"/>
        <s v="INV002193"/>
        <s v="INV002194"/>
        <s v="INV002195"/>
        <s v="INV002196"/>
        <s v="INV002197"/>
        <s v="INV002198"/>
        <s v="INV002199"/>
        <s v="INV002200"/>
        <s v="INV002201"/>
        <s v="INV002202"/>
        <s v="INV002203"/>
        <s v="INV002204"/>
        <s v="INV002205"/>
        <s v="INV002206"/>
        <s v="INV002207"/>
        <s v="INV002208"/>
        <s v="INV002209"/>
        <s v="INV002210"/>
        <s v="INV002211"/>
        <s v="INV002212"/>
        <s v="INV002213"/>
        <s v="INV002214"/>
        <s v="INV002215"/>
        <s v="INV002216"/>
        <s v="INV002217"/>
        <s v="INV002218"/>
        <s v="INV002219"/>
        <s v="INV002220"/>
        <s v="INV002221"/>
        <s v="INV002222"/>
        <s v="INV002223"/>
        <s v="INV002224"/>
        <s v="INV002225"/>
        <s v="INV002226"/>
        <s v="INV002227"/>
        <s v="INV002228"/>
        <s v="INV002229"/>
        <s v="INV002230"/>
        <s v="INV002231"/>
        <s v="INV002232"/>
        <s v="INV002233"/>
        <s v="INV002234"/>
        <s v="INV002235"/>
        <s v="INV002236"/>
        <s v="INV002237"/>
        <s v="INV002238"/>
        <s v="INV002239"/>
        <s v="INV002240"/>
        <s v="INV002241"/>
        <s v="INV002242"/>
        <s v="INV002243"/>
        <s v="INV002244"/>
        <s v="INV002245"/>
        <s v="INV002246"/>
        <s v="INV002247"/>
        <s v="INV002248"/>
        <s v="INV002249"/>
        <s v="INV002250"/>
        <s v="INV002251"/>
        <s v="INV002252"/>
        <s v="INV002253"/>
        <s v="INV002254"/>
        <s v="INV002255"/>
        <s v="INV002256"/>
        <s v="INV002257"/>
        <s v="INV002258"/>
        <s v="INV002259"/>
        <s v="INV002260"/>
        <s v="INV002261"/>
        <s v="INV002262"/>
        <s v="INV002263"/>
        <s v="INV002264"/>
        <s v="INV002265"/>
        <s v="INV002266"/>
        <s v="INV002267"/>
        <s v="INV002268"/>
        <s v="INV002269"/>
        <s v="INV002270"/>
        <s v="INV002271"/>
        <s v="INV002272"/>
        <s v="INV002273"/>
        <s v="INV002274"/>
        <s v="INV002275"/>
        <s v="INV002276"/>
        <s v="INV002277"/>
        <s v="INV002278"/>
        <s v="INV002279"/>
        <s v="INV002280"/>
        <s v="INV002281"/>
        <s v="INV002282"/>
        <s v="INV002283"/>
        <s v="INV002284"/>
        <s v="INV002285"/>
        <s v="INV002286"/>
        <s v="INV002287"/>
        <s v="INV002288"/>
        <s v="INV002289"/>
        <s v="INV002290"/>
        <s v="INV002291"/>
        <s v="INV002292"/>
        <s v="INV002293"/>
        <s v="INV002294"/>
        <s v="INV002295"/>
        <s v="INV002296"/>
        <s v="INV002297"/>
        <s v="INV002298"/>
        <s v="INV002299"/>
        <s v="INV002300"/>
        <s v="INV002301"/>
        <s v="INV002302"/>
        <s v="INV002303"/>
        <s v="INV002304"/>
        <s v="INV002305"/>
        <s v="INV002306"/>
        <s v="INV002307"/>
        <s v="INV002308"/>
        <s v="INV002309"/>
        <s v="INV002310"/>
        <s v="INV002311"/>
        <s v="INV002312"/>
        <s v="INV002313"/>
        <s v="INV002314"/>
        <s v="INV002315"/>
        <s v="INV002316"/>
        <s v="INV002317"/>
        <s v="INV002318"/>
        <s v="INV002319"/>
        <s v="INV002320"/>
        <s v="INV002321"/>
        <s v="INV002322"/>
        <s v="INV002323"/>
        <s v="INV002324"/>
        <s v="INV002325"/>
        <s v="INV002326"/>
        <s v="INV002327"/>
        <s v="INV002328"/>
        <s v="INV002329"/>
        <s v="INV002330"/>
        <s v="INV002331"/>
        <s v="INV002332"/>
        <s v="INV002333"/>
        <s v="INV002334"/>
        <s v="INV002335"/>
        <s v="INV002336"/>
        <s v="INV002337"/>
        <s v="INV002338"/>
        <s v="INV002339"/>
        <s v="INV002340"/>
        <s v="INV002341"/>
        <s v="INV002342"/>
        <s v="INV002343"/>
        <s v="INV002344"/>
        <s v="INV002345"/>
        <s v="INV002346"/>
        <s v="INV002347"/>
        <s v="INV002348"/>
        <s v="INV002349"/>
        <s v="INV002350"/>
        <s v="INV002351"/>
        <s v="INV002352"/>
        <s v="INV002353"/>
        <s v="INV002354"/>
        <s v="INV002355"/>
        <s v="INV002356"/>
        <s v="INV002357"/>
        <s v="INV002358"/>
        <s v="INV002359"/>
        <s v="INV002360"/>
        <s v="INV002361"/>
        <s v="INV002362"/>
        <s v="INV002363"/>
        <s v="INV002364"/>
        <s v="INV002365"/>
        <s v="INV002366"/>
        <s v="INV002367"/>
        <s v="INV002368"/>
        <s v="INV002369"/>
        <s v="INV002370"/>
        <s v="INV002371"/>
        <s v="INV002372"/>
        <s v="INV002373"/>
        <s v="INV002374"/>
        <s v="INV002375"/>
        <s v="INV002376"/>
        <s v="INV002377"/>
        <s v="INV002378"/>
        <s v="INV002379"/>
        <s v="INV002380"/>
        <s v="INV002381"/>
        <s v="INV002382"/>
        <s v="INV002383"/>
        <s v="INV002384"/>
        <s v="INV002385"/>
        <s v="INV002386"/>
        <s v="INV002387"/>
        <s v="INV002388"/>
        <s v="INV002389"/>
        <s v="INV002390"/>
        <s v="INV002391"/>
        <s v="INV002392"/>
        <s v="INV002393"/>
        <s v="INV002394"/>
        <s v="INV002395"/>
        <s v="INV002396"/>
        <s v="INV002397"/>
        <s v="INV002398"/>
        <s v="INV002399"/>
        <s v="INV002400"/>
        <s v="INV002401"/>
        <s v="INV002402"/>
        <s v="INV002403"/>
        <s v="INV002404"/>
        <s v="INV002405"/>
        <s v="INV002406"/>
        <s v="INV002407"/>
        <s v="INV002408"/>
        <s v="INV002409"/>
        <s v="INV002410"/>
        <s v="INV002411"/>
        <s v="INV002412"/>
        <s v="INV002413"/>
        <s v="INV002414"/>
        <s v="INV002415"/>
        <s v="INV002416"/>
        <s v="INV002417"/>
        <s v="INV002418"/>
        <s v="INV002419"/>
        <s v="INV002420"/>
        <s v="INV002421"/>
        <s v="INV002422"/>
        <s v="INV002423"/>
        <s v="INV002424"/>
        <s v="INV002425"/>
        <s v="INV002426"/>
        <s v="INV002427"/>
        <s v="INV002428"/>
        <s v="INV002429"/>
        <s v="INV002430"/>
        <s v="INV002431"/>
        <s v="INV002432"/>
        <s v="INV002433"/>
        <s v="INV002434"/>
        <s v="INV002435"/>
        <s v="INV002436"/>
        <s v="INV002437"/>
        <s v="INV002438"/>
        <s v="INV002439"/>
        <s v="INV002440"/>
        <s v="INV002441"/>
        <s v="INV002442"/>
        <s v="INV002443"/>
        <s v="INV002444"/>
        <s v="INV002445"/>
        <s v="INV002446"/>
        <s v="INV002447"/>
        <s v="INV002448"/>
        <s v="INV002449"/>
        <s v="INV002450"/>
        <s v="INV002451"/>
        <s v="INV002452"/>
        <s v="INV002453"/>
        <s v="INV002454"/>
        <s v="INV002455"/>
        <s v="INV002456"/>
        <s v="INV002457"/>
        <s v="INV002458"/>
        <s v="INV002459"/>
        <s v="INV002460"/>
        <s v="INV002461"/>
        <s v="INV002462"/>
        <s v="INV002463"/>
        <s v="INV002464"/>
        <s v="INV002465"/>
        <s v="INV002466"/>
        <s v="INV002467"/>
        <s v="INV002468"/>
        <s v="INV002469"/>
        <s v="INV002470"/>
        <s v="INV002471"/>
        <s v="INV002472"/>
        <s v="INV002473"/>
        <s v="INV002474"/>
        <s v="INV002475"/>
        <s v="INV002476"/>
        <s v="INV002477"/>
        <s v="INV002478"/>
        <s v="INV002479"/>
        <s v="INV002480"/>
        <s v="INV002481"/>
        <s v="INV002482"/>
        <s v="INV002483"/>
        <s v="INV002484"/>
        <s v="INV002485"/>
        <s v="INV002486"/>
        <s v="INV002487"/>
        <s v="INV002488"/>
        <s v="INV002489"/>
        <s v="INV002490"/>
        <s v="INV002491"/>
        <s v="INV002492"/>
        <s v="INV002493"/>
        <s v="INV002494"/>
        <s v="INV002495"/>
        <s v="INV002496"/>
        <s v="INV002497"/>
        <s v="INV002498"/>
        <s v="INV002499"/>
        <s v="INV002500"/>
        <s v="INV002501"/>
        <s v="INV002502"/>
        <s v="INV002503"/>
        <s v="INV002504"/>
        <s v="INV002505"/>
        <s v="INV002506"/>
        <s v="INV002507"/>
        <s v="INV002508"/>
        <s v="INV002509"/>
        <s v="INV002510"/>
        <s v="INV002511"/>
        <s v="INV002512"/>
        <s v="INV002513"/>
        <s v="INV002514"/>
        <s v="INV002515"/>
        <s v="INV002516"/>
        <s v="INV002517"/>
        <s v="INV002518"/>
        <s v="INV002519"/>
        <s v="INV002520"/>
        <s v="INV002521"/>
        <s v="INV002522"/>
        <s v="INV002523"/>
        <s v="INV002524"/>
        <s v="INV002525"/>
        <s v="INV002526"/>
        <s v="INV002527"/>
        <s v="INV002528"/>
        <s v="INV002529"/>
        <s v="INV002530"/>
        <s v="INV002531"/>
        <s v="INV002532"/>
        <s v="INV002533"/>
        <s v="INV002534"/>
        <s v="INV002535"/>
        <s v="INV002536"/>
        <s v="INV002537"/>
        <s v="INV002538"/>
        <s v="INV002539"/>
        <s v="INV002540"/>
        <s v="INV002541"/>
        <s v="INV002542"/>
        <s v="INV002543"/>
        <s v="INV002544"/>
        <s v="INV002545"/>
        <s v="INV002546"/>
        <s v="INV002547"/>
        <s v="INV002548"/>
        <s v="INV002549"/>
        <s v="INV002550"/>
        <s v="INV002551"/>
        <s v="INV002552"/>
        <s v="INV002553"/>
        <s v="INV002554"/>
        <s v="INV002555"/>
        <s v="INV002556"/>
        <s v="INV002557"/>
        <s v="INV002558"/>
        <s v="INV002559"/>
        <s v="INV002560"/>
        <s v="INV002561"/>
        <s v="INV002562"/>
        <s v="INV002563"/>
        <s v="INV002564"/>
        <s v="INV002565"/>
        <s v="INV002566"/>
        <s v="INV002567"/>
        <s v="INV002568"/>
        <s v="INV002569"/>
        <s v="INV002570"/>
        <s v="INV002571"/>
        <s v="INV002572"/>
        <s v="INV002573"/>
        <s v="INV002574"/>
        <s v="INV002575"/>
        <s v="INV002576"/>
        <s v="INV002577"/>
        <s v="INV002578"/>
        <s v="INV002579"/>
        <s v="INV002580"/>
        <s v="INV002581"/>
        <s v="INV002582"/>
        <s v="INV002583"/>
        <s v="INV002584"/>
        <s v="INV002585"/>
        <s v="INV002586"/>
        <s v="INV002587"/>
        <s v="INV002588"/>
        <s v="INV002589"/>
        <s v="INV002590"/>
        <s v="INV002591"/>
        <s v="INV002592"/>
        <s v="INV002593"/>
        <s v="INV002594"/>
        <s v="INV002595"/>
        <s v="INV002596"/>
        <s v="INV002597"/>
        <s v="INV002598"/>
        <s v="INV002599"/>
        <s v="INV002600"/>
        <s v="INV002601"/>
        <s v="INV002602"/>
        <s v="INV002603"/>
        <s v="INV002604"/>
        <s v="INV002605"/>
        <s v="INV002606"/>
        <s v="INV002607"/>
        <s v="INV002608"/>
        <s v="INV002609"/>
        <s v="INV002610"/>
        <s v="INV002611"/>
        <s v="INV002612"/>
        <s v="INV002613"/>
        <s v="INV002614"/>
        <s v="INV002615"/>
        <s v="INV002616"/>
        <s v="INV002617"/>
        <s v="INV002618"/>
        <s v="INV002619"/>
        <s v="INV002620"/>
        <s v="INV002621"/>
        <s v="INV002622"/>
        <s v="INV002623"/>
        <s v="INV002624"/>
        <s v="INV002625"/>
        <s v="INV002626"/>
        <s v="INV002627"/>
        <s v="INV002628"/>
        <s v="INV002629"/>
        <s v="INV002630"/>
        <s v="INV002631"/>
        <s v="INV002632"/>
        <s v="INV002633"/>
        <s v="INV002634"/>
        <s v="INV002635"/>
        <s v="INV002636"/>
        <s v="INV002637"/>
        <s v="INV002638"/>
        <s v="INV002639"/>
        <s v="INV002640"/>
        <s v="INV002641"/>
        <s v="INV002642"/>
        <s v="INV002643"/>
        <s v="INV002644"/>
        <s v="INV002645"/>
        <s v="INV002646"/>
        <s v="INV002647"/>
        <s v="INV002648"/>
        <s v="INV002649"/>
        <s v="INV002650"/>
        <s v="INV002651"/>
        <s v="INV002652"/>
        <s v="INV002653"/>
        <s v="INV002654"/>
        <s v="INV002655"/>
        <s v="INV002656"/>
        <s v="INV002657"/>
        <s v="INV002658"/>
        <s v="INV002659"/>
        <s v="INV002660"/>
        <s v="INV002661"/>
        <s v="INV002662"/>
        <s v="INV002663"/>
        <s v="INV002664"/>
        <s v="INV002665"/>
        <s v="INV002666"/>
        <s v="INV002667"/>
        <s v="INV002668"/>
        <s v="INV002669"/>
        <s v="INV002670"/>
        <s v="INV002671"/>
        <s v="INV002672"/>
        <s v="INV002673"/>
        <s v="INV002674"/>
        <s v="INV002675"/>
        <s v="INV002676"/>
        <s v="INV002677"/>
        <s v="INV002678"/>
        <s v="INV002679"/>
        <s v="INV002680"/>
        <s v="INV002681"/>
        <s v="INV002682"/>
        <s v="INV002683"/>
        <s v="INV002684"/>
        <s v="INV002685"/>
        <s v="INV002686"/>
        <s v="INV002687"/>
        <s v="INV002688"/>
        <s v="INV002689"/>
        <s v="INV002690"/>
        <s v="INV002691"/>
        <s v="INV002692"/>
        <s v="INV002693"/>
        <s v="INV002694"/>
        <s v="INV002695"/>
        <s v="INV002696"/>
        <s v="INV002697"/>
        <s v="INV002698"/>
        <s v="INV002699"/>
        <s v="INV002700"/>
      </sharedItems>
    </cacheField>
    <cacheField name="customer_id" numFmtId="0">
      <sharedItems/>
    </cacheField>
    <cacheField name="bu_id" numFmtId="0">
      <sharedItems count="5">
        <s v="BU04"/>
        <s v="BU02"/>
        <s v="BU05"/>
        <s v="BU01"/>
        <s v="BU03"/>
      </sharedItems>
    </cacheField>
    <cacheField name="invoice_date" numFmtId="14">
      <sharedItems containsSemiMixedTypes="0" containsNonDate="0" containsDate="1" containsString="0" minDate="2023-04-01T00:00:00" maxDate="2025-04-01T00:00:00"/>
    </cacheField>
    <cacheField name="due_date" numFmtId="14">
      <sharedItems containsSemiMixedTypes="0" containsNonDate="0" containsDate="1" containsString="0" minDate="2023-05-05T00:00:00" maxDate="2025-06-30T00:00:00"/>
    </cacheField>
    <cacheField name="currency" numFmtId="0">
      <sharedItems/>
    </cacheField>
    <cacheField name="invoice_amount" numFmtId="0">
      <sharedItems containsSemiMixedTypes="0" containsString="0" containsNumber="1" minValue="6343.41" maxValue="80000000"/>
    </cacheField>
    <cacheField name="paid_date" numFmtId="14">
      <sharedItems containsNonDate="0" containsDate="1" containsString="0" containsBlank="1" minDate="2023-04-17T00:00:00" maxDate="2025-04-01T00:00:00"/>
    </cacheField>
    <cacheField name="status" numFmtId="0">
      <sharedItems/>
    </cacheField>
    <cacheField name="hedged_flag" numFmtId="0">
      <sharedItems/>
    </cacheField>
    <cacheField name="hedge_rate" numFmtId="0">
      <sharedItems containsString="0" containsBlank="1" containsNumber="1" minValue="81.934299999999993" maxValue="94.870199999999997"/>
    </cacheField>
    <cacheField name="amount_paid" numFmtId="0">
      <sharedItems containsSemiMixedTypes="0" containsString="0" containsNumber="1" minValue="0" maxValue="80000000"/>
    </cacheField>
    <cacheField name="fx_rate_inv" numFmtId="0">
      <sharedItems containsSemiMixedTypes="0" containsString="0" containsNumber="1" minValue="1" maxValue="94.586399999999998"/>
    </cacheField>
    <cacheField name="invoice_amount_inr" numFmtId="0">
      <sharedItems containsSemiMixedTypes="0" containsString="0" containsNumber="1" minValue="600000" maxValue="80000000.182710007"/>
    </cacheField>
    <cacheField name="open_balance_inr" numFmtId="0">
      <sharedItems containsSemiMixedTypes="0" containsString="0" containsNumber="1" minValue="0" maxValue="46553189.645787999"/>
    </cacheField>
    <cacheField name="days_overdue" numFmtId="0">
      <sharedItems containsSemiMixedTypes="0" containsString="0" containsNumber="1" containsInteger="1" minValue="0" maxValue="687"/>
    </cacheField>
    <cacheField name="days_late" numFmtId="0">
      <sharedItems containsBlank="1" containsMixedTypes="1" containsNumber="1" containsInteger="1" minValue="-10" maxValue="240"/>
    </cacheField>
    <cacheField name="aging" numFmtId="0">
      <sharedItems count="6">
        <s v="Not open"/>
        <s v="90+"/>
        <s v="61-90"/>
        <s v="31-60"/>
        <s v="1-30"/>
        <s v="Not yet due"/>
      </sharedItems>
    </cacheField>
    <cacheField name="Open Balance Cr." numFmtId="0" formula="open_balance_inr/10000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8">
  <r>
    <x v="0"/>
    <s v="C0060"/>
    <x v="0"/>
    <d v="2023-04-01T00:00:00"/>
    <d v="2023-05-16T00:00:00"/>
    <s v="INR"/>
    <n v="8535764"/>
    <d v="2023-05-20T00:00:00"/>
    <s v="PAID"/>
    <s v="N"/>
    <m/>
    <n v="8535764"/>
    <n v="1"/>
    <n v="8535764"/>
    <n v="0"/>
    <n v="0"/>
    <n v="4"/>
    <x v="0"/>
  </r>
  <r>
    <x v="1"/>
    <s v="C0216"/>
    <x v="1"/>
    <d v="2023-04-01T00:00:00"/>
    <d v="2023-05-31T00:00:00"/>
    <s v="USD"/>
    <n v="106794.73"/>
    <d v="2023-06-16T00:00:00"/>
    <s v="PAID"/>
    <s v="N"/>
    <m/>
    <n v="106794.73"/>
    <n v="82.24"/>
    <n v="8782798.5951999985"/>
    <n v="0"/>
    <n v="0"/>
    <n v="16"/>
    <x v="0"/>
  </r>
  <r>
    <x v="2"/>
    <s v="C0225"/>
    <x v="2"/>
    <d v="2023-04-01T00:00:00"/>
    <d v="2023-05-16T00:00:00"/>
    <s v="USD"/>
    <n v="78822.179999999993"/>
    <d v="2023-05-21T00:00:00"/>
    <s v="PAID"/>
    <s v="N"/>
    <m/>
    <n v="78822.179999999993"/>
    <n v="82.24"/>
    <n v="6482336.0831999993"/>
    <n v="0"/>
    <n v="0"/>
    <n v="5"/>
    <x v="0"/>
  </r>
  <r>
    <x v="3"/>
    <s v="C0063"/>
    <x v="2"/>
    <d v="2023-04-03T00:00:00"/>
    <d v="2023-06-02T00:00:00"/>
    <s v="INR"/>
    <n v="5648523"/>
    <d v="2023-05-28T00:00:00"/>
    <s v="PAID"/>
    <s v="N"/>
    <m/>
    <n v="5648523"/>
    <n v="1"/>
    <n v="5648523"/>
    <n v="0"/>
    <n v="0"/>
    <n v="-5"/>
    <x v="0"/>
  </r>
  <r>
    <x v="4"/>
    <s v="C0236"/>
    <x v="1"/>
    <d v="2023-04-03T00:00:00"/>
    <d v="2023-06-02T00:00:00"/>
    <s v="EUR"/>
    <n v="208975.74"/>
    <d v="2023-07-21T00:00:00"/>
    <s v="PAID"/>
    <s v="N"/>
    <m/>
    <n v="208975.74"/>
    <n v="89.567599999999999"/>
    <n v="18717455.490024"/>
    <n v="0"/>
    <n v="0"/>
    <n v="49"/>
    <x v="0"/>
  </r>
  <r>
    <x v="5"/>
    <s v="C0109"/>
    <x v="1"/>
    <d v="2023-04-04T00:00:00"/>
    <d v="2023-05-19T00:00:00"/>
    <s v="INR"/>
    <n v="6429439"/>
    <d v="2023-05-20T00:00:00"/>
    <s v="PAID"/>
    <s v="N"/>
    <m/>
    <n v="6429439"/>
    <n v="1"/>
    <n v="6429439"/>
    <n v="0"/>
    <n v="0"/>
    <n v="1"/>
    <x v="0"/>
  </r>
  <r>
    <x v="6"/>
    <s v="C0228"/>
    <x v="0"/>
    <d v="2023-04-04T00:00:00"/>
    <d v="2023-05-19T00:00:00"/>
    <s v="INR"/>
    <n v="10867091"/>
    <d v="2023-05-27T00:00:00"/>
    <s v="PAID"/>
    <s v="N"/>
    <m/>
    <n v="10867091"/>
    <n v="1"/>
    <n v="10867091"/>
    <n v="0"/>
    <n v="0"/>
    <n v="8"/>
    <x v="0"/>
  </r>
  <r>
    <x v="7"/>
    <s v="C0244"/>
    <x v="3"/>
    <d v="2023-04-04T00:00:00"/>
    <d v="2023-06-03T00:00:00"/>
    <s v="INR"/>
    <n v="3802227"/>
    <d v="2023-07-15T00:00:00"/>
    <s v="PARTIALLY PAID"/>
    <s v="N"/>
    <m/>
    <n v="2088147"/>
    <n v="1"/>
    <n v="3802227"/>
    <n v="1714080"/>
    <n v="667"/>
    <n v="42"/>
    <x v="1"/>
  </r>
  <r>
    <x v="8"/>
    <s v="C0128"/>
    <x v="1"/>
    <d v="2023-04-05T00:00:00"/>
    <d v="2023-05-05T00:00:00"/>
    <s v="INR"/>
    <n v="6846713"/>
    <d v="2023-05-26T00:00:00"/>
    <s v="PAID"/>
    <s v="N"/>
    <m/>
    <n v="6846713"/>
    <n v="1"/>
    <n v="6846713"/>
    <n v="0"/>
    <n v="0"/>
    <n v="21"/>
    <x v="0"/>
  </r>
  <r>
    <x v="9"/>
    <s v="C0147"/>
    <x v="3"/>
    <d v="2023-04-05T00:00:00"/>
    <d v="2023-07-04T00:00:00"/>
    <s v="INR"/>
    <n v="7670368"/>
    <d v="2023-07-07T00:00:00"/>
    <s v="PAID"/>
    <s v="N"/>
    <m/>
    <n v="7670368"/>
    <n v="1"/>
    <n v="7670368"/>
    <n v="0"/>
    <n v="0"/>
    <n v="3"/>
    <x v="0"/>
  </r>
  <r>
    <x v="10"/>
    <s v="C0196"/>
    <x v="2"/>
    <d v="2023-04-05T00:00:00"/>
    <d v="2023-07-04T00:00:00"/>
    <s v="USD"/>
    <n v="72520.75"/>
    <d v="2023-07-08T00:00:00"/>
    <s v="PAID"/>
    <s v="N"/>
    <m/>
    <n v="72520.75"/>
    <n v="81.89"/>
    <n v="5938724.2175000003"/>
    <n v="0"/>
    <n v="0"/>
    <n v="4"/>
    <x v="0"/>
  </r>
  <r>
    <x v="11"/>
    <s v="C0213"/>
    <x v="1"/>
    <d v="2023-04-05T00:00:00"/>
    <d v="2023-06-04T00:00:00"/>
    <s v="EUR"/>
    <n v="115190.97"/>
    <d v="2023-06-12T00:00:00"/>
    <s v="PAID"/>
    <s v="N"/>
    <m/>
    <n v="115190.97"/>
    <n v="89.407499999999999"/>
    <n v="10298936.650274999"/>
    <n v="0"/>
    <n v="0"/>
    <n v="8"/>
    <x v="0"/>
  </r>
  <r>
    <x v="12"/>
    <s v="C0010"/>
    <x v="1"/>
    <d v="2023-04-06T00:00:00"/>
    <d v="2023-06-05T00:00:00"/>
    <s v="USD"/>
    <n v="41979.85"/>
    <d v="2023-06-17T00:00:00"/>
    <s v="PAID"/>
    <s v="Y"/>
    <n v="82.132900000000006"/>
    <n v="41979.85"/>
    <n v="81.86"/>
    <n v="3436470.5209999997"/>
    <n v="0"/>
    <n v="0"/>
    <n v="12"/>
    <x v="0"/>
  </r>
  <r>
    <x v="13"/>
    <s v="C0017"/>
    <x v="4"/>
    <d v="2023-04-06T00:00:00"/>
    <d v="2023-06-05T00:00:00"/>
    <s v="USD"/>
    <n v="50191.21"/>
    <d v="2023-06-20T00:00:00"/>
    <s v="PAID"/>
    <s v="N"/>
    <m/>
    <n v="50191.21"/>
    <n v="81.86"/>
    <n v="4108652.4506000001"/>
    <n v="0"/>
    <n v="0"/>
    <n v="15"/>
    <x v="0"/>
  </r>
  <r>
    <x v="14"/>
    <s v="C0212"/>
    <x v="2"/>
    <d v="2023-04-06T00:00:00"/>
    <d v="2023-07-05T00:00:00"/>
    <s v="INR"/>
    <n v="3018611"/>
    <d v="2023-07-04T00:00:00"/>
    <s v="PAID"/>
    <s v="N"/>
    <m/>
    <n v="3018611"/>
    <n v="1"/>
    <n v="3018611"/>
    <n v="0"/>
    <n v="0"/>
    <n v="-1"/>
    <x v="0"/>
  </r>
  <r>
    <x v="15"/>
    <s v="C0023"/>
    <x v="1"/>
    <d v="2023-04-07T00:00:00"/>
    <d v="2023-05-22T00:00:00"/>
    <s v="INR"/>
    <n v="6892136"/>
    <d v="2023-06-26T00:00:00"/>
    <s v="PAID"/>
    <s v="N"/>
    <m/>
    <n v="6892136"/>
    <n v="1"/>
    <n v="6892136"/>
    <n v="0"/>
    <n v="0"/>
    <n v="35"/>
    <x v="0"/>
  </r>
  <r>
    <x v="16"/>
    <s v="C0248"/>
    <x v="4"/>
    <d v="2023-04-07T00:00:00"/>
    <d v="2023-05-07T00:00:00"/>
    <s v="USD"/>
    <n v="29223.85"/>
    <d v="2023-05-13T00:00:00"/>
    <s v="PAID"/>
    <s v="N"/>
    <m/>
    <n v="29223.85"/>
    <n v="81.849999999999994"/>
    <n v="2391972.1224999996"/>
    <n v="0"/>
    <n v="0"/>
    <n v="6"/>
    <x v="0"/>
  </r>
  <r>
    <x v="17"/>
    <s v="C0017"/>
    <x v="4"/>
    <d v="2023-04-08T00:00:00"/>
    <d v="2023-06-07T00:00:00"/>
    <s v="USD"/>
    <n v="57629.51"/>
    <d v="2023-06-10T00:00:00"/>
    <s v="PAID"/>
    <s v="Y"/>
    <n v="82.122799999999998"/>
    <n v="57629.51"/>
    <n v="81.849999999999994"/>
    <n v="4716975.3935000002"/>
    <n v="0"/>
    <n v="0"/>
    <n v="3"/>
    <x v="0"/>
  </r>
  <r>
    <x v="18"/>
    <s v="C0021"/>
    <x v="1"/>
    <d v="2023-04-08T00:00:00"/>
    <d v="2023-07-07T00:00:00"/>
    <s v="USD"/>
    <n v="157194.6"/>
    <d v="2023-07-09T00:00:00"/>
    <s v="PARTIALLY PAID"/>
    <s v="Y"/>
    <n v="82.259200000000007"/>
    <n v="124442.82"/>
    <n v="81.849999999999994"/>
    <n v="12866378.01"/>
    <n v="2680733.1929999995"/>
    <n v="633"/>
    <n v="2"/>
    <x v="1"/>
  </r>
  <r>
    <x v="19"/>
    <s v="C0050"/>
    <x v="0"/>
    <d v="2023-04-08T00:00:00"/>
    <d v="2023-06-07T00:00:00"/>
    <s v="INR"/>
    <n v="10221179"/>
    <d v="2023-06-13T00:00:00"/>
    <s v="PAID"/>
    <s v="N"/>
    <m/>
    <n v="10221179"/>
    <n v="1"/>
    <n v="10221179"/>
    <n v="0"/>
    <n v="0"/>
    <n v="6"/>
    <x v="0"/>
  </r>
  <r>
    <x v="20"/>
    <s v="C0054"/>
    <x v="4"/>
    <d v="2023-04-08T00:00:00"/>
    <d v="2023-06-07T00:00:00"/>
    <s v="EUR"/>
    <n v="90681.31"/>
    <d v="2023-06-09T00:00:00"/>
    <s v="PAID"/>
    <s v="N"/>
    <m/>
    <n v="90681.31"/>
    <n v="89.322900000000004"/>
    <n v="8099917.5849989997"/>
    <n v="0"/>
    <n v="0"/>
    <n v="2"/>
    <x v="0"/>
  </r>
  <r>
    <x v="21"/>
    <s v="C0071"/>
    <x v="1"/>
    <d v="2023-04-08T00:00:00"/>
    <d v="2023-06-07T00:00:00"/>
    <s v="USD"/>
    <n v="45327.99"/>
    <d v="2023-10-16T00:00:00"/>
    <s v="PAID"/>
    <s v="N"/>
    <m/>
    <n v="45327.99"/>
    <n v="81.849999999999994"/>
    <n v="3710095.9814999998"/>
    <n v="0"/>
    <n v="0"/>
    <n v="131"/>
    <x v="0"/>
  </r>
  <r>
    <x v="22"/>
    <s v="C0174"/>
    <x v="4"/>
    <d v="2023-04-08T00:00:00"/>
    <d v="2023-05-23T00:00:00"/>
    <s v="EUR"/>
    <n v="72674.83"/>
    <d v="2023-08-21T00:00:00"/>
    <s v="PAID"/>
    <s v="Y"/>
    <n v="89.456900000000005"/>
    <n v="72674.83"/>
    <n v="89.322900000000004"/>
    <n v="6491526.5726070004"/>
    <n v="0"/>
    <n v="0"/>
    <n v="90"/>
    <x v="0"/>
  </r>
  <r>
    <x v="23"/>
    <s v="C0099"/>
    <x v="3"/>
    <d v="2023-04-10T00:00:00"/>
    <d v="2023-06-09T00:00:00"/>
    <s v="EUR"/>
    <n v="119599.58"/>
    <d v="2023-07-15T00:00:00"/>
    <s v="PAID"/>
    <s v="N"/>
    <m/>
    <n v="119599.58"/>
    <n v="88.898799999999994"/>
    <n v="10632259.142503999"/>
    <n v="0"/>
    <n v="0"/>
    <n v="36"/>
    <x v="0"/>
  </r>
  <r>
    <x v="24"/>
    <s v="C0049"/>
    <x v="3"/>
    <d v="2023-04-11T00:00:00"/>
    <d v="2023-05-11T00:00:00"/>
    <s v="INR"/>
    <n v="4686461"/>
    <d v="2023-05-03T00:00:00"/>
    <s v="PAID"/>
    <s v="N"/>
    <m/>
    <n v="4686461"/>
    <n v="1"/>
    <n v="4686461"/>
    <n v="0"/>
    <n v="0"/>
    <n v="-8"/>
    <x v="0"/>
  </r>
  <r>
    <x v="25"/>
    <s v="C0164"/>
    <x v="3"/>
    <d v="2023-04-11T00:00:00"/>
    <d v="2023-06-10T00:00:00"/>
    <s v="USD"/>
    <n v="244892.64"/>
    <d v="2023-07-04T00:00:00"/>
    <s v="PAID"/>
    <s v="N"/>
    <m/>
    <n v="244892.64"/>
    <n v="82.04"/>
    <n v="20090992.185600001"/>
    <n v="0"/>
    <n v="0"/>
    <n v="24"/>
    <x v="0"/>
  </r>
  <r>
    <x v="26"/>
    <s v="C0123"/>
    <x v="1"/>
    <d v="2023-04-12T00:00:00"/>
    <d v="2023-06-11T00:00:00"/>
    <s v="USD"/>
    <n v="32671.3"/>
    <d v="2023-07-12T00:00:00"/>
    <s v="PAID"/>
    <s v="N"/>
    <m/>
    <n v="32671.3"/>
    <n v="81.98"/>
    <n v="2678393.1740000001"/>
    <n v="0"/>
    <n v="0"/>
    <n v="31"/>
    <x v="0"/>
  </r>
  <r>
    <x v="27"/>
    <s v="C0127"/>
    <x v="2"/>
    <d v="2023-04-12T00:00:00"/>
    <d v="2023-06-11T00:00:00"/>
    <s v="INR"/>
    <n v="1552537"/>
    <d v="2023-12-08T00:00:00"/>
    <s v="PAID"/>
    <s v="N"/>
    <m/>
    <n v="1552537"/>
    <n v="1"/>
    <n v="1552537"/>
    <n v="0"/>
    <n v="0"/>
    <n v="180"/>
    <x v="0"/>
  </r>
  <r>
    <x v="28"/>
    <s v="C0146"/>
    <x v="3"/>
    <d v="2023-04-12T00:00:00"/>
    <d v="2023-06-11T00:00:00"/>
    <s v="USD"/>
    <n v="63138.15"/>
    <d v="2023-06-14T00:00:00"/>
    <s v="PAID"/>
    <s v="Y"/>
    <n v="82.253299999999996"/>
    <n v="63138.15"/>
    <n v="81.98"/>
    <n v="5176065.5370000005"/>
    <n v="0"/>
    <n v="0"/>
    <n v="3"/>
    <x v="0"/>
  </r>
  <r>
    <x v="29"/>
    <s v="C0161"/>
    <x v="4"/>
    <d v="2023-04-12T00:00:00"/>
    <d v="2023-07-11T00:00:00"/>
    <s v="USD"/>
    <n v="59738.09"/>
    <d v="2023-07-23T00:00:00"/>
    <s v="PAID"/>
    <s v="N"/>
    <m/>
    <n v="59738.09"/>
    <n v="81.98"/>
    <n v="4897328.6182000004"/>
    <n v="0"/>
    <n v="0"/>
    <n v="12"/>
    <x v="0"/>
  </r>
  <r>
    <x v="30"/>
    <s v="C0226"/>
    <x v="3"/>
    <d v="2023-04-12T00:00:00"/>
    <d v="2023-05-27T00:00:00"/>
    <s v="INR"/>
    <n v="14326207"/>
    <d v="2023-06-06T00:00:00"/>
    <s v="PAID"/>
    <s v="N"/>
    <m/>
    <n v="14326207"/>
    <n v="1"/>
    <n v="14326207"/>
    <n v="0"/>
    <n v="0"/>
    <n v="10"/>
    <x v="0"/>
  </r>
  <r>
    <x v="31"/>
    <s v="C0107"/>
    <x v="1"/>
    <d v="2023-04-13T00:00:00"/>
    <d v="2023-05-13T00:00:00"/>
    <s v="INR"/>
    <n v="4414120"/>
    <d v="2023-07-19T00:00:00"/>
    <s v="PAID"/>
    <s v="N"/>
    <m/>
    <n v="4414120"/>
    <n v="1"/>
    <n v="4414120"/>
    <n v="0"/>
    <n v="0"/>
    <n v="67"/>
    <x v="0"/>
  </r>
  <r>
    <x v="32"/>
    <s v="C0211"/>
    <x v="3"/>
    <d v="2023-04-13T00:00:00"/>
    <d v="2023-05-28T00:00:00"/>
    <s v="INR"/>
    <n v="2596762"/>
    <d v="2023-06-02T00:00:00"/>
    <s v="PAID"/>
    <s v="N"/>
    <m/>
    <n v="2596762"/>
    <n v="1"/>
    <n v="2596762"/>
    <n v="0"/>
    <n v="0"/>
    <n v="5"/>
    <x v="0"/>
  </r>
  <r>
    <x v="33"/>
    <s v="C0057"/>
    <x v="3"/>
    <d v="2023-04-14T00:00:00"/>
    <d v="2023-05-14T00:00:00"/>
    <s v="INR"/>
    <n v="2122508"/>
    <d v="2023-05-12T00:00:00"/>
    <s v="PARTIALLY PAID"/>
    <s v="N"/>
    <m/>
    <n v="1476172.93"/>
    <n v="1"/>
    <n v="2122508"/>
    <n v="646335.07000000007"/>
    <n v="687"/>
    <n v="-2"/>
    <x v="1"/>
  </r>
  <r>
    <x v="34"/>
    <s v="C0228"/>
    <x v="0"/>
    <d v="2023-04-14T00:00:00"/>
    <d v="2023-05-29T00:00:00"/>
    <s v="INR"/>
    <n v="29057368"/>
    <d v="2023-06-19T00:00:00"/>
    <s v="PAID"/>
    <s v="N"/>
    <m/>
    <n v="29057368"/>
    <n v="1"/>
    <n v="29057368"/>
    <n v="0"/>
    <n v="0"/>
    <n v="21"/>
    <x v="0"/>
  </r>
  <r>
    <x v="35"/>
    <s v="C0043"/>
    <x v="1"/>
    <d v="2023-04-15T00:00:00"/>
    <d v="2023-05-30T00:00:00"/>
    <s v="INR"/>
    <n v="6422556"/>
    <d v="2023-06-08T00:00:00"/>
    <s v="PAID"/>
    <s v="N"/>
    <m/>
    <n v="6422556"/>
    <n v="1"/>
    <n v="6422556"/>
    <n v="0"/>
    <n v="0"/>
    <n v="9"/>
    <x v="0"/>
  </r>
  <r>
    <x v="36"/>
    <s v="C0080"/>
    <x v="4"/>
    <d v="2023-04-15T00:00:00"/>
    <d v="2023-06-14T00:00:00"/>
    <s v="INR"/>
    <n v="14106446"/>
    <d v="2023-07-02T00:00:00"/>
    <s v="PAID"/>
    <s v="N"/>
    <m/>
    <n v="14106446"/>
    <n v="1"/>
    <n v="14106446"/>
    <n v="0"/>
    <n v="0"/>
    <n v="18"/>
    <x v="0"/>
  </r>
  <r>
    <x v="37"/>
    <s v="C0094"/>
    <x v="0"/>
    <d v="2023-04-15T00:00:00"/>
    <d v="2023-05-30T00:00:00"/>
    <s v="INR"/>
    <n v="677088"/>
    <d v="2023-05-25T00:00:00"/>
    <s v="PAID"/>
    <s v="N"/>
    <m/>
    <n v="677088"/>
    <n v="1"/>
    <n v="677088"/>
    <n v="0"/>
    <n v="0"/>
    <n v="-5"/>
    <x v="0"/>
  </r>
  <r>
    <x v="38"/>
    <s v="C0137"/>
    <x v="4"/>
    <d v="2023-04-15T00:00:00"/>
    <d v="2023-06-14T00:00:00"/>
    <s v="USD"/>
    <n v="79463.520000000004"/>
    <d v="2023-08-06T00:00:00"/>
    <s v="PAID"/>
    <s v="N"/>
    <m/>
    <n v="79463.520000000004"/>
    <n v="81.88"/>
    <n v="6506473.0175999999"/>
    <n v="0"/>
    <n v="0"/>
    <n v="53"/>
    <x v="0"/>
  </r>
  <r>
    <x v="39"/>
    <s v="C0148"/>
    <x v="0"/>
    <d v="2023-04-15T00:00:00"/>
    <d v="2023-05-15T00:00:00"/>
    <s v="INR"/>
    <n v="4788155"/>
    <d v="2023-05-20T00:00:00"/>
    <s v="PAID"/>
    <s v="N"/>
    <m/>
    <n v="4788155"/>
    <n v="1"/>
    <n v="4788155"/>
    <n v="0"/>
    <n v="0"/>
    <n v="5"/>
    <x v="0"/>
  </r>
  <r>
    <x v="40"/>
    <s v="C0166"/>
    <x v="4"/>
    <d v="2023-04-15T00:00:00"/>
    <d v="2023-07-14T00:00:00"/>
    <s v="INR"/>
    <n v="2503001"/>
    <d v="2023-08-06T00:00:00"/>
    <s v="PAID"/>
    <s v="N"/>
    <m/>
    <n v="2503001"/>
    <n v="1"/>
    <n v="2503001"/>
    <n v="0"/>
    <n v="0"/>
    <n v="23"/>
    <x v="0"/>
  </r>
  <r>
    <x v="41"/>
    <s v="C0198"/>
    <x v="3"/>
    <d v="2023-04-15T00:00:00"/>
    <d v="2023-05-30T00:00:00"/>
    <s v="USD"/>
    <n v="36003.26"/>
    <d v="2023-06-22T00:00:00"/>
    <s v="PAID"/>
    <s v="Y"/>
    <n v="82.084699999999998"/>
    <n v="36003.26"/>
    <n v="81.88"/>
    <n v="2947946.9287999999"/>
    <n v="0"/>
    <n v="0"/>
    <n v="23"/>
    <x v="0"/>
  </r>
  <r>
    <x v="42"/>
    <s v="C0201"/>
    <x v="4"/>
    <d v="2023-04-15T00:00:00"/>
    <d v="2023-06-14T00:00:00"/>
    <s v="INR"/>
    <n v="7631328"/>
    <d v="2023-07-06T00:00:00"/>
    <s v="PAID"/>
    <s v="N"/>
    <m/>
    <n v="7631328"/>
    <n v="1"/>
    <n v="7631328"/>
    <n v="0"/>
    <n v="0"/>
    <n v="22"/>
    <x v="0"/>
  </r>
  <r>
    <x v="43"/>
    <s v="C0081"/>
    <x v="0"/>
    <d v="2023-04-17T00:00:00"/>
    <d v="2023-05-17T00:00:00"/>
    <s v="INR"/>
    <n v="14301590"/>
    <d v="2023-06-10T00:00:00"/>
    <s v="PAID"/>
    <s v="N"/>
    <m/>
    <n v="14301590"/>
    <n v="1"/>
    <n v="14301590"/>
    <n v="0"/>
    <n v="0"/>
    <n v="24"/>
    <x v="0"/>
  </r>
  <r>
    <x v="44"/>
    <s v="C0111"/>
    <x v="3"/>
    <d v="2023-04-17T00:00:00"/>
    <d v="2023-07-16T00:00:00"/>
    <s v="EUR"/>
    <n v="192263.74"/>
    <d v="2023-07-28T00:00:00"/>
    <s v="PARTIALLY PAID"/>
    <s v="N"/>
    <m/>
    <n v="164484.93"/>
    <n v="89.481200000000001"/>
    <n v="17203990.171687998"/>
    <n v="2485681.2533719996"/>
    <n v="624"/>
    <n v="12"/>
    <x v="1"/>
  </r>
  <r>
    <x v="45"/>
    <s v="C0165"/>
    <x v="3"/>
    <d v="2023-04-17T00:00:00"/>
    <d v="2023-05-17T00:00:00"/>
    <s v="USD"/>
    <n v="225864.22"/>
    <d v="2023-05-24T00:00:00"/>
    <s v="PAID"/>
    <s v="Y"/>
    <n v="82.116600000000005"/>
    <n v="225864.22"/>
    <n v="81.98"/>
    <n v="18516348.755600002"/>
    <n v="0"/>
    <n v="0"/>
    <n v="7"/>
    <x v="0"/>
  </r>
  <r>
    <x v="46"/>
    <s v="C0213"/>
    <x v="1"/>
    <d v="2023-04-17T00:00:00"/>
    <d v="2023-06-16T00:00:00"/>
    <s v="EUR"/>
    <n v="46879.33"/>
    <d v="2023-06-16T00:00:00"/>
    <s v="PAID"/>
    <s v="N"/>
    <m/>
    <n v="46879.33"/>
    <n v="89.481200000000001"/>
    <n v="4194818.7035960006"/>
    <n v="0"/>
    <n v="0"/>
    <n v="0"/>
    <x v="0"/>
  </r>
  <r>
    <x v="47"/>
    <s v="C0218"/>
    <x v="3"/>
    <d v="2023-04-17T00:00:00"/>
    <d v="2023-06-01T00:00:00"/>
    <s v="INR"/>
    <n v="3017144"/>
    <d v="2023-06-13T00:00:00"/>
    <s v="PAID"/>
    <s v="N"/>
    <m/>
    <n v="3017144"/>
    <n v="1"/>
    <n v="3017144"/>
    <n v="0"/>
    <n v="0"/>
    <n v="12"/>
    <x v="0"/>
  </r>
  <r>
    <x v="48"/>
    <s v="C0059"/>
    <x v="3"/>
    <d v="2023-04-18T00:00:00"/>
    <d v="2023-05-18T00:00:00"/>
    <s v="INR"/>
    <n v="3740781"/>
    <d v="2023-05-17T00:00:00"/>
    <s v="PAID"/>
    <s v="N"/>
    <m/>
    <n v="3740781"/>
    <n v="1"/>
    <n v="3740781"/>
    <n v="0"/>
    <n v="0"/>
    <n v="-1"/>
    <x v="0"/>
  </r>
  <r>
    <x v="49"/>
    <s v="C0198"/>
    <x v="3"/>
    <d v="2023-04-18T00:00:00"/>
    <d v="2023-06-02T00:00:00"/>
    <s v="USD"/>
    <n v="125816.73"/>
    <d v="2023-08-07T00:00:00"/>
    <s v="PAID"/>
    <s v="N"/>
    <m/>
    <n v="125816.73"/>
    <n v="82.08"/>
    <n v="10327037.1984"/>
    <n v="0"/>
    <n v="0"/>
    <n v="66"/>
    <x v="0"/>
  </r>
  <r>
    <x v="50"/>
    <s v="C0009"/>
    <x v="3"/>
    <d v="2023-04-19T00:00:00"/>
    <d v="2023-06-18T00:00:00"/>
    <s v="INR"/>
    <n v="10727439"/>
    <d v="2023-06-19T00:00:00"/>
    <s v="PAID"/>
    <s v="N"/>
    <m/>
    <n v="10727439"/>
    <n v="1"/>
    <n v="10727439"/>
    <n v="0"/>
    <n v="0"/>
    <n v="1"/>
    <x v="0"/>
  </r>
  <r>
    <x v="51"/>
    <s v="C0144"/>
    <x v="0"/>
    <d v="2023-04-19T00:00:00"/>
    <d v="2023-06-03T00:00:00"/>
    <s v="INR"/>
    <n v="3723090"/>
    <d v="2023-06-03T00:00:00"/>
    <s v="PAID"/>
    <s v="N"/>
    <m/>
    <n v="3723090"/>
    <n v="1"/>
    <n v="3723090"/>
    <n v="0"/>
    <n v="0"/>
    <n v="0"/>
    <x v="0"/>
  </r>
  <r>
    <x v="52"/>
    <s v="C0205"/>
    <x v="2"/>
    <d v="2023-04-19T00:00:00"/>
    <d v="2023-05-19T00:00:00"/>
    <s v="INR"/>
    <n v="16488340"/>
    <d v="2023-05-31T00:00:00"/>
    <s v="PAID"/>
    <s v="N"/>
    <m/>
    <n v="16488340"/>
    <n v="1"/>
    <n v="16488340"/>
    <n v="0"/>
    <n v="0"/>
    <n v="12"/>
    <x v="0"/>
  </r>
  <r>
    <x v="53"/>
    <s v="C0222"/>
    <x v="2"/>
    <d v="2023-04-19T00:00:00"/>
    <d v="2023-06-18T00:00:00"/>
    <s v="EUR"/>
    <n v="28038.32"/>
    <d v="2023-07-20T00:00:00"/>
    <s v="PAID"/>
    <s v="N"/>
    <m/>
    <n v="28038.32"/>
    <n v="90.011799999999994"/>
    <n v="2523779.6521759997"/>
    <n v="0"/>
    <n v="0"/>
    <n v="32"/>
    <x v="0"/>
  </r>
  <r>
    <x v="54"/>
    <s v="C0028"/>
    <x v="0"/>
    <d v="2023-04-20T00:00:00"/>
    <d v="2023-05-20T00:00:00"/>
    <s v="INR"/>
    <n v="4911158"/>
    <d v="2023-05-21T00:00:00"/>
    <s v="PAID"/>
    <s v="N"/>
    <m/>
    <n v="4911158"/>
    <n v="1"/>
    <n v="4911158"/>
    <n v="0"/>
    <n v="0"/>
    <n v="1"/>
    <x v="0"/>
  </r>
  <r>
    <x v="55"/>
    <s v="C0004"/>
    <x v="0"/>
    <d v="2023-04-21T00:00:00"/>
    <d v="2023-06-05T00:00:00"/>
    <s v="INR"/>
    <n v="10566027"/>
    <d v="2023-06-20T00:00:00"/>
    <s v="PAID"/>
    <s v="N"/>
    <m/>
    <n v="10566027"/>
    <n v="1"/>
    <n v="10566027"/>
    <n v="0"/>
    <n v="0"/>
    <n v="15"/>
    <x v="0"/>
  </r>
  <r>
    <x v="56"/>
    <s v="C0007"/>
    <x v="3"/>
    <d v="2023-04-21T00:00:00"/>
    <d v="2023-05-21T00:00:00"/>
    <s v="USD"/>
    <n v="87645.33"/>
    <d v="2023-06-12T00:00:00"/>
    <s v="PAID"/>
    <s v="Y"/>
    <n v="82.196799999999996"/>
    <n v="87645.33"/>
    <n v="82.06"/>
    <n v="7192175.7798000006"/>
    <n v="0"/>
    <n v="0"/>
    <n v="22"/>
    <x v="0"/>
  </r>
  <r>
    <x v="57"/>
    <s v="C0109"/>
    <x v="1"/>
    <d v="2023-04-21T00:00:00"/>
    <d v="2023-06-05T00:00:00"/>
    <s v="INR"/>
    <n v="11354004"/>
    <d v="2023-06-17T00:00:00"/>
    <s v="PAID"/>
    <s v="N"/>
    <m/>
    <n v="11354004"/>
    <n v="1"/>
    <n v="11354004"/>
    <n v="0"/>
    <n v="0"/>
    <n v="12"/>
    <x v="0"/>
  </r>
  <r>
    <x v="58"/>
    <s v="C0228"/>
    <x v="0"/>
    <d v="2023-04-21T00:00:00"/>
    <d v="2023-06-05T00:00:00"/>
    <s v="INR"/>
    <n v="2579263"/>
    <d v="2023-06-19T00:00:00"/>
    <s v="PAID"/>
    <s v="N"/>
    <m/>
    <n v="2579263"/>
    <n v="1"/>
    <n v="2579263"/>
    <n v="0"/>
    <n v="0"/>
    <n v="14"/>
    <x v="0"/>
  </r>
  <r>
    <x v="59"/>
    <s v="C0042"/>
    <x v="3"/>
    <d v="2023-04-22T00:00:00"/>
    <d v="2023-06-21T00:00:00"/>
    <s v="EUR"/>
    <n v="33664.46"/>
    <d v="2023-07-27T00:00:00"/>
    <s v="PAID"/>
    <s v="Y"/>
    <n v="90.224500000000006"/>
    <n v="33664.46"/>
    <n v="90.044399999999996"/>
    <n v="3031296.1020239997"/>
    <n v="0"/>
    <n v="0"/>
    <n v="36"/>
    <x v="0"/>
  </r>
  <r>
    <x v="60"/>
    <s v="C0057"/>
    <x v="3"/>
    <d v="2023-04-22T00:00:00"/>
    <d v="2023-05-22T00:00:00"/>
    <s v="INR"/>
    <n v="14070658"/>
    <d v="2023-05-25T00:00:00"/>
    <s v="PAID"/>
    <s v="N"/>
    <m/>
    <n v="14070658"/>
    <n v="1"/>
    <n v="14070658"/>
    <n v="0"/>
    <n v="0"/>
    <n v="3"/>
    <x v="0"/>
  </r>
  <r>
    <x v="61"/>
    <s v="C0076"/>
    <x v="2"/>
    <d v="2023-04-22T00:00:00"/>
    <d v="2023-06-21T00:00:00"/>
    <s v="INR"/>
    <n v="12591135"/>
    <d v="2023-09-22T00:00:00"/>
    <s v="PAID"/>
    <s v="N"/>
    <m/>
    <n v="12591135"/>
    <n v="1"/>
    <n v="12591135"/>
    <n v="0"/>
    <n v="0"/>
    <n v="93"/>
    <x v="0"/>
  </r>
  <r>
    <x v="62"/>
    <s v="C0115"/>
    <x v="1"/>
    <d v="2023-04-22T00:00:00"/>
    <d v="2023-06-21T00:00:00"/>
    <s v="EUR"/>
    <n v="28928.6"/>
    <d v="2023-07-25T00:00:00"/>
    <s v="PAID"/>
    <s v="N"/>
    <m/>
    <n v="28928.6"/>
    <n v="90.044399999999996"/>
    <n v="2604858.4298399999"/>
    <n v="0"/>
    <n v="0"/>
    <n v="34"/>
    <x v="0"/>
  </r>
  <r>
    <x v="63"/>
    <s v="C0135"/>
    <x v="1"/>
    <d v="2023-04-22T00:00:00"/>
    <d v="2023-06-21T00:00:00"/>
    <s v="EUR"/>
    <n v="53971.42"/>
    <d v="2023-07-06T00:00:00"/>
    <s v="PAID"/>
    <s v="N"/>
    <m/>
    <n v="53971.42"/>
    <n v="90.044399999999996"/>
    <n v="4859824.1310479995"/>
    <n v="0"/>
    <n v="0"/>
    <n v="15"/>
    <x v="0"/>
  </r>
  <r>
    <x v="64"/>
    <s v="C0137"/>
    <x v="4"/>
    <d v="2023-04-22T00:00:00"/>
    <d v="2023-06-21T00:00:00"/>
    <s v="USD"/>
    <n v="70491.03"/>
    <d v="2023-07-27T00:00:00"/>
    <s v="PAID"/>
    <s v="N"/>
    <m/>
    <n v="70491.03"/>
    <n v="82.06"/>
    <n v="5784493.9217999997"/>
    <n v="0"/>
    <n v="0"/>
    <n v="36"/>
    <x v="0"/>
  </r>
  <r>
    <x v="65"/>
    <s v="C0031"/>
    <x v="3"/>
    <d v="2023-04-24T00:00:00"/>
    <d v="2023-07-23T00:00:00"/>
    <s v="INR"/>
    <n v="6124425"/>
    <d v="2023-07-24T00:00:00"/>
    <s v="PAID"/>
    <s v="N"/>
    <m/>
    <n v="6124425"/>
    <n v="1"/>
    <n v="6124425"/>
    <n v="0"/>
    <n v="0"/>
    <n v="1"/>
    <x v="0"/>
  </r>
  <r>
    <x v="66"/>
    <s v="C0039"/>
    <x v="0"/>
    <d v="2023-04-24T00:00:00"/>
    <d v="2023-06-23T00:00:00"/>
    <s v="INR"/>
    <n v="1468585"/>
    <d v="2023-07-01T00:00:00"/>
    <s v="PAID"/>
    <s v="N"/>
    <m/>
    <n v="1468585"/>
    <n v="1"/>
    <n v="1468585"/>
    <n v="0"/>
    <n v="0"/>
    <n v="8"/>
    <x v="0"/>
  </r>
  <r>
    <x v="67"/>
    <s v="C0099"/>
    <x v="3"/>
    <d v="2023-04-24T00:00:00"/>
    <d v="2023-06-23T00:00:00"/>
    <s v="EUR"/>
    <n v="32336.17"/>
    <d v="2023-06-26T00:00:00"/>
    <s v="PAID"/>
    <s v="Y"/>
    <n v="90.491699999999994"/>
    <n v="32336.17"/>
    <n v="90.311099999999996"/>
    <n v="2920315.0824869997"/>
    <n v="0"/>
    <n v="0"/>
    <n v="3"/>
    <x v="0"/>
  </r>
  <r>
    <x v="68"/>
    <s v="C0196"/>
    <x v="2"/>
    <d v="2023-04-24T00:00:00"/>
    <d v="2023-07-23T00:00:00"/>
    <s v="USD"/>
    <n v="85290.54"/>
    <d v="2023-07-27T00:00:00"/>
    <s v="PAID"/>
    <s v="N"/>
    <m/>
    <n v="85290.54"/>
    <n v="81.900000000000006"/>
    <n v="6985295.2259999998"/>
    <n v="0"/>
    <n v="0"/>
    <n v="4"/>
    <x v="0"/>
  </r>
  <r>
    <x v="69"/>
    <s v="C0218"/>
    <x v="3"/>
    <d v="2023-04-24T00:00:00"/>
    <d v="2023-06-08T00:00:00"/>
    <s v="INR"/>
    <n v="3354250"/>
    <d v="2023-06-17T00:00:00"/>
    <s v="PAID"/>
    <s v="N"/>
    <m/>
    <n v="3354250"/>
    <n v="1"/>
    <n v="3354250"/>
    <n v="0"/>
    <n v="0"/>
    <n v="9"/>
    <x v="0"/>
  </r>
  <r>
    <x v="70"/>
    <s v="C0241"/>
    <x v="3"/>
    <d v="2023-04-24T00:00:00"/>
    <d v="2023-06-23T00:00:00"/>
    <s v="EUR"/>
    <n v="127875.43"/>
    <d v="2023-04-17T00:00:00"/>
    <s v="PAID"/>
    <s v="N"/>
    <m/>
    <n v="127875.43"/>
    <n v="90.311099999999996"/>
    <n v="11548570.746273"/>
    <n v="0"/>
    <n v="0"/>
    <m/>
    <x v="0"/>
  </r>
  <r>
    <x v="71"/>
    <s v="C0005"/>
    <x v="2"/>
    <d v="2023-04-25T00:00:00"/>
    <d v="2023-05-25T00:00:00"/>
    <s v="INR"/>
    <n v="10811846"/>
    <d v="2023-05-25T00:00:00"/>
    <s v="PAID"/>
    <s v="N"/>
    <m/>
    <n v="10811846"/>
    <n v="1"/>
    <n v="10811846"/>
    <n v="0"/>
    <n v="0"/>
    <n v="0"/>
    <x v="0"/>
  </r>
  <r>
    <x v="72"/>
    <s v="C0057"/>
    <x v="3"/>
    <d v="2023-04-25T00:00:00"/>
    <d v="2023-05-25T00:00:00"/>
    <s v="INR"/>
    <n v="14173041"/>
    <d v="2023-05-22T00:00:00"/>
    <s v="PAID"/>
    <s v="N"/>
    <m/>
    <n v="14173041"/>
    <n v="1"/>
    <n v="14173041"/>
    <n v="0"/>
    <n v="0"/>
    <n v="-3"/>
    <x v="0"/>
  </r>
  <r>
    <x v="73"/>
    <s v="C0183"/>
    <x v="0"/>
    <d v="2023-04-25T00:00:00"/>
    <d v="2023-07-24T00:00:00"/>
    <s v="INR"/>
    <n v="23414310"/>
    <d v="2023-08-03T00:00:00"/>
    <s v="PAID"/>
    <s v="N"/>
    <m/>
    <n v="23414310"/>
    <n v="1"/>
    <n v="23414310"/>
    <n v="0"/>
    <n v="0"/>
    <n v="10"/>
    <x v="0"/>
  </r>
  <r>
    <x v="74"/>
    <s v="C0230"/>
    <x v="0"/>
    <d v="2023-04-25T00:00:00"/>
    <d v="2023-05-25T00:00:00"/>
    <s v="INR"/>
    <n v="7286686"/>
    <d v="2023-06-10T00:00:00"/>
    <s v="PARTIALLY PAID"/>
    <s v="N"/>
    <m/>
    <n v="3833816.04"/>
    <n v="1"/>
    <n v="7286686"/>
    <n v="3452869.96"/>
    <n v="676"/>
    <n v="16"/>
    <x v="1"/>
  </r>
  <r>
    <x v="75"/>
    <s v="C0058"/>
    <x v="3"/>
    <d v="2023-04-26T00:00:00"/>
    <d v="2023-05-26T00:00:00"/>
    <s v="INR"/>
    <n v="3068895"/>
    <d v="2023-05-30T00:00:00"/>
    <s v="PAID"/>
    <s v="N"/>
    <m/>
    <n v="3068895"/>
    <n v="1"/>
    <n v="3068895"/>
    <n v="0"/>
    <n v="0"/>
    <n v="4"/>
    <x v="0"/>
  </r>
  <r>
    <x v="76"/>
    <s v="C0016"/>
    <x v="1"/>
    <d v="2023-04-27T00:00:00"/>
    <d v="2023-05-27T00:00:00"/>
    <s v="INR"/>
    <n v="7184818"/>
    <d v="2023-06-12T00:00:00"/>
    <s v="PAID"/>
    <s v="N"/>
    <m/>
    <n v="7184818"/>
    <n v="1"/>
    <n v="7184818"/>
    <n v="0"/>
    <n v="0"/>
    <n v="16"/>
    <x v="0"/>
  </r>
  <r>
    <x v="77"/>
    <s v="C0050"/>
    <x v="0"/>
    <d v="2023-04-27T00:00:00"/>
    <d v="2023-06-26T00:00:00"/>
    <s v="INR"/>
    <n v="4222332"/>
    <d v="2023-07-02T00:00:00"/>
    <s v="PAID"/>
    <s v="N"/>
    <m/>
    <n v="4222332"/>
    <n v="1"/>
    <n v="4222332"/>
    <n v="0"/>
    <n v="0"/>
    <n v="6"/>
    <x v="0"/>
  </r>
  <r>
    <x v="78"/>
    <s v="C0058"/>
    <x v="3"/>
    <d v="2023-04-27T00:00:00"/>
    <d v="2023-05-27T00:00:00"/>
    <s v="INR"/>
    <n v="9168381"/>
    <d v="2023-06-08T00:00:00"/>
    <s v="PAID"/>
    <s v="N"/>
    <m/>
    <n v="9168381"/>
    <n v="1"/>
    <n v="9168381"/>
    <n v="0"/>
    <n v="0"/>
    <n v="12"/>
    <x v="0"/>
  </r>
  <r>
    <x v="79"/>
    <s v="C0228"/>
    <x v="0"/>
    <d v="2023-04-27T00:00:00"/>
    <d v="2023-06-11T00:00:00"/>
    <s v="INR"/>
    <n v="2669040"/>
    <d v="2023-06-15T00:00:00"/>
    <s v="PAID"/>
    <s v="N"/>
    <m/>
    <n v="2669040"/>
    <n v="1"/>
    <n v="2669040"/>
    <n v="0"/>
    <n v="0"/>
    <n v="4"/>
    <x v="0"/>
  </r>
  <r>
    <x v="80"/>
    <s v="C0189"/>
    <x v="1"/>
    <d v="2023-04-28T00:00:00"/>
    <d v="2023-06-12T00:00:00"/>
    <s v="INR"/>
    <n v="4984959"/>
    <d v="2023-08-31T00:00:00"/>
    <s v="PAID"/>
    <s v="N"/>
    <m/>
    <n v="4984959"/>
    <n v="1"/>
    <n v="4984959"/>
    <n v="0"/>
    <n v="0"/>
    <n v="80"/>
    <x v="0"/>
  </r>
  <r>
    <x v="81"/>
    <s v="C0213"/>
    <x v="1"/>
    <d v="2023-04-28T00:00:00"/>
    <d v="2023-06-27T00:00:00"/>
    <s v="EUR"/>
    <n v="39954.11"/>
    <d v="2023-07-05T00:00:00"/>
    <s v="PAID"/>
    <s v="N"/>
    <m/>
    <n v="39954.11"/>
    <n v="90.351399999999998"/>
    <n v="3609909.7742539998"/>
    <n v="0"/>
    <n v="0"/>
    <n v="8"/>
    <x v="0"/>
  </r>
  <r>
    <x v="82"/>
    <s v="C0075"/>
    <x v="1"/>
    <d v="2023-04-29T00:00:00"/>
    <d v="2023-05-29T00:00:00"/>
    <s v="INR"/>
    <n v="22900835"/>
    <d v="2023-06-29T00:00:00"/>
    <s v="PAID"/>
    <s v="N"/>
    <m/>
    <n v="22900835"/>
    <n v="1"/>
    <n v="22900835"/>
    <n v="0"/>
    <n v="0"/>
    <n v="31"/>
    <x v="0"/>
  </r>
  <r>
    <x v="83"/>
    <s v="C0224"/>
    <x v="1"/>
    <d v="2023-04-29T00:00:00"/>
    <d v="2023-05-29T00:00:00"/>
    <s v="EUR"/>
    <n v="100113.29"/>
    <d v="2023-06-07T00:00:00"/>
    <s v="PAID"/>
    <s v="N"/>
    <m/>
    <n v="100113.29"/>
    <n v="90.351399999999998"/>
    <n v="9045375.9101059996"/>
    <n v="0"/>
    <n v="0"/>
    <n v="9"/>
    <x v="0"/>
  </r>
  <r>
    <x v="84"/>
    <s v="C0236"/>
    <x v="1"/>
    <d v="2023-04-29T00:00:00"/>
    <d v="2023-06-28T00:00:00"/>
    <s v="EUR"/>
    <n v="115178.06"/>
    <d v="2023-10-20T00:00:00"/>
    <s v="PAID"/>
    <s v="N"/>
    <m/>
    <n v="115178.06"/>
    <n v="90.351399999999998"/>
    <n v="10406498.970284"/>
    <n v="0"/>
    <n v="0"/>
    <n v="114"/>
    <x v="0"/>
  </r>
  <r>
    <x v="85"/>
    <s v="C0060"/>
    <x v="1"/>
    <d v="2023-05-01T00:00:00"/>
    <d v="2023-06-15T00:00:00"/>
    <s v="INR"/>
    <n v="3929798"/>
    <d v="2023-06-14T00:00:00"/>
    <s v="PAID"/>
    <s v="N"/>
    <m/>
    <n v="3929798"/>
    <n v="1"/>
    <n v="3929798"/>
    <n v="0"/>
    <n v="0"/>
    <n v="-1"/>
    <x v="0"/>
  </r>
  <r>
    <x v="86"/>
    <s v="C0111"/>
    <x v="3"/>
    <d v="2023-05-01T00:00:00"/>
    <d v="2023-07-30T00:00:00"/>
    <s v="EUR"/>
    <n v="77541.09"/>
    <d v="2023-10-10T00:00:00"/>
    <s v="PAID"/>
    <s v="Y"/>
    <n v="90.047799999999995"/>
    <n v="77541.09"/>
    <n v="89.778499999999994"/>
    <n v="6961522.7485649996"/>
    <n v="0"/>
    <n v="0"/>
    <n v="72"/>
    <x v="0"/>
  </r>
  <r>
    <x v="87"/>
    <s v="C0183"/>
    <x v="0"/>
    <d v="2023-05-01T00:00:00"/>
    <d v="2023-07-30T00:00:00"/>
    <s v="INR"/>
    <n v="15846562"/>
    <d v="2023-08-01T00:00:00"/>
    <s v="PAID"/>
    <s v="N"/>
    <m/>
    <n v="15846562"/>
    <n v="1"/>
    <n v="15846562"/>
    <n v="0"/>
    <n v="0"/>
    <n v="2"/>
    <x v="0"/>
  </r>
  <r>
    <x v="88"/>
    <s v="C0191"/>
    <x v="4"/>
    <d v="2023-05-01T00:00:00"/>
    <d v="2023-06-15T00:00:00"/>
    <s v="EUR"/>
    <n v="113552.32000000001"/>
    <d v="2023-06-22T00:00:00"/>
    <s v="PAID"/>
    <s v="Y"/>
    <n v="89.913200000000003"/>
    <n v="113552.32000000001"/>
    <n v="89.778499999999994"/>
    <n v="10194556.96112"/>
    <n v="0"/>
    <n v="0"/>
    <n v="7"/>
    <x v="0"/>
  </r>
  <r>
    <x v="89"/>
    <s v="C0236"/>
    <x v="1"/>
    <d v="2023-05-02T00:00:00"/>
    <d v="2023-07-01T00:00:00"/>
    <s v="EUR"/>
    <n v="54279.11"/>
    <d v="2023-08-10T00:00:00"/>
    <s v="PAID"/>
    <s v="Y"/>
    <n v="90.234499999999997"/>
    <n v="54279.11"/>
    <n v="90.054400000000001"/>
    <n v="4888072.683584"/>
    <n v="0"/>
    <n v="0"/>
    <n v="40"/>
    <x v="0"/>
  </r>
  <r>
    <x v="90"/>
    <s v="C0049"/>
    <x v="3"/>
    <d v="2023-05-03T00:00:00"/>
    <d v="2023-06-02T00:00:00"/>
    <s v="INR"/>
    <n v="2610087"/>
    <d v="2023-06-02T00:00:00"/>
    <s v="PAID"/>
    <s v="N"/>
    <m/>
    <n v="2610087"/>
    <n v="1"/>
    <n v="2610087"/>
    <n v="0"/>
    <n v="0"/>
    <n v="0"/>
    <x v="0"/>
  </r>
  <r>
    <x v="91"/>
    <s v="C0141"/>
    <x v="3"/>
    <d v="2023-05-03T00:00:00"/>
    <d v="2023-07-02T00:00:00"/>
    <s v="INR"/>
    <n v="5041679"/>
    <d v="2023-07-10T00:00:00"/>
    <s v="PAID"/>
    <s v="N"/>
    <m/>
    <n v="5041679"/>
    <n v="1"/>
    <n v="5041679"/>
    <n v="0"/>
    <n v="0"/>
    <n v="8"/>
    <x v="0"/>
  </r>
  <r>
    <x v="92"/>
    <s v="C0177"/>
    <x v="3"/>
    <d v="2023-05-03T00:00:00"/>
    <d v="2023-07-02T00:00:00"/>
    <s v="EUR"/>
    <n v="76098.77"/>
    <d v="2023-07-08T00:00:00"/>
    <s v="PAID"/>
    <s v="N"/>
    <m/>
    <n v="76098.77"/>
    <n v="90.414000000000001"/>
    <n v="6880394.1907800008"/>
    <n v="0"/>
    <n v="0"/>
    <n v="6"/>
    <x v="0"/>
  </r>
  <r>
    <x v="93"/>
    <s v="C0212"/>
    <x v="2"/>
    <d v="2023-05-03T00:00:00"/>
    <d v="2023-08-01T00:00:00"/>
    <s v="INR"/>
    <n v="5758484"/>
    <d v="2023-07-25T00:00:00"/>
    <s v="PAID"/>
    <s v="N"/>
    <m/>
    <n v="5758484"/>
    <n v="1"/>
    <n v="5758484"/>
    <n v="0"/>
    <n v="0"/>
    <n v="-7"/>
    <x v="0"/>
  </r>
  <r>
    <x v="94"/>
    <s v="C0213"/>
    <x v="1"/>
    <d v="2023-05-03T00:00:00"/>
    <d v="2023-07-02T00:00:00"/>
    <s v="EUR"/>
    <n v="44327.35"/>
    <d v="2023-07-05T00:00:00"/>
    <s v="PAID"/>
    <s v="N"/>
    <m/>
    <n v="44327.35"/>
    <n v="90.414000000000001"/>
    <n v="4007813.0228999997"/>
    <n v="0"/>
    <n v="0"/>
    <n v="3"/>
    <x v="0"/>
  </r>
  <r>
    <x v="95"/>
    <s v="C0025"/>
    <x v="3"/>
    <d v="2023-05-04T00:00:00"/>
    <d v="2023-06-18T00:00:00"/>
    <s v="USD"/>
    <n v="84428.22"/>
    <d v="2023-07-15T00:00:00"/>
    <s v="PAID"/>
    <s v="Y"/>
    <n v="81.934299999999993"/>
    <n v="84428.22"/>
    <n v="81.73"/>
    <n v="6900318.4206000008"/>
    <n v="0"/>
    <n v="0"/>
    <n v="27"/>
    <x v="0"/>
  </r>
  <r>
    <x v="96"/>
    <s v="C0069"/>
    <x v="2"/>
    <d v="2023-05-04T00:00:00"/>
    <d v="2023-06-03T00:00:00"/>
    <s v="INR"/>
    <n v="1800380"/>
    <d v="2023-06-22T00:00:00"/>
    <s v="PAID"/>
    <s v="N"/>
    <m/>
    <n v="1800380"/>
    <n v="1"/>
    <n v="1800380"/>
    <n v="0"/>
    <n v="0"/>
    <n v="19"/>
    <x v="0"/>
  </r>
  <r>
    <x v="97"/>
    <s v="C0144"/>
    <x v="2"/>
    <d v="2023-05-04T00:00:00"/>
    <d v="2023-06-18T00:00:00"/>
    <s v="INR"/>
    <n v="10209782"/>
    <d v="2023-06-23T00:00:00"/>
    <s v="PAID"/>
    <s v="N"/>
    <m/>
    <n v="10209782"/>
    <n v="1"/>
    <n v="10209782"/>
    <n v="0"/>
    <n v="0"/>
    <n v="5"/>
    <x v="0"/>
  </r>
  <r>
    <x v="98"/>
    <s v="C0149"/>
    <x v="3"/>
    <d v="2023-05-04T00:00:00"/>
    <d v="2023-06-18T00:00:00"/>
    <s v="INR"/>
    <n v="1506434"/>
    <d v="2023-06-08T00:00:00"/>
    <s v="PAID"/>
    <s v="N"/>
    <m/>
    <n v="1506434"/>
    <n v="1"/>
    <n v="1506434"/>
    <n v="0"/>
    <n v="0"/>
    <n v="-10"/>
    <x v="0"/>
  </r>
  <r>
    <x v="99"/>
    <s v="C0166"/>
    <x v="4"/>
    <d v="2023-05-04T00:00:00"/>
    <d v="2023-08-02T00:00:00"/>
    <s v="INR"/>
    <n v="12307147"/>
    <d v="2023-08-30T00:00:00"/>
    <s v="PAID"/>
    <s v="N"/>
    <m/>
    <n v="12307147"/>
    <n v="1"/>
    <n v="12307147"/>
    <n v="0"/>
    <n v="0"/>
    <n v="28"/>
    <x v="0"/>
  </r>
  <r>
    <x v="100"/>
    <s v="C0191"/>
    <x v="4"/>
    <d v="2023-05-04T00:00:00"/>
    <d v="2023-06-18T00:00:00"/>
    <s v="EUR"/>
    <n v="67612.13"/>
    <d v="2023-06-12T00:00:00"/>
    <s v="PAID"/>
    <s v="Y"/>
    <n v="90.111599999999996"/>
    <n v="67612.13"/>
    <n v="89.976600000000005"/>
    <n v="6083509.5761580011"/>
    <n v="0"/>
    <n v="0"/>
    <n v="-6"/>
    <x v="0"/>
  </r>
  <r>
    <x v="101"/>
    <s v="C0060"/>
    <x v="0"/>
    <d v="2023-05-05T00:00:00"/>
    <d v="2023-06-19T00:00:00"/>
    <s v="INR"/>
    <n v="8109234"/>
    <d v="2023-06-17T00:00:00"/>
    <s v="PAID"/>
    <s v="N"/>
    <m/>
    <n v="8109234"/>
    <n v="1"/>
    <n v="8109234"/>
    <n v="0"/>
    <n v="0"/>
    <n v="-2"/>
    <x v="0"/>
  </r>
  <r>
    <x v="102"/>
    <s v="C0073"/>
    <x v="1"/>
    <d v="2023-05-05T00:00:00"/>
    <d v="2023-06-04T00:00:00"/>
    <s v="USD"/>
    <n v="71396.320000000007"/>
    <d v="2023-08-06T00:00:00"/>
    <s v="PAID"/>
    <s v="N"/>
    <m/>
    <n v="71396.320000000007"/>
    <n v="81.81"/>
    <n v="5840932.9392000008"/>
    <n v="0"/>
    <n v="0"/>
    <n v="63"/>
    <x v="0"/>
  </r>
  <r>
    <x v="103"/>
    <s v="C0204"/>
    <x v="2"/>
    <d v="2023-05-05T00:00:00"/>
    <d v="2023-08-03T00:00:00"/>
    <s v="USD"/>
    <n v="35172.949999999997"/>
    <d v="2023-08-23T00:00:00"/>
    <s v="PAID"/>
    <s v="Y"/>
    <n v="82.218999999999994"/>
    <n v="35172.949999999997"/>
    <n v="81.81"/>
    <n v="2877499.0395"/>
    <n v="0"/>
    <n v="0"/>
    <n v="20"/>
    <x v="0"/>
  </r>
  <r>
    <x v="104"/>
    <s v="C0238"/>
    <x v="2"/>
    <d v="2023-05-05T00:00:00"/>
    <d v="2023-07-04T00:00:00"/>
    <s v="INR"/>
    <n v="5483498"/>
    <d v="2023-07-10T00:00:00"/>
    <s v="PAID"/>
    <s v="N"/>
    <m/>
    <n v="5483498"/>
    <n v="1"/>
    <n v="5483498"/>
    <n v="0"/>
    <n v="0"/>
    <n v="6"/>
    <x v="0"/>
  </r>
  <r>
    <x v="105"/>
    <s v="C0043"/>
    <x v="1"/>
    <d v="2023-05-06T00:00:00"/>
    <d v="2023-06-20T00:00:00"/>
    <s v="INR"/>
    <n v="2723060"/>
    <d v="2023-07-03T00:00:00"/>
    <s v="PARTIALLY PAID"/>
    <s v="N"/>
    <m/>
    <n v="2157629.2599999998"/>
    <n v="1"/>
    <n v="2723060"/>
    <n v="565430.74000000022"/>
    <n v="650"/>
    <n v="13"/>
    <x v="1"/>
  </r>
  <r>
    <x v="106"/>
    <s v="C0052"/>
    <x v="0"/>
    <d v="2023-05-06T00:00:00"/>
    <d v="2023-06-05T00:00:00"/>
    <s v="INR"/>
    <n v="4375237"/>
    <d v="2023-06-10T00:00:00"/>
    <s v="PAID"/>
    <s v="N"/>
    <m/>
    <n v="4375237"/>
    <n v="1"/>
    <n v="4375237"/>
    <n v="0"/>
    <n v="0"/>
    <n v="5"/>
    <x v="0"/>
  </r>
  <r>
    <x v="107"/>
    <s v="C0079"/>
    <x v="3"/>
    <d v="2023-05-06T00:00:00"/>
    <d v="2023-08-04T00:00:00"/>
    <s v="USD"/>
    <n v="48919.42"/>
    <d v="2023-08-14T00:00:00"/>
    <s v="PAID"/>
    <s v="N"/>
    <m/>
    <n v="48919.42"/>
    <n v="81.81"/>
    <n v="4002097.7502000001"/>
    <n v="0"/>
    <n v="0"/>
    <n v="10"/>
    <x v="0"/>
  </r>
  <r>
    <x v="108"/>
    <s v="C0201"/>
    <x v="4"/>
    <d v="2023-05-06T00:00:00"/>
    <d v="2023-07-05T00:00:00"/>
    <s v="INR"/>
    <n v="7099198"/>
    <d v="2023-08-15T00:00:00"/>
    <s v="PAID"/>
    <s v="N"/>
    <m/>
    <n v="7099198"/>
    <n v="1"/>
    <n v="7099198"/>
    <n v="0"/>
    <n v="0"/>
    <n v="41"/>
    <x v="0"/>
  </r>
  <r>
    <x v="109"/>
    <s v="C0221"/>
    <x v="1"/>
    <d v="2023-05-06T00:00:00"/>
    <d v="2023-07-05T00:00:00"/>
    <s v="INR"/>
    <n v="4697304"/>
    <d v="2023-07-23T00:00:00"/>
    <s v="PAID"/>
    <s v="N"/>
    <m/>
    <n v="4697304"/>
    <n v="1"/>
    <n v="4697304"/>
    <n v="0"/>
    <n v="0"/>
    <n v="18"/>
    <x v="0"/>
  </r>
  <r>
    <x v="110"/>
    <s v="C0228"/>
    <x v="0"/>
    <d v="2023-05-06T00:00:00"/>
    <d v="2023-06-20T00:00:00"/>
    <s v="INR"/>
    <n v="40026775"/>
    <d v="2023-07-02T00:00:00"/>
    <s v="PAID"/>
    <s v="N"/>
    <m/>
    <n v="40026775"/>
    <n v="1"/>
    <n v="40026775"/>
    <n v="0"/>
    <n v="0"/>
    <n v="12"/>
    <x v="0"/>
  </r>
  <r>
    <x v="111"/>
    <s v="C0057"/>
    <x v="3"/>
    <d v="2023-05-08T00:00:00"/>
    <d v="2023-06-07T00:00:00"/>
    <s v="INR"/>
    <n v="24908469"/>
    <d v="2023-06-08T00:00:00"/>
    <s v="PAID"/>
    <s v="N"/>
    <m/>
    <n v="24908469"/>
    <n v="1"/>
    <n v="24908469"/>
    <n v="0"/>
    <n v="0"/>
    <n v="1"/>
    <x v="0"/>
  </r>
  <r>
    <x v="112"/>
    <s v="C0072"/>
    <x v="4"/>
    <d v="2023-05-08T00:00:00"/>
    <d v="2023-08-06T00:00:00"/>
    <s v="EUR"/>
    <n v="103238.38"/>
    <d v="2023-08-23T00:00:00"/>
    <s v="PAID"/>
    <s v="Y"/>
    <n v="90.391999999999996"/>
    <n v="103238.38"/>
    <n v="90.121600000000001"/>
    <n v="9304007.9870079998"/>
    <n v="0"/>
    <n v="0"/>
    <n v="17"/>
    <x v="0"/>
  </r>
  <r>
    <x v="113"/>
    <s v="C0111"/>
    <x v="3"/>
    <d v="2023-05-08T00:00:00"/>
    <d v="2023-08-06T00:00:00"/>
    <s v="EUR"/>
    <n v="90709.79"/>
    <d v="2023-08-26T00:00:00"/>
    <s v="PAID"/>
    <s v="Y"/>
    <n v="90.391999999999996"/>
    <n v="90709.79"/>
    <n v="90.121600000000001"/>
    <n v="8174911.410464"/>
    <n v="0"/>
    <n v="0"/>
    <n v="20"/>
    <x v="0"/>
  </r>
  <r>
    <x v="114"/>
    <s v="C0019"/>
    <x v="2"/>
    <d v="2023-05-09T00:00:00"/>
    <d v="2023-08-07T00:00:00"/>
    <s v="EUR"/>
    <n v="175010.97"/>
    <d v="2023-09-04T00:00:00"/>
    <s v="PAID"/>
    <s v="Y"/>
    <n v="90.128"/>
    <n v="175010.97"/>
    <n v="89.858400000000003"/>
    <n v="15726205.746648001"/>
    <n v="0"/>
    <n v="0"/>
    <n v="28"/>
    <x v="0"/>
  </r>
  <r>
    <x v="115"/>
    <s v="C0004"/>
    <x v="0"/>
    <d v="2023-05-10T00:00:00"/>
    <d v="2023-06-24T00:00:00"/>
    <s v="INR"/>
    <n v="1942145"/>
    <d v="2023-06-26T00:00:00"/>
    <s v="PAID"/>
    <s v="N"/>
    <m/>
    <n v="1942145"/>
    <n v="1"/>
    <n v="1942145"/>
    <n v="0"/>
    <n v="0"/>
    <n v="2"/>
    <x v="0"/>
  </r>
  <r>
    <x v="116"/>
    <s v="C0007"/>
    <x v="3"/>
    <d v="2023-05-10T00:00:00"/>
    <d v="2023-06-09T00:00:00"/>
    <s v="USD"/>
    <n v="89121.8"/>
    <d v="2023-06-26T00:00:00"/>
    <s v="PAID"/>
    <s v="N"/>
    <m/>
    <n v="89121.8"/>
    <n v="81.94"/>
    <n v="7302640.2920000004"/>
    <n v="0"/>
    <n v="0"/>
    <n v="17"/>
    <x v="0"/>
  </r>
  <r>
    <x v="117"/>
    <s v="C0050"/>
    <x v="0"/>
    <d v="2023-05-10T00:00:00"/>
    <d v="2023-07-09T00:00:00"/>
    <s v="INR"/>
    <n v="59514265"/>
    <d v="2023-07-14T00:00:00"/>
    <s v="PAID"/>
    <s v="N"/>
    <m/>
    <n v="59514265"/>
    <n v="1"/>
    <n v="59514265"/>
    <n v="0"/>
    <n v="0"/>
    <n v="5"/>
    <x v="0"/>
  </r>
  <r>
    <x v="118"/>
    <s v="C0123"/>
    <x v="1"/>
    <d v="2023-05-10T00:00:00"/>
    <d v="2023-07-09T00:00:00"/>
    <s v="USD"/>
    <n v="60987.87"/>
    <d v="2023-07-28T00:00:00"/>
    <s v="PAID"/>
    <s v="N"/>
    <m/>
    <n v="60987.87"/>
    <n v="81.94"/>
    <n v="4997346.0678000003"/>
    <n v="0"/>
    <n v="0"/>
    <n v="19"/>
    <x v="0"/>
  </r>
  <r>
    <x v="119"/>
    <s v="C0039"/>
    <x v="0"/>
    <d v="2023-05-11T00:00:00"/>
    <d v="2023-07-10T00:00:00"/>
    <s v="INR"/>
    <n v="2586464"/>
    <d v="2023-07-17T00:00:00"/>
    <s v="PAID"/>
    <s v="N"/>
    <m/>
    <n v="2586464"/>
    <n v="1"/>
    <n v="2586464"/>
    <n v="0"/>
    <n v="0"/>
    <n v="7"/>
    <x v="0"/>
  </r>
  <r>
    <x v="120"/>
    <s v="C0050"/>
    <x v="0"/>
    <d v="2023-05-11T00:00:00"/>
    <d v="2023-07-10T00:00:00"/>
    <s v="INR"/>
    <n v="11142597"/>
    <d v="2023-07-08T00:00:00"/>
    <s v="PAID"/>
    <s v="N"/>
    <m/>
    <n v="11142597"/>
    <n v="1"/>
    <n v="11142597"/>
    <n v="0"/>
    <n v="0"/>
    <n v="-2"/>
    <x v="0"/>
  </r>
  <r>
    <x v="121"/>
    <s v="C0121"/>
    <x v="0"/>
    <d v="2023-05-11T00:00:00"/>
    <d v="2023-07-10T00:00:00"/>
    <s v="INR"/>
    <n v="5590612"/>
    <d v="2023-07-09T00:00:00"/>
    <s v="PAID"/>
    <s v="N"/>
    <m/>
    <n v="5590612"/>
    <n v="1"/>
    <n v="5590612"/>
    <n v="0"/>
    <n v="0"/>
    <n v="-1"/>
    <x v="0"/>
  </r>
  <r>
    <x v="122"/>
    <s v="C0160"/>
    <x v="3"/>
    <d v="2023-05-11T00:00:00"/>
    <d v="2023-06-25T00:00:00"/>
    <s v="INR"/>
    <n v="15264246"/>
    <d v="2023-07-27T00:00:00"/>
    <s v="PAID"/>
    <s v="N"/>
    <m/>
    <n v="15264246"/>
    <n v="1"/>
    <n v="15264246"/>
    <n v="0"/>
    <n v="0"/>
    <n v="32"/>
    <x v="0"/>
  </r>
  <r>
    <x v="123"/>
    <s v="C0202"/>
    <x v="3"/>
    <d v="2023-05-11T00:00:00"/>
    <d v="2023-06-25T00:00:00"/>
    <s v="USD"/>
    <n v="333311.8"/>
    <d v="2023-07-06T00:00:00"/>
    <s v="PARTIALLY PAID"/>
    <s v="Y"/>
    <n v="82.335300000000004"/>
    <n v="281975.71000000002"/>
    <n v="82.13"/>
    <n v="27374898.133999996"/>
    <n v="4216233.0716999974"/>
    <n v="645"/>
    <n v="11"/>
    <x v="1"/>
  </r>
  <r>
    <x v="124"/>
    <s v="C0211"/>
    <x v="3"/>
    <d v="2023-05-11T00:00:00"/>
    <d v="2023-06-25T00:00:00"/>
    <s v="INR"/>
    <n v="4963808"/>
    <d v="2023-07-08T00:00:00"/>
    <s v="PAID"/>
    <s v="N"/>
    <m/>
    <n v="4963808"/>
    <n v="1"/>
    <n v="4963808"/>
    <n v="0"/>
    <n v="0"/>
    <n v="13"/>
    <x v="0"/>
  </r>
  <r>
    <x v="125"/>
    <s v="C0238"/>
    <x v="2"/>
    <d v="2023-05-11T00:00:00"/>
    <d v="2023-07-10T00:00:00"/>
    <s v="INR"/>
    <n v="18851207"/>
    <d v="2023-07-10T00:00:00"/>
    <s v="PAID"/>
    <s v="N"/>
    <m/>
    <n v="18851207"/>
    <n v="1"/>
    <n v="18851207"/>
    <n v="0"/>
    <n v="0"/>
    <n v="0"/>
    <x v="0"/>
  </r>
  <r>
    <x v="126"/>
    <s v="C0057"/>
    <x v="3"/>
    <d v="2023-05-12T00:00:00"/>
    <d v="2023-06-11T00:00:00"/>
    <s v="INR"/>
    <n v="15602226"/>
    <d v="2023-06-09T00:00:00"/>
    <s v="PAID"/>
    <s v="N"/>
    <m/>
    <n v="15602226"/>
    <n v="1"/>
    <n v="15602226"/>
    <n v="0"/>
    <n v="0"/>
    <n v="-2"/>
    <x v="0"/>
  </r>
  <r>
    <x v="127"/>
    <s v="C0162"/>
    <x v="1"/>
    <d v="2023-05-12T00:00:00"/>
    <d v="2023-06-11T00:00:00"/>
    <s v="INR"/>
    <n v="8003005"/>
    <d v="2023-08-13T00:00:00"/>
    <s v="PAID"/>
    <s v="N"/>
    <m/>
    <n v="8003005"/>
    <n v="1"/>
    <n v="8003005"/>
    <n v="0"/>
    <n v="0"/>
    <n v="63"/>
    <x v="0"/>
  </r>
  <r>
    <x v="128"/>
    <s v="C0049"/>
    <x v="3"/>
    <d v="2023-05-13T00:00:00"/>
    <d v="2023-06-12T00:00:00"/>
    <s v="INR"/>
    <n v="26636900"/>
    <d v="2023-06-12T00:00:00"/>
    <s v="PAID"/>
    <s v="N"/>
    <m/>
    <n v="26636900"/>
    <n v="1"/>
    <n v="26636900"/>
    <n v="0"/>
    <n v="0"/>
    <n v="0"/>
    <x v="0"/>
  </r>
  <r>
    <x v="129"/>
    <s v="C0082"/>
    <x v="4"/>
    <d v="2023-05-13T00:00:00"/>
    <d v="2023-07-12T00:00:00"/>
    <s v="INR"/>
    <n v="11327578"/>
    <d v="2023-07-14T00:00:00"/>
    <s v="PAID"/>
    <s v="N"/>
    <m/>
    <n v="11327578"/>
    <n v="1"/>
    <n v="11327578"/>
    <n v="0"/>
    <n v="0"/>
    <n v="2"/>
    <x v="0"/>
  </r>
  <r>
    <x v="130"/>
    <s v="C0183"/>
    <x v="0"/>
    <d v="2023-05-13T00:00:00"/>
    <d v="2023-08-11T00:00:00"/>
    <s v="INR"/>
    <n v="7643400"/>
    <d v="2023-08-05T00:00:00"/>
    <s v="PAID"/>
    <s v="N"/>
    <m/>
    <n v="7643400"/>
    <n v="1"/>
    <n v="7643400"/>
    <n v="0"/>
    <n v="0"/>
    <n v="-6"/>
    <x v="0"/>
  </r>
  <r>
    <x v="131"/>
    <s v="C0238"/>
    <x v="2"/>
    <d v="2023-05-13T00:00:00"/>
    <d v="2023-07-12T00:00:00"/>
    <s v="INR"/>
    <n v="8527985"/>
    <d v="2023-07-22T00:00:00"/>
    <s v="PAID"/>
    <s v="N"/>
    <m/>
    <n v="8527985"/>
    <n v="1"/>
    <n v="8527985"/>
    <n v="0"/>
    <n v="0"/>
    <n v="10"/>
    <x v="0"/>
  </r>
  <r>
    <x v="132"/>
    <s v="C0244"/>
    <x v="3"/>
    <d v="2023-05-13T00:00:00"/>
    <d v="2023-07-12T00:00:00"/>
    <s v="INR"/>
    <n v="22505839"/>
    <m/>
    <s v="PAID"/>
    <s v="N"/>
    <m/>
    <n v="22505839"/>
    <n v="1"/>
    <n v="22505839"/>
    <n v="0"/>
    <n v="0"/>
    <s v=""/>
    <x v="0"/>
  </r>
  <r>
    <x v="133"/>
    <s v="C0107"/>
    <x v="1"/>
    <d v="2023-05-15T00:00:00"/>
    <d v="2023-06-14T00:00:00"/>
    <s v="INR"/>
    <n v="5916848"/>
    <d v="2023-04-21T00:00:00"/>
    <s v="PAID"/>
    <s v="N"/>
    <m/>
    <n v="5916848"/>
    <n v="1"/>
    <n v="5916848"/>
    <n v="0"/>
    <n v="0"/>
    <m/>
    <x v="0"/>
  </r>
  <r>
    <x v="134"/>
    <s v="C0119"/>
    <x v="4"/>
    <d v="2023-05-15T00:00:00"/>
    <d v="2023-07-14T00:00:00"/>
    <s v="INR"/>
    <n v="3430935"/>
    <d v="2023-07-15T00:00:00"/>
    <s v="PAID"/>
    <s v="N"/>
    <m/>
    <n v="3430935"/>
    <n v="1"/>
    <n v="3430935"/>
    <n v="0"/>
    <n v="0"/>
    <n v="1"/>
    <x v="0"/>
  </r>
  <r>
    <x v="135"/>
    <s v="C0141"/>
    <x v="3"/>
    <d v="2023-05-15T00:00:00"/>
    <d v="2023-07-14T00:00:00"/>
    <s v="INR"/>
    <n v="7890700"/>
    <d v="2023-07-29T00:00:00"/>
    <s v="PAID"/>
    <s v="N"/>
    <m/>
    <n v="7890700"/>
    <n v="1"/>
    <n v="7890700"/>
    <n v="0"/>
    <n v="0"/>
    <n v="15"/>
    <x v="0"/>
  </r>
  <r>
    <x v="136"/>
    <s v="C0226"/>
    <x v="3"/>
    <d v="2023-05-15T00:00:00"/>
    <d v="2023-06-29T00:00:00"/>
    <s v="INR"/>
    <n v="7790934"/>
    <d v="2023-07-01T00:00:00"/>
    <s v="PAID"/>
    <s v="N"/>
    <m/>
    <n v="7790934"/>
    <n v="1"/>
    <n v="7790934"/>
    <n v="0"/>
    <n v="0"/>
    <n v="2"/>
    <x v="0"/>
  </r>
  <r>
    <x v="137"/>
    <s v="C0047"/>
    <x v="4"/>
    <d v="2023-05-16T00:00:00"/>
    <d v="2023-08-14T00:00:00"/>
    <s v="USD"/>
    <n v="64727.82"/>
    <d v="2023-08-16T00:00:00"/>
    <s v="PAID"/>
    <s v="Y"/>
    <n v="82.671300000000002"/>
    <n v="64727.82"/>
    <n v="82.26"/>
    <n v="5324510.4731999999"/>
    <n v="0"/>
    <n v="0"/>
    <n v="2"/>
    <x v="0"/>
  </r>
  <r>
    <x v="138"/>
    <s v="C0050"/>
    <x v="0"/>
    <d v="2023-05-16T00:00:00"/>
    <d v="2023-07-15T00:00:00"/>
    <s v="INR"/>
    <n v="11040032"/>
    <d v="2023-07-19T00:00:00"/>
    <s v="PAID"/>
    <s v="N"/>
    <m/>
    <n v="11040032"/>
    <n v="1"/>
    <n v="11040032"/>
    <n v="0"/>
    <n v="0"/>
    <n v="4"/>
    <x v="0"/>
  </r>
  <r>
    <x v="139"/>
    <s v="C0141"/>
    <x v="3"/>
    <d v="2023-05-16T00:00:00"/>
    <d v="2023-07-15T00:00:00"/>
    <s v="INR"/>
    <n v="3577377"/>
    <d v="2023-07-17T00:00:00"/>
    <s v="PAID"/>
    <s v="N"/>
    <m/>
    <n v="3577377"/>
    <n v="1"/>
    <n v="3577377"/>
    <n v="0"/>
    <n v="0"/>
    <n v="2"/>
    <x v="0"/>
  </r>
  <r>
    <x v="140"/>
    <s v="C0020"/>
    <x v="2"/>
    <d v="2023-05-17T00:00:00"/>
    <d v="2023-08-15T00:00:00"/>
    <s v="USD"/>
    <n v="87892.58"/>
    <d v="2023-10-06T00:00:00"/>
    <s v="PAID"/>
    <s v="N"/>
    <m/>
    <n v="87892.58"/>
    <n v="82.39"/>
    <n v="7241469.6661999999"/>
    <n v="0"/>
    <n v="0"/>
    <n v="52"/>
    <x v="0"/>
  </r>
  <r>
    <x v="141"/>
    <s v="C0025"/>
    <x v="3"/>
    <d v="2023-05-17T00:00:00"/>
    <d v="2023-07-01T00:00:00"/>
    <s v="USD"/>
    <n v="67453.22"/>
    <d v="2023-07-09T00:00:00"/>
    <s v="PAID"/>
    <s v="Y"/>
    <n v="82.596000000000004"/>
    <n v="67453.22"/>
    <n v="82.39"/>
    <n v="5557470.7958000004"/>
    <n v="0"/>
    <n v="0"/>
    <n v="8"/>
    <x v="0"/>
  </r>
  <r>
    <x v="142"/>
    <s v="C0101"/>
    <x v="4"/>
    <d v="2023-05-17T00:00:00"/>
    <d v="2023-07-16T00:00:00"/>
    <s v="USD"/>
    <n v="153729.18"/>
    <d v="2023-08-11T00:00:00"/>
    <s v="PAID"/>
    <s v="N"/>
    <m/>
    <n v="153729.18"/>
    <n v="82.39"/>
    <n v="12665747.1402"/>
    <n v="0"/>
    <n v="0"/>
    <n v="26"/>
    <x v="0"/>
  </r>
  <r>
    <x v="143"/>
    <s v="C0226"/>
    <x v="3"/>
    <d v="2023-05-17T00:00:00"/>
    <d v="2023-07-01T00:00:00"/>
    <s v="INR"/>
    <n v="5659193"/>
    <d v="2023-06-30T00:00:00"/>
    <s v="PAID"/>
    <s v="N"/>
    <m/>
    <n v="5659193"/>
    <n v="1"/>
    <n v="5659193"/>
    <n v="0"/>
    <n v="0"/>
    <n v="-1"/>
    <x v="0"/>
  </r>
  <r>
    <x v="144"/>
    <s v="C0228"/>
    <x v="3"/>
    <d v="2023-05-17T00:00:00"/>
    <d v="2023-07-01T00:00:00"/>
    <s v="INR"/>
    <n v="28227414"/>
    <d v="2023-07-02T00:00:00"/>
    <s v="PAID"/>
    <s v="N"/>
    <m/>
    <n v="28227414"/>
    <n v="1"/>
    <n v="28227414"/>
    <n v="0"/>
    <n v="0"/>
    <n v="1"/>
    <x v="0"/>
  </r>
  <r>
    <x v="145"/>
    <s v="C0073"/>
    <x v="1"/>
    <d v="2023-05-18T00:00:00"/>
    <d v="2023-06-17T00:00:00"/>
    <s v="USD"/>
    <n v="196920.7"/>
    <d v="2023-07-14T00:00:00"/>
    <s v="PAID"/>
    <s v="N"/>
    <m/>
    <n v="196920.7"/>
    <n v="82.77"/>
    <n v="16299126.339"/>
    <n v="0"/>
    <n v="0"/>
    <n v="27"/>
    <x v="0"/>
  </r>
  <r>
    <x v="146"/>
    <s v="C0228"/>
    <x v="0"/>
    <d v="2023-05-18T00:00:00"/>
    <d v="2023-07-02T00:00:00"/>
    <s v="INR"/>
    <n v="3374257"/>
    <d v="2023-07-09T00:00:00"/>
    <s v="PAID"/>
    <s v="N"/>
    <m/>
    <n v="3374257"/>
    <n v="1"/>
    <n v="3374257"/>
    <n v="0"/>
    <n v="0"/>
    <n v="7"/>
    <x v="0"/>
  </r>
  <r>
    <x v="147"/>
    <s v="C0244"/>
    <x v="3"/>
    <d v="2023-05-19T00:00:00"/>
    <d v="2023-07-18T00:00:00"/>
    <s v="INR"/>
    <n v="2802118"/>
    <d v="2023-09-04T00:00:00"/>
    <s v="PAID"/>
    <s v="N"/>
    <m/>
    <n v="2802118"/>
    <n v="1"/>
    <n v="2802118"/>
    <n v="0"/>
    <n v="0"/>
    <n v="48"/>
    <x v="0"/>
  </r>
  <r>
    <x v="148"/>
    <s v="C0052"/>
    <x v="0"/>
    <d v="2023-05-20T00:00:00"/>
    <d v="2023-06-19T00:00:00"/>
    <s v="INR"/>
    <n v="2614939"/>
    <d v="2023-06-24T00:00:00"/>
    <s v="PAID"/>
    <s v="N"/>
    <m/>
    <n v="2614939"/>
    <n v="1"/>
    <n v="2614939"/>
    <n v="0"/>
    <n v="0"/>
    <n v="5"/>
    <x v="0"/>
  </r>
  <r>
    <x v="149"/>
    <s v="C0075"/>
    <x v="1"/>
    <d v="2023-05-20T00:00:00"/>
    <d v="2023-06-19T00:00:00"/>
    <s v="INR"/>
    <n v="12926208"/>
    <m/>
    <s v="PAID"/>
    <s v="N"/>
    <m/>
    <n v="12926208"/>
    <n v="1"/>
    <n v="12926208"/>
    <n v="0"/>
    <n v="0"/>
    <s v=""/>
    <x v="0"/>
  </r>
  <r>
    <x v="150"/>
    <s v="C0177"/>
    <x v="4"/>
    <d v="2023-05-20T00:00:00"/>
    <d v="2023-07-19T00:00:00"/>
    <s v="EUR"/>
    <n v="265560.8"/>
    <d v="2023-07-28T00:00:00"/>
    <s v="PAID"/>
    <s v="Y"/>
    <n v="89.597800000000007"/>
    <n v="265560.8"/>
    <n v="89.418999999999997"/>
    <n v="23746181.175199997"/>
    <n v="0"/>
    <n v="0"/>
    <n v="9"/>
    <x v="0"/>
  </r>
  <r>
    <x v="151"/>
    <s v="C0182"/>
    <x v="0"/>
    <d v="2023-05-20T00:00:00"/>
    <d v="2023-07-19T00:00:00"/>
    <s v="INR"/>
    <n v="3823097"/>
    <d v="2023-07-20T00:00:00"/>
    <s v="PAID"/>
    <s v="N"/>
    <m/>
    <n v="3823097"/>
    <n v="1"/>
    <n v="3823097"/>
    <n v="0"/>
    <n v="0"/>
    <n v="1"/>
    <x v="0"/>
  </r>
  <r>
    <x v="152"/>
    <s v="C0183"/>
    <x v="0"/>
    <d v="2023-05-20T00:00:00"/>
    <d v="2023-08-18T00:00:00"/>
    <s v="INR"/>
    <n v="7223943"/>
    <d v="2023-08-25T00:00:00"/>
    <s v="PAID"/>
    <s v="N"/>
    <m/>
    <n v="7223943"/>
    <n v="1"/>
    <n v="7223943"/>
    <n v="0"/>
    <n v="0"/>
    <n v="7"/>
    <x v="0"/>
  </r>
  <r>
    <x v="153"/>
    <s v="C0198"/>
    <x v="3"/>
    <d v="2023-05-20T00:00:00"/>
    <d v="2023-07-04T00:00:00"/>
    <s v="USD"/>
    <n v="83040.210000000006"/>
    <d v="2023-07-30T00:00:00"/>
    <s v="PAID"/>
    <s v="Y"/>
    <n v="82.8566"/>
    <n v="83040.210000000006"/>
    <n v="82.65"/>
    <n v="6863273.3565000007"/>
    <n v="0"/>
    <n v="0"/>
    <n v="26"/>
    <x v="0"/>
  </r>
  <r>
    <x v="154"/>
    <s v="C0239"/>
    <x v="1"/>
    <d v="2023-05-20T00:00:00"/>
    <d v="2023-07-04T00:00:00"/>
    <s v="INR"/>
    <n v="4498205"/>
    <m/>
    <s v="WRITTEN OFF"/>
    <s v="N"/>
    <m/>
    <n v="0"/>
    <n v="1"/>
    <n v="4498205"/>
    <n v="0"/>
    <n v="0"/>
    <s v=""/>
    <x v="0"/>
  </r>
  <r>
    <x v="155"/>
    <s v="C0039"/>
    <x v="0"/>
    <d v="2023-05-22T00:00:00"/>
    <d v="2023-07-21T00:00:00"/>
    <s v="INR"/>
    <n v="2896392"/>
    <d v="2023-08-13T00:00:00"/>
    <s v="PAID"/>
    <s v="N"/>
    <m/>
    <n v="2896392"/>
    <n v="1"/>
    <n v="2896392"/>
    <n v="0"/>
    <n v="0"/>
    <n v="23"/>
    <x v="0"/>
  </r>
  <r>
    <x v="156"/>
    <s v="C0049"/>
    <x v="3"/>
    <d v="2023-05-23T00:00:00"/>
    <d v="2023-06-22T00:00:00"/>
    <s v="INR"/>
    <n v="7545262"/>
    <d v="2023-06-21T00:00:00"/>
    <s v="PAID"/>
    <s v="N"/>
    <m/>
    <n v="7545262"/>
    <n v="1"/>
    <n v="7545262"/>
    <n v="0"/>
    <n v="0"/>
    <n v="-1"/>
    <x v="0"/>
  </r>
  <r>
    <x v="157"/>
    <s v="C0019"/>
    <x v="2"/>
    <d v="2023-05-24T00:00:00"/>
    <d v="2023-08-22T00:00:00"/>
    <s v="EUR"/>
    <n v="46387.040000000001"/>
    <d v="2023-09-17T00:00:00"/>
    <s v="PARTIALLY PAID"/>
    <s v="N"/>
    <m/>
    <n v="26504.76"/>
    <n v="88.925600000000003"/>
    <n v="4124995.3642240004"/>
    <n v="1768043.6783680003"/>
    <n v="587"/>
    <n v="26"/>
    <x v="1"/>
  </r>
  <r>
    <x v="158"/>
    <s v="C0069"/>
    <x v="2"/>
    <d v="2023-05-24T00:00:00"/>
    <d v="2023-06-23T00:00:00"/>
    <s v="INR"/>
    <n v="16820761"/>
    <d v="2023-07-19T00:00:00"/>
    <s v="PAID"/>
    <s v="N"/>
    <m/>
    <n v="16820761"/>
    <n v="1"/>
    <n v="16820761"/>
    <n v="0"/>
    <n v="0"/>
    <n v="26"/>
    <x v="0"/>
  </r>
  <r>
    <x v="159"/>
    <s v="C0212"/>
    <x v="2"/>
    <d v="2023-05-25T00:00:00"/>
    <d v="2023-08-23T00:00:00"/>
    <s v="INR"/>
    <n v="6393543"/>
    <d v="2023-08-20T00:00:00"/>
    <s v="PAID"/>
    <s v="N"/>
    <m/>
    <n v="6393543"/>
    <n v="1"/>
    <n v="6393543"/>
    <n v="0"/>
    <n v="0"/>
    <n v="-3"/>
    <x v="0"/>
  </r>
  <r>
    <x v="160"/>
    <s v="C0244"/>
    <x v="3"/>
    <d v="2023-05-25T00:00:00"/>
    <d v="2023-07-24T00:00:00"/>
    <s v="INR"/>
    <n v="18597733"/>
    <d v="2023-09-16T00:00:00"/>
    <s v="PAID"/>
    <s v="N"/>
    <m/>
    <n v="18597733"/>
    <n v="1"/>
    <n v="18597733"/>
    <n v="0"/>
    <n v="0"/>
    <n v="54"/>
    <x v="0"/>
  </r>
  <r>
    <x v="161"/>
    <s v="C0193"/>
    <x v="3"/>
    <d v="2023-05-26T00:00:00"/>
    <d v="2023-07-10T00:00:00"/>
    <s v="EUR"/>
    <n v="28121.17"/>
    <d v="2023-08-11T00:00:00"/>
    <s v="PAID"/>
    <s v="Y"/>
    <n v="88.600700000000003"/>
    <n v="28121.17"/>
    <n v="88.468000000000004"/>
    <n v="2487823.66756"/>
    <n v="0"/>
    <n v="0"/>
    <n v="32"/>
    <x v="0"/>
  </r>
  <r>
    <x v="162"/>
    <s v="C0049"/>
    <x v="3"/>
    <d v="2023-05-27T00:00:00"/>
    <d v="2023-06-26T00:00:00"/>
    <s v="INR"/>
    <n v="5981180"/>
    <d v="2023-06-19T00:00:00"/>
    <s v="PAID"/>
    <s v="N"/>
    <m/>
    <n v="5981180"/>
    <n v="1"/>
    <n v="5981180"/>
    <n v="0"/>
    <n v="0"/>
    <n v="-7"/>
    <x v="0"/>
  </r>
  <r>
    <x v="163"/>
    <s v="C0060"/>
    <x v="0"/>
    <d v="2023-05-27T00:00:00"/>
    <d v="2023-07-11T00:00:00"/>
    <s v="INR"/>
    <n v="4309126"/>
    <d v="2023-07-12T00:00:00"/>
    <s v="PAID"/>
    <s v="N"/>
    <m/>
    <n v="4309126"/>
    <n v="1"/>
    <n v="4309126"/>
    <n v="0"/>
    <n v="0"/>
    <n v="1"/>
    <x v="0"/>
  </r>
  <r>
    <x v="164"/>
    <s v="C0075"/>
    <x v="1"/>
    <d v="2023-05-27T00:00:00"/>
    <d v="2023-06-26T00:00:00"/>
    <s v="INR"/>
    <n v="12295589"/>
    <d v="2023-07-03T00:00:00"/>
    <s v="PAID"/>
    <s v="N"/>
    <m/>
    <n v="12295589"/>
    <n v="1"/>
    <n v="12295589"/>
    <n v="0"/>
    <n v="0"/>
    <n v="7"/>
    <x v="0"/>
  </r>
  <r>
    <x v="165"/>
    <s v="C0146"/>
    <x v="3"/>
    <d v="2023-05-27T00:00:00"/>
    <d v="2023-07-26T00:00:00"/>
    <s v="USD"/>
    <n v="85671.47"/>
    <d v="2023-07-26T00:00:00"/>
    <s v="PAID"/>
    <s v="N"/>
    <m/>
    <n v="85671.47"/>
    <n v="82.58"/>
    <n v="7074749.9925999995"/>
    <n v="0"/>
    <n v="0"/>
    <n v="0"/>
    <x v="0"/>
  </r>
  <r>
    <x v="166"/>
    <s v="C0213"/>
    <x v="1"/>
    <d v="2023-05-27T00:00:00"/>
    <d v="2023-07-26T00:00:00"/>
    <s v="EUR"/>
    <n v="349656.94"/>
    <d v="2023-08-04T00:00:00"/>
    <s v="PAID"/>
    <s v="N"/>
    <m/>
    <n v="349656.94"/>
    <n v="88.468000000000004"/>
    <n v="30933450.167920001"/>
    <n v="0"/>
    <n v="0"/>
    <n v="9"/>
    <x v="0"/>
  </r>
  <r>
    <x v="167"/>
    <s v="C0216"/>
    <x v="1"/>
    <d v="2023-05-27T00:00:00"/>
    <d v="2023-07-26T00:00:00"/>
    <s v="USD"/>
    <n v="11859.97"/>
    <d v="2023-08-19T00:00:00"/>
    <s v="PAID"/>
    <s v="Y"/>
    <n v="82.8553"/>
    <n v="11859.97"/>
    <n v="82.58"/>
    <n v="979396.32259999996"/>
    <n v="0"/>
    <n v="0"/>
    <n v="24"/>
    <x v="0"/>
  </r>
  <r>
    <x v="168"/>
    <s v="C0228"/>
    <x v="0"/>
    <d v="2023-05-27T00:00:00"/>
    <d v="2023-07-11T00:00:00"/>
    <s v="INR"/>
    <n v="19121965"/>
    <d v="2023-07-28T00:00:00"/>
    <s v="PAID"/>
    <s v="N"/>
    <m/>
    <n v="19121965"/>
    <n v="1"/>
    <n v="19121965"/>
    <n v="0"/>
    <n v="0"/>
    <n v="17"/>
    <x v="0"/>
  </r>
  <r>
    <x v="169"/>
    <s v="C0228"/>
    <x v="0"/>
    <d v="2023-05-27T00:00:00"/>
    <d v="2023-07-11T00:00:00"/>
    <s v="INR"/>
    <n v="3396511"/>
    <d v="2023-07-22T00:00:00"/>
    <s v="PAID"/>
    <s v="N"/>
    <m/>
    <n v="3396511"/>
    <n v="1"/>
    <n v="3396511"/>
    <n v="0"/>
    <n v="0"/>
    <n v="11"/>
    <x v="0"/>
  </r>
  <r>
    <x v="170"/>
    <s v="C0106"/>
    <x v="3"/>
    <d v="2023-05-30T00:00:00"/>
    <d v="2023-07-14T00:00:00"/>
    <s v="USD"/>
    <n v="42969.21"/>
    <d v="2023-07-17T00:00:00"/>
    <s v="PAID"/>
    <s v="Y"/>
    <n v="82.8767"/>
    <n v="42969.21"/>
    <n v="82.67"/>
    <n v="3552264.5907000001"/>
    <n v="0"/>
    <n v="0"/>
    <n v="3"/>
    <x v="0"/>
  </r>
  <r>
    <x v="171"/>
    <s v="C0185"/>
    <x v="3"/>
    <d v="2023-05-30T00:00:00"/>
    <d v="2023-07-29T00:00:00"/>
    <s v="INR"/>
    <n v="1086518"/>
    <d v="2023-08-02T00:00:00"/>
    <s v="PAID"/>
    <s v="N"/>
    <m/>
    <n v="1086518"/>
    <n v="1"/>
    <n v="1086518"/>
    <n v="0"/>
    <n v="0"/>
    <n v="4"/>
    <x v="0"/>
  </r>
  <r>
    <x v="172"/>
    <s v="C0228"/>
    <x v="0"/>
    <d v="2023-05-30T00:00:00"/>
    <d v="2023-07-14T00:00:00"/>
    <s v="INR"/>
    <n v="8255957"/>
    <d v="2023-07-29T00:00:00"/>
    <s v="PAID"/>
    <s v="N"/>
    <m/>
    <n v="8255957"/>
    <n v="1"/>
    <n v="8255957"/>
    <n v="0"/>
    <n v="0"/>
    <n v="15"/>
    <x v="0"/>
  </r>
  <r>
    <x v="173"/>
    <s v="C0238"/>
    <x v="2"/>
    <d v="2023-05-30T00:00:00"/>
    <d v="2023-07-29T00:00:00"/>
    <s v="INR"/>
    <n v="2126197"/>
    <d v="2023-08-02T00:00:00"/>
    <s v="PAID"/>
    <s v="N"/>
    <m/>
    <n v="2126197"/>
    <n v="1"/>
    <n v="2126197"/>
    <n v="0"/>
    <n v="0"/>
    <n v="4"/>
    <x v="0"/>
  </r>
  <r>
    <x v="174"/>
    <s v="C0118"/>
    <x v="1"/>
    <d v="2023-05-31T00:00:00"/>
    <d v="2023-07-30T00:00:00"/>
    <s v="INR"/>
    <n v="13994572"/>
    <d v="2023-08-24T00:00:00"/>
    <s v="PAID"/>
    <s v="N"/>
    <m/>
    <n v="13994572"/>
    <n v="1"/>
    <n v="13994572"/>
    <n v="0"/>
    <n v="0"/>
    <n v="25"/>
    <x v="0"/>
  </r>
  <r>
    <x v="175"/>
    <s v="C0141"/>
    <x v="1"/>
    <d v="2023-05-31T00:00:00"/>
    <d v="2023-07-30T00:00:00"/>
    <s v="INR"/>
    <n v="19648673"/>
    <d v="2023-08-10T00:00:00"/>
    <s v="PAID"/>
    <s v="N"/>
    <m/>
    <n v="19648673"/>
    <n v="1"/>
    <n v="19648673"/>
    <n v="0"/>
    <n v="0"/>
    <n v="11"/>
    <x v="0"/>
  </r>
  <r>
    <x v="176"/>
    <s v="C0248"/>
    <x v="4"/>
    <d v="2023-05-31T00:00:00"/>
    <d v="2023-06-30T00:00:00"/>
    <s v="USD"/>
    <n v="158598.44"/>
    <d v="2023-07-07T00:00:00"/>
    <s v="PAID"/>
    <s v="Y"/>
    <n v="82.817800000000005"/>
    <n v="158598.44"/>
    <n v="82.68"/>
    <n v="13112919.019200001"/>
    <n v="0"/>
    <n v="0"/>
    <n v="7"/>
    <x v="0"/>
  </r>
  <r>
    <x v="177"/>
    <s v="C0037"/>
    <x v="2"/>
    <d v="2023-06-01T00:00:00"/>
    <d v="2023-07-01T00:00:00"/>
    <s v="INR"/>
    <n v="15058559"/>
    <d v="2023-07-03T00:00:00"/>
    <s v="PAID"/>
    <s v="N"/>
    <m/>
    <n v="15058559"/>
    <n v="1"/>
    <n v="15058559"/>
    <n v="0"/>
    <n v="0"/>
    <n v="2"/>
    <x v="0"/>
  </r>
  <r>
    <x v="178"/>
    <s v="C0087"/>
    <x v="3"/>
    <d v="2023-06-01T00:00:00"/>
    <d v="2023-07-16T00:00:00"/>
    <s v="EUR"/>
    <n v="23688.01"/>
    <m/>
    <s v="PAID"/>
    <s v="N"/>
    <m/>
    <n v="23688.01"/>
    <n v="88.607200000000006"/>
    <n v="2098928.2396720001"/>
    <n v="0"/>
    <n v="0"/>
    <s v=""/>
    <x v="0"/>
  </r>
  <r>
    <x v="179"/>
    <s v="C0099"/>
    <x v="3"/>
    <d v="2023-06-01T00:00:00"/>
    <d v="2023-07-31T00:00:00"/>
    <s v="EUR"/>
    <n v="77188.75"/>
    <d v="2023-08-16T00:00:00"/>
    <s v="PAID"/>
    <s v="Y"/>
    <n v="88.784400000000005"/>
    <n v="77188.75"/>
    <n v="88.607200000000006"/>
    <n v="6839479.0090000005"/>
    <n v="0"/>
    <n v="0"/>
    <n v="16"/>
    <x v="0"/>
  </r>
  <r>
    <x v="180"/>
    <s v="C0236"/>
    <x v="3"/>
    <d v="2023-06-01T00:00:00"/>
    <d v="2023-07-31T00:00:00"/>
    <s v="EUR"/>
    <n v="69403.539999999994"/>
    <d v="2023-09-16T00:00:00"/>
    <s v="PAID"/>
    <s v="N"/>
    <m/>
    <n v="69403.539999999994"/>
    <n v="88.607200000000006"/>
    <n v="6149653.3494879995"/>
    <n v="0"/>
    <n v="0"/>
    <n v="47"/>
    <x v="0"/>
  </r>
  <r>
    <x v="181"/>
    <s v="C0039"/>
    <x v="0"/>
    <d v="2023-06-02T00:00:00"/>
    <d v="2023-08-01T00:00:00"/>
    <s v="INR"/>
    <n v="6328258"/>
    <d v="2023-08-25T00:00:00"/>
    <s v="PAID"/>
    <s v="N"/>
    <m/>
    <n v="6328258"/>
    <n v="1"/>
    <n v="6328258"/>
    <n v="0"/>
    <n v="0"/>
    <n v="24"/>
    <x v="0"/>
  </r>
  <r>
    <x v="182"/>
    <s v="C0107"/>
    <x v="1"/>
    <d v="2023-06-02T00:00:00"/>
    <d v="2023-07-02T00:00:00"/>
    <s v="INR"/>
    <n v="15849878"/>
    <d v="2023-05-23T00:00:00"/>
    <s v="PAID"/>
    <s v="N"/>
    <m/>
    <n v="15849878"/>
    <n v="1"/>
    <n v="15849878"/>
    <n v="0"/>
    <n v="0"/>
    <m/>
    <x v="0"/>
  </r>
  <r>
    <x v="183"/>
    <s v="C0224"/>
    <x v="1"/>
    <d v="2023-06-02T00:00:00"/>
    <d v="2023-07-02T00:00:00"/>
    <s v="EUR"/>
    <n v="31972.99"/>
    <d v="2023-08-13T00:00:00"/>
    <s v="PAID"/>
    <s v="N"/>
    <m/>
    <n v="31972.99"/>
    <n v="88.312100000000001"/>
    <n v="2823601.8901790003"/>
    <n v="0"/>
    <n v="0"/>
    <n v="42"/>
    <x v="0"/>
  </r>
  <r>
    <x v="184"/>
    <s v="C0010"/>
    <x v="1"/>
    <d v="2023-06-03T00:00:00"/>
    <d v="2023-08-02T00:00:00"/>
    <s v="USD"/>
    <n v="58608.33"/>
    <d v="2023-08-05T00:00:00"/>
    <s v="PAID"/>
    <s v="N"/>
    <m/>
    <n v="58608.33"/>
    <n v="82.35"/>
    <n v="4826395.9754999997"/>
    <n v="0"/>
    <n v="0"/>
    <n v="3"/>
    <x v="0"/>
  </r>
  <r>
    <x v="185"/>
    <s v="C0057"/>
    <x v="3"/>
    <d v="2023-06-03T00:00:00"/>
    <d v="2023-07-03T00:00:00"/>
    <s v="INR"/>
    <n v="2253271"/>
    <d v="2023-06-30T00:00:00"/>
    <s v="PAID"/>
    <s v="N"/>
    <m/>
    <n v="2253271"/>
    <n v="1"/>
    <n v="2253271"/>
    <n v="0"/>
    <n v="0"/>
    <n v="-3"/>
    <x v="0"/>
  </r>
  <r>
    <x v="186"/>
    <s v="C0072"/>
    <x v="4"/>
    <d v="2023-06-03T00:00:00"/>
    <d v="2023-09-01T00:00:00"/>
    <s v="EUR"/>
    <n v="82880.38"/>
    <d v="2023-09-12T00:00:00"/>
    <s v="PAID"/>
    <s v="N"/>
    <m/>
    <n v="82880.38"/>
    <n v="88.312100000000001"/>
    <n v="7319340.4065980008"/>
    <n v="0"/>
    <n v="0"/>
    <n v="11"/>
    <x v="0"/>
  </r>
  <r>
    <x v="187"/>
    <s v="C0160"/>
    <x v="3"/>
    <d v="2023-06-03T00:00:00"/>
    <d v="2023-07-18T00:00:00"/>
    <s v="INR"/>
    <n v="6326051"/>
    <d v="2023-07-23T00:00:00"/>
    <s v="PAID"/>
    <s v="N"/>
    <m/>
    <n v="6326051"/>
    <n v="1"/>
    <n v="6326051"/>
    <n v="0"/>
    <n v="0"/>
    <n v="5"/>
    <x v="0"/>
  </r>
  <r>
    <x v="188"/>
    <s v="C0173"/>
    <x v="4"/>
    <d v="2023-06-03T00:00:00"/>
    <d v="2023-08-02T00:00:00"/>
    <s v="EUR"/>
    <n v="303122.46000000002"/>
    <d v="2023-08-28T00:00:00"/>
    <s v="PAID"/>
    <s v="N"/>
    <m/>
    <n v="303122.46000000002"/>
    <n v="88.312100000000001"/>
    <n v="26769380.999766003"/>
    <n v="0"/>
    <n v="0"/>
    <n v="26"/>
    <x v="0"/>
  </r>
  <r>
    <x v="189"/>
    <s v="C0180"/>
    <x v="0"/>
    <d v="2023-06-03T00:00:00"/>
    <d v="2023-07-18T00:00:00"/>
    <s v="USD"/>
    <n v="25117.77"/>
    <d v="2023-12-04T00:00:00"/>
    <s v="PAID"/>
    <s v="N"/>
    <m/>
    <n v="25117.77"/>
    <n v="82.35"/>
    <n v="2068448.3594999998"/>
    <n v="0"/>
    <n v="0"/>
    <n v="139"/>
    <x v="0"/>
  </r>
  <r>
    <x v="190"/>
    <s v="C0213"/>
    <x v="1"/>
    <d v="2023-06-05T00:00:00"/>
    <d v="2023-08-04T00:00:00"/>
    <s v="EUR"/>
    <n v="106440.96000000001"/>
    <d v="2023-08-14T00:00:00"/>
    <s v="PAID"/>
    <s v="N"/>
    <m/>
    <n v="106440.96000000001"/>
    <n v="88.630499999999998"/>
    <n v="9433915.5052800011"/>
    <n v="0"/>
    <n v="0"/>
    <n v="10"/>
    <x v="0"/>
  </r>
  <r>
    <x v="191"/>
    <s v="C0016"/>
    <x v="1"/>
    <d v="2023-06-06T00:00:00"/>
    <d v="2023-07-06T00:00:00"/>
    <s v="INR"/>
    <n v="5440162"/>
    <d v="2023-07-22T00:00:00"/>
    <s v="PAID"/>
    <s v="N"/>
    <m/>
    <n v="5440162"/>
    <n v="1"/>
    <n v="5440162"/>
    <n v="0"/>
    <n v="0"/>
    <n v="16"/>
    <x v="0"/>
  </r>
  <r>
    <x v="192"/>
    <s v="C0108"/>
    <x v="0"/>
    <d v="2023-06-06T00:00:00"/>
    <d v="2023-07-21T00:00:00"/>
    <s v="INR"/>
    <n v="8191880"/>
    <d v="2023-07-26T00:00:00"/>
    <s v="PAID"/>
    <s v="N"/>
    <m/>
    <n v="8191880"/>
    <n v="1"/>
    <n v="8191880"/>
    <n v="0"/>
    <n v="0"/>
    <n v="5"/>
    <x v="0"/>
  </r>
  <r>
    <x v="193"/>
    <s v="C0110"/>
    <x v="1"/>
    <d v="2023-06-06T00:00:00"/>
    <d v="2023-08-05T00:00:00"/>
    <s v="USD"/>
    <n v="52608.34"/>
    <d v="2023-10-05T00:00:00"/>
    <s v="PAID"/>
    <s v="N"/>
    <m/>
    <n v="52608.34"/>
    <n v="82.61"/>
    <n v="4345974.9673999995"/>
    <n v="0"/>
    <n v="0"/>
    <n v="61"/>
    <x v="0"/>
  </r>
  <r>
    <x v="194"/>
    <s v="C0177"/>
    <x v="4"/>
    <d v="2023-06-06T00:00:00"/>
    <d v="2023-08-05T00:00:00"/>
    <s v="EUR"/>
    <n v="81932.539999999994"/>
    <d v="2023-08-23T00:00:00"/>
    <s v="PAID"/>
    <s v="Y"/>
    <n v="88.528099999999995"/>
    <n v="81932.539999999994"/>
    <n v="88.351399999999998"/>
    <n v="7238854.6145559996"/>
    <n v="0"/>
    <n v="0"/>
    <n v="18"/>
    <x v="0"/>
  </r>
  <r>
    <x v="195"/>
    <s v="C0198"/>
    <x v="3"/>
    <d v="2023-06-06T00:00:00"/>
    <d v="2023-07-21T00:00:00"/>
    <s v="USD"/>
    <n v="38262.54"/>
    <d v="2023-08-23T00:00:00"/>
    <s v="PAID"/>
    <s v="Y"/>
    <n v="82.816500000000005"/>
    <n v="38262.54"/>
    <n v="82.61"/>
    <n v="3160868.4294000003"/>
    <n v="0"/>
    <n v="0"/>
    <n v="33"/>
    <x v="0"/>
  </r>
  <r>
    <x v="196"/>
    <s v="C0213"/>
    <x v="2"/>
    <d v="2023-06-06T00:00:00"/>
    <d v="2023-08-05T00:00:00"/>
    <s v="EUR"/>
    <n v="344643.92"/>
    <d v="2023-08-08T00:00:00"/>
    <s v="PAID"/>
    <s v="N"/>
    <m/>
    <n v="344643.92"/>
    <n v="88.351399999999998"/>
    <n v="30449772.833487999"/>
    <n v="0"/>
    <n v="0"/>
    <n v="3"/>
    <x v="0"/>
  </r>
  <r>
    <x v="197"/>
    <s v="C0228"/>
    <x v="0"/>
    <d v="2023-06-06T00:00:00"/>
    <d v="2023-07-21T00:00:00"/>
    <s v="INR"/>
    <n v="5599329"/>
    <d v="2023-07-25T00:00:00"/>
    <s v="PAID"/>
    <s v="N"/>
    <m/>
    <n v="5599329"/>
    <n v="1"/>
    <n v="5599329"/>
    <n v="0"/>
    <n v="0"/>
    <n v="4"/>
    <x v="0"/>
  </r>
  <r>
    <x v="198"/>
    <s v="C0228"/>
    <x v="3"/>
    <d v="2023-06-06T00:00:00"/>
    <d v="2023-07-21T00:00:00"/>
    <s v="INR"/>
    <n v="5468838"/>
    <d v="2023-07-28T00:00:00"/>
    <s v="PAID"/>
    <s v="N"/>
    <m/>
    <n v="5468838"/>
    <n v="1"/>
    <n v="5468838"/>
    <n v="0"/>
    <n v="0"/>
    <n v="7"/>
    <x v="0"/>
  </r>
  <r>
    <x v="199"/>
    <s v="C0026"/>
    <x v="4"/>
    <d v="2023-06-07T00:00:00"/>
    <d v="2023-07-07T00:00:00"/>
    <s v="INR"/>
    <n v="9523195"/>
    <d v="2023-07-13T00:00:00"/>
    <s v="PAID"/>
    <s v="N"/>
    <m/>
    <n v="9523195"/>
    <n v="1"/>
    <n v="9523195"/>
    <n v="0"/>
    <n v="0"/>
    <n v="6"/>
    <x v="0"/>
  </r>
  <r>
    <x v="200"/>
    <s v="C0213"/>
    <x v="1"/>
    <d v="2023-06-07T00:00:00"/>
    <d v="2023-08-06T00:00:00"/>
    <s v="EUR"/>
    <n v="84703.14"/>
    <d v="2023-08-12T00:00:00"/>
    <s v="PAID"/>
    <s v="Y"/>
    <n v="88.468100000000007"/>
    <n v="84703.14"/>
    <n v="88.291499999999999"/>
    <n v="7478567.2853100002"/>
    <n v="0"/>
    <n v="0"/>
    <n v="6"/>
    <x v="0"/>
  </r>
  <r>
    <x v="201"/>
    <s v="C0236"/>
    <x v="3"/>
    <d v="2023-06-07T00:00:00"/>
    <d v="2023-08-06T00:00:00"/>
    <s v="EUR"/>
    <n v="80948.55"/>
    <d v="2023-10-02T00:00:00"/>
    <s v="PAID"/>
    <s v="Y"/>
    <n v="88.468100000000007"/>
    <n v="80948.55"/>
    <n v="88.291499999999999"/>
    <n v="7147068.9023250006"/>
    <n v="0"/>
    <n v="0"/>
    <n v="57"/>
    <x v="0"/>
  </r>
  <r>
    <x v="202"/>
    <s v="C0019"/>
    <x v="0"/>
    <d v="2023-06-08T00:00:00"/>
    <d v="2023-09-06T00:00:00"/>
    <s v="EUR"/>
    <n v="16762.34"/>
    <d v="2023-10-10T00:00:00"/>
    <s v="PAID"/>
    <s v="Y"/>
    <n v="89.277500000000003"/>
    <n v="16762.34"/>
    <n v="89.010499999999993"/>
    <n v="1492024.2645699999"/>
    <n v="0"/>
    <n v="0"/>
    <n v="34"/>
    <x v="0"/>
  </r>
  <r>
    <x v="203"/>
    <s v="C0128"/>
    <x v="1"/>
    <d v="2023-06-08T00:00:00"/>
    <d v="2023-07-08T00:00:00"/>
    <s v="INR"/>
    <n v="4252853"/>
    <d v="2023-07-19T00:00:00"/>
    <s v="PAID"/>
    <s v="N"/>
    <m/>
    <n v="4252853"/>
    <n v="1"/>
    <n v="4252853"/>
    <n v="0"/>
    <n v="0"/>
    <n v="11"/>
    <x v="0"/>
  </r>
  <r>
    <x v="204"/>
    <s v="C0133"/>
    <x v="2"/>
    <d v="2023-06-08T00:00:00"/>
    <d v="2023-09-06T00:00:00"/>
    <s v="USD"/>
    <n v="154330.9"/>
    <d v="2023-09-10T00:00:00"/>
    <s v="PAID"/>
    <s v="Y"/>
    <n v="82.982799999999997"/>
    <n v="154330.9"/>
    <n v="82.57"/>
    <n v="12743102.412999999"/>
    <n v="0"/>
    <n v="0"/>
    <n v="4"/>
    <x v="0"/>
  </r>
  <r>
    <x v="205"/>
    <s v="C0169"/>
    <x v="3"/>
    <d v="2023-06-08T00:00:00"/>
    <d v="2023-07-23T00:00:00"/>
    <s v="EUR"/>
    <n v="120296.98"/>
    <d v="2023-08-02T00:00:00"/>
    <s v="PAID"/>
    <s v="Y"/>
    <n v="89.144000000000005"/>
    <n v="120296.98"/>
    <n v="89.010499999999993"/>
    <n v="10707694.338289998"/>
    <n v="0"/>
    <n v="0"/>
    <n v="10"/>
    <x v="0"/>
  </r>
  <r>
    <x v="206"/>
    <s v="C0177"/>
    <x v="4"/>
    <d v="2023-06-08T00:00:00"/>
    <d v="2023-08-07T00:00:00"/>
    <s v="EUR"/>
    <n v="28134.98"/>
    <d v="2023-08-11T00:00:00"/>
    <s v="PAID"/>
    <s v="Y"/>
    <n v="89.188500000000005"/>
    <n v="28134.98"/>
    <n v="89.010499999999993"/>
    <n v="2504308.63729"/>
    <n v="0"/>
    <n v="0"/>
    <n v="4"/>
    <x v="0"/>
  </r>
  <r>
    <x v="207"/>
    <s v="C0207"/>
    <x v="4"/>
    <d v="2023-06-08T00:00:00"/>
    <d v="2023-08-07T00:00:00"/>
    <s v="INR"/>
    <n v="1973743"/>
    <d v="2023-08-08T00:00:00"/>
    <s v="PAID"/>
    <s v="N"/>
    <m/>
    <n v="1973743"/>
    <n v="1"/>
    <n v="1973743"/>
    <n v="0"/>
    <n v="0"/>
    <n v="1"/>
    <x v="0"/>
  </r>
  <r>
    <x v="208"/>
    <s v="C0047"/>
    <x v="4"/>
    <d v="2023-06-09T00:00:00"/>
    <d v="2023-09-07T00:00:00"/>
    <s v="USD"/>
    <n v="125632.13"/>
    <d v="2023-09-16T00:00:00"/>
    <s v="PAID"/>
    <s v="N"/>
    <m/>
    <n v="125632.13"/>
    <n v="82.46"/>
    <n v="10359625.4398"/>
    <n v="0"/>
    <n v="0"/>
    <n v="9"/>
    <x v="0"/>
  </r>
  <r>
    <x v="209"/>
    <s v="C0057"/>
    <x v="3"/>
    <d v="2023-06-09T00:00:00"/>
    <d v="2023-07-09T00:00:00"/>
    <s v="INR"/>
    <n v="5255478"/>
    <d v="2023-07-10T00:00:00"/>
    <s v="PAID"/>
    <s v="N"/>
    <m/>
    <n v="5255478"/>
    <n v="1"/>
    <n v="5255478"/>
    <n v="0"/>
    <n v="0"/>
    <n v="1"/>
    <x v="0"/>
  </r>
  <r>
    <x v="210"/>
    <s v="C0072"/>
    <x v="4"/>
    <d v="2023-06-09T00:00:00"/>
    <d v="2023-09-07T00:00:00"/>
    <s v="EUR"/>
    <n v="31018.55"/>
    <d v="2023-09-18T00:00:00"/>
    <s v="PAID"/>
    <s v="Y"/>
    <n v="88.902199999999993"/>
    <n v="31018.55"/>
    <n v="88.636300000000006"/>
    <n v="2749369.5033650002"/>
    <n v="0"/>
    <n v="0"/>
    <n v="11"/>
    <x v="0"/>
  </r>
  <r>
    <x v="211"/>
    <s v="C0073"/>
    <x v="1"/>
    <d v="2023-06-09T00:00:00"/>
    <d v="2023-07-09T00:00:00"/>
    <s v="USD"/>
    <n v="59077.98"/>
    <d v="2023-07-30T00:00:00"/>
    <s v="PAID"/>
    <s v="N"/>
    <m/>
    <n v="59077.98"/>
    <n v="82.46"/>
    <n v="4871570.2308"/>
    <n v="0"/>
    <n v="0"/>
    <n v="21"/>
    <x v="0"/>
  </r>
  <r>
    <x v="212"/>
    <s v="C0167"/>
    <x v="4"/>
    <d v="2023-06-09T00:00:00"/>
    <d v="2023-07-09T00:00:00"/>
    <s v="INR"/>
    <n v="3558720"/>
    <d v="2023-08-01T00:00:00"/>
    <s v="PAID"/>
    <s v="N"/>
    <m/>
    <n v="3558720"/>
    <n v="1"/>
    <n v="3558720"/>
    <n v="0"/>
    <n v="0"/>
    <n v="23"/>
    <x v="0"/>
  </r>
  <r>
    <x v="213"/>
    <s v="C0169"/>
    <x v="3"/>
    <d v="2023-06-09T00:00:00"/>
    <d v="2023-07-24T00:00:00"/>
    <s v="EUR"/>
    <n v="57883.98"/>
    <d v="2023-08-06T00:00:00"/>
    <s v="PAID"/>
    <s v="Y"/>
    <n v="88.769300000000001"/>
    <n v="57883.98"/>
    <n v="88.636300000000006"/>
    <n v="5130621.8164740009"/>
    <n v="0"/>
    <n v="0"/>
    <n v="13"/>
    <x v="0"/>
  </r>
  <r>
    <x v="214"/>
    <s v="C0007"/>
    <x v="3"/>
    <d v="2023-06-10T00:00:00"/>
    <d v="2023-07-10T00:00:00"/>
    <s v="USD"/>
    <n v="194622.49"/>
    <d v="2023-08-24T00:00:00"/>
    <s v="PAID"/>
    <s v="Y"/>
    <n v="82.597399999999993"/>
    <n v="194622.49"/>
    <n v="82.46"/>
    <n v="16048570.525399998"/>
    <n v="0"/>
    <n v="0"/>
    <n v="45"/>
    <x v="0"/>
  </r>
  <r>
    <x v="215"/>
    <s v="C0029"/>
    <x v="1"/>
    <d v="2023-06-10T00:00:00"/>
    <d v="2023-09-08T00:00:00"/>
    <s v="INR"/>
    <n v="6387812"/>
    <d v="2023-09-15T00:00:00"/>
    <s v="PAID"/>
    <s v="N"/>
    <m/>
    <n v="6387812"/>
    <n v="1"/>
    <n v="6387812"/>
    <n v="0"/>
    <n v="0"/>
    <n v="7"/>
    <x v="0"/>
  </r>
  <r>
    <x v="216"/>
    <s v="C0039"/>
    <x v="0"/>
    <d v="2023-06-10T00:00:00"/>
    <d v="2023-08-09T00:00:00"/>
    <s v="INR"/>
    <n v="4947705"/>
    <d v="2023-08-20T00:00:00"/>
    <s v="PAID"/>
    <s v="N"/>
    <m/>
    <n v="4947705"/>
    <n v="1"/>
    <n v="4947705"/>
    <n v="0"/>
    <n v="0"/>
    <n v="11"/>
    <x v="0"/>
  </r>
  <r>
    <x v="217"/>
    <s v="C0057"/>
    <x v="3"/>
    <d v="2023-06-10T00:00:00"/>
    <d v="2023-07-10T00:00:00"/>
    <s v="INR"/>
    <n v="17155044"/>
    <d v="2023-07-07T00:00:00"/>
    <s v="PAID"/>
    <s v="N"/>
    <m/>
    <n v="17155044"/>
    <n v="1"/>
    <n v="17155044"/>
    <n v="0"/>
    <n v="0"/>
    <n v="-3"/>
    <x v="0"/>
  </r>
  <r>
    <x v="218"/>
    <s v="C0146"/>
    <x v="3"/>
    <d v="2023-06-10T00:00:00"/>
    <d v="2023-08-09T00:00:00"/>
    <s v="USD"/>
    <n v="70834.53"/>
    <d v="2023-08-10T00:00:00"/>
    <s v="PAID"/>
    <s v="N"/>
    <m/>
    <n v="70834.53"/>
    <n v="82.46"/>
    <n v="5841015.3437999999"/>
    <n v="0"/>
    <n v="0"/>
    <n v="1"/>
    <x v="0"/>
  </r>
  <r>
    <x v="219"/>
    <s v="C0213"/>
    <x v="1"/>
    <d v="2023-06-10T00:00:00"/>
    <d v="2023-08-09T00:00:00"/>
    <s v="EUR"/>
    <n v="136195.26999999999"/>
    <d v="2023-08-13T00:00:00"/>
    <s v="PAID"/>
    <s v="Y"/>
    <n v="88.813599999999994"/>
    <n v="136195.26999999999"/>
    <n v="88.636300000000006"/>
    <n v="12071844.810301"/>
    <n v="0"/>
    <n v="0"/>
    <n v="4"/>
    <x v="0"/>
  </r>
  <r>
    <x v="220"/>
    <s v="C0241"/>
    <x v="3"/>
    <d v="2023-06-10T00:00:00"/>
    <d v="2023-08-09T00:00:00"/>
    <s v="EUR"/>
    <n v="67170.710000000006"/>
    <d v="2023-08-17T00:00:00"/>
    <s v="PAID"/>
    <s v="Y"/>
    <n v="88.813599999999994"/>
    <n v="67170.710000000006"/>
    <n v="88.636300000000006"/>
    <n v="5953763.202773001"/>
    <n v="0"/>
    <n v="0"/>
    <n v="8"/>
    <x v="0"/>
  </r>
  <r>
    <x v="221"/>
    <s v="C0039"/>
    <x v="0"/>
    <d v="2023-06-12T00:00:00"/>
    <d v="2023-08-11T00:00:00"/>
    <s v="INR"/>
    <n v="5684422"/>
    <d v="2023-08-24T00:00:00"/>
    <s v="PAID"/>
    <s v="N"/>
    <m/>
    <n v="5684422"/>
    <n v="1"/>
    <n v="5684422"/>
    <n v="0"/>
    <n v="0"/>
    <n v="13"/>
    <x v="0"/>
  </r>
  <r>
    <x v="222"/>
    <s v="C0046"/>
    <x v="0"/>
    <d v="2023-06-12T00:00:00"/>
    <d v="2023-07-12T00:00:00"/>
    <s v="INR"/>
    <n v="4283812"/>
    <d v="2023-07-08T00:00:00"/>
    <s v="PAID"/>
    <s v="N"/>
    <m/>
    <n v="4283812"/>
    <n v="1"/>
    <n v="4283812"/>
    <n v="0"/>
    <n v="0"/>
    <n v="-4"/>
    <x v="0"/>
  </r>
  <r>
    <x v="223"/>
    <s v="C0059"/>
    <x v="3"/>
    <d v="2023-06-12T00:00:00"/>
    <d v="2023-07-12T00:00:00"/>
    <s v="INR"/>
    <n v="12483932"/>
    <d v="2023-07-21T00:00:00"/>
    <s v="PAID"/>
    <s v="N"/>
    <m/>
    <n v="12483932"/>
    <n v="1"/>
    <n v="12483932"/>
    <n v="0"/>
    <n v="0"/>
    <n v="9"/>
    <x v="0"/>
  </r>
  <r>
    <x v="224"/>
    <s v="C0187"/>
    <x v="3"/>
    <d v="2023-06-12T00:00:00"/>
    <d v="2023-07-27T00:00:00"/>
    <s v="INR"/>
    <n v="26429821"/>
    <d v="2023-08-01T00:00:00"/>
    <s v="PAID"/>
    <s v="N"/>
    <m/>
    <n v="26429821"/>
    <n v="1"/>
    <n v="26429821"/>
    <n v="0"/>
    <n v="0"/>
    <n v="5"/>
    <x v="0"/>
  </r>
  <r>
    <x v="225"/>
    <s v="C0201"/>
    <x v="4"/>
    <d v="2023-06-12T00:00:00"/>
    <d v="2023-08-11T00:00:00"/>
    <s v="INR"/>
    <n v="21117771"/>
    <d v="2023-08-20T00:00:00"/>
    <s v="PAID"/>
    <s v="N"/>
    <m/>
    <n v="21117771"/>
    <n v="1"/>
    <n v="21117771"/>
    <n v="0"/>
    <n v="0"/>
    <n v="9"/>
    <x v="0"/>
  </r>
  <r>
    <x v="226"/>
    <s v="C0213"/>
    <x v="1"/>
    <d v="2023-06-13T00:00:00"/>
    <d v="2023-08-12T00:00:00"/>
    <s v="EUR"/>
    <n v="234659.09"/>
    <d v="2023-08-24T00:00:00"/>
    <s v="PAID"/>
    <s v="N"/>
    <m/>
    <n v="234659.09"/>
    <n v="88.904499999999999"/>
    <n v="20862249.066904999"/>
    <n v="0"/>
    <n v="0"/>
    <n v="12"/>
    <x v="0"/>
  </r>
  <r>
    <x v="227"/>
    <s v="C0230"/>
    <x v="0"/>
    <d v="2023-06-13T00:00:00"/>
    <d v="2023-07-13T00:00:00"/>
    <s v="INR"/>
    <n v="5393255"/>
    <d v="2023-09-04T00:00:00"/>
    <s v="PAID"/>
    <s v="N"/>
    <m/>
    <n v="5393255"/>
    <n v="1"/>
    <n v="5393255"/>
    <n v="0"/>
    <n v="0"/>
    <n v="53"/>
    <x v="0"/>
  </r>
  <r>
    <x v="228"/>
    <s v="C0248"/>
    <x v="4"/>
    <d v="2023-06-13T00:00:00"/>
    <d v="2023-07-13T00:00:00"/>
    <s v="USD"/>
    <n v="20951.47"/>
    <d v="2023-07-18T00:00:00"/>
    <s v="PAID"/>
    <s v="Y"/>
    <n v="82.517300000000006"/>
    <n v="20951.47"/>
    <n v="82.38"/>
    <n v="1725982.0985999999"/>
    <n v="0"/>
    <n v="0"/>
    <n v="5"/>
    <x v="0"/>
  </r>
  <r>
    <x v="229"/>
    <s v="C0007"/>
    <x v="4"/>
    <d v="2023-06-14T00:00:00"/>
    <d v="2023-07-14T00:00:00"/>
    <s v="USD"/>
    <n v="78888.91"/>
    <d v="2023-07-30T00:00:00"/>
    <s v="PAID"/>
    <s v="N"/>
    <m/>
    <n v="78888.91"/>
    <n v="82.1"/>
    <n v="6476779.5109999999"/>
    <n v="0"/>
    <n v="0"/>
    <n v="16"/>
    <x v="0"/>
  </r>
  <r>
    <x v="230"/>
    <s v="C0107"/>
    <x v="1"/>
    <d v="2023-06-14T00:00:00"/>
    <d v="2023-07-14T00:00:00"/>
    <s v="INR"/>
    <n v="7547556"/>
    <d v="2023-11-05T00:00:00"/>
    <s v="PAID"/>
    <s v="N"/>
    <m/>
    <n v="7547556"/>
    <n v="1"/>
    <n v="7547556"/>
    <n v="0"/>
    <n v="0"/>
    <n v="114"/>
    <x v="0"/>
  </r>
  <r>
    <x v="231"/>
    <s v="C0081"/>
    <x v="0"/>
    <d v="2023-06-15T00:00:00"/>
    <d v="2023-07-15T00:00:00"/>
    <s v="INR"/>
    <n v="10092249"/>
    <d v="2023-07-31T00:00:00"/>
    <s v="PAID"/>
    <s v="N"/>
    <m/>
    <n v="10092249"/>
    <n v="1"/>
    <n v="10092249"/>
    <n v="0"/>
    <n v="0"/>
    <n v="16"/>
    <x v="0"/>
  </r>
  <r>
    <x v="232"/>
    <s v="C0138"/>
    <x v="4"/>
    <d v="2023-06-15T00:00:00"/>
    <d v="2023-07-15T00:00:00"/>
    <s v="INR"/>
    <n v="4732845"/>
    <d v="2023-07-19T00:00:00"/>
    <s v="PAID"/>
    <s v="N"/>
    <m/>
    <n v="4732845"/>
    <n v="1"/>
    <n v="4732845"/>
    <n v="0"/>
    <n v="0"/>
    <n v="4"/>
    <x v="0"/>
  </r>
  <r>
    <x v="233"/>
    <s v="C0138"/>
    <x v="4"/>
    <d v="2023-06-15T00:00:00"/>
    <d v="2023-07-15T00:00:00"/>
    <s v="INR"/>
    <n v="9979995"/>
    <d v="2023-07-17T00:00:00"/>
    <s v="PAID"/>
    <s v="N"/>
    <m/>
    <n v="9979995"/>
    <n v="1"/>
    <n v="9979995"/>
    <n v="0"/>
    <n v="0"/>
    <n v="2"/>
    <x v="0"/>
  </r>
  <r>
    <x v="234"/>
    <s v="C0228"/>
    <x v="0"/>
    <d v="2023-06-15T00:00:00"/>
    <d v="2023-07-30T00:00:00"/>
    <s v="INR"/>
    <n v="80000000"/>
    <d v="2023-08-08T00:00:00"/>
    <s v="PAID"/>
    <s v="N"/>
    <m/>
    <n v="80000000"/>
    <n v="1"/>
    <n v="80000000"/>
    <n v="0"/>
    <n v="0"/>
    <n v="9"/>
    <x v="0"/>
  </r>
  <r>
    <x v="235"/>
    <s v="C0046"/>
    <x v="0"/>
    <d v="2023-06-17T00:00:00"/>
    <d v="2023-07-17T00:00:00"/>
    <s v="INR"/>
    <n v="11195030"/>
    <d v="2023-07-18T00:00:00"/>
    <s v="PAID"/>
    <s v="N"/>
    <m/>
    <n v="11195030"/>
    <n v="1"/>
    <n v="11195030"/>
    <n v="0"/>
    <n v="0"/>
    <n v="1"/>
    <x v="0"/>
  </r>
  <r>
    <x v="236"/>
    <s v="C0090"/>
    <x v="2"/>
    <d v="2023-06-17T00:00:00"/>
    <d v="2023-09-15T00:00:00"/>
    <s v="EUR"/>
    <n v="77885.72"/>
    <d v="2023-10-12T00:00:00"/>
    <s v="PAID"/>
    <s v="N"/>
    <m/>
    <n v="77885.72"/>
    <n v="89.464799999999997"/>
    <n v="6968030.3626560001"/>
    <n v="0"/>
    <n v="0"/>
    <n v="27"/>
    <x v="0"/>
  </r>
  <r>
    <x v="237"/>
    <s v="C0106"/>
    <x v="3"/>
    <d v="2023-06-17T00:00:00"/>
    <d v="2023-08-01T00:00:00"/>
    <s v="USD"/>
    <n v="55491.74"/>
    <d v="2023-08-11T00:00:00"/>
    <s v="PAID"/>
    <s v="N"/>
    <m/>
    <n v="55491.74"/>
    <n v="81.89"/>
    <n v="4544218.5885999994"/>
    <n v="0"/>
    <n v="0"/>
    <n v="10"/>
    <x v="0"/>
  </r>
  <r>
    <x v="238"/>
    <s v="C0125"/>
    <x v="3"/>
    <d v="2023-06-17T00:00:00"/>
    <d v="2023-08-01T00:00:00"/>
    <s v="INR"/>
    <n v="4195809"/>
    <d v="2023-07-31T00:00:00"/>
    <s v="PAID"/>
    <s v="N"/>
    <m/>
    <n v="4195809"/>
    <n v="1"/>
    <n v="4195809"/>
    <n v="0"/>
    <n v="0"/>
    <n v="-1"/>
    <x v="0"/>
  </r>
  <r>
    <x v="239"/>
    <s v="C0166"/>
    <x v="4"/>
    <d v="2023-06-17T00:00:00"/>
    <d v="2023-09-15T00:00:00"/>
    <s v="INR"/>
    <n v="5160471"/>
    <d v="2023-10-13T00:00:00"/>
    <s v="PAID"/>
    <s v="N"/>
    <m/>
    <n v="5160471"/>
    <n v="1"/>
    <n v="5160471"/>
    <n v="0"/>
    <n v="0"/>
    <n v="28"/>
    <x v="0"/>
  </r>
  <r>
    <x v="240"/>
    <s v="C0202"/>
    <x v="3"/>
    <d v="2023-06-17T00:00:00"/>
    <d v="2023-08-01T00:00:00"/>
    <s v="USD"/>
    <n v="114722.79"/>
    <d v="2023-08-08T00:00:00"/>
    <s v="PAID"/>
    <s v="N"/>
    <m/>
    <n v="114722.79"/>
    <n v="81.89"/>
    <n v="9394649.2730999999"/>
    <n v="0"/>
    <n v="0"/>
    <n v="7"/>
    <x v="0"/>
  </r>
  <r>
    <x v="241"/>
    <s v="C0030"/>
    <x v="0"/>
    <d v="2023-06-19T00:00:00"/>
    <d v="2023-08-18T00:00:00"/>
    <s v="INR"/>
    <n v="1727474"/>
    <d v="2023-08-23T00:00:00"/>
    <s v="PAID"/>
    <s v="N"/>
    <m/>
    <n v="1727474"/>
    <n v="1"/>
    <n v="1727474"/>
    <n v="0"/>
    <n v="0"/>
    <n v="5"/>
    <x v="0"/>
  </r>
  <r>
    <x v="242"/>
    <s v="C0057"/>
    <x v="3"/>
    <d v="2023-06-19T00:00:00"/>
    <d v="2023-07-19T00:00:00"/>
    <s v="INR"/>
    <n v="46512368"/>
    <d v="2023-07-19T00:00:00"/>
    <s v="PAID"/>
    <s v="N"/>
    <m/>
    <n v="46512368"/>
    <n v="1"/>
    <n v="46512368"/>
    <n v="0"/>
    <n v="0"/>
    <n v="0"/>
    <x v="0"/>
  </r>
  <r>
    <x v="243"/>
    <s v="C0057"/>
    <x v="3"/>
    <d v="2023-06-19T00:00:00"/>
    <d v="2023-07-19T00:00:00"/>
    <s v="INR"/>
    <n v="3007379"/>
    <d v="2023-07-17T00:00:00"/>
    <s v="PAID"/>
    <s v="N"/>
    <m/>
    <n v="3007379"/>
    <n v="1"/>
    <n v="3007379"/>
    <n v="0"/>
    <n v="0"/>
    <n v="-2"/>
    <x v="0"/>
  </r>
  <r>
    <x v="244"/>
    <s v="C0125"/>
    <x v="3"/>
    <d v="2023-06-19T00:00:00"/>
    <d v="2023-08-03T00:00:00"/>
    <s v="INR"/>
    <n v="6999190"/>
    <d v="2023-08-02T00:00:00"/>
    <s v="PAID"/>
    <s v="N"/>
    <m/>
    <n v="6999190"/>
    <n v="1"/>
    <n v="6999190"/>
    <n v="0"/>
    <n v="0"/>
    <n v="-1"/>
    <x v="0"/>
  </r>
  <r>
    <x v="245"/>
    <s v="C0006"/>
    <x v="1"/>
    <d v="2023-06-20T00:00:00"/>
    <d v="2023-07-20T00:00:00"/>
    <s v="EUR"/>
    <n v="122688.15"/>
    <d v="2023-08-14T00:00:00"/>
    <s v="PARTIALLY PAID"/>
    <s v="N"/>
    <m/>
    <n v="108963.11"/>
    <n v="89.499899999999997"/>
    <n v="10980577.156184999"/>
    <n v="1228389.7074959993"/>
    <n v="620"/>
    <n v="25"/>
    <x v="1"/>
  </r>
  <r>
    <x v="246"/>
    <s v="C0040"/>
    <x v="2"/>
    <d v="2023-06-20T00:00:00"/>
    <d v="2023-07-20T00:00:00"/>
    <s v="EUR"/>
    <n v="87048.06"/>
    <d v="2023-08-04T00:00:00"/>
    <s v="PAID"/>
    <s v="Y"/>
    <n v="89.589399999999998"/>
    <n v="87048.06"/>
    <n v="89.499899999999997"/>
    <n v="7790792.6651939992"/>
    <n v="0"/>
    <n v="0"/>
    <n v="15"/>
    <x v="0"/>
  </r>
  <r>
    <x v="247"/>
    <s v="C0099"/>
    <x v="3"/>
    <d v="2023-06-20T00:00:00"/>
    <d v="2023-08-19T00:00:00"/>
    <s v="EUR"/>
    <n v="268318.53999999998"/>
    <d v="2023-08-27T00:00:00"/>
    <s v="PAID"/>
    <s v="N"/>
    <m/>
    <n v="268318.53999999998"/>
    <n v="89.499899999999997"/>
    <n v="24014482.498145998"/>
    <n v="0"/>
    <n v="0"/>
    <n v="8"/>
    <x v="0"/>
  </r>
  <r>
    <x v="248"/>
    <s v="C0060"/>
    <x v="0"/>
    <d v="2023-06-21T00:00:00"/>
    <d v="2023-08-05T00:00:00"/>
    <s v="INR"/>
    <n v="1272846"/>
    <d v="2023-08-18T00:00:00"/>
    <s v="PAID"/>
    <s v="N"/>
    <m/>
    <n v="1272846"/>
    <n v="1"/>
    <n v="1272846"/>
    <n v="0"/>
    <n v="0"/>
    <n v="13"/>
    <x v="0"/>
  </r>
  <r>
    <x v="249"/>
    <s v="C0222"/>
    <x v="2"/>
    <d v="2023-06-21T00:00:00"/>
    <d v="2023-08-20T00:00:00"/>
    <s v="EUR"/>
    <n v="52171.66"/>
    <d v="2023-10-24T00:00:00"/>
    <s v="PAID"/>
    <s v="N"/>
    <m/>
    <n v="52171.66"/>
    <n v="89.841999999999999"/>
    <n v="4687206.2777200006"/>
    <n v="0"/>
    <n v="0"/>
    <n v="65"/>
    <x v="0"/>
  </r>
  <r>
    <x v="250"/>
    <s v="C0116"/>
    <x v="4"/>
    <d v="2023-06-22T00:00:00"/>
    <d v="2023-08-06T00:00:00"/>
    <s v="INR"/>
    <n v="2860839"/>
    <d v="2023-08-23T00:00:00"/>
    <s v="PAID"/>
    <s v="N"/>
    <m/>
    <n v="2860839"/>
    <n v="1"/>
    <n v="2860839"/>
    <n v="0"/>
    <n v="0"/>
    <n v="17"/>
    <x v="0"/>
  </r>
  <r>
    <x v="251"/>
    <s v="C0049"/>
    <x v="3"/>
    <d v="2023-06-23T00:00:00"/>
    <d v="2023-07-23T00:00:00"/>
    <s v="INR"/>
    <n v="12263568"/>
    <d v="2023-07-17T00:00:00"/>
    <s v="PAID"/>
    <s v="N"/>
    <m/>
    <n v="12263568"/>
    <n v="1"/>
    <n v="12263568"/>
    <n v="0"/>
    <n v="0"/>
    <n v="-6"/>
    <x v="0"/>
  </r>
  <r>
    <x v="252"/>
    <s v="C0110"/>
    <x v="1"/>
    <d v="2023-06-23T00:00:00"/>
    <d v="2023-08-22T00:00:00"/>
    <s v="USD"/>
    <n v="123600.64"/>
    <d v="2023-10-07T00:00:00"/>
    <s v="PAID"/>
    <s v="N"/>
    <m/>
    <n v="123600.64"/>
    <n v="82.01"/>
    <n v="10136488.486400001"/>
    <n v="0"/>
    <n v="0"/>
    <n v="46"/>
    <x v="0"/>
  </r>
  <r>
    <x v="253"/>
    <s v="C0153"/>
    <x v="4"/>
    <d v="2023-06-23T00:00:00"/>
    <d v="2023-09-21T00:00:00"/>
    <s v="INR"/>
    <n v="3994845"/>
    <d v="2023-10-05T00:00:00"/>
    <s v="PAID"/>
    <s v="N"/>
    <m/>
    <n v="3994845"/>
    <n v="1"/>
    <n v="3994845"/>
    <n v="0"/>
    <n v="0"/>
    <n v="14"/>
    <x v="0"/>
  </r>
  <r>
    <x v="254"/>
    <s v="C0004"/>
    <x v="0"/>
    <d v="2023-06-24T00:00:00"/>
    <d v="2023-08-08T00:00:00"/>
    <s v="INR"/>
    <n v="21665267"/>
    <d v="2023-08-12T00:00:00"/>
    <s v="PAID"/>
    <s v="N"/>
    <m/>
    <n v="21665267"/>
    <n v="1"/>
    <n v="21665267"/>
    <n v="0"/>
    <n v="0"/>
    <n v="4"/>
    <x v="0"/>
  </r>
  <r>
    <x v="255"/>
    <s v="C0118"/>
    <x v="1"/>
    <d v="2023-06-24T00:00:00"/>
    <d v="2023-08-23T00:00:00"/>
    <s v="INR"/>
    <n v="3811082"/>
    <d v="2023-09-07T00:00:00"/>
    <s v="PAID"/>
    <s v="N"/>
    <m/>
    <n v="3811082"/>
    <n v="1"/>
    <n v="3811082"/>
    <n v="0"/>
    <n v="0"/>
    <n v="15"/>
    <x v="0"/>
  </r>
  <r>
    <x v="256"/>
    <s v="C0133"/>
    <x v="2"/>
    <d v="2023-06-24T00:00:00"/>
    <d v="2023-09-22T00:00:00"/>
    <s v="USD"/>
    <n v="184952.1"/>
    <d v="2023-10-31T00:00:00"/>
    <s v="PAID"/>
    <s v="N"/>
    <m/>
    <n v="184952.1"/>
    <n v="82.01"/>
    <n v="15167921.721000001"/>
    <n v="0"/>
    <n v="0"/>
    <n v="39"/>
    <x v="0"/>
  </r>
  <r>
    <x v="257"/>
    <s v="C0141"/>
    <x v="1"/>
    <d v="2023-06-24T00:00:00"/>
    <d v="2023-08-23T00:00:00"/>
    <s v="INR"/>
    <n v="4718945"/>
    <d v="2023-09-06T00:00:00"/>
    <s v="PARTIALLY PAID"/>
    <s v="N"/>
    <m/>
    <n v="2372914.37"/>
    <n v="1"/>
    <n v="4718945"/>
    <n v="2346030.63"/>
    <n v="586"/>
    <n v="14"/>
    <x v="1"/>
  </r>
  <r>
    <x v="258"/>
    <s v="C0166"/>
    <x v="4"/>
    <d v="2023-06-24T00:00:00"/>
    <d v="2023-09-22T00:00:00"/>
    <s v="INR"/>
    <n v="6938636"/>
    <d v="2023-10-17T00:00:00"/>
    <s v="PAID"/>
    <s v="N"/>
    <m/>
    <n v="6938636"/>
    <n v="1"/>
    <n v="6938636"/>
    <n v="0"/>
    <n v="0"/>
    <n v="25"/>
    <x v="0"/>
  </r>
  <r>
    <x v="259"/>
    <s v="C0236"/>
    <x v="3"/>
    <d v="2023-06-24T00:00:00"/>
    <d v="2023-08-23T00:00:00"/>
    <s v="EUR"/>
    <n v="56268.27"/>
    <d v="2023-09-23T00:00:00"/>
    <s v="PAID"/>
    <s v="N"/>
    <m/>
    <n v="56268.27"/>
    <n v="89.284300000000002"/>
    <n v="5023873.099161"/>
    <n v="0"/>
    <n v="0"/>
    <n v="31"/>
    <x v="0"/>
  </r>
  <r>
    <x v="260"/>
    <s v="C0004"/>
    <x v="0"/>
    <d v="2023-06-26T00:00:00"/>
    <d v="2023-08-10T00:00:00"/>
    <s v="INR"/>
    <n v="6030718"/>
    <d v="2023-08-21T00:00:00"/>
    <s v="PAID"/>
    <s v="N"/>
    <m/>
    <n v="6030718"/>
    <n v="1"/>
    <n v="6030718"/>
    <n v="0"/>
    <n v="0"/>
    <n v="11"/>
    <x v="0"/>
  </r>
  <r>
    <x v="261"/>
    <s v="C0061"/>
    <x v="0"/>
    <d v="2023-06-26T00:00:00"/>
    <d v="2023-09-24T00:00:00"/>
    <s v="INR"/>
    <n v="9773320"/>
    <d v="2023-09-15T00:00:00"/>
    <s v="PAID"/>
    <s v="N"/>
    <m/>
    <n v="9773320"/>
    <n v="1"/>
    <n v="9773320"/>
    <n v="0"/>
    <n v="0"/>
    <n v="-9"/>
    <x v="0"/>
  </r>
  <r>
    <x v="262"/>
    <s v="C0133"/>
    <x v="1"/>
    <d v="2023-06-26T00:00:00"/>
    <d v="2023-09-24T00:00:00"/>
    <s v="USD"/>
    <n v="85581.37"/>
    <d v="2023-10-04T00:00:00"/>
    <s v="PAID"/>
    <s v="Y"/>
    <n v="82.41"/>
    <n v="85581.37"/>
    <n v="82"/>
    <n v="7017672.3399999999"/>
    <n v="0"/>
    <n v="0"/>
    <n v="10"/>
    <x v="0"/>
  </r>
  <r>
    <x v="263"/>
    <s v="C0073"/>
    <x v="1"/>
    <d v="2023-06-27T00:00:00"/>
    <d v="2023-07-27T00:00:00"/>
    <s v="USD"/>
    <n v="126512.06"/>
    <d v="2023-09-02T00:00:00"/>
    <s v="PAID"/>
    <s v="N"/>
    <m/>
    <n v="126512.06"/>
    <n v="81.98"/>
    <n v="10371458.6788"/>
    <n v="0"/>
    <n v="0"/>
    <n v="37"/>
    <x v="0"/>
  </r>
  <r>
    <x v="264"/>
    <s v="C0025"/>
    <x v="3"/>
    <d v="2023-06-28T00:00:00"/>
    <d v="2023-08-12T00:00:00"/>
    <s v="USD"/>
    <n v="194188.85"/>
    <d v="2023-08-25T00:00:00"/>
    <s v="PAID"/>
    <s v="Y"/>
    <n v="82.204999999999998"/>
    <n v="194188.85"/>
    <n v="82"/>
    <n v="15923485.700000001"/>
    <n v="0"/>
    <n v="0"/>
    <n v="13"/>
    <x v="0"/>
  </r>
  <r>
    <x v="265"/>
    <s v="C0054"/>
    <x v="4"/>
    <d v="2023-06-28T00:00:00"/>
    <d v="2023-08-27T00:00:00"/>
    <s v="EUR"/>
    <n v="41162.14"/>
    <d v="2023-09-04T00:00:00"/>
    <s v="PAID"/>
    <s v="Y"/>
    <n v="89.5916"/>
    <n v="41162.14"/>
    <n v="89.412800000000004"/>
    <n v="3680422.1913920003"/>
    <n v="0"/>
    <n v="0"/>
    <n v="8"/>
    <x v="0"/>
  </r>
  <r>
    <x v="266"/>
    <s v="C0073"/>
    <x v="1"/>
    <d v="2023-06-28T00:00:00"/>
    <d v="2023-07-28T00:00:00"/>
    <s v="USD"/>
    <n v="22895.96"/>
    <d v="2023-08-15T00:00:00"/>
    <s v="PAID"/>
    <s v="N"/>
    <m/>
    <n v="22895.96"/>
    <n v="82"/>
    <n v="1877468.72"/>
    <n v="0"/>
    <n v="0"/>
    <n v="18"/>
    <x v="0"/>
  </r>
  <r>
    <x v="267"/>
    <s v="C0111"/>
    <x v="3"/>
    <d v="2023-06-28T00:00:00"/>
    <d v="2023-09-26T00:00:00"/>
    <s v="EUR"/>
    <n v="171342.25"/>
    <d v="2023-10-10T00:00:00"/>
    <s v="PARTIALLY PAID"/>
    <s v="Y"/>
    <n v="89.680999999999997"/>
    <n v="104089.11"/>
    <n v="89.412800000000004"/>
    <n v="15320190.330800001"/>
    <n v="6013291.5561920004"/>
    <n v="552"/>
    <n v="14"/>
    <x v="1"/>
  </r>
  <r>
    <x v="268"/>
    <s v="C0057"/>
    <x v="3"/>
    <d v="2023-06-29T00:00:00"/>
    <d v="2023-07-29T00:00:00"/>
    <s v="INR"/>
    <n v="36254516"/>
    <d v="2023-07-28T00:00:00"/>
    <s v="PAID"/>
    <s v="N"/>
    <m/>
    <n v="36254516"/>
    <n v="1"/>
    <n v="36254516"/>
    <n v="0"/>
    <n v="0"/>
    <n v="-1"/>
    <x v="0"/>
  </r>
  <r>
    <x v="269"/>
    <s v="C0095"/>
    <x v="1"/>
    <d v="2023-06-29T00:00:00"/>
    <d v="2023-08-13T00:00:00"/>
    <s v="INR"/>
    <n v="4147255"/>
    <d v="2023-08-16T00:00:00"/>
    <s v="PAID"/>
    <s v="N"/>
    <m/>
    <n v="4147255"/>
    <n v="1"/>
    <n v="4147255"/>
    <n v="0"/>
    <n v="0"/>
    <n v="3"/>
    <x v="0"/>
  </r>
  <r>
    <x v="270"/>
    <s v="C0146"/>
    <x v="3"/>
    <d v="2023-06-29T00:00:00"/>
    <d v="2023-08-28T00:00:00"/>
    <s v="USD"/>
    <n v="77306.25"/>
    <d v="2023-09-09T00:00:00"/>
    <s v="PAID"/>
    <s v="Y"/>
    <n v="82.323499999999996"/>
    <n v="77306.25"/>
    <n v="82.05"/>
    <n v="6342977.8125"/>
    <n v="0"/>
    <n v="0"/>
    <n v="12"/>
    <x v="0"/>
  </r>
  <r>
    <x v="271"/>
    <s v="C0166"/>
    <x v="4"/>
    <d v="2023-06-29T00:00:00"/>
    <d v="2023-09-27T00:00:00"/>
    <s v="INR"/>
    <n v="1765714"/>
    <d v="2023-10-16T00:00:00"/>
    <s v="PAID"/>
    <s v="N"/>
    <m/>
    <n v="1765714"/>
    <n v="1"/>
    <n v="1765714"/>
    <n v="0"/>
    <n v="0"/>
    <n v="19"/>
    <x v="0"/>
  </r>
  <r>
    <x v="272"/>
    <s v="C0033"/>
    <x v="2"/>
    <d v="2023-06-30T00:00:00"/>
    <d v="2023-09-28T00:00:00"/>
    <s v="USD"/>
    <n v="39650.46"/>
    <d v="2023-12-22T00:00:00"/>
    <s v="PAID"/>
    <s v="N"/>
    <m/>
    <n v="39650.46"/>
    <n v="82.06"/>
    <n v="3253716.7475999999"/>
    <n v="0"/>
    <n v="0"/>
    <n v="85"/>
    <x v="0"/>
  </r>
  <r>
    <x v="273"/>
    <s v="C0070"/>
    <x v="1"/>
    <d v="2023-06-30T00:00:00"/>
    <d v="2023-08-14T00:00:00"/>
    <s v="INR"/>
    <n v="10266163"/>
    <d v="2023-08-25T00:00:00"/>
    <s v="PAID"/>
    <s v="N"/>
    <m/>
    <n v="10266163"/>
    <n v="1"/>
    <n v="10266163"/>
    <n v="0"/>
    <n v="0"/>
    <n v="11"/>
    <x v="0"/>
  </r>
  <r>
    <x v="274"/>
    <s v="C0099"/>
    <x v="3"/>
    <d v="2023-06-30T00:00:00"/>
    <d v="2023-08-29T00:00:00"/>
    <s v="EUR"/>
    <n v="52232.22"/>
    <d v="2023-09-19T00:00:00"/>
    <s v="PAID"/>
    <s v="Y"/>
    <n v="89.788700000000006"/>
    <n v="52232.22"/>
    <n v="89.609499999999997"/>
    <n v="4680503.11809"/>
    <n v="0"/>
    <n v="0"/>
    <n v="21"/>
    <x v="0"/>
  </r>
  <r>
    <x v="275"/>
    <s v="C0123"/>
    <x v="1"/>
    <d v="2023-06-30T00:00:00"/>
    <d v="2023-08-29T00:00:00"/>
    <s v="USD"/>
    <n v="28738.07"/>
    <d v="2023-09-08T00:00:00"/>
    <s v="PAID"/>
    <s v="N"/>
    <m/>
    <n v="28738.07"/>
    <n v="82.06"/>
    <n v="2358246.0241999999"/>
    <n v="0"/>
    <n v="0"/>
    <n v="10"/>
    <x v="0"/>
  </r>
  <r>
    <x v="276"/>
    <s v="C0180"/>
    <x v="1"/>
    <d v="2023-06-30T00:00:00"/>
    <d v="2023-08-14T00:00:00"/>
    <s v="USD"/>
    <n v="124894.14"/>
    <d v="2024-04-10T00:00:00"/>
    <s v="PAID"/>
    <s v="N"/>
    <m/>
    <n v="124894.14"/>
    <n v="82.06"/>
    <n v="10248813.1284"/>
    <n v="0"/>
    <n v="0"/>
    <n v="240"/>
    <x v="0"/>
  </r>
  <r>
    <x v="277"/>
    <s v="C0214"/>
    <x v="0"/>
    <d v="2023-07-01T00:00:00"/>
    <d v="2023-07-31T00:00:00"/>
    <s v="INR"/>
    <n v="22523799"/>
    <d v="2023-07-27T00:00:00"/>
    <s v="PAID"/>
    <s v="N"/>
    <m/>
    <n v="22523799"/>
    <n v="1"/>
    <n v="22523799"/>
    <n v="0"/>
    <n v="0"/>
    <n v="-4"/>
    <x v="0"/>
  </r>
  <r>
    <x v="278"/>
    <s v="C0218"/>
    <x v="3"/>
    <d v="2023-07-01T00:00:00"/>
    <d v="2023-08-15T00:00:00"/>
    <s v="INR"/>
    <n v="2439889"/>
    <d v="2023-09-19T00:00:00"/>
    <s v="PAID"/>
    <s v="N"/>
    <m/>
    <n v="2439889"/>
    <n v="1"/>
    <n v="2439889"/>
    <n v="0"/>
    <n v="0"/>
    <n v="35"/>
    <x v="0"/>
  </r>
  <r>
    <x v="279"/>
    <s v="C0233"/>
    <x v="0"/>
    <d v="2023-07-01T00:00:00"/>
    <d v="2023-08-30T00:00:00"/>
    <s v="INR"/>
    <n v="20574493"/>
    <d v="2023-08-29T00:00:00"/>
    <s v="PAID"/>
    <s v="N"/>
    <m/>
    <n v="20574493"/>
    <n v="1"/>
    <n v="20574493"/>
    <n v="0"/>
    <n v="0"/>
    <n v="-1"/>
    <x v="0"/>
  </r>
  <r>
    <x v="280"/>
    <s v="C0007"/>
    <x v="3"/>
    <d v="2023-07-03T00:00:00"/>
    <d v="2023-08-02T00:00:00"/>
    <s v="USD"/>
    <n v="228751.62"/>
    <d v="2023-09-19T00:00:00"/>
    <s v="PAID"/>
    <s v="Y"/>
    <n v="82.096599999999995"/>
    <n v="228751.62"/>
    <n v="81.96"/>
    <n v="18748482.775199998"/>
    <n v="0"/>
    <n v="0"/>
    <n v="48"/>
    <x v="0"/>
  </r>
  <r>
    <x v="281"/>
    <s v="C0014"/>
    <x v="3"/>
    <d v="2023-07-03T00:00:00"/>
    <d v="2023-08-17T00:00:00"/>
    <s v="EUR"/>
    <n v="72294.039999999994"/>
    <d v="2023-08-26T00:00:00"/>
    <s v="PAID"/>
    <s v="Y"/>
    <n v="89.626300000000001"/>
    <n v="72294.039999999994"/>
    <n v="89.492099999999994"/>
    <n v="6469745.4570839992"/>
    <n v="0"/>
    <n v="0"/>
    <n v="9"/>
    <x v="0"/>
  </r>
  <r>
    <x v="282"/>
    <s v="C0057"/>
    <x v="3"/>
    <d v="2023-07-03T00:00:00"/>
    <d v="2023-08-02T00:00:00"/>
    <s v="INR"/>
    <n v="10585639"/>
    <d v="2023-06-14T00:00:00"/>
    <s v="PAID"/>
    <s v="N"/>
    <m/>
    <n v="10585639"/>
    <n v="1"/>
    <n v="10585639"/>
    <n v="0"/>
    <n v="0"/>
    <m/>
    <x v="0"/>
  </r>
  <r>
    <x v="283"/>
    <s v="C0222"/>
    <x v="2"/>
    <d v="2023-07-03T00:00:00"/>
    <d v="2023-09-01T00:00:00"/>
    <s v="EUR"/>
    <n v="92479.44"/>
    <d v="2023-09-06T00:00:00"/>
    <s v="PAID"/>
    <s v="N"/>
    <m/>
    <n v="92479.44"/>
    <n v="89.492099999999994"/>
    <n v="8276179.2924239999"/>
    <n v="0"/>
    <n v="0"/>
    <n v="5"/>
    <x v="0"/>
  </r>
  <r>
    <x v="284"/>
    <s v="C0033"/>
    <x v="2"/>
    <d v="2023-07-04T00:00:00"/>
    <d v="2023-10-02T00:00:00"/>
    <s v="USD"/>
    <n v="80135.350000000006"/>
    <d v="2023-12-20T00:00:00"/>
    <s v="PAID"/>
    <s v="N"/>
    <m/>
    <n v="80135.350000000006"/>
    <n v="81.96"/>
    <n v="6567893.2860000003"/>
    <n v="0"/>
    <n v="0"/>
    <n v="79"/>
    <x v="0"/>
  </r>
  <r>
    <x v="285"/>
    <s v="C0122"/>
    <x v="3"/>
    <d v="2023-07-04T00:00:00"/>
    <d v="2023-08-18T00:00:00"/>
    <s v="EUR"/>
    <n v="45758.63"/>
    <d v="2023-08-23T00:00:00"/>
    <s v="PAID"/>
    <s v="N"/>
    <m/>
    <n v="45758.63"/>
    <n v="89.492099999999994"/>
    <n v="4095035.8918229993"/>
    <n v="0"/>
    <n v="0"/>
    <n v="5"/>
    <x v="0"/>
  </r>
  <r>
    <x v="286"/>
    <s v="C0228"/>
    <x v="0"/>
    <d v="2023-07-04T00:00:00"/>
    <d v="2023-08-18T00:00:00"/>
    <s v="INR"/>
    <n v="3381220"/>
    <d v="2023-08-27T00:00:00"/>
    <s v="PAID"/>
    <s v="N"/>
    <m/>
    <n v="3381220"/>
    <n v="1"/>
    <n v="3381220"/>
    <n v="0"/>
    <n v="0"/>
    <n v="9"/>
    <x v="0"/>
  </r>
  <r>
    <x v="287"/>
    <s v="C0003"/>
    <x v="0"/>
    <d v="2023-07-05T00:00:00"/>
    <d v="2023-08-19T00:00:00"/>
    <s v="INR"/>
    <n v="9679550"/>
    <d v="2023-10-04T00:00:00"/>
    <s v="PAID"/>
    <s v="N"/>
    <m/>
    <n v="9679550"/>
    <n v="1"/>
    <n v="9679550"/>
    <n v="0"/>
    <n v="0"/>
    <n v="46"/>
    <x v="0"/>
  </r>
  <r>
    <x v="288"/>
    <s v="C0040"/>
    <x v="2"/>
    <d v="2023-07-05T00:00:00"/>
    <d v="2023-08-04T00:00:00"/>
    <s v="EUR"/>
    <n v="32630.3"/>
    <d v="2023-08-22T00:00:00"/>
    <s v="PAID"/>
    <s v="N"/>
    <m/>
    <n v="32630.3"/>
    <n v="89.487099999999998"/>
    <n v="2919990.9191299998"/>
    <n v="0"/>
    <n v="0"/>
    <n v="18"/>
    <x v="0"/>
  </r>
  <r>
    <x v="289"/>
    <s v="C0103"/>
    <x v="0"/>
    <d v="2023-07-05T00:00:00"/>
    <d v="2023-09-03T00:00:00"/>
    <s v="INR"/>
    <n v="3799382"/>
    <d v="2023-09-07T00:00:00"/>
    <s v="PAID"/>
    <s v="N"/>
    <m/>
    <n v="3799382"/>
    <n v="1"/>
    <n v="3799382"/>
    <n v="0"/>
    <n v="0"/>
    <n v="4"/>
    <x v="0"/>
  </r>
  <r>
    <x v="290"/>
    <s v="C0189"/>
    <x v="1"/>
    <d v="2023-07-05T00:00:00"/>
    <d v="2023-08-19T00:00:00"/>
    <s v="INR"/>
    <n v="3234251"/>
    <d v="2023-11-19T00:00:00"/>
    <s v="PAID"/>
    <s v="N"/>
    <m/>
    <n v="3234251"/>
    <n v="1"/>
    <n v="3234251"/>
    <n v="0"/>
    <n v="0"/>
    <n v="92"/>
    <x v="0"/>
  </r>
  <r>
    <x v="291"/>
    <s v="C0213"/>
    <x v="1"/>
    <d v="2023-07-05T00:00:00"/>
    <d v="2023-09-03T00:00:00"/>
    <s v="EUR"/>
    <n v="162192.32999999999"/>
    <d v="2023-08-30T00:00:00"/>
    <s v="PAID"/>
    <s v="N"/>
    <m/>
    <n v="162192.32999999999"/>
    <n v="89.487099999999998"/>
    <n v="14514121.253942998"/>
    <n v="0"/>
    <n v="0"/>
    <n v="-4"/>
    <x v="0"/>
  </r>
  <r>
    <x v="292"/>
    <s v="C0086"/>
    <x v="3"/>
    <d v="2023-07-06T00:00:00"/>
    <d v="2023-08-20T00:00:00"/>
    <s v="INR"/>
    <n v="1755908"/>
    <d v="2023-09-11T00:00:00"/>
    <s v="PAID"/>
    <s v="N"/>
    <m/>
    <n v="1755908"/>
    <n v="1"/>
    <n v="1755908"/>
    <n v="0"/>
    <n v="0"/>
    <n v="22"/>
    <x v="0"/>
  </r>
  <r>
    <x v="293"/>
    <s v="C0090"/>
    <x v="2"/>
    <d v="2023-07-06T00:00:00"/>
    <d v="2023-10-04T00:00:00"/>
    <s v="EUR"/>
    <n v="54171"/>
    <d v="2023-10-14T00:00:00"/>
    <s v="PAID"/>
    <s v="Y"/>
    <n v="89.960499999999996"/>
    <n v="54170.59"/>
    <n v="89.691400000000002"/>
    <n v="4858672.8294000002"/>
    <n v="0"/>
    <n v="0"/>
    <n v="10"/>
    <x v="0"/>
  </r>
  <r>
    <x v="294"/>
    <s v="C0111"/>
    <x v="3"/>
    <d v="2023-07-06T00:00:00"/>
    <d v="2023-10-04T00:00:00"/>
    <s v="EUR"/>
    <n v="72163.12"/>
    <d v="2023-10-19T00:00:00"/>
    <s v="PAID"/>
    <s v="Y"/>
    <n v="89.960499999999996"/>
    <n v="72163.12"/>
    <n v="89.691400000000002"/>
    <n v="6472411.2611679994"/>
    <n v="0"/>
    <n v="0"/>
    <n v="15"/>
    <x v="0"/>
  </r>
  <r>
    <x v="295"/>
    <s v="C0141"/>
    <x v="3"/>
    <d v="2023-07-06T00:00:00"/>
    <d v="2023-09-04T00:00:00"/>
    <s v="INR"/>
    <n v="4192882"/>
    <d v="2023-09-07T00:00:00"/>
    <s v="PAID"/>
    <s v="N"/>
    <m/>
    <n v="4192882"/>
    <n v="1"/>
    <n v="4192882"/>
    <n v="0"/>
    <n v="0"/>
    <n v="3"/>
    <x v="0"/>
  </r>
  <r>
    <x v="296"/>
    <s v="C0145"/>
    <x v="3"/>
    <d v="2023-07-06T00:00:00"/>
    <d v="2023-09-04T00:00:00"/>
    <s v="EUR"/>
    <n v="33189.99"/>
    <d v="2023-09-11T00:00:00"/>
    <s v="PAID"/>
    <s v="Y"/>
    <n v="89.870800000000003"/>
    <n v="33189.99"/>
    <n v="89.691400000000002"/>
    <n v="2976856.669086"/>
    <n v="0"/>
    <n v="0"/>
    <n v="7"/>
    <x v="0"/>
  </r>
  <r>
    <x v="297"/>
    <s v="C0035"/>
    <x v="0"/>
    <d v="2023-07-07T00:00:00"/>
    <d v="2023-08-21T00:00:00"/>
    <s v="INR"/>
    <n v="2782784"/>
    <d v="2023-08-22T00:00:00"/>
    <s v="PAID"/>
    <s v="N"/>
    <m/>
    <n v="2782784"/>
    <n v="1"/>
    <n v="2782784"/>
    <n v="0"/>
    <n v="0"/>
    <n v="1"/>
    <x v="0"/>
  </r>
  <r>
    <x v="298"/>
    <s v="C0072"/>
    <x v="4"/>
    <d v="2023-07-07T00:00:00"/>
    <d v="2023-10-05T00:00:00"/>
    <s v="EUR"/>
    <n v="215306.14"/>
    <d v="2023-10-12T00:00:00"/>
    <s v="PAID"/>
    <s v="N"/>
    <m/>
    <n v="215306.14"/>
    <n v="90.716099999999997"/>
    <n v="19531733.326854002"/>
    <n v="0"/>
    <n v="0"/>
    <n v="7"/>
    <x v="0"/>
  </r>
  <r>
    <x v="299"/>
    <s v="C0080"/>
    <x v="4"/>
    <d v="2023-07-07T00:00:00"/>
    <d v="2023-09-05T00:00:00"/>
    <s v="INR"/>
    <n v="1805814"/>
    <d v="2023-09-15T00:00:00"/>
    <s v="PAID"/>
    <s v="N"/>
    <m/>
    <n v="1805814"/>
    <n v="1"/>
    <n v="1805814"/>
    <n v="0"/>
    <n v="0"/>
    <n v="10"/>
    <x v="0"/>
  </r>
  <r>
    <x v="300"/>
    <s v="C0095"/>
    <x v="1"/>
    <d v="2023-07-07T00:00:00"/>
    <d v="2023-08-21T00:00:00"/>
    <s v="INR"/>
    <n v="11975784"/>
    <d v="2023-08-29T00:00:00"/>
    <s v="PAID"/>
    <s v="N"/>
    <m/>
    <n v="11975784"/>
    <n v="1"/>
    <n v="11975784"/>
    <n v="0"/>
    <n v="0"/>
    <n v="8"/>
    <x v="0"/>
  </r>
  <r>
    <x v="301"/>
    <s v="C0025"/>
    <x v="3"/>
    <d v="2023-07-08T00:00:00"/>
    <d v="2023-08-22T00:00:00"/>
    <s v="USD"/>
    <n v="44375.23"/>
    <d v="2023-10-06T00:00:00"/>
    <s v="PAID"/>
    <s v="N"/>
    <m/>
    <n v="44375.23"/>
    <n v="82.74"/>
    <n v="3671606.5301999999"/>
    <n v="0"/>
    <n v="0"/>
    <n v="45"/>
    <x v="0"/>
  </r>
  <r>
    <x v="302"/>
    <s v="C0057"/>
    <x v="3"/>
    <d v="2023-07-08T00:00:00"/>
    <d v="2023-08-07T00:00:00"/>
    <s v="INR"/>
    <n v="10849465"/>
    <d v="2023-08-09T00:00:00"/>
    <s v="PAID"/>
    <s v="N"/>
    <m/>
    <n v="10849465"/>
    <n v="1"/>
    <n v="10849465"/>
    <n v="0"/>
    <n v="0"/>
    <n v="2"/>
    <x v="0"/>
  </r>
  <r>
    <x v="303"/>
    <s v="C0080"/>
    <x v="4"/>
    <d v="2023-07-08T00:00:00"/>
    <d v="2023-09-06T00:00:00"/>
    <s v="INR"/>
    <n v="15387704"/>
    <d v="2023-09-16T00:00:00"/>
    <s v="PAID"/>
    <s v="N"/>
    <m/>
    <n v="15387704"/>
    <n v="1"/>
    <n v="15387704"/>
    <n v="0"/>
    <n v="0"/>
    <n v="10"/>
    <x v="0"/>
  </r>
  <r>
    <x v="304"/>
    <s v="C0123"/>
    <x v="1"/>
    <d v="2023-07-08T00:00:00"/>
    <d v="2023-09-06T00:00:00"/>
    <s v="USD"/>
    <n v="255965.98"/>
    <d v="2023-09-16T00:00:00"/>
    <s v="PAID"/>
    <s v="N"/>
    <m/>
    <n v="255965.98"/>
    <n v="82.74"/>
    <n v="21178625.185199998"/>
    <n v="0"/>
    <n v="0"/>
    <n v="10"/>
    <x v="0"/>
  </r>
  <r>
    <x v="305"/>
    <s v="C0183"/>
    <x v="0"/>
    <d v="2023-07-08T00:00:00"/>
    <d v="2023-10-06T00:00:00"/>
    <s v="INR"/>
    <n v="10502986"/>
    <d v="2023-10-09T00:00:00"/>
    <s v="PAID"/>
    <s v="N"/>
    <m/>
    <n v="10502986"/>
    <n v="1"/>
    <n v="10502986"/>
    <n v="0"/>
    <n v="0"/>
    <n v="3"/>
    <x v="0"/>
  </r>
  <r>
    <x v="306"/>
    <s v="C0244"/>
    <x v="3"/>
    <d v="2023-07-08T00:00:00"/>
    <d v="2023-09-06T00:00:00"/>
    <s v="INR"/>
    <n v="1597922"/>
    <d v="2023-10-11T00:00:00"/>
    <s v="WRITTEN OFF"/>
    <s v="N"/>
    <m/>
    <n v="397486.38"/>
    <n v="1"/>
    <n v="1597922"/>
    <n v="0"/>
    <n v="0"/>
    <n v="35"/>
    <x v="0"/>
  </r>
  <r>
    <x v="307"/>
    <s v="C0058"/>
    <x v="3"/>
    <d v="2023-07-10T00:00:00"/>
    <d v="2023-08-09T00:00:00"/>
    <s v="INR"/>
    <n v="24475086"/>
    <d v="2023-08-08T00:00:00"/>
    <s v="PAID"/>
    <s v="N"/>
    <m/>
    <n v="24475086"/>
    <n v="1"/>
    <n v="24475086"/>
    <n v="0"/>
    <n v="0"/>
    <n v="-1"/>
    <x v="0"/>
  </r>
  <r>
    <x v="308"/>
    <s v="C0161"/>
    <x v="3"/>
    <d v="2023-07-10T00:00:00"/>
    <d v="2023-10-08T00:00:00"/>
    <s v="USD"/>
    <n v="137054.91"/>
    <d v="2023-10-20T00:00:00"/>
    <s v="PARTIALLY PAID"/>
    <s v="Y"/>
    <n v="82.982799999999997"/>
    <n v="87522.42"/>
    <n v="82.57"/>
    <n v="11316623.9187"/>
    <n v="4089897.6993"/>
    <n v="540"/>
    <n v="12"/>
    <x v="1"/>
  </r>
  <r>
    <x v="309"/>
    <s v="C0039"/>
    <x v="0"/>
    <d v="2023-07-11T00:00:00"/>
    <d v="2023-09-09T00:00:00"/>
    <s v="INR"/>
    <n v="1655278"/>
    <d v="2023-09-08T00:00:00"/>
    <s v="PAID"/>
    <s v="N"/>
    <m/>
    <n v="1655278"/>
    <n v="1"/>
    <n v="1655278"/>
    <n v="0"/>
    <n v="0"/>
    <n v="-1"/>
    <x v="0"/>
  </r>
  <r>
    <x v="310"/>
    <s v="C0144"/>
    <x v="0"/>
    <d v="2023-07-11T00:00:00"/>
    <d v="2023-08-25T00:00:00"/>
    <s v="INR"/>
    <n v="3900480"/>
    <d v="2023-08-24T00:00:00"/>
    <s v="PAID"/>
    <s v="N"/>
    <m/>
    <n v="3900480"/>
    <n v="1"/>
    <n v="3900480"/>
    <n v="0"/>
    <n v="0"/>
    <n v="-1"/>
    <x v="0"/>
  </r>
  <r>
    <x v="311"/>
    <s v="C0149"/>
    <x v="3"/>
    <d v="2023-07-11T00:00:00"/>
    <d v="2023-08-25T00:00:00"/>
    <s v="INR"/>
    <n v="9009353"/>
    <d v="2023-08-25T00:00:00"/>
    <s v="PAID"/>
    <s v="N"/>
    <m/>
    <n v="9009353"/>
    <n v="1"/>
    <n v="9009353"/>
    <n v="0"/>
    <n v="0"/>
    <n v="0"/>
    <x v="0"/>
  </r>
  <r>
    <x v="312"/>
    <s v="C0107"/>
    <x v="1"/>
    <d v="2023-07-13T00:00:00"/>
    <d v="2023-08-12T00:00:00"/>
    <s v="INR"/>
    <n v="9284812"/>
    <d v="2023-09-16T00:00:00"/>
    <s v="PAID"/>
    <s v="N"/>
    <m/>
    <n v="9284812"/>
    <n v="1"/>
    <n v="9284812"/>
    <n v="0"/>
    <n v="0"/>
    <n v="35"/>
    <x v="0"/>
  </r>
  <r>
    <x v="313"/>
    <s v="C0110"/>
    <x v="1"/>
    <d v="2023-07-13T00:00:00"/>
    <d v="2023-09-11T00:00:00"/>
    <s v="USD"/>
    <n v="59802.2"/>
    <d v="2023-09-20T00:00:00"/>
    <s v="PAID"/>
    <s v="N"/>
    <m/>
    <n v="59802.2"/>
    <n v="82.04"/>
    <n v="4906172.4879999999"/>
    <n v="0"/>
    <n v="0"/>
    <n v="9"/>
    <x v="0"/>
  </r>
  <r>
    <x v="314"/>
    <s v="C0111"/>
    <x v="3"/>
    <d v="2023-07-13T00:00:00"/>
    <d v="2023-10-11T00:00:00"/>
    <s v="EUR"/>
    <n v="82520.41"/>
    <d v="2023-10-26T00:00:00"/>
    <s v="PAID"/>
    <s v="Y"/>
    <n v="92.111099999999993"/>
    <n v="82520.41"/>
    <n v="91.835599999999999"/>
    <n v="7578311.3645959999"/>
    <n v="0"/>
    <n v="0"/>
    <n v="15"/>
    <x v="0"/>
  </r>
  <r>
    <x v="315"/>
    <s v="C0198"/>
    <x v="3"/>
    <d v="2023-07-13T00:00:00"/>
    <d v="2023-08-27T00:00:00"/>
    <s v="USD"/>
    <n v="86551.64"/>
    <d v="2023-09-27T00:00:00"/>
    <s v="PAID"/>
    <s v="Y"/>
    <n v="82.245099999999994"/>
    <n v="86551.64"/>
    <n v="82.04"/>
    <n v="7100696.5456000008"/>
    <n v="0"/>
    <n v="0"/>
    <n v="31"/>
    <x v="0"/>
  </r>
  <r>
    <x v="316"/>
    <s v="C0039"/>
    <x v="0"/>
    <d v="2023-07-14T00:00:00"/>
    <d v="2023-09-12T00:00:00"/>
    <s v="INR"/>
    <n v="16950360"/>
    <d v="2023-09-16T00:00:00"/>
    <s v="PAID"/>
    <s v="N"/>
    <m/>
    <n v="16950360"/>
    <n v="1"/>
    <n v="16950360"/>
    <n v="0"/>
    <n v="0"/>
    <n v="4"/>
    <x v="0"/>
  </r>
  <r>
    <x v="317"/>
    <s v="C0082"/>
    <x v="4"/>
    <d v="2023-07-14T00:00:00"/>
    <d v="2023-09-12T00:00:00"/>
    <s v="INR"/>
    <n v="4826993"/>
    <d v="2023-09-11T00:00:00"/>
    <s v="PAID"/>
    <s v="N"/>
    <m/>
    <n v="4826993"/>
    <n v="1"/>
    <n v="4826993"/>
    <n v="0"/>
    <n v="0"/>
    <n v="-1"/>
    <x v="0"/>
  </r>
  <r>
    <x v="318"/>
    <s v="C0236"/>
    <x v="3"/>
    <d v="2023-07-14T00:00:00"/>
    <d v="2023-09-12T00:00:00"/>
    <s v="EUR"/>
    <n v="49488.39"/>
    <m/>
    <s v="WRITTEN OFF"/>
    <s v="Y"/>
    <n v="92.507800000000003"/>
    <n v="0"/>
    <n v="92.3232"/>
    <n v="4568926.527648"/>
    <n v="0"/>
    <n v="0"/>
    <s v=""/>
    <x v="0"/>
  </r>
  <r>
    <x v="319"/>
    <s v="C0019"/>
    <x v="2"/>
    <d v="2023-07-15T00:00:00"/>
    <d v="2023-10-13T00:00:00"/>
    <s v="EUR"/>
    <n v="169214.22"/>
    <d v="2023-11-11T00:00:00"/>
    <s v="PAID"/>
    <s v="Y"/>
    <n v="92.600200000000001"/>
    <n v="169214.22"/>
    <n v="92.3232"/>
    <n v="15622398.275904"/>
    <n v="0"/>
    <n v="0"/>
    <n v="29"/>
    <x v="0"/>
  </r>
  <r>
    <x v="320"/>
    <s v="C0040"/>
    <x v="2"/>
    <d v="2023-07-15T00:00:00"/>
    <d v="2023-08-14T00:00:00"/>
    <s v="EUR"/>
    <n v="45378.31"/>
    <d v="2023-08-18T00:00:00"/>
    <s v="PAID"/>
    <s v="N"/>
    <m/>
    <n v="45378.31"/>
    <n v="92.3232"/>
    <n v="4189470.7897919999"/>
    <n v="0"/>
    <n v="0"/>
    <n v="4"/>
    <x v="0"/>
  </r>
  <r>
    <x v="321"/>
    <s v="C0050"/>
    <x v="0"/>
    <d v="2023-07-15T00:00:00"/>
    <d v="2023-09-13T00:00:00"/>
    <s v="INR"/>
    <n v="3344624"/>
    <d v="2023-09-15T00:00:00"/>
    <s v="PAID"/>
    <s v="N"/>
    <m/>
    <n v="3344624"/>
    <n v="1"/>
    <n v="3344624"/>
    <n v="0"/>
    <n v="0"/>
    <n v="2"/>
    <x v="0"/>
  </r>
  <r>
    <x v="322"/>
    <s v="C0050"/>
    <x v="0"/>
    <d v="2023-07-15T00:00:00"/>
    <d v="2023-09-13T00:00:00"/>
    <s v="INR"/>
    <n v="3946521"/>
    <d v="2023-09-14T00:00:00"/>
    <s v="PAID"/>
    <s v="N"/>
    <m/>
    <n v="3946521"/>
    <n v="1"/>
    <n v="3946521"/>
    <n v="0"/>
    <n v="0"/>
    <n v="1"/>
    <x v="0"/>
  </r>
  <r>
    <x v="323"/>
    <s v="C0054"/>
    <x v="4"/>
    <d v="2023-07-15T00:00:00"/>
    <d v="2023-09-13T00:00:00"/>
    <s v="EUR"/>
    <n v="81257.14"/>
    <d v="2023-09-30T00:00:00"/>
    <s v="PAID"/>
    <s v="N"/>
    <m/>
    <n v="81257.14"/>
    <n v="92.3232"/>
    <n v="7501919.1876480002"/>
    <n v="0"/>
    <n v="0"/>
    <n v="17"/>
    <x v="0"/>
  </r>
  <r>
    <x v="324"/>
    <s v="C0082"/>
    <x v="4"/>
    <d v="2023-07-15T00:00:00"/>
    <d v="2023-09-13T00:00:00"/>
    <s v="INR"/>
    <n v="11829032"/>
    <d v="2023-09-27T00:00:00"/>
    <s v="PAID"/>
    <s v="N"/>
    <m/>
    <n v="11829032"/>
    <n v="1"/>
    <n v="11829032"/>
    <n v="0"/>
    <n v="0"/>
    <n v="14"/>
    <x v="0"/>
  </r>
  <r>
    <x v="325"/>
    <s v="C0127"/>
    <x v="2"/>
    <d v="2023-07-15T00:00:00"/>
    <d v="2023-09-13T00:00:00"/>
    <s v="INR"/>
    <n v="11211562"/>
    <d v="2024-03-25T00:00:00"/>
    <s v="PAID"/>
    <s v="N"/>
    <m/>
    <n v="11211562"/>
    <n v="1"/>
    <n v="11211562"/>
    <n v="0"/>
    <n v="0"/>
    <n v="194"/>
    <x v="0"/>
  </r>
  <r>
    <x v="326"/>
    <s v="C0213"/>
    <x v="1"/>
    <d v="2023-07-15T00:00:00"/>
    <d v="2023-09-13T00:00:00"/>
    <s v="EUR"/>
    <n v="151186.76999999999"/>
    <d v="2023-09-17T00:00:00"/>
    <s v="PAID"/>
    <s v="N"/>
    <m/>
    <n v="151186.76999999999"/>
    <n v="92.3232"/>
    <n v="13958046.404064"/>
    <n v="0"/>
    <n v="0"/>
    <n v="4"/>
    <x v="0"/>
  </r>
  <r>
    <x v="327"/>
    <s v="C0065"/>
    <x v="1"/>
    <d v="2023-07-17T00:00:00"/>
    <d v="2023-08-16T00:00:00"/>
    <s v="INR"/>
    <n v="8062429"/>
    <d v="2023-08-17T00:00:00"/>
    <s v="PARTIALLY PAID"/>
    <s v="N"/>
    <m/>
    <n v="4269082.8099999996"/>
    <n v="1"/>
    <n v="8062429"/>
    <n v="3793346.1900000004"/>
    <n v="593"/>
    <n v="1"/>
    <x v="1"/>
  </r>
  <r>
    <x v="328"/>
    <s v="C0212"/>
    <x v="2"/>
    <d v="2023-07-17T00:00:00"/>
    <d v="2023-10-15T00:00:00"/>
    <s v="INR"/>
    <n v="2436605"/>
    <d v="2023-10-08T00:00:00"/>
    <s v="PAID"/>
    <s v="N"/>
    <m/>
    <n v="2436605"/>
    <n v="1"/>
    <n v="2436605"/>
    <n v="0"/>
    <n v="0"/>
    <n v="-7"/>
    <x v="0"/>
  </r>
  <r>
    <x v="329"/>
    <s v="C0020"/>
    <x v="3"/>
    <d v="2023-07-18T00:00:00"/>
    <d v="2023-10-16T00:00:00"/>
    <s v="USD"/>
    <n v="63852.42"/>
    <d v="2023-11-05T00:00:00"/>
    <s v="PAID"/>
    <s v="Y"/>
    <n v="82.440100000000001"/>
    <n v="63852.42"/>
    <n v="82.03"/>
    <n v="5237814.0126"/>
    <n v="0"/>
    <n v="0"/>
    <n v="20"/>
    <x v="0"/>
  </r>
  <r>
    <x v="330"/>
    <s v="C0057"/>
    <x v="3"/>
    <d v="2023-07-18T00:00:00"/>
    <d v="2023-08-17T00:00:00"/>
    <s v="INR"/>
    <n v="18327862"/>
    <d v="2023-08-22T00:00:00"/>
    <s v="PARTIALLY PAID"/>
    <s v="N"/>
    <m/>
    <n v="12911598.66"/>
    <n v="1"/>
    <n v="18327862"/>
    <n v="5416263.3399999999"/>
    <n v="592"/>
    <n v="5"/>
    <x v="1"/>
  </r>
  <r>
    <x v="331"/>
    <s v="C0111"/>
    <x v="3"/>
    <d v="2023-07-18T00:00:00"/>
    <d v="2023-10-16T00:00:00"/>
    <s v="EUR"/>
    <n v="84670.94"/>
    <d v="2023-12-15T00:00:00"/>
    <s v="WRITTEN OFF"/>
    <s v="Y"/>
    <n v="92.338499999999996"/>
    <n v="37778.25"/>
    <n v="92.062299999999993"/>
    <n v="7795001.4795619994"/>
    <n v="0"/>
    <n v="0"/>
    <n v="60"/>
    <x v="0"/>
  </r>
  <r>
    <x v="332"/>
    <s v="C0218"/>
    <x v="3"/>
    <d v="2023-07-18T00:00:00"/>
    <d v="2023-09-01T00:00:00"/>
    <s v="INR"/>
    <n v="5631796"/>
    <d v="2023-10-10T00:00:00"/>
    <s v="PAID"/>
    <s v="N"/>
    <m/>
    <n v="5631796"/>
    <n v="1"/>
    <n v="5631796"/>
    <n v="0"/>
    <n v="0"/>
    <n v="39"/>
    <x v="0"/>
  </r>
  <r>
    <x v="333"/>
    <s v="C0009"/>
    <x v="3"/>
    <d v="2023-07-19T00:00:00"/>
    <d v="2023-09-17T00:00:00"/>
    <s v="INR"/>
    <n v="1755585"/>
    <d v="2023-09-09T00:00:00"/>
    <s v="PAID"/>
    <s v="N"/>
    <m/>
    <n v="1755585"/>
    <n v="1"/>
    <n v="1755585"/>
    <n v="0"/>
    <n v="0"/>
    <n v="-8"/>
    <x v="0"/>
  </r>
  <r>
    <x v="334"/>
    <s v="C0019"/>
    <x v="2"/>
    <d v="2023-07-19T00:00:00"/>
    <d v="2023-10-17T00:00:00"/>
    <s v="EUR"/>
    <n v="85199.75"/>
    <d v="2023-11-12T00:00:00"/>
    <s v="PAID"/>
    <s v="N"/>
    <m/>
    <n v="85199.75"/>
    <n v="91.899799999999999"/>
    <n v="7829839.9850500003"/>
    <n v="0"/>
    <n v="0"/>
    <n v="26"/>
    <x v="0"/>
  </r>
  <r>
    <x v="335"/>
    <s v="C0134"/>
    <x v="0"/>
    <d v="2023-07-19T00:00:00"/>
    <d v="2023-10-17T00:00:00"/>
    <s v="INR"/>
    <n v="2130687"/>
    <d v="2023-10-14T00:00:00"/>
    <s v="PARTIALLY PAID"/>
    <s v="N"/>
    <m/>
    <n v="1568530.78"/>
    <n v="1"/>
    <n v="2130687"/>
    <n v="562156.22"/>
    <n v="531"/>
    <n v="-3"/>
    <x v="1"/>
  </r>
  <r>
    <x v="336"/>
    <s v="C0225"/>
    <x v="2"/>
    <d v="2023-07-19T00:00:00"/>
    <d v="2023-09-02T00:00:00"/>
    <s v="USD"/>
    <n v="21982.799999999999"/>
    <d v="2023-09-10T00:00:00"/>
    <s v="PAID"/>
    <s v="Y"/>
    <n v="82.295199999999994"/>
    <n v="21982.799999999999"/>
    <n v="82.09"/>
    <n v="1804568.0519999999"/>
    <n v="0"/>
    <n v="0"/>
    <n v="8"/>
    <x v="0"/>
  </r>
  <r>
    <x v="337"/>
    <s v="C0011"/>
    <x v="0"/>
    <d v="2023-07-20T00:00:00"/>
    <d v="2023-09-03T00:00:00"/>
    <s v="INR"/>
    <n v="11237667"/>
    <d v="2023-09-14T00:00:00"/>
    <s v="PAID"/>
    <s v="N"/>
    <m/>
    <n v="11237667"/>
    <n v="1"/>
    <n v="11237667"/>
    <n v="0"/>
    <n v="0"/>
    <n v="11"/>
    <x v="0"/>
  </r>
  <r>
    <x v="338"/>
    <s v="C0173"/>
    <x v="4"/>
    <d v="2023-07-20T00:00:00"/>
    <d v="2023-09-18T00:00:00"/>
    <s v="EUR"/>
    <n v="128847.69"/>
    <d v="2023-09-25T00:00:00"/>
    <s v="PAID"/>
    <s v="N"/>
    <m/>
    <n v="128847.69"/>
    <n v="91.295900000000003"/>
    <n v="11763265.821471"/>
    <n v="0"/>
    <n v="0"/>
    <n v="7"/>
    <x v="0"/>
  </r>
  <r>
    <x v="339"/>
    <s v="C0037"/>
    <x v="0"/>
    <d v="2023-07-21T00:00:00"/>
    <d v="2023-08-20T00:00:00"/>
    <s v="INR"/>
    <n v="4330368"/>
    <d v="2023-08-26T00:00:00"/>
    <s v="PAID"/>
    <s v="N"/>
    <m/>
    <n v="4330368"/>
    <n v="1"/>
    <n v="4330368"/>
    <n v="0"/>
    <n v="0"/>
    <n v="6"/>
    <x v="0"/>
  </r>
  <r>
    <x v="340"/>
    <s v="C0050"/>
    <x v="0"/>
    <d v="2023-07-21T00:00:00"/>
    <d v="2023-09-19T00:00:00"/>
    <s v="INR"/>
    <n v="3210779"/>
    <d v="2023-09-29T00:00:00"/>
    <s v="PAID"/>
    <s v="N"/>
    <m/>
    <n v="3210779"/>
    <n v="1"/>
    <n v="3210779"/>
    <n v="0"/>
    <n v="0"/>
    <n v="10"/>
    <x v="0"/>
  </r>
  <r>
    <x v="341"/>
    <s v="C0060"/>
    <x v="0"/>
    <d v="2023-07-22T00:00:00"/>
    <d v="2023-09-05T00:00:00"/>
    <s v="INR"/>
    <n v="11069767"/>
    <d v="2023-09-15T00:00:00"/>
    <s v="PARTIALLY PAID"/>
    <s v="N"/>
    <m/>
    <n v="8336260.9000000004"/>
    <n v="1"/>
    <n v="11069767"/>
    <n v="2733506.0999999996"/>
    <n v="573"/>
    <n v="10"/>
    <x v="1"/>
  </r>
  <r>
    <x v="342"/>
    <s v="C0080"/>
    <x v="0"/>
    <d v="2023-07-22T00:00:00"/>
    <d v="2023-09-20T00:00:00"/>
    <s v="INR"/>
    <n v="3158402"/>
    <d v="2023-09-16T00:00:00"/>
    <s v="PAID"/>
    <s v="N"/>
    <m/>
    <n v="3158402"/>
    <n v="1"/>
    <n v="3158402"/>
    <n v="0"/>
    <n v="0"/>
    <n v="-4"/>
    <x v="0"/>
  </r>
  <r>
    <x v="343"/>
    <s v="C0095"/>
    <x v="1"/>
    <d v="2023-07-22T00:00:00"/>
    <d v="2023-09-05T00:00:00"/>
    <s v="INR"/>
    <n v="2365852"/>
    <d v="2023-09-03T00:00:00"/>
    <s v="PAID"/>
    <s v="N"/>
    <m/>
    <n v="2365852"/>
    <n v="1"/>
    <n v="2365852"/>
    <n v="0"/>
    <n v="0"/>
    <n v="-2"/>
    <x v="0"/>
  </r>
  <r>
    <x v="344"/>
    <s v="C0100"/>
    <x v="4"/>
    <d v="2023-07-22T00:00:00"/>
    <d v="2023-09-20T00:00:00"/>
    <s v="USD"/>
    <n v="21358.43"/>
    <d v="2023-10-03T00:00:00"/>
    <s v="PAID"/>
    <s v="Y"/>
    <n v="82.263300000000001"/>
    <n v="21358.43"/>
    <n v="81.99"/>
    <n v="1751177.6757"/>
    <n v="0"/>
    <n v="0"/>
    <n v="13"/>
    <x v="0"/>
  </r>
  <r>
    <x v="345"/>
    <s v="C0164"/>
    <x v="3"/>
    <d v="2023-07-22T00:00:00"/>
    <d v="2023-09-20T00:00:00"/>
    <s v="USD"/>
    <n v="26161.26"/>
    <d v="2023-10-11T00:00:00"/>
    <s v="PAID"/>
    <s v="N"/>
    <m/>
    <n v="26161.26"/>
    <n v="81.99"/>
    <n v="2144961.7073999997"/>
    <n v="0"/>
    <n v="0"/>
    <n v="21"/>
    <x v="0"/>
  </r>
  <r>
    <x v="346"/>
    <s v="C0198"/>
    <x v="3"/>
    <d v="2023-07-22T00:00:00"/>
    <d v="2023-09-05T00:00:00"/>
    <s v="USD"/>
    <n v="80380.929999999993"/>
    <d v="2023-09-25T00:00:00"/>
    <s v="PAID"/>
    <s v="N"/>
    <m/>
    <n v="80380.929999999993"/>
    <n v="81.99"/>
    <n v="6590432.450699999"/>
    <n v="0"/>
    <n v="0"/>
    <n v="20"/>
    <x v="0"/>
  </r>
  <r>
    <x v="347"/>
    <s v="C0231"/>
    <x v="0"/>
    <d v="2023-07-22T00:00:00"/>
    <d v="2023-08-21T00:00:00"/>
    <s v="INR"/>
    <n v="10071107"/>
    <d v="2023-08-18T00:00:00"/>
    <s v="PAID"/>
    <s v="N"/>
    <m/>
    <n v="10071107"/>
    <n v="1"/>
    <n v="10071107"/>
    <n v="0"/>
    <n v="0"/>
    <n v="-3"/>
    <x v="0"/>
  </r>
  <r>
    <x v="348"/>
    <s v="C0243"/>
    <x v="3"/>
    <d v="2023-07-22T00:00:00"/>
    <d v="2023-09-20T00:00:00"/>
    <s v="EUR"/>
    <n v="67779.100000000006"/>
    <d v="2023-09-19T00:00:00"/>
    <s v="PAID"/>
    <s v="N"/>
    <m/>
    <n v="67779.100000000006"/>
    <n v="91.172899999999998"/>
    <n v="6179617.1063900003"/>
    <n v="0"/>
    <n v="0"/>
    <n v="-1"/>
    <x v="0"/>
  </r>
  <r>
    <x v="349"/>
    <s v="C0009"/>
    <x v="3"/>
    <d v="2023-07-24T00:00:00"/>
    <d v="2023-09-22T00:00:00"/>
    <s v="INR"/>
    <n v="7092815"/>
    <d v="2023-09-24T00:00:00"/>
    <s v="PAID"/>
    <s v="N"/>
    <m/>
    <n v="7092815"/>
    <n v="1"/>
    <n v="7092815"/>
    <n v="0"/>
    <n v="0"/>
    <n v="2"/>
    <x v="0"/>
  </r>
  <r>
    <x v="350"/>
    <s v="C0123"/>
    <x v="1"/>
    <d v="2023-07-24T00:00:00"/>
    <d v="2023-09-22T00:00:00"/>
    <s v="USD"/>
    <n v="116187.4"/>
    <d v="2023-11-06T00:00:00"/>
    <s v="PAID"/>
    <s v="N"/>
    <m/>
    <n v="116187.4"/>
    <n v="81.81"/>
    <n v="9505291.1940000001"/>
    <n v="0"/>
    <n v="0"/>
    <n v="45"/>
    <x v="0"/>
  </r>
  <r>
    <x v="351"/>
    <s v="C0198"/>
    <x v="3"/>
    <d v="2023-07-25T00:00:00"/>
    <d v="2023-09-08T00:00:00"/>
    <s v="USD"/>
    <n v="40924.730000000003"/>
    <d v="2023-09-25T00:00:00"/>
    <s v="PAID"/>
    <s v="Y"/>
    <n v="82.074700000000007"/>
    <n v="40924.730000000003"/>
    <n v="81.87"/>
    <n v="3350507.6451000003"/>
    <n v="0"/>
    <n v="0"/>
    <n v="17"/>
    <x v="0"/>
  </r>
  <r>
    <x v="352"/>
    <s v="C0004"/>
    <x v="0"/>
    <d v="2023-07-26T00:00:00"/>
    <d v="2023-09-09T00:00:00"/>
    <s v="INR"/>
    <n v="6609197"/>
    <d v="2023-09-21T00:00:00"/>
    <s v="PAID"/>
    <s v="N"/>
    <m/>
    <n v="6609197"/>
    <n v="1"/>
    <n v="6609197"/>
    <n v="0"/>
    <n v="0"/>
    <n v="12"/>
    <x v="0"/>
  </r>
  <r>
    <x v="353"/>
    <s v="C0060"/>
    <x v="0"/>
    <d v="2023-07-26T00:00:00"/>
    <d v="2023-09-09T00:00:00"/>
    <s v="INR"/>
    <n v="7672060"/>
    <d v="2023-09-15T00:00:00"/>
    <s v="PAID"/>
    <s v="N"/>
    <m/>
    <n v="7672060"/>
    <n v="1"/>
    <n v="7672060"/>
    <n v="0"/>
    <n v="0"/>
    <n v="6"/>
    <x v="0"/>
  </r>
  <r>
    <x v="354"/>
    <s v="C0198"/>
    <x v="3"/>
    <d v="2023-07-26T00:00:00"/>
    <d v="2023-09-09T00:00:00"/>
    <s v="USD"/>
    <n v="37544.879999999997"/>
    <d v="2023-10-16T00:00:00"/>
    <s v="PAID"/>
    <s v="Y"/>
    <n v="82.194999999999993"/>
    <n v="37544.879999999997"/>
    <n v="81.99"/>
    <n v="3078304.7111999998"/>
    <n v="0"/>
    <n v="0"/>
    <n v="37"/>
    <x v="0"/>
  </r>
  <r>
    <x v="355"/>
    <s v="C0224"/>
    <x v="1"/>
    <d v="2023-07-26T00:00:00"/>
    <d v="2023-08-25T00:00:00"/>
    <s v="EUR"/>
    <n v="20087.75"/>
    <d v="2023-11-25T00:00:00"/>
    <s v="PAID"/>
    <s v="N"/>
    <m/>
    <n v="20087.75"/>
    <n v="90.828500000000005"/>
    <n v="1824540.2008750001"/>
    <n v="0"/>
    <n v="0"/>
    <n v="92"/>
    <x v="0"/>
  </r>
  <r>
    <x v="356"/>
    <s v="C0057"/>
    <x v="3"/>
    <d v="2023-07-27T00:00:00"/>
    <d v="2023-08-26T00:00:00"/>
    <s v="INR"/>
    <n v="17526799"/>
    <m/>
    <s v="PAID"/>
    <s v="N"/>
    <m/>
    <n v="17526799"/>
    <n v="1"/>
    <n v="17526799"/>
    <n v="0"/>
    <n v="0"/>
    <s v=""/>
    <x v="0"/>
  </r>
  <r>
    <x v="357"/>
    <s v="C0079"/>
    <x v="3"/>
    <d v="2023-07-27T00:00:00"/>
    <d v="2023-10-25T00:00:00"/>
    <s v="USD"/>
    <n v="60217.18"/>
    <d v="2023-11-16T00:00:00"/>
    <s v="PAID"/>
    <s v="Y"/>
    <n v="82.560699999999997"/>
    <n v="60217.18"/>
    <n v="82.15"/>
    <n v="4946841.3370000003"/>
    <n v="0"/>
    <n v="0"/>
    <n v="22"/>
    <x v="0"/>
  </r>
  <r>
    <x v="358"/>
    <s v="C0080"/>
    <x v="0"/>
    <d v="2023-07-27T00:00:00"/>
    <d v="2023-09-25T00:00:00"/>
    <s v="INR"/>
    <n v="1470564"/>
    <d v="2023-10-11T00:00:00"/>
    <s v="PAID"/>
    <s v="N"/>
    <m/>
    <n v="1470564"/>
    <n v="1"/>
    <n v="1470564"/>
    <n v="0"/>
    <n v="0"/>
    <n v="16"/>
    <x v="0"/>
  </r>
  <r>
    <x v="359"/>
    <s v="C0111"/>
    <x v="3"/>
    <d v="2023-07-27T00:00:00"/>
    <d v="2023-10-25T00:00:00"/>
    <s v="EUR"/>
    <n v="85442.36"/>
    <d v="2023-11-08T00:00:00"/>
    <s v="PAID"/>
    <s v="N"/>
    <m/>
    <n v="85442.36"/>
    <n v="90.348600000000005"/>
    <n v="7719597.6066960003"/>
    <n v="0"/>
    <n v="0"/>
    <n v="14"/>
    <x v="0"/>
  </r>
  <r>
    <x v="360"/>
    <s v="C0111"/>
    <x v="3"/>
    <d v="2023-07-27T00:00:00"/>
    <d v="2023-10-25T00:00:00"/>
    <s v="EUR"/>
    <n v="167039.07"/>
    <d v="2023-11-22T00:00:00"/>
    <s v="PAID"/>
    <s v="Y"/>
    <n v="90.619600000000005"/>
    <n v="167039.07"/>
    <n v="90.348600000000005"/>
    <n v="15091746.119802002"/>
    <n v="0"/>
    <n v="0"/>
    <n v="28"/>
    <x v="0"/>
  </r>
  <r>
    <x v="361"/>
    <s v="C0213"/>
    <x v="1"/>
    <d v="2023-07-27T00:00:00"/>
    <d v="2023-09-25T00:00:00"/>
    <s v="EUR"/>
    <n v="93891.35"/>
    <d v="2023-10-01T00:00:00"/>
    <s v="PAID"/>
    <s v="Y"/>
    <n v="90.529300000000006"/>
    <n v="93891.35"/>
    <n v="90.348600000000005"/>
    <n v="8482952.0246100016"/>
    <n v="0"/>
    <n v="0"/>
    <n v="6"/>
    <x v="0"/>
  </r>
  <r>
    <x v="362"/>
    <s v="C0057"/>
    <x v="3"/>
    <d v="2023-07-28T00:00:00"/>
    <d v="2023-08-27T00:00:00"/>
    <s v="INR"/>
    <n v="5727442"/>
    <d v="2023-08-21T00:00:00"/>
    <s v="PAID"/>
    <s v="N"/>
    <m/>
    <n v="5727442"/>
    <n v="1"/>
    <n v="5727442"/>
    <n v="0"/>
    <n v="0"/>
    <n v="-6"/>
    <x v="0"/>
  </r>
  <r>
    <x v="363"/>
    <s v="C0230"/>
    <x v="4"/>
    <d v="2023-07-28T00:00:00"/>
    <d v="2023-08-27T00:00:00"/>
    <s v="INR"/>
    <n v="1148674"/>
    <d v="2023-09-04T00:00:00"/>
    <s v="PAID"/>
    <s v="N"/>
    <m/>
    <n v="1148674"/>
    <n v="1"/>
    <n v="1148674"/>
    <n v="0"/>
    <n v="0"/>
    <n v="8"/>
    <x v="0"/>
  </r>
  <r>
    <x v="364"/>
    <s v="C0236"/>
    <x v="3"/>
    <d v="2023-07-28T00:00:00"/>
    <d v="2023-09-26T00:00:00"/>
    <s v="EUR"/>
    <n v="84376.22"/>
    <d v="2023-10-18T00:00:00"/>
    <s v="PAID"/>
    <s v="N"/>
    <m/>
    <n v="84376.22"/>
    <n v="90.762699999999995"/>
    <n v="7658213.542994"/>
    <n v="0"/>
    <n v="0"/>
    <n v="22"/>
    <x v="0"/>
  </r>
  <r>
    <x v="365"/>
    <s v="C0236"/>
    <x v="3"/>
    <d v="2023-07-28T00:00:00"/>
    <d v="2023-09-26T00:00:00"/>
    <s v="EUR"/>
    <n v="25624.05"/>
    <d v="2023-10-16T00:00:00"/>
    <s v="PAID"/>
    <s v="N"/>
    <m/>
    <n v="25624.05"/>
    <n v="90.762699999999995"/>
    <n v="2325707.9629349997"/>
    <n v="0"/>
    <n v="0"/>
    <n v="20"/>
    <x v="0"/>
  </r>
  <r>
    <x v="366"/>
    <s v="C0007"/>
    <x v="3"/>
    <d v="2023-07-29T00:00:00"/>
    <d v="2023-08-28T00:00:00"/>
    <s v="USD"/>
    <n v="78273.02"/>
    <d v="2023-09-21T00:00:00"/>
    <s v="PAID"/>
    <s v="Y"/>
    <n v="82.356999999999999"/>
    <n v="78273.02"/>
    <n v="82.22"/>
    <n v="6435607.7044000002"/>
    <n v="0"/>
    <n v="0"/>
    <n v="24"/>
    <x v="0"/>
  </r>
  <r>
    <x v="367"/>
    <s v="C0031"/>
    <x v="3"/>
    <d v="2023-07-29T00:00:00"/>
    <d v="2023-10-27T00:00:00"/>
    <s v="INR"/>
    <n v="5267638"/>
    <d v="2023-10-24T00:00:00"/>
    <s v="PAID"/>
    <s v="N"/>
    <m/>
    <n v="5267638"/>
    <n v="1"/>
    <n v="5267638"/>
    <n v="0"/>
    <n v="0"/>
    <n v="-3"/>
    <x v="0"/>
  </r>
  <r>
    <x v="368"/>
    <s v="C0035"/>
    <x v="0"/>
    <d v="2023-07-29T00:00:00"/>
    <d v="2023-09-12T00:00:00"/>
    <s v="INR"/>
    <n v="2343388"/>
    <d v="2023-09-26T00:00:00"/>
    <s v="PAID"/>
    <s v="N"/>
    <m/>
    <n v="2343388"/>
    <n v="1"/>
    <n v="2343388"/>
    <n v="0"/>
    <n v="0"/>
    <n v="14"/>
    <x v="0"/>
  </r>
  <r>
    <x v="369"/>
    <s v="C0076"/>
    <x v="0"/>
    <d v="2023-07-29T00:00:00"/>
    <d v="2023-09-27T00:00:00"/>
    <s v="INR"/>
    <n v="7053945"/>
    <d v="2023-11-26T00:00:00"/>
    <s v="PAID"/>
    <s v="N"/>
    <m/>
    <n v="7053945"/>
    <n v="1"/>
    <n v="7053945"/>
    <n v="0"/>
    <n v="0"/>
    <n v="60"/>
    <x v="0"/>
  </r>
  <r>
    <x v="370"/>
    <s v="C0200"/>
    <x v="1"/>
    <d v="2023-07-29T00:00:00"/>
    <d v="2023-09-27T00:00:00"/>
    <s v="EUR"/>
    <n v="80211.33"/>
    <d v="2023-10-11T00:00:00"/>
    <s v="PAID"/>
    <s v="N"/>
    <m/>
    <n v="80211.33"/>
    <n v="90.762699999999995"/>
    <n v="7280196.881391"/>
    <n v="0"/>
    <n v="0"/>
    <n v="14"/>
    <x v="0"/>
  </r>
  <r>
    <x v="371"/>
    <s v="C0043"/>
    <x v="1"/>
    <d v="2023-07-31T00:00:00"/>
    <d v="2023-09-14T00:00:00"/>
    <s v="INR"/>
    <n v="18654712"/>
    <d v="2023-09-17T00:00:00"/>
    <s v="PAID"/>
    <s v="N"/>
    <m/>
    <n v="18654712"/>
    <n v="1"/>
    <n v="18654712"/>
    <n v="0"/>
    <n v="0"/>
    <n v="3"/>
    <x v="0"/>
  </r>
  <r>
    <x v="372"/>
    <s v="C0023"/>
    <x v="1"/>
    <d v="2023-08-02T00:00:00"/>
    <d v="2023-09-16T00:00:00"/>
    <s v="INR"/>
    <n v="14640414"/>
    <d v="2023-10-18T00:00:00"/>
    <s v="PAID"/>
    <s v="N"/>
    <m/>
    <n v="14640414"/>
    <n v="1"/>
    <n v="14640414"/>
    <n v="0"/>
    <n v="0"/>
    <n v="32"/>
    <x v="0"/>
  </r>
  <r>
    <x v="373"/>
    <s v="C0047"/>
    <x v="4"/>
    <d v="2023-08-02T00:00:00"/>
    <d v="2023-10-31T00:00:00"/>
    <s v="USD"/>
    <n v="162426.44"/>
    <d v="2023-11-09T00:00:00"/>
    <s v="PAID"/>
    <s v="N"/>
    <m/>
    <n v="162426.44"/>
    <n v="82.58"/>
    <n v="13413175.415200001"/>
    <n v="0"/>
    <n v="0"/>
    <n v="9"/>
    <x v="0"/>
  </r>
  <r>
    <x v="374"/>
    <s v="C0137"/>
    <x v="1"/>
    <d v="2023-08-02T00:00:00"/>
    <d v="2023-10-01T00:00:00"/>
    <s v="USD"/>
    <n v="11334.6"/>
    <d v="2023-11-13T00:00:00"/>
    <s v="PAID"/>
    <s v="N"/>
    <m/>
    <n v="11334.6"/>
    <n v="82.58"/>
    <n v="936011.26800000004"/>
    <n v="0"/>
    <n v="0"/>
    <n v="43"/>
    <x v="0"/>
  </r>
  <r>
    <x v="375"/>
    <s v="C0234"/>
    <x v="0"/>
    <d v="2023-08-02T00:00:00"/>
    <d v="2023-10-01T00:00:00"/>
    <s v="INR"/>
    <n v="9719307"/>
    <d v="2023-10-08T00:00:00"/>
    <s v="PAID"/>
    <s v="N"/>
    <m/>
    <n v="9719307"/>
    <n v="1"/>
    <n v="9719307"/>
    <n v="0"/>
    <n v="0"/>
    <n v="7"/>
    <x v="0"/>
  </r>
  <r>
    <x v="376"/>
    <s v="C0236"/>
    <x v="1"/>
    <d v="2023-08-02T00:00:00"/>
    <d v="2023-10-01T00:00:00"/>
    <s v="EUR"/>
    <n v="174140.33"/>
    <d v="2023-10-21T00:00:00"/>
    <s v="PAID"/>
    <s v="N"/>
    <m/>
    <n v="174140.33"/>
    <n v="90.334299999999999"/>
    <n v="15730844.812318999"/>
    <n v="0"/>
    <n v="0"/>
    <n v="20"/>
    <x v="0"/>
  </r>
  <r>
    <x v="377"/>
    <s v="C0073"/>
    <x v="1"/>
    <d v="2023-08-03T00:00:00"/>
    <d v="2023-09-02T00:00:00"/>
    <s v="USD"/>
    <n v="41497.03"/>
    <d v="2023-09-14T00:00:00"/>
    <s v="PARTIALLY PAID"/>
    <s v="Y"/>
    <n v="82.877899999999997"/>
    <n v="33674.15"/>
    <n v="82.74"/>
    <n v="3433464.2621999998"/>
    <n v="647265.09119999979"/>
    <n v="576"/>
    <n v="12"/>
    <x v="1"/>
  </r>
  <r>
    <x v="378"/>
    <s v="C0228"/>
    <x v="3"/>
    <d v="2023-08-03T00:00:00"/>
    <d v="2023-09-17T00:00:00"/>
    <s v="INR"/>
    <n v="8508020"/>
    <d v="2023-09-22T00:00:00"/>
    <s v="PAID"/>
    <s v="N"/>
    <m/>
    <n v="8508020"/>
    <n v="1"/>
    <n v="8508020"/>
    <n v="0"/>
    <n v="0"/>
    <n v="5"/>
    <x v="0"/>
  </r>
  <r>
    <x v="379"/>
    <s v="C0244"/>
    <x v="3"/>
    <d v="2023-08-04T00:00:00"/>
    <d v="2023-10-03T00:00:00"/>
    <s v="INR"/>
    <n v="29598074"/>
    <d v="2023-10-24T00:00:00"/>
    <s v="PAID"/>
    <s v="N"/>
    <m/>
    <n v="29598074"/>
    <n v="1"/>
    <n v="29598074"/>
    <n v="0"/>
    <n v="0"/>
    <n v="21"/>
    <x v="0"/>
  </r>
  <r>
    <x v="380"/>
    <s v="C0024"/>
    <x v="3"/>
    <d v="2023-08-05T00:00:00"/>
    <d v="2023-09-04T00:00:00"/>
    <s v="INR"/>
    <n v="1409718"/>
    <d v="2023-09-01T00:00:00"/>
    <s v="PAID"/>
    <s v="N"/>
    <m/>
    <n v="1409718"/>
    <n v="1"/>
    <n v="1409718"/>
    <n v="0"/>
    <n v="0"/>
    <n v="-3"/>
    <x v="0"/>
  </r>
  <r>
    <x v="381"/>
    <s v="C0050"/>
    <x v="0"/>
    <d v="2023-08-05T00:00:00"/>
    <d v="2023-10-04T00:00:00"/>
    <s v="INR"/>
    <n v="11770074"/>
    <d v="2023-10-06T00:00:00"/>
    <s v="PAID"/>
    <s v="N"/>
    <m/>
    <n v="11770074"/>
    <n v="1"/>
    <n v="11770074"/>
    <n v="0"/>
    <n v="0"/>
    <n v="2"/>
    <x v="0"/>
  </r>
  <r>
    <x v="382"/>
    <s v="C0057"/>
    <x v="3"/>
    <d v="2023-08-05T00:00:00"/>
    <d v="2023-09-04T00:00:00"/>
    <s v="INR"/>
    <n v="6083661"/>
    <d v="2023-09-03T00:00:00"/>
    <s v="PAID"/>
    <s v="N"/>
    <m/>
    <n v="6083661"/>
    <n v="1"/>
    <n v="6083661"/>
    <n v="0"/>
    <n v="0"/>
    <n v="-1"/>
    <x v="0"/>
  </r>
  <r>
    <x v="383"/>
    <s v="C0109"/>
    <x v="1"/>
    <d v="2023-08-05T00:00:00"/>
    <d v="2023-09-19T00:00:00"/>
    <s v="INR"/>
    <n v="1721320"/>
    <d v="2023-10-12T00:00:00"/>
    <s v="PAID"/>
    <s v="N"/>
    <m/>
    <n v="1721320"/>
    <n v="1"/>
    <n v="1721320"/>
    <n v="0"/>
    <n v="0"/>
    <n v="23"/>
    <x v="0"/>
  </r>
  <r>
    <x v="384"/>
    <s v="C0123"/>
    <x v="1"/>
    <d v="2023-08-05T00:00:00"/>
    <d v="2023-10-04T00:00:00"/>
    <s v="USD"/>
    <n v="204289.13"/>
    <d v="2023-11-09T00:00:00"/>
    <s v="PAID"/>
    <s v="N"/>
    <m/>
    <n v="204289.13"/>
    <n v="82.83"/>
    <n v="16921268.637899999"/>
    <n v="0"/>
    <n v="0"/>
    <n v="36"/>
    <x v="0"/>
  </r>
  <r>
    <x v="385"/>
    <s v="C0201"/>
    <x v="4"/>
    <d v="2023-08-05T00:00:00"/>
    <d v="2023-10-04T00:00:00"/>
    <s v="INR"/>
    <n v="8376952"/>
    <d v="2023-10-25T00:00:00"/>
    <s v="PAID"/>
    <s v="N"/>
    <m/>
    <n v="8376952"/>
    <n v="1"/>
    <n v="8376952"/>
    <n v="0"/>
    <n v="0"/>
    <n v="21"/>
    <x v="0"/>
  </r>
  <r>
    <x v="386"/>
    <s v="C0202"/>
    <x v="3"/>
    <d v="2023-08-05T00:00:00"/>
    <d v="2023-09-19T00:00:00"/>
    <s v="USD"/>
    <n v="64422.080000000002"/>
    <d v="2023-09-19T00:00:00"/>
    <s v="PAID"/>
    <s v="Y"/>
    <n v="83.037099999999995"/>
    <n v="64422.080000000002"/>
    <n v="82.83"/>
    <n v="5336080.8864000002"/>
    <n v="0"/>
    <n v="0"/>
    <n v="0"/>
    <x v="0"/>
  </r>
  <r>
    <x v="387"/>
    <s v="C0234"/>
    <x v="0"/>
    <d v="2023-08-05T00:00:00"/>
    <d v="2023-10-04T00:00:00"/>
    <s v="INR"/>
    <n v="4387366"/>
    <d v="2023-10-08T00:00:00"/>
    <s v="PAID"/>
    <s v="N"/>
    <m/>
    <n v="4387366"/>
    <n v="1"/>
    <n v="4387366"/>
    <n v="0"/>
    <n v="0"/>
    <n v="4"/>
    <x v="0"/>
  </r>
  <r>
    <x v="388"/>
    <s v="C0236"/>
    <x v="3"/>
    <d v="2023-08-05T00:00:00"/>
    <d v="2023-10-04T00:00:00"/>
    <s v="EUR"/>
    <n v="38367.35"/>
    <m/>
    <s v="WRITTEN OFF"/>
    <s v="Y"/>
    <n v="91.593999999999994"/>
    <n v="0"/>
    <n v="91.411199999999994"/>
    <n v="3507205.5043199998"/>
    <n v="0"/>
    <n v="0"/>
    <s v=""/>
    <x v="0"/>
  </r>
  <r>
    <x v="389"/>
    <s v="C0060"/>
    <x v="0"/>
    <d v="2023-08-07T00:00:00"/>
    <d v="2023-09-21T00:00:00"/>
    <s v="INR"/>
    <n v="3994269"/>
    <d v="2023-09-25T00:00:00"/>
    <s v="PAID"/>
    <s v="N"/>
    <m/>
    <n v="3994269"/>
    <n v="1"/>
    <n v="3994269"/>
    <n v="0"/>
    <n v="0"/>
    <n v="4"/>
    <x v="0"/>
  </r>
  <r>
    <x v="390"/>
    <s v="C0198"/>
    <x v="3"/>
    <d v="2023-08-07T00:00:00"/>
    <d v="2023-09-21T00:00:00"/>
    <s v="USD"/>
    <n v="103684.89"/>
    <d v="2023-10-16T00:00:00"/>
    <s v="PAID"/>
    <s v="Y"/>
    <n v="82.956900000000005"/>
    <n v="103684.89"/>
    <n v="82.75"/>
    <n v="8579924.647499999"/>
    <n v="0"/>
    <n v="0"/>
    <n v="25"/>
    <x v="0"/>
  </r>
  <r>
    <x v="391"/>
    <s v="C0010"/>
    <x v="1"/>
    <d v="2023-08-08T00:00:00"/>
    <d v="2023-10-07T00:00:00"/>
    <s v="USD"/>
    <n v="139438"/>
    <d v="2023-10-24T00:00:00"/>
    <s v="PAID"/>
    <s v="Y"/>
    <n v="83.126199999999997"/>
    <n v="139438"/>
    <n v="82.85"/>
    <n v="11552438.299999999"/>
    <n v="0"/>
    <n v="0"/>
    <n v="17"/>
    <x v="0"/>
  </r>
  <r>
    <x v="392"/>
    <s v="C0052"/>
    <x v="0"/>
    <d v="2023-08-08T00:00:00"/>
    <d v="2023-09-07T00:00:00"/>
    <s v="INR"/>
    <n v="6302932"/>
    <d v="2023-09-24T00:00:00"/>
    <s v="PAID"/>
    <s v="N"/>
    <m/>
    <n v="6302932"/>
    <n v="1"/>
    <n v="6302932"/>
    <n v="0"/>
    <n v="0"/>
    <n v="17"/>
    <x v="0"/>
  </r>
  <r>
    <x v="393"/>
    <s v="C0226"/>
    <x v="3"/>
    <d v="2023-08-08T00:00:00"/>
    <d v="2023-09-22T00:00:00"/>
    <s v="INR"/>
    <n v="3093260"/>
    <d v="2023-09-29T00:00:00"/>
    <s v="PAID"/>
    <s v="N"/>
    <m/>
    <n v="3093260"/>
    <n v="1"/>
    <n v="3093260"/>
    <n v="0"/>
    <n v="0"/>
    <n v="7"/>
    <x v="0"/>
  </r>
  <r>
    <x v="394"/>
    <s v="C0244"/>
    <x v="3"/>
    <d v="2023-08-08T00:00:00"/>
    <d v="2023-10-07T00:00:00"/>
    <s v="INR"/>
    <n v="5605635"/>
    <d v="2023-10-28T00:00:00"/>
    <s v="PAID"/>
    <s v="N"/>
    <m/>
    <n v="5605635"/>
    <n v="1"/>
    <n v="5605635"/>
    <n v="0"/>
    <n v="0"/>
    <n v="21"/>
    <x v="0"/>
  </r>
  <r>
    <x v="395"/>
    <s v="C0189"/>
    <x v="1"/>
    <d v="2023-08-09T00:00:00"/>
    <d v="2023-09-23T00:00:00"/>
    <s v="INR"/>
    <n v="3305495"/>
    <d v="2023-10-16T00:00:00"/>
    <s v="PAID"/>
    <s v="N"/>
    <m/>
    <n v="3305495"/>
    <n v="1"/>
    <n v="3305495"/>
    <n v="0"/>
    <n v="0"/>
    <n v="23"/>
    <x v="0"/>
  </r>
  <r>
    <x v="396"/>
    <s v="C0212"/>
    <x v="2"/>
    <d v="2023-08-09T00:00:00"/>
    <d v="2023-11-07T00:00:00"/>
    <s v="INR"/>
    <n v="10005341"/>
    <d v="2023-11-10T00:00:00"/>
    <s v="PAID"/>
    <s v="N"/>
    <m/>
    <n v="10005341"/>
    <n v="1"/>
    <n v="10005341"/>
    <n v="0"/>
    <n v="0"/>
    <n v="3"/>
    <x v="0"/>
  </r>
  <r>
    <x v="397"/>
    <s v="C0080"/>
    <x v="4"/>
    <d v="2023-08-10T00:00:00"/>
    <d v="2023-10-09T00:00:00"/>
    <s v="INR"/>
    <n v="19611255"/>
    <d v="2023-10-14T00:00:00"/>
    <s v="PAID"/>
    <s v="N"/>
    <m/>
    <n v="19611255"/>
    <n v="1"/>
    <n v="19611255"/>
    <n v="0"/>
    <n v="0"/>
    <n v="5"/>
    <x v="0"/>
  </r>
  <r>
    <x v="398"/>
    <s v="C0149"/>
    <x v="3"/>
    <d v="2023-08-10T00:00:00"/>
    <d v="2023-09-24T00:00:00"/>
    <s v="INR"/>
    <n v="13878719"/>
    <d v="2023-09-26T00:00:00"/>
    <s v="PAID"/>
    <s v="N"/>
    <m/>
    <n v="13878719"/>
    <n v="1"/>
    <n v="13878719"/>
    <n v="0"/>
    <n v="0"/>
    <n v="2"/>
    <x v="0"/>
  </r>
  <r>
    <x v="399"/>
    <s v="C0152"/>
    <x v="0"/>
    <d v="2023-08-10T00:00:00"/>
    <d v="2023-10-09T00:00:00"/>
    <s v="INR"/>
    <n v="6020284"/>
    <d v="2023-09-30T00:00:00"/>
    <s v="PAID"/>
    <s v="N"/>
    <m/>
    <n v="6020284"/>
    <n v="1"/>
    <n v="6020284"/>
    <n v="0"/>
    <n v="0"/>
    <n v="-9"/>
    <x v="0"/>
  </r>
  <r>
    <x v="400"/>
    <s v="C0216"/>
    <x v="1"/>
    <d v="2023-08-10T00:00:00"/>
    <d v="2023-10-09T00:00:00"/>
    <s v="USD"/>
    <n v="72012.639999999999"/>
    <d v="2023-10-19T00:00:00"/>
    <s v="PAID"/>
    <s v="N"/>
    <m/>
    <n v="72012.639999999999"/>
    <n v="82.69"/>
    <n v="5954725.2015999993"/>
    <n v="0"/>
    <n v="0"/>
    <n v="10"/>
    <x v="0"/>
  </r>
  <r>
    <x v="401"/>
    <s v="C0242"/>
    <x v="0"/>
    <d v="2023-08-10T00:00:00"/>
    <d v="2023-10-09T00:00:00"/>
    <s v="EUR"/>
    <n v="109544.05"/>
    <d v="2023-10-24T00:00:00"/>
    <s v="PAID"/>
    <s v="Y"/>
    <n v="91.273499999999999"/>
    <n v="109544.05"/>
    <n v="91.091300000000004"/>
    <n v="9978509.9217650015"/>
    <n v="0"/>
    <n v="0"/>
    <n v="15"/>
    <x v="0"/>
  </r>
  <r>
    <x v="402"/>
    <s v="C0006"/>
    <x v="3"/>
    <d v="2023-08-11T00:00:00"/>
    <d v="2023-09-10T00:00:00"/>
    <s v="EUR"/>
    <n v="264902.21000000002"/>
    <d v="2023-09-29T00:00:00"/>
    <s v="PARTIALLY PAID"/>
    <s v="N"/>
    <m/>
    <n v="187045.85"/>
    <n v="90.800700000000006"/>
    <n v="24053306.099547002"/>
    <n v="7069411.9874520022"/>
    <n v="568"/>
    <n v="19"/>
    <x v="1"/>
  </r>
  <r>
    <x v="403"/>
    <s v="C0014"/>
    <x v="3"/>
    <d v="2023-08-11T00:00:00"/>
    <d v="2023-09-25T00:00:00"/>
    <s v="EUR"/>
    <n v="91821.5"/>
    <d v="2023-10-11T00:00:00"/>
    <s v="PAID"/>
    <s v="N"/>
    <m/>
    <n v="91821.5"/>
    <n v="90.800700000000006"/>
    <n v="8337456.4750500005"/>
    <n v="0"/>
    <n v="0"/>
    <n v="16"/>
    <x v="0"/>
  </r>
  <r>
    <x v="404"/>
    <s v="C0019"/>
    <x v="2"/>
    <d v="2023-08-11T00:00:00"/>
    <d v="2023-11-09T00:00:00"/>
    <s v="EUR"/>
    <n v="53661.26"/>
    <d v="2023-12-07T00:00:00"/>
    <s v="PAID"/>
    <s v="N"/>
    <m/>
    <n v="53661.26"/>
    <n v="90.800700000000006"/>
    <n v="4872479.9708820004"/>
    <n v="0"/>
    <n v="0"/>
    <n v="28"/>
    <x v="0"/>
  </r>
  <r>
    <x v="405"/>
    <s v="C0043"/>
    <x v="1"/>
    <d v="2023-08-11T00:00:00"/>
    <d v="2023-09-25T00:00:00"/>
    <s v="INR"/>
    <n v="8975198"/>
    <d v="2023-10-08T00:00:00"/>
    <s v="PAID"/>
    <s v="N"/>
    <m/>
    <n v="8975198"/>
    <n v="1"/>
    <n v="8975198"/>
    <n v="0"/>
    <n v="0"/>
    <n v="13"/>
    <x v="0"/>
  </r>
  <r>
    <x v="406"/>
    <s v="C0213"/>
    <x v="2"/>
    <d v="2023-08-11T00:00:00"/>
    <d v="2023-10-10T00:00:00"/>
    <s v="EUR"/>
    <n v="39831.730000000003"/>
    <d v="2023-10-15T00:00:00"/>
    <s v="PAID"/>
    <s v="N"/>
    <m/>
    <n v="39831.730000000003"/>
    <n v="90.800700000000006"/>
    <n v="3616748.9662110005"/>
    <n v="0"/>
    <n v="0"/>
    <n v="5"/>
    <x v="0"/>
  </r>
  <r>
    <x v="407"/>
    <s v="C0060"/>
    <x v="0"/>
    <d v="2023-08-12T00:00:00"/>
    <d v="2023-09-26T00:00:00"/>
    <s v="INR"/>
    <n v="3039721"/>
    <d v="2023-09-30T00:00:00"/>
    <s v="PAID"/>
    <s v="N"/>
    <m/>
    <n v="3039721"/>
    <n v="1"/>
    <n v="3039721"/>
    <n v="0"/>
    <n v="0"/>
    <n v="4"/>
    <x v="0"/>
  </r>
  <r>
    <x v="408"/>
    <s v="C0148"/>
    <x v="0"/>
    <d v="2023-08-12T00:00:00"/>
    <d v="2023-09-11T00:00:00"/>
    <s v="INR"/>
    <n v="7200764"/>
    <d v="2023-09-14T00:00:00"/>
    <s v="PAID"/>
    <s v="N"/>
    <m/>
    <n v="7200764"/>
    <n v="1"/>
    <n v="7200764"/>
    <n v="0"/>
    <n v="0"/>
    <n v="3"/>
    <x v="0"/>
  </r>
  <r>
    <x v="409"/>
    <s v="C0201"/>
    <x v="4"/>
    <d v="2023-08-12T00:00:00"/>
    <d v="2023-10-11T00:00:00"/>
    <s v="INR"/>
    <n v="6224093"/>
    <d v="2023-11-23T00:00:00"/>
    <s v="PAID"/>
    <s v="N"/>
    <m/>
    <n v="6224093"/>
    <n v="1"/>
    <n v="6224093"/>
    <n v="0"/>
    <n v="0"/>
    <n v="43"/>
    <x v="0"/>
  </r>
  <r>
    <x v="410"/>
    <s v="C0004"/>
    <x v="0"/>
    <d v="2023-08-14T00:00:00"/>
    <d v="2023-09-28T00:00:00"/>
    <s v="INR"/>
    <n v="4224816"/>
    <d v="2023-10-12T00:00:00"/>
    <s v="PAID"/>
    <s v="N"/>
    <m/>
    <n v="4224816"/>
    <n v="1"/>
    <n v="4224816"/>
    <n v="0"/>
    <n v="0"/>
    <n v="14"/>
    <x v="0"/>
  </r>
  <r>
    <x v="411"/>
    <s v="C0058"/>
    <x v="3"/>
    <d v="2023-08-14T00:00:00"/>
    <d v="2023-09-13T00:00:00"/>
    <s v="INR"/>
    <n v="15373091"/>
    <d v="2023-09-24T00:00:00"/>
    <s v="PAID"/>
    <s v="N"/>
    <m/>
    <n v="15373091"/>
    <n v="1"/>
    <n v="15373091"/>
    <n v="0"/>
    <n v="0"/>
    <n v="11"/>
    <x v="0"/>
  </r>
  <r>
    <x v="412"/>
    <s v="C0082"/>
    <x v="4"/>
    <d v="2023-08-14T00:00:00"/>
    <d v="2023-10-13T00:00:00"/>
    <s v="INR"/>
    <n v="12650697"/>
    <d v="2023-10-27T00:00:00"/>
    <s v="PAID"/>
    <s v="N"/>
    <m/>
    <n v="12650697"/>
    <n v="1"/>
    <n v="12650697"/>
    <n v="0"/>
    <n v="0"/>
    <n v="14"/>
    <x v="0"/>
  </r>
  <r>
    <x v="413"/>
    <s v="C0189"/>
    <x v="1"/>
    <d v="2023-08-14T00:00:00"/>
    <d v="2023-09-28T00:00:00"/>
    <s v="INR"/>
    <n v="3924928"/>
    <d v="2023-10-26T00:00:00"/>
    <s v="PAID"/>
    <s v="N"/>
    <m/>
    <n v="3924928"/>
    <n v="1"/>
    <n v="3924928"/>
    <n v="0"/>
    <n v="0"/>
    <n v="28"/>
    <x v="0"/>
  </r>
  <r>
    <x v="414"/>
    <s v="C0195"/>
    <x v="4"/>
    <d v="2023-08-14T00:00:00"/>
    <d v="2023-10-13T00:00:00"/>
    <s v="EUR"/>
    <n v="69623.839999999997"/>
    <m/>
    <s v="PAID"/>
    <s v="N"/>
    <m/>
    <n v="69623.839999999997"/>
    <n v="90.838300000000004"/>
    <n v="6324511.2650720002"/>
    <n v="0"/>
    <n v="0"/>
    <s v=""/>
    <x v="0"/>
  </r>
  <r>
    <x v="415"/>
    <s v="C0248"/>
    <x v="4"/>
    <d v="2023-08-14T00:00:00"/>
    <d v="2023-09-13T00:00:00"/>
    <s v="USD"/>
    <n v="58709.21"/>
    <d v="2023-09-13T00:00:00"/>
    <s v="PAID"/>
    <s v="N"/>
    <m/>
    <n v="58709.21"/>
    <n v="83.17"/>
    <n v="4882844.9956999999"/>
    <n v="0"/>
    <n v="0"/>
    <n v="0"/>
    <x v="0"/>
  </r>
  <r>
    <x v="416"/>
    <s v="C0192"/>
    <x v="4"/>
    <d v="2023-08-15T00:00:00"/>
    <d v="2023-11-13T00:00:00"/>
    <s v="EUR"/>
    <n v="110519.3"/>
    <d v="2023-11-22T00:00:00"/>
    <s v="PAID"/>
    <s v="Y"/>
    <n v="90.908699999999996"/>
    <n v="110519.3"/>
    <n v="90.636799999999994"/>
    <n v="10017115.690239999"/>
    <n v="0"/>
    <n v="0"/>
    <n v="9"/>
    <x v="0"/>
  </r>
  <r>
    <x v="417"/>
    <s v="C0228"/>
    <x v="3"/>
    <d v="2023-08-15T00:00:00"/>
    <d v="2023-09-29T00:00:00"/>
    <s v="INR"/>
    <n v="10695647"/>
    <d v="2023-10-14T00:00:00"/>
    <s v="PAID"/>
    <s v="N"/>
    <m/>
    <n v="10695647"/>
    <n v="1"/>
    <n v="10695647"/>
    <n v="0"/>
    <n v="0"/>
    <n v="15"/>
    <x v="0"/>
  </r>
  <r>
    <x v="418"/>
    <s v="C0069"/>
    <x v="2"/>
    <d v="2023-08-16T00:00:00"/>
    <d v="2023-09-15T00:00:00"/>
    <s v="INR"/>
    <n v="14745191"/>
    <d v="2023-09-19T00:00:00"/>
    <s v="PAID"/>
    <s v="N"/>
    <m/>
    <n v="14745191"/>
    <n v="1"/>
    <n v="14745191"/>
    <n v="0"/>
    <n v="0"/>
    <n v="4"/>
    <x v="0"/>
  </r>
  <r>
    <x v="419"/>
    <s v="C0074"/>
    <x v="0"/>
    <d v="2023-08-16T00:00:00"/>
    <d v="2023-09-15T00:00:00"/>
    <s v="INR"/>
    <n v="3339321"/>
    <d v="2023-09-27T00:00:00"/>
    <s v="PAID"/>
    <s v="N"/>
    <m/>
    <n v="3339321"/>
    <n v="1"/>
    <n v="3339321"/>
    <n v="0"/>
    <n v="0"/>
    <n v="12"/>
    <x v="0"/>
  </r>
  <r>
    <x v="420"/>
    <s v="C0139"/>
    <x v="1"/>
    <d v="2023-08-16T00:00:00"/>
    <d v="2023-10-15T00:00:00"/>
    <s v="USD"/>
    <n v="102460.88"/>
    <d v="2023-12-16T00:00:00"/>
    <s v="PAID"/>
    <s v="N"/>
    <m/>
    <n v="102460.88"/>
    <n v="83.19"/>
    <n v="8523720.6072000004"/>
    <n v="0"/>
    <n v="0"/>
    <n v="62"/>
    <x v="0"/>
  </r>
  <r>
    <x v="421"/>
    <s v="C0191"/>
    <x v="4"/>
    <d v="2023-08-16T00:00:00"/>
    <d v="2023-09-30T00:00:00"/>
    <s v="EUR"/>
    <n v="149478.41"/>
    <d v="2023-10-07T00:00:00"/>
    <s v="PAID"/>
    <s v="Y"/>
    <n v="90.846500000000006"/>
    <n v="149478.41"/>
    <n v="90.710400000000007"/>
    <n v="13559246.362464001"/>
    <n v="0"/>
    <n v="0"/>
    <n v="7"/>
    <x v="0"/>
  </r>
  <r>
    <x v="422"/>
    <s v="C0218"/>
    <x v="3"/>
    <d v="2023-08-17T00:00:00"/>
    <d v="2023-10-01T00:00:00"/>
    <s v="INR"/>
    <n v="5831840"/>
    <d v="2023-10-19T00:00:00"/>
    <s v="PAID"/>
    <s v="N"/>
    <m/>
    <n v="5831840"/>
    <n v="1"/>
    <n v="5831840"/>
    <n v="0"/>
    <n v="0"/>
    <n v="18"/>
    <x v="0"/>
  </r>
  <r>
    <x v="423"/>
    <s v="C0073"/>
    <x v="1"/>
    <d v="2023-08-18T00:00:00"/>
    <d v="2023-09-17T00:00:00"/>
    <s v="USD"/>
    <n v="98987.94"/>
    <d v="2023-09-20T00:00:00"/>
    <s v="PAID"/>
    <s v="N"/>
    <m/>
    <n v="98987.94"/>
    <n v="83.14"/>
    <n v="8229857.3316000002"/>
    <n v="0"/>
    <n v="0"/>
    <n v="3"/>
    <x v="0"/>
  </r>
  <r>
    <x v="424"/>
    <s v="C0123"/>
    <x v="1"/>
    <d v="2023-08-18T00:00:00"/>
    <d v="2023-10-17T00:00:00"/>
    <s v="USD"/>
    <n v="241454.18"/>
    <d v="2023-11-07T00:00:00"/>
    <s v="PAID"/>
    <s v="N"/>
    <m/>
    <n v="241454.18"/>
    <n v="83.14"/>
    <n v="20074500.525199998"/>
    <n v="0"/>
    <n v="0"/>
    <n v="21"/>
    <x v="0"/>
  </r>
  <r>
    <x v="425"/>
    <s v="C0128"/>
    <x v="1"/>
    <d v="2023-08-18T00:00:00"/>
    <d v="2023-09-17T00:00:00"/>
    <s v="INR"/>
    <n v="17297645"/>
    <d v="2023-10-07T00:00:00"/>
    <s v="PAID"/>
    <s v="N"/>
    <m/>
    <n v="17297645"/>
    <n v="1"/>
    <n v="17297645"/>
    <n v="0"/>
    <n v="0"/>
    <n v="20"/>
    <x v="0"/>
  </r>
  <r>
    <x v="426"/>
    <s v="C0228"/>
    <x v="0"/>
    <d v="2023-08-18T00:00:00"/>
    <d v="2023-10-02T00:00:00"/>
    <s v="INR"/>
    <n v="600000"/>
    <d v="2023-10-10T00:00:00"/>
    <s v="PAID"/>
    <s v="N"/>
    <m/>
    <n v="600000"/>
    <n v="1"/>
    <n v="600000"/>
    <n v="0"/>
    <n v="0"/>
    <n v="8"/>
    <x v="0"/>
  </r>
  <r>
    <x v="427"/>
    <s v="C0238"/>
    <x v="2"/>
    <d v="2023-08-18T00:00:00"/>
    <d v="2023-10-17T00:00:00"/>
    <s v="INR"/>
    <n v="4651784"/>
    <d v="2023-10-19T00:00:00"/>
    <s v="PAID"/>
    <s v="N"/>
    <m/>
    <n v="4651784"/>
    <n v="1"/>
    <n v="4651784"/>
    <n v="0"/>
    <n v="0"/>
    <n v="2"/>
    <x v="0"/>
  </r>
  <r>
    <x v="428"/>
    <s v="C0075"/>
    <x v="1"/>
    <d v="2023-08-19T00:00:00"/>
    <d v="2023-09-18T00:00:00"/>
    <s v="INR"/>
    <n v="2751993"/>
    <d v="2023-09-22T00:00:00"/>
    <s v="PAID"/>
    <s v="N"/>
    <m/>
    <n v="2751993"/>
    <n v="1"/>
    <n v="2751993"/>
    <n v="0"/>
    <n v="0"/>
    <n v="4"/>
    <x v="0"/>
  </r>
  <r>
    <x v="429"/>
    <s v="C0107"/>
    <x v="1"/>
    <d v="2023-08-19T00:00:00"/>
    <d v="2023-09-18T00:00:00"/>
    <s v="INR"/>
    <n v="5368146"/>
    <d v="2023-10-29T00:00:00"/>
    <s v="WRITTEN OFF"/>
    <s v="N"/>
    <m/>
    <n v="1603737.72"/>
    <n v="1"/>
    <n v="5368146"/>
    <n v="0"/>
    <n v="0"/>
    <n v="41"/>
    <x v="0"/>
  </r>
  <r>
    <x v="430"/>
    <s v="C0228"/>
    <x v="0"/>
    <d v="2023-08-19T00:00:00"/>
    <d v="2023-10-03T00:00:00"/>
    <s v="INR"/>
    <n v="4555992"/>
    <d v="2023-10-09T00:00:00"/>
    <s v="PAID"/>
    <s v="N"/>
    <m/>
    <n v="4555992"/>
    <n v="1"/>
    <n v="4555992"/>
    <n v="0"/>
    <n v="0"/>
    <n v="6"/>
    <x v="0"/>
  </r>
  <r>
    <x v="431"/>
    <s v="C0091"/>
    <x v="2"/>
    <d v="2023-08-21T00:00:00"/>
    <d v="2023-10-20T00:00:00"/>
    <s v="USD"/>
    <n v="12501.94"/>
    <d v="2023-11-02T00:00:00"/>
    <s v="PAID"/>
    <s v="Y"/>
    <n v="83.376999999999995"/>
    <n v="12501.94"/>
    <n v="83.1"/>
    <n v="1038911.2139999999"/>
    <n v="0"/>
    <n v="0"/>
    <n v="13"/>
    <x v="0"/>
  </r>
  <r>
    <x v="432"/>
    <s v="C0098"/>
    <x v="1"/>
    <d v="2023-08-21T00:00:00"/>
    <d v="2023-11-19T00:00:00"/>
    <s v="INR"/>
    <n v="2264222"/>
    <d v="2023-12-04T00:00:00"/>
    <s v="PAID"/>
    <s v="N"/>
    <m/>
    <n v="2264222"/>
    <n v="1"/>
    <n v="2264222"/>
    <n v="0"/>
    <n v="0"/>
    <n v="15"/>
    <x v="0"/>
  </r>
  <r>
    <x v="433"/>
    <s v="C0135"/>
    <x v="1"/>
    <d v="2023-08-21T00:00:00"/>
    <d v="2023-10-20T00:00:00"/>
    <s v="EUR"/>
    <n v="105954.39"/>
    <d v="2023-11-08T00:00:00"/>
    <s v="PAID"/>
    <s v="N"/>
    <m/>
    <n v="105954.39"/>
    <n v="90.479299999999995"/>
    <n v="9586679.0391269997"/>
    <n v="0"/>
    <n v="0"/>
    <n v="19"/>
    <x v="0"/>
  </r>
  <r>
    <x v="434"/>
    <s v="C0005"/>
    <x v="2"/>
    <d v="2023-08-22T00:00:00"/>
    <d v="2023-09-21T00:00:00"/>
    <s v="INR"/>
    <n v="20918941"/>
    <d v="2023-09-24T00:00:00"/>
    <s v="PARTIALLY PAID"/>
    <s v="N"/>
    <m/>
    <n v="11048579.199999999"/>
    <n v="1"/>
    <n v="20918941"/>
    <n v="9870361.8000000007"/>
    <n v="557"/>
    <n v="3"/>
    <x v="1"/>
  </r>
  <r>
    <x v="435"/>
    <s v="C0069"/>
    <x v="2"/>
    <d v="2023-08-22T00:00:00"/>
    <d v="2023-09-21T00:00:00"/>
    <s v="INR"/>
    <n v="15878330"/>
    <d v="2023-09-28T00:00:00"/>
    <s v="PAID"/>
    <s v="N"/>
    <m/>
    <n v="15878330"/>
    <n v="1"/>
    <n v="15878330"/>
    <n v="0"/>
    <n v="0"/>
    <n v="7"/>
    <x v="0"/>
  </r>
  <r>
    <x v="436"/>
    <s v="C0073"/>
    <x v="1"/>
    <d v="2023-08-22T00:00:00"/>
    <d v="2023-09-21T00:00:00"/>
    <s v="USD"/>
    <n v="67873.75"/>
    <d v="2023-12-24T00:00:00"/>
    <s v="PAID"/>
    <s v="Y"/>
    <n v="83.078199999999995"/>
    <n v="67873.75"/>
    <n v="82.94"/>
    <n v="5629448.8250000002"/>
    <n v="0"/>
    <n v="0"/>
    <n v="94"/>
    <x v="0"/>
  </r>
  <r>
    <x v="437"/>
    <s v="C0075"/>
    <x v="1"/>
    <d v="2023-08-22T00:00:00"/>
    <d v="2023-09-21T00:00:00"/>
    <s v="INR"/>
    <n v="14482130"/>
    <d v="2023-10-14T00:00:00"/>
    <s v="PAID"/>
    <s v="N"/>
    <m/>
    <n v="14482130"/>
    <n v="1"/>
    <n v="14482130"/>
    <n v="0"/>
    <n v="0"/>
    <n v="23"/>
    <x v="0"/>
  </r>
  <r>
    <x v="438"/>
    <s v="C0153"/>
    <x v="4"/>
    <d v="2023-08-22T00:00:00"/>
    <d v="2023-11-20T00:00:00"/>
    <s v="INR"/>
    <n v="12034326"/>
    <d v="2023-11-25T00:00:00"/>
    <s v="PAID"/>
    <s v="N"/>
    <m/>
    <n v="12034326"/>
    <n v="1"/>
    <n v="12034326"/>
    <n v="0"/>
    <n v="0"/>
    <n v="5"/>
    <x v="0"/>
  </r>
  <r>
    <x v="439"/>
    <s v="C0171"/>
    <x v="3"/>
    <d v="2023-08-22T00:00:00"/>
    <d v="2023-11-20T00:00:00"/>
    <s v="USD"/>
    <n v="64178.720000000001"/>
    <d v="2023-12-07T00:00:00"/>
    <s v="PAID"/>
    <s v="Y"/>
    <n v="83.354699999999994"/>
    <n v="64178.720000000001"/>
    <n v="82.94"/>
    <n v="5322983.0367999999"/>
    <n v="0"/>
    <n v="0"/>
    <n v="17"/>
    <x v="0"/>
  </r>
  <r>
    <x v="440"/>
    <s v="C0212"/>
    <x v="2"/>
    <d v="2023-08-22T00:00:00"/>
    <d v="2023-11-20T00:00:00"/>
    <s v="INR"/>
    <n v="11133714"/>
    <d v="2023-11-19T00:00:00"/>
    <s v="PAID"/>
    <s v="N"/>
    <m/>
    <n v="11133714"/>
    <n v="1"/>
    <n v="11133714"/>
    <n v="0"/>
    <n v="0"/>
    <n v="-1"/>
    <x v="0"/>
  </r>
  <r>
    <x v="441"/>
    <s v="C0102"/>
    <x v="4"/>
    <d v="2023-08-23T00:00:00"/>
    <d v="2023-10-22T00:00:00"/>
    <s v="USD"/>
    <n v="163717.18"/>
    <d v="2024-01-08T00:00:00"/>
    <s v="PAID"/>
    <s v="Y"/>
    <n v="82.965599999999995"/>
    <n v="163717.18"/>
    <n v="82.69"/>
    <n v="13537773.6142"/>
    <n v="0"/>
    <n v="0"/>
    <n v="78"/>
    <x v="0"/>
  </r>
  <r>
    <x v="442"/>
    <s v="C0144"/>
    <x v="0"/>
    <d v="2023-08-23T00:00:00"/>
    <d v="2023-10-07T00:00:00"/>
    <s v="INR"/>
    <n v="4269083"/>
    <d v="2023-10-03T00:00:00"/>
    <s v="PAID"/>
    <s v="N"/>
    <m/>
    <n v="4269083"/>
    <n v="1"/>
    <n v="4269083"/>
    <n v="0"/>
    <n v="0"/>
    <n v="-4"/>
    <x v="0"/>
  </r>
  <r>
    <x v="443"/>
    <s v="C0057"/>
    <x v="3"/>
    <d v="2023-08-24T00:00:00"/>
    <d v="2023-09-23T00:00:00"/>
    <s v="INR"/>
    <n v="15258571"/>
    <d v="2023-09-25T00:00:00"/>
    <s v="PAID"/>
    <s v="N"/>
    <m/>
    <n v="15258571"/>
    <n v="1"/>
    <n v="15258571"/>
    <n v="0"/>
    <n v="0"/>
    <n v="2"/>
    <x v="0"/>
  </r>
  <r>
    <x v="444"/>
    <s v="C0069"/>
    <x v="2"/>
    <d v="2023-08-25T00:00:00"/>
    <d v="2023-09-24T00:00:00"/>
    <s v="INR"/>
    <n v="3246775"/>
    <d v="2023-10-08T00:00:00"/>
    <s v="PAID"/>
    <s v="N"/>
    <m/>
    <n v="3246775"/>
    <n v="1"/>
    <n v="3246775"/>
    <n v="0"/>
    <n v="0"/>
    <n v="14"/>
    <x v="0"/>
  </r>
  <r>
    <x v="445"/>
    <s v="C0194"/>
    <x v="3"/>
    <d v="2023-08-25T00:00:00"/>
    <d v="2023-10-24T00:00:00"/>
    <s v="INR"/>
    <n v="2319104"/>
    <d v="2023-10-28T00:00:00"/>
    <s v="PAID"/>
    <s v="N"/>
    <m/>
    <n v="2319104"/>
    <n v="1"/>
    <n v="2319104"/>
    <n v="0"/>
    <n v="0"/>
    <n v="4"/>
    <x v="0"/>
  </r>
  <r>
    <x v="446"/>
    <s v="C0244"/>
    <x v="3"/>
    <d v="2023-08-25T00:00:00"/>
    <d v="2023-10-24T00:00:00"/>
    <s v="INR"/>
    <n v="17489769"/>
    <d v="2023-11-16T00:00:00"/>
    <s v="PAID"/>
    <s v="N"/>
    <m/>
    <n v="17489769"/>
    <n v="1"/>
    <n v="17489769"/>
    <n v="0"/>
    <n v="0"/>
    <n v="23"/>
    <x v="0"/>
  </r>
  <r>
    <x v="447"/>
    <s v="C0051"/>
    <x v="2"/>
    <d v="2023-08-26T00:00:00"/>
    <d v="2023-10-25T00:00:00"/>
    <s v="EUR"/>
    <n v="14290.6"/>
    <d v="2023-11-07T00:00:00"/>
    <s v="PAID"/>
    <s v="Y"/>
    <n v="89.322100000000006"/>
    <n v="14290.6"/>
    <n v="89.143799999999999"/>
    <n v="1273918.3882800001"/>
    <n v="0"/>
    <n v="0"/>
    <n v="13"/>
    <x v="0"/>
  </r>
  <r>
    <x v="448"/>
    <s v="C0057"/>
    <x v="3"/>
    <d v="2023-08-26T00:00:00"/>
    <d v="2023-09-25T00:00:00"/>
    <s v="INR"/>
    <n v="31667859"/>
    <d v="2023-09-28T00:00:00"/>
    <s v="PAID"/>
    <s v="N"/>
    <m/>
    <n v="31667859"/>
    <n v="1"/>
    <n v="31667859"/>
    <n v="0"/>
    <n v="0"/>
    <n v="3"/>
    <x v="0"/>
  </r>
  <r>
    <x v="449"/>
    <s v="C0193"/>
    <x v="3"/>
    <d v="2023-08-26T00:00:00"/>
    <d v="2023-10-10T00:00:00"/>
    <s v="EUR"/>
    <n v="29348.43"/>
    <d v="2023-10-23T00:00:00"/>
    <s v="PAID"/>
    <s v="N"/>
    <m/>
    <n v="29348.43"/>
    <n v="89.143799999999999"/>
    <n v="2616230.5742339999"/>
    <n v="0"/>
    <n v="0"/>
    <n v="13"/>
    <x v="0"/>
  </r>
  <r>
    <x v="450"/>
    <s v="C0234"/>
    <x v="0"/>
    <d v="2023-08-26T00:00:00"/>
    <d v="2023-10-25T00:00:00"/>
    <s v="INR"/>
    <n v="4703698"/>
    <d v="2023-11-02T00:00:00"/>
    <s v="PAID"/>
    <s v="N"/>
    <m/>
    <n v="4703698"/>
    <n v="1"/>
    <n v="4703698"/>
    <n v="0"/>
    <n v="0"/>
    <n v="8"/>
    <x v="0"/>
  </r>
  <r>
    <x v="451"/>
    <s v="C0049"/>
    <x v="3"/>
    <d v="2023-08-28T00:00:00"/>
    <d v="2023-09-27T00:00:00"/>
    <s v="INR"/>
    <n v="12492884"/>
    <d v="2023-09-26T00:00:00"/>
    <s v="PAID"/>
    <s v="N"/>
    <m/>
    <n v="12492884"/>
    <n v="1"/>
    <n v="12492884"/>
    <n v="0"/>
    <n v="0"/>
    <n v="-1"/>
    <x v="0"/>
  </r>
  <r>
    <x v="452"/>
    <s v="C0171"/>
    <x v="3"/>
    <d v="2023-08-28T00:00:00"/>
    <d v="2023-11-26T00:00:00"/>
    <s v="USD"/>
    <n v="86376.47"/>
    <d v="2023-12-13T00:00:00"/>
    <s v="PAID"/>
    <s v="N"/>
    <m/>
    <n v="86376.47"/>
    <n v="82.6"/>
    <n v="7134696.4219999993"/>
    <n v="0"/>
    <n v="0"/>
    <n v="17"/>
    <x v="0"/>
  </r>
  <r>
    <x v="453"/>
    <s v="C0007"/>
    <x v="3"/>
    <d v="2023-08-29T00:00:00"/>
    <d v="2023-09-28T00:00:00"/>
    <s v="USD"/>
    <n v="48451.4"/>
    <d v="2023-10-17T00:00:00"/>
    <s v="PAID"/>
    <s v="N"/>
    <m/>
    <n v="48451.4"/>
    <n v="82.7"/>
    <n v="4006930.7800000003"/>
    <n v="0"/>
    <n v="0"/>
    <n v="19"/>
    <x v="0"/>
  </r>
  <r>
    <x v="454"/>
    <s v="C0009"/>
    <x v="3"/>
    <d v="2023-08-29T00:00:00"/>
    <d v="2023-10-28T00:00:00"/>
    <s v="INR"/>
    <n v="4295877"/>
    <d v="2023-10-30T00:00:00"/>
    <s v="PAID"/>
    <s v="N"/>
    <m/>
    <n v="4295877"/>
    <n v="1"/>
    <n v="4295877"/>
    <n v="0"/>
    <n v="0"/>
    <n v="2"/>
    <x v="0"/>
  </r>
  <r>
    <x v="455"/>
    <s v="C0052"/>
    <x v="0"/>
    <d v="2023-08-29T00:00:00"/>
    <d v="2023-09-28T00:00:00"/>
    <s v="INR"/>
    <n v="7562142"/>
    <d v="2023-10-15T00:00:00"/>
    <s v="PAID"/>
    <s v="N"/>
    <m/>
    <n v="7562142"/>
    <n v="1"/>
    <n v="7562142"/>
    <n v="0"/>
    <n v="0"/>
    <n v="17"/>
    <x v="0"/>
  </r>
  <r>
    <x v="456"/>
    <s v="C0111"/>
    <x v="3"/>
    <d v="2023-08-29T00:00:00"/>
    <d v="2023-11-27T00:00:00"/>
    <s v="EUR"/>
    <n v="98818.07"/>
    <d v="2023-12-04T00:00:00"/>
    <s v="PAID"/>
    <s v="Y"/>
    <n v="90.007000000000005"/>
    <n v="98818.07"/>
    <n v="89.737799999999993"/>
    <n v="8867716.2020459995"/>
    <n v="0"/>
    <n v="0"/>
    <n v="7"/>
    <x v="0"/>
  </r>
  <r>
    <x v="457"/>
    <s v="C0111"/>
    <x v="3"/>
    <d v="2023-08-30T00:00:00"/>
    <d v="2023-11-28T00:00:00"/>
    <s v="EUR"/>
    <n v="43015.29"/>
    <d v="2023-12-26T00:00:00"/>
    <s v="PARTIALLY PAID"/>
    <s v="Y"/>
    <n v="90.662000000000006"/>
    <n v="38181.17"/>
    <n v="90.390799999999999"/>
    <n v="3888186.4753319998"/>
    <n v="436959.97409600025"/>
    <n v="489"/>
    <n v="28"/>
    <x v="1"/>
  </r>
  <r>
    <x v="458"/>
    <s v="C0049"/>
    <x v="3"/>
    <d v="2023-08-31T00:00:00"/>
    <d v="2023-09-30T00:00:00"/>
    <s v="INR"/>
    <n v="10266530"/>
    <d v="2023-09-30T00:00:00"/>
    <s v="PAID"/>
    <s v="N"/>
    <m/>
    <n v="10266530"/>
    <n v="1"/>
    <n v="10266530"/>
    <n v="0"/>
    <n v="0"/>
    <n v="0"/>
    <x v="0"/>
  </r>
  <r>
    <x v="459"/>
    <s v="C0180"/>
    <x v="1"/>
    <d v="2023-08-31T00:00:00"/>
    <d v="2023-10-15T00:00:00"/>
    <s v="USD"/>
    <n v="59509.4"/>
    <d v="2023-12-18T00:00:00"/>
    <s v="PAID"/>
    <s v="N"/>
    <m/>
    <n v="59509.4"/>
    <n v="82.78"/>
    <n v="4926188.1320000002"/>
    <n v="0"/>
    <n v="0"/>
    <n v="64"/>
    <x v="0"/>
  </r>
  <r>
    <x v="460"/>
    <s v="C0025"/>
    <x v="3"/>
    <d v="2023-09-01T00:00:00"/>
    <d v="2023-10-16T00:00:00"/>
    <s v="USD"/>
    <n v="52026.86"/>
    <d v="2023-11-15T00:00:00"/>
    <s v="PAID"/>
    <s v="Y"/>
    <n v="82.896699999999996"/>
    <n v="52026.86"/>
    <n v="82.69"/>
    <n v="4302101.0533999996"/>
    <n v="0"/>
    <n v="0"/>
    <n v="30"/>
    <x v="0"/>
  </r>
  <r>
    <x v="461"/>
    <s v="C0218"/>
    <x v="3"/>
    <d v="2023-09-01T00:00:00"/>
    <d v="2023-10-16T00:00:00"/>
    <s v="INR"/>
    <n v="13570987"/>
    <d v="2023-11-16T00:00:00"/>
    <s v="PAID"/>
    <s v="N"/>
    <m/>
    <n v="13570987"/>
    <n v="1"/>
    <n v="13570987"/>
    <n v="0"/>
    <n v="0"/>
    <n v="31"/>
    <x v="0"/>
  </r>
  <r>
    <x v="462"/>
    <s v="C0241"/>
    <x v="3"/>
    <d v="2023-09-01T00:00:00"/>
    <d v="2023-10-31T00:00:00"/>
    <s v="EUR"/>
    <n v="74155.59"/>
    <m/>
    <s v="PAID"/>
    <s v="Y"/>
    <n v="89.376099999999994"/>
    <n v="74155.59"/>
    <n v="89.197699999999998"/>
    <n v="6614508.0701429993"/>
    <n v="0"/>
    <n v="0"/>
    <s v=""/>
    <x v="0"/>
  </r>
  <r>
    <x v="463"/>
    <s v="C0019"/>
    <x v="2"/>
    <d v="2023-09-02T00:00:00"/>
    <d v="2023-12-01T00:00:00"/>
    <s v="EUR"/>
    <n v="31033.79"/>
    <d v="2023-12-24T00:00:00"/>
    <s v="PAID"/>
    <s v="Y"/>
    <n v="89.465299999999999"/>
    <n v="31033.79"/>
    <n v="89.197699999999998"/>
    <n v="2768142.690283"/>
    <n v="0"/>
    <n v="0"/>
    <n v="23"/>
    <x v="0"/>
  </r>
  <r>
    <x v="464"/>
    <s v="C0025"/>
    <x v="3"/>
    <d v="2023-09-02T00:00:00"/>
    <d v="2023-10-17T00:00:00"/>
    <s v="USD"/>
    <n v="69374.210000000006"/>
    <d v="2023-11-05T00:00:00"/>
    <s v="PAID"/>
    <s v="N"/>
    <m/>
    <n v="69374.210000000006"/>
    <n v="82.69"/>
    <n v="5736553.4249"/>
    <n v="0"/>
    <n v="0"/>
    <n v="19"/>
    <x v="0"/>
  </r>
  <r>
    <x v="465"/>
    <s v="C0072"/>
    <x v="4"/>
    <d v="2023-09-02T00:00:00"/>
    <d v="2023-12-01T00:00:00"/>
    <s v="EUR"/>
    <n v="157382.73000000001"/>
    <d v="2023-12-10T00:00:00"/>
    <s v="PAID"/>
    <s v="N"/>
    <m/>
    <n v="157382.73000000001"/>
    <n v="89.197699999999998"/>
    <n v="14038177.535721"/>
    <n v="0"/>
    <n v="0"/>
    <n v="9"/>
    <x v="0"/>
  </r>
  <r>
    <x v="466"/>
    <s v="C0073"/>
    <x v="1"/>
    <d v="2023-09-02T00:00:00"/>
    <d v="2023-10-02T00:00:00"/>
    <s v="USD"/>
    <n v="74577.22"/>
    <d v="2023-10-26T00:00:00"/>
    <s v="PAID"/>
    <s v="N"/>
    <m/>
    <n v="74577.22"/>
    <n v="82.69"/>
    <n v="6166790.3218"/>
    <n v="0"/>
    <n v="0"/>
    <n v="24"/>
    <x v="0"/>
  </r>
  <r>
    <x v="467"/>
    <s v="C0084"/>
    <x v="3"/>
    <d v="2023-09-02T00:00:00"/>
    <d v="2023-10-17T00:00:00"/>
    <s v="INR"/>
    <n v="2910435"/>
    <d v="2023-10-14T00:00:00"/>
    <s v="PARTIALLY PAID"/>
    <s v="N"/>
    <m/>
    <n v="2189802.2200000002"/>
    <n v="1"/>
    <n v="2910435"/>
    <n v="720632.7799999998"/>
    <n v="531"/>
    <n v="-3"/>
    <x v="1"/>
  </r>
  <r>
    <x v="468"/>
    <s v="C0133"/>
    <x v="1"/>
    <d v="2023-09-02T00:00:00"/>
    <d v="2023-12-01T00:00:00"/>
    <s v="USD"/>
    <n v="118444.05"/>
    <d v="2023-12-18T00:00:00"/>
    <s v="PAID"/>
    <s v="N"/>
    <m/>
    <n v="118444.05"/>
    <n v="82.69"/>
    <n v="9794138.4945"/>
    <n v="0"/>
    <n v="0"/>
    <n v="17"/>
    <x v="0"/>
  </r>
  <r>
    <x v="469"/>
    <s v="C0173"/>
    <x v="4"/>
    <d v="2023-09-02T00:00:00"/>
    <d v="2023-11-01T00:00:00"/>
    <s v="EUR"/>
    <n v="63491.77"/>
    <d v="2023-11-25T00:00:00"/>
    <s v="PAID"/>
    <s v="N"/>
    <m/>
    <n v="63491.77"/>
    <n v="89.197699999999998"/>
    <n v="5663319.8529289998"/>
    <n v="0"/>
    <n v="0"/>
    <n v="24"/>
    <x v="0"/>
  </r>
  <r>
    <x v="470"/>
    <s v="C0228"/>
    <x v="3"/>
    <d v="2023-09-02T00:00:00"/>
    <d v="2023-10-17T00:00:00"/>
    <s v="INR"/>
    <n v="3025737"/>
    <d v="2023-10-23T00:00:00"/>
    <s v="PAID"/>
    <s v="N"/>
    <m/>
    <n v="3025737"/>
    <n v="1"/>
    <n v="3025737"/>
    <n v="0"/>
    <n v="0"/>
    <n v="6"/>
    <x v="0"/>
  </r>
  <r>
    <x v="471"/>
    <s v="C0230"/>
    <x v="0"/>
    <d v="2023-09-02T00:00:00"/>
    <d v="2023-10-02T00:00:00"/>
    <s v="INR"/>
    <n v="2239461"/>
    <d v="2023-10-08T00:00:00"/>
    <s v="PAID"/>
    <s v="N"/>
    <m/>
    <n v="2239461"/>
    <n v="1"/>
    <n v="2239461"/>
    <n v="0"/>
    <n v="0"/>
    <n v="6"/>
    <x v="0"/>
  </r>
  <r>
    <x v="472"/>
    <s v="C0019"/>
    <x v="2"/>
    <d v="2023-09-04T00:00:00"/>
    <d v="2023-12-03T00:00:00"/>
    <s v="EUR"/>
    <n v="144363.03"/>
    <d v="2023-12-15T00:00:00"/>
    <s v="PAID"/>
    <s v="Y"/>
    <n v="89.465299999999999"/>
    <n v="144363.03"/>
    <n v="89.197699999999998"/>
    <n v="12876850.241031"/>
    <n v="0"/>
    <n v="0"/>
    <n v="12"/>
    <x v="0"/>
  </r>
  <r>
    <x v="473"/>
    <s v="C0033"/>
    <x v="2"/>
    <d v="2023-09-04T00:00:00"/>
    <d v="2023-12-03T00:00:00"/>
    <s v="USD"/>
    <n v="48221.32"/>
    <d v="2024-01-20T00:00:00"/>
    <s v="PAID"/>
    <s v="N"/>
    <m/>
    <n v="48221.32"/>
    <n v="82.69"/>
    <n v="3987420.9507999998"/>
    <n v="0"/>
    <n v="0"/>
    <n v="48"/>
    <x v="0"/>
  </r>
  <r>
    <x v="474"/>
    <s v="C0058"/>
    <x v="3"/>
    <d v="2023-09-04T00:00:00"/>
    <d v="2023-10-04T00:00:00"/>
    <s v="INR"/>
    <n v="12324948"/>
    <d v="2023-10-14T00:00:00"/>
    <s v="PAID"/>
    <s v="N"/>
    <m/>
    <n v="12324948"/>
    <n v="1"/>
    <n v="12324948"/>
    <n v="0"/>
    <n v="0"/>
    <n v="10"/>
    <x v="0"/>
  </r>
  <r>
    <x v="475"/>
    <s v="C0075"/>
    <x v="1"/>
    <d v="2023-09-04T00:00:00"/>
    <d v="2023-10-04T00:00:00"/>
    <s v="INR"/>
    <n v="1170936"/>
    <d v="2023-10-20T00:00:00"/>
    <s v="PAID"/>
    <s v="N"/>
    <m/>
    <n v="1170936"/>
    <n v="1"/>
    <n v="1170936"/>
    <n v="0"/>
    <n v="0"/>
    <n v="16"/>
    <x v="0"/>
  </r>
  <r>
    <x v="476"/>
    <s v="C0080"/>
    <x v="0"/>
    <d v="2023-09-04T00:00:00"/>
    <d v="2023-11-03T00:00:00"/>
    <s v="INR"/>
    <n v="7043539"/>
    <d v="2023-11-20T00:00:00"/>
    <s v="PAID"/>
    <s v="N"/>
    <m/>
    <n v="7043539"/>
    <n v="1"/>
    <n v="7043539"/>
    <n v="0"/>
    <n v="0"/>
    <n v="17"/>
    <x v="0"/>
  </r>
  <r>
    <x v="477"/>
    <s v="C0131"/>
    <x v="1"/>
    <d v="2023-09-04T00:00:00"/>
    <d v="2023-12-03T00:00:00"/>
    <s v="INR"/>
    <n v="3569459"/>
    <d v="2023-12-05T00:00:00"/>
    <s v="PAID"/>
    <s v="N"/>
    <m/>
    <n v="3569459"/>
    <n v="1"/>
    <n v="3569459"/>
    <n v="0"/>
    <n v="0"/>
    <n v="2"/>
    <x v="0"/>
  </r>
  <r>
    <x v="478"/>
    <s v="C0242"/>
    <x v="0"/>
    <d v="2023-09-04T00:00:00"/>
    <d v="2023-11-03T00:00:00"/>
    <s v="EUR"/>
    <n v="10150.07"/>
    <d v="2023-11-14T00:00:00"/>
    <s v="PAID"/>
    <s v="N"/>
    <m/>
    <n v="10150.07"/>
    <n v="89.197699999999998"/>
    <n v="905362.89883899991"/>
    <n v="0"/>
    <n v="0"/>
    <n v="11"/>
    <x v="0"/>
  </r>
  <r>
    <x v="479"/>
    <s v="C0053"/>
    <x v="2"/>
    <d v="2023-09-05T00:00:00"/>
    <d v="2023-11-04T00:00:00"/>
    <s v="EUR"/>
    <n v="58861.94"/>
    <d v="2023-11-19T00:00:00"/>
    <s v="PAID"/>
    <s v="Y"/>
    <n v="89.244399999999999"/>
    <n v="58861.94"/>
    <n v="89.066299999999998"/>
    <n v="5242615.2066219999"/>
    <n v="0"/>
    <n v="0"/>
    <n v="15"/>
    <x v="0"/>
  </r>
  <r>
    <x v="480"/>
    <s v="C0129"/>
    <x v="2"/>
    <d v="2023-09-05T00:00:00"/>
    <d v="2023-11-04T00:00:00"/>
    <s v="EUR"/>
    <n v="482733.32"/>
    <d v="2023-11-12T00:00:00"/>
    <s v="PAID"/>
    <s v="Y"/>
    <n v="89.244399999999999"/>
    <n v="482733.32"/>
    <n v="89.066299999999998"/>
    <n v="42995270.699115999"/>
    <n v="0"/>
    <n v="0"/>
    <n v="8"/>
    <x v="0"/>
  </r>
  <r>
    <x v="481"/>
    <s v="C0173"/>
    <x v="4"/>
    <d v="2023-09-05T00:00:00"/>
    <d v="2023-11-04T00:00:00"/>
    <s v="EUR"/>
    <n v="278139.07"/>
    <d v="2023-11-25T00:00:00"/>
    <s v="PAID"/>
    <s v="Y"/>
    <n v="89.244399999999999"/>
    <n v="278139.07"/>
    <n v="89.066299999999998"/>
    <n v="24772817.850341"/>
    <n v="0"/>
    <n v="0"/>
    <n v="21"/>
    <x v="0"/>
  </r>
  <r>
    <x v="482"/>
    <s v="C0095"/>
    <x v="1"/>
    <d v="2023-09-06T00:00:00"/>
    <d v="2023-10-21T00:00:00"/>
    <s v="INR"/>
    <n v="2267829"/>
    <d v="2023-11-01T00:00:00"/>
    <s v="PAID"/>
    <s v="N"/>
    <m/>
    <n v="2267829"/>
    <n v="1"/>
    <n v="2267829"/>
    <n v="0"/>
    <n v="0"/>
    <n v="11"/>
    <x v="0"/>
  </r>
  <r>
    <x v="483"/>
    <s v="C0168"/>
    <x v="3"/>
    <d v="2023-09-06T00:00:00"/>
    <d v="2023-11-05T00:00:00"/>
    <s v="INR"/>
    <n v="9391176"/>
    <d v="2023-11-10T00:00:00"/>
    <s v="PAID"/>
    <s v="N"/>
    <m/>
    <n v="9391176"/>
    <n v="1"/>
    <n v="9391176"/>
    <n v="0"/>
    <n v="0"/>
    <n v="5"/>
    <x v="0"/>
  </r>
  <r>
    <x v="484"/>
    <s v="C0244"/>
    <x v="3"/>
    <d v="2023-09-06T00:00:00"/>
    <d v="2023-11-05T00:00:00"/>
    <s v="INR"/>
    <n v="8160072"/>
    <d v="2023-11-27T00:00:00"/>
    <s v="PAID"/>
    <s v="N"/>
    <m/>
    <n v="8160072"/>
    <n v="1"/>
    <n v="8160072"/>
    <n v="0"/>
    <n v="0"/>
    <n v="22"/>
    <x v="0"/>
  </r>
  <r>
    <x v="485"/>
    <s v="C0099"/>
    <x v="3"/>
    <d v="2023-09-07T00:00:00"/>
    <d v="2023-11-06T00:00:00"/>
    <s v="EUR"/>
    <n v="28870.880000000001"/>
    <d v="2023-11-27T00:00:00"/>
    <s v="PAID"/>
    <s v="Y"/>
    <n v="89.246099999999998"/>
    <n v="28870.880000000001"/>
    <n v="89.067999999999998"/>
    <n v="2571471.5398400002"/>
    <n v="0"/>
    <n v="0"/>
    <n v="21"/>
    <x v="0"/>
  </r>
  <r>
    <x v="486"/>
    <s v="C0066"/>
    <x v="3"/>
    <d v="2023-09-08T00:00:00"/>
    <d v="2023-10-08T00:00:00"/>
    <s v="INR"/>
    <n v="4271368"/>
    <m/>
    <s v="WRITTEN OFF"/>
    <s v="N"/>
    <m/>
    <n v="0"/>
    <n v="1"/>
    <n v="4271368"/>
    <n v="0"/>
    <n v="0"/>
    <s v=""/>
    <x v="0"/>
  </r>
  <r>
    <x v="487"/>
    <s v="C0141"/>
    <x v="1"/>
    <d v="2023-09-08T00:00:00"/>
    <d v="2023-11-07T00:00:00"/>
    <s v="INR"/>
    <n v="6005343"/>
    <d v="2023-11-23T00:00:00"/>
    <s v="PAID"/>
    <s v="N"/>
    <m/>
    <n v="6005343"/>
    <n v="1"/>
    <n v="6005343"/>
    <n v="0"/>
    <n v="0"/>
    <n v="16"/>
    <x v="0"/>
  </r>
  <r>
    <x v="488"/>
    <s v="C0219"/>
    <x v="2"/>
    <d v="2023-09-08T00:00:00"/>
    <d v="2023-10-08T00:00:00"/>
    <s v="INR"/>
    <n v="5136677"/>
    <d v="2023-10-10T00:00:00"/>
    <s v="PAID"/>
    <s v="N"/>
    <m/>
    <n v="5136677"/>
    <n v="1"/>
    <n v="5136677"/>
    <n v="0"/>
    <n v="0"/>
    <n v="2"/>
    <x v="0"/>
  </r>
  <r>
    <x v="489"/>
    <s v="C0042"/>
    <x v="3"/>
    <d v="2023-09-09T00:00:00"/>
    <d v="2023-11-08T00:00:00"/>
    <s v="EUR"/>
    <n v="100030.79"/>
    <m/>
    <s v="WRITTEN OFF"/>
    <s v="Y"/>
    <n v="88.987300000000005"/>
    <n v="0"/>
    <n v="88.809700000000007"/>
    <n v="8883704.4506630003"/>
    <n v="0"/>
    <n v="0"/>
    <s v=""/>
    <x v="0"/>
  </r>
  <r>
    <x v="490"/>
    <s v="C0185"/>
    <x v="3"/>
    <d v="2023-09-09T00:00:00"/>
    <d v="2023-11-08T00:00:00"/>
    <s v="INR"/>
    <n v="3755956"/>
    <d v="2023-12-06T00:00:00"/>
    <s v="PAID"/>
    <s v="N"/>
    <m/>
    <n v="3755956"/>
    <n v="1"/>
    <n v="3755956"/>
    <n v="0"/>
    <n v="0"/>
    <n v="28"/>
    <x v="0"/>
  </r>
  <r>
    <x v="491"/>
    <s v="C0024"/>
    <x v="3"/>
    <d v="2023-09-11T00:00:00"/>
    <d v="2023-10-11T00:00:00"/>
    <s v="INR"/>
    <n v="7403659"/>
    <d v="2023-10-15T00:00:00"/>
    <s v="PAID"/>
    <s v="N"/>
    <m/>
    <n v="7403659"/>
    <n v="1"/>
    <n v="7403659"/>
    <n v="0"/>
    <n v="0"/>
    <n v="4"/>
    <x v="0"/>
  </r>
  <r>
    <x v="492"/>
    <s v="C0057"/>
    <x v="3"/>
    <d v="2023-09-11T00:00:00"/>
    <d v="2023-10-11T00:00:00"/>
    <s v="INR"/>
    <n v="22098766"/>
    <d v="2023-10-12T00:00:00"/>
    <s v="PAID"/>
    <s v="N"/>
    <m/>
    <n v="22098766"/>
    <n v="1"/>
    <n v="22098766"/>
    <n v="0"/>
    <n v="0"/>
    <n v="1"/>
    <x v="0"/>
  </r>
  <r>
    <x v="493"/>
    <s v="C0057"/>
    <x v="3"/>
    <d v="2023-09-11T00:00:00"/>
    <d v="2023-10-11T00:00:00"/>
    <s v="INR"/>
    <n v="3472841"/>
    <d v="2023-10-03T00:00:00"/>
    <s v="PAID"/>
    <s v="N"/>
    <m/>
    <n v="3472841"/>
    <n v="1"/>
    <n v="3472841"/>
    <n v="0"/>
    <n v="0"/>
    <n v="-8"/>
    <x v="0"/>
  </r>
  <r>
    <x v="494"/>
    <s v="C0216"/>
    <x v="1"/>
    <d v="2023-09-11T00:00:00"/>
    <d v="2023-11-10T00:00:00"/>
    <s v="USD"/>
    <n v="94823.15"/>
    <d v="2023-11-15T00:00:00"/>
    <s v="PAID"/>
    <s v="N"/>
    <m/>
    <n v="94823.15"/>
    <n v="83.03"/>
    <n v="7873166.1444999995"/>
    <n v="0"/>
    <n v="0"/>
    <n v="5"/>
    <x v="0"/>
  </r>
  <r>
    <x v="495"/>
    <s v="C0060"/>
    <x v="1"/>
    <d v="2023-09-12T00:00:00"/>
    <d v="2023-10-27T00:00:00"/>
    <s v="INR"/>
    <n v="4445698"/>
    <d v="2023-10-30T00:00:00"/>
    <s v="PAID"/>
    <s v="N"/>
    <m/>
    <n v="4445698"/>
    <n v="1"/>
    <n v="4445698"/>
    <n v="0"/>
    <n v="0"/>
    <n v="3"/>
    <x v="0"/>
  </r>
  <r>
    <x v="496"/>
    <s v="C0111"/>
    <x v="3"/>
    <d v="2023-09-12T00:00:00"/>
    <d v="2023-12-11T00:00:00"/>
    <s v="EUR"/>
    <n v="198398.3"/>
    <d v="2024-02-01T00:00:00"/>
    <s v="PAID"/>
    <s v="Y"/>
    <n v="89.142200000000003"/>
    <n v="198398.3"/>
    <n v="88.875600000000006"/>
    <n v="17632767.951480001"/>
    <n v="0"/>
    <n v="0"/>
    <n v="52"/>
    <x v="0"/>
  </r>
  <r>
    <x v="497"/>
    <s v="C0180"/>
    <x v="0"/>
    <d v="2023-09-12T00:00:00"/>
    <d v="2023-10-27T00:00:00"/>
    <s v="USD"/>
    <n v="31603.32"/>
    <d v="2024-04-05T00:00:00"/>
    <s v="PAID"/>
    <s v="N"/>
    <m/>
    <n v="31603.32"/>
    <n v="82.86"/>
    <n v="2618651.0951999999"/>
    <n v="0"/>
    <n v="0"/>
    <n v="161"/>
    <x v="0"/>
  </r>
  <r>
    <x v="498"/>
    <s v="C0213"/>
    <x v="2"/>
    <d v="2023-09-12T00:00:00"/>
    <d v="2023-11-11T00:00:00"/>
    <s v="EUR"/>
    <n v="78598.98"/>
    <d v="2023-11-21T00:00:00"/>
    <s v="PAID"/>
    <s v="N"/>
    <m/>
    <n v="78598.98"/>
    <n v="88.875600000000006"/>
    <n v="6985531.5068880003"/>
    <n v="0"/>
    <n v="0"/>
    <n v="10"/>
    <x v="0"/>
  </r>
  <r>
    <x v="499"/>
    <s v="C0020"/>
    <x v="3"/>
    <d v="2023-09-13T00:00:00"/>
    <d v="2023-12-12T00:00:00"/>
    <s v="USD"/>
    <n v="21294.89"/>
    <d v="2024-05-17T00:00:00"/>
    <s v="PAID"/>
    <s v="N"/>
    <m/>
    <n v="21294.89"/>
    <n v="82.93"/>
    <n v="1765985.2277000002"/>
    <n v="0"/>
    <n v="0"/>
    <n v="157"/>
    <x v="0"/>
  </r>
  <r>
    <x v="500"/>
    <s v="C0059"/>
    <x v="3"/>
    <d v="2023-09-13T00:00:00"/>
    <d v="2023-10-13T00:00:00"/>
    <s v="INR"/>
    <n v="18604476"/>
    <d v="2023-10-08T00:00:00"/>
    <s v="PAID"/>
    <s v="N"/>
    <m/>
    <n v="18604476"/>
    <n v="1"/>
    <n v="18604476"/>
    <n v="0"/>
    <n v="0"/>
    <n v="-5"/>
    <x v="0"/>
  </r>
  <r>
    <x v="501"/>
    <s v="C0084"/>
    <x v="3"/>
    <d v="2023-09-13T00:00:00"/>
    <d v="2023-10-28T00:00:00"/>
    <s v="INR"/>
    <n v="4732745"/>
    <d v="2023-10-28T00:00:00"/>
    <s v="PAID"/>
    <s v="N"/>
    <m/>
    <n v="4732745"/>
    <n v="1"/>
    <n v="4732745"/>
    <n v="0"/>
    <n v="0"/>
    <n v="0"/>
    <x v="0"/>
  </r>
  <r>
    <x v="502"/>
    <s v="C0154"/>
    <x v="0"/>
    <d v="2023-09-13T00:00:00"/>
    <d v="2023-10-28T00:00:00"/>
    <s v="INR"/>
    <n v="3026956"/>
    <d v="2023-12-23T00:00:00"/>
    <s v="PAID"/>
    <s v="N"/>
    <m/>
    <n v="3026956"/>
    <n v="1"/>
    <n v="3026956"/>
    <n v="0"/>
    <n v="0"/>
    <n v="56"/>
    <x v="0"/>
  </r>
  <r>
    <x v="503"/>
    <s v="C0226"/>
    <x v="3"/>
    <d v="2023-09-14T00:00:00"/>
    <d v="2023-10-29T00:00:00"/>
    <s v="INR"/>
    <n v="4771522"/>
    <d v="2023-11-04T00:00:00"/>
    <s v="PAID"/>
    <s v="N"/>
    <m/>
    <n v="4771522"/>
    <n v="1"/>
    <n v="4771522"/>
    <n v="0"/>
    <n v="0"/>
    <n v="6"/>
    <x v="0"/>
  </r>
  <r>
    <x v="504"/>
    <s v="C0233"/>
    <x v="0"/>
    <d v="2023-09-14T00:00:00"/>
    <d v="2023-11-13T00:00:00"/>
    <s v="INR"/>
    <n v="3911574"/>
    <d v="2023-11-25T00:00:00"/>
    <s v="PAID"/>
    <s v="N"/>
    <m/>
    <n v="3911574"/>
    <n v="1"/>
    <n v="3911574"/>
    <n v="0"/>
    <n v="0"/>
    <n v="12"/>
    <x v="0"/>
  </r>
  <r>
    <x v="505"/>
    <s v="C0228"/>
    <x v="0"/>
    <d v="2023-09-15T00:00:00"/>
    <d v="2023-10-30T00:00:00"/>
    <s v="INR"/>
    <n v="6452125"/>
    <d v="2023-11-14T00:00:00"/>
    <s v="PAID"/>
    <s v="N"/>
    <m/>
    <n v="6452125"/>
    <n v="1"/>
    <n v="6452125"/>
    <n v="0"/>
    <n v="0"/>
    <n v="15"/>
    <x v="0"/>
  </r>
  <r>
    <x v="506"/>
    <s v="C0025"/>
    <x v="3"/>
    <d v="2023-09-16T00:00:00"/>
    <d v="2023-10-31T00:00:00"/>
    <s v="USD"/>
    <n v="51978.77"/>
    <d v="2023-12-19T00:00:00"/>
    <s v="PAID"/>
    <s v="N"/>
    <m/>
    <n v="51978.77"/>
    <n v="83.15"/>
    <n v="4322034.7254999997"/>
    <n v="0"/>
    <n v="0"/>
    <n v="49"/>
    <x v="0"/>
  </r>
  <r>
    <x v="507"/>
    <s v="C0033"/>
    <x v="2"/>
    <d v="2023-09-16T00:00:00"/>
    <d v="2023-12-15T00:00:00"/>
    <s v="USD"/>
    <n v="38035.660000000003"/>
    <d v="2024-02-16T00:00:00"/>
    <s v="PAID"/>
    <s v="Y"/>
    <n v="83.565700000000007"/>
    <n v="38035.660000000003"/>
    <n v="83.15"/>
    <n v="3162665.1290000007"/>
    <n v="0"/>
    <n v="0"/>
    <n v="63"/>
    <x v="0"/>
  </r>
  <r>
    <x v="508"/>
    <s v="C0057"/>
    <x v="3"/>
    <d v="2023-09-16T00:00:00"/>
    <d v="2023-10-16T00:00:00"/>
    <s v="INR"/>
    <n v="22611671"/>
    <d v="2023-10-20T00:00:00"/>
    <s v="PARTIALLY PAID"/>
    <s v="N"/>
    <m/>
    <n v="14195824.789999999"/>
    <n v="1"/>
    <n v="22611671"/>
    <n v="8415846.2100000009"/>
    <n v="532"/>
    <n v="4"/>
    <x v="1"/>
  </r>
  <r>
    <x v="509"/>
    <s v="C0146"/>
    <x v="3"/>
    <d v="2023-09-16T00:00:00"/>
    <d v="2023-11-15T00:00:00"/>
    <s v="USD"/>
    <n v="94992.9"/>
    <d v="2023-11-19T00:00:00"/>
    <s v="PAID"/>
    <s v="Y"/>
    <n v="83.427199999999999"/>
    <n v="94992.9"/>
    <n v="83.15"/>
    <n v="7898659.6349999998"/>
    <n v="0"/>
    <n v="0"/>
    <n v="4"/>
    <x v="0"/>
  </r>
  <r>
    <x v="510"/>
    <s v="C0164"/>
    <x v="3"/>
    <d v="2023-09-16T00:00:00"/>
    <d v="2023-11-15T00:00:00"/>
    <s v="USD"/>
    <n v="501185.86"/>
    <d v="2023-11-22T00:00:00"/>
    <s v="PAID"/>
    <s v="Y"/>
    <n v="83.427199999999999"/>
    <n v="501185.86"/>
    <n v="83.15"/>
    <n v="41673604.259000003"/>
    <n v="0"/>
    <n v="0"/>
    <n v="7"/>
    <x v="0"/>
  </r>
  <r>
    <x v="511"/>
    <s v="C0164"/>
    <x v="3"/>
    <d v="2023-09-16T00:00:00"/>
    <d v="2023-11-15T00:00:00"/>
    <s v="USD"/>
    <n v="36741.51"/>
    <d v="2023-12-05T00:00:00"/>
    <s v="PAID"/>
    <s v="Y"/>
    <n v="83.427199999999999"/>
    <n v="36741.51"/>
    <n v="83.15"/>
    <n v="3055056.5565000004"/>
    <n v="0"/>
    <n v="0"/>
    <n v="20"/>
    <x v="0"/>
  </r>
  <r>
    <x v="512"/>
    <s v="C0164"/>
    <x v="3"/>
    <d v="2023-09-16T00:00:00"/>
    <d v="2023-11-15T00:00:00"/>
    <s v="USD"/>
    <n v="425726.68"/>
    <d v="2023-11-23T00:00:00"/>
    <s v="PAID"/>
    <s v="Y"/>
    <n v="83.427199999999999"/>
    <n v="425726.68"/>
    <n v="83.15"/>
    <n v="35399173.442000002"/>
    <n v="0"/>
    <n v="0"/>
    <n v="8"/>
    <x v="0"/>
  </r>
  <r>
    <x v="513"/>
    <s v="C0216"/>
    <x v="1"/>
    <d v="2023-09-16T00:00:00"/>
    <d v="2023-11-15T00:00:00"/>
    <s v="USD"/>
    <n v="59257.37"/>
    <d v="2023-12-12T00:00:00"/>
    <s v="PARTIALLY PAID"/>
    <s v="N"/>
    <m/>
    <n v="38470.06"/>
    <n v="83.15"/>
    <n v="4927250.3155000005"/>
    <n v="1728464.8265000004"/>
    <n v="502"/>
    <n v="27"/>
    <x v="1"/>
  </r>
  <r>
    <x v="514"/>
    <s v="C0037"/>
    <x v="2"/>
    <d v="2023-09-18T00:00:00"/>
    <d v="2023-10-18T00:00:00"/>
    <s v="INR"/>
    <n v="4817005"/>
    <m/>
    <s v="PAID"/>
    <s v="N"/>
    <m/>
    <n v="4817005"/>
    <n v="1"/>
    <n v="4817005"/>
    <n v="0"/>
    <n v="0"/>
    <s v=""/>
    <x v="0"/>
  </r>
  <r>
    <x v="515"/>
    <s v="C0073"/>
    <x v="1"/>
    <d v="2023-09-18T00:00:00"/>
    <d v="2023-10-18T00:00:00"/>
    <s v="USD"/>
    <n v="121896.08"/>
    <d v="2023-10-31T00:00:00"/>
    <s v="PAID"/>
    <s v="N"/>
    <m/>
    <n v="121896.08"/>
    <n v="83.27"/>
    <n v="10150286.581599999"/>
    <n v="0"/>
    <n v="0"/>
    <n v="13"/>
    <x v="0"/>
  </r>
  <r>
    <x v="516"/>
    <s v="C0118"/>
    <x v="1"/>
    <d v="2023-09-18T00:00:00"/>
    <d v="2023-11-17T00:00:00"/>
    <s v="INR"/>
    <n v="7180902"/>
    <d v="2023-11-22T00:00:00"/>
    <s v="PAID"/>
    <s v="N"/>
    <m/>
    <n v="7180902"/>
    <n v="1"/>
    <n v="7180902"/>
    <n v="0"/>
    <n v="0"/>
    <n v="5"/>
    <x v="0"/>
  </r>
  <r>
    <x v="517"/>
    <s v="C0119"/>
    <x v="3"/>
    <d v="2023-09-18T00:00:00"/>
    <d v="2023-11-17T00:00:00"/>
    <s v="INR"/>
    <n v="13250614"/>
    <d v="2023-11-19T00:00:00"/>
    <s v="PAID"/>
    <s v="N"/>
    <m/>
    <n v="13250614"/>
    <n v="1"/>
    <n v="13250614"/>
    <n v="0"/>
    <n v="0"/>
    <n v="2"/>
    <x v="0"/>
  </r>
  <r>
    <x v="518"/>
    <s v="C0185"/>
    <x v="3"/>
    <d v="2023-09-18T00:00:00"/>
    <d v="2023-11-17T00:00:00"/>
    <s v="INR"/>
    <n v="6682945"/>
    <d v="2023-11-29T00:00:00"/>
    <s v="PAID"/>
    <s v="N"/>
    <m/>
    <n v="6682945"/>
    <n v="1"/>
    <n v="6682945"/>
    <n v="0"/>
    <n v="0"/>
    <n v="12"/>
    <x v="0"/>
  </r>
  <r>
    <x v="519"/>
    <s v="C0198"/>
    <x v="3"/>
    <d v="2023-09-18T00:00:00"/>
    <d v="2023-11-02T00:00:00"/>
    <s v="USD"/>
    <n v="119264.68"/>
    <d v="2023-11-27T00:00:00"/>
    <s v="PAID"/>
    <s v="Y"/>
    <n v="83.478200000000001"/>
    <n v="119264.68"/>
    <n v="83.27"/>
    <n v="9931169.9035999998"/>
    <n v="0"/>
    <n v="0"/>
    <n v="25"/>
    <x v="0"/>
  </r>
  <r>
    <x v="520"/>
    <s v="C0234"/>
    <x v="0"/>
    <d v="2023-09-18T00:00:00"/>
    <d v="2023-11-17T00:00:00"/>
    <s v="INR"/>
    <n v="2147129"/>
    <d v="2023-11-14T00:00:00"/>
    <s v="PAID"/>
    <s v="N"/>
    <m/>
    <n v="2147129"/>
    <n v="1"/>
    <n v="2147129"/>
    <n v="0"/>
    <n v="0"/>
    <n v="-3"/>
    <x v="0"/>
  </r>
  <r>
    <x v="521"/>
    <s v="C0248"/>
    <x v="4"/>
    <d v="2023-09-18T00:00:00"/>
    <d v="2023-10-18T00:00:00"/>
    <s v="USD"/>
    <n v="104811.16"/>
    <d v="2023-10-26T00:00:00"/>
    <s v="PAID"/>
    <s v="Y"/>
    <n v="83.408799999999999"/>
    <n v="104811.16"/>
    <n v="83.27"/>
    <n v="8727625.2931999993"/>
    <n v="0"/>
    <n v="0"/>
    <n v="8"/>
    <x v="0"/>
  </r>
  <r>
    <x v="522"/>
    <s v="C0042"/>
    <x v="4"/>
    <d v="2023-09-19T00:00:00"/>
    <d v="2023-11-18T00:00:00"/>
    <s v="EUR"/>
    <n v="35671.519999999997"/>
    <m/>
    <s v="WRITTEN OFF"/>
    <s v="Y"/>
    <n v="89.143600000000006"/>
    <n v="0"/>
    <n v="88.965699999999998"/>
    <n v="3173541.7468639999"/>
    <n v="0"/>
    <n v="0"/>
    <s v=""/>
    <x v="0"/>
  </r>
  <r>
    <x v="523"/>
    <s v="C0212"/>
    <x v="2"/>
    <d v="2023-09-19T00:00:00"/>
    <d v="2023-12-18T00:00:00"/>
    <s v="INR"/>
    <n v="2297183"/>
    <d v="2023-12-12T00:00:00"/>
    <s v="PAID"/>
    <s v="N"/>
    <m/>
    <n v="2297183"/>
    <n v="1"/>
    <n v="2297183"/>
    <n v="0"/>
    <n v="0"/>
    <n v="-6"/>
    <x v="0"/>
  </r>
  <r>
    <x v="524"/>
    <s v="C0219"/>
    <x v="2"/>
    <d v="2023-09-19T00:00:00"/>
    <d v="2023-10-19T00:00:00"/>
    <s v="INR"/>
    <n v="6838499"/>
    <d v="2023-10-19T00:00:00"/>
    <s v="PAID"/>
    <s v="N"/>
    <m/>
    <n v="6838499"/>
    <n v="1"/>
    <n v="6838499"/>
    <n v="0"/>
    <n v="0"/>
    <n v="0"/>
    <x v="0"/>
  </r>
  <r>
    <x v="525"/>
    <s v="C0223"/>
    <x v="0"/>
    <d v="2023-09-19T00:00:00"/>
    <d v="2023-11-03T00:00:00"/>
    <s v="INR"/>
    <n v="6789989"/>
    <d v="2023-11-22T00:00:00"/>
    <s v="PAID"/>
    <s v="N"/>
    <m/>
    <n v="6789989"/>
    <n v="1"/>
    <n v="6789989"/>
    <n v="0"/>
    <n v="0"/>
    <n v="19"/>
    <x v="0"/>
  </r>
  <r>
    <x v="526"/>
    <s v="C0039"/>
    <x v="0"/>
    <d v="2023-09-20T00:00:00"/>
    <d v="2023-11-19T00:00:00"/>
    <s v="INR"/>
    <n v="6088034"/>
    <d v="2023-11-29T00:00:00"/>
    <s v="PAID"/>
    <s v="N"/>
    <m/>
    <n v="6088034"/>
    <n v="1"/>
    <n v="6088034"/>
    <n v="0"/>
    <n v="0"/>
    <n v="10"/>
    <x v="0"/>
  </r>
  <r>
    <x v="527"/>
    <s v="C0198"/>
    <x v="3"/>
    <d v="2023-09-20T00:00:00"/>
    <d v="2023-11-04T00:00:00"/>
    <s v="USD"/>
    <n v="346828.06"/>
    <d v="2023-11-24T00:00:00"/>
    <s v="PAID"/>
    <s v="Y"/>
    <n v="83.277699999999996"/>
    <n v="346828.06"/>
    <n v="83.07"/>
    <n v="28811006.944199998"/>
    <n v="0"/>
    <n v="0"/>
    <n v="20"/>
    <x v="0"/>
  </r>
  <r>
    <x v="528"/>
    <s v="C0099"/>
    <x v="3"/>
    <d v="2023-09-21T00:00:00"/>
    <d v="2023-11-20T00:00:00"/>
    <s v="EUR"/>
    <n v="237313.68"/>
    <m/>
    <s v="PAID"/>
    <s v="Y"/>
    <n v="88.805800000000005"/>
    <n v="237313.68"/>
    <n v="88.628500000000003"/>
    <n v="21032755.487879999"/>
    <n v="0"/>
    <n v="0"/>
    <s v=""/>
    <x v="0"/>
  </r>
  <r>
    <x v="529"/>
    <s v="C0127"/>
    <x v="2"/>
    <d v="2023-09-21T00:00:00"/>
    <d v="2023-11-20T00:00:00"/>
    <s v="INR"/>
    <n v="17923557"/>
    <d v="2024-04-20T00:00:00"/>
    <s v="PAID"/>
    <s v="N"/>
    <m/>
    <n v="17923557"/>
    <n v="1"/>
    <n v="17923557"/>
    <n v="0"/>
    <n v="0"/>
    <n v="152"/>
    <x v="0"/>
  </r>
  <r>
    <x v="530"/>
    <s v="C0141"/>
    <x v="3"/>
    <d v="2023-09-22T00:00:00"/>
    <d v="2023-11-21T00:00:00"/>
    <s v="INR"/>
    <n v="10266686"/>
    <d v="2023-12-06T00:00:00"/>
    <s v="PAID"/>
    <s v="N"/>
    <m/>
    <n v="10266686"/>
    <n v="1"/>
    <n v="10266686"/>
    <n v="0"/>
    <n v="0"/>
    <n v="15"/>
    <x v="0"/>
  </r>
  <r>
    <x v="531"/>
    <s v="C0166"/>
    <x v="4"/>
    <d v="2023-09-22T00:00:00"/>
    <d v="2023-12-21T00:00:00"/>
    <s v="INR"/>
    <n v="14514469"/>
    <d v="2024-01-07T00:00:00"/>
    <s v="PAID"/>
    <s v="N"/>
    <m/>
    <n v="14514469"/>
    <n v="1"/>
    <n v="14514469"/>
    <n v="0"/>
    <n v="0"/>
    <n v="17"/>
    <x v="0"/>
  </r>
  <r>
    <x v="532"/>
    <s v="C0222"/>
    <x v="2"/>
    <d v="2023-09-22T00:00:00"/>
    <d v="2023-11-21T00:00:00"/>
    <s v="EUR"/>
    <n v="39309.5"/>
    <d v="2023-12-19T00:00:00"/>
    <s v="PAID"/>
    <s v="N"/>
    <m/>
    <n v="39309.5"/>
    <n v="88.424700000000001"/>
    <n v="3475930.7446500002"/>
    <n v="0"/>
    <n v="0"/>
    <n v="28"/>
    <x v="0"/>
  </r>
  <r>
    <x v="533"/>
    <s v="C0015"/>
    <x v="3"/>
    <d v="2023-09-23T00:00:00"/>
    <d v="2023-11-22T00:00:00"/>
    <s v="INR"/>
    <n v="27709493"/>
    <d v="2023-11-19T00:00:00"/>
    <s v="PAID"/>
    <s v="N"/>
    <m/>
    <n v="27709493"/>
    <n v="1"/>
    <n v="27709493"/>
    <n v="0"/>
    <n v="0"/>
    <n v="-3"/>
    <x v="0"/>
  </r>
  <r>
    <x v="534"/>
    <s v="C0018"/>
    <x v="0"/>
    <d v="2023-09-23T00:00:00"/>
    <d v="2023-10-23T00:00:00"/>
    <s v="INR"/>
    <n v="1580020"/>
    <d v="2023-10-29T00:00:00"/>
    <s v="PAID"/>
    <s v="N"/>
    <m/>
    <n v="1580020"/>
    <n v="1"/>
    <n v="1580020"/>
    <n v="0"/>
    <n v="0"/>
    <n v="6"/>
    <x v="0"/>
  </r>
  <r>
    <x v="535"/>
    <s v="C0063"/>
    <x v="2"/>
    <d v="2023-09-23T00:00:00"/>
    <d v="2023-11-22T00:00:00"/>
    <s v="INR"/>
    <n v="12907430"/>
    <d v="2023-11-21T00:00:00"/>
    <s v="PAID"/>
    <s v="N"/>
    <m/>
    <n v="12907430"/>
    <n v="1"/>
    <n v="12907430"/>
    <n v="0"/>
    <n v="0"/>
    <n v="-1"/>
    <x v="0"/>
  </r>
  <r>
    <x v="536"/>
    <s v="C0080"/>
    <x v="0"/>
    <d v="2023-09-23T00:00:00"/>
    <d v="2023-11-22T00:00:00"/>
    <s v="INR"/>
    <n v="14737568"/>
    <d v="2023-11-28T00:00:00"/>
    <s v="PAID"/>
    <s v="N"/>
    <m/>
    <n v="14737568"/>
    <n v="1"/>
    <n v="14737568"/>
    <n v="0"/>
    <n v="0"/>
    <n v="6"/>
    <x v="0"/>
  </r>
  <r>
    <x v="537"/>
    <s v="C0103"/>
    <x v="0"/>
    <d v="2023-09-23T00:00:00"/>
    <d v="2023-11-22T00:00:00"/>
    <s v="INR"/>
    <n v="5879348"/>
    <d v="2023-12-07T00:00:00"/>
    <s v="PAID"/>
    <s v="N"/>
    <m/>
    <n v="5879348"/>
    <n v="1"/>
    <n v="5879348"/>
    <n v="0"/>
    <n v="0"/>
    <n v="15"/>
    <x v="0"/>
  </r>
  <r>
    <x v="538"/>
    <s v="C0224"/>
    <x v="1"/>
    <d v="2023-09-23T00:00:00"/>
    <d v="2023-10-23T00:00:00"/>
    <s v="EUR"/>
    <n v="126940.14"/>
    <d v="2023-12-06T00:00:00"/>
    <s v="PAID"/>
    <s v="N"/>
    <m/>
    <n v="126940.14"/>
    <n v="88.424700000000001"/>
    <n v="11224643.797458"/>
    <n v="0"/>
    <n v="0"/>
    <n v="44"/>
    <x v="0"/>
  </r>
  <r>
    <x v="539"/>
    <s v="C0248"/>
    <x v="4"/>
    <d v="2023-09-23T00:00:00"/>
    <d v="2023-10-23T00:00:00"/>
    <s v="USD"/>
    <n v="73255.17"/>
    <d v="2023-10-21T00:00:00"/>
    <s v="PAID"/>
    <s v="Y"/>
    <n v="83.088300000000004"/>
    <n v="73255.17"/>
    <n v="82.95"/>
    <n v="6076516.3514999999"/>
    <n v="0"/>
    <n v="0"/>
    <n v="-2"/>
    <x v="0"/>
  </r>
  <r>
    <x v="540"/>
    <s v="C0012"/>
    <x v="3"/>
    <d v="2023-09-25T00:00:00"/>
    <d v="2023-11-24T00:00:00"/>
    <s v="EUR"/>
    <n v="38626.519999999997"/>
    <d v="2023-12-03T00:00:00"/>
    <s v="PAID"/>
    <s v="Y"/>
    <n v="88.197800000000001"/>
    <n v="38626.519999999997"/>
    <n v="88.021799999999999"/>
    <n v="3399975.8181359996"/>
    <n v="0"/>
    <n v="0"/>
    <n v="9"/>
    <x v="0"/>
  </r>
  <r>
    <x v="541"/>
    <s v="C0198"/>
    <x v="3"/>
    <d v="2023-09-25T00:00:00"/>
    <d v="2023-11-09T00:00:00"/>
    <s v="USD"/>
    <n v="104226.44"/>
    <d v="2023-12-07T00:00:00"/>
    <s v="PAID"/>
    <s v="N"/>
    <m/>
    <n v="104226.44"/>
    <n v="83.11"/>
    <n v="8662259.4284000006"/>
    <n v="0"/>
    <n v="0"/>
    <n v="28"/>
    <x v="0"/>
  </r>
  <r>
    <x v="542"/>
    <s v="C0207"/>
    <x v="4"/>
    <d v="2023-09-25T00:00:00"/>
    <d v="2023-11-24T00:00:00"/>
    <s v="INR"/>
    <n v="6180277"/>
    <d v="2023-11-28T00:00:00"/>
    <s v="PAID"/>
    <s v="N"/>
    <m/>
    <n v="6180277"/>
    <n v="1"/>
    <n v="6180277"/>
    <n v="0"/>
    <n v="0"/>
    <n v="4"/>
    <x v="0"/>
  </r>
  <r>
    <x v="543"/>
    <s v="C0007"/>
    <x v="3"/>
    <d v="2023-09-26T00:00:00"/>
    <d v="2023-10-26T00:00:00"/>
    <s v="USD"/>
    <n v="14864.29"/>
    <d v="2023-11-16T00:00:00"/>
    <s v="PAID"/>
    <s v="N"/>
    <m/>
    <n v="14864.29"/>
    <n v="83.24"/>
    <n v="1237303.4996"/>
    <n v="0"/>
    <n v="0"/>
    <n v="21"/>
    <x v="0"/>
  </r>
  <r>
    <x v="544"/>
    <s v="C0050"/>
    <x v="0"/>
    <d v="2023-09-26T00:00:00"/>
    <d v="2023-11-25T00:00:00"/>
    <s v="INR"/>
    <n v="6928096"/>
    <d v="2023-12-07T00:00:00"/>
    <s v="PAID"/>
    <s v="N"/>
    <m/>
    <n v="6928096"/>
    <n v="1"/>
    <n v="6928096"/>
    <n v="0"/>
    <n v="0"/>
    <n v="12"/>
    <x v="0"/>
  </r>
  <r>
    <x v="545"/>
    <s v="C0199"/>
    <x v="1"/>
    <d v="2023-09-26T00:00:00"/>
    <d v="2023-11-25T00:00:00"/>
    <s v="USD"/>
    <n v="80026.570000000007"/>
    <d v="2023-12-13T00:00:00"/>
    <s v="PAID"/>
    <s v="Y"/>
    <n v="83.517499999999998"/>
    <n v="80026.570000000007"/>
    <n v="83.24"/>
    <n v="6661411.6868000003"/>
    <n v="0"/>
    <n v="0"/>
    <n v="18"/>
    <x v="0"/>
  </r>
  <r>
    <x v="546"/>
    <s v="C0213"/>
    <x v="1"/>
    <d v="2023-09-26T00:00:00"/>
    <d v="2023-11-25T00:00:00"/>
    <s v="EUR"/>
    <n v="64947.74"/>
    <d v="2023-11-26T00:00:00"/>
    <s v="PARTIALLY PAID"/>
    <s v="N"/>
    <m/>
    <n v="55709.62"/>
    <n v="88.009699999999995"/>
    <n v="5716031.1130779991"/>
    <n v="813044.16976399953"/>
    <n v="492"/>
    <n v="1"/>
    <x v="1"/>
  </r>
  <r>
    <x v="547"/>
    <s v="C0060"/>
    <x v="0"/>
    <d v="2023-09-27T00:00:00"/>
    <d v="2023-11-11T00:00:00"/>
    <s v="INR"/>
    <n v="4232592"/>
    <d v="2023-11-15T00:00:00"/>
    <s v="PAID"/>
    <s v="N"/>
    <m/>
    <n v="4232592"/>
    <n v="1"/>
    <n v="4232592"/>
    <n v="0"/>
    <n v="0"/>
    <n v="4"/>
    <x v="0"/>
  </r>
  <r>
    <x v="548"/>
    <s v="C0213"/>
    <x v="2"/>
    <d v="2023-09-27T00:00:00"/>
    <d v="2023-11-26T00:00:00"/>
    <s v="EUR"/>
    <n v="104567.83"/>
    <d v="2023-11-27T00:00:00"/>
    <s v="PAID"/>
    <s v="N"/>
    <m/>
    <n v="104567.83"/>
    <n v="87.422200000000004"/>
    <n v="9141549.7478260007"/>
    <n v="0"/>
    <n v="0"/>
    <n v="1"/>
    <x v="0"/>
  </r>
  <r>
    <x v="549"/>
    <s v="C0060"/>
    <x v="0"/>
    <d v="2023-09-28T00:00:00"/>
    <d v="2023-11-12T00:00:00"/>
    <s v="INR"/>
    <n v="16360430"/>
    <d v="2023-11-21T00:00:00"/>
    <s v="PAID"/>
    <s v="N"/>
    <m/>
    <n v="16360430"/>
    <n v="1"/>
    <n v="16360430"/>
    <n v="0"/>
    <n v="0"/>
    <n v="9"/>
    <x v="0"/>
  </r>
  <r>
    <x v="550"/>
    <s v="C0069"/>
    <x v="2"/>
    <d v="2023-09-28T00:00:00"/>
    <d v="2023-10-28T00:00:00"/>
    <s v="INR"/>
    <n v="3090383"/>
    <d v="2023-11-20T00:00:00"/>
    <s v="PAID"/>
    <s v="N"/>
    <m/>
    <n v="3090383"/>
    <n v="1"/>
    <n v="3090383"/>
    <n v="0"/>
    <n v="0"/>
    <n v="23"/>
    <x v="0"/>
  </r>
  <r>
    <x v="551"/>
    <s v="C0115"/>
    <x v="1"/>
    <d v="2023-09-28T00:00:00"/>
    <d v="2023-11-27T00:00:00"/>
    <s v="EUR"/>
    <n v="19876.73"/>
    <d v="2024-01-24T00:00:00"/>
    <s v="WRITTEN OFF"/>
    <s v="N"/>
    <m/>
    <n v="4478.9799999999996"/>
    <n v="87.934899999999999"/>
    <n v="1747858.2648769999"/>
    <n v="0"/>
    <n v="0"/>
    <n v="58"/>
    <x v="0"/>
  </r>
  <r>
    <x v="552"/>
    <s v="C0128"/>
    <x v="0"/>
    <d v="2023-09-28T00:00:00"/>
    <d v="2023-10-28T00:00:00"/>
    <s v="INR"/>
    <n v="6748592"/>
    <d v="2023-11-11T00:00:00"/>
    <s v="PAID"/>
    <s v="N"/>
    <m/>
    <n v="6748592"/>
    <n v="1"/>
    <n v="6748592"/>
    <n v="0"/>
    <n v="0"/>
    <n v="14"/>
    <x v="0"/>
  </r>
  <r>
    <x v="553"/>
    <s v="C0019"/>
    <x v="2"/>
    <d v="2023-09-29T00:00:00"/>
    <d v="2023-12-28T00:00:00"/>
    <s v="EUR"/>
    <n v="85892.13"/>
    <d v="2024-02-27T00:00:00"/>
    <s v="PAID"/>
    <s v="N"/>
    <m/>
    <n v="85892.13"/>
    <n v="87.931899999999999"/>
    <n v="7552658.185947"/>
    <n v="0"/>
    <n v="0"/>
    <n v="61"/>
    <x v="0"/>
  </r>
  <r>
    <x v="554"/>
    <s v="C0144"/>
    <x v="0"/>
    <d v="2023-09-29T00:00:00"/>
    <d v="2023-11-13T00:00:00"/>
    <s v="INR"/>
    <n v="23525512"/>
    <d v="2023-11-19T00:00:00"/>
    <s v="PAID"/>
    <s v="N"/>
    <m/>
    <n v="23525512"/>
    <n v="1"/>
    <n v="23525512"/>
    <n v="0"/>
    <n v="0"/>
    <n v="6"/>
    <x v="0"/>
  </r>
  <r>
    <x v="555"/>
    <s v="C0228"/>
    <x v="0"/>
    <d v="2023-09-29T00:00:00"/>
    <d v="2023-11-13T00:00:00"/>
    <s v="INR"/>
    <n v="8036401"/>
    <d v="2023-12-12T00:00:00"/>
    <s v="PAID"/>
    <s v="N"/>
    <m/>
    <n v="8036401"/>
    <n v="1"/>
    <n v="8036401"/>
    <n v="0"/>
    <n v="0"/>
    <n v="29"/>
    <x v="0"/>
  </r>
  <r>
    <x v="556"/>
    <s v="C0043"/>
    <x v="1"/>
    <d v="2023-09-30T00:00:00"/>
    <d v="2023-11-14T00:00:00"/>
    <s v="INR"/>
    <n v="3757068"/>
    <d v="2023-11-18T00:00:00"/>
    <s v="PAID"/>
    <s v="N"/>
    <m/>
    <n v="3757068"/>
    <n v="1"/>
    <n v="3757068"/>
    <n v="0"/>
    <n v="0"/>
    <n v="4"/>
    <x v="0"/>
  </r>
  <r>
    <x v="557"/>
    <s v="C0112"/>
    <x v="4"/>
    <d v="2023-09-30T00:00:00"/>
    <d v="2023-11-14T00:00:00"/>
    <s v="INR"/>
    <n v="3660647"/>
    <d v="2024-07-11T00:00:00"/>
    <s v="PAID"/>
    <s v="N"/>
    <m/>
    <n v="3660647"/>
    <n v="1"/>
    <n v="3660647"/>
    <n v="0"/>
    <n v="0"/>
    <n v="240"/>
    <x v="0"/>
  </r>
  <r>
    <x v="558"/>
    <s v="C0169"/>
    <x v="3"/>
    <d v="2023-09-30T00:00:00"/>
    <d v="2023-11-14T00:00:00"/>
    <s v="EUR"/>
    <n v="16518.650000000001"/>
    <d v="2023-11-19T00:00:00"/>
    <s v="PAID"/>
    <s v="Y"/>
    <n v="88.063800000000001"/>
    <n v="16518.650000000001"/>
    <n v="87.931899999999999"/>
    <n v="1452516.279935"/>
    <n v="0"/>
    <n v="0"/>
    <n v="5"/>
    <x v="0"/>
  </r>
  <r>
    <x v="559"/>
    <s v="C0207"/>
    <x v="4"/>
    <d v="2023-09-30T00:00:00"/>
    <d v="2023-11-29T00:00:00"/>
    <s v="INR"/>
    <n v="4275791"/>
    <d v="2023-11-28T00:00:00"/>
    <s v="PAID"/>
    <s v="N"/>
    <m/>
    <n v="4275791"/>
    <n v="1"/>
    <n v="4275791"/>
    <n v="0"/>
    <n v="0"/>
    <n v="-1"/>
    <x v="0"/>
  </r>
  <r>
    <x v="560"/>
    <s v="C0213"/>
    <x v="2"/>
    <d v="2023-09-30T00:00:00"/>
    <d v="2023-11-29T00:00:00"/>
    <s v="EUR"/>
    <n v="64937.64"/>
    <d v="2023-11-22T00:00:00"/>
    <s v="PAID"/>
    <s v="N"/>
    <m/>
    <n v="64937.64"/>
    <n v="87.931899999999999"/>
    <n v="5710090.0667159995"/>
    <n v="0"/>
    <n v="0"/>
    <n v="-7"/>
    <x v="0"/>
  </r>
  <r>
    <x v="561"/>
    <s v="C0246"/>
    <x v="4"/>
    <d v="2023-09-30T00:00:00"/>
    <d v="2023-11-29T00:00:00"/>
    <s v="USD"/>
    <n v="146770.07"/>
    <d v="2023-12-24T00:00:00"/>
    <s v="PAID"/>
    <s v="N"/>
    <m/>
    <n v="146770.07"/>
    <n v="83.08"/>
    <n v="12193657.4156"/>
    <n v="0"/>
    <n v="0"/>
    <n v="25"/>
    <x v="0"/>
  </r>
  <r>
    <x v="562"/>
    <s v="C0004"/>
    <x v="0"/>
    <d v="2023-10-02T00:00:00"/>
    <d v="2023-11-16T00:00:00"/>
    <s v="INR"/>
    <n v="19522277"/>
    <d v="2023-11-28T00:00:00"/>
    <s v="PAID"/>
    <s v="N"/>
    <m/>
    <n v="19522277"/>
    <n v="1"/>
    <n v="19522277"/>
    <n v="0"/>
    <n v="0"/>
    <n v="12"/>
    <x v="0"/>
  </r>
  <r>
    <x v="563"/>
    <s v="C0202"/>
    <x v="3"/>
    <d v="2023-10-02T00:00:00"/>
    <d v="2023-11-16T00:00:00"/>
    <s v="USD"/>
    <n v="100566.83"/>
    <d v="2023-11-17T00:00:00"/>
    <s v="PAID"/>
    <s v="Y"/>
    <n v="83.247600000000006"/>
    <n v="100566.83"/>
    <n v="83.04"/>
    <n v="8351069.5632000007"/>
    <n v="0"/>
    <n v="0"/>
    <n v="1"/>
    <x v="0"/>
  </r>
  <r>
    <x v="564"/>
    <s v="C0213"/>
    <x v="1"/>
    <d v="2023-10-02T00:00:00"/>
    <d v="2023-12-01T00:00:00"/>
    <s v="EUR"/>
    <n v="56442.68"/>
    <d v="2023-12-07T00:00:00"/>
    <s v="PAID"/>
    <s v="N"/>
    <m/>
    <n v="56442.68"/>
    <n v="87.191999999999993"/>
    <n v="4921350.1545599997"/>
    <n v="0"/>
    <n v="0"/>
    <n v="6"/>
    <x v="0"/>
  </r>
  <r>
    <x v="565"/>
    <s v="C0050"/>
    <x v="0"/>
    <d v="2023-10-03T00:00:00"/>
    <d v="2023-12-02T00:00:00"/>
    <s v="INR"/>
    <n v="6261889"/>
    <d v="2023-12-10T00:00:00"/>
    <s v="PAID"/>
    <s v="N"/>
    <m/>
    <n v="6261889"/>
    <n v="1"/>
    <n v="6261889"/>
    <n v="0"/>
    <n v="0"/>
    <n v="8"/>
    <x v="0"/>
  </r>
  <r>
    <x v="566"/>
    <s v="C0057"/>
    <x v="3"/>
    <d v="2023-10-03T00:00:00"/>
    <d v="2023-11-02T00:00:00"/>
    <s v="INR"/>
    <n v="29870959"/>
    <d v="2023-11-05T00:00:00"/>
    <s v="PAID"/>
    <s v="N"/>
    <m/>
    <n v="29870959"/>
    <n v="1"/>
    <n v="29870959"/>
    <n v="0"/>
    <n v="0"/>
    <n v="3"/>
    <x v="0"/>
  </r>
  <r>
    <x v="567"/>
    <s v="C0091"/>
    <x v="2"/>
    <d v="2023-10-03T00:00:00"/>
    <d v="2023-12-02T00:00:00"/>
    <s v="USD"/>
    <n v="23305.49"/>
    <d v="2023-12-21T00:00:00"/>
    <s v="PAID"/>
    <s v="N"/>
    <m/>
    <n v="23305.49"/>
    <n v="83.22"/>
    <n v="1939482.8778000001"/>
    <n v="0"/>
    <n v="0"/>
    <n v="19"/>
    <x v="0"/>
  </r>
  <r>
    <x v="568"/>
    <s v="C0131"/>
    <x v="4"/>
    <d v="2023-10-03T00:00:00"/>
    <d v="2024-01-01T00:00:00"/>
    <s v="INR"/>
    <n v="12150885"/>
    <d v="2024-01-03T00:00:00"/>
    <s v="PAID"/>
    <s v="N"/>
    <m/>
    <n v="12150885"/>
    <n v="1"/>
    <n v="12150885"/>
    <n v="0"/>
    <n v="0"/>
    <n v="2"/>
    <x v="0"/>
  </r>
  <r>
    <x v="569"/>
    <s v="C0156"/>
    <x v="0"/>
    <d v="2023-10-03T00:00:00"/>
    <d v="2023-11-17T00:00:00"/>
    <s v="USD"/>
    <n v="47494.2"/>
    <d v="2023-11-26T00:00:00"/>
    <s v="PAID"/>
    <s v="N"/>
    <m/>
    <n v="47494.2"/>
    <n v="83.22"/>
    <n v="3952467.3239999996"/>
    <n v="0"/>
    <n v="0"/>
    <n v="9"/>
    <x v="0"/>
  </r>
  <r>
    <x v="570"/>
    <s v="C0207"/>
    <x v="4"/>
    <d v="2023-10-03T00:00:00"/>
    <d v="2023-12-02T00:00:00"/>
    <s v="INR"/>
    <n v="3133410"/>
    <d v="2023-12-07T00:00:00"/>
    <s v="PAID"/>
    <s v="N"/>
    <m/>
    <n v="3133410"/>
    <n v="1"/>
    <n v="3133410"/>
    <n v="0"/>
    <n v="0"/>
    <n v="5"/>
    <x v="0"/>
  </r>
  <r>
    <x v="571"/>
    <s v="C0004"/>
    <x v="0"/>
    <d v="2023-10-04T00:00:00"/>
    <d v="2023-11-18T00:00:00"/>
    <s v="INR"/>
    <n v="6740690"/>
    <d v="2023-12-19T00:00:00"/>
    <s v="PAID"/>
    <s v="N"/>
    <m/>
    <n v="6740690"/>
    <n v="1"/>
    <n v="6740690"/>
    <n v="0"/>
    <n v="0"/>
    <n v="31"/>
    <x v="0"/>
  </r>
  <r>
    <x v="572"/>
    <s v="C0019"/>
    <x v="2"/>
    <d v="2023-10-04T00:00:00"/>
    <d v="2024-01-02T00:00:00"/>
    <s v="EUR"/>
    <n v="117638.47"/>
    <d v="2024-01-09T00:00:00"/>
    <s v="PAID"/>
    <s v="Y"/>
    <n v="87.825100000000006"/>
    <n v="117638.47"/>
    <n v="87.562399999999997"/>
    <n v="10300706.765527999"/>
    <n v="0"/>
    <n v="0"/>
    <n v="7"/>
    <x v="0"/>
  </r>
  <r>
    <x v="573"/>
    <s v="C0033"/>
    <x v="2"/>
    <d v="2023-10-04T00:00:00"/>
    <d v="2024-01-02T00:00:00"/>
    <s v="USD"/>
    <n v="491261.32"/>
    <d v="2024-04-20T00:00:00"/>
    <s v="PAID"/>
    <s v="N"/>
    <m/>
    <n v="491261.32"/>
    <n v="83.25"/>
    <n v="40897504.890000001"/>
    <n v="0"/>
    <n v="0"/>
    <n v="109"/>
    <x v="0"/>
  </r>
  <r>
    <x v="574"/>
    <s v="C0057"/>
    <x v="3"/>
    <d v="2023-10-04T00:00:00"/>
    <d v="2023-11-03T00:00:00"/>
    <s v="INR"/>
    <n v="2092005"/>
    <d v="2023-11-04T00:00:00"/>
    <s v="PAID"/>
    <s v="N"/>
    <m/>
    <n v="2092005"/>
    <n v="1"/>
    <n v="2092005"/>
    <n v="0"/>
    <n v="0"/>
    <n v="1"/>
    <x v="0"/>
  </r>
  <r>
    <x v="575"/>
    <s v="C0100"/>
    <x v="4"/>
    <d v="2023-10-04T00:00:00"/>
    <d v="2023-12-03T00:00:00"/>
    <s v="USD"/>
    <n v="94599.24"/>
    <d v="2023-12-22T00:00:00"/>
    <s v="PAID"/>
    <s v="N"/>
    <m/>
    <n v="94599.24"/>
    <n v="83.25"/>
    <n v="7875386.7300000004"/>
    <n v="0"/>
    <n v="0"/>
    <n v="19"/>
    <x v="0"/>
  </r>
  <r>
    <x v="576"/>
    <s v="C0109"/>
    <x v="1"/>
    <d v="2023-10-04T00:00:00"/>
    <d v="2023-11-18T00:00:00"/>
    <s v="INR"/>
    <n v="7155887"/>
    <d v="2023-11-27T00:00:00"/>
    <s v="PAID"/>
    <s v="N"/>
    <m/>
    <n v="7155887"/>
    <n v="1"/>
    <n v="7155887"/>
    <n v="0"/>
    <n v="0"/>
    <n v="9"/>
    <x v="0"/>
  </r>
  <r>
    <x v="577"/>
    <s v="C0164"/>
    <x v="3"/>
    <d v="2023-10-04T00:00:00"/>
    <d v="2023-12-03T00:00:00"/>
    <s v="USD"/>
    <n v="36868.26"/>
    <d v="2024-01-14T00:00:00"/>
    <s v="PAID"/>
    <s v="N"/>
    <m/>
    <n v="36868.26"/>
    <n v="83.25"/>
    <n v="3069282.645"/>
    <n v="0"/>
    <n v="0"/>
    <n v="42"/>
    <x v="0"/>
  </r>
  <r>
    <x v="578"/>
    <s v="C0168"/>
    <x v="3"/>
    <d v="2023-10-04T00:00:00"/>
    <d v="2023-12-03T00:00:00"/>
    <s v="INR"/>
    <n v="2490595"/>
    <d v="2023-12-06T00:00:00"/>
    <s v="PARTIALLY PAID"/>
    <s v="N"/>
    <m/>
    <n v="1314636.51"/>
    <n v="1"/>
    <n v="2490595"/>
    <n v="1175958.49"/>
    <n v="484"/>
    <n v="3"/>
    <x v="1"/>
  </r>
  <r>
    <x v="579"/>
    <s v="C0177"/>
    <x v="3"/>
    <d v="2023-10-04T00:00:00"/>
    <d v="2023-12-03T00:00:00"/>
    <s v="EUR"/>
    <n v="218701.97"/>
    <d v="2023-12-09T00:00:00"/>
    <s v="PAID"/>
    <s v="N"/>
    <m/>
    <n v="218701.97"/>
    <n v="87.562399999999997"/>
    <n v="19150069.377928"/>
    <n v="0"/>
    <n v="0"/>
    <n v="6"/>
    <x v="0"/>
  </r>
  <r>
    <x v="580"/>
    <s v="C0202"/>
    <x v="3"/>
    <d v="2023-10-04T00:00:00"/>
    <d v="2023-11-18T00:00:00"/>
    <s v="USD"/>
    <n v="97725.67"/>
    <d v="2023-11-30T00:00:00"/>
    <s v="PAID"/>
    <s v="Y"/>
    <n v="83.458100000000002"/>
    <n v="97725.67"/>
    <n v="83.25"/>
    <n v="8135662.0274999999"/>
    <n v="0"/>
    <n v="0"/>
    <n v="12"/>
    <x v="0"/>
  </r>
  <r>
    <x v="581"/>
    <s v="C0004"/>
    <x v="0"/>
    <d v="2023-10-05T00:00:00"/>
    <d v="2023-11-19T00:00:00"/>
    <s v="INR"/>
    <n v="8164582"/>
    <d v="2023-12-03T00:00:00"/>
    <s v="PAID"/>
    <s v="N"/>
    <m/>
    <n v="8164582"/>
    <n v="1"/>
    <n v="8164582"/>
    <n v="0"/>
    <n v="0"/>
    <n v="14"/>
    <x v="0"/>
  </r>
  <r>
    <x v="582"/>
    <s v="C0011"/>
    <x v="0"/>
    <d v="2023-10-05T00:00:00"/>
    <d v="2023-11-19T00:00:00"/>
    <s v="INR"/>
    <n v="6655849"/>
    <d v="2023-12-03T00:00:00"/>
    <s v="PAID"/>
    <s v="N"/>
    <m/>
    <n v="6655849"/>
    <n v="1"/>
    <n v="6655849"/>
    <n v="0"/>
    <n v="0"/>
    <n v="14"/>
    <x v="0"/>
  </r>
  <r>
    <x v="583"/>
    <s v="C0091"/>
    <x v="2"/>
    <d v="2023-10-05T00:00:00"/>
    <d v="2023-12-04T00:00:00"/>
    <s v="USD"/>
    <n v="34064.160000000003"/>
    <d v="2023-12-21T00:00:00"/>
    <s v="PAID"/>
    <s v="N"/>
    <m/>
    <n v="34064.160000000003"/>
    <n v="83.24"/>
    <n v="2835500.6784000001"/>
    <n v="0"/>
    <n v="0"/>
    <n v="17"/>
    <x v="0"/>
  </r>
  <r>
    <x v="584"/>
    <s v="C0029"/>
    <x v="1"/>
    <d v="2023-10-06T00:00:00"/>
    <d v="2024-01-04T00:00:00"/>
    <s v="INR"/>
    <n v="14598387"/>
    <d v="2024-01-10T00:00:00"/>
    <s v="PAID"/>
    <s v="N"/>
    <m/>
    <n v="14598387"/>
    <n v="1"/>
    <n v="14598387"/>
    <n v="0"/>
    <n v="0"/>
    <n v="6"/>
    <x v="0"/>
  </r>
  <r>
    <x v="585"/>
    <s v="C0075"/>
    <x v="1"/>
    <d v="2023-10-06T00:00:00"/>
    <d v="2023-11-05T00:00:00"/>
    <s v="INR"/>
    <n v="5257454"/>
    <d v="2023-11-20T00:00:00"/>
    <s v="PAID"/>
    <s v="N"/>
    <m/>
    <n v="5257454"/>
    <n v="1"/>
    <n v="5257454"/>
    <n v="0"/>
    <n v="0"/>
    <n v="15"/>
    <x v="0"/>
  </r>
  <r>
    <x v="586"/>
    <s v="C0076"/>
    <x v="0"/>
    <d v="2023-10-06T00:00:00"/>
    <d v="2023-12-05T00:00:00"/>
    <s v="INR"/>
    <n v="1769979"/>
    <d v="2024-03-31T00:00:00"/>
    <s v="PAID"/>
    <s v="N"/>
    <m/>
    <n v="1769979"/>
    <n v="1"/>
    <n v="1769979"/>
    <n v="0"/>
    <n v="0"/>
    <n v="117"/>
    <x v="0"/>
  </r>
  <r>
    <x v="587"/>
    <s v="C0108"/>
    <x v="0"/>
    <d v="2023-10-06T00:00:00"/>
    <d v="2023-11-20T00:00:00"/>
    <s v="INR"/>
    <n v="2743786"/>
    <d v="2023-11-15T00:00:00"/>
    <s v="PARTIALLY PAID"/>
    <s v="N"/>
    <m/>
    <n v="2159142.5"/>
    <n v="1"/>
    <n v="2743786"/>
    <n v="584643.5"/>
    <n v="497"/>
    <n v="-5"/>
    <x v="1"/>
  </r>
  <r>
    <x v="588"/>
    <s v="C0019"/>
    <x v="2"/>
    <d v="2023-10-07T00:00:00"/>
    <d v="2024-01-05T00:00:00"/>
    <s v="EUR"/>
    <n v="57686.45"/>
    <d v="2024-01-24T00:00:00"/>
    <s v="PAID"/>
    <s v="N"/>
    <m/>
    <n v="57686.45"/>
    <n v="88.211699999999993"/>
    <n v="5088619.8214649996"/>
    <n v="0"/>
    <n v="0"/>
    <n v="19"/>
    <x v="0"/>
  </r>
  <r>
    <x v="589"/>
    <s v="C0066"/>
    <x v="3"/>
    <d v="2023-10-07T00:00:00"/>
    <d v="2023-11-06T00:00:00"/>
    <s v="INR"/>
    <n v="9569686"/>
    <d v="2023-11-04T00:00:00"/>
    <s v="PAID"/>
    <s v="N"/>
    <m/>
    <n v="9569686"/>
    <n v="1"/>
    <n v="9569686"/>
    <n v="0"/>
    <n v="0"/>
    <n v="-2"/>
    <x v="0"/>
  </r>
  <r>
    <x v="590"/>
    <s v="C0088"/>
    <x v="4"/>
    <d v="2023-10-07T00:00:00"/>
    <d v="2023-11-21T00:00:00"/>
    <s v="INR"/>
    <n v="2503646"/>
    <d v="2024-01-23T00:00:00"/>
    <s v="PAID"/>
    <s v="N"/>
    <m/>
    <n v="2503646"/>
    <n v="1"/>
    <n v="2503646"/>
    <n v="0"/>
    <n v="0"/>
    <n v="63"/>
    <x v="0"/>
  </r>
  <r>
    <x v="591"/>
    <s v="C0119"/>
    <x v="4"/>
    <d v="2023-10-07T00:00:00"/>
    <d v="2023-12-06T00:00:00"/>
    <s v="INR"/>
    <n v="3417689"/>
    <d v="2023-12-09T00:00:00"/>
    <s v="PAID"/>
    <s v="N"/>
    <m/>
    <n v="3417689"/>
    <n v="1"/>
    <n v="3417689"/>
    <n v="0"/>
    <n v="0"/>
    <n v="3"/>
    <x v="0"/>
  </r>
  <r>
    <x v="592"/>
    <s v="C0183"/>
    <x v="0"/>
    <d v="2023-10-07T00:00:00"/>
    <d v="2024-01-05T00:00:00"/>
    <s v="INR"/>
    <n v="11043722"/>
    <d v="2024-01-07T00:00:00"/>
    <s v="PAID"/>
    <s v="N"/>
    <m/>
    <n v="11043722"/>
    <n v="1"/>
    <n v="11043722"/>
    <n v="0"/>
    <n v="0"/>
    <n v="2"/>
    <x v="0"/>
  </r>
  <r>
    <x v="593"/>
    <s v="C0213"/>
    <x v="2"/>
    <d v="2023-10-07T00:00:00"/>
    <d v="2023-12-06T00:00:00"/>
    <s v="EUR"/>
    <n v="52719.360000000001"/>
    <d v="2023-12-18T00:00:00"/>
    <s v="PAID"/>
    <s v="N"/>
    <m/>
    <n v="52719.360000000001"/>
    <n v="88.211699999999993"/>
    <n v="4650464.368512"/>
    <n v="0"/>
    <n v="0"/>
    <n v="12"/>
    <x v="0"/>
  </r>
  <r>
    <x v="594"/>
    <s v="C0244"/>
    <x v="3"/>
    <d v="2023-10-07T00:00:00"/>
    <d v="2023-12-06T00:00:00"/>
    <s v="INR"/>
    <n v="5616192"/>
    <d v="2023-12-19T00:00:00"/>
    <s v="PAID"/>
    <s v="N"/>
    <m/>
    <n v="5616192"/>
    <n v="1"/>
    <n v="5616192"/>
    <n v="0"/>
    <n v="0"/>
    <n v="13"/>
    <x v="0"/>
  </r>
  <r>
    <x v="595"/>
    <s v="C0015"/>
    <x v="3"/>
    <d v="2023-10-09T00:00:00"/>
    <d v="2023-12-08T00:00:00"/>
    <s v="INR"/>
    <n v="2080943"/>
    <d v="2023-12-12T00:00:00"/>
    <s v="PAID"/>
    <s v="N"/>
    <m/>
    <n v="2080943"/>
    <n v="1"/>
    <n v="2080943"/>
    <n v="0"/>
    <n v="0"/>
    <n v="4"/>
    <x v="0"/>
  </r>
  <r>
    <x v="596"/>
    <s v="C0123"/>
    <x v="1"/>
    <d v="2023-10-09T00:00:00"/>
    <d v="2023-12-08T00:00:00"/>
    <s v="USD"/>
    <n v="32149.360000000001"/>
    <d v="2024-01-03T00:00:00"/>
    <s v="PAID"/>
    <s v="N"/>
    <m/>
    <n v="32149.360000000001"/>
    <n v="83.25"/>
    <n v="2676434.2200000002"/>
    <n v="0"/>
    <n v="0"/>
    <n v="26"/>
    <x v="0"/>
  </r>
  <r>
    <x v="597"/>
    <s v="C0228"/>
    <x v="0"/>
    <d v="2023-10-09T00:00:00"/>
    <d v="2023-11-23T00:00:00"/>
    <s v="INR"/>
    <n v="9793588"/>
    <d v="2023-11-26T00:00:00"/>
    <s v="PAID"/>
    <s v="N"/>
    <m/>
    <n v="9793588"/>
    <n v="1"/>
    <n v="9793588"/>
    <n v="0"/>
    <n v="0"/>
    <n v="3"/>
    <x v="0"/>
  </r>
  <r>
    <x v="598"/>
    <s v="C0114"/>
    <x v="3"/>
    <d v="2023-10-10T00:00:00"/>
    <d v="2023-12-09T00:00:00"/>
    <s v="INR"/>
    <n v="4158749"/>
    <d v="2024-02-07T00:00:00"/>
    <s v="PAID"/>
    <s v="N"/>
    <m/>
    <n v="4158749"/>
    <n v="1"/>
    <n v="4158749"/>
    <n v="0"/>
    <n v="0"/>
    <n v="60"/>
    <x v="0"/>
  </r>
  <r>
    <x v="599"/>
    <s v="C0060"/>
    <x v="0"/>
    <d v="2023-10-11T00:00:00"/>
    <d v="2023-11-25T00:00:00"/>
    <s v="INR"/>
    <n v="9325727"/>
    <d v="2023-11-29T00:00:00"/>
    <s v="PAID"/>
    <s v="N"/>
    <m/>
    <n v="9325727"/>
    <n v="1"/>
    <n v="9325727"/>
    <n v="0"/>
    <n v="0"/>
    <n v="4"/>
    <x v="0"/>
  </r>
  <r>
    <x v="600"/>
    <s v="C0132"/>
    <x v="3"/>
    <d v="2023-10-11T00:00:00"/>
    <d v="2024-01-09T00:00:00"/>
    <s v="USD"/>
    <n v="52802.53"/>
    <d v="2024-01-04T00:00:00"/>
    <s v="PAID"/>
    <s v="N"/>
    <m/>
    <n v="52802.53"/>
    <n v="83.18"/>
    <n v="4392114.4454000005"/>
    <n v="0"/>
    <n v="0"/>
    <n v="-5"/>
    <x v="0"/>
  </r>
  <r>
    <x v="601"/>
    <s v="C0236"/>
    <x v="3"/>
    <d v="2023-10-11T00:00:00"/>
    <d v="2023-12-10T00:00:00"/>
    <s v="EUR"/>
    <n v="44185.36"/>
    <d v="2024-03-15T00:00:00"/>
    <s v="PAID"/>
    <s v="N"/>
    <m/>
    <n v="44185.36"/>
    <n v="88.337199999999996"/>
    <n v="3903210.9833919997"/>
    <n v="0"/>
    <n v="0"/>
    <n v="96"/>
    <x v="0"/>
  </r>
  <r>
    <x v="602"/>
    <s v="C0048"/>
    <x v="3"/>
    <d v="2023-10-12T00:00:00"/>
    <d v="2023-11-26T00:00:00"/>
    <s v="INR"/>
    <n v="4384893"/>
    <d v="2024-03-08T00:00:00"/>
    <s v="PAID"/>
    <s v="N"/>
    <m/>
    <n v="4384893"/>
    <n v="1"/>
    <n v="4384893"/>
    <n v="0"/>
    <n v="0"/>
    <n v="103"/>
    <x v="0"/>
  </r>
  <r>
    <x v="603"/>
    <s v="C0010"/>
    <x v="1"/>
    <d v="2023-10-13T00:00:00"/>
    <d v="2023-12-12T00:00:00"/>
    <s v="USD"/>
    <n v="97291.59"/>
    <d v="2024-01-13T00:00:00"/>
    <s v="PAID"/>
    <s v="Y"/>
    <n v="83.537499999999994"/>
    <n v="97291.59"/>
    <n v="83.26"/>
    <n v="8100497.7834000001"/>
    <n v="0"/>
    <n v="0"/>
    <n v="32"/>
    <x v="0"/>
  </r>
  <r>
    <x v="604"/>
    <s v="C0029"/>
    <x v="1"/>
    <d v="2023-10-13T00:00:00"/>
    <d v="2024-01-11T00:00:00"/>
    <s v="INR"/>
    <n v="5140608"/>
    <d v="2024-01-25T00:00:00"/>
    <s v="PAID"/>
    <s v="N"/>
    <m/>
    <n v="5140608"/>
    <n v="1"/>
    <n v="5140608"/>
    <n v="0"/>
    <n v="0"/>
    <n v="14"/>
    <x v="0"/>
  </r>
  <r>
    <x v="605"/>
    <s v="C0036"/>
    <x v="1"/>
    <d v="2023-10-13T00:00:00"/>
    <d v="2023-11-27T00:00:00"/>
    <s v="INR"/>
    <n v="4194696"/>
    <d v="2023-12-04T00:00:00"/>
    <s v="PAID"/>
    <s v="N"/>
    <m/>
    <n v="4194696"/>
    <n v="1"/>
    <n v="4194696"/>
    <n v="0"/>
    <n v="0"/>
    <n v="7"/>
    <x v="0"/>
  </r>
  <r>
    <x v="606"/>
    <s v="C0073"/>
    <x v="1"/>
    <d v="2023-10-13T00:00:00"/>
    <d v="2023-11-12T00:00:00"/>
    <s v="USD"/>
    <n v="96239.15"/>
    <d v="2023-12-11T00:00:00"/>
    <s v="PAID"/>
    <s v="Y"/>
    <n v="83.398799999999994"/>
    <n v="96239.15"/>
    <n v="83.26"/>
    <n v="8012871.6289999997"/>
    <n v="0"/>
    <n v="0"/>
    <n v="29"/>
    <x v="0"/>
  </r>
  <r>
    <x v="607"/>
    <s v="C0009"/>
    <x v="3"/>
    <d v="2023-10-14T00:00:00"/>
    <d v="2023-12-13T00:00:00"/>
    <s v="INR"/>
    <n v="8696302"/>
    <d v="2023-12-16T00:00:00"/>
    <s v="PAID"/>
    <s v="N"/>
    <m/>
    <n v="8696302"/>
    <n v="1"/>
    <n v="8696302"/>
    <n v="0"/>
    <n v="0"/>
    <n v="3"/>
    <x v="0"/>
  </r>
  <r>
    <x v="608"/>
    <s v="C0009"/>
    <x v="3"/>
    <d v="2023-10-14T00:00:00"/>
    <d v="2023-12-13T00:00:00"/>
    <s v="INR"/>
    <n v="5338635"/>
    <d v="2023-12-12T00:00:00"/>
    <s v="PAID"/>
    <s v="N"/>
    <m/>
    <n v="5338635"/>
    <n v="1"/>
    <n v="5338635"/>
    <n v="0"/>
    <n v="0"/>
    <n v="-1"/>
    <x v="0"/>
  </r>
  <r>
    <x v="609"/>
    <s v="C0039"/>
    <x v="0"/>
    <d v="2023-10-14T00:00:00"/>
    <d v="2023-12-13T00:00:00"/>
    <s v="INR"/>
    <n v="3237121"/>
    <d v="2023-12-17T00:00:00"/>
    <s v="PAID"/>
    <s v="N"/>
    <m/>
    <n v="3237121"/>
    <n v="1"/>
    <n v="3237121"/>
    <n v="0"/>
    <n v="0"/>
    <n v="4"/>
    <x v="0"/>
  </r>
  <r>
    <x v="610"/>
    <s v="C0039"/>
    <x v="0"/>
    <d v="2023-10-14T00:00:00"/>
    <d v="2023-12-13T00:00:00"/>
    <s v="INR"/>
    <n v="1840960"/>
    <d v="2023-12-18T00:00:00"/>
    <s v="PAID"/>
    <s v="N"/>
    <m/>
    <n v="1840960"/>
    <n v="1"/>
    <n v="1840960"/>
    <n v="0"/>
    <n v="0"/>
    <n v="5"/>
    <x v="0"/>
  </r>
  <r>
    <x v="611"/>
    <s v="C0060"/>
    <x v="0"/>
    <d v="2023-10-14T00:00:00"/>
    <d v="2023-11-28T00:00:00"/>
    <s v="INR"/>
    <n v="4480396"/>
    <d v="2023-12-06T00:00:00"/>
    <s v="PAID"/>
    <s v="N"/>
    <m/>
    <n v="4480396"/>
    <n v="1"/>
    <n v="4480396"/>
    <n v="0"/>
    <n v="0"/>
    <n v="8"/>
    <x v="0"/>
  </r>
  <r>
    <x v="612"/>
    <s v="C0060"/>
    <x v="1"/>
    <d v="2023-10-14T00:00:00"/>
    <d v="2023-11-28T00:00:00"/>
    <s v="INR"/>
    <n v="9047992"/>
    <d v="2023-12-10T00:00:00"/>
    <s v="PAID"/>
    <s v="N"/>
    <m/>
    <n v="9047992"/>
    <n v="1"/>
    <n v="9047992"/>
    <n v="0"/>
    <n v="0"/>
    <n v="12"/>
    <x v="0"/>
  </r>
  <r>
    <x v="613"/>
    <s v="C0072"/>
    <x v="4"/>
    <d v="2023-10-14T00:00:00"/>
    <d v="2024-01-12T00:00:00"/>
    <s v="EUR"/>
    <n v="54900.62"/>
    <d v="2024-01-26T00:00:00"/>
    <s v="PAID"/>
    <s v="Y"/>
    <n v="87.701999999999998"/>
    <n v="54900.62"/>
    <n v="87.439700000000002"/>
    <n v="4800493.7426140001"/>
    <n v="0"/>
    <n v="0"/>
    <n v="14"/>
    <x v="0"/>
  </r>
  <r>
    <x v="614"/>
    <s v="C0123"/>
    <x v="1"/>
    <d v="2023-10-14T00:00:00"/>
    <d v="2023-12-13T00:00:00"/>
    <s v="USD"/>
    <n v="73333.69"/>
    <d v="2023-12-28T00:00:00"/>
    <s v="PAID"/>
    <s v="N"/>
    <m/>
    <n v="73333.69"/>
    <n v="83.26"/>
    <n v="6105763.0294000003"/>
    <n v="0"/>
    <n v="0"/>
    <n v="15"/>
    <x v="0"/>
  </r>
  <r>
    <x v="615"/>
    <s v="C0141"/>
    <x v="3"/>
    <d v="2023-10-14T00:00:00"/>
    <d v="2023-12-13T00:00:00"/>
    <s v="INR"/>
    <n v="18323378"/>
    <d v="2023-12-19T00:00:00"/>
    <s v="PAID"/>
    <s v="N"/>
    <m/>
    <n v="18323378"/>
    <n v="1"/>
    <n v="18323378"/>
    <n v="0"/>
    <n v="0"/>
    <n v="6"/>
    <x v="0"/>
  </r>
  <r>
    <x v="616"/>
    <s v="C0180"/>
    <x v="1"/>
    <d v="2023-10-14T00:00:00"/>
    <d v="2023-11-28T00:00:00"/>
    <s v="USD"/>
    <n v="53657.66"/>
    <d v="2024-07-25T00:00:00"/>
    <s v="PAID"/>
    <s v="Y"/>
    <n v="83.468100000000007"/>
    <n v="53657.66"/>
    <n v="83.26"/>
    <n v="4467536.7716000006"/>
    <n v="0"/>
    <n v="0"/>
    <n v="240"/>
    <x v="0"/>
  </r>
  <r>
    <x v="617"/>
    <s v="C0196"/>
    <x v="2"/>
    <d v="2023-10-14T00:00:00"/>
    <d v="2024-01-12T00:00:00"/>
    <s v="USD"/>
    <n v="63685.95"/>
    <d v="2024-01-17T00:00:00"/>
    <s v="PAID"/>
    <s v="N"/>
    <m/>
    <n v="63685.95"/>
    <n v="83.26"/>
    <n v="5302492.1969999997"/>
    <n v="0"/>
    <n v="0"/>
    <n v="5"/>
    <x v="0"/>
  </r>
  <r>
    <x v="618"/>
    <s v="C0245"/>
    <x v="2"/>
    <d v="2023-10-14T00:00:00"/>
    <d v="2023-12-13T00:00:00"/>
    <s v="USD"/>
    <n v="156532.85"/>
    <d v="2023-12-22T00:00:00"/>
    <s v="PAID"/>
    <s v="N"/>
    <m/>
    <n v="156532.85"/>
    <n v="83.26"/>
    <n v="13032925.091000002"/>
    <n v="0"/>
    <n v="0"/>
    <n v="9"/>
    <x v="0"/>
  </r>
  <r>
    <x v="619"/>
    <s v="C0052"/>
    <x v="0"/>
    <d v="2023-10-16T00:00:00"/>
    <d v="2023-11-15T00:00:00"/>
    <s v="INR"/>
    <n v="4089483"/>
    <d v="2023-12-08T00:00:00"/>
    <s v="PAID"/>
    <s v="N"/>
    <m/>
    <n v="4089483"/>
    <n v="1"/>
    <n v="4089483"/>
    <n v="0"/>
    <n v="0"/>
    <n v="23"/>
    <x v="0"/>
  </r>
  <r>
    <x v="620"/>
    <s v="C0075"/>
    <x v="1"/>
    <d v="2023-10-16T00:00:00"/>
    <d v="2023-11-15T00:00:00"/>
    <s v="INR"/>
    <n v="79177625"/>
    <d v="2023-12-18T00:00:00"/>
    <s v="PAID"/>
    <s v="N"/>
    <m/>
    <n v="79177625"/>
    <n v="1"/>
    <n v="79177625"/>
    <n v="0"/>
    <n v="0"/>
    <n v="33"/>
    <x v="0"/>
  </r>
  <r>
    <x v="621"/>
    <s v="C0084"/>
    <x v="3"/>
    <d v="2023-10-16T00:00:00"/>
    <d v="2023-11-30T00:00:00"/>
    <s v="INR"/>
    <n v="10094059"/>
    <d v="2023-11-28T00:00:00"/>
    <s v="PAID"/>
    <s v="N"/>
    <m/>
    <n v="10094059"/>
    <n v="1"/>
    <n v="10094059"/>
    <n v="0"/>
    <n v="0"/>
    <n v="-2"/>
    <x v="0"/>
  </r>
  <r>
    <x v="622"/>
    <s v="C0099"/>
    <x v="3"/>
    <d v="2023-10-16T00:00:00"/>
    <d v="2023-12-15T00:00:00"/>
    <s v="EUR"/>
    <n v="531143.36"/>
    <d v="2023-12-24T00:00:00"/>
    <s v="PAID"/>
    <s v="Y"/>
    <n v="88.002799999999993"/>
    <n v="531143.36"/>
    <n v="87.827100000000002"/>
    <n v="46648780.993055999"/>
    <n v="0"/>
    <n v="0"/>
    <n v="9"/>
    <x v="0"/>
  </r>
  <r>
    <x v="623"/>
    <s v="C0147"/>
    <x v="2"/>
    <d v="2023-10-16T00:00:00"/>
    <d v="2024-01-14T00:00:00"/>
    <s v="INR"/>
    <n v="6599730"/>
    <d v="2024-02-10T00:00:00"/>
    <s v="PAID"/>
    <s v="N"/>
    <m/>
    <n v="6599730"/>
    <n v="1"/>
    <n v="6599730"/>
    <n v="0"/>
    <n v="0"/>
    <n v="27"/>
    <x v="0"/>
  </r>
  <r>
    <x v="624"/>
    <s v="C0241"/>
    <x v="3"/>
    <d v="2023-10-16T00:00:00"/>
    <d v="2023-12-15T00:00:00"/>
    <s v="EUR"/>
    <n v="84492.7"/>
    <d v="2023-12-24T00:00:00"/>
    <s v="PAID"/>
    <s v="N"/>
    <m/>
    <n v="84492.7"/>
    <n v="87.827100000000002"/>
    <n v="7420748.8121699998"/>
    <n v="0"/>
    <n v="0"/>
    <n v="9"/>
    <x v="0"/>
  </r>
  <r>
    <x v="625"/>
    <s v="C0246"/>
    <x v="4"/>
    <d v="2023-10-16T00:00:00"/>
    <d v="2023-12-15T00:00:00"/>
    <s v="USD"/>
    <n v="87135.8"/>
    <d v="2024-01-19T00:00:00"/>
    <s v="PAID"/>
    <s v="Y"/>
    <n v="83.557599999999994"/>
    <n v="87135.8"/>
    <n v="83.28"/>
    <n v="7256669.4240000006"/>
    <n v="0"/>
    <n v="0"/>
    <n v="35"/>
    <x v="0"/>
  </r>
  <r>
    <x v="626"/>
    <s v="C0028"/>
    <x v="0"/>
    <d v="2023-10-17T00:00:00"/>
    <d v="2023-11-16T00:00:00"/>
    <s v="INR"/>
    <n v="1384615"/>
    <d v="2023-11-14T00:00:00"/>
    <s v="PAID"/>
    <s v="N"/>
    <m/>
    <n v="1384615"/>
    <n v="1"/>
    <n v="1384615"/>
    <n v="0"/>
    <n v="0"/>
    <n v="-2"/>
    <x v="0"/>
  </r>
  <r>
    <x v="627"/>
    <s v="C0091"/>
    <x v="2"/>
    <d v="2023-10-17T00:00:00"/>
    <d v="2023-12-16T00:00:00"/>
    <s v="USD"/>
    <n v="206356.26"/>
    <d v="2023-12-31T00:00:00"/>
    <s v="PAID"/>
    <s v="N"/>
    <m/>
    <n v="206356.26"/>
    <n v="83.22"/>
    <n v="17172967.957200002"/>
    <n v="0"/>
    <n v="0"/>
    <n v="15"/>
    <x v="0"/>
  </r>
  <r>
    <x v="628"/>
    <s v="C0228"/>
    <x v="3"/>
    <d v="2023-10-17T00:00:00"/>
    <d v="2023-12-01T00:00:00"/>
    <s v="INR"/>
    <n v="9353784"/>
    <d v="2023-12-03T00:00:00"/>
    <s v="PAID"/>
    <s v="N"/>
    <m/>
    <n v="9353784"/>
    <n v="1"/>
    <n v="9353784"/>
    <n v="0"/>
    <n v="0"/>
    <n v="2"/>
    <x v="0"/>
  </r>
  <r>
    <x v="629"/>
    <s v="C0110"/>
    <x v="1"/>
    <d v="2023-10-18T00:00:00"/>
    <d v="2023-12-17T00:00:00"/>
    <s v="USD"/>
    <n v="124294.02"/>
    <d v="2023-12-26T00:00:00"/>
    <s v="PAID"/>
    <s v="N"/>
    <m/>
    <n v="124294.02"/>
    <n v="83.25"/>
    <n v="10347477.165000001"/>
    <n v="0"/>
    <n v="0"/>
    <n v="9"/>
    <x v="0"/>
  </r>
  <r>
    <x v="630"/>
    <s v="C0139"/>
    <x v="1"/>
    <d v="2023-10-18T00:00:00"/>
    <d v="2023-12-17T00:00:00"/>
    <s v="USD"/>
    <n v="41495.760000000002"/>
    <d v="2024-01-03T00:00:00"/>
    <s v="PAID"/>
    <s v="Y"/>
    <n v="83.527500000000003"/>
    <n v="41495.760000000002"/>
    <n v="83.25"/>
    <n v="3454522.02"/>
    <n v="0"/>
    <n v="0"/>
    <n v="17"/>
    <x v="0"/>
  </r>
  <r>
    <x v="631"/>
    <s v="C0189"/>
    <x v="1"/>
    <d v="2023-10-18T00:00:00"/>
    <d v="2023-12-02T00:00:00"/>
    <s v="INR"/>
    <n v="15180558"/>
    <d v="2023-12-27T00:00:00"/>
    <s v="PAID"/>
    <s v="N"/>
    <m/>
    <n v="15180558"/>
    <n v="1"/>
    <n v="15180558"/>
    <n v="0"/>
    <n v="0"/>
    <n v="25"/>
    <x v="0"/>
  </r>
  <r>
    <x v="632"/>
    <s v="C0215"/>
    <x v="4"/>
    <d v="2023-10-18T00:00:00"/>
    <d v="2023-11-17T00:00:00"/>
    <s v="USD"/>
    <n v="34315.839999999997"/>
    <d v="2023-11-28T00:00:00"/>
    <s v="PAID"/>
    <s v="Y"/>
    <n v="83.388800000000003"/>
    <n v="34315.839999999997"/>
    <n v="83.25"/>
    <n v="2856793.6799999997"/>
    <n v="0"/>
    <n v="0"/>
    <n v="11"/>
    <x v="0"/>
  </r>
  <r>
    <x v="633"/>
    <s v="C0039"/>
    <x v="0"/>
    <d v="2023-10-19T00:00:00"/>
    <d v="2023-12-18T00:00:00"/>
    <s v="INR"/>
    <n v="5091793"/>
    <d v="2023-12-27T00:00:00"/>
    <s v="PAID"/>
    <s v="N"/>
    <m/>
    <n v="5091793"/>
    <n v="1"/>
    <n v="5091793"/>
    <n v="0"/>
    <n v="0"/>
    <n v="9"/>
    <x v="0"/>
  </r>
  <r>
    <x v="634"/>
    <s v="C0057"/>
    <x v="3"/>
    <d v="2023-10-19T00:00:00"/>
    <d v="2023-11-18T00:00:00"/>
    <s v="INR"/>
    <n v="9791370"/>
    <d v="2023-11-18T00:00:00"/>
    <s v="PAID"/>
    <s v="N"/>
    <m/>
    <n v="9791370"/>
    <n v="1"/>
    <n v="9791370"/>
    <n v="0"/>
    <n v="0"/>
    <n v="0"/>
    <x v="0"/>
  </r>
  <r>
    <x v="635"/>
    <s v="C0226"/>
    <x v="3"/>
    <d v="2023-10-19T00:00:00"/>
    <d v="2023-12-03T00:00:00"/>
    <s v="INR"/>
    <n v="11373925"/>
    <d v="2023-12-04T00:00:00"/>
    <s v="PAID"/>
    <s v="N"/>
    <m/>
    <n v="11373925"/>
    <n v="1"/>
    <n v="11373925"/>
    <n v="0"/>
    <n v="0"/>
    <n v="1"/>
    <x v="0"/>
  </r>
  <r>
    <x v="636"/>
    <s v="C0057"/>
    <x v="3"/>
    <d v="2023-10-20T00:00:00"/>
    <d v="2023-11-19T00:00:00"/>
    <s v="INR"/>
    <n v="5004935"/>
    <d v="2023-11-16T00:00:00"/>
    <s v="PAID"/>
    <s v="N"/>
    <m/>
    <n v="5004935"/>
    <n v="1"/>
    <n v="5004935"/>
    <n v="0"/>
    <n v="0"/>
    <n v="-3"/>
    <x v="0"/>
  </r>
  <r>
    <x v="637"/>
    <s v="C0060"/>
    <x v="0"/>
    <d v="2023-10-20T00:00:00"/>
    <d v="2023-12-04T00:00:00"/>
    <s v="INR"/>
    <n v="5733502"/>
    <d v="2023-12-16T00:00:00"/>
    <s v="PAID"/>
    <s v="N"/>
    <m/>
    <n v="5733502"/>
    <n v="1"/>
    <n v="5733502"/>
    <n v="0"/>
    <n v="0"/>
    <n v="12"/>
    <x v="0"/>
  </r>
  <r>
    <x v="638"/>
    <s v="C0085"/>
    <x v="3"/>
    <d v="2023-10-20T00:00:00"/>
    <d v="2024-01-18T00:00:00"/>
    <s v="EUR"/>
    <n v="59389.06"/>
    <d v="2024-01-23T00:00:00"/>
    <s v="PAID"/>
    <s v="Y"/>
    <n v="88.326099999999997"/>
    <n v="59389.06"/>
    <n v="88.061899999999994"/>
    <n v="5229913.4628139995"/>
    <n v="0"/>
    <n v="0"/>
    <n v="5"/>
    <x v="0"/>
  </r>
  <r>
    <x v="639"/>
    <s v="C0146"/>
    <x v="3"/>
    <d v="2023-10-20T00:00:00"/>
    <d v="2023-12-19T00:00:00"/>
    <s v="USD"/>
    <n v="69823.539999999994"/>
    <d v="2023-12-29T00:00:00"/>
    <s v="PAID"/>
    <s v="Y"/>
    <n v="83.417100000000005"/>
    <n v="69823.539999999994"/>
    <n v="83.14"/>
    <n v="5805129.1155999992"/>
    <n v="0"/>
    <n v="0"/>
    <n v="10"/>
    <x v="0"/>
  </r>
  <r>
    <x v="640"/>
    <s v="C0222"/>
    <x v="2"/>
    <d v="2023-10-20T00:00:00"/>
    <d v="2023-12-19T00:00:00"/>
    <s v="EUR"/>
    <n v="51935.37"/>
    <d v="2024-01-05T00:00:00"/>
    <s v="PARTIALLY PAID"/>
    <s v="N"/>
    <m/>
    <n v="40700.14"/>
    <n v="88.061899999999994"/>
    <n v="4573527.3594030002"/>
    <n v="989395.70073700021"/>
    <n v="468"/>
    <n v="17"/>
    <x v="1"/>
  </r>
  <r>
    <x v="641"/>
    <s v="C0025"/>
    <x v="3"/>
    <d v="2023-10-21T00:00:00"/>
    <d v="2023-12-05T00:00:00"/>
    <s v="USD"/>
    <n v="61818.6"/>
    <d v="2023-12-17T00:00:00"/>
    <s v="PAID"/>
    <s v="Y"/>
    <n v="83.347800000000007"/>
    <n v="61818.6"/>
    <n v="83.14"/>
    <n v="5139598.4040000001"/>
    <n v="0"/>
    <n v="0"/>
    <n v="12"/>
    <x v="0"/>
  </r>
  <r>
    <x v="642"/>
    <s v="C0059"/>
    <x v="3"/>
    <d v="2023-10-21T00:00:00"/>
    <d v="2023-11-20T00:00:00"/>
    <s v="INR"/>
    <n v="5511637"/>
    <d v="2023-11-15T00:00:00"/>
    <s v="PAID"/>
    <s v="N"/>
    <m/>
    <n v="5511637"/>
    <n v="1"/>
    <n v="5511637"/>
    <n v="0"/>
    <n v="0"/>
    <n v="-5"/>
    <x v="0"/>
  </r>
  <r>
    <x v="643"/>
    <s v="C0111"/>
    <x v="3"/>
    <d v="2023-10-21T00:00:00"/>
    <d v="2024-01-19T00:00:00"/>
    <s v="EUR"/>
    <n v="19584.12"/>
    <d v="2024-02-01T00:00:00"/>
    <s v="PAID"/>
    <s v="N"/>
    <m/>
    <n v="19584.12"/>
    <n v="88.061899999999994"/>
    <n v="1724614.8170279998"/>
    <n v="0"/>
    <n v="0"/>
    <n v="13"/>
    <x v="0"/>
  </r>
  <r>
    <x v="644"/>
    <s v="C0218"/>
    <x v="3"/>
    <d v="2023-10-21T00:00:00"/>
    <d v="2023-12-05T00:00:00"/>
    <s v="INR"/>
    <n v="7065020"/>
    <d v="2023-12-31T00:00:00"/>
    <s v="PAID"/>
    <s v="N"/>
    <m/>
    <n v="7065020"/>
    <n v="1"/>
    <n v="7065020"/>
    <n v="0"/>
    <n v="0"/>
    <n v="26"/>
    <x v="0"/>
  </r>
  <r>
    <x v="645"/>
    <s v="C0218"/>
    <x v="3"/>
    <d v="2023-10-21T00:00:00"/>
    <d v="2023-12-05T00:00:00"/>
    <s v="INR"/>
    <n v="1609046"/>
    <d v="2023-12-27T00:00:00"/>
    <s v="PAID"/>
    <s v="N"/>
    <m/>
    <n v="1609046"/>
    <n v="1"/>
    <n v="1609046"/>
    <n v="0"/>
    <n v="0"/>
    <n v="22"/>
    <x v="0"/>
  </r>
  <r>
    <x v="646"/>
    <s v="C0244"/>
    <x v="3"/>
    <d v="2023-10-21T00:00:00"/>
    <d v="2023-12-20T00:00:00"/>
    <s v="INR"/>
    <n v="1291299"/>
    <d v="2024-01-24T00:00:00"/>
    <s v="PAID"/>
    <s v="N"/>
    <m/>
    <n v="1291299"/>
    <n v="1"/>
    <n v="1291299"/>
    <n v="0"/>
    <n v="0"/>
    <n v="35"/>
    <x v="0"/>
  </r>
  <r>
    <x v="647"/>
    <s v="C0039"/>
    <x v="0"/>
    <d v="2023-10-23T00:00:00"/>
    <d v="2023-12-22T00:00:00"/>
    <s v="INR"/>
    <n v="1445870"/>
    <d v="2024-01-04T00:00:00"/>
    <s v="PAID"/>
    <s v="N"/>
    <m/>
    <n v="1445870"/>
    <n v="1"/>
    <n v="1445870"/>
    <n v="0"/>
    <n v="0"/>
    <n v="13"/>
    <x v="0"/>
  </r>
  <r>
    <x v="648"/>
    <s v="C0097"/>
    <x v="3"/>
    <d v="2023-10-23T00:00:00"/>
    <d v="2023-12-07T00:00:00"/>
    <s v="INR"/>
    <n v="4868194"/>
    <d v="2023-12-01T00:00:00"/>
    <s v="PAID"/>
    <s v="N"/>
    <m/>
    <n v="4868194"/>
    <n v="1"/>
    <n v="4868194"/>
    <n v="0"/>
    <n v="0"/>
    <n v="-6"/>
    <x v="0"/>
  </r>
  <r>
    <x v="649"/>
    <s v="C0127"/>
    <x v="2"/>
    <d v="2023-10-23T00:00:00"/>
    <d v="2023-12-22T00:00:00"/>
    <s v="INR"/>
    <n v="15197666"/>
    <d v="2024-03-03T00:00:00"/>
    <s v="PAID"/>
    <s v="N"/>
    <m/>
    <n v="15197666"/>
    <n v="1"/>
    <n v="15197666"/>
    <n v="0"/>
    <n v="0"/>
    <n v="72"/>
    <x v="0"/>
  </r>
  <r>
    <x v="650"/>
    <s v="C0004"/>
    <x v="0"/>
    <d v="2023-10-24T00:00:00"/>
    <d v="2023-12-08T00:00:00"/>
    <s v="INR"/>
    <n v="7674624"/>
    <d v="2023-12-17T00:00:00"/>
    <s v="PAID"/>
    <s v="N"/>
    <m/>
    <n v="7674624"/>
    <n v="1"/>
    <n v="7674624"/>
    <n v="0"/>
    <n v="0"/>
    <n v="9"/>
    <x v="0"/>
  </r>
  <r>
    <x v="651"/>
    <s v="C0004"/>
    <x v="0"/>
    <d v="2023-10-24T00:00:00"/>
    <d v="2023-12-08T00:00:00"/>
    <s v="INR"/>
    <n v="1675129"/>
    <d v="2023-12-17T00:00:00"/>
    <s v="PAID"/>
    <s v="N"/>
    <m/>
    <n v="1675129"/>
    <n v="1"/>
    <n v="1675129"/>
    <n v="0"/>
    <n v="0"/>
    <n v="9"/>
    <x v="0"/>
  </r>
  <r>
    <x v="652"/>
    <s v="C0020"/>
    <x v="3"/>
    <d v="2023-10-24T00:00:00"/>
    <d v="2024-01-22T00:00:00"/>
    <s v="USD"/>
    <n v="147170.54999999999"/>
    <d v="2024-03-02T00:00:00"/>
    <s v="PAID"/>
    <s v="N"/>
    <m/>
    <n v="147170.54999999999"/>
    <n v="83.19"/>
    <n v="12243118.054499999"/>
    <n v="0"/>
    <n v="0"/>
    <n v="40"/>
    <x v="0"/>
  </r>
  <r>
    <x v="653"/>
    <s v="C0037"/>
    <x v="2"/>
    <d v="2023-10-24T00:00:00"/>
    <d v="2023-11-23T00:00:00"/>
    <s v="INR"/>
    <n v="3508177"/>
    <d v="2023-11-30T00:00:00"/>
    <s v="PAID"/>
    <s v="N"/>
    <m/>
    <n v="3508177"/>
    <n v="1"/>
    <n v="3508177"/>
    <n v="0"/>
    <n v="0"/>
    <n v="7"/>
    <x v="0"/>
  </r>
  <r>
    <x v="654"/>
    <s v="C0052"/>
    <x v="0"/>
    <d v="2023-10-24T00:00:00"/>
    <d v="2023-11-23T00:00:00"/>
    <s v="INR"/>
    <n v="9448913"/>
    <d v="2023-11-30T00:00:00"/>
    <s v="PAID"/>
    <s v="N"/>
    <m/>
    <n v="9448913"/>
    <n v="1"/>
    <n v="9448913"/>
    <n v="0"/>
    <n v="0"/>
    <n v="7"/>
    <x v="0"/>
  </r>
  <r>
    <x v="655"/>
    <s v="C0183"/>
    <x v="0"/>
    <d v="2023-10-24T00:00:00"/>
    <d v="2024-01-22T00:00:00"/>
    <s v="INR"/>
    <n v="8342560"/>
    <d v="2024-01-22T00:00:00"/>
    <s v="PAID"/>
    <s v="N"/>
    <m/>
    <n v="8342560"/>
    <n v="1"/>
    <n v="8342560"/>
    <n v="0"/>
    <n v="0"/>
    <n v="0"/>
    <x v="0"/>
  </r>
  <r>
    <x v="656"/>
    <s v="C0225"/>
    <x v="2"/>
    <d v="2023-10-24T00:00:00"/>
    <d v="2023-12-08T00:00:00"/>
    <s v="USD"/>
    <n v="49015.23"/>
    <d v="2024-01-01T00:00:00"/>
    <s v="PAID"/>
    <s v="N"/>
    <m/>
    <n v="49015.23"/>
    <n v="83.19"/>
    <n v="4077576.9837000002"/>
    <n v="0"/>
    <n v="0"/>
    <n v="24"/>
    <x v="0"/>
  </r>
  <r>
    <x v="657"/>
    <s v="C0006"/>
    <x v="3"/>
    <d v="2023-10-25T00:00:00"/>
    <d v="2023-11-24T00:00:00"/>
    <s v="EUR"/>
    <n v="128870.07"/>
    <d v="2023-11-30T00:00:00"/>
    <s v="PAID"/>
    <s v="Y"/>
    <n v="88.117400000000004"/>
    <n v="128870.07"/>
    <n v="88.029399999999995"/>
    <n v="11344354.940058"/>
    <n v="0"/>
    <n v="0"/>
    <n v="6"/>
    <x v="0"/>
  </r>
  <r>
    <x v="658"/>
    <s v="C0019"/>
    <x v="2"/>
    <d v="2023-10-25T00:00:00"/>
    <d v="2024-01-23T00:00:00"/>
    <s v="EUR"/>
    <n v="65755.09"/>
    <d v="2024-03-08T00:00:00"/>
    <s v="PAID"/>
    <s v="Y"/>
    <n v="88.293499999999995"/>
    <n v="65755.09"/>
    <n v="88.029399999999995"/>
    <n v="5788381.1196459997"/>
    <n v="0"/>
    <n v="0"/>
    <n v="45"/>
    <x v="0"/>
  </r>
  <r>
    <x v="659"/>
    <s v="C0212"/>
    <x v="2"/>
    <d v="2023-10-25T00:00:00"/>
    <d v="2024-01-23T00:00:00"/>
    <s v="INR"/>
    <n v="2931742"/>
    <d v="2024-01-23T00:00:00"/>
    <s v="PAID"/>
    <s v="N"/>
    <m/>
    <n v="2931742"/>
    <n v="1"/>
    <n v="2931742"/>
    <n v="0"/>
    <n v="0"/>
    <n v="0"/>
    <x v="0"/>
  </r>
  <r>
    <x v="660"/>
    <s v="C0248"/>
    <x v="4"/>
    <d v="2023-10-25T00:00:00"/>
    <d v="2023-11-24T00:00:00"/>
    <s v="USD"/>
    <n v="46938.89"/>
    <d v="2023-11-28T00:00:00"/>
    <s v="PAID"/>
    <s v="N"/>
    <m/>
    <n v="46938.89"/>
    <n v="83.18"/>
    <n v="3904376.8702000002"/>
    <n v="0"/>
    <n v="0"/>
    <n v="4"/>
    <x v="0"/>
  </r>
  <r>
    <x v="661"/>
    <s v="C0007"/>
    <x v="3"/>
    <d v="2023-10-26T00:00:00"/>
    <d v="2023-11-25T00:00:00"/>
    <s v="USD"/>
    <n v="198672.97"/>
    <d v="2023-12-09T00:00:00"/>
    <s v="PAID"/>
    <s v="Y"/>
    <n v="83.378699999999995"/>
    <n v="198672.97"/>
    <n v="83.24"/>
    <n v="16537538.022799999"/>
    <n v="0"/>
    <n v="0"/>
    <n v="14"/>
    <x v="0"/>
  </r>
  <r>
    <x v="662"/>
    <s v="C0057"/>
    <x v="3"/>
    <d v="2023-10-26T00:00:00"/>
    <d v="2023-11-25T00:00:00"/>
    <s v="INR"/>
    <n v="2896496"/>
    <d v="2023-11-23T00:00:00"/>
    <s v="PAID"/>
    <s v="N"/>
    <m/>
    <n v="2896496"/>
    <n v="1"/>
    <n v="2896496"/>
    <n v="0"/>
    <n v="0"/>
    <n v="-2"/>
    <x v="0"/>
  </r>
  <r>
    <x v="663"/>
    <s v="C0057"/>
    <x v="3"/>
    <d v="2023-10-26T00:00:00"/>
    <d v="2023-11-25T00:00:00"/>
    <s v="INR"/>
    <n v="5037246"/>
    <d v="2023-11-28T00:00:00"/>
    <s v="PAID"/>
    <s v="N"/>
    <m/>
    <n v="5037246"/>
    <n v="1"/>
    <n v="5037246"/>
    <n v="0"/>
    <n v="0"/>
    <n v="3"/>
    <x v="0"/>
  </r>
  <r>
    <x v="664"/>
    <s v="C0153"/>
    <x v="4"/>
    <d v="2023-10-26T00:00:00"/>
    <d v="2024-01-24T00:00:00"/>
    <s v="INR"/>
    <n v="4293606"/>
    <d v="2024-01-25T00:00:00"/>
    <s v="PAID"/>
    <s v="N"/>
    <m/>
    <n v="4293606"/>
    <n v="1"/>
    <n v="4293606"/>
    <n v="0"/>
    <n v="0"/>
    <n v="1"/>
    <x v="0"/>
  </r>
  <r>
    <x v="665"/>
    <s v="C0049"/>
    <x v="3"/>
    <d v="2023-10-27T00:00:00"/>
    <d v="2023-11-26T00:00:00"/>
    <s v="INR"/>
    <n v="28004867"/>
    <d v="2023-11-23T00:00:00"/>
    <s v="PAID"/>
    <s v="N"/>
    <m/>
    <n v="28004867"/>
    <n v="1"/>
    <n v="28004867"/>
    <n v="0"/>
    <n v="0"/>
    <n v="-3"/>
    <x v="0"/>
  </r>
  <r>
    <x v="666"/>
    <s v="C0054"/>
    <x v="4"/>
    <d v="2023-10-27T00:00:00"/>
    <d v="2023-12-26T00:00:00"/>
    <s v="EUR"/>
    <n v="52660.74"/>
    <d v="2024-01-10T00:00:00"/>
    <s v="PAID"/>
    <s v="Y"/>
    <n v="88.376000000000005"/>
    <n v="52660.74"/>
    <n v="88.199600000000004"/>
    <n v="4644656.2037040005"/>
    <n v="0"/>
    <n v="0"/>
    <n v="15"/>
    <x v="0"/>
  </r>
  <r>
    <x v="667"/>
    <s v="C0068"/>
    <x v="3"/>
    <d v="2023-10-27T00:00:00"/>
    <d v="2023-12-26T00:00:00"/>
    <s v="INR"/>
    <n v="4730265"/>
    <d v="2024-01-23T00:00:00"/>
    <s v="PAID"/>
    <s v="N"/>
    <m/>
    <n v="4730265"/>
    <n v="1"/>
    <n v="4730265"/>
    <n v="0"/>
    <n v="0"/>
    <n v="28"/>
    <x v="0"/>
  </r>
  <r>
    <x v="668"/>
    <s v="C0074"/>
    <x v="0"/>
    <d v="2023-10-27T00:00:00"/>
    <d v="2023-11-26T00:00:00"/>
    <s v="INR"/>
    <n v="1509587"/>
    <d v="2023-12-03T00:00:00"/>
    <s v="PAID"/>
    <s v="N"/>
    <m/>
    <n v="1509587"/>
    <n v="1"/>
    <n v="1509587"/>
    <n v="0"/>
    <n v="0"/>
    <n v="7"/>
    <x v="0"/>
  </r>
  <r>
    <x v="669"/>
    <s v="C0091"/>
    <x v="2"/>
    <d v="2023-10-27T00:00:00"/>
    <d v="2023-12-26T00:00:00"/>
    <s v="USD"/>
    <n v="99848.69"/>
    <d v="2024-01-24T00:00:00"/>
    <s v="PAID"/>
    <s v="Y"/>
    <n v="83.547600000000003"/>
    <n v="99848.69"/>
    <n v="83.27"/>
    <n v="8314400.4162999997"/>
    <n v="0"/>
    <n v="0"/>
    <n v="29"/>
    <x v="0"/>
  </r>
  <r>
    <x v="670"/>
    <s v="C0133"/>
    <x v="1"/>
    <d v="2023-10-27T00:00:00"/>
    <d v="2024-01-25T00:00:00"/>
    <s v="USD"/>
    <n v="100442.64"/>
    <d v="2024-02-29T00:00:00"/>
    <s v="PAID"/>
    <s v="N"/>
    <m/>
    <n v="100442.64"/>
    <n v="83.27"/>
    <n v="8363858.6327999998"/>
    <n v="0"/>
    <n v="0"/>
    <n v="35"/>
    <x v="0"/>
  </r>
  <r>
    <x v="671"/>
    <s v="C0049"/>
    <x v="3"/>
    <d v="2023-10-28T00:00:00"/>
    <d v="2023-11-27T00:00:00"/>
    <s v="INR"/>
    <n v="11983601"/>
    <d v="2023-11-24T00:00:00"/>
    <s v="PAID"/>
    <s v="N"/>
    <m/>
    <n v="11983601"/>
    <n v="1"/>
    <n v="11983601"/>
    <n v="0"/>
    <n v="0"/>
    <n v="-3"/>
    <x v="0"/>
  </r>
  <r>
    <x v="672"/>
    <s v="C0057"/>
    <x v="3"/>
    <d v="2023-10-28T00:00:00"/>
    <d v="2023-11-27T00:00:00"/>
    <s v="INR"/>
    <n v="17021087"/>
    <d v="2023-11-20T00:00:00"/>
    <s v="PAID"/>
    <s v="N"/>
    <m/>
    <n v="17021087"/>
    <n v="1"/>
    <n v="17021087"/>
    <n v="0"/>
    <n v="0"/>
    <n v="-7"/>
    <x v="0"/>
  </r>
  <r>
    <x v="673"/>
    <s v="C0095"/>
    <x v="1"/>
    <d v="2023-10-28T00:00:00"/>
    <d v="2023-12-12T00:00:00"/>
    <s v="INR"/>
    <n v="10427540"/>
    <d v="2023-12-19T00:00:00"/>
    <s v="PAID"/>
    <s v="N"/>
    <m/>
    <n v="10427540"/>
    <n v="1"/>
    <n v="10427540"/>
    <n v="0"/>
    <n v="0"/>
    <n v="7"/>
    <x v="0"/>
  </r>
  <r>
    <x v="674"/>
    <s v="C0099"/>
    <x v="3"/>
    <d v="2023-10-28T00:00:00"/>
    <d v="2023-12-27T00:00:00"/>
    <s v="EUR"/>
    <n v="22828.18"/>
    <d v="2024-02-04T00:00:00"/>
    <s v="PAID"/>
    <s v="N"/>
    <m/>
    <n v="22828.18"/>
    <n v="88.199600000000004"/>
    <n v="2013436.344728"/>
    <n v="0"/>
    <n v="0"/>
    <n v="39"/>
    <x v="0"/>
  </r>
  <r>
    <x v="675"/>
    <s v="C0169"/>
    <x v="3"/>
    <d v="2023-10-28T00:00:00"/>
    <d v="2023-12-12T00:00:00"/>
    <s v="EUR"/>
    <n v="94727.38"/>
    <d v="2024-01-04T00:00:00"/>
    <s v="PAID"/>
    <s v="Y"/>
    <n v="88.331900000000005"/>
    <n v="94727.38"/>
    <n v="88.199600000000004"/>
    <n v="8354917.0250480007"/>
    <n v="0"/>
    <n v="0"/>
    <n v="23"/>
    <x v="0"/>
  </r>
  <r>
    <x v="676"/>
    <s v="C0211"/>
    <x v="3"/>
    <d v="2023-10-28T00:00:00"/>
    <d v="2023-12-12T00:00:00"/>
    <s v="INR"/>
    <n v="2490789"/>
    <d v="2023-12-31T00:00:00"/>
    <s v="PAID"/>
    <s v="N"/>
    <m/>
    <n v="2490789"/>
    <n v="1"/>
    <n v="2490789"/>
    <n v="0"/>
    <n v="0"/>
    <n v="19"/>
    <x v="0"/>
  </r>
  <r>
    <x v="677"/>
    <s v="C0236"/>
    <x v="3"/>
    <d v="2023-10-28T00:00:00"/>
    <d v="2023-12-27T00:00:00"/>
    <s v="EUR"/>
    <n v="134324.46"/>
    <d v="2024-01-14T00:00:00"/>
    <s v="PAID"/>
    <s v="Y"/>
    <n v="88.376000000000005"/>
    <n v="134324.46"/>
    <n v="88.199600000000004"/>
    <n v="11847363.642216001"/>
    <n v="0"/>
    <n v="0"/>
    <n v="18"/>
    <x v="0"/>
  </r>
  <r>
    <x v="678"/>
    <s v="C0238"/>
    <x v="2"/>
    <d v="2023-10-28T00:00:00"/>
    <d v="2023-12-27T00:00:00"/>
    <s v="INR"/>
    <n v="8479942"/>
    <d v="2024-01-06T00:00:00"/>
    <s v="PAID"/>
    <s v="N"/>
    <m/>
    <n v="8479942"/>
    <n v="1"/>
    <n v="8479942"/>
    <n v="0"/>
    <n v="0"/>
    <n v="10"/>
    <x v="0"/>
  </r>
  <r>
    <x v="679"/>
    <s v="C0039"/>
    <x v="0"/>
    <d v="2023-10-30T00:00:00"/>
    <d v="2023-12-29T00:00:00"/>
    <s v="INR"/>
    <n v="12083592"/>
    <d v="2024-01-04T00:00:00"/>
    <s v="PAID"/>
    <s v="N"/>
    <m/>
    <n v="12083592"/>
    <n v="1"/>
    <n v="12083592"/>
    <n v="0"/>
    <n v="0"/>
    <n v="6"/>
    <x v="0"/>
  </r>
  <r>
    <x v="680"/>
    <s v="C0115"/>
    <x v="1"/>
    <d v="2023-10-30T00:00:00"/>
    <d v="2023-12-29T00:00:00"/>
    <s v="EUR"/>
    <n v="77554.179999999993"/>
    <d v="2024-02-29T00:00:00"/>
    <s v="PAID"/>
    <s v="N"/>
    <m/>
    <n v="77554.179999999993"/>
    <n v="88.411500000000004"/>
    <n v="6856681.3850699998"/>
    <n v="0"/>
    <n v="0"/>
    <n v="62"/>
    <x v="0"/>
  </r>
  <r>
    <x v="681"/>
    <s v="C0159"/>
    <x v="4"/>
    <d v="2023-10-30T00:00:00"/>
    <d v="2023-12-14T00:00:00"/>
    <s v="INR"/>
    <n v="17400855"/>
    <d v="2023-12-15T00:00:00"/>
    <s v="PAID"/>
    <s v="N"/>
    <m/>
    <n v="17400855"/>
    <n v="1"/>
    <n v="17400855"/>
    <n v="0"/>
    <n v="0"/>
    <n v="1"/>
    <x v="0"/>
  </r>
  <r>
    <x v="682"/>
    <s v="C0177"/>
    <x v="4"/>
    <d v="2023-10-30T00:00:00"/>
    <d v="2023-12-29T00:00:00"/>
    <s v="EUR"/>
    <n v="15569.18"/>
    <d v="2023-12-29T00:00:00"/>
    <s v="PAID"/>
    <s v="N"/>
    <m/>
    <n v="15569.18"/>
    <n v="88.411500000000004"/>
    <n v="1376494.5575700002"/>
    <n v="0"/>
    <n v="0"/>
    <n v="0"/>
    <x v="0"/>
  </r>
  <r>
    <x v="683"/>
    <s v="C0201"/>
    <x v="4"/>
    <d v="2023-10-30T00:00:00"/>
    <d v="2023-12-29T00:00:00"/>
    <s v="INR"/>
    <n v="6806542"/>
    <d v="2024-01-20T00:00:00"/>
    <s v="PAID"/>
    <s v="N"/>
    <m/>
    <n v="6806542"/>
    <n v="1"/>
    <n v="6806542"/>
    <n v="0"/>
    <n v="0"/>
    <n v="22"/>
    <x v="0"/>
  </r>
  <r>
    <x v="684"/>
    <s v="C0213"/>
    <x v="2"/>
    <d v="2023-10-31T00:00:00"/>
    <d v="2023-12-30T00:00:00"/>
    <s v="EUR"/>
    <n v="157730.54"/>
    <d v="2024-01-02T00:00:00"/>
    <s v="PAID"/>
    <s v="N"/>
    <m/>
    <n v="157730.54"/>
    <n v="87.989199999999997"/>
    <n v="13878584.030168001"/>
    <n v="0"/>
    <n v="0"/>
    <n v="3"/>
    <x v="0"/>
  </r>
  <r>
    <x v="685"/>
    <s v="C0043"/>
    <x v="1"/>
    <d v="2023-11-01T00:00:00"/>
    <d v="2023-12-16T00:00:00"/>
    <s v="INR"/>
    <n v="2697494"/>
    <d v="2023-12-28T00:00:00"/>
    <s v="PAID"/>
    <s v="N"/>
    <m/>
    <n v="2697494"/>
    <n v="1"/>
    <n v="2697494"/>
    <n v="0"/>
    <n v="0"/>
    <n v="12"/>
    <x v="0"/>
  </r>
  <r>
    <x v="686"/>
    <s v="C0218"/>
    <x v="3"/>
    <d v="2023-11-01T00:00:00"/>
    <d v="2023-12-16T00:00:00"/>
    <s v="INR"/>
    <n v="35394399"/>
    <d v="2023-12-25T00:00:00"/>
    <s v="PAID"/>
    <s v="N"/>
    <m/>
    <n v="35394399"/>
    <n v="1"/>
    <n v="35394399"/>
    <n v="0"/>
    <n v="0"/>
    <n v="9"/>
    <x v="0"/>
  </r>
  <r>
    <x v="687"/>
    <s v="C0066"/>
    <x v="3"/>
    <d v="2023-11-02T00:00:00"/>
    <d v="2023-12-02T00:00:00"/>
    <s v="INR"/>
    <n v="8698598"/>
    <d v="2023-12-18T00:00:00"/>
    <s v="PAID"/>
    <s v="N"/>
    <m/>
    <n v="8698598"/>
    <n v="1"/>
    <n v="8698598"/>
    <n v="0"/>
    <n v="0"/>
    <n v="16"/>
    <x v="0"/>
  </r>
  <r>
    <x v="688"/>
    <s v="C0069"/>
    <x v="2"/>
    <d v="2023-11-02T00:00:00"/>
    <d v="2023-12-02T00:00:00"/>
    <s v="INR"/>
    <n v="18067496"/>
    <d v="2023-12-21T00:00:00"/>
    <s v="PAID"/>
    <s v="N"/>
    <m/>
    <n v="18067496"/>
    <n v="1"/>
    <n v="18067496"/>
    <n v="0"/>
    <n v="0"/>
    <n v="19"/>
    <x v="0"/>
  </r>
  <r>
    <x v="689"/>
    <s v="C0207"/>
    <x v="4"/>
    <d v="2023-11-02T00:00:00"/>
    <d v="2024-01-01T00:00:00"/>
    <s v="INR"/>
    <n v="4785755"/>
    <d v="2024-01-08T00:00:00"/>
    <s v="PAID"/>
    <s v="N"/>
    <m/>
    <n v="4785755"/>
    <n v="1"/>
    <n v="4785755"/>
    <n v="0"/>
    <n v="0"/>
    <n v="7"/>
    <x v="0"/>
  </r>
  <r>
    <x v="690"/>
    <s v="C0060"/>
    <x v="1"/>
    <d v="2023-11-03T00:00:00"/>
    <d v="2023-12-18T00:00:00"/>
    <s v="INR"/>
    <n v="7470236"/>
    <d v="2023-12-17T00:00:00"/>
    <s v="PAID"/>
    <s v="N"/>
    <m/>
    <n v="7470236"/>
    <n v="1"/>
    <n v="7470236"/>
    <n v="0"/>
    <n v="0"/>
    <n v="-1"/>
    <x v="0"/>
  </r>
  <r>
    <x v="691"/>
    <s v="C0238"/>
    <x v="2"/>
    <d v="2023-11-03T00:00:00"/>
    <d v="2024-01-02T00:00:00"/>
    <s v="INR"/>
    <n v="8146638"/>
    <d v="2024-01-05T00:00:00"/>
    <s v="PAID"/>
    <s v="N"/>
    <m/>
    <n v="8146638"/>
    <n v="1"/>
    <n v="8146638"/>
    <n v="0"/>
    <n v="0"/>
    <n v="3"/>
    <x v="0"/>
  </r>
  <r>
    <x v="692"/>
    <s v="C0244"/>
    <x v="3"/>
    <d v="2023-11-03T00:00:00"/>
    <d v="2024-01-02T00:00:00"/>
    <s v="INR"/>
    <n v="5494962"/>
    <d v="2024-01-29T00:00:00"/>
    <s v="PAID"/>
    <s v="N"/>
    <m/>
    <n v="5494962"/>
    <n v="1"/>
    <n v="5494962"/>
    <n v="0"/>
    <n v="0"/>
    <n v="27"/>
    <x v="0"/>
  </r>
  <r>
    <x v="693"/>
    <s v="C0024"/>
    <x v="3"/>
    <d v="2023-11-04T00:00:00"/>
    <d v="2023-12-04T00:00:00"/>
    <s v="INR"/>
    <n v="2754906"/>
    <d v="2023-12-03T00:00:00"/>
    <s v="PAID"/>
    <s v="N"/>
    <m/>
    <n v="2754906"/>
    <n v="1"/>
    <n v="2754906"/>
    <n v="0"/>
    <n v="0"/>
    <n v="-1"/>
    <x v="0"/>
  </r>
  <r>
    <x v="694"/>
    <s v="C0025"/>
    <x v="3"/>
    <d v="2023-11-04T00:00:00"/>
    <d v="2023-12-19T00:00:00"/>
    <s v="USD"/>
    <n v="278506.89"/>
    <d v="2024-02-11T00:00:00"/>
    <s v="PAID"/>
    <s v="Y"/>
    <n v="83.347800000000007"/>
    <n v="278506.89"/>
    <n v="83.14"/>
    <n v="23155062.834600002"/>
    <n v="0"/>
    <n v="0"/>
    <n v="54"/>
    <x v="0"/>
  </r>
  <r>
    <x v="695"/>
    <s v="C0049"/>
    <x v="3"/>
    <d v="2023-11-04T00:00:00"/>
    <d v="2023-12-04T00:00:00"/>
    <s v="INR"/>
    <n v="2605684"/>
    <d v="2023-11-24T00:00:00"/>
    <s v="PAID"/>
    <s v="N"/>
    <m/>
    <n v="2605684"/>
    <n v="1"/>
    <n v="2605684"/>
    <n v="0"/>
    <n v="0"/>
    <n v="-10"/>
    <x v="0"/>
  </r>
  <r>
    <x v="696"/>
    <s v="C0061"/>
    <x v="1"/>
    <d v="2023-11-04T00:00:00"/>
    <d v="2024-02-02T00:00:00"/>
    <s v="INR"/>
    <n v="1197659"/>
    <d v="2024-02-01T00:00:00"/>
    <s v="PAID"/>
    <s v="N"/>
    <m/>
    <n v="1197659"/>
    <n v="1"/>
    <n v="1197659"/>
    <n v="0"/>
    <n v="0"/>
    <n v="-1"/>
    <x v="0"/>
  </r>
  <r>
    <x v="697"/>
    <s v="C0075"/>
    <x v="1"/>
    <d v="2023-11-04T00:00:00"/>
    <d v="2023-12-04T00:00:00"/>
    <s v="INR"/>
    <n v="4731682"/>
    <d v="2023-12-21T00:00:00"/>
    <s v="PAID"/>
    <s v="N"/>
    <m/>
    <n v="4731682"/>
    <n v="1"/>
    <n v="4731682"/>
    <n v="0"/>
    <n v="0"/>
    <n v="17"/>
    <x v="0"/>
  </r>
  <r>
    <x v="698"/>
    <s v="C0083"/>
    <x v="3"/>
    <d v="2023-11-04T00:00:00"/>
    <d v="2023-12-19T00:00:00"/>
    <s v="INR"/>
    <n v="9134969"/>
    <d v="2024-01-11T00:00:00"/>
    <s v="PAID"/>
    <s v="N"/>
    <m/>
    <n v="9134969"/>
    <n v="1"/>
    <n v="9134969"/>
    <n v="0"/>
    <n v="0"/>
    <n v="23"/>
    <x v="0"/>
  </r>
  <r>
    <x v="699"/>
    <s v="C0123"/>
    <x v="1"/>
    <d v="2023-11-04T00:00:00"/>
    <d v="2024-01-03T00:00:00"/>
    <s v="USD"/>
    <n v="34436.730000000003"/>
    <d v="2024-01-21T00:00:00"/>
    <s v="PAID"/>
    <s v="Y"/>
    <n v="83.417100000000005"/>
    <n v="34436.730000000003"/>
    <n v="83.14"/>
    <n v="2863069.7322000004"/>
    <n v="0"/>
    <n v="0"/>
    <n v="18"/>
    <x v="0"/>
  </r>
  <r>
    <x v="700"/>
    <s v="C0160"/>
    <x v="3"/>
    <d v="2023-11-04T00:00:00"/>
    <d v="2023-12-19T00:00:00"/>
    <s v="INR"/>
    <n v="1864690"/>
    <d v="2024-01-08T00:00:00"/>
    <s v="PAID"/>
    <s v="N"/>
    <m/>
    <n v="1864690"/>
    <n v="1"/>
    <n v="1864690"/>
    <n v="0"/>
    <n v="0"/>
    <n v="20"/>
    <x v="0"/>
  </r>
  <r>
    <x v="701"/>
    <s v="C0173"/>
    <x v="4"/>
    <d v="2023-11-04T00:00:00"/>
    <d v="2024-01-03T00:00:00"/>
    <s v="EUR"/>
    <n v="144755.64000000001"/>
    <d v="2024-01-13T00:00:00"/>
    <s v="PAID"/>
    <s v="N"/>
    <m/>
    <n v="144755.64000000001"/>
    <n v="89.234200000000001"/>
    <n v="12917153.730888002"/>
    <n v="0"/>
    <n v="0"/>
    <n v="10"/>
    <x v="0"/>
  </r>
  <r>
    <x v="702"/>
    <s v="C0183"/>
    <x v="0"/>
    <d v="2023-11-04T00:00:00"/>
    <d v="2024-02-02T00:00:00"/>
    <s v="INR"/>
    <n v="2662511"/>
    <d v="2024-02-06T00:00:00"/>
    <s v="PAID"/>
    <s v="N"/>
    <m/>
    <n v="2662511"/>
    <n v="1"/>
    <n v="2662511"/>
    <n v="0"/>
    <n v="0"/>
    <n v="4"/>
    <x v="0"/>
  </r>
  <r>
    <x v="703"/>
    <s v="C0213"/>
    <x v="2"/>
    <d v="2023-11-04T00:00:00"/>
    <d v="2024-01-03T00:00:00"/>
    <s v="EUR"/>
    <n v="28823.5"/>
    <d v="2024-01-04T00:00:00"/>
    <s v="PAID"/>
    <s v="N"/>
    <m/>
    <n v="28823.5"/>
    <n v="89.234200000000001"/>
    <n v="2572041.9637000002"/>
    <n v="0"/>
    <n v="0"/>
    <n v="1"/>
    <x v="0"/>
  </r>
  <r>
    <x v="704"/>
    <s v="C0216"/>
    <x v="1"/>
    <d v="2023-11-04T00:00:00"/>
    <d v="2024-01-03T00:00:00"/>
    <s v="USD"/>
    <n v="45279.92"/>
    <d v="2024-01-13T00:00:00"/>
    <s v="PAID"/>
    <s v="N"/>
    <m/>
    <n v="45279.92"/>
    <n v="83.14"/>
    <n v="3764572.5488"/>
    <n v="0"/>
    <n v="0"/>
    <n v="10"/>
    <x v="0"/>
  </r>
  <r>
    <x v="705"/>
    <s v="C0223"/>
    <x v="0"/>
    <d v="2023-11-04T00:00:00"/>
    <d v="2023-12-19T00:00:00"/>
    <s v="INR"/>
    <n v="5251046"/>
    <d v="2024-01-23T00:00:00"/>
    <s v="PAID"/>
    <s v="N"/>
    <m/>
    <n v="5251046"/>
    <n v="1"/>
    <n v="5251046"/>
    <n v="0"/>
    <n v="0"/>
    <n v="35"/>
    <x v="0"/>
  </r>
  <r>
    <x v="706"/>
    <s v="C0147"/>
    <x v="3"/>
    <d v="2023-11-06T00:00:00"/>
    <d v="2024-02-04T00:00:00"/>
    <s v="INR"/>
    <n v="1452866"/>
    <d v="2024-02-09T00:00:00"/>
    <s v="PAID"/>
    <s v="N"/>
    <m/>
    <n v="1452866"/>
    <n v="1"/>
    <n v="1452866"/>
    <n v="0"/>
    <n v="0"/>
    <n v="5"/>
    <x v="0"/>
  </r>
  <r>
    <x v="707"/>
    <s v="C0169"/>
    <x v="3"/>
    <d v="2023-11-06T00:00:00"/>
    <d v="2023-12-21T00:00:00"/>
    <s v="EUR"/>
    <n v="379142.97"/>
    <d v="2023-12-26T00:00:00"/>
    <s v="PAID"/>
    <s v="Y"/>
    <n v="89.538399999999996"/>
    <n v="379142.97"/>
    <n v="89.404300000000006"/>
    <n v="33897011.832771003"/>
    <n v="0"/>
    <n v="0"/>
    <n v="5"/>
    <x v="0"/>
  </r>
  <r>
    <x v="708"/>
    <s v="C0220"/>
    <x v="1"/>
    <d v="2023-11-06T00:00:00"/>
    <d v="2023-12-06T00:00:00"/>
    <s v="INR"/>
    <n v="2379081"/>
    <d v="2023-12-22T00:00:00"/>
    <s v="PAID"/>
    <s v="N"/>
    <m/>
    <n v="2379081"/>
    <n v="1"/>
    <n v="2379081"/>
    <n v="0"/>
    <n v="0"/>
    <n v="16"/>
    <x v="0"/>
  </r>
  <r>
    <x v="709"/>
    <s v="C0239"/>
    <x v="1"/>
    <d v="2023-11-06T00:00:00"/>
    <d v="2023-12-21T00:00:00"/>
    <s v="INR"/>
    <n v="5592319"/>
    <d v="2024-02-02T00:00:00"/>
    <s v="PAID"/>
    <s v="N"/>
    <m/>
    <n v="5592319"/>
    <n v="1"/>
    <n v="5592319"/>
    <n v="0"/>
    <n v="0"/>
    <n v="43"/>
    <x v="0"/>
  </r>
  <r>
    <x v="710"/>
    <s v="C0213"/>
    <x v="1"/>
    <d v="2023-11-07T00:00:00"/>
    <d v="2024-01-06T00:00:00"/>
    <s v="EUR"/>
    <n v="29688.67"/>
    <d v="2024-01-16T00:00:00"/>
    <s v="PAID"/>
    <s v="N"/>
    <m/>
    <n v="29688.67"/>
    <n v="88.937200000000004"/>
    <n v="2640427.1815240001"/>
    <n v="0"/>
    <n v="0"/>
    <n v="10"/>
    <x v="0"/>
  </r>
  <r>
    <x v="711"/>
    <s v="C0221"/>
    <x v="1"/>
    <d v="2023-11-07T00:00:00"/>
    <d v="2024-01-06T00:00:00"/>
    <s v="INR"/>
    <n v="2795384"/>
    <d v="2024-01-06T00:00:00"/>
    <s v="PAID"/>
    <s v="N"/>
    <m/>
    <n v="2795384"/>
    <n v="1"/>
    <n v="2795384"/>
    <n v="0"/>
    <n v="0"/>
    <n v="0"/>
    <x v="0"/>
  </r>
  <r>
    <x v="712"/>
    <s v="C0228"/>
    <x v="0"/>
    <d v="2023-11-07T00:00:00"/>
    <d v="2023-12-22T00:00:00"/>
    <s v="INR"/>
    <n v="1845835"/>
    <d v="2023-12-26T00:00:00"/>
    <s v="PAID"/>
    <s v="N"/>
    <m/>
    <n v="1845835"/>
    <n v="1"/>
    <n v="1845835"/>
    <n v="0"/>
    <n v="0"/>
    <n v="4"/>
    <x v="0"/>
  </r>
  <r>
    <x v="713"/>
    <s v="C0212"/>
    <x v="2"/>
    <d v="2023-11-08T00:00:00"/>
    <d v="2024-02-06T00:00:00"/>
    <s v="INR"/>
    <n v="9688491"/>
    <d v="2024-02-01T00:00:00"/>
    <s v="PAID"/>
    <s v="N"/>
    <m/>
    <n v="9688491"/>
    <n v="1"/>
    <n v="9688491"/>
    <n v="0"/>
    <n v="0"/>
    <n v="-5"/>
    <x v="0"/>
  </r>
  <r>
    <x v="714"/>
    <s v="C0111"/>
    <x v="3"/>
    <d v="2023-11-09T00:00:00"/>
    <d v="2024-02-07T00:00:00"/>
    <s v="EUR"/>
    <n v="316065.94"/>
    <d v="2024-02-21T00:00:00"/>
    <s v="PAID"/>
    <s v="Y"/>
    <n v="89.428200000000004"/>
    <n v="316065.94"/>
    <n v="89.160700000000006"/>
    <n v="28180660.456558"/>
    <n v="0"/>
    <n v="0"/>
    <n v="14"/>
    <x v="0"/>
  </r>
  <r>
    <x v="715"/>
    <s v="C0229"/>
    <x v="3"/>
    <d v="2023-11-09T00:00:00"/>
    <d v="2024-02-07T00:00:00"/>
    <s v="USD"/>
    <n v="86399.62"/>
    <d v="2024-02-16T00:00:00"/>
    <s v="PAID"/>
    <s v="N"/>
    <m/>
    <n v="86399.62"/>
    <n v="83.25"/>
    <n v="7192768.3649999993"/>
    <n v="0"/>
    <n v="0"/>
    <n v="9"/>
    <x v="0"/>
  </r>
  <r>
    <x v="716"/>
    <s v="C0010"/>
    <x v="1"/>
    <d v="2023-11-10T00:00:00"/>
    <d v="2024-01-09T00:00:00"/>
    <s v="USD"/>
    <n v="69261.86"/>
    <d v="2024-01-18T00:00:00"/>
    <s v="PAID"/>
    <s v="N"/>
    <m/>
    <n v="69261.86"/>
    <n v="83.25"/>
    <n v="5766049.8449999997"/>
    <n v="0"/>
    <n v="0"/>
    <n v="9"/>
    <x v="0"/>
  </r>
  <r>
    <x v="717"/>
    <s v="C0017"/>
    <x v="4"/>
    <d v="2023-11-10T00:00:00"/>
    <d v="2024-01-09T00:00:00"/>
    <s v="USD"/>
    <n v="67887.399999999994"/>
    <d v="2024-01-16T00:00:00"/>
    <s v="PAID"/>
    <s v="Y"/>
    <n v="83.527500000000003"/>
    <n v="67887.399999999994"/>
    <n v="83.25"/>
    <n v="5651626.0499999998"/>
    <n v="0"/>
    <n v="0"/>
    <n v="7"/>
    <x v="0"/>
  </r>
  <r>
    <x v="718"/>
    <s v="C0042"/>
    <x v="3"/>
    <d v="2023-11-10T00:00:00"/>
    <d v="2024-01-09T00:00:00"/>
    <s v="EUR"/>
    <n v="51260.08"/>
    <d v="2024-02-21T00:00:00"/>
    <s v="PAID"/>
    <s v="N"/>
    <m/>
    <n v="51260.08"/>
    <n v="89.160700000000006"/>
    <n v="4570384.6148560001"/>
    <n v="0"/>
    <n v="0"/>
    <n v="43"/>
    <x v="0"/>
  </r>
  <r>
    <x v="719"/>
    <s v="C0203"/>
    <x v="1"/>
    <d v="2023-11-10T00:00:00"/>
    <d v="2023-12-25T00:00:00"/>
    <s v="INR"/>
    <n v="6299227"/>
    <d v="2023-12-27T00:00:00"/>
    <s v="PAID"/>
    <s v="N"/>
    <m/>
    <n v="6299227"/>
    <n v="1"/>
    <n v="6299227"/>
    <n v="0"/>
    <n v="0"/>
    <n v="2"/>
    <x v="0"/>
  </r>
  <r>
    <x v="720"/>
    <s v="C0236"/>
    <x v="3"/>
    <d v="2023-11-10T00:00:00"/>
    <d v="2024-01-09T00:00:00"/>
    <s v="EUR"/>
    <n v="35428.080000000002"/>
    <d v="2024-02-21T00:00:00"/>
    <s v="PAID"/>
    <s v="N"/>
    <m/>
    <n v="35428.080000000002"/>
    <n v="89.160700000000006"/>
    <n v="3158792.4124560002"/>
    <n v="0"/>
    <n v="0"/>
    <n v="43"/>
    <x v="0"/>
  </r>
  <r>
    <x v="721"/>
    <s v="C0016"/>
    <x v="1"/>
    <d v="2023-11-11T00:00:00"/>
    <d v="2023-12-11T00:00:00"/>
    <s v="INR"/>
    <n v="3091325"/>
    <d v="2023-12-15T00:00:00"/>
    <s v="PAID"/>
    <s v="N"/>
    <m/>
    <n v="3091325"/>
    <n v="1"/>
    <n v="3091325"/>
    <n v="0"/>
    <n v="0"/>
    <n v="4"/>
    <x v="0"/>
  </r>
  <r>
    <x v="722"/>
    <s v="C0043"/>
    <x v="1"/>
    <d v="2023-11-11T00:00:00"/>
    <d v="2023-12-26T00:00:00"/>
    <s v="INR"/>
    <n v="2122375"/>
    <d v="2023-12-24T00:00:00"/>
    <s v="PAID"/>
    <s v="N"/>
    <m/>
    <n v="2122375"/>
    <n v="1"/>
    <n v="2122375"/>
    <n v="0"/>
    <n v="0"/>
    <n v="-2"/>
    <x v="0"/>
  </r>
  <r>
    <x v="723"/>
    <s v="C0057"/>
    <x v="3"/>
    <d v="2023-11-11T00:00:00"/>
    <d v="2023-12-11T00:00:00"/>
    <s v="INR"/>
    <n v="3819889"/>
    <d v="2023-12-10T00:00:00"/>
    <s v="PARTIALLY PAID"/>
    <s v="N"/>
    <m/>
    <n v="2513568.17"/>
    <n v="1"/>
    <n v="3819889"/>
    <n v="1306320.83"/>
    <n v="476"/>
    <n v="-1"/>
    <x v="1"/>
  </r>
  <r>
    <x v="724"/>
    <s v="C0101"/>
    <x v="4"/>
    <d v="2023-11-11T00:00:00"/>
    <d v="2024-01-10T00:00:00"/>
    <s v="USD"/>
    <n v="135485.38"/>
    <d v="2024-01-30T00:00:00"/>
    <s v="PAID"/>
    <s v="Y"/>
    <n v="83.527500000000003"/>
    <n v="135485.38"/>
    <n v="83.25"/>
    <n v="11279157.885"/>
    <n v="0"/>
    <n v="0"/>
    <n v="20"/>
    <x v="0"/>
  </r>
  <r>
    <x v="725"/>
    <s v="C0110"/>
    <x v="1"/>
    <d v="2023-11-11T00:00:00"/>
    <d v="2024-01-10T00:00:00"/>
    <s v="USD"/>
    <n v="104605.87"/>
    <d v="2024-02-06T00:00:00"/>
    <s v="PARTIALLY PAID"/>
    <s v="N"/>
    <m/>
    <n v="66670.12"/>
    <n v="83.25"/>
    <n v="8708438.6775000002"/>
    <n v="3158151.1875"/>
    <n v="446"/>
    <n v="27"/>
    <x v="1"/>
  </r>
  <r>
    <x v="726"/>
    <s v="C0123"/>
    <x v="1"/>
    <d v="2023-11-11T00:00:00"/>
    <d v="2024-01-10T00:00:00"/>
    <s v="USD"/>
    <n v="29407.63"/>
    <d v="2024-02-01T00:00:00"/>
    <s v="PAID"/>
    <s v="Y"/>
    <n v="83.527500000000003"/>
    <n v="29407.63"/>
    <n v="83.25"/>
    <n v="2448185.1975000002"/>
    <n v="0"/>
    <n v="0"/>
    <n v="22"/>
    <x v="0"/>
  </r>
  <r>
    <x v="727"/>
    <s v="C0226"/>
    <x v="3"/>
    <d v="2023-11-11T00:00:00"/>
    <d v="2023-12-26T00:00:00"/>
    <s v="INR"/>
    <n v="48562739"/>
    <d v="2023-12-24T00:00:00"/>
    <s v="PAID"/>
    <s v="N"/>
    <m/>
    <n v="48562739"/>
    <n v="1"/>
    <n v="48562739"/>
    <n v="0"/>
    <n v="0"/>
    <n v="-2"/>
    <x v="0"/>
  </r>
  <r>
    <x v="728"/>
    <s v="C0029"/>
    <x v="1"/>
    <d v="2023-11-13T00:00:00"/>
    <d v="2024-02-11T00:00:00"/>
    <s v="INR"/>
    <n v="5291821"/>
    <d v="2024-02-20T00:00:00"/>
    <s v="PARTIALLY PAID"/>
    <s v="N"/>
    <m/>
    <n v="2892403.75"/>
    <n v="1"/>
    <n v="5291821"/>
    <n v="2399417.25"/>
    <n v="414"/>
    <n v="9"/>
    <x v="1"/>
  </r>
  <r>
    <x v="729"/>
    <s v="C0057"/>
    <x v="3"/>
    <d v="2023-11-13T00:00:00"/>
    <d v="2023-12-13T00:00:00"/>
    <s v="INR"/>
    <n v="25465579"/>
    <d v="2023-12-08T00:00:00"/>
    <s v="PAID"/>
    <s v="N"/>
    <m/>
    <n v="25465579"/>
    <n v="1"/>
    <n v="25465579"/>
    <n v="0"/>
    <n v="0"/>
    <n v="-5"/>
    <x v="0"/>
  </r>
  <r>
    <x v="730"/>
    <s v="C0072"/>
    <x v="4"/>
    <d v="2023-11-13T00:00:00"/>
    <d v="2024-02-11T00:00:00"/>
    <s v="EUR"/>
    <n v="31270.09"/>
    <d v="2024-02-14T00:00:00"/>
    <s v="PAID"/>
    <s v="Y"/>
    <n v="89.419899999999998"/>
    <n v="31270.09"/>
    <n v="89.1524"/>
    <n v="2787803.5717159999"/>
    <n v="0"/>
    <n v="0"/>
    <n v="3"/>
    <x v="0"/>
  </r>
  <r>
    <x v="731"/>
    <s v="C0202"/>
    <x v="3"/>
    <d v="2023-11-13T00:00:00"/>
    <d v="2023-12-28T00:00:00"/>
    <s v="USD"/>
    <n v="37106.42"/>
    <d v="2024-01-06T00:00:00"/>
    <s v="PAID"/>
    <s v="Y"/>
    <n v="83.528300000000002"/>
    <n v="37106.42"/>
    <n v="83.32"/>
    <n v="3091706.9143999997"/>
    <n v="0"/>
    <n v="0"/>
    <n v="9"/>
    <x v="0"/>
  </r>
  <r>
    <x v="732"/>
    <s v="C0019"/>
    <x v="2"/>
    <d v="2023-11-14T00:00:00"/>
    <d v="2024-02-12T00:00:00"/>
    <s v="EUR"/>
    <n v="61204.23"/>
    <d v="2024-02-17T00:00:00"/>
    <s v="PAID"/>
    <s v="N"/>
    <m/>
    <n v="61204.23"/>
    <n v="90.493899999999996"/>
    <n v="5538609.4691970004"/>
    <n v="0"/>
    <n v="0"/>
    <n v="5"/>
    <x v="0"/>
  </r>
  <r>
    <x v="733"/>
    <s v="C0073"/>
    <x v="1"/>
    <d v="2023-11-14T00:00:00"/>
    <d v="2023-12-14T00:00:00"/>
    <s v="USD"/>
    <n v="26390.51"/>
    <m/>
    <s v="PAID"/>
    <s v="N"/>
    <m/>
    <n v="26390.51"/>
    <n v="83.32"/>
    <n v="2198857.2931999997"/>
    <n v="0"/>
    <n v="0"/>
    <s v=""/>
    <x v="0"/>
  </r>
  <r>
    <x v="734"/>
    <s v="C0164"/>
    <x v="3"/>
    <d v="2023-11-14T00:00:00"/>
    <d v="2024-01-13T00:00:00"/>
    <s v="USD"/>
    <n v="34340"/>
    <d v="2024-01-17T00:00:00"/>
    <s v="PAID"/>
    <s v="N"/>
    <m/>
    <n v="34340"/>
    <n v="83.32"/>
    <n v="2861208.8"/>
    <n v="0"/>
    <n v="0"/>
    <n v="4"/>
    <x v="0"/>
  </r>
  <r>
    <x v="735"/>
    <s v="C0226"/>
    <x v="3"/>
    <d v="2023-11-14T00:00:00"/>
    <d v="2023-12-29T00:00:00"/>
    <s v="INR"/>
    <n v="9850880"/>
    <d v="2024-01-04T00:00:00"/>
    <s v="PAID"/>
    <s v="N"/>
    <m/>
    <n v="9850880"/>
    <n v="1"/>
    <n v="9850880"/>
    <n v="0"/>
    <n v="0"/>
    <n v="6"/>
    <x v="0"/>
  </r>
  <r>
    <x v="736"/>
    <s v="C0173"/>
    <x v="4"/>
    <d v="2023-11-15T00:00:00"/>
    <d v="2024-01-14T00:00:00"/>
    <s v="EUR"/>
    <n v="123576.11"/>
    <d v="2024-01-27T00:00:00"/>
    <s v="PAID"/>
    <s v="Y"/>
    <n v="90.3797"/>
    <n v="123576.11"/>
    <n v="90.199299999999994"/>
    <n v="11146478.618722999"/>
    <n v="0"/>
    <n v="0"/>
    <n v="13"/>
    <x v="0"/>
  </r>
  <r>
    <x v="737"/>
    <s v="C0198"/>
    <x v="3"/>
    <d v="2023-11-15T00:00:00"/>
    <d v="2023-12-30T00:00:00"/>
    <s v="USD"/>
    <n v="134836.22"/>
    <d v="2024-02-19T00:00:00"/>
    <s v="PAID"/>
    <s v="N"/>
    <m/>
    <n v="134836.22"/>
    <n v="83.11"/>
    <n v="11206238.244200001"/>
    <n v="0"/>
    <n v="0"/>
    <n v="51"/>
    <x v="0"/>
  </r>
  <r>
    <x v="738"/>
    <s v="C0228"/>
    <x v="0"/>
    <d v="2023-11-15T00:00:00"/>
    <d v="2023-12-30T00:00:00"/>
    <s v="INR"/>
    <n v="11205089"/>
    <d v="2024-01-13T00:00:00"/>
    <s v="PAID"/>
    <s v="N"/>
    <m/>
    <n v="11205089"/>
    <n v="1"/>
    <n v="11205089"/>
    <n v="0"/>
    <n v="0"/>
    <n v="14"/>
    <x v="0"/>
  </r>
  <r>
    <x v="739"/>
    <s v="C0003"/>
    <x v="0"/>
    <d v="2023-11-16T00:00:00"/>
    <d v="2023-12-31T00:00:00"/>
    <s v="INR"/>
    <n v="2392124"/>
    <d v="2024-01-28T00:00:00"/>
    <s v="PAID"/>
    <s v="N"/>
    <m/>
    <n v="2392124"/>
    <n v="1"/>
    <n v="2392124"/>
    <n v="0"/>
    <n v="0"/>
    <n v="28"/>
    <x v="0"/>
  </r>
  <r>
    <x v="740"/>
    <s v="C0039"/>
    <x v="0"/>
    <d v="2023-11-16T00:00:00"/>
    <d v="2024-01-15T00:00:00"/>
    <s v="INR"/>
    <n v="9393579"/>
    <d v="2024-01-26T00:00:00"/>
    <s v="PAID"/>
    <s v="N"/>
    <m/>
    <n v="9393579"/>
    <n v="1"/>
    <n v="9393579"/>
    <n v="0"/>
    <n v="0"/>
    <n v="11"/>
    <x v="0"/>
  </r>
  <r>
    <x v="741"/>
    <s v="C0109"/>
    <x v="1"/>
    <d v="2023-11-16T00:00:00"/>
    <d v="2023-12-31T00:00:00"/>
    <s v="INR"/>
    <n v="4474714"/>
    <d v="2024-01-19T00:00:00"/>
    <s v="PAID"/>
    <s v="N"/>
    <m/>
    <n v="4474714"/>
    <n v="1"/>
    <n v="4474714"/>
    <n v="0"/>
    <n v="0"/>
    <n v="19"/>
    <x v="0"/>
  </r>
  <r>
    <x v="742"/>
    <s v="C0181"/>
    <x v="1"/>
    <d v="2023-11-16T00:00:00"/>
    <d v="2024-01-15T00:00:00"/>
    <s v="INR"/>
    <n v="1798863"/>
    <d v="2024-01-23T00:00:00"/>
    <s v="PAID"/>
    <s v="N"/>
    <m/>
    <n v="1798863"/>
    <n v="1"/>
    <n v="1798863"/>
    <n v="0"/>
    <n v="0"/>
    <n v="8"/>
    <x v="0"/>
  </r>
  <r>
    <x v="743"/>
    <s v="C0070"/>
    <x v="1"/>
    <d v="2023-11-17T00:00:00"/>
    <d v="2024-01-01T00:00:00"/>
    <s v="INR"/>
    <n v="12779482"/>
    <d v="2024-01-26T00:00:00"/>
    <s v="PAID"/>
    <s v="N"/>
    <m/>
    <n v="12779482"/>
    <n v="1"/>
    <n v="12779482"/>
    <n v="0"/>
    <n v="0"/>
    <n v="25"/>
    <x v="0"/>
  </r>
  <r>
    <x v="744"/>
    <s v="C0105"/>
    <x v="2"/>
    <d v="2023-11-17T00:00:00"/>
    <d v="2024-02-15T00:00:00"/>
    <s v="INR"/>
    <n v="7221988"/>
    <d v="2024-02-22T00:00:00"/>
    <s v="PAID"/>
    <s v="N"/>
    <m/>
    <n v="7221988"/>
    <n v="1"/>
    <n v="7221988"/>
    <n v="0"/>
    <n v="0"/>
    <n v="7"/>
    <x v="0"/>
  </r>
  <r>
    <x v="745"/>
    <s v="C0166"/>
    <x v="4"/>
    <d v="2023-11-17T00:00:00"/>
    <d v="2024-02-15T00:00:00"/>
    <s v="INR"/>
    <n v="9338380"/>
    <d v="2024-02-27T00:00:00"/>
    <s v="PAID"/>
    <s v="N"/>
    <m/>
    <n v="9338380"/>
    <n v="1"/>
    <n v="9338380"/>
    <n v="0"/>
    <n v="0"/>
    <n v="12"/>
    <x v="0"/>
  </r>
  <r>
    <x v="746"/>
    <s v="C0176"/>
    <x v="0"/>
    <d v="2023-11-17T00:00:00"/>
    <d v="2023-12-17T00:00:00"/>
    <s v="INR"/>
    <n v="2576148"/>
    <m/>
    <s v="PAID"/>
    <s v="N"/>
    <m/>
    <n v="2576148"/>
    <n v="1"/>
    <n v="2576148"/>
    <n v="0"/>
    <n v="0"/>
    <s v=""/>
    <x v="0"/>
  </r>
  <r>
    <x v="747"/>
    <s v="C0248"/>
    <x v="4"/>
    <d v="2023-11-17T00:00:00"/>
    <d v="2023-12-17T00:00:00"/>
    <s v="USD"/>
    <n v="15608.66"/>
    <d v="2023-12-23T00:00:00"/>
    <s v="PAID"/>
    <s v="N"/>
    <m/>
    <n v="15608.66"/>
    <n v="83.25"/>
    <n v="1299420.9450000001"/>
    <n v="0"/>
    <n v="0"/>
    <n v="6"/>
    <x v="0"/>
  </r>
  <r>
    <x v="748"/>
    <s v="C0020"/>
    <x v="3"/>
    <d v="2023-11-18T00:00:00"/>
    <d v="2024-02-16T00:00:00"/>
    <s v="USD"/>
    <n v="282342.3"/>
    <d v="2024-05-08T00:00:00"/>
    <s v="PAID"/>
    <s v="Y"/>
    <n v="83.666200000000003"/>
    <n v="282342.3"/>
    <n v="83.25"/>
    <n v="23504996.474999998"/>
    <n v="0"/>
    <n v="0"/>
    <n v="82"/>
    <x v="0"/>
  </r>
  <r>
    <x v="749"/>
    <s v="C0049"/>
    <x v="3"/>
    <d v="2023-11-18T00:00:00"/>
    <d v="2023-12-18T00:00:00"/>
    <s v="INR"/>
    <n v="12361727"/>
    <d v="2023-12-13T00:00:00"/>
    <s v="PAID"/>
    <s v="N"/>
    <m/>
    <n v="12361727"/>
    <n v="1"/>
    <n v="12361727"/>
    <n v="0"/>
    <n v="0"/>
    <n v="-5"/>
    <x v="0"/>
  </r>
  <r>
    <x v="750"/>
    <s v="C0095"/>
    <x v="1"/>
    <d v="2023-11-18T00:00:00"/>
    <d v="2024-01-02T00:00:00"/>
    <s v="INR"/>
    <n v="9217814"/>
    <d v="2024-01-19T00:00:00"/>
    <s v="PAID"/>
    <s v="N"/>
    <m/>
    <n v="9217814"/>
    <n v="1"/>
    <n v="9217814"/>
    <n v="0"/>
    <n v="0"/>
    <n v="17"/>
    <x v="0"/>
  </r>
  <r>
    <x v="751"/>
    <s v="C0123"/>
    <x v="1"/>
    <d v="2023-11-18T00:00:00"/>
    <d v="2024-01-17T00:00:00"/>
    <s v="USD"/>
    <n v="25895.19"/>
    <d v="2024-03-19T00:00:00"/>
    <s v="PAID"/>
    <s v="N"/>
    <m/>
    <n v="25895.19"/>
    <n v="83.25"/>
    <n v="2155774.5674999999"/>
    <n v="0"/>
    <n v="0"/>
    <n v="62"/>
    <x v="0"/>
  </r>
  <r>
    <x v="752"/>
    <s v="C0137"/>
    <x v="1"/>
    <d v="2023-11-18T00:00:00"/>
    <d v="2024-01-17T00:00:00"/>
    <s v="USD"/>
    <n v="218706.86"/>
    <d v="2024-02-10T00:00:00"/>
    <s v="PARTIALLY PAID"/>
    <s v="N"/>
    <m/>
    <n v="117183.34"/>
    <n v="83.25"/>
    <n v="18207346.094999999"/>
    <n v="8451833.0399999991"/>
    <n v="439"/>
    <n v="24"/>
    <x v="1"/>
  </r>
  <r>
    <x v="753"/>
    <s v="C0160"/>
    <x v="3"/>
    <d v="2023-11-18T00:00:00"/>
    <d v="2024-01-02T00:00:00"/>
    <s v="INR"/>
    <n v="4916972"/>
    <d v="2024-01-09T00:00:00"/>
    <s v="PAID"/>
    <s v="N"/>
    <m/>
    <n v="4916972"/>
    <n v="1"/>
    <n v="4916972"/>
    <n v="0"/>
    <n v="0"/>
    <n v="7"/>
    <x v="0"/>
  </r>
  <r>
    <x v="754"/>
    <s v="C0166"/>
    <x v="4"/>
    <d v="2023-11-18T00:00:00"/>
    <d v="2024-02-16T00:00:00"/>
    <s v="INR"/>
    <n v="4387218"/>
    <d v="2024-03-05T00:00:00"/>
    <s v="PAID"/>
    <s v="N"/>
    <m/>
    <n v="4387218"/>
    <n v="1"/>
    <n v="4387218"/>
    <n v="0"/>
    <n v="0"/>
    <n v="18"/>
    <x v="0"/>
  </r>
  <r>
    <x v="755"/>
    <s v="C0225"/>
    <x v="2"/>
    <d v="2023-11-18T00:00:00"/>
    <d v="2024-01-02T00:00:00"/>
    <s v="USD"/>
    <n v="28893.88"/>
    <d v="2024-01-10T00:00:00"/>
    <s v="PAID"/>
    <s v="N"/>
    <m/>
    <n v="28893.88"/>
    <n v="83.25"/>
    <n v="2405415.5100000002"/>
    <n v="0"/>
    <n v="0"/>
    <n v="8"/>
    <x v="0"/>
  </r>
  <r>
    <x v="756"/>
    <s v="C0228"/>
    <x v="0"/>
    <d v="2023-11-18T00:00:00"/>
    <d v="2024-01-02T00:00:00"/>
    <s v="INR"/>
    <n v="21760916"/>
    <d v="2024-01-07T00:00:00"/>
    <s v="PARTIALLY PAID"/>
    <s v="N"/>
    <m/>
    <n v="13817478.720000001"/>
    <n v="1"/>
    <n v="21760916"/>
    <n v="7943437.2799999993"/>
    <n v="454"/>
    <n v="5"/>
    <x v="1"/>
  </r>
  <r>
    <x v="757"/>
    <s v="C0228"/>
    <x v="3"/>
    <d v="2023-11-18T00:00:00"/>
    <d v="2024-01-02T00:00:00"/>
    <s v="INR"/>
    <n v="2521326"/>
    <d v="2024-01-14T00:00:00"/>
    <s v="PAID"/>
    <s v="N"/>
    <m/>
    <n v="2521326"/>
    <n v="1"/>
    <n v="2521326"/>
    <n v="0"/>
    <n v="0"/>
    <n v="12"/>
    <x v="0"/>
  </r>
  <r>
    <x v="758"/>
    <s v="C0229"/>
    <x v="3"/>
    <d v="2023-11-18T00:00:00"/>
    <d v="2024-02-16T00:00:00"/>
    <s v="USD"/>
    <n v="139319"/>
    <d v="2024-03-08T00:00:00"/>
    <s v="PAID"/>
    <s v="N"/>
    <m/>
    <n v="139319"/>
    <n v="83.25"/>
    <n v="11598306.75"/>
    <n v="0"/>
    <n v="0"/>
    <n v="21"/>
    <x v="0"/>
  </r>
  <r>
    <x v="759"/>
    <s v="C0236"/>
    <x v="1"/>
    <d v="2023-11-18T00:00:00"/>
    <d v="2024-01-17T00:00:00"/>
    <s v="EUR"/>
    <n v="390064.79"/>
    <d v="2024-02-14T00:00:00"/>
    <s v="PARTIALLY PAID"/>
    <s v="N"/>
    <m/>
    <n v="213178.92"/>
    <n v="90.567700000000002"/>
    <n v="35327270.881283"/>
    <n v="16020146.408398997"/>
    <n v="439"/>
    <n v="28"/>
    <x v="1"/>
  </r>
  <r>
    <x v="760"/>
    <s v="C0238"/>
    <x v="2"/>
    <d v="2023-11-18T00:00:00"/>
    <d v="2024-01-17T00:00:00"/>
    <s v="INR"/>
    <n v="2082344"/>
    <d v="2024-01-26T00:00:00"/>
    <s v="PAID"/>
    <s v="N"/>
    <m/>
    <n v="2082344"/>
    <n v="1"/>
    <n v="2082344"/>
    <n v="0"/>
    <n v="0"/>
    <n v="9"/>
    <x v="0"/>
  </r>
  <r>
    <x v="761"/>
    <s v="C0244"/>
    <x v="3"/>
    <d v="2023-11-18T00:00:00"/>
    <d v="2024-01-17T00:00:00"/>
    <s v="INR"/>
    <n v="32464060"/>
    <d v="2024-03-11T00:00:00"/>
    <s v="PARTIALLY PAID"/>
    <s v="N"/>
    <m/>
    <n v="21928674.699999999"/>
    <n v="1"/>
    <n v="32464060"/>
    <n v="10535385.300000001"/>
    <n v="439"/>
    <n v="54"/>
    <x v="1"/>
  </r>
  <r>
    <x v="762"/>
    <s v="C0105"/>
    <x v="1"/>
    <d v="2023-11-20T00:00:00"/>
    <d v="2024-02-18T00:00:00"/>
    <s v="INR"/>
    <n v="1061177"/>
    <d v="2024-03-17T00:00:00"/>
    <s v="PAID"/>
    <s v="N"/>
    <m/>
    <n v="1061177"/>
    <n v="1"/>
    <n v="1061177"/>
    <n v="0"/>
    <n v="0"/>
    <n v="28"/>
    <x v="0"/>
  </r>
  <r>
    <x v="763"/>
    <s v="C0133"/>
    <x v="1"/>
    <d v="2023-11-20T00:00:00"/>
    <d v="2024-02-18T00:00:00"/>
    <s v="USD"/>
    <n v="34290.61"/>
    <d v="2024-03-04T00:00:00"/>
    <s v="PARTIALLY PAID"/>
    <s v="N"/>
    <m/>
    <n v="28063.91"/>
    <n v="83.33"/>
    <n v="2857436.5312999999"/>
    <n v="518870.91100000002"/>
    <n v="407"/>
    <n v="15"/>
    <x v="1"/>
  </r>
  <r>
    <x v="764"/>
    <s v="C0197"/>
    <x v="0"/>
    <d v="2023-11-20T00:00:00"/>
    <d v="2024-01-04T00:00:00"/>
    <s v="INR"/>
    <n v="6029378"/>
    <d v="2024-01-05T00:00:00"/>
    <s v="PAID"/>
    <s v="N"/>
    <m/>
    <n v="6029378"/>
    <n v="1"/>
    <n v="6029378"/>
    <n v="0"/>
    <n v="0"/>
    <n v="1"/>
    <x v="0"/>
  </r>
  <r>
    <x v="765"/>
    <s v="C0213"/>
    <x v="1"/>
    <d v="2023-11-20T00:00:00"/>
    <d v="2024-01-19T00:00:00"/>
    <s v="EUR"/>
    <n v="58185.120000000003"/>
    <d v="2024-01-20T00:00:00"/>
    <s v="PAID"/>
    <s v="N"/>
    <m/>
    <n v="58185.120000000003"/>
    <n v="91.204700000000003"/>
    <n v="5306756.4140640004"/>
    <n v="0"/>
    <n v="0"/>
    <n v="1"/>
    <x v="0"/>
  </r>
  <r>
    <x v="766"/>
    <s v="C0226"/>
    <x v="3"/>
    <d v="2023-11-21T00:00:00"/>
    <d v="2024-01-05T00:00:00"/>
    <s v="INR"/>
    <n v="5889595"/>
    <d v="2024-01-08T00:00:00"/>
    <s v="PAID"/>
    <s v="N"/>
    <m/>
    <n v="5889595"/>
    <n v="1"/>
    <n v="5889595"/>
    <n v="0"/>
    <n v="0"/>
    <n v="3"/>
    <x v="0"/>
  </r>
  <r>
    <x v="767"/>
    <s v="C0003"/>
    <x v="0"/>
    <d v="2023-11-22T00:00:00"/>
    <d v="2024-01-06T00:00:00"/>
    <s v="INR"/>
    <n v="7046019"/>
    <d v="2024-02-17T00:00:00"/>
    <s v="PAID"/>
    <s v="N"/>
    <m/>
    <n v="7046019"/>
    <n v="1"/>
    <n v="7046019"/>
    <n v="0"/>
    <n v="0"/>
    <n v="42"/>
    <x v="0"/>
  </r>
  <r>
    <x v="768"/>
    <s v="C0068"/>
    <x v="3"/>
    <d v="2023-11-22T00:00:00"/>
    <d v="2024-01-21T00:00:00"/>
    <s v="INR"/>
    <n v="2155969"/>
    <d v="2024-02-14T00:00:00"/>
    <s v="PAID"/>
    <s v="N"/>
    <m/>
    <n v="2155969"/>
    <n v="1"/>
    <n v="2155969"/>
    <n v="0"/>
    <n v="0"/>
    <n v="24"/>
    <x v="0"/>
  </r>
  <r>
    <x v="769"/>
    <s v="C0227"/>
    <x v="2"/>
    <d v="2023-11-22T00:00:00"/>
    <d v="2024-01-06T00:00:00"/>
    <s v="INR"/>
    <n v="9293589"/>
    <d v="2024-01-14T00:00:00"/>
    <s v="PAID"/>
    <s v="N"/>
    <m/>
    <n v="9293589"/>
    <n v="1"/>
    <n v="9293589"/>
    <n v="0"/>
    <n v="0"/>
    <n v="8"/>
    <x v="0"/>
  </r>
  <r>
    <x v="770"/>
    <s v="C0003"/>
    <x v="0"/>
    <d v="2023-11-23T00:00:00"/>
    <d v="2024-01-07T00:00:00"/>
    <s v="INR"/>
    <n v="7118456"/>
    <d v="2024-02-17T00:00:00"/>
    <s v="PAID"/>
    <s v="N"/>
    <m/>
    <n v="7118456"/>
    <n v="1"/>
    <n v="7118456"/>
    <n v="0"/>
    <n v="0"/>
    <n v="41"/>
    <x v="0"/>
  </r>
  <r>
    <x v="771"/>
    <s v="C0023"/>
    <x v="1"/>
    <d v="2023-11-23T00:00:00"/>
    <d v="2024-01-07T00:00:00"/>
    <s v="INR"/>
    <n v="4883624"/>
    <d v="2024-02-19T00:00:00"/>
    <s v="PAID"/>
    <s v="N"/>
    <m/>
    <n v="4883624"/>
    <n v="1"/>
    <n v="4883624"/>
    <n v="0"/>
    <n v="0"/>
    <n v="43"/>
    <x v="0"/>
  </r>
  <r>
    <x v="772"/>
    <s v="C0153"/>
    <x v="4"/>
    <d v="2023-11-23T00:00:00"/>
    <d v="2024-02-21T00:00:00"/>
    <s v="INR"/>
    <n v="6790267"/>
    <d v="2024-02-23T00:00:00"/>
    <s v="PARTIALLY PAID"/>
    <s v="N"/>
    <m/>
    <n v="5726220.5599999996"/>
    <n v="1"/>
    <n v="6790267"/>
    <n v="1064046.4400000004"/>
    <n v="404"/>
    <n v="2"/>
    <x v="1"/>
  </r>
  <r>
    <x v="773"/>
    <s v="C0185"/>
    <x v="3"/>
    <d v="2023-11-23T00:00:00"/>
    <d v="2024-01-22T00:00:00"/>
    <s v="INR"/>
    <n v="3299566"/>
    <d v="2024-01-23T00:00:00"/>
    <s v="PAID"/>
    <s v="N"/>
    <m/>
    <n v="3299566"/>
    <n v="1"/>
    <n v="3299566"/>
    <n v="0"/>
    <n v="0"/>
    <n v="1"/>
    <x v="0"/>
  </r>
  <r>
    <x v="774"/>
    <s v="C0050"/>
    <x v="0"/>
    <d v="2023-11-24T00:00:00"/>
    <d v="2024-01-23T00:00:00"/>
    <s v="INR"/>
    <n v="7125485"/>
    <d v="2024-01-31T00:00:00"/>
    <s v="PAID"/>
    <s v="N"/>
    <m/>
    <n v="7125485"/>
    <n v="1"/>
    <n v="7125485"/>
    <n v="0"/>
    <n v="0"/>
    <n v="8"/>
    <x v="0"/>
  </r>
  <r>
    <x v="775"/>
    <s v="C0057"/>
    <x v="3"/>
    <d v="2023-11-24T00:00:00"/>
    <d v="2023-12-24T00:00:00"/>
    <s v="INR"/>
    <n v="9480681"/>
    <d v="2023-12-26T00:00:00"/>
    <s v="PAID"/>
    <s v="N"/>
    <m/>
    <n v="9480681"/>
    <n v="1"/>
    <n v="9480681"/>
    <n v="0"/>
    <n v="0"/>
    <n v="2"/>
    <x v="0"/>
  </r>
  <r>
    <x v="776"/>
    <s v="C0058"/>
    <x v="3"/>
    <d v="2023-11-24T00:00:00"/>
    <d v="2023-12-24T00:00:00"/>
    <s v="INR"/>
    <n v="6306388"/>
    <d v="2023-12-29T00:00:00"/>
    <s v="PAID"/>
    <s v="N"/>
    <m/>
    <n v="6306388"/>
    <n v="1"/>
    <n v="6306388"/>
    <n v="0"/>
    <n v="0"/>
    <n v="5"/>
    <x v="0"/>
  </r>
  <r>
    <x v="777"/>
    <s v="C0082"/>
    <x v="4"/>
    <d v="2023-11-24T00:00:00"/>
    <d v="2024-01-23T00:00:00"/>
    <s v="INR"/>
    <n v="24182621"/>
    <d v="2024-01-30T00:00:00"/>
    <s v="PAID"/>
    <s v="N"/>
    <m/>
    <n v="24182621"/>
    <n v="1"/>
    <n v="24182621"/>
    <n v="0"/>
    <n v="0"/>
    <n v="7"/>
    <x v="0"/>
  </r>
  <r>
    <x v="778"/>
    <s v="C0020"/>
    <x v="2"/>
    <d v="2023-11-25T00:00:00"/>
    <d v="2024-02-23T00:00:00"/>
    <s v="USD"/>
    <n v="47349.24"/>
    <d v="2024-05-14T00:00:00"/>
    <s v="PAID"/>
    <s v="Y"/>
    <n v="83.756699999999995"/>
    <n v="47349.24"/>
    <n v="83.34"/>
    <n v="3946085.6615999998"/>
    <n v="0"/>
    <n v="0"/>
    <n v="81"/>
    <x v="0"/>
  </r>
  <r>
    <x v="779"/>
    <s v="C0080"/>
    <x v="0"/>
    <d v="2023-11-25T00:00:00"/>
    <d v="2024-01-24T00:00:00"/>
    <s v="INR"/>
    <n v="7325279"/>
    <d v="2024-01-31T00:00:00"/>
    <s v="PAID"/>
    <s v="N"/>
    <m/>
    <n v="7325279"/>
    <n v="1"/>
    <n v="7325279"/>
    <n v="0"/>
    <n v="0"/>
    <n v="7"/>
    <x v="0"/>
  </r>
  <r>
    <x v="780"/>
    <s v="C0103"/>
    <x v="0"/>
    <d v="2023-11-25T00:00:00"/>
    <d v="2024-01-24T00:00:00"/>
    <s v="INR"/>
    <n v="5860307"/>
    <d v="2024-02-11T00:00:00"/>
    <s v="PAID"/>
    <s v="N"/>
    <m/>
    <n v="5860307"/>
    <n v="1"/>
    <n v="5860307"/>
    <n v="0"/>
    <n v="0"/>
    <n v="18"/>
    <x v="0"/>
  </r>
  <r>
    <x v="781"/>
    <s v="C0109"/>
    <x v="1"/>
    <d v="2023-11-25T00:00:00"/>
    <d v="2024-01-09T00:00:00"/>
    <s v="INR"/>
    <n v="11174148"/>
    <d v="2024-01-16T00:00:00"/>
    <s v="PAID"/>
    <s v="N"/>
    <m/>
    <n v="11174148"/>
    <n v="1"/>
    <n v="11174148"/>
    <n v="0"/>
    <n v="0"/>
    <n v="7"/>
    <x v="0"/>
  </r>
  <r>
    <x v="782"/>
    <s v="C0242"/>
    <x v="0"/>
    <d v="2023-11-25T00:00:00"/>
    <d v="2024-01-24T00:00:00"/>
    <s v="EUR"/>
    <n v="110823.45"/>
    <d v="2024-02-06T00:00:00"/>
    <s v="PAID"/>
    <s v="Y"/>
    <n v="91.306200000000004"/>
    <n v="110823.45"/>
    <n v="91.123999999999995"/>
    <n v="10098676.057799999"/>
    <n v="0"/>
    <n v="0"/>
    <n v="13"/>
    <x v="0"/>
  </r>
  <r>
    <x v="783"/>
    <s v="C0248"/>
    <x v="4"/>
    <d v="2023-11-25T00:00:00"/>
    <d v="2023-12-25T00:00:00"/>
    <s v="USD"/>
    <n v="77408.679999999993"/>
    <d v="2023-12-31T00:00:00"/>
    <s v="PAID"/>
    <s v="N"/>
    <m/>
    <n v="77408.679999999993"/>
    <n v="83.34"/>
    <n v="6451239.3911999995"/>
    <n v="0"/>
    <n v="0"/>
    <n v="6"/>
    <x v="0"/>
  </r>
  <r>
    <x v="784"/>
    <s v="C0025"/>
    <x v="3"/>
    <d v="2023-11-27T00:00:00"/>
    <d v="2024-01-11T00:00:00"/>
    <s v="USD"/>
    <n v="47690.33"/>
    <d v="2024-02-13T00:00:00"/>
    <s v="PAID"/>
    <s v="Y"/>
    <n v="83.548299999999998"/>
    <n v="47690.33"/>
    <n v="83.34"/>
    <n v="3974512.1022000001"/>
    <n v="0"/>
    <n v="0"/>
    <n v="33"/>
    <x v="0"/>
  </r>
  <r>
    <x v="785"/>
    <s v="C0025"/>
    <x v="3"/>
    <d v="2023-11-27T00:00:00"/>
    <d v="2024-01-11T00:00:00"/>
    <s v="USD"/>
    <n v="60443.75"/>
    <d v="2024-02-15T00:00:00"/>
    <s v="PAID"/>
    <s v="Y"/>
    <n v="83.548299999999998"/>
    <n v="60443.75"/>
    <n v="83.34"/>
    <n v="5037382.125"/>
    <n v="0"/>
    <n v="0"/>
    <n v="35"/>
    <x v="0"/>
  </r>
  <r>
    <x v="786"/>
    <s v="C0040"/>
    <x v="2"/>
    <d v="2023-11-27T00:00:00"/>
    <d v="2023-12-27T00:00:00"/>
    <s v="EUR"/>
    <n v="43203.4"/>
    <d v="2024-01-14T00:00:00"/>
    <s v="PAID"/>
    <s v="N"/>
    <m/>
    <n v="43203.4"/>
    <n v="91.149000000000001"/>
    <n v="3937946.7066000002"/>
    <n v="0"/>
    <n v="0"/>
    <n v="18"/>
    <x v="0"/>
  </r>
  <r>
    <x v="787"/>
    <s v="C0060"/>
    <x v="0"/>
    <d v="2023-11-27T00:00:00"/>
    <d v="2024-01-11T00:00:00"/>
    <s v="INR"/>
    <n v="5743925"/>
    <d v="2024-01-26T00:00:00"/>
    <s v="PAID"/>
    <s v="N"/>
    <m/>
    <n v="5743925"/>
    <n v="1"/>
    <n v="5743925"/>
    <n v="0"/>
    <n v="0"/>
    <n v="15"/>
    <x v="0"/>
  </r>
  <r>
    <x v="788"/>
    <s v="C0060"/>
    <x v="0"/>
    <d v="2023-11-27T00:00:00"/>
    <d v="2024-01-11T00:00:00"/>
    <s v="INR"/>
    <n v="3967797"/>
    <d v="2024-01-27T00:00:00"/>
    <s v="PAID"/>
    <s v="N"/>
    <m/>
    <n v="3967797"/>
    <n v="1"/>
    <n v="3967797"/>
    <n v="0"/>
    <n v="0"/>
    <n v="16"/>
    <x v="0"/>
  </r>
  <r>
    <x v="789"/>
    <s v="C0148"/>
    <x v="0"/>
    <d v="2023-11-27T00:00:00"/>
    <d v="2023-12-27T00:00:00"/>
    <s v="INR"/>
    <n v="3761744"/>
    <d v="2024-01-02T00:00:00"/>
    <s v="PAID"/>
    <s v="N"/>
    <m/>
    <n v="3761744"/>
    <n v="1"/>
    <n v="3761744"/>
    <n v="0"/>
    <n v="0"/>
    <n v="6"/>
    <x v="0"/>
  </r>
  <r>
    <x v="790"/>
    <s v="C0228"/>
    <x v="0"/>
    <d v="2023-11-27T00:00:00"/>
    <d v="2024-01-11T00:00:00"/>
    <s v="INR"/>
    <n v="6623799"/>
    <d v="2024-01-14T00:00:00"/>
    <s v="PAID"/>
    <s v="N"/>
    <m/>
    <n v="6623799"/>
    <n v="1"/>
    <n v="6623799"/>
    <n v="0"/>
    <n v="0"/>
    <n v="3"/>
    <x v="0"/>
  </r>
  <r>
    <x v="791"/>
    <s v="C0004"/>
    <x v="0"/>
    <d v="2023-11-28T00:00:00"/>
    <d v="2024-01-12T00:00:00"/>
    <s v="INR"/>
    <n v="1032886"/>
    <d v="2024-01-28T00:00:00"/>
    <s v="PAID"/>
    <s v="N"/>
    <m/>
    <n v="1032886"/>
    <n v="1"/>
    <n v="1032886"/>
    <n v="0"/>
    <n v="0"/>
    <n v="16"/>
    <x v="0"/>
  </r>
  <r>
    <x v="792"/>
    <s v="C0072"/>
    <x v="4"/>
    <d v="2023-11-28T00:00:00"/>
    <d v="2024-02-26T00:00:00"/>
    <s v="EUR"/>
    <n v="100899.26"/>
    <d v="2024-03-02T00:00:00"/>
    <s v="PAID"/>
    <s v="N"/>
    <m/>
    <n v="100899.26"/>
    <n v="91.721299999999999"/>
    <n v="9254611.2962379996"/>
    <n v="0"/>
    <n v="0"/>
    <n v="5"/>
    <x v="0"/>
  </r>
  <r>
    <x v="793"/>
    <s v="C0110"/>
    <x v="1"/>
    <d v="2023-11-28T00:00:00"/>
    <d v="2024-01-27T00:00:00"/>
    <s v="USD"/>
    <n v="163607.20000000001"/>
    <d v="2024-02-17T00:00:00"/>
    <s v="PAID"/>
    <s v="Y"/>
    <n v="83.607799999999997"/>
    <n v="163607.20000000001"/>
    <n v="83.33"/>
    <n v="13633387.976"/>
    <n v="0"/>
    <n v="0"/>
    <n v="21"/>
    <x v="0"/>
  </r>
  <r>
    <x v="794"/>
    <s v="C0140"/>
    <x v="4"/>
    <d v="2023-11-28T00:00:00"/>
    <d v="2024-01-12T00:00:00"/>
    <s v="INR"/>
    <n v="6709757"/>
    <d v="2024-03-10T00:00:00"/>
    <s v="PAID"/>
    <s v="N"/>
    <m/>
    <n v="6709757"/>
    <n v="1"/>
    <n v="6709757"/>
    <n v="0"/>
    <n v="0"/>
    <n v="58"/>
    <x v="0"/>
  </r>
  <r>
    <x v="795"/>
    <s v="C0199"/>
    <x v="1"/>
    <d v="2023-11-28T00:00:00"/>
    <d v="2024-01-27T00:00:00"/>
    <s v="USD"/>
    <n v="16056.7"/>
    <d v="2024-02-12T00:00:00"/>
    <s v="PAID"/>
    <s v="N"/>
    <m/>
    <n v="16056.7"/>
    <n v="83.33"/>
    <n v="1338004.811"/>
    <n v="0"/>
    <n v="0"/>
    <n v="16"/>
    <x v="0"/>
  </r>
  <r>
    <x v="796"/>
    <s v="C0216"/>
    <x v="1"/>
    <d v="2023-11-28T00:00:00"/>
    <d v="2024-01-27T00:00:00"/>
    <s v="USD"/>
    <n v="305893.62"/>
    <d v="2024-02-04T00:00:00"/>
    <s v="PAID"/>
    <s v="N"/>
    <m/>
    <n v="305893.62"/>
    <n v="83.33"/>
    <n v="25490115.354599997"/>
    <n v="0"/>
    <n v="0"/>
    <n v="8"/>
    <x v="0"/>
  </r>
  <r>
    <x v="797"/>
    <s v="C0037"/>
    <x v="0"/>
    <d v="2023-11-29T00:00:00"/>
    <d v="2023-12-29T00:00:00"/>
    <s v="INR"/>
    <n v="4890527"/>
    <d v="2024-01-01T00:00:00"/>
    <s v="PAID"/>
    <s v="N"/>
    <m/>
    <n v="4890527"/>
    <n v="1"/>
    <n v="4890527"/>
    <n v="0"/>
    <n v="0"/>
    <n v="3"/>
    <x v="0"/>
  </r>
  <r>
    <x v="798"/>
    <s v="C0039"/>
    <x v="0"/>
    <d v="2023-11-29T00:00:00"/>
    <d v="2024-01-28T00:00:00"/>
    <s v="INR"/>
    <n v="10365389"/>
    <d v="2024-02-02T00:00:00"/>
    <s v="PAID"/>
    <s v="N"/>
    <m/>
    <n v="10365389"/>
    <n v="1"/>
    <n v="10365389"/>
    <n v="0"/>
    <n v="0"/>
    <n v="5"/>
    <x v="0"/>
  </r>
  <r>
    <x v="799"/>
    <s v="C0049"/>
    <x v="3"/>
    <d v="2023-11-29T00:00:00"/>
    <d v="2023-12-29T00:00:00"/>
    <s v="INR"/>
    <n v="13277193"/>
    <d v="2023-12-29T00:00:00"/>
    <s v="PAID"/>
    <s v="N"/>
    <m/>
    <n v="13277193"/>
    <n v="1"/>
    <n v="13277193"/>
    <n v="0"/>
    <n v="0"/>
    <n v="0"/>
    <x v="0"/>
  </r>
  <r>
    <x v="800"/>
    <s v="C0134"/>
    <x v="0"/>
    <d v="2023-11-29T00:00:00"/>
    <d v="2024-02-27T00:00:00"/>
    <s v="INR"/>
    <n v="600000"/>
    <d v="2024-03-03T00:00:00"/>
    <s v="PAID"/>
    <s v="N"/>
    <m/>
    <n v="600000"/>
    <n v="1"/>
    <n v="600000"/>
    <n v="0"/>
    <n v="0"/>
    <n v="5"/>
    <x v="0"/>
  </r>
  <r>
    <x v="801"/>
    <s v="C0057"/>
    <x v="3"/>
    <d v="2023-11-30T00:00:00"/>
    <d v="2023-12-30T00:00:00"/>
    <s v="INR"/>
    <n v="14364851"/>
    <d v="2024-01-02T00:00:00"/>
    <s v="PAID"/>
    <s v="N"/>
    <m/>
    <n v="14364851"/>
    <n v="1"/>
    <n v="14364851"/>
    <n v="0"/>
    <n v="0"/>
    <n v="3"/>
    <x v="0"/>
  </r>
  <r>
    <x v="802"/>
    <s v="C0141"/>
    <x v="3"/>
    <d v="2023-11-30T00:00:00"/>
    <d v="2024-01-29T00:00:00"/>
    <s v="INR"/>
    <n v="7445510"/>
    <d v="2024-02-10T00:00:00"/>
    <s v="PAID"/>
    <s v="N"/>
    <m/>
    <n v="7445510"/>
    <n v="1"/>
    <n v="7445510"/>
    <n v="0"/>
    <n v="0"/>
    <n v="12"/>
    <x v="0"/>
  </r>
  <r>
    <x v="803"/>
    <s v="C0218"/>
    <x v="3"/>
    <d v="2023-11-30T00:00:00"/>
    <d v="2024-01-14T00:00:00"/>
    <s v="INR"/>
    <n v="2171890"/>
    <d v="2024-02-03T00:00:00"/>
    <s v="PAID"/>
    <s v="N"/>
    <m/>
    <n v="2171890"/>
    <n v="1"/>
    <n v="2171890"/>
    <n v="0"/>
    <n v="0"/>
    <n v="20"/>
    <x v="0"/>
  </r>
  <r>
    <x v="804"/>
    <s v="C0111"/>
    <x v="3"/>
    <d v="2023-12-01T00:00:00"/>
    <d v="2024-02-29T00:00:00"/>
    <s v="EUR"/>
    <n v="150678.19"/>
    <d v="2024-03-27T00:00:00"/>
    <s v="PAID"/>
    <s v="Y"/>
    <n v="90.852800000000002"/>
    <n v="150678.19"/>
    <n v="90.581100000000006"/>
    <n v="13648596.196209"/>
    <n v="0"/>
    <n v="0"/>
    <n v="27"/>
    <x v="0"/>
  </r>
  <r>
    <x v="805"/>
    <s v="C0242"/>
    <x v="0"/>
    <d v="2023-12-01T00:00:00"/>
    <d v="2024-01-30T00:00:00"/>
    <s v="EUR"/>
    <n v="57090.91"/>
    <d v="2024-02-21T00:00:00"/>
    <s v="PAID"/>
    <s v="Y"/>
    <n v="90.762299999999996"/>
    <n v="57090.91"/>
    <n v="90.581100000000006"/>
    <n v="5171357.4278010009"/>
    <n v="0"/>
    <n v="0"/>
    <n v="22"/>
    <x v="0"/>
  </r>
  <r>
    <x v="806"/>
    <s v="C0009"/>
    <x v="3"/>
    <d v="2023-12-02T00:00:00"/>
    <d v="2024-01-31T00:00:00"/>
    <s v="INR"/>
    <n v="14028177"/>
    <d v="2024-02-05T00:00:00"/>
    <s v="PAID"/>
    <s v="N"/>
    <m/>
    <n v="14028177"/>
    <n v="1"/>
    <n v="14028177"/>
    <n v="0"/>
    <n v="0"/>
    <n v="5"/>
    <x v="0"/>
  </r>
  <r>
    <x v="807"/>
    <s v="C0032"/>
    <x v="0"/>
    <d v="2023-12-02T00:00:00"/>
    <d v="2024-01-31T00:00:00"/>
    <s v="INR"/>
    <n v="1984245"/>
    <d v="2024-02-08T00:00:00"/>
    <s v="PAID"/>
    <s v="N"/>
    <m/>
    <n v="1984245"/>
    <n v="1"/>
    <n v="1984245"/>
    <n v="0"/>
    <n v="0"/>
    <n v="8"/>
    <x v="0"/>
  </r>
  <r>
    <x v="808"/>
    <s v="C0057"/>
    <x v="3"/>
    <d v="2023-12-02T00:00:00"/>
    <d v="2024-01-01T00:00:00"/>
    <s v="INR"/>
    <n v="37849074"/>
    <d v="2024-01-04T00:00:00"/>
    <s v="PAID"/>
    <s v="N"/>
    <m/>
    <n v="37849074"/>
    <n v="1"/>
    <n v="37849074"/>
    <n v="0"/>
    <n v="0"/>
    <n v="3"/>
    <x v="0"/>
  </r>
  <r>
    <x v="809"/>
    <s v="C0073"/>
    <x v="1"/>
    <d v="2023-12-02T00:00:00"/>
    <d v="2024-01-01T00:00:00"/>
    <s v="USD"/>
    <n v="57882.45"/>
    <d v="2024-02-01T00:00:00"/>
    <s v="PAID"/>
    <s v="N"/>
    <m/>
    <n v="57882.45"/>
    <n v="83.27"/>
    <n v="4819871.6114999996"/>
    <n v="0"/>
    <n v="0"/>
    <n v="31"/>
    <x v="0"/>
  </r>
  <r>
    <x v="810"/>
    <s v="C0101"/>
    <x v="2"/>
    <d v="2023-12-02T00:00:00"/>
    <d v="2024-01-31T00:00:00"/>
    <s v="USD"/>
    <n v="121205.33"/>
    <d v="2024-03-24T00:00:00"/>
    <s v="PAID"/>
    <s v="N"/>
    <m/>
    <n v="121205.33"/>
    <n v="83.27"/>
    <n v="10092767.8291"/>
    <n v="0"/>
    <n v="0"/>
    <n v="53"/>
    <x v="0"/>
  </r>
  <r>
    <x v="811"/>
    <s v="C0146"/>
    <x v="3"/>
    <d v="2023-12-02T00:00:00"/>
    <d v="2024-01-31T00:00:00"/>
    <s v="USD"/>
    <n v="229473.1"/>
    <d v="2024-02-07T00:00:00"/>
    <s v="PAID"/>
    <s v="N"/>
    <m/>
    <n v="229473.1"/>
    <n v="83.27"/>
    <n v="19108225.037"/>
    <n v="0"/>
    <n v="0"/>
    <n v="7"/>
    <x v="0"/>
  </r>
  <r>
    <x v="812"/>
    <s v="C0158"/>
    <x v="0"/>
    <d v="2023-12-02T00:00:00"/>
    <d v="2024-01-31T00:00:00"/>
    <s v="INR"/>
    <n v="10373723"/>
    <d v="2024-02-08T00:00:00"/>
    <s v="PAID"/>
    <s v="N"/>
    <m/>
    <n v="10373723"/>
    <n v="1"/>
    <n v="10373723"/>
    <n v="0"/>
    <n v="0"/>
    <n v="8"/>
    <x v="0"/>
  </r>
  <r>
    <x v="813"/>
    <s v="C0166"/>
    <x v="4"/>
    <d v="2023-12-02T00:00:00"/>
    <d v="2024-03-01T00:00:00"/>
    <s v="INR"/>
    <n v="16455917"/>
    <m/>
    <s v="PAID"/>
    <s v="N"/>
    <m/>
    <n v="16455917"/>
    <n v="1"/>
    <n v="16455917"/>
    <n v="0"/>
    <n v="0"/>
    <s v=""/>
    <x v="0"/>
  </r>
  <r>
    <x v="814"/>
    <s v="C0181"/>
    <x v="1"/>
    <d v="2023-12-02T00:00:00"/>
    <d v="2024-01-31T00:00:00"/>
    <s v="INR"/>
    <n v="6474862"/>
    <d v="2024-02-11T00:00:00"/>
    <s v="PAID"/>
    <s v="N"/>
    <m/>
    <n v="6474862"/>
    <n v="1"/>
    <n v="6474862"/>
    <n v="0"/>
    <n v="0"/>
    <n v="11"/>
    <x v="0"/>
  </r>
  <r>
    <x v="815"/>
    <s v="C0182"/>
    <x v="0"/>
    <d v="2023-12-02T00:00:00"/>
    <d v="2024-01-31T00:00:00"/>
    <s v="INR"/>
    <n v="8820006"/>
    <d v="2024-02-06T00:00:00"/>
    <s v="PAID"/>
    <s v="N"/>
    <m/>
    <n v="8820006"/>
    <n v="1"/>
    <n v="8820006"/>
    <n v="0"/>
    <n v="0"/>
    <n v="6"/>
    <x v="0"/>
  </r>
  <r>
    <x v="816"/>
    <s v="C0198"/>
    <x v="3"/>
    <d v="2023-12-02T00:00:00"/>
    <d v="2024-01-16T00:00:00"/>
    <s v="USD"/>
    <n v="105596.24"/>
    <d v="2024-02-12T00:00:00"/>
    <s v="PAID"/>
    <s v="Y"/>
    <n v="83.478200000000001"/>
    <n v="105596.24"/>
    <n v="83.27"/>
    <n v="8792998.9047999997"/>
    <n v="0"/>
    <n v="0"/>
    <n v="27"/>
    <x v="0"/>
  </r>
  <r>
    <x v="817"/>
    <s v="C0240"/>
    <x v="2"/>
    <d v="2023-12-02T00:00:00"/>
    <d v="2024-01-01T00:00:00"/>
    <s v="INR"/>
    <n v="9072958"/>
    <d v="2024-01-09T00:00:00"/>
    <s v="PAID"/>
    <s v="N"/>
    <m/>
    <n v="9072958"/>
    <n v="1"/>
    <n v="9072958"/>
    <n v="0"/>
    <n v="0"/>
    <n v="8"/>
    <x v="0"/>
  </r>
  <r>
    <x v="818"/>
    <s v="C0056"/>
    <x v="1"/>
    <d v="2023-12-04T00:00:00"/>
    <d v="2024-02-02T00:00:00"/>
    <s v="INR"/>
    <n v="14221201"/>
    <d v="2024-02-14T00:00:00"/>
    <s v="PAID"/>
    <s v="N"/>
    <m/>
    <n v="14221201"/>
    <n v="1"/>
    <n v="14221201"/>
    <n v="0"/>
    <n v="0"/>
    <n v="12"/>
    <x v="0"/>
  </r>
  <r>
    <x v="819"/>
    <s v="C0177"/>
    <x v="3"/>
    <d v="2023-12-04T00:00:00"/>
    <d v="2024-02-02T00:00:00"/>
    <s v="EUR"/>
    <n v="140957.31"/>
    <d v="2024-02-08T00:00:00"/>
    <s v="PAID"/>
    <s v="Y"/>
    <n v="90.452699999999993"/>
    <n v="140957.31"/>
    <n v="90.272199999999998"/>
    <n v="12724526.479782"/>
    <n v="0"/>
    <n v="0"/>
    <n v="6"/>
    <x v="0"/>
  </r>
  <r>
    <x v="820"/>
    <s v="C0219"/>
    <x v="2"/>
    <d v="2023-12-04T00:00:00"/>
    <d v="2024-01-03T00:00:00"/>
    <s v="INR"/>
    <n v="2940128"/>
    <d v="2024-01-08T00:00:00"/>
    <s v="PAID"/>
    <s v="N"/>
    <m/>
    <n v="2940128"/>
    <n v="1"/>
    <n v="2940128"/>
    <n v="0"/>
    <n v="0"/>
    <n v="5"/>
    <x v="0"/>
  </r>
  <r>
    <x v="821"/>
    <s v="C0232"/>
    <x v="2"/>
    <d v="2023-12-04T00:00:00"/>
    <d v="2024-03-03T00:00:00"/>
    <s v="EUR"/>
    <n v="142959.48000000001"/>
    <d v="2024-03-25T00:00:00"/>
    <s v="PARTIALLY PAID"/>
    <s v="N"/>
    <m/>
    <n v="81596.23"/>
    <n v="90.272199999999998"/>
    <n v="12905266.770456001"/>
    <n v="5539395.5766500011"/>
    <n v="393"/>
    <n v="22"/>
    <x v="1"/>
  </r>
  <r>
    <x v="822"/>
    <s v="C0073"/>
    <x v="1"/>
    <d v="2023-12-05T00:00:00"/>
    <d v="2024-01-04T00:00:00"/>
    <s v="USD"/>
    <n v="87246.2"/>
    <d v="2024-01-21T00:00:00"/>
    <s v="PAID"/>
    <s v="N"/>
    <m/>
    <n v="87246.2"/>
    <n v="83.33"/>
    <n v="7270225.8459999999"/>
    <n v="0"/>
    <n v="0"/>
    <n v="17"/>
    <x v="0"/>
  </r>
  <r>
    <x v="823"/>
    <s v="C0083"/>
    <x v="3"/>
    <d v="2023-12-05T00:00:00"/>
    <d v="2024-01-19T00:00:00"/>
    <s v="INR"/>
    <n v="5883921"/>
    <d v="2024-03-19T00:00:00"/>
    <s v="PAID"/>
    <s v="N"/>
    <m/>
    <n v="5883921"/>
    <n v="1"/>
    <n v="5883921"/>
    <n v="0"/>
    <n v="0"/>
    <n v="60"/>
    <x v="0"/>
  </r>
  <r>
    <x v="824"/>
    <s v="C0102"/>
    <x v="2"/>
    <d v="2023-12-05T00:00:00"/>
    <d v="2024-02-03T00:00:00"/>
    <s v="USD"/>
    <n v="56364.06"/>
    <d v="2024-08-31T00:00:00"/>
    <s v="PAID"/>
    <s v="N"/>
    <m/>
    <n v="56364.06"/>
    <n v="83.33"/>
    <n v="4696817.1197999995"/>
    <n v="0"/>
    <n v="0"/>
    <n v="210"/>
    <x v="0"/>
  </r>
  <r>
    <x v="825"/>
    <s v="C0108"/>
    <x v="0"/>
    <d v="2023-12-05T00:00:00"/>
    <d v="2024-01-19T00:00:00"/>
    <s v="INR"/>
    <n v="3136341"/>
    <d v="2024-01-15T00:00:00"/>
    <s v="PAID"/>
    <s v="N"/>
    <m/>
    <n v="3136341"/>
    <n v="1"/>
    <n v="3136341"/>
    <n v="0"/>
    <n v="0"/>
    <n v="-4"/>
    <x v="0"/>
  </r>
  <r>
    <x v="826"/>
    <s v="C0225"/>
    <x v="2"/>
    <d v="2023-12-06T00:00:00"/>
    <d v="2024-01-20T00:00:00"/>
    <s v="USD"/>
    <n v="62486.29"/>
    <d v="2024-01-19T00:00:00"/>
    <s v="PAID"/>
    <s v="Y"/>
    <n v="83.528300000000002"/>
    <n v="62486.29"/>
    <n v="83.32"/>
    <n v="5206357.6827999996"/>
    <n v="0"/>
    <n v="0"/>
    <n v="-1"/>
    <x v="0"/>
  </r>
  <r>
    <x v="827"/>
    <s v="C0238"/>
    <x v="2"/>
    <d v="2023-12-06T00:00:00"/>
    <d v="2024-02-04T00:00:00"/>
    <s v="INR"/>
    <n v="7949767"/>
    <d v="2024-02-09T00:00:00"/>
    <s v="PAID"/>
    <s v="N"/>
    <m/>
    <n v="7949767"/>
    <n v="1"/>
    <n v="7949767"/>
    <n v="0"/>
    <n v="0"/>
    <n v="5"/>
    <x v="0"/>
  </r>
  <r>
    <x v="828"/>
    <s v="C0020"/>
    <x v="3"/>
    <d v="2023-12-07T00:00:00"/>
    <d v="2024-03-06T00:00:00"/>
    <s v="USD"/>
    <n v="187476.09"/>
    <d v="2024-05-16T00:00:00"/>
    <s v="PAID"/>
    <s v="Y"/>
    <n v="83.736599999999996"/>
    <n v="187476.09"/>
    <n v="83.32"/>
    <n v="15620507.818799999"/>
    <n v="0"/>
    <n v="0"/>
    <n v="71"/>
    <x v="0"/>
  </r>
  <r>
    <x v="829"/>
    <s v="C0152"/>
    <x v="0"/>
    <d v="2023-12-07T00:00:00"/>
    <d v="2024-02-05T00:00:00"/>
    <s v="INR"/>
    <n v="5540286"/>
    <d v="2024-02-01T00:00:00"/>
    <s v="PAID"/>
    <s v="N"/>
    <m/>
    <n v="5540286"/>
    <n v="1"/>
    <n v="5540286"/>
    <n v="0"/>
    <n v="0"/>
    <n v="-4"/>
    <x v="0"/>
  </r>
  <r>
    <x v="830"/>
    <s v="C0244"/>
    <x v="3"/>
    <d v="2023-12-07T00:00:00"/>
    <d v="2024-02-05T00:00:00"/>
    <s v="INR"/>
    <n v="3740738"/>
    <d v="2024-03-03T00:00:00"/>
    <s v="PAID"/>
    <s v="N"/>
    <m/>
    <n v="3740738"/>
    <n v="1"/>
    <n v="3740738"/>
    <n v="0"/>
    <n v="0"/>
    <n v="27"/>
    <x v="0"/>
  </r>
  <r>
    <x v="831"/>
    <s v="C0003"/>
    <x v="0"/>
    <d v="2023-12-08T00:00:00"/>
    <d v="2024-01-22T00:00:00"/>
    <s v="INR"/>
    <n v="12282727"/>
    <d v="2024-02-07T00:00:00"/>
    <s v="PAID"/>
    <s v="N"/>
    <m/>
    <n v="12282727"/>
    <n v="1"/>
    <n v="12282727"/>
    <n v="0"/>
    <n v="0"/>
    <n v="16"/>
    <x v="0"/>
  </r>
  <r>
    <x v="832"/>
    <s v="C0033"/>
    <x v="2"/>
    <d v="2023-12-08T00:00:00"/>
    <d v="2024-03-07T00:00:00"/>
    <s v="USD"/>
    <n v="21392.93"/>
    <d v="2024-05-06T00:00:00"/>
    <s v="PAID"/>
    <s v="N"/>
    <m/>
    <n v="21392.93"/>
    <n v="83.38"/>
    <n v="1783742.5033999998"/>
    <n v="0"/>
    <n v="0"/>
    <n v="60"/>
    <x v="0"/>
  </r>
  <r>
    <x v="833"/>
    <s v="C0057"/>
    <x v="3"/>
    <d v="2023-12-08T00:00:00"/>
    <d v="2024-01-07T00:00:00"/>
    <s v="INR"/>
    <n v="48260514"/>
    <d v="2024-01-07T00:00:00"/>
    <s v="PAID"/>
    <s v="N"/>
    <m/>
    <n v="48260514"/>
    <n v="1"/>
    <n v="48260514"/>
    <n v="0"/>
    <n v="0"/>
    <n v="0"/>
    <x v="0"/>
  </r>
  <r>
    <x v="834"/>
    <s v="C0165"/>
    <x v="3"/>
    <d v="2023-12-08T00:00:00"/>
    <d v="2024-01-07T00:00:00"/>
    <s v="USD"/>
    <n v="107633.47"/>
    <d v="2024-01-23T00:00:00"/>
    <s v="PAID"/>
    <s v="Y"/>
    <n v="83.519000000000005"/>
    <n v="107633.47"/>
    <n v="83.38"/>
    <n v="8974478.7285999991"/>
    <n v="0"/>
    <n v="0"/>
    <n v="16"/>
    <x v="0"/>
  </r>
  <r>
    <x v="835"/>
    <s v="C0176"/>
    <x v="0"/>
    <d v="2023-12-08T00:00:00"/>
    <d v="2024-01-07T00:00:00"/>
    <s v="INR"/>
    <n v="2693094"/>
    <d v="2023-11-10T00:00:00"/>
    <s v="PAID"/>
    <s v="N"/>
    <m/>
    <n v="2693094"/>
    <n v="1"/>
    <n v="2693094"/>
    <n v="0"/>
    <n v="0"/>
    <m/>
    <x v="0"/>
  </r>
  <r>
    <x v="836"/>
    <s v="C0201"/>
    <x v="4"/>
    <d v="2023-12-08T00:00:00"/>
    <d v="2024-02-06T00:00:00"/>
    <s v="INR"/>
    <n v="8442874"/>
    <d v="2024-02-14T00:00:00"/>
    <s v="PAID"/>
    <s v="N"/>
    <m/>
    <n v="8442874"/>
    <n v="1"/>
    <n v="8442874"/>
    <n v="0"/>
    <n v="0"/>
    <n v="8"/>
    <x v="0"/>
  </r>
  <r>
    <x v="837"/>
    <s v="C0221"/>
    <x v="1"/>
    <d v="2023-12-08T00:00:00"/>
    <d v="2024-02-06T00:00:00"/>
    <s v="INR"/>
    <n v="3180803"/>
    <d v="2024-02-19T00:00:00"/>
    <s v="PAID"/>
    <s v="N"/>
    <m/>
    <n v="3180803"/>
    <n v="1"/>
    <n v="3180803"/>
    <n v="0"/>
    <n v="0"/>
    <n v="13"/>
    <x v="0"/>
  </r>
  <r>
    <x v="838"/>
    <s v="C0007"/>
    <x v="3"/>
    <d v="2023-12-09T00:00:00"/>
    <d v="2024-01-08T00:00:00"/>
    <s v="USD"/>
    <n v="67311.710000000006"/>
    <d v="2024-01-23T00:00:00"/>
    <s v="PAID"/>
    <s v="Y"/>
    <n v="83.519000000000005"/>
    <n v="67311.710000000006"/>
    <n v="83.38"/>
    <n v="5612450.3798000002"/>
    <n v="0"/>
    <n v="0"/>
    <n v="15"/>
    <x v="0"/>
  </r>
  <r>
    <x v="839"/>
    <s v="C0057"/>
    <x v="3"/>
    <d v="2023-12-09T00:00:00"/>
    <d v="2024-01-08T00:00:00"/>
    <s v="INR"/>
    <n v="23086223"/>
    <d v="2024-01-08T00:00:00"/>
    <s v="PAID"/>
    <s v="N"/>
    <m/>
    <n v="23086223"/>
    <n v="1"/>
    <n v="23086223"/>
    <n v="0"/>
    <n v="0"/>
    <n v="0"/>
    <x v="0"/>
  </r>
  <r>
    <x v="840"/>
    <s v="C0058"/>
    <x v="3"/>
    <d v="2023-12-09T00:00:00"/>
    <d v="2024-01-08T00:00:00"/>
    <s v="INR"/>
    <n v="1481151"/>
    <d v="2024-01-20T00:00:00"/>
    <s v="PARTIALLY PAID"/>
    <s v="N"/>
    <m/>
    <n v="851370.95"/>
    <n v="1"/>
    <n v="1481151"/>
    <n v="629780.05000000005"/>
    <n v="448"/>
    <n v="12"/>
    <x v="1"/>
  </r>
  <r>
    <x v="841"/>
    <s v="C0075"/>
    <x v="1"/>
    <d v="2023-12-09T00:00:00"/>
    <d v="2024-01-08T00:00:00"/>
    <s v="INR"/>
    <n v="19402591"/>
    <d v="2024-02-13T00:00:00"/>
    <s v="PAID"/>
    <s v="N"/>
    <m/>
    <n v="19402591"/>
    <n v="1"/>
    <n v="19402591"/>
    <n v="0"/>
    <n v="0"/>
    <n v="36"/>
    <x v="0"/>
  </r>
  <r>
    <x v="842"/>
    <s v="C0098"/>
    <x v="1"/>
    <d v="2023-12-09T00:00:00"/>
    <d v="2024-03-08T00:00:00"/>
    <s v="INR"/>
    <n v="9054846"/>
    <d v="2024-03-19T00:00:00"/>
    <s v="PAID"/>
    <s v="N"/>
    <m/>
    <n v="9054846"/>
    <n v="1"/>
    <n v="9054846"/>
    <n v="0"/>
    <n v="0"/>
    <n v="11"/>
    <x v="0"/>
  </r>
  <r>
    <x v="843"/>
    <s v="C0111"/>
    <x v="3"/>
    <d v="2023-12-09T00:00:00"/>
    <d v="2024-03-08T00:00:00"/>
    <s v="EUR"/>
    <n v="56695.53"/>
    <d v="2024-04-11T00:00:00"/>
    <s v="PAID"/>
    <s v="Y"/>
    <n v="89.868899999999996"/>
    <n v="56695.53"/>
    <n v="89.600099999999998"/>
    <n v="5079925.1575529994"/>
    <n v="0"/>
    <n v="0"/>
    <n v="34"/>
    <x v="0"/>
  </r>
  <r>
    <x v="844"/>
    <s v="C0146"/>
    <x v="3"/>
    <d v="2023-12-09T00:00:00"/>
    <d v="2024-02-07T00:00:00"/>
    <s v="USD"/>
    <n v="106541.04"/>
    <d v="2024-02-12T00:00:00"/>
    <s v="PAID"/>
    <s v="Y"/>
    <n v="83.657899999999998"/>
    <n v="106541.04"/>
    <n v="83.38"/>
    <n v="8883391.9151999988"/>
    <n v="0"/>
    <n v="0"/>
    <n v="5"/>
    <x v="0"/>
  </r>
  <r>
    <x v="845"/>
    <s v="C0216"/>
    <x v="1"/>
    <d v="2023-12-09T00:00:00"/>
    <d v="2024-02-07T00:00:00"/>
    <s v="USD"/>
    <n v="144885.98000000001"/>
    <d v="2024-02-29T00:00:00"/>
    <s v="PAID"/>
    <s v="Y"/>
    <n v="83.657899999999998"/>
    <n v="144885.98000000001"/>
    <n v="83.38"/>
    <n v="12080593.012399999"/>
    <n v="0"/>
    <n v="0"/>
    <n v="22"/>
    <x v="0"/>
  </r>
  <r>
    <x v="846"/>
    <s v="C0236"/>
    <x v="1"/>
    <d v="2023-12-09T00:00:00"/>
    <d v="2024-02-07T00:00:00"/>
    <s v="EUR"/>
    <n v="94973.31"/>
    <d v="2024-03-16T00:00:00"/>
    <s v="PAID"/>
    <s v="N"/>
    <m/>
    <n v="94973.31"/>
    <n v="89.600099999999998"/>
    <n v="8509618.0733310003"/>
    <n v="0"/>
    <n v="0"/>
    <n v="38"/>
    <x v="0"/>
  </r>
  <r>
    <x v="847"/>
    <s v="C0236"/>
    <x v="3"/>
    <d v="2023-12-09T00:00:00"/>
    <d v="2024-02-07T00:00:00"/>
    <s v="EUR"/>
    <n v="43272.84"/>
    <d v="2024-04-21T00:00:00"/>
    <s v="PAID"/>
    <s v="Y"/>
    <n v="89.779300000000006"/>
    <n v="43272.84"/>
    <n v="89.600099999999998"/>
    <n v="3877250.7912839996"/>
    <n v="0"/>
    <n v="0"/>
    <n v="74"/>
    <x v="0"/>
  </r>
  <r>
    <x v="848"/>
    <s v="C0004"/>
    <x v="0"/>
    <d v="2023-12-11T00:00:00"/>
    <d v="2024-01-25T00:00:00"/>
    <s v="INR"/>
    <n v="13545372"/>
    <d v="2024-02-08T00:00:00"/>
    <s v="PAID"/>
    <s v="N"/>
    <m/>
    <n v="13545372"/>
    <n v="1"/>
    <n v="13545372"/>
    <n v="0"/>
    <n v="0"/>
    <n v="14"/>
    <x v="0"/>
  </r>
  <r>
    <x v="849"/>
    <s v="C0020"/>
    <x v="2"/>
    <d v="2023-12-11T00:00:00"/>
    <d v="2024-03-10T00:00:00"/>
    <s v="USD"/>
    <n v="45796.72"/>
    <d v="2024-07-08T00:00:00"/>
    <s v="PAID"/>
    <s v="Y"/>
    <n v="83.796899999999994"/>
    <n v="45796.72"/>
    <n v="83.38"/>
    <n v="3818530.5135999997"/>
    <n v="0"/>
    <n v="0"/>
    <n v="120"/>
    <x v="0"/>
  </r>
  <r>
    <x v="850"/>
    <s v="C0141"/>
    <x v="3"/>
    <d v="2023-12-11T00:00:00"/>
    <d v="2024-02-09T00:00:00"/>
    <s v="INR"/>
    <n v="5644653"/>
    <d v="2024-02-22T00:00:00"/>
    <s v="PAID"/>
    <s v="N"/>
    <m/>
    <n v="5644653"/>
    <n v="1"/>
    <n v="5644653"/>
    <n v="0"/>
    <n v="0"/>
    <n v="13"/>
    <x v="0"/>
  </r>
  <r>
    <x v="851"/>
    <s v="C0054"/>
    <x v="4"/>
    <d v="2023-12-12T00:00:00"/>
    <d v="2024-02-10T00:00:00"/>
    <s v="EUR"/>
    <n v="127531.8"/>
    <d v="2024-02-21T00:00:00"/>
    <s v="PAID"/>
    <s v="Y"/>
    <n v="90.136099999999999"/>
    <n v="127531.8"/>
    <n v="89.956199999999995"/>
    <n v="11472276.10716"/>
    <n v="0"/>
    <n v="0"/>
    <n v="11"/>
    <x v="0"/>
  </r>
  <r>
    <x v="852"/>
    <s v="C0111"/>
    <x v="3"/>
    <d v="2023-12-12T00:00:00"/>
    <d v="2024-03-11T00:00:00"/>
    <s v="EUR"/>
    <n v="220346.1"/>
    <d v="2024-03-23T00:00:00"/>
    <s v="PAID"/>
    <s v="Y"/>
    <n v="90.226100000000002"/>
    <n v="220346.1"/>
    <n v="89.956199999999995"/>
    <n v="19821497.84082"/>
    <n v="0"/>
    <n v="0"/>
    <n v="12"/>
    <x v="0"/>
  </r>
  <r>
    <x v="853"/>
    <s v="C0170"/>
    <x v="2"/>
    <d v="2023-12-13T00:00:00"/>
    <d v="2024-02-11T00:00:00"/>
    <s v="INR"/>
    <n v="1839734"/>
    <d v="2024-02-14T00:00:00"/>
    <s v="PAID"/>
    <s v="N"/>
    <m/>
    <n v="1839734"/>
    <n v="1"/>
    <n v="1839734"/>
    <n v="0"/>
    <n v="0"/>
    <n v="3"/>
    <x v="0"/>
  </r>
  <r>
    <x v="854"/>
    <s v="C0164"/>
    <x v="3"/>
    <d v="2023-12-14T00:00:00"/>
    <d v="2024-02-12T00:00:00"/>
    <s v="USD"/>
    <n v="227874.03"/>
    <d v="2024-03-02T00:00:00"/>
    <s v="PAID"/>
    <s v="Y"/>
    <n v="83.557599999999994"/>
    <n v="227874.03"/>
    <n v="83.28"/>
    <n v="18977349.218400002"/>
    <n v="0"/>
    <n v="0"/>
    <n v="19"/>
    <x v="0"/>
  </r>
  <r>
    <x v="855"/>
    <s v="C0191"/>
    <x v="4"/>
    <d v="2023-12-14T00:00:00"/>
    <d v="2024-01-28T00:00:00"/>
    <s v="EUR"/>
    <n v="139711.47"/>
    <d v="2024-01-27T00:00:00"/>
    <s v="PAID"/>
    <s v="Y"/>
    <n v="91.720399999999998"/>
    <n v="139711.47"/>
    <n v="91.582999999999998"/>
    <n v="12795195.557010001"/>
    <n v="0"/>
    <n v="0"/>
    <n v="-1"/>
    <x v="0"/>
  </r>
  <r>
    <x v="856"/>
    <s v="C0242"/>
    <x v="0"/>
    <d v="2023-12-14T00:00:00"/>
    <d v="2024-02-12T00:00:00"/>
    <s v="EUR"/>
    <n v="144456.38"/>
    <d v="2024-02-24T00:00:00"/>
    <s v="PAID"/>
    <s v="Y"/>
    <n v="91.766199999999998"/>
    <n v="144456.38"/>
    <n v="91.582999999999998"/>
    <n v="13229748.64954"/>
    <n v="0"/>
    <n v="0"/>
    <n v="12"/>
    <x v="0"/>
  </r>
  <r>
    <x v="857"/>
    <s v="C0111"/>
    <x v="3"/>
    <d v="2023-12-15T00:00:00"/>
    <d v="2024-03-14T00:00:00"/>
    <s v="EUR"/>
    <n v="197951.54"/>
    <d v="2024-04-23T00:00:00"/>
    <s v="PAID"/>
    <s v="N"/>
    <m/>
    <n v="197951.54"/>
    <n v="90.541600000000003"/>
    <n v="17922849.154064"/>
    <n v="0"/>
    <n v="0"/>
    <n v="40"/>
    <x v="0"/>
  </r>
  <r>
    <x v="858"/>
    <s v="C0007"/>
    <x v="3"/>
    <d v="2023-12-16T00:00:00"/>
    <d v="2024-01-15T00:00:00"/>
    <s v="USD"/>
    <n v="45600.480000000003"/>
    <d v="2024-02-07T00:00:00"/>
    <s v="PAID"/>
    <s v="Y"/>
    <n v="83.1584"/>
    <n v="45600.480000000003"/>
    <n v="83.02"/>
    <n v="3785751.8496000003"/>
    <n v="0"/>
    <n v="0"/>
    <n v="23"/>
    <x v="0"/>
  </r>
  <r>
    <x v="859"/>
    <s v="C0050"/>
    <x v="0"/>
    <d v="2023-12-16T00:00:00"/>
    <d v="2024-02-14T00:00:00"/>
    <s v="INR"/>
    <n v="13533120"/>
    <d v="2024-02-20T00:00:00"/>
    <s v="PAID"/>
    <s v="N"/>
    <m/>
    <n v="13533120"/>
    <n v="1"/>
    <n v="13533120"/>
    <n v="0"/>
    <n v="0"/>
    <n v="6"/>
    <x v="0"/>
  </r>
  <r>
    <x v="860"/>
    <s v="C0060"/>
    <x v="0"/>
    <d v="2023-12-16T00:00:00"/>
    <d v="2024-01-30T00:00:00"/>
    <s v="INR"/>
    <n v="4479136"/>
    <d v="2024-02-07T00:00:00"/>
    <s v="PAID"/>
    <s v="N"/>
    <m/>
    <n v="4479136"/>
    <n v="1"/>
    <n v="4479136"/>
    <n v="0"/>
    <n v="0"/>
    <n v="8"/>
    <x v="0"/>
  </r>
  <r>
    <x v="861"/>
    <s v="C0076"/>
    <x v="0"/>
    <d v="2023-12-16T00:00:00"/>
    <d v="2024-02-14T00:00:00"/>
    <s v="INR"/>
    <n v="2545273"/>
    <d v="2024-07-05T00:00:00"/>
    <s v="PAID"/>
    <s v="N"/>
    <m/>
    <n v="2545273"/>
    <n v="1"/>
    <n v="2545273"/>
    <n v="0"/>
    <n v="0"/>
    <n v="142"/>
    <x v="0"/>
  </r>
  <r>
    <x v="862"/>
    <s v="C0094"/>
    <x v="0"/>
    <d v="2023-12-16T00:00:00"/>
    <d v="2024-01-30T00:00:00"/>
    <s v="INR"/>
    <n v="3534672"/>
    <d v="2024-02-02T00:00:00"/>
    <s v="PAID"/>
    <s v="N"/>
    <m/>
    <n v="3534672"/>
    <n v="1"/>
    <n v="3534672"/>
    <n v="0"/>
    <n v="0"/>
    <n v="3"/>
    <x v="0"/>
  </r>
  <r>
    <x v="863"/>
    <s v="C0111"/>
    <x v="3"/>
    <d v="2023-12-16T00:00:00"/>
    <d v="2024-03-15T00:00:00"/>
    <s v="EUR"/>
    <n v="126911.74"/>
    <m/>
    <s v="WRITTEN OFF"/>
    <s v="Y"/>
    <n v="90.813199999999995"/>
    <n v="0"/>
    <n v="90.541600000000003"/>
    <n v="11490791.998384001"/>
    <n v="0"/>
    <n v="0"/>
    <s v=""/>
    <x v="0"/>
  </r>
  <r>
    <x v="864"/>
    <s v="C0127"/>
    <x v="2"/>
    <d v="2023-12-16T00:00:00"/>
    <d v="2024-02-14T00:00:00"/>
    <s v="INR"/>
    <n v="4257680"/>
    <d v="2024-08-11T00:00:00"/>
    <s v="PAID"/>
    <s v="N"/>
    <m/>
    <n v="4257680"/>
    <n v="1"/>
    <n v="4257680"/>
    <n v="0"/>
    <n v="0"/>
    <n v="179"/>
    <x v="0"/>
  </r>
  <r>
    <x v="865"/>
    <s v="C0141"/>
    <x v="3"/>
    <d v="2023-12-16T00:00:00"/>
    <d v="2024-02-14T00:00:00"/>
    <s v="INR"/>
    <n v="1320354"/>
    <d v="2024-02-23T00:00:00"/>
    <s v="PAID"/>
    <s v="N"/>
    <m/>
    <n v="1320354"/>
    <n v="1"/>
    <n v="1320354"/>
    <n v="0"/>
    <n v="0"/>
    <n v="9"/>
    <x v="0"/>
  </r>
  <r>
    <x v="866"/>
    <s v="C0148"/>
    <x v="0"/>
    <d v="2023-12-16T00:00:00"/>
    <d v="2024-01-15T00:00:00"/>
    <s v="INR"/>
    <n v="2489504"/>
    <d v="2024-01-22T00:00:00"/>
    <s v="PAID"/>
    <s v="N"/>
    <m/>
    <n v="2489504"/>
    <n v="1"/>
    <n v="2489504"/>
    <n v="0"/>
    <n v="0"/>
    <n v="7"/>
    <x v="0"/>
  </r>
  <r>
    <x v="867"/>
    <s v="C0165"/>
    <x v="3"/>
    <d v="2023-12-16T00:00:00"/>
    <d v="2024-01-15T00:00:00"/>
    <s v="USD"/>
    <n v="72975.429999999993"/>
    <d v="2024-01-22T00:00:00"/>
    <s v="PAID"/>
    <s v="Y"/>
    <n v="83.1584"/>
    <n v="72975.429999999993"/>
    <n v="83.02"/>
    <n v="6058420.1985999988"/>
    <n v="0"/>
    <n v="0"/>
    <n v="7"/>
    <x v="0"/>
  </r>
  <r>
    <x v="868"/>
    <s v="C0177"/>
    <x v="4"/>
    <d v="2023-12-16T00:00:00"/>
    <d v="2024-02-14T00:00:00"/>
    <s v="EUR"/>
    <n v="175083.08"/>
    <d v="2024-02-24T00:00:00"/>
    <s v="PAID"/>
    <s v="N"/>
    <m/>
    <n v="175083.08"/>
    <n v="90.541600000000003"/>
    <n v="15852302.196128"/>
    <n v="0"/>
    <n v="0"/>
    <n v="10"/>
    <x v="0"/>
  </r>
  <r>
    <x v="869"/>
    <s v="C0228"/>
    <x v="0"/>
    <d v="2023-12-16T00:00:00"/>
    <d v="2024-01-30T00:00:00"/>
    <s v="INR"/>
    <n v="6195243"/>
    <d v="2024-02-03T00:00:00"/>
    <s v="PAID"/>
    <s v="N"/>
    <m/>
    <n v="6195243"/>
    <n v="1"/>
    <n v="6195243"/>
    <n v="0"/>
    <n v="0"/>
    <n v="4"/>
    <x v="0"/>
  </r>
  <r>
    <x v="870"/>
    <s v="C0244"/>
    <x v="3"/>
    <d v="2023-12-16T00:00:00"/>
    <d v="2024-02-14T00:00:00"/>
    <s v="INR"/>
    <n v="29459743"/>
    <d v="2024-04-16T00:00:00"/>
    <s v="PAID"/>
    <s v="N"/>
    <m/>
    <n v="29459743"/>
    <n v="1"/>
    <n v="29459743"/>
    <n v="0"/>
    <n v="0"/>
    <n v="62"/>
    <x v="0"/>
  </r>
  <r>
    <x v="871"/>
    <s v="C0100"/>
    <x v="4"/>
    <d v="2023-12-18T00:00:00"/>
    <d v="2024-02-16T00:00:00"/>
    <s v="USD"/>
    <n v="38373.26"/>
    <d v="2024-02-24T00:00:00"/>
    <s v="PAID"/>
    <s v="Y"/>
    <n v="83.316800000000001"/>
    <n v="38373.26"/>
    <n v="83.04"/>
    <n v="3186515.5104000005"/>
    <n v="0"/>
    <n v="0"/>
    <n v="8"/>
    <x v="0"/>
  </r>
  <r>
    <x v="872"/>
    <s v="C0202"/>
    <x v="4"/>
    <d v="2023-12-18T00:00:00"/>
    <d v="2024-02-01T00:00:00"/>
    <s v="USD"/>
    <n v="238394.32"/>
    <d v="2024-02-09T00:00:00"/>
    <s v="PAID"/>
    <s v="N"/>
    <m/>
    <n v="238394.32"/>
    <n v="83.04"/>
    <n v="19796264.332800001"/>
    <n v="0"/>
    <n v="0"/>
    <n v="8"/>
    <x v="0"/>
  </r>
  <r>
    <x v="873"/>
    <s v="C0221"/>
    <x v="1"/>
    <d v="2023-12-18T00:00:00"/>
    <d v="2024-02-16T00:00:00"/>
    <s v="INR"/>
    <n v="3867150"/>
    <d v="2024-02-23T00:00:00"/>
    <s v="PAID"/>
    <s v="N"/>
    <m/>
    <n v="3867150"/>
    <n v="1"/>
    <n v="3867150"/>
    <n v="0"/>
    <n v="0"/>
    <n v="7"/>
    <x v="0"/>
  </r>
  <r>
    <x v="874"/>
    <s v="C0111"/>
    <x v="3"/>
    <d v="2023-12-19T00:00:00"/>
    <d v="2024-03-18T00:00:00"/>
    <s v="EUR"/>
    <n v="206606.18"/>
    <d v="2024-04-01T00:00:00"/>
    <s v="PARTIALLY PAID"/>
    <s v="Y"/>
    <n v="91.580600000000004"/>
    <n v="103364.91"/>
    <n v="91.306700000000006"/>
    <n v="18864528.495406002"/>
    <n v="9426619.6675089989"/>
    <n v="378"/>
    <n v="14"/>
    <x v="1"/>
  </r>
  <r>
    <x v="875"/>
    <s v="C0138"/>
    <x v="4"/>
    <d v="2023-12-19T00:00:00"/>
    <d v="2024-01-18T00:00:00"/>
    <s v="INR"/>
    <n v="2089749"/>
    <d v="2024-01-16T00:00:00"/>
    <s v="PAID"/>
    <s v="N"/>
    <m/>
    <n v="2089749"/>
    <n v="1"/>
    <n v="2089749"/>
    <n v="0"/>
    <n v="0"/>
    <n v="-2"/>
    <x v="0"/>
  </r>
  <r>
    <x v="876"/>
    <s v="C0167"/>
    <x v="4"/>
    <d v="2023-12-19T00:00:00"/>
    <d v="2024-01-18T00:00:00"/>
    <s v="INR"/>
    <n v="6601716"/>
    <d v="2024-01-31T00:00:00"/>
    <s v="PAID"/>
    <s v="N"/>
    <m/>
    <n v="6601716"/>
    <n v="1"/>
    <n v="6601716"/>
    <n v="0"/>
    <n v="0"/>
    <n v="13"/>
    <x v="0"/>
  </r>
  <r>
    <x v="877"/>
    <s v="C0231"/>
    <x v="0"/>
    <d v="2023-12-19T00:00:00"/>
    <d v="2024-01-18T00:00:00"/>
    <s v="INR"/>
    <n v="3203905"/>
    <d v="2024-02-02T00:00:00"/>
    <s v="PAID"/>
    <s v="N"/>
    <m/>
    <n v="3203905"/>
    <n v="1"/>
    <n v="3203905"/>
    <n v="0"/>
    <n v="0"/>
    <n v="15"/>
    <x v="0"/>
  </r>
  <r>
    <x v="878"/>
    <s v="C0003"/>
    <x v="0"/>
    <d v="2023-12-20T00:00:00"/>
    <d v="2024-02-03T00:00:00"/>
    <s v="INR"/>
    <n v="21102226"/>
    <d v="2024-03-20T00:00:00"/>
    <s v="PAID"/>
    <s v="N"/>
    <m/>
    <n v="21102226"/>
    <n v="1"/>
    <n v="21102226"/>
    <n v="0"/>
    <n v="0"/>
    <n v="46"/>
    <x v="0"/>
  </r>
  <r>
    <x v="879"/>
    <s v="C0003"/>
    <x v="0"/>
    <d v="2023-12-20T00:00:00"/>
    <d v="2024-02-03T00:00:00"/>
    <s v="INR"/>
    <n v="5192840"/>
    <d v="2024-05-31T00:00:00"/>
    <s v="PAID"/>
    <s v="N"/>
    <m/>
    <n v="5192840"/>
    <n v="1"/>
    <n v="5192840"/>
    <n v="0"/>
    <n v="0"/>
    <n v="118"/>
    <x v="0"/>
  </r>
  <r>
    <x v="880"/>
    <s v="C0075"/>
    <x v="1"/>
    <d v="2023-12-20T00:00:00"/>
    <d v="2024-01-19T00:00:00"/>
    <s v="INR"/>
    <n v="4736787"/>
    <d v="2024-02-04T00:00:00"/>
    <s v="PAID"/>
    <s v="N"/>
    <m/>
    <n v="4736787"/>
    <n v="1"/>
    <n v="4736787"/>
    <n v="0"/>
    <n v="0"/>
    <n v="16"/>
    <x v="0"/>
  </r>
  <r>
    <x v="881"/>
    <s v="C0131"/>
    <x v="1"/>
    <d v="2023-12-20T00:00:00"/>
    <d v="2024-03-19T00:00:00"/>
    <s v="INR"/>
    <n v="1786333"/>
    <d v="2024-03-31T00:00:00"/>
    <s v="PAID"/>
    <s v="N"/>
    <m/>
    <n v="1786333"/>
    <n v="1"/>
    <n v="1786333"/>
    <n v="0"/>
    <n v="0"/>
    <n v="12"/>
    <x v="0"/>
  </r>
  <r>
    <x v="882"/>
    <s v="C0201"/>
    <x v="4"/>
    <d v="2023-12-20T00:00:00"/>
    <d v="2024-02-18T00:00:00"/>
    <s v="INR"/>
    <n v="3179471"/>
    <d v="2024-03-04T00:00:00"/>
    <s v="PARTIALLY PAID"/>
    <s v="N"/>
    <m/>
    <n v="2405730.91"/>
    <n v="1"/>
    <n v="3179471"/>
    <n v="773740.08999999985"/>
    <n v="407"/>
    <n v="15"/>
    <x v="1"/>
  </r>
  <r>
    <x v="883"/>
    <s v="C0243"/>
    <x v="3"/>
    <d v="2023-12-20T00:00:00"/>
    <d v="2024-02-18T00:00:00"/>
    <s v="EUR"/>
    <n v="34896.47"/>
    <d v="2024-03-07T00:00:00"/>
    <s v="PAID"/>
    <s v="Y"/>
    <n v="91.278700000000001"/>
    <n v="34896.47"/>
    <n v="91.096500000000006"/>
    <n v="3178946.2793550002"/>
    <n v="0"/>
    <n v="0"/>
    <n v="18"/>
    <x v="0"/>
  </r>
  <r>
    <x v="884"/>
    <s v="C0026"/>
    <x v="4"/>
    <d v="2023-12-21T00:00:00"/>
    <d v="2024-01-20T00:00:00"/>
    <s v="INR"/>
    <n v="6949984"/>
    <d v="2024-01-31T00:00:00"/>
    <s v="PAID"/>
    <s v="N"/>
    <m/>
    <n v="6949984"/>
    <n v="1"/>
    <n v="6949984"/>
    <n v="0"/>
    <n v="0"/>
    <n v="11"/>
    <x v="0"/>
  </r>
  <r>
    <x v="885"/>
    <s v="C0080"/>
    <x v="0"/>
    <d v="2023-12-21T00:00:00"/>
    <d v="2024-02-19T00:00:00"/>
    <s v="INR"/>
    <n v="2834258"/>
    <d v="2024-02-23T00:00:00"/>
    <s v="PAID"/>
    <s v="N"/>
    <m/>
    <n v="2834258"/>
    <n v="1"/>
    <n v="2834258"/>
    <n v="0"/>
    <n v="0"/>
    <n v="4"/>
    <x v="0"/>
  </r>
  <r>
    <x v="886"/>
    <s v="C0146"/>
    <x v="3"/>
    <d v="2023-12-21T00:00:00"/>
    <d v="2024-02-19T00:00:00"/>
    <s v="USD"/>
    <n v="121788.9"/>
    <d v="2024-02-22T00:00:00"/>
    <s v="PAID"/>
    <s v="N"/>
    <m/>
    <n v="121788.9"/>
    <n v="83.27"/>
    <n v="10141361.703"/>
    <n v="0"/>
    <n v="0"/>
    <n v="3"/>
    <x v="0"/>
  </r>
  <r>
    <x v="887"/>
    <s v="C0198"/>
    <x v="3"/>
    <d v="2023-12-21T00:00:00"/>
    <d v="2024-02-04T00:00:00"/>
    <s v="USD"/>
    <n v="84826.49"/>
    <d v="2024-03-19T00:00:00"/>
    <s v="PAID"/>
    <s v="N"/>
    <m/>
    <n v="84826.49"/>
    <n v="83.27"/>
    <n v="7063501.8223000001"/>
    <n v="0"/>
    <n v="0"/>
    <n v="44"/>
    <x v="0"/>
  </r>
  <r>
    <x v="888"/>
    <s v="C0233"/>
    <x v="0"/>
    <d v="2023-12-21T00:00:00"/>
    <d v="2024-02-19T00:00:00"/>
    <s v="INR"/>
    <n v="7741197"/>
    <d v="2024-03-02T00:00:00"/>
    <s v="PAID"/>
    <s v="N"/>
    <m/>
    <n v="7741197"/>
    <n v="1"/>
    <n v="7741197"/>
    <n v="0"/>
    <n v="0"/>
    <n v="12"/>
    <x v="0"/>
  </r>
  <r>
    <x v="889"/>
    <s v="C0236"/>
    <x v="3"/>
    <d v="2023-12-21T00:00:00"/>
    <d v="2024-02-19T00:00:00"/>
    <s v="EUR"/>
    <n v="92363.85"/>
    <d v="2024-03-30T00:00:00"/>
    <s v="PAID"/>
    <s v="Y"/>
    <n v="91.696700000000007"/>
    <n v="92363.85"/>
    <n v="91.5137"/>
    <n v="8452557.6597450003"/>
    <n v="0"/>
    <n v="0"/>
    <n v="40"/>
    <x v="0"/>
  </r>
  <r>
    <x v="890"/>
    <s v="C0050"/>
    <x v="0"/>
    <d v="2023-12-22T00:00:00"/>
    <d v="2024-02-20T00:00:00"/>
    <s v="INR"/>
    <n v="5034319"/>
    <d v="2024-02-23T00:00:00"/>
    <s v="PAID"/>
    <s v="N"/>
    <m/>
    <n v="5034319"/>
    <n v="1"/>
    <n v="5034319"/>
    <n v="0"/>
    <n v="0"/>
    <n v="3"/>
    <x v="0"/>
  </r>
  <r>
    <x v="891"/>
    <s v="C0213"/>
    <x v="1"/>
    <d v="2023-12-23T00:00:00"/>
    <d v="2024-02-21T00:00:00"/>
    <s v="EUR"/>
    <n v="187418.68"/>
    <d v="2024-02-23T00:00:00"/>
    <s v="PAID"/>
    <s v="N"/>
    <m/>
    <n v="187418.68"/>
    <n v="91.498500000000007"/>
    <n v="17148528.091979999"/>
    <n v="0"/>
    <n v="0"/>
    <n v="2"/>
    <x v="0"/>
  </r>
  <r>
    <x v="892"/>
    <s v="C0229"/>
    <x v="3"/>
    <d v="2023-12-23T00:00:00"/>
    <d v="2024-03-22T00:00:00"/>
    <s v="USD"/>
    <n v="32993.58"/>
    <d v="2024-03-30T00:00:00"/>
    <s v="PAID"/>
    <s v="Y"/>
    <n v="83.535600000000002"/>
    <n v="32993.58"/>
    <n v="83.12"/>
    <n v="2742426.3696000003"/>
    <n v="0"/>
    <n v="0"/>
    <n v="8"/>
    <x v="0"/>
  </r>
  <r>
    <x v="893"/>
    <s v="C0236"/>
    <x v="3"/>
    <d v="2023-12-23T00:00:00"/>
    <d v="2024-02-21T00:00:00"/>
    <s v="EUR"/>
    <n v="336765.8"/>
    <d v="2024-05-15T00:00:00"/>
    <s v="WRITTEN OFF"/>
    <s v="Y"/>
    <n v="91.6815"/>
    <n v="83197.75"/>
    <n v="91.498500000000007"/>
    <n v="30813565.5513"/>
    <n v="0"/>
    <n v="0"/>
    <n v="84"/>
    <x v="0"/>
  </r>
  <r>
    <x v="894"/>
    <s v="C0020"/>
    <x v="3"/>
    <d v="2023-12-25T00:00:00"/>
    <d v="2024-03-24T00:00:00"/>
    <s v="USD"/>
    <n v="105385.16"/>
    <d v="2024-04-11T00:00:00"/>
    <s v="PARTIALLY PAID"/>
    <s v="Y"/>
    <n v="83.535600000000002"/>
    <n v="71515.490000000005"/>
    <n v="83.12"/>
    <n v="8759614.4992000014"/>
    <n v="2815246.9704"/>
    <n v="372"/>
    <n v="18"/>
    <x v="1"/>
  </r>
  <r>
    <x v="895"/>
    <s v="C0109"/>
    <x v="1"/>
    <d v="2023-12-25T00:00:00"/>
    <d v="2024-02-08T00:00:00"/>
    <s v="INR"/>
    <n v="20316221"/>
    <d v="2024-02-14T00:00:00"/>
    <s v="PAID"/>
    <s v="N"/>
    <m/>
    <n v="20316221"/>
    <n v="1"/>
    <n v="20316221"/>
    <n v="0"/>
    <n v="0"/>
    <n v="6"/>
    <x v="0"/>
  </r>
  <r>
    <x v="896"/>
    <s v="C0118"/>
    <x v="1"/>
    <d v="2023-12-25T00:00:00"/>
    <d v="2024-02-23T00:00:00"/>
    <s v="INR"/>
    <n v="9837586"/>
    <d v="2024-03-12T00:00:00"/>
    <s v="PAID"/>
    <s v="N"/>
    <m/>
    <n v="9837586"/>
    <n v="1"/>
    <n v="9837586"/>
    <n v="0"/>
    <n v="0"/>
    <n v="18"/>
    <x v="0"/>
  </r>
  <r>
    <x v="897"/>
    <s v="C0005"/>
    <x v="2"/>
    <d v="2023-12-26T00:00:00"/>
    <d v="2024-01-25T00:00:00"/>
    <s v="INR"/>
    <n v="4190048"/>
    <d v="2024-02-10T00:00:00"/>
    <s v="PAID"/>
    <s v="N"/>
    <m/>
    <n v="4190048"/>
    <n v="1"/>
    <n v="4190048"/>
    <n v="0"/>
    <n v="0"/>
    <n v="16"/>
    <x v="0"/>
  </r>
  <r>
    <x v="898"/>
    <s v="C0066"/>
    <x v="3"/>
    <d v="2023-12-26T00:00:00"/>
    <d v="2024-01-25T00:00:00"/>
    <s v="INR"/>
    <n v="21717928"/>
    <d v="2024-02-05T00:00:00"/>
    <s v="PAID"/>
    <s v="N"/>
    <m/>
    <n v="21717928"/>
    <n v="1"/>
    <n v="21717928"/>
    <n v="0"/>
    <n v="0"/>
    <n v="11"/>
    <x v="0"/>
  </r>
  <r>
    <x v="899"/>
    <s v="C0198"/>
    <x v="3"/>
    <d v="2023-12-26T00:00:00"/>
    <d v="2024-02-09T00:00:00"/>
    <s v="USD"/>
    <n v="312161.21999999997"/>
    <d v="2024-02-24T00:00:00"/>
    <s v="PAID"/>
    <s v="N"/>
    <m/>
    <n v="312161.21999999997"/>
    <n v="83.17"/>
    <n v="25962448.667399999"/>
    <n v="0"/>
    <n v="0"/>
    <n v="15"/>
    <x v="0"/>
  </r>
  <r>
    <x v="900"/>
    <s v="C0236"/>
    <x v="3"/>
    <d v="2023-12-26T00:00:00"/>
    <d v="2024-02-24T00:00:00"/>
    <s v="EUR"/>
    <n v="13953.74"/>
    <d v="2024-04-09T00:00:00"/>
    <s v="PAID"/>
    <s v="Y"/>
    <n v="91.961699999999993"/>
    <n v="13953.74"/>
    <n v="91.778099999999995"/>
    <n v="1280647.7450939999"/>
    <n v="0"/>
    <n v="0"/>
    <n v="45"/>
    <x v="0"/>
  </r>
  <r>
    <x v="901"/>
    <s v="C0020"/>
    <x v="3"/>
    <d v="2023-12-27T00:00:00"/>
    <d v="2024-03-26T00:00:00"/>
    <s v="USD"/>
    <n v="12548.67"/>
    <d v="2024-04-27T00:00:00"/>
    <s v="PAID"/>
    <s v="Y"/>
    <n v="83.7667"/>
    <n v="12548.67"/>
    <n v="83.35"/>
    <n v="1045931.6444999999"/>
    <n v="0"/>
    <n v="0"/>
    <n v="32"/>
    <x v="0"/>
  </r>
  <r>
    <x v="902"/>
    <s v="C0161"/>
    <x v="3"/>
    <d v="2023-12-27T00:00:00"/>
    <d v="2024-03-26T00:00:00"/>
    <s v="USD"/>
    <n v="52842.81"/>
    <d v="2024-04-04T00:00:00"/>
    <s v="PAID"/>
    <s v="Y"/>
    <n v="83.7667"/>
    <n v="52842.81"/>
    <n v="83.35"/>
    <n v="4404448.2134999996"/>
    <n v="0"/>
    <n v="0"/>
    <n v="9"/>
    <x v="0"/>
  </r>
  <r>
    <x v="903"/>
    <s v="C0183"/>
    <x v="0"/>
    <d v="2023-12-27T00:00:00"/>
    <d v="2024-03-26T00:00:00"/>
    <s v="INR"/>
    <n v="6003548"/>
    <d v="2024-03-26T00:00:00"/>
    <s v="PAID"/>
    <s v="N"/>
    <m/>
    <n v="6003548"/>
    <n v="1"/>
    <n v="6003548"/>
    <n v="0"/>
    <n v="0"/>
    <n v="0"/>
    <x v="0"/>
  </r>
  <r>
    <x v="904"/>
    <s v="C0213"/>
    <x v="2"/>
    <d v="2023-12-27T00:00:00"/>
    <d v="2024-02-25T00:00:00"/>
    <s v="EUR"/>
    <n v="107407.77"/>
    <d v="2024-03-04T00:00:00"/>
    <s v="PAID"/>
    <s v="N"/>
    <m/>
    <n v="107407.77"/>
    <n v="92.635199999999998"/>
    <n v="9949740.2555040009"/>
    <n v="0"/>
    <n v="0"/>
    <n v="8"/>
    <x v="0"/>
  </r>
  <r>
    <x v="905"/>
    <s v="C0049"/>
    <x v="3"/>
    <d v="2023-12-28T00:00:00"/>
    <d v="2024-01-27T00:00:00"/>
    <s v="INR"/>
    <n v="7002078"/>
    <d v="2024-01-23T00:00:00"/>
    <s v="PAID"/>
    <s v="N"/>
    <m/>
    <n v="7002078"/>
    <n v="1"/>
    <n v="7002078"/>
    <n v="0"/>
    <n v="0"/>
    <n v="-4"/>
    <x v="0"/>
  </r>
  <r>
    <x v="906"/>
    <s v="C0081"/>
    <x v="0"/>
    <d v="2023-12-28T00:00:00"/>
    <d v="2024-01-27T00:00:00"/>
    <s v="INR"/>
    <n v="16367713"/>
    <d v="2024-05-27T00:00:00"/>
    <s v="PAID"/>
    <s v="N"/>
    <m/>
    <n v="16367713"/>
    <n v="1"/>
    <n v="16367713"/>
    <n v="0"/>
    <n v="0"/>
    <n v="121"/>
    <x v="0"/>
  </r>
  <r>
    <x v="907"/>
    <s v="C0109"/>
    <x v="1"/>
    <d v="2023-12-28T00:00:00"/>
    <d v="2024-02-11T00:00:00"/>
    <s v="INR"/>
    <n v="12129695"/>
    <d v="2024-02-25T00:00:00"/>
    <s v="PARTIALLY PAID"/>
    <s v="N"/>
    <m/>
    <n v="8222563.1799999997"/>
    <n v="1"/>
    <n v="12129695"/>
    <n v="3907131.8200000003"/>
    <n v="414"/>
    <n v="14"/>
    <x v="1"/>
  </r>
  <r>
    <x v="908"/>
    <s v="C0016"/>
    <x v="4"/>
    <d v="2023-12-29T00:00:00"/>
    <d v="2024-01-28T00:00:00"/>
    <s v="INR"/>
    <n v="7955036"/>
    <d v="2024-02-18T00:00:00"/>
    <s v="PAID"/>
    <s v="N"/>
    <m/>
    <n v="7955036"/>
    <n v="1"/>
    <n v="7955036"/>
    <n v="0"/>
    <n v="0"/>
    <n v="21"/>
    <x v="0"/>
  </r>
  <r>
    <x v="909"/>
    <s v="C0039"/>
    <x v="0"/>
    <d v="2023-12-29T00:00:00"/>
    <d v="2024-02-27T00:00:00"/>
    <s v="INR"/>
    <n v="21961710"/>
    <m/>
    <s v="PAID"/>
    <s v="N"/>
    <m/>
    <n v="21961710"/>
    <n v="1"/>
    <n v="21961710"/>
    <n v="0"/>
    <n v="0"/>
    <s v=""/>
    <x v="0"/>
  </r>
  <r>
    <x v="910"/>
    <s v="C0060"/>
    <x v="0"/>
    <d v="2023-12-29T00:00:00"/>
    <d v="2024-02-12T00:00:00"/>
    <s v="INR"/>
    <n v="10169790"/>
    <d v="2024-02-15T00:00:00"/>
    <s v="PARTIALLY PAID"/>
    <s v="N"/>
    <m/>
    <n v="6781699.5099999998"/>
    <n v="1"/>
    <n v="10169790"/>
    <n v="3388090.49"/>
    <n v="413"/>
    <n v="3"/>
    <x v="1"/>
  </r>
  <r>
    <x v="911"/>
    <s v="C0108"/>
    <x v="0"/>
    <d v="2023-12-29T00:00:00"/>
    <d v="2024-02-12T00:00:00"/>
    <s v="INR"/>
    <n v="3197597"/>
    <d v="2024-02-08T00:00:00"/>
    <s v="PAID"/>
    <s v="N"/>
    <m/>
    <n v="3197597"/>
    <n v="1"/>
    <n v="3197597"/>
    <n v="0"/>
    <n v="0"/>
    <n v="-4"/>
    <x v="0"/>
  </r>
  <r>
    <x v="912"/>
    <s v="C0131"/>
    <x v="4"/>
    <d v="2023-12-29T00:00:00"/>
    <d v="2024-03-28T00:00:00"/>
    <s v="INR"/>
    <n v="9177973"/>
    <d v="2024-04-03T00:00:00"/>
    <s v="PAID"/>
    <s v="N"/>
    <m/>
    <n v="9177973"/>
    <n v="1"/>
    <n v="9177973"/>
    <n v="0"/>
    <n v="0"/>
    <n v="6"/>
    <x v="0"/>
  </r>
  <r>
    <x v="913"/>
    <s v="C0216"/>
    <x v="1"/>
    <d v="2023-12-29T00:00:00"/>
    <d v="2024-02-27T00:00:00"/>
    <s v="USD"/>
    <n v="338666.38"/>
    <d v="2024-03-09T00:00:00"/>
    <s v="PAID"/>
    <s v="N"/>
    <m/>
    <n v="338666.38"/>
    <n v="83.19"/>
    <n v="28173656.152199998"/>
    <n v="0"/>
    <n v="0"/>
    <n v="11"/>
    <x v="0"/>
  </r>
  <r>
    <x v="914"/>
    <s v="C0248"/>
    <x v="4"/>
    <d v="2023-12-29T00:00:00"/>
    <d v="2024-01-28T00:00:00"/>
    <s v="USD"/>
    <n v="180856.18"/>
    <d v="2024-02-01T00:00:00"/>
    <s v="PAID"/>
    <s v="Y"/>
    <n v="83.328599999999994"/>
    <n v="180856.18"/>
    <n v="83.19"/>
    <n v="15045425.6142"/>
    <n v="0"/>
    <n v="0"/>
    <n v="4"/>
    <x v="0"/>
  </r>
  <r>
    <x v="915"/>
    <s v="C0019"/>
    <x v="2"/>
    <d v="2023-12-30T00:00:00"/>
    <d v="2024-03-29T00:00:00"/>
    <s v="EUR"/>
    <n v="197997.01"/>
    <d v="2024-05-11T00:00:00"/>
    <s v="PAID"/>
    <s v="N"/>
    <m/>
    <n v="197997.01"/>
    <n v="92.024799999999999"/>
    <n v="18220635.245848"/>
    <n v="0"/>
    <n v="0"/>
    <n v="43"/>
    <x v="0"/>
  </r>
  <r>
    <x v="916"/>
    <s v="C0055"/>
    <x v="1"/>
    <d v="2023-12-30T00:00:00"/>
    <d v="2024-02-13T00:00:00"/>
    <s v="INR"/>
    <n v="4790940"/>
    <d v="2024-02-15T00:00:00"/>
    <s v="PAID"/>
    <s v="N"/>
    <m/>
    <n v="4790940"/>
    <n v="1"/>
    <n v="4790940"/>
    <n v="0"/>
    <n v="0"/>
    <n v="2"/>
    <x v="0"/>
  </r>
  <r>
    <x v="917"/>
    <s v="C0073"/>
    <x v="1"/>
    <d v="2023-12-30T00:00:00"/>
    <d v="2024-01-29T00:00:00"/>
    <s v="USD"/>
    <n v="209316.56"/>
    <d v="2024-02-18T00:00:00"/>
    <s v="PAID"/>
    <s v="N"/>
    <m/>
    <n v="209316.56"/>
    <n v="83.19"/>
    <n v="17413044.626399998"/>
    <n v="0"/>
    <n v="0"/>
    <n v="20"/>
    <x v="0"/>
  </r>
  <r>
    <x v="918"/>
    <s v="C0166"/>
    <x v="4"/>
    <d v="2023-12-30T00:00:00"/>
    <d v="2024-03-29T00:00:00"/>
    <s v="INR"/>
    <n v="4433706"/>
    <d v="2024-04-25T00:00:00"/>
    <s v="PAID"/>
    <s v="N"/>
    <m/>
    <n v="4433706"/>
    <n v="1"/>
    <n v="4433706"/>
    <n v="0"/>
    <n v="0"/>
    <n v="27"/>
    <x v="0"/>
  </r>
  <r>
    <x v="919"/>
    <s v="C0198"/>
    <x v="3"/>
    <d v="2023-12-30T00:00:00"/>
    <d v="2024-02-13T00:00:00"/>
    <s v="USD"/>
    <n v="48263.56"/>
    <d v="2024-02-27T00:00:00"/>
    <s v="PAID"/>
    <s v="Y"/>
    <n v="83.397999999999996"/>
    <n v="48263.56"/>
    <n v="83.19"/>
    <n v="4015045.5563999997"/>
    <n v="0"/>
    <n v="0"/>
    <n v="14"/>
    <x v="0"/>
  </r>
  <r>
    <x v="920"/>
    <s v="C0215"/>
    <x v="4"/>
    <d v="2023-12-30T00:00:00"/>
    <d v="2024-01-29T00:00:00"/>
    <s v="USD"/>
    <n v="33982.32"/>
    <d v="2024-01-28T00:00:00"/>
    <s v="PAID"/>
    <s v="Y"/>
    <n v="83.328599999999994"/>
    <n v="33982.32"/>
    <n v="83.19"/>
    <n v="2826989.2007999998"/>
    <n v="0"/>
    <n v="0"/>
    <n v="-1"/>
    <x v="0"/>
  </r>
  <r>
    <x v="921"/>
    <s v="C0228"/>
    <x v="0"/>
    <d v="2023-12-30T00:00:00"/>
    <d v="2024-02-13T00:00:00"/>
    <s v="INR"/>
    <n v="9291451"/>
    <d v="2024-02-25T00:00:00"/>
    <s v="PAID"/>
    <s v="N"/>
    <m/>
    <n v="9291451"/>
    <n v="1"/>
    <n v="9291451"/>
    <n v="0"/>
    <n v="0"/>
    <n v="12"/>
    <x v="0"/>
  </r>
  <r>
    <x v="922"/>
    <s v="C0247"/>
    <x v="4"/>
    <d v="2023-12-30T00:00:00"/>
    <d v="2024-02-13T00:00:00"/>
    <s v="USD"/>
    <n v="141114.01"/>
    <d v="2024-03-01T00:00:00"/>
    <s v="PAID"/>
    <s v="Y"/>
    <n v="83.397999999999996"/>
    <n v="141114.01"/>
    <n v="83.19"/>
    <n v="11739274.491900001"/>
    <n v="0"/>
    <n v="0"/>
    <n v="17"/>
    <x v="0"/>
  </r>
  <r>
    <x v="923"/>
    <s v="C0020"/>
    <x v="3"/>
    <d v="2024-01-02T00:00:00"/>
    <d v="2024-04-01T00:00:00"/>
    <s v="USD"/>
    <n v="88232.68"/>
    <d v="2024-08-13T00:00:00"/>
    <s v="PAID"/>
    <s v="Y"/>
    <n v="83.726500000000001"/>
    <n v="88232.68"/>
    <n v="83.31"/>
    <n v="7350664.5707999999"/>
    <n v="0"/>
    <n v="0"/>
    <n v="134"/>
    <x v="0"/>
  </r>
  <r>
    <x v="924"/>
    <s v="C0169"/>
    <x v="3"/>
    <d v="2024-01-02T00:00:00"/>
    <d v="2024-02-16T00:00:00"/>
    <s v="EUR"/>
    <n v="21159.05"/>
    <d v="2024-02-28T00:00:00"/>
    <s v="PAID"/>
    <s v="Y"/>
    <n v="91.419700000000006"/>
    <n v="21159.05"/>
    <n v="91.282799999999995"/>
    <n v="1931457.3293399997"/>
    <n v="0"/>
    <n v="0"/>
    <n v="12"/>
    <x v="0"/>
  </r>
  <r>
    <x v="925"/>
    <s v="C0004"/>
    <x v="0"/>
    <d v="2024-01-03T00:00:00"/>
    <d v="2024-02-17T00:00:00"/>
    <s v="INR"/>
    <n v="3870732"/>
    <d v="2024-02-24T00:00:00"/>
    <s v="PAID"/>
    <s v="N"/>
    <m/>
    <n v="3870732"/>
    <n v="1"/>
    <n v="3870732"/>
    <n v="0"/>
    <n v="0"/>
    <n v="7"/>
    <x v="0"/>
  </r>
  <r>
    <x v="926"/>
    <s v="C0005"/>
    <x v="2"/>
    <d v="2024-01-03T00:00:00"/>
    <d v="2024-02-02T00:00:00"/>
    <s v="INR"/>
    <n v="5230288"/>
    <d v="2024-02-22T00:00:00"/>
    <s v="PAID"/>
    <s v="N"/>
    <m/>
    <n v="5230288"/>
    <n v="1"/>
    <n v="5230288"/>
    <n v="0"/>
    <n v="0"/>
    <n v="20"/>
    <x v="0"/>
  </r>
  <r>
    <x v="927"/>
    <s v="C0019"/>
    <x v="2"/>
    <d v="2024-01-03T00:00:00"/>
    <d v="2024-04-02T00:00:00"/>
    <s v="EUR"/>
    <n v="33567.32"/>
    <d v="2024-04-22T00:00:00"/>
    <s v="PAID"/>
    <s v="N"/>
    <m/>
    <n v="33567.32"/>
    <n v="90.872"/>
    <n v="3050329.5030399999"/>
    <n v="0"/>
    <n v="0"/>
    <n v="20"/>
    <x v="0"/>
  </r>
  <r>
    <x v="928"/>
    <s v="C0127"/>
    <x v="2"/>
    <d v="2024-01-03T00:00:00"/>
    <d v="2024-03-03T00:00:00"/>
    <s v="INR"/>
    <n v="6239954"/>
    <d v="2024-05-30T00:00:00"/>
    <s v="PAID"/>
    <s v="N"/>
    <m/>
    <n v="6239954"/>
    <n v="1"/>
    <n v="6239954"/>
    <n v="0"/>
    <n v="0"/>
    <n v="88"/>
    <x v="0"/>
  </r>
  <r>
    <x v="929"/>
    <s v="C0213"/>
    <x v="1"/>
    <d v="2024-01-03T00:00:00"/>
    <d v="2024-03-03T00:00:00"/>
    <s v="EUR"/>
    <n v="98845.22"/>
    <d v="2024-03-13T00:00:00"/>
    <s v="PAID"/>
    <s v="Y"/>
    <n v="91.053700000000006"/>
    <n v="98845.22"/>
    <n v="90.872"/>
    <n v="8982262.8318399992"/>
    <n v="0"/>
    <n v="0"/>
    <n v="10"/>
    <x v="0"/>
  </r>
  <r>
    <x v="930"/>
    <s v="C0214"/>
    <x v="1"/>
    <d v="2024-01-03T00:00:00"/>
    <d v="2024-02-02T00:00:00"/>
    <s v="INR"/>
    <n v="5621586"/>
    <d v="2024-02-01T00:00:00"/>
    <s v="PAID"/>
    <s v="N"/>
    <m/>
    <n v="5621586"/>
    <n v="1"/>
    <n v="5621586"/>
    <n v="0"/>
    <n v="0"/>
    <n v="-1"/>
    <x v="0"/>
  </r>
  <r>
    <x v="931"/>
    <s v="C0004"/>
    <x v="0"/>
    <d v="2024-01-04T00:00:00"/>
    <d v="2024-02-18T00:00:00"/>
    <s v="INR"/>
    <n v="7866225"/>
    <d v="2024-02-20T00:00:00"/>
    <s v="PAID"/>
    <s v="N"/>
    <m/>
    <n v="7866225"/>
    <n v="1"/>
    <n v="7866225"/>
    <n v="0"/>
    <n v="0"/>
    <n v="2"/>
    <x v="0"/>
  </r>
  <r>
    <x v="932"/>
    <s v="C0050"/>
    <x v="0"/>
    <d v="2024-01-04T00:00:00"/>
    <d v="2024-03-04T00:00:00"/>
    <s v="INR"/>
    <n v="7469351"/>
    <d v="2024-03-09T00:00:00"/>
    <s v="PAID"/>
    <s v="N"/>
    <m/>
    <n v="7469351"/>
    <n v="1"/>
    <n v="7469351"/>
    <n v="0"/>
    <n v="0"/>
    <n v="5"/>
    <x v="0"/>
  </r>
  <r>
    <x v="933"/>
    <s v="C0060"/>
    <x v="0"/>
    <d v="2024-01-04T00:00:00"/>
    <d v="2024-02-18T00:00:00"/>
    <s v="INR"/>
    <n v="11674739"/>
    <d v="2024-02-26T00:00:00"/>
    <s v="PAID"/>
    <s v="N"/>
    <m/>
    <n v="11674739"/>
    <n v="1"/>
    <n v="11674739"/>
    <n v="0"/>
    <n v="0"/>
    <n v="8"/>
    <x v="0"/>
  </r>
  <r>
    <x v="934"/>
    <s v="C0091"/>
    <x v="2"/>
    <d v="2024-01-04T00:00:00"/>
    <d v="2024-03-04T00:00:00"/>
    <s v="USD"/>
    <n v="70930.55"/>
    <d v="2024-03-05T00:00:00"/>
    <s v="PAID"/>
    <s v="N"/>
    <m/>
    <n v="70930.55"/>
    <n v="83.21"/>
    <n v="5902131.0654999996"/>
    <n v="0"/>
    <n v="0"/>
    <n v="1"/>
    <x v="0"/>
  </r>
  <r>
    <x v="935"/>
    <s v="C0216"/>
    <x v="1"/>
    <d v="2024-01-04T00:00:00"/>
    <d v="2024-03-04T00:00:00"/>
    <s v="USD"/>
    <n v="18146.21"/>
    <d v="2024-04-20T00:00:00"/>
    <s v="PAID"/>
    <s v="N"/>
    <m/>
    <n v="18146.21"/>
    <n v="83.21"/>
    <n v="1509946.1340999999"/>
    <n v="0"/>
    <n v="0"/>
    <n v="47"/>
    <x v="0"/>
  </r>
  <r>
    <x v="936"/>
    <s v="C0221"/>
    <x v="1"/>
    <d v="2024-01-04T00:00:00"/>
    <d v="2024-03-04T00:00:00"/>
    <s v="INR"/>
    <n v="6191375"/>
    <d v="2024-03-18T00:00:00"/>
    <s v="PAID"/>
    <s v="N"/>
    <m/>
    <n v="6191375"/>
    <n v="1"/>
    <n v="6191375"/>
    <n v="0"/>
    <n v="0"/>
    <n v="14"/>
    <x v="0"/>
  </r>
  <r>
    <x v="937"/>
    <s v="C0244"/>
    <x v="3"/>
    <d v="2024-01-04T00:00:00"/>
    <d v="2024-03-04T00:00:00"/>
    <s v="INR"/>
    <n v="11382181"/>
    <d v="2024-03-14T00:00:00"/>
    <s v="PAID"/>
    <s v="N"/>
    <m/>
    <n v="11382181"/>
    <n v="1"/>
    <n v="11382181"/>
    <n v="0"/>
    <n v="0"/>
    <n v="10"/>
    <x v="0"/>
  </r>
  <r>
    <x v="938"/>
    <s v="C0019"/>
    <x v="2"/>
    <d v="2024-01-05T00:00:00"/>
    <d v="2024-04-04T00:00:00"/>
    <s v="EUR"/>
    <n v="20856.330000000002"/>
    <d v="2024-04-14T00:00:00"/>
    <s v="PAID"/>
    <s v="Y"/>
    <n v="91.391800000000003"/>
    <n v="20856.330000000002"/>
    <n v="91.118399999999994"/>
    <n v="1900395.4194720001"/>
    <n v="0"/>
    <n v="0"/>
    <n v="10"/>
    <x v="0"/>
  </r>
  <r>
    <x v="939"/>
    <s v="C0073"/>
    <x v="1"/>
    <d v="2024-01-05T00:00:00"/>
    <d v="2024-02-04T00:00:00"/>
    <s v="USD"/>
    <n v="270383.78000000003"/>
    <d v="2024-02-29T00:00:00"/>
    <s v="PAID"/>
    <s v="N"/>
    <m/>
    <n v="270383.78000000003"/>
    <n v="83.16"/>
    <n v="22485115.1448"/>
    <n v="0"/>
    <n v="0"/>
    <n v="25"/>
    <x v="0"/>
  </r>
  <r>
    <x v="940"/>
    <s v="C0148"/>
    <x v="0"/>
    <d v="2024-01-05T00:00:00"/>
    <d v="2024-02-04T00:00:00"/>
    <s v="INR"/>
    <n v="8377273"/>
    <d v="2024-02-11T00:00:00"/>
    <s v="PAID"/>
    <s v="N"/>
    <m/>
    <n v="8377273"/>
    <n v="1"/>
    <n v="8377273"/>
    <n v="0"/>
    <n v="0"/>
    <n v="7"/>
    <x v="0"/>
  </r>
  <r>
    <x v="941"/>
    <s v="C0170"/>
    <x v="2"/>
    <d v="2024-01-05T00:00:00"/>
    <d v="2024-03-05T00:00:00"/>
    <s v="INR"/>
    <n v="9216324"/>
    <d v="2024-03-22T00:00:00"/>
    <s v="PAID"/>
    <s v="N"/>
    <m/>
    <n v="9216324"/>
    <n v="1"/>
    <n v="9216324"/>
    <n v="0"/>
    <n v="0"/>
    <n v="17"/>
    <x v="0"/>
  </r>
  <r>
    <x v="942"/>
    <s v="C0187"/>
    <x v="3"/>
    <d v="2024-01-05T00:00:00"/>
    <d v="2024-02-19T00:00:00"/>
    <s v="INR"/>
    <n v="3050307"/>
    <d v="2024-02-19T00:00:00"/>
    <s v="PAID"/>
    <s v="N"/>
    <m/>
    <n v="3050307"/>
    <n v="1"/>
    <n v="3050307"/>
    <n v="0"/>
    <n v="0"/>
    <n v="0"/>
    <x v="0"/>
  </r>
  <r>
    <x v="943"/>
    <s v="C0246"/>
    <x v="4"/>
    <d v="2024-01-05T00:00:00"/>
    <d v="2024-03-05T00:00:00"/>
    <s v="USD"/>
    <n v="63136.07"/>
    <d v="2024-03-20T00:00:00"/>
    <s v="PAID"/>
    <s v="Y"/>
    <n v="83.437200000000004"/>
    <n v="63136.07"/>
    <n v="83.16"/>
    <n v="5250395.5811999999"/>
    <n v="0"/>
    <n v="0"/>
    <n v="15"/>
    <x v="0"/>
  </r>
  <r>
    <x v="944"/>
    <s v="C0003"/>
    <x v="0"/>
    <d v="2024-01-06T00:00:00"/>
    <d v="2024-02-20T00:00:00"/>
    <s v="INR"/>
    <n v="8930293"/>
    <m/>
    <s v="WRITTEN OFF"/>
    <s v="N"/>
    <m/>
    <n v="0"/>
    <n v="1"/>
    <n v="8930293"/>
    <n v="0"/>
    <n v="0"/>
    <s v=""/>
    <x v="0"/>
  </r>
  <r>
    <x v="945"/>
    <s v="C0025"/>
    <x v="3"/>
    <d v="2024-01-06T00:00:00"/>
    <d v="2024-02-20T00:00:00"/>
    <s v="USD"/>
    <n v="553002.74"/>
    <d v="2024-03-29T00:00:00"/>
    <s v="PAID"/>
    <s v="Y"/>
    <n v="83.367900000000006"/>
    <n v="553002.74"/>
    <n v="83.16"/>
    <n v="45987707.858399995"/>
    <n v="0"/>
    <n v="0"/>
    <n v="38"/>
    <x v="0"/>
  </r>
  <r>
    <x v="946"/>
    <s v="C0029"/>
    <x v="1"/>
    <d v="2024-01-06T00:00:00"/>
    <d v="2024-04-05T00:00:00"/>
    <s v="INR"/>
    <n v="2541104"/>
    <d v="2024-03-29T00:00:00"/>
    <s v="PAID"/>
    <s v="N"/>
    <m/>
    <n v="2541104"/>
    <n v="1"/>
    <n v="2541104"/>
    <n v="0"/>
    <n v="0"/>
    <n v="-7"/>
    <x v="0"/>
  </r>
  <r>
    <x v="947"/>
    <s v="C0118"/>
    <x v="1"/>
    <d v="2024-01-06T00:00:00"/>
    <d v="2024-03-06T00:00:00"/>
    <s v="INR"/>
    <n v="4848609"/>
    <d v="2024-03-23T00:00:00"/>
    <s v="PAID"/>
    <s v="N"/>
    <m/>
    <n v="4848609"/>
    <n v="1"/>
    <n v="4848609"/>
    <n v="0"/>
    <n v="0"/>
    <n v="17"/>
    <x v="0"/>
  </r>
  <r>
    <x v="948"/>
    <s v="C0120"/>
    <x v="1"/>
    <d v="2024-01-06T00:00:00"/>
    <d v="2024-03-06T00:00:00"/>
    <s v="USD"/>
    <n v="15449.97"/>
    <d v="2024-03-27T00:00:00"/>
    <s v="PAID"/>
    <s v="Y"/>
    <n v="83.437200000000004"/>
    <n v="15449.97"/>
    <n v="83.16"/>
    <n v="1284819.5051999998"/>
    <n v="0"/>
    <n v="0"/>
    <n v="21"/>
    <x v="0"/>
  </r>
  <r>
    <x v="949"/>
    <s v="C0209"/>
    <x v="0"/>
    <d v="2024-01-06T00:00:00"/>
    <d v="2024-04-05T00:00:00"/>
    <s v="INR"/>
    <n v="5890686"/>
    <d v="2024-04-11T00:00:00"/>
    <s v="PAID"/>
    <s v="N"/>
    <m/>
    <n v="5890686"/>
    <n v="1"/>
    <n v="5890686"/>
    <n v="0"/>
    <n v="0"/>
    <n v="6"/>
    <x v="0"/>
  </r>
  <r>
    <x v="950"/>
    <s v="C0216"/>
    <x v="1"/>
    <d v="2024-01-06T00:00:00"/>
    <d v="2024-03-06T00:00:00"/>
    <s v="USD"/>
    <n v="123381.44"/>
    <d v="2024-03-28T00:00:00"/>
    <s v="PAID"/>
    <s v="N"/>
    <m/>
    <n v="123381.44"/>
    <n v="83.16"/>
    <n v="10260400.5504"/>
    <n v="0"/>
    <n v="0"/>
    <n v="22"/>
    <x v="0"/>
  </r>
  <r>
    <x v="951"/>
    <s v="C0221"/>
    <x v="1"/>
    <d v="2024-01-06T00:00:00"/>
    <d v="2024-03-06T00:00:00"/>
    <s v="INR"/>
    <n v="1023880"/>
    <d v="2024-03-18T00:00:00"/>
    <s v="PAID"/>
    <s v="N"/>
    <m/>
    <n v="1023880"/>
    <n v="1"/>
    <n v="1023880"/>
    <n v="0"/>
    <n v="0"/>
    <n v="12"/>
    <x v="0"/>
  </r>
  <r>
    <x v="952"/>
    <s v="C0223"/>
    <x v="0"/>
    <d v="2024-01-06T00:00:00"/>
    <d v="2024-02-20T00:00:00"/>
    <s v="INR"/>
    <n v="1929418"/>
    <d v="2024-05-24T00:00:00"/>
    <s v="PAID"/>
    <s v="N"/>
    <m/>
    <n v="1929418"/>
    <n v="1"/>
    <n v="1929418"/>
    <n v="0"/>
    <n v="0"/>
    <n v="94"/>
    <x v="0"/>
  </r>
  <r>
    <x v="953"/>
    <s v="C0039"/>
    <x v="0"/>
    <d v="2024-01-08T00:00:00"/>
    <d v="2024-03-08T00:00:00"/>
    <s v="INR"/>
    <n v="14717621"/>
    <d v="2024-03-12T00:00:00"/>
    <s v="PAID"/>
    <s v="N"/>
    <m/>
    <n v="14717621"/>
    <n v="1"/>
    <n v="14717621"/>
    <n v="0"/>
    <n v="0"/>
    <n v="4"/>
    <x v="0"/>
  </r>
  <r>
    <x v="954"/>
    <s v="C0212"/>
    <x v="2"/>
    <d v="2024-01-08T00:00:00"/>
    <d v="2024-04-07T00:00:00"/>
    <s v="INR"/>
    <n v="4984018"/>
    <d v="2024-04-06T00:00:00"/>
    <s v="PAID"/>
    <s v="N"/>
    <m/>
    <n v="4984018"/>
    <n v="1"/>
    <n v="4984018"/>
    <n v="0"/>
    <n v="0"/>
    <n v="-1"/>
    <x v="0"/>
  </r>
  <r>
    <x v="955"/>
    <s v="C0222"/>
    <x v="2"/>
    <d v="2024-01-08T00:00:00"/>
    <d v="2024-03-08T00:00:00"/>
    <s v="EUR"/>
    <n v="50818.76"/>
    <d v="2024-03-25T00:00:00"/>
    <s v="PAID"/>
    <s v="Y"/>
    <n v="91.426000000000002"/>
    <n v="50818.76"/>
    <n v="91.243499999999997"/>
    <n v="4636881.5280600004"/>
    <n v="0"/>
    <n v="0"/>
    <n v="17"/>
    <x v="0"/>
  </r>
  <r>
    <x v="956"/>
    <s v="C0238"/>
    <x v="2"/>
    <d v="2024-01-08T00:00:00"/>
    <d v="2024-03-08T00:00:00"/>
    <s v="INR"/>
    <n v="4445166"/>
    <d v="2024-03-17T00:00:00"/>
    <s v="PAID"/>
    <s v="N"/>
    <m/>
    <n v="4445166"/>
    <n v="1"/>
    <n v="4445166"/>
    <n v="0"/>
    <n v="0"/>
    <n v="9"/>
    <x v="0"/>
  </r>
  <r>
    <x v="957"/>
    <s v="C0047"/>
    <x v="4"/>
    <d v="2024-01-09T00:00:00"/>
    <d v="2024-04-08T00:00:00"/>
    <s v="USD"/>
    <n v="53226.01"/>
    <d v="2024-04-15T00:00:00"/>
    <s v="PAID"/>
    <s v="N"/>
    <m/>
    <n v="53226.01"/>
    <n v="83.09"/>
    <n v="4422549.1709000003"/>
    <n v="0"/>
    <n v="0"/>
    <n v="7"/>
    <x v="0"/>
  </r>
  <r>
    <x v="958"/>
    <s v="C0156"/>
    <x v="0"/>
    <d v="2024-01-09T00:00:00"/>
    <d v="2024-02-23T00:00:00"/>
    <s v="USD"/>
    <n v="42714.45"/>
    <d v="2024-03-21T00:00:00"/>
    <s v="PAID"/>
    <s v="Y"/>
    <n v="83.297700000000006"/>
    <n v="42714.45"/>
    <n v="83.09"/>
    <n v="3549143.6505"/>
    <n v="0"/>
    <n v="0"/>
    <n v="27"/>
    <x v="0"/>
  </r>
  <r>
    <x v="959"/>
    <s v="C0164"/>
    <x v="3"/>
    <d v="2024-01-09T00:00:00"/>
    <d v="2024-03-09T00:00:00"/>
    <s v="USD"/>
    <n v="148883.59"/>
    <d v="2024-03-15T00:00:00"/>
    <s v="PAID"/>
    <s v="Y"/>
    <n v="83.367000000000004"/>
    <n v="148883.59"/>
    <n v="83.09"/>
    <n v="12370737.493100001"/>
    <n v="0"/>
    <n v="0"/>
    <n v="6"/>
    <x v="0"/>
  </r>
  <r>
    <x v="960"/>
    <s v="C0177"/>
    <x v="3"/>
    <d v="2024-01-09T00:00:00"/>
    <d v="2024-03-09T00:00:00"/>
    <s v="EUR"/>
    <n v="62669.37"/>
    <d v="2024-03-10T00:00:00"/>
    <s v="PAID"/>
    <s v="N"/>
    <m/>
    <n v="62669.37"/>
    <n v="90.858900000000006"/>
    <n v="5694070.0218930002"/>
    <n v="0"/>
    <n v="0"/>
    <n v="1"/>
    <x v="0"/>
  </r>
  <r>
    <x v="961"/>
    <s v="C0207"/>
    <x v="4"/>
    <d v="2024-01-09T00:00:00"/>
    <d v="2024-03-09T00:00:00"/>
    <s v="INR"/>
    <n v="10887177"/>
    <d v="2024-03-12T00:00:00"/>
    <s v="PAID"/>
    <s v="N"/>
    <m/>
    <n v="10887177"/>
    <n v="1"/>
    <n v="10887177"/>
    <n v="0"/>
    <n v="0"/>
    <n v="3"/>
    <x v="0"/>
  </r>
  <r>
    <x v="962"/>
    <s v="C0011"/>
    <x v="1"/>
    <d v="2024-01-10T00:00:00"/>
    <d v="2024-02-24T00:00:00"/>
    <s v="INR"/>
    <n v="5584436"/>
    <d v="2024-03-04T00:00:00"/>
    <s v="PAID"/>
    <s v="N"/>
    <m/>
    <n v="5584436"/>
    <n v="1"/>
    <n v="5584436"/>
    <n v="0"/>
    <n v="0"/>
    <n v="9"/>
    <x v="0"/>
  </r>
  <r>
    <x v="963"/>
    <s v="C0043"/>
    <x v="1"/>
    <d v="2024-01-10T00:00:00"/>
    <d v="2024-02-24T00:00:00"/>
    <s v="INR"/>
    <n v="5134748"/>
    <d v="2024-03-25T00:00:00"/>
    <s v="PAID"/>
    <s v="N"/>
    <m/>
    <n v="5134748"/>
    <n v="1"/>
    <n v="5134748"/>
    <n v="0"/>
    <n v="0"/>
    <n v="30"/>
    <x v="0"/>
  </r>
  <r>
    <x v="964"/>
    <s v="C0089"/>
    <x v="3"/>
    <d v="2024-01-10T00:00:00"/>
    <d v="2024-04-09T00:00:00"/>
    <s v="USD"/>
    <n v="44610.21"/>
    <d v="2024-04-21T00:00:00"/>
    <s v="PAID"/>
    <s v="Y"/>
    <n v="83.424999999999997"/>
    <n v="44610.21"/>
    <n v="83.01"/>
    <n v="3703093.5321"/>
    <n v="0"/>
    <n v="0"/>
    <n v="12"/>
    <x v="0"/>
  </r>
  <r>
    <x v="965"/>
    <s v="C0111"/>
    <x v="3"/>
    <d v="2024-01-10T00:00:00"/>
    <d v="2024-04-09T00:00:00"/>
    <s v="EUR"/>
    <n v="168149.27"/>
    <d v="2024-05-25T00:00:00"/>
    <s v="PAID"/>
    <s v="Y"/>
    <n v="91.251900000000006"/>
    <n v="168149.27"/>
    <n v="90.978999999999999"/>
    <n v="15298052.43533"/>
    <n v="0"/>
    <n v="0"/>
    <n v="46"/>
    <x v="0"/>
  </r>
  <r>
    <x v="966"/>
    <s v="C0135"/>
    <x v="1"/>
    <d v="2024-01-10T00:00:00"/>
    <d v="2024-03-10T00:00:00"/>
    <s v="EUR"/>
    <n v="39558.879999999997"/>
    <d v="2024-05-30T00:00:00"/>
    <s v="WRITTEN OFF"/>
    <s v="Y"/>
    <n v="91.161000000000001"/>
    <n v="9421.58"/>
    <n v="90.978999999999999"/>
    <n v="3599027.3435199996"/>
    <n v="0"/>
    <n v="0"/>
    <n v="81"/>
    <x v="0"/>
  </r>
  <r>
    <x v="967"/>
    <s v="C0238"/>
    <x v="2"/>
    <d v="2024-01-10T00:00:00"/>
    <d v="2024-03-10T00:00:00"/>
    <s v="INR"/>
    <n v="16868143"/>
    <d v="2024-03-14T00:00:00"/>
    <s v="PAID"/>
    <s v="N"/>
    <m/>
    <n v="16868143"/>
    <n v="1"/>
    <n v="16868143"/>
    <n v="0"/>
    <n v="0"/>
    <n v="4"/>
    <x v="0"/>
  </r>
  <r>
    <x v="968"/>
    <s v="C0082"/>
    <x v="4"/>
    <d v="2024-01-11T00:00:00"/>
    <d v="2024-03-11T00:00:00"/>
    <s v="INR"/>
    <n v="4060971"/>
    <d v="2024-03-25T00:00:00"/>
    <s v="PAID"/>
    <s v="N"/>
    <m/>
    <n v="4060971"/>
    <n v="1"/>
    <n v="4060971"/>
    <n v="0"/>
    <n v="0"/>
    <n v="14"/>
    <x v="0"/>
  </r>
  <r>
    <x v="969"/>
    <s v="C0050"/>
    <x v="0"/>
    <d v="2024-01-12T00:00:00"/>
    <d v="2024-03-12T00:00:00"/>
    <s v="INR"/>
    <n v="4010360"/>
    <d v="2024-03-13T00:00:00"/>
    <s v="PAID"/>
    <s v="N"/>
    <m/>
    <n v="4010360"/>
    <n v="1"/>
    <n v="4010360"/>
    <n v="0"/>
    <n v="0"/>
    <n v="1"/>
    <x v="0"/>
  </r>
  <r>
    <x v="970"/>
    <s v="C0177"/>
    <x v="3"/>
    <d v="2024-01-12T00:00:00"/>
    <d v="2024-03-12T00:00:00"/>
    <s v="EUR"/>
    <n v="102699.05"/>
    <d v="2024-03-13T00:00:00"/>
    <s v="PAID"/>
    <s v="N"/>
    <m/>
    <n v="102699.05"/>
    <n v="90.872"/>
    <n v="9332468.0715999994"/>
    <n v="0"/>
    <n v="0"/>
    <n v="1"/>
    <x v="0"/>
  </r>
  <r>
    <x v="971"/>
    <s v="C0218"/>
    <x v="3"/>
    <d v="2024-01-12T00:00:00"/>
    <d v="2024-02-26T00:00:00"/>
    <s v="INR"/>
    <n v="8674648"/>
    <m/>
    <s v="WRITTEN OFF"/>
    <s v="N"/>
    <m/>
    <n v="0"/>
    <n v="1"/>
    <n v="8674648"/>
    <n v="0"/>
    <n v="0"/>
    <s v=""/>
    <x v="0"/>
  </r>
  <r>
    <x v="972"/>
    <s v="C0022"/>
    <x v="4"/>
    <d v="2024-01-13T00:00:00"/>
    <d v="2024-02-12T00:00:00"/>
    <s v="INR"/>
    <n v="2201748"/>
    <d v="2024-02-27T00:00:00"/>
    <s v="PAID"/>
    <s v="N"/>
    <m/>
    <n v="2201748"/>
    <n v="1"/>
    <n v="2201748"/>
    <n v="0"/>
    <n v="0"/>
    <n v="15"/>
    <x v="0"/>
  </r>
  <r>
    <x v="973"/>
    <s v="C0035"/>
    <x v="0"/>
    <d v="2024-01-13T00:00:00"/>
    <d v="2024-02-27T00:00:00"/>
    <s v="INR"/>
    <n v="3954057"/>
    <d v="2024-02-29T00:00:00"/>
    <s v="PAID"/>
    <s v="N"/>
    <m/>
    <n v="3954057"/>
    <n v="1"/>
    <n v="3954057"/>
    <n v="0"/>
    <n v="0"/>
    <n v="2"/>
    <x v="0"/>
  </r>
  <r>
    <x v="974"/>
    <s v="C0039"/>
    <x v="0"/>
    <d v="2024-01-13T00:00:00"/>
    <d v="2024-03-13T00:00:00"/>
    <s v="INR"/>
    <n v="4433099"/>
    <d v="2024-03-25T00:00:00"/>
    <s v="PAID"/>
    <s v="N"/>
    <m/>
    <n v="4433099"/>
    <n v="1"/>
    <n v="4433099"/>
    <n v="0"/>
    <n v="0"/>
    <n v="12"/>
    <x v="0"/>
  </r>
  <r>
    <x v="975"/>
    <s v="C0056"/>
    <x v="3"/>
    <d v="2024-01-13T00:00:00"/>
    <d v="2024-03-13T00:00:00"/>
    <s v="INR"/>
    <n v="10531475"/>
    <d v="2024-03-19T00:00:00"/>
    <s v="PAID"/>
    <s v="N"/>
    <m/>
    <n v="10531475"/>
    <n v="1"/>
    <n v="10531475"/>
    <n v="0"/>
    <n v="0"/>
    <n v="6"/>
    <x v="0"/>
  </r>
  <r>
    <x v="976"/>
    <s v="C0098"/>
    <x v="1"/>
    <d v="2024-01-13T00:00:00"/>
    <d v="2024-04-12T00:00:00"/>
    <s v="INR"/>
    <n v="3869285"/>
    <d v="2024-04-25T00:00:00"/>
    <s v="PAID"/>
    <s v="N"/>
    <m/>
    <n v="3869285"/>
    <n v="1"/>
    <n v="3869285"/>
    <n v="0"/>
    <n v="0"/>
    <n v="13"/>
    <x v="0"/>
  </r>
  <r>
    <x v="977"/>
    <s v="C0099"/>
    <x v="3"/>
    <d v="2024-01-13T00:00:00"/>
    <d v="2024-03-13T00:00:00"/>
    <s v="EUR"/>
    <n v="154215.67000000001"/>
    <d v="2024-04-19T00:00:00"/>
    <s v="PAID"/>
    <s v="Y"/>
    <n v="91.053700000000006"/>
    <n v="154215.67000000001"/>
    <n v="90.872"/>
    <n v="14013886.364240002"/>
    <n v="0"/>
    <n v="0"/>
    <n v="37"/>
    <x v="0"/>
  </r>
  <r>
    <x v="978"/>
    <s v="C0108"/>
    <x v="0"/>
    <d v="2024-01-13T00:00:00"/>
    <d v="2024-02-27T00:00:00"/>
    <s v="INR"/>
    <n v="2890448"/>
    <d v="2024-02-23T00:00:00"/>
    <s v="PAID"/>
    <s v="N"/>
    <m/>
    <n v="2890448"/>
    <n v="1"/>
    <n v="2890448"/>
    <n v="0"/>
    <n v="0"/>
    <n v="-4"/>
    <x v="0"/>
  </r>
  <r>
    <x v="979"/>
    <s v="C0116"/>
    <x v="4"/>
    <d v="2024-01-13T00:00:00"/>
    <d v="2024-02-27T00:00:00"/>
    <s v="INR"/>
    <n v="2160737"/>
    <d v="2024-04-16T00:00:00"/>
    <s v="PAID"/>
    <s v="N"/>
    <m/>
    <n v="2160737"/>
    <n v="1"/>
    <n v="2160737"/>
    <n v="0"/>
    <n v="0"/>
    <n v="49"/>
    <x v="0"/>
  </r>
  <r>
    <x v="980"/>
    <s v="C0164"/>
    <x v="3"/>
    <d v="2024-01-13T00:00:00"/>
    <d v="2024-03-13T00:00:00"/>
    <s v="USD"/>
    <n v="49322.85"/>
    <d v="2024-04-03T00:00:00"/>
    <s v="PAID"/>
    <s v="N"/>
    <m/>
    <n v="49322.85"/>
    <n v="82.92"/>
    <n v="4089850.7220000001"/>
    <n v="0"/>
    <n v="0"/>
    <n v="21"/>
    <x v="0"/>
  </r>
  <r>
    <x v="981"/>
    <s v="C0183"/>
    <x v="0"/>
    <d v="2024-01-13T00:00:00"/>
    <d v="2024-04-12T00:00:00"/>
    <s v="INR"/>
    <n v="2024029"/>
    <d v="2024-04-16T00:00:00"/>
    <s v="PAID"/>
    <s v="N"/>
    <m/>
    <n v="2024029"/>
    <n v="1"/>
    <n v="2024029"/>
    <n v="0"/>
    <n v="0"/>
    <n v="4"/>
    <x v="0"/>
  </r>
  <r>
    <x v="982"/>
    <s v="C0198"/>
    <x v="3"/>
    <d v="2024-01-13T00:00:00"/>
    <d v="2024-02-27T00:00:00"/>
    <s v="USD"/>
    <n v="115462.32"/>
    <d v="2024-03-11T00:00:00"/>
    <s v="PARTIALLY PAID"/>
    <s v="Y"/>
    <n v="83.127300000000005"/>
    <n v="82566.41"/>
    <n v="82.92"/>
    <n v="9574135.5744000003"/>
    <n v="2727728.8572000004"/>
    <n v="398"/>
    <n v="13"/>
    <x v="1"/>
  </r>
  <r>
    <x v="983"/>
    <s v="C0207"/>
    <x v="4"/>
    <d v="2024-01-13T00:00:00"/>
    <d v="2024-03-13T00:00:00"/>
    <s v="INR"/>
    <n v="2286993"/>
    <m/>
    <s v="PAID"/>
    <s v="N"/>
    <m/>
    <n v="2286993"/>
    <n v="1"/>
    <n v="2286993"/>
    <n v="0"/>
    <n v="0"/>
    <s v=""/>
    <x v="0"/>
  </r>
  <r>
    <x v="984"/>
    <s v="C0228"/>
    <x v="0"/>
    <d v="2024-01-13T00:00:00"/>
    <d v="2024-02-27T00:00:00"/>
    <s v="INR"/>
    <n v="7021644"/>
    <d v="2024-02-29T00:00:00"/>
    <s v="PAID"/>
    <s v="N"/>
    <m/>
    <n v="7021644"/>
    <n v="1"/>
    <n v="7021644"/>
    <n v="0"/>
    <n v="0"/>
    <n v="2"/>
    <x v="0"/>
  </r>
  <r>
    <x v="985"/>
    <s v="C0057"/>
    <x v="3"/>
    <d v="2024-01-15T00:00:00"/>
    <d v="2024-02-14T00:00:00"/>
    <s v="INR"/>
    <n v="8274213"/>
    <d v="2024-02-12T00:00:00"/>
    <s v="PAID"/>
    <s v="N"/>
    <m/>
    <n v="8274213"/>
    <n v="1"/>
    <n v="8274213"/>
    <n v="0"/>
    <n v="0"/>
    <n v="-2"/>
    <x v="0"/>
  </r>
  <r>
    <x v="986"/>
    <s v="C0190"/>
    <x v="4"/>
    <d v="2024-01-15T00:00:00"/>
    <d v="2024-02-14T00:00:00"/>
    <s v="INR"/>
    <n v="6071020"/>
    <d v="2024-02-13T00:00:00"/>
    <s v="PAID"/>
    <s v="N"/>
    <m/>
    <n v="6071020"/>
    <n v="1"/>
    <n v="6071020"/>
    <n v="0"/>
    <n v="0"/>
    <n v="-1"/>
    <x v="0"/>
  </r>
  <r>
    <x v="987"/>
    <s v="C0013"/>
    <x v="4"/>
    <d v="2024-01-16T00:00:00"/>
    <d v="2024-03-01T00:00:00"/>
    <s v="USD"/>
    <n v="308770.63"/>
    <d v="2024-03-17T00:00:00"/>
    <s v="PAID"/>
    <s v="N"/>
    <m/>
    <n v="308770.63"/>
    <n v="83.05"/>
    <n v="25643400.8215"/>
    <n v="0"/>
    <n v="0"/>
    <n v="16"/>
    <x v="0"/>
  </r>
  <r>
    <x v="988"/>
    <s v="C0019"/>
    <x v="2"/>
    <d v="2024-01-16T00:00:00"/>
    <d v="2024-04-15T00:00:00"/>
    <s v="EUR"/>
    <n v="44963.77"/>
    <d v="2024-05-13T00:00:00"/>
    <s v="PAID"/>
    <s v="N"/>
    <m/>
    <n v="44963.77"/>
    <n v="90.375"/>
    <n v="4063600.7137499996"/>
    <n v="0"/>
    <n v="0"/>
    <n v="28"/>
    <x v="0"/>
  </r>
  <r>
    <x v="989"/>
    <s v="C0059"/>
    <x v="3"/>
    <d v="2024-01-16T00:00:00"/>
    <d v="2024-02-15T00:00:00"/>
    <s v="INR"/>
    <n v="11568224"/>
    <d v="2024-02-20T00:00:00"/>
    <s v="PAID"/>
    <s v="N"/>
    <m/>
    <n v="11568224"/>
    <n v="1"/>
    <n v="11568224"/>
    <n v="0"/>
    <n v="0"/>
    <n v="5"/>
    <x v="0"/>
  </r>
  <r>
    <x v="990"/>
    <s v="C0075"/>
    <x v="1"/>
    <d v="2024-01-16T00:00:00"/>
    <d v="2024-02-15T00:00:00"/>
    <s v="INR"/>
    <n v="15838899"/>
    <d v="2024-03-15T00:00:00"/>
    <s v="PAID"/>
    <s v="N"/>
    <m/>
    <n v="15838899"/>
    <n v="1"/>
    <n v="15838899"/>
    <n v="0"/>
    <n v="0"/>
    <n v="29"/>
    <x v="0"/>
  </r>
  <r>
    <x v="991"/>
    <s v="C0039"/>
    <x v="0"/>
    <d v="2024-01-17T00:00:00"/>
    <d v="2024-03-17T00:00:00"/>
    <s v="INR"/>
    <n v="15524460"/>
    <d v="2024-03-27T00:00:00"/>
    <s v="PAID"/>
    <s v="N"/>
    <m/>
    <n v="15524460"/>
    <n v="1"/>
    <n v="15524460"/>
    <n v="0"/>
    <n v="0"/>
    <n v="10"/>
    <x v="0"/>
  </r>
  <r>
    <x v="992"/>
    <s v="C0047"/>
    <x v="4"/>
    <d v="2024-01-17T00:00:00"/>
    <d v="2024-04-16T00:00:00"/>
    <s v="USD"/>
    <n v="36854.11"/>
    <d v="2024-04-15T00:00:00"/>
    <s v="PAID"/>
    <s v="Y"/>
    <n v="83.555700000000002"/>
    <n v="36854.11"/>
    <n v="83.14"/>
    <n v="3064050.7053999999"/>
    <n v="0"/>
    <n v="0"/>
    <n v="-1"/>
    <x v="0"/>
  </r>
  <r>
    <x v="993"/>
    <s v="C0052"/>
    <x v="0"/>
    <d v="2024-01-17T00:00:00"/>
    <d v="2024-02-16T00:00:00"/>
    <s v="INR"/>
    <n v="29595418"/>
    <d v="2024-02-26T00:00:00"/>
    <s v="PAID"/>
    <s v="N"/>
    <m/>
    <n v="29595418"/>
    <n v="1"/>
    <n v="29595418"/>
    <n v="0"/>
    <n v="0"/>
    <n v="10"/>
    <x v="0"/>
  </r>
  <r>
    <x v="994"/>
    <s v="C0049"/>
    <x v="3"/>
    <d v="2024-01-18T00:00:00"/>
    <d v="2024-02-17T00:00:00"/>
    <s v="INR"/>
    <n v="12080767"/>
    <d v="2024-02-12T00:00:00"/>
    <s v="PAID"/>
    <s v="N"/>
    <m/>
    <n v="12080767"/>
    <n v="1"/>
    <n v="12080767"/>
    <n v="0"/>
    <n v="0"/>
    <n v="-5"/>
    <x v="0"/>
  </r>
  <r>
    <x v="995"/>
    <s v="C0146"/>
    <x v="3"/>
    <d v="2024-01-18T00:00:00"/>
    <d v="2024-03-18T00:00:00"/>
    <s v="USD"/>
    <n v="99013.42"/>
    <d v="2024-03-19T00:00:00"/>
    <s v="PAID"/>
    <s v="N"/>
    <m/>
    <n v="99013.42"/>
    <n v="83.15"/>
    <n v="8232965.8730000006"/>
    <n v="0"/>
    <n v="0"/>
    <n v="1"/>
    <x v="0"/>
  </r>
  <r>
    <x v="996"/>
    <s v="C0192"/>
    <x v="4"/>
    <d v="2024-01-18T00:00:00"/>
    <d v="2024-04-17T00:00:00"/>
    <s v="EUR"/>
    <n v="81728.77"/>
    <d v="2024-04-20T00:00:00"/>
    <s v="PAID"/>
    <s v="N"/>
    <m/>
    <n v="81728.77"/>
    <n v="90.325800000000001"/>
    <n v="7382216.5332660004"/>
    <n v="0"/>
    <n v="0"/>
    <n v="3"/>
    <x v="0"/>
  </r>
  <r>
    <x v="997"/>
    <s v="C0197"/>
    <x v="0"/>
    <d v="2024-01-18T00:00:00"/>
    <d v="2024-03-03T00:00:00"/>
    <s v="INR"/>
    <n v="9658422"/>
    <d v="2024-03-07T00:00:00"/>
    <s v="PAID"/>
    <s v="N"/>
    <m/>
    <n v="9658422"/>
    <n v="1"/>
    <n v="9658422"/>
    <n v="0"/>
    <n v="0"/>
    <n v="4"/>
    <x v="0"/>
  </r>
  <r>
    <x v="998"/>
    <s v="C0198"/>
    <x v="3"/>
    <d v="2024-01-18T00:00:00"/>
    <d v="2024-03-03T00:00:00"/>
    <s v="USD"/>
    <n v="46427.59"/>
    <d v="2024-04-05T00:00:00"/>
    <s v="PAID"/>
    <s v="Y"/>
    <n v="83.357900000000001"/>
    <n v="46427.59"/>
    <n v="83.15"/>
    <n v="3860454.1085000001"/>
    <n v="0"/>
    <n v="0"/>
    <n v="33"/>
    <x v="0"/>
  </r>
  <r>
    <x v="999"/>
    <s v="C0203"/>
    <x v="0"/>
    <d v="2024-01-18T00:00:00"/>
    <d v="2024-03-03T00:00:00"/>
    <s v="INR"/>
    <n v="2201322"/>
    <d v="2024-03-08T00:00:00"/>
    <s v="PAID"/>
    <s v="N"/>
    <m/>
    <n v="2201322"/>
    <n v="1"/>
    <n v="2201322"/>
    <n v="0"/>
    <n v="0"/>
    <n v="5"/>
    <x v="0"/>
  </r>
  <r>
    <x v="1000"/>
    <s v="C0081"/>
    <x v="0"/>
    <d v="2024-01-19T00:00:00"/>
    <d v="2024-02-18T00:00:00"/>
    <s v="INR"/>
    <n v="11921348"/>
    <d v="2024-02-22T00:00:00"/>
    <s v="PAID"/>
    <s v="N"/>
    <m/>
    <n v="11921348"/>
    <n v="1"/>
    <n v="11921348"/>
    <n v="0"/>
    <n v="0"/>
    <n v="4"/>
    <x v="0"/>
  </r>
  <r>
    <x v="1001"/>
    <s v="C0154"/>
    <x v="0"/>
    <d v="2024-01-19T00:00:00"/>
    <d v="2024-03-04T00:00:00"/>
    <s v="INR"/>
    <n v="1302498"/>
    <d v="2024-05-05T00:00:00"/>
    <s v="PAID"/>
    <s v="N"/>
    <m/>
    <n v="1302498"/>
    <n v="1"/>
    <n v="1302498"/>
    <n v="0"/>
    <n v="0"/>
    <n v="62"/>
    <x v="0"/>
  </r>
  <r>
    <x v="1002"/>
    <s v="C0213"/>
    <x v="1"/>
    <d v="2024-01-19T00:00:00"/>
    <d v="2024-03-19T00:00:00"/>
    <s v="EUR"/>
    <n v="99865.38"/>
    <d v="2024-03-22T00:00:00"/>
    <s v="PAID"/>
    <s v="N"/>
    <m/>
    <n v="99865.38"/>
    <n v="90.460099999999997"/>
    <n v="9033832.2613379993"/>
    <n v="0"/>
    <n v="0"/>
    <n v="3"/>
    <x v="0"/>
  </r>
  <r>
    <x v="1003"/>
    <s v="C0060"/>
    <x v="0"/>
    <d v="2024-01-20T00:00:00"/>
    <d v="2024-03-05T00:00:00"/>
    <s v="INR"/>
    <n v="6836655"/>
    <d v="2024-03-11T00:00:00"/>
    <s v="PAID"/>
    <s v="N"/>
    <m/>
    <n v="6836655"/>
    <n v="1"/>
    <n v="6836655"/>
    <n v="0"/>
    <n v="0"/>
    <n v="6"/>
    <x v="0"/>
  </r>
  <r>
    <x v="1004"/>
    <s v="C0071"/>
    <x v="1"/>
    <d v="2024-01-20T00:00:00"/>
    <d v="2024-03-20T00:00:00"/>
    <s v="USD"/>
    <n v="120313.08"/>
    <m/>
    <s v="WRITTEN OFF"/>
    <s v="Y"/>
    <n v="83.367000000000004"/>
    <n v="0"/>
    <n v="83.09"/>
    <n v="9996813.8172000013"/>
    <n v="0"/>
    <n v="0"/>
    <s v=""/>
    <x v="0"/>
  </r>
  <r>
    <x v="1005"/>
    <s v="C0211"/>
    <x v="3"/>
    <d v="2024-01-20T00:00:00"/>
    <d v="2024-03-05T00:00:00"/>
    <s v="INR"/>
    <n v="3479638"/>
    <d v="2024-03-15T00:00:00"/>
    <s v="PAID"/>
    <s v="N"/>
    <m/>
    <n v="3479638"/>
    <n v="1"/>
    <n v="3479638"/>
    <n v="0"/>
    <n v="0"/>
    <n v="10"/>
    <x v="0"/>
  </r>
  <r>
    <x v="1006"/>
    <s v="C0238"/>
    <x v="2"/>
    <d v="2024-01-20T00:00:00"/>
    <d v="2024-03-20T00:00:00"/>
    <s v="INR"/>
    <n v="8544848"/>
    <d v="2024-03-25T00:00:00"/>
    <s v="PAID"/>
    <s v="N"/>
    <m/>
    <n v="8544848"/>
    <n v="1"/>
    <n v="8544848"/>
    <n v="0"/>
    <n v="0"/>
    <n v="5"/>
    <x v="0"/>
  </r>
  <r>
    <x v="1007"/>
    <s v="C0183"/>
    <x v="0"/>
    <d v="2024-01-22T00:00:00"/>
    <d v="2024-04-21T00:00:00"/>
    <s v="INR"/>
    <n v="4188969"/>
    <d v="2024-04-21T00:00:00"/>
    <s v="PARTIALLY PAID"/>
    <s v="N"/>
    <m/>
    <n v="2392654.54"/>
    <n v="1"/>
    <n v="4188969"/>
    <n v="1796314.46"/>
    <n v="344"/>
    <n v="0"/>
    <x v="1"/>
  </r>
  <r>
    <x v="1008"/>
    <s v="C0212"/>
    <x v="2"/>
    <d v="2024-01-22T00:00:00"/>
    <d v="2024-04-21T00:00:00"/>
    <s v="INR"/>
    <n v="24942677"/>
    <d v="2024-04-18T00:00:00"/>
    <s v="PAID"/>
    <s v="N"/>
    <m/>
    <n v="24942677"/>
    <n v="1"/>
    <n v="24942677"/>
    <n v="0"/>
    <n v="0"/>
    <n v="-3"/>
    <x v="0"/>
  </r>
  <r>
    <x v="1009"/>
    <s v="C0003"/>
    <x v="0"/>
    <d v="2024-01-23T00:00:00"/>
    <d v="2024-03-08T00:00:00"/>
    <s v="INR"/>
    <n v="3702979"/>
    <d v="2023-12-27T00:00:00"/>
    <s v="WRITTEN OFF"/>
    <s v="N"/>
    <m/>
    <n v="1076392.58"/>
    <n v="1"/>
    <n v="3702979"/>
    <n v="0"/>
    <n v="0"/>
    <m/>
    <x v="0"/>
  </r>
  <r>
    <x v="1010"/>
    <s v="C0129"/>
    <x v="2"/>
    <d v="2024-01-23T00:00:00"/>
    <d v="2024-03-23T00:00:00"/>
    <s v="EUR"/>
    <n v="97323.15"/>
    <d v="2024-03-27T00:00:00"/>
    <s v="PAID"/>
    <s v="N"/>
    <m/>
    <n v="97323.15"/>
    <n v="90.043099999999995"/>
    <n v="8763278.1277649999"/>
    <n v="0"/>
    <n v="0"/>
    <n v="4"/>
    <x v="0"/>
  </r>
  <r>
    <x v="1011"/>
    <s v="C0166"/>
    <x v="4"/>
    <d v="2024-01-23T00:00:00"/>
    <d v="2024-04-22T00:00:00"/>
    <s v="INR"/>
    <n v="45427036"/>
    <d v="2024-05-08T00:00:00"/>
    <s v="PAID"/>
    <s v="N"/>
    <m/>
    <n v="45427036"/>
    <n v="1"/>
    <n v="45427036"/>
    <n v="0"/>
    <n v="0"/>
    <n v="16"/>
    <x v="0"/>
  </r>
  <r>
    <x v="1012"/>
    <s v="C0212"/>
    <x v="2"/>
    <d v="2024-01-23T00:00:00"/>
    <d v="2024-04-22T00:00:00"/>
    <s v="INR"/>
    <n v="24127028"/>
    <d v="2024-04-26T00:00:00"/>
    <s v="PAID"/>
    <s v="N"/>
    <m/>
    <n v="24127028"/>
    <n v="1"/>
    <n v="24127028"/>
    <n v="0"/>
    <n v="0"/>
    <n v="4"/>
    <x v="0"/>
  </r>
  <r>
    <x v="1013"/>
    <s v="C0131"/>
    <x v="1"/>
    <d v="2024-01-24T00:00:00"/>
    <d v="2024-04-23T00:00:00"/>
    <s v="INR"/>
    <n v="9713383"/>
    <d v="2024-04-27T00:00:00"/>
    <s v="PAID"/>
    <s v="N"/>
    <m/>
    <n v="9713383"/>
    <n v="1"/>
    <n v="9713383"/>
    <n v="0"/>
    <n v="0"/>
    <n v="4"/>
    <x v="0"/>
  </r>
  <r>
    <x v="1014"/>
    <s v="C0180"/>
    <x v="0"/>
    <d v="2024-01-24T00:00:00"/>
    <d v="2024-03-09T00:00:00"/>
    <s v="USD"/>
    <n v="180336.56"/>
    <d v="2024-11-04T00:00:00"/>
    <s v="PARTIALLY PAID"/>
    <s v="N"/>
    <m/>
    <n v="128768.22"/>
    <n v="83.09"/>
    <n v="14984164.770400001"/>
    <n v="4284813.3706"/>
    <n v="387"/>
    <n v="240"/>
    <x v="1"/>
  </r>
  <r>
    <x v="1015"/>
    <s v="C0211"/>
    <x v="3"/>
    <d v="2024-01-24T00:00:00"/>
    <d v="2024-03-09T00:00:00"/>
    <s v="INR"/>
    <n v="4680967"/>
    <d v="2024-03-29T00:00:00"/>
    <s v="PAID"/>
    <s v="N"/>
    <m/>
    <n v="4680967"/>
    <n v="1"/>
    <n v="4680967"/>
    <n v="0"/>
    <n v="0"/>
    <n v="20"/>
    <x v="0"/>
  </r>
  <r>
    <x v="1016"/>
    <s v="C0070"/>
    <x v="1"/>
    <d v="2024-01-25T00:00:00"/>
    <d v="2024-03-10T00:00:00"/>
    <s v="INR"/>
    <n v="8956319"/>
    <d v="2024-03-17T00:00:00"/>
    <s v="PAID"/>
    <s v="N"/>
    <m/>
    <n v="8956319"/>
    <n v="1"/>
    <n v="8956319"/>
    <n v="0"/>
    <n v="0"/>
    <n v="7"/>
    <x v="0"/>
  </r>
  <r>
    <x v="1017"/>
    <s v="C0073"/>
    <x v="1"/>
    <d v="2024-01-25T00:00:00"/>
    <d v="2024-02-24T00:00:00"/>
    <s v="USD"/>
    <n v="24961.75"/>
    <d v="2024-03-26T00:00:00"/>
    <s v="PAID"/>
    <s v="Y"/>
    <n v="83.218500000000006"/>
    <n v="24961.75"/>
    <n v="83.08"/>
    <n v="2073822.19"/>
    <n v="0"/>
    <n v="0"/>
    <n v="31"/>
    <x v="0"/>
  </r>
  <r>
    <x v="1018"/>
    <s v="C0123"/>
    <x v="1"/>
    <d v="2024-01-25T00:00:00"/>
    <d v="2024-03-25T00:00:00"/>
    <s v="USD"/>
    <n v="159033.28"/>
    <d v="2024-04-03T00:00:00"/>
    <s v="PAID"/>
    <s v="Y"/>
    <n v="83.356899999999996"/>
    <n v="159033.28"/>
    <n v="83.08"/>
    <n v="13212484.9024"/>
    <n v="0"/>
    <n v="0"/>
    <n v="9"/>
    <x v="0"/>
  </r>
  <r>
    <x v="1019"/>
    <s v="C0019"/>
    <x v="2"/>
    <d v="2024-01-26T00:00:00"/>
    <d v="2024-04-25T00:00:00"/>
    <s v="EUR"/>
    <n v="395155.42"/>
    <d v="2024-05-17T00:00:00"/>
    <s v="PAID"/>
    <s v="N"/>
    <m/>
    <n v="395155.42"/>
    <n v="90.307299999999998"/>
    <n v="35685419.060566001"/>
    <n v="0"/>
    <n v="0"/>
    <n v="22"/>
    <x v="0"/>
  </r>
  <r>
    <x v="1020"/>
    <s v="C0133"/>
    <x v="1"/>
    <d v="2024-01-26T00:00:00"/>
    <d v="2024-04-25T00:00:00"/>
    <s v="USD"/>
    <n v="126318.9"/>
    <d v="2024-05-11T00:00:00"/>
    <s v="PAID"/>
    <s v="N"/>
    <m/>
    <n v="126318.9"/>
    <n v="83.11"/>
    <n v="10498363.778999999"/>
    <n v="0"/>
    <n v="0"/>
    <n v="16"/>
    <x v="0"/>
  </r>
  <r>
    <x v="1021"/>
    <s v="C0037"/>
    <x v="2"/>
    <d v="2024-01-27T00:00:00"/>
    <d v="2024-02-26T00:00:00"/>
    <s v="INR"/>
    <n v="9911157"/>
    <d v="2024-02-29T00:00:00"/>
    <s v="PAID"/>
    <s v="N"/>
    <m/>
    <n v="9911157"/>
    <n v="1"/>
    <n v="9911157"/>
    <n v="0"/>
    <n v="0"/>
    <n v="3"/>
    <x v="0"/>
  </r>
  <r>
    <x v="1022"/>
    <s v="C0057"/>
    <x v="3"/>
    <d v="2024-01-27T00:00:00"/>
    <d v="2024-02-26T00:00:00"/>
    <s v="INR"/>
    <n v="29844880"/>
    <d v="2024-02-21T00:00:00"/>
    <s v="PAID"/>
    <s v="N"/>
    <m/>
    <n v="29844880"/>
    <n v="1"/>
    <n v="29844880"/>
    <n v="0"/>
    <n v="0"/>
    <n v="-5"/>
    <x v="0"/>
  </r>
  <r>
    <x v="1023"/>
    <s v="C0073"/>
    <x v="1"/>
    <d v="2024-01-27T00:00:00"/>
    <d v="2024-02-26T00:00:00"/>
    <s v="USD"/>
    <n v="50202.53"/>
    <m/>
    <s v="PAID"/>
    <s v="N"/>
    <m/>
    <n v="50202.53"/>
    <n v="83.11"/>
    <n v="4172332.2682999996"/>
    <n v="0"/>
    <n v="0"/>
    <s v=""/>
    <x v="0"/>
  </r>
  <r>
    <x v="1024"/>
    <s v="C0076"/>
    <x v="2"/>
    <d v="2024-01-27T00:00:00"/>
    <d v="2024-03-27T00:00:00"/>
    <s v="INR"/>
    <n v="4856448"/>
    <d v="2024-04-19T00:00:00"/>
    <s v="PAID"/>
    <s v="N"/>
    <m/>
    <n v="4856448"/>
    <n v="1"/>
    <n v="4856448"/>
    <n v="0"/>
    <n v="0"/>
    <n v="23"/>
    <x v="0"/>
  </r>
  <r>
    <x v="1025"/>
    <s v="C0239"/>
    <x v="1"/>
    <d v="2024-01-27T00:00:00"/>
    <d v="2024-03-12T00:00:00"/>
    <s v="INR"/>
    <n v="10053211"/>
    <d v="2024-06-10T00:00:00"/>
    <s v="PAID"/>
    <s v="N"/>
    <m/>
    <n v="10053211"/>
    <n v="1"/>
    <n v="10053211"/>
    <n v="0"/>
    <n v="0"/>
    <n v="90"/>
    <x v="0"/>
  </r>
  <r>
    <x v="1026"/>
    <s v="C0198"/>
    <x v="3"/>
    <d v="2024-01-29T00:00:00"/>
    <d v="2024-03-14T00:00:00"/>
    <s v="USD"/>
    <n v="145172.74"/>
    <d v="2024-03-27T00:00:00"/>
    <s v="PAID"/>
    <s v="N"/>
    <m/>
    <n v="145172.74"/>
    <n v="83.12"/>
    <n v="12066758.148800001"/>
    <n v="0"/>
    <n v="0"/>
    <n v="13"/>
    <x v="0"/>
  </r>
  <r>
    <x v="1027"/>
    <s v="C0213"/>
    <x v="2"/>
    <d v="2024-01-29T00:00:00"/>
    <d v="2024-03-29T00:00:00"/>
    <s v="EUR"/>
    <n v="49397.29"/>
    <d v="2024-04-09T00:00:00"/>
    <s v="PAID"/>
    <s v="N"/>
    <m/>
    <n v="49397.29"/>
    <n v="89.827799999999996"/>
    <n v="4437249.8866619999"/>
    <n v="0"/>
    <n v="0"/>
    <n v="11"/>
    <x v="0"/>
  </r>
  <r>
    <x v="1028"/>
    <s v="C0005"/>
    <x v="2"/>
    <d v="2024-01-30T00:00:00"/>
    <d v="2024-02-29T00:00:00"/>
    <s v="INR"/>
    <n v="29070155"/>
    <d v="2024-03-03T00:00:00"/>
    <s v="PAID"/>
    <s v="N"/>
    <m/>
    <n v="29070155"/>
    <n v="1"/>
    <n v="29070155"/>
    <n v="0"/>
    <n v="0"/>
    <n v="3"/>
    <x v="0"/>
  </r>
  <r>
    <x v="1029"/>
    <s v="C0153"/>
    <x v="4"/>
    <d v="2024-01-30T00:00:00"/>
    <d v="2024-04-29T00:00:00"/>
    <s v="INR"/>
    <n v="8719785"/>
    <d v="2024-05-01T00:00:00"/>
    <s v="PAID"/>
    <s v="N"/>
    <m/>
    <n v="8719785"/>
    <n v="1"/>
    <n v="8719785"/>
    <n v="0"/>
    <n v="0"/>
    <n v="2"/>
    <x v="0"/>
  </r>
  <r>
    <x v="1030"/>
    <s v="C0180"/>
    <x v="1"/>
    <d v="2024-01-30T00:00:00"/>
    <d v="2024-03-15T00:00:00"/>
    <s v="USD"/>
    <n v="558231.05000000005"/>
    <d v="2024-07-17T00:00:00"/>
    <s v="PAID"/>
    <s v="N"/>
    <m/>
    <n v="558231.05000000005"/>
    <n v="83.11"/>
    <n v="46394582.565500006"/>
    <n v="0"/>
    <n v="0"/>
    <n v="124"/>
    <x v="0"/>
  </r>
  <r>
    <x v="1031"/>
    <s v="C0238"/>
    <x v="2"/>
    <d v="2024-01-30T00:00:00"/>
    <d v="2024-03-30T00:00:00"/>
    <s v="INR"/>
    <n v="36491883"/>
    <d v="2024-04-09T00:00:00"/>
    <s v="PAID"/>
    <s v="N"/>
    <m/>
    <n v="36491883"/>
    <n v="1"/>
    <n v="36491883"/>
    <n v="0"/>
    <n v="0"/>
    <n v="10"/>
    <x v="0"/>
  </r>
  <r>
    <x v="1032"/>
    <s v="C0025"/>
    <x v="3"/>
    <d v="2024-01-31T00:00:00"/>
    <d v="2024-03-16T00:00:00"/>
    <s v="USD"/>
    <n v="31742.240000000002"/>
    <d v="2024-04-08T00:00:00"/>
    <s v="PAID"/>
    <s v="Y"/>
    <n v="83.227500000000006"/>
    <n v="31742.240000000002"/>
    <n v="83.02"/>
    <n v="2635240.7648"/>
    <n v="0"/>
    <n v="0"/>
    <n v="23"/>
    <x v="0"/>
  </r>
  <r>
    <x v="1033"/>
    <s v="C0101"/>
    <x v="2"/>
    <d v="2024-01-31T00:00:00"/>
    <d v="2024-03-31T00:00:00"/>
    <s v="USD"/>
    <n v="65268.92"/>
    <d v="2024-04-12T00:00:00"/>
    <s v="PAID"/>
    <s v="N"/>
    <m/>
    <n v="65268.92"/>
    <n v="83.02"/>
    <n v="5418625.7383999992"/>
    <n v="0"/>
    <n v="0"/>
    <n v="12"/>
    <x v="0"/>
  </r>
  <r>
    <x v="1034"/>
    <s v="C0183"/>
    <x v="0"/>
    <d v="2024-01-31T00:00:00"/>
    <d v="2024-04-30T00:00:00"/>
    <s v="INR"/>
    <n v="9001603"/>
    <d v="2024-04-29T00:00:00"/>
    <s v="PAID"/>
    <s v="N"/>
    <m/>
    <n v="9001603"/>
    <n v="1"/>
    <n v="9001603"/>
    <n v="0"/>
    <n v="0"/>
    <n v="-1"/>
    <x v="0"/>
  </r>
  <r>
    <x v="1035"/>
    <s v="C0050"/>
    <x v="0"/>
    <d v="2024-02-01T00:00:00"/>
    <d v="2024-04-01T00:00:00"/>
    <s v="INR"/>
    <n v="8547963"/>
    <d v="2024-03-30T00:00:00"/>
    <s v="PAID"/>
    <s v="N"/>
    <m/>
    <n v="8547963"/>
    <n v="1"/>
    <n v="8547963"/>
    <n v="0"/>
    <n v="0"/>
    <n v="-2"/>
    <x v="0"/>
  </r>
  <r>
    <x v="1036"/>
    <s v="C0084"/>
    <x v="0"/>
    <d v="2024-02-01T00:00:00"/>
    <d v="2024-03-17T00:00:00"/>
    <s v="INR"/>
    <n v="4388422"/>
    <d v="2024-03-12T00:00:00"/>
    <s v="PAID"/>
    <s v="N"/>
    <m/>
    <n v="4388422"/>
    <n v="1"/>
    <n v="4388422"/>
    <n v="0"/>
    <n v="0"/>
    <n v="-5"/>
    <x v="0"/>
  </r>
  <r>
    <x v="1037"/>
    <s v="C0115"/>
    <x v="1"/>
    <d v="2024-02-01T00:00:00"/>
    <d v="2024-04-01T00:00:00"/>
    <s v="EUR"/>
    <n v="25052.880000000001"/>
    <d v="2024-05-14T00:00:00"/>
    <s v="PAID"/>
    <s v="N"/>
    <m/>
    <n v="25052.880000000001"/>
    <n v="90.125200000000007"/>
    <n v="2257895.820576"/>
    <n v="0"/>
    <n v="0"/>
    <n v="43"/>
    <x v="0"/>
  </r>
  <r>
    <x v="1038"/>
    <s v="C0116"/>
    <x v="4"/>
    <d v="2024-02-01T00:00:00"/>
    <d v="2024-03-17T00:00:00"/>
    <s v="INR"/>
    <n v="18574643"/>
    <d v="2024-04-07T00:00:00"/>
    <s v="PAID"/>
    <s v="N"/>
    <m/>
    <n v="18574643"/>
    <n v="1"/>
    <n v="18574643"/>
    <n v="0"/>
    <n v="0"/>
    <n v="21"/>
    <x v="0"/>
  </r>
  <r>
    <x v="1039"/>
    <s v="C0244"/>
    <x v="3"/>
    <d v="2024-02-01T00:00:00"/>
    <d v="2024-04-01T00:00:00"/>
    <s v="INR"/>
    <n v="12360633"/>
    <d v="2024-04-30T00:00:00"/>
    <s v="PAID"/>
    <s v="N"/>
    <m/>
    <n v="12360633"/>
    <n v="1"/>
    <n v="12360633"/>
    <n v="0"/>
    <n v="0"/>
    <n v="29"/>
    <x v="0"/>
  </r>
  <r>
    <x v="1040"/>
    <s v="C0246"/>
    <x v="4"/>
    <d v="2024-02-01T00:00:00"/>
    <d v="2024-04-01T00:00:00"/>
    <s v="USD"/>
    <n v="82103.81"/>
    <d v="2024-04-07T00:00:00"/>
    <s v="PAID"/>
    <s v="N"/>
    <m/>
    <n v="82103.81"/>
    <n v="82.95"/>
    <n v="6810511.0395"/>
    <n v="0"/>
    <n v="0"/>
    <n v="6"/>
    <x v="0"/>
  </r>
  <r>
    <x v="1041"/>
    <s v="C0009"/>
    <x v="3"/>
    <d v="2024-02-02T00:00:00"/>
    <d v="2024-04-02T00:00:00"/>
    <s v="INR"/>
    <n v="14983652"/>
    <d v="2024-03-29T00:00:00"/>
    <s v="PAID"/>
    <s v="N"/>
    <m/>
    <n v="14983652"/>
    <n v="1"/>
    <n v="14983652"/>
    <n v="0"/>
    <n v="0"/>
    <n v="-4"/>
    <x v="0"/>
  </r>
  <r>
    <x v="1042"/>
    <s v="C0040"/>
    <x v="2"/>
    <d v="2024-02-02T00:00:00"/>
    <d v="2024-03-03T00:00:00"/>
    <s v="EUR"/>
    <n v="62428.11"/>
    <d v="2024-03-30T00:00:00"/>
    <s v="PAID"/>
    <s v="Y"/>
    <n v="89.535200000000003"/>
    <n v="62428.11"/>
    <n v="89.445800000000006"/>
    <n v="5583932.2414380005"/>
    <n v="0"/>
    <n v="0"/>
    <n v="27"/>
    <x v="0"/>
  </r>
  <r>
    <x v="1043"/>
    <s v="C0136"/>
    <x v="0"/>
    <d v="2024-02-02T00:00:00"/>
    <d v="2024-04-02T00:00:00"/>
    <s v="INR"/>
    <n v="5280377"/>
    <d v="2024-03-24T00:00:00"/>
    <s v="PAID"/>
    <s v="N"/>
    <m/>
    <n v="5280377"/>
    <n v="1"/>
    <n v="5280377"/>
    <n v="0"/>
    <n v="0"/>
    <n v="-9"/>
    <x v="0"/>
  </r>
  <r>
    <x v="1044"/>
    <s v="C0025"/>
    <x v="3"/>
    <d v="2024-02-03T00:00:00"/>
    <d v="2024-03-19T00:00:00"/>
    <s v="USD"/>
    <n v="103045.54"/>
    <d v="2024-05-04T00:00:00"/>
    <s v="PAID"/>
    <s v="Y"/>
    <n v="83.127300000000005"/>
    <n v="103045.54"/>
    <n v="82.92"/>
    <n v="8544536.1767999995"/>
    <n v="0"/>
    <n v="0"/>
    <n v="46"/>
    <x v="0"/>
  </r>
  <r>
    <x v="1045"/>
    <s v="C0052"/>
    <x v="0"/>
    <d v="2024-02-03T00:00:00"/>
    <d v="2024-03-04T00:00:00"/>
    <s v="INR"/>
    <n v="30782503"/>
    <d v="2024-03-23T00:00:00"/>
    <s v="PAID"/>
    <s v="N"/>
    <m/>
    <n v="30782503"/>
    <n v="1"/>
    <n v="30782503"/>
    <n v="0"/>
    <n v="0"/>
    <n v="19"/>
    <x v="0"/>
  </r>
  <r>
    <x v="1046"/>
    <s v="C0072"/>
    <x v="4"/>
    <d v="2024-02-03T00:00:00"/>
    <d v="2024-05-03T00:00:00"/>
    <s v="EUR"/>
    <n v="67346.080000000002"/>
    <d v="2024-05-11T00:00:00"/>
    <s v="PARTIALLY PAID"/>
    <s v="Y"/>
    <n v="89.714100000000002"/>
    <n v="36763.97"/>
    <n v="89.445800000000006"/>
    <n v="6023824.0024640001"/>
    <n v="2735441.2946380004"/>
    <n v="332"/>
    <n v="8"/>
    <x v="1"/>
  </r>
  <r>
    <x v="1047"/>
    <s v="C0115"/>
    <x v="1"/>
    <d v="2024-02-03T00:00:00"/>
    <d v="2024-04-03T00:00:00"/>
    <s v="EUR"/>
    <n v="33891"/>
    <d v="2024-04-14T00:00:00"/>
    <s v="PAID"/>
    <s v="N"/>
    <m/>
    <n v="33891"/>
    <n v="89.445800000000006"/>
    <n v="3031407.6078000003"/>
    <n v="0"/>
    <n v="0"/>
    <n v="11"/>
    <x v="0"/>
  </r>
  <r>
    <x v="1048"/>
    <s v="C0126"/>
    <x v="3"/>
    <d v="2024-02-03T00:00:00"/>
    <d v="2024-04-03T00:00:00"/>
    <s v="EUR"/>
    <n v="69127.39"/>
    <d v="2024-04-16T00:00:00"/>
    <s v="PAID"/>
    <s v="N"/>
    <m/>
    <n v="69127.39"/>
    <n v="89.445800000000006"/>
    <n v="6183154.7004620004"/>
    <n v="0"/>
    <n v="0"/>
    <n v="13"/>
    <x v="0"/>
  </r>
  <r>
    <x v="1049"/>
    <s v="C0136"/>
    <x v="0"/>
    <d v="2024-02-03T00:00:00"/>
    <d v="2024-04-03T00:00:00"/>
    <s v="INR"/>
    <n v="5550434"/>
    <d v="2024-03-28T00:00:00"/>
    <s v="PAID"/>
    <s v="N"/>
    <m/>
    <n v="5550434"/>
    <n v="1"/>
    <n v="5550434"/>
    <n v="0"/>
    <n v="0"/>
    <n v="-6"/>
    <x v="0"/>
  </r>
  <r>
    <x v="1050"/>
    <s v="C0213"/>
    <x v="2"/>
    <d v="2024-02-03T00:00:00"/>
    <d v="2024-04-03T00:00:00"/>
    <s v="EUR"/>
    <n v="84896.91"/>
    <d v="2024-04-04T00:00:00"/>
    <s v="PAID"/>
    <s v="Y"/>
    <n v="89.624700000000004"/>
    <n v="84896.91"/>
    <n v="89.445800000000006"/>
    <n v="7593672.032478001"/>
    <n v="0"/>
    <n v="0"/>
    <n v="1"/>
    <x v="0"/>
  </r>
  <r>
    <x v="1051"/>
    <s v="C0216"/>
    <x v="1"/>
    <d v="2024-02-03T00:00:00"/>
    <d v="2024-04-03T00:00:00"/>
    <s v="USD"/>
    <n v="24461.119999999999"/>
    <d v="2024-04-02T00:00:00"/>
    <s v="PAID"/>
    <s v="Y"/>
    <n v="83.196399999999997"/>
    <n v="24461.119999999999"/>
    <n v="82.92"/>
    <n v="2028316.0703999999"/>
    <n v="0"/>
    <n v="0"/>
    <n v="-1"/>
    <x v="0"/>
  </r>
  <r>
    <x v="1052"/>
    <s v="C0119"/>
    <x v="3"/>
    <d v="2024-02-05T00:00:00"/>
    <d v="2024-04-05T00:00:00"/>
    <s v="INR"/>
    <n v="3051688"/>
    <d v="2024-04-06T00:00:00"/>
    <s v="PAID"/>
    <s v="N"/>
    <m/>
    <n v="3051688"/>
    <n v="1"/>
    <n v="3051688"/>
    <n v="0"/>
    <n v="0"/>
    <n v="1"/>
    <x v="0"/>
  </r>
  <r>
    <x v="1053"/>
    <s v="C0213"/>
    <x v="1"/>
    <d v="2024-02-05T00:00:00"/>
    <d v="2024-04-05T00:00:00"/>
    <s v="EUR"/>
    <n v="131268.99"/>
    <d v="2024-04-18T00:00:00"/>
    <s v="PARTIALLY PAID"/>
    <s v="N"/>
    <m/>
    <n v="94884.5"/>
    <n v="89.151700000000005"/>
    <n v="11702853.615783"/>
    <n v="3243739.1371329995"/>
    <n v="360"/>
    <n v="13"/>
    <x v="1"/>
  </r>
  <r>
    <x v="1054"/>
    <s v="C0218"/>
    <x v="3"/>
    <d v="2024-02-05T00:00:00"/>
    <d v="2024-03-21T00:00:00"/>
    <s v="INR"/>
    <n v="7358445"/>
    <d v="2024-04-10T00:00:00"/>
    <s v="PAID"/>
    <s v="N"/>
    <m/>
    <n v="7358445"/>
    <n v="1"/>
    <n v="7358445"/>
    <n v="0"/>
    <n v="0"/>
    <n v="20"/>
    <x v="0"/>
  </r>
  <r>
    <x v="1055"/>
    <s v="C0228"/>
    <x v="0"/>
    <d v="2024-02-06T00:00:00"/>
    <d v="2024-03-22T00:00:00"/>
    <s v="INR"/>
    <n v="8614993"/>
    <d v="2024-04-10T00:00:00"/>
    <s v="PAID"/>
    <s v="N"/>
    <m/>
    <n v="8614993"/>
    <n v="1"/>
    <n v="8614993"/>
    <n v="0"/>
    <n v="0"/>
    <n v="19"/>
    <x v="0"/>
  </r>
  <r>
    <x v="1056"/>
    <s v="C0003"/>
    <x v="0"/>
    <d v="2024-02-07T00:00:00"/>
    <d v="2024-03-23T00:00:00"/>
    <s v="INR"/>
    <n v="9142937"/>
    <d v="2024-05-15T00:00:00"/>
    <s v="PAID"/>
    <s v="N"/>
    <m/>
    <n v="9142937"/>
    <n v="1"/>
    <n v="9142937"/>
    <n v="0"/>
    <n v="0"/>
    <n v="53"/>
    <x v="0"/>
  </r>
  <r>
    <x v="1057"/>
    <s v="C0007"/>
    <x v="3"/>
    <d v="2024-02-07T00:00:00"/>
    <d v="2024-03-08T00:00:00"/>
    <s v="USD"/>
    <n v="377018.9"/>
    <d v="2024-04-02T00:00:00"/>
    <s v="PAID"/>
    <s v="Y"/>
    <n v="83.1083"/>
    <n v="377018.9"/>
    <n v="82.97"/>
    <n v="31281258.133000001"/>
    <n v="0"/>
    <n v="0"/>
    <n v="25"/>
    <x v="0"/>
  </r>
  <r>
    <x v="1058"/>
    <s v="C0049"/>
    <x v="3"/>
    <d v="2024-02-07T00:00:00"/>
    <d v="2024-03-08T00:00:00"/>
    <s v="INR"/>
    <n v="3823185"/>
    <d v="2024-02-28T00:00:00"/>
    <s v="PAID"/>
    <s v="N"/>
    <m/>
    <n v="3823185"/>
    <n v="1"/>
    <n v="3823185"/>
    <n v="0"/>
    <n v="0"/>
    <n v="-9"/>
    <x v="0"/>
  </r>
  <r>
    <x v="1059"/>
    <s v="C0099"/>
    <x v="3"/>
    <d v="2024-02-07T00:00:00"/>
    <d v="2024-04-07T00:00:00"/>
    <s v="EUR"/>
    <n v="248977.79"/>
    <d v="2024-04-23T00:00:00"/>
    <s v="PAID"/>
    <s v="N"/>
    <m/>
    <n v="248977.79"/>
    <n v="89.350399999999993"/>
    <n v="22246265.127615999"/>
    <n v="0"/>
    <n v="0"/>
    <n v="16"/>
    <x v="0"/>
  </r>
  <r>
    <x v="1060"/>
    <s v="C0141"/>
    <x v="3"/>
    <d v="2024-02-07T00:00:00"/>
    <d v="2024-04-07T00:00:00"/>
    <s v="INR"/>
    <n v="5319425"/>
    <d v="2024-04-06T00:00:00"/>
    <s v="PAID"/>
    <s v="N"/>
    <m/>
    <n v="5319425"/>
    <n v="1"/>
    <n v="5319425"/>
    <n v="0"/>
    <n v="0"/>
    <n v="-1"/>
    <x v="0"/>
  </r>
  <r>
    <x v="1061"/>
    <s v="C0164"/>
    <x v="3"/>
    <d v="2024-02-07T00:00:00"/>
    <d v="2024-04-07T00:00:00"/>
    <s v="USD"/>
    <n v="215625.62"/>
    <d v="2024-04-16T00:00:00"/>
    <s v="PAID"/>
    <s v="Y"/>
    <n v="83.246600000000001"/>
    <n v="215625.62"/>
    <n v="82.97"/>
    <n v="17890457.691399999"/>
    <n v="0"/>
    <n v="0"/>
    <n v="9"/>
    <x v="0"/>
  </r>
  <r>
    <x v="1062"/>
    <s v="C0212"/>
    <x v="2"/>
    <d v="2024-02-07T00:00:00"/>
    <d v="2024-05-07T00:00:00"/>
    <s v="INR"/>
    <n v="5040576"/>
    <d v="2024-05-01T00:00:00"/>
    <s v="PAID"/>
    <s v="N"/>
    <m/>
    <n v="5040576"/>
    <n v="1"/>
    <n v="5040576"/>
    <n v="0"/>
    <n v="0"/>
    <n v="-6"/>
    <x v="0"/>
  </r>
  <r>
    <x v="1063"/>
    <s v="C0110"/>
    <x v="1"/>
    <d v="2024-02-08T00:00:00"/>
    <d v="2024-04-08T00:00:00"/>
    <s v="USD"/>
    <n v="45219.5"/>
    <d v="2024-04-25T00:00:00"/>
    <s v="PAID"/>
    <s v="Y"/>
    <n v="83.246600000000001"/>
    <n v="45219.5"/>
    <n v="82.97"/>
    <n v="3751861.915"/>
    <n v="0"/>
    <n v="0"/>
    <n v="17"/>
    <x v="0"/>
  </r>
  <r>
    <x v="1064"/>
    <s v="C0164"/>
    <x v="3"/>
    <d v="2024-02-08T00:00:00"/>
    <d v="2024-04-08T00:00:00"/>
    <s v="USD"/>
    <n v="107978.32"/>
    <d v="2024-04-17T00:00:00"/>
    <s v="PAID"/>
    <s v="N"/>
    <m/>
    <n v="107978.32"/>
    <n v="82.97"/>
    <n v="8958961.2104000002"/>
    <n v="0"/>
    <n v="0"/>
    <n v="9"/>
    <x v="0"/>
  </r>
  <r>
    <x v="1065"/>
    <s v="C0198"/>
    <x v="3"/>
    <d v="2024-02-08T00:00:00"/>
    <d v="2024-03-24T00:00:00"/>
    <s v="USD"/>
    <n v="102177.5"/>
    <d v="2024-04-02T00:00:00"/>
    <s v="PAID"/>
    <s v="Y"/>
    <n v="83.177400000000006"/>
    <n v="102177.5"/>
    <n v="82.97"/>
    <n v="8477667.1750000007"/>
    <n v="0"/>
    <n v="0"/>
    <n v="9"/>
    <x v="0"/>
  </r>
  <r>
    <x v="1066"/>
    <s v="C0228"/>
    <x v="0"/>
    <d v="2024-02-08T00:00:00"/>
    <d v="2024-03-24T00:00:00"/>
    <s v="INR"/>
    <n v="3103757"/>
    <d v="2024-03-24T00:00:00"/>
    <s v="PAID"/>
    <s v="N"/>
    <m/>
    <n v="3103757"/>
    <n v="1"/>
    <n v="3103757"/>
    <n v="0"/>
    <n v="0"/>
    <n v="0"/>
    <x v="0"/>
  </r>
  <r>
    <x v="1067"/>
    <s v="C0092"/>
    <x v="2"/>
    <d v="2024-02-09T00:00:00"/>
    <d v="2024-03-10T00:00:00"/>
    <s v="INR"/>
    <n v="1825878"/>
    <d v="2024-03-14T00:00:00"/>
    <s v="PAID"/>
    <s v="N"/>
    <m/>
    <n v="1825878"/>
    <n v="1"/>
    <n v="1825878"/>
    <n v="0"/>
    <n v="0"/>
    <n v="4"/>
    <x v="0"/>
  </r>
  <r>
    <x v="1068"/>
    <s v="C0123"/>
    <x v="1"/>
    <d v="2024-02-09T00:00:00"/>
    <d v="2024-04-09T00:00:00"/>
    <s v="USD"/>
    <n v="47518.32"/>
    <d v="2024-04-26T00:00:00"/>
    <s v="PAID"/>
    <s v="N"/>
    <m/>
    <n v="47518.32"/>
    <n v="83"/>
    <n v="3944020.56"/>
    <n v="0"/>
    <n v="0"/>
    <n v="17"/>
    <x v="0"/>
  </r>
  <r>
    <x v="1069"/>
    <s v="C0242"/>
    <x v="0"/>
    <d v="2024-02-09T00:00:00"/>
    <d v="2024-04-09T00:00:00"/>
    <s v="EUR"/>
    <n v="154860.48000000001"/>
    <d v="2024-04-14T00:00:00"/>
    <s v="PAID"/>
    <s v="N"/>
    <m/>
    <n v="154860.48000000001"/>
    <n v="89.490600000000001"/>
    <n v="13858557.271488002"/>
    <n v="0"/>
    <n v="0"/>
    <n v="5"/>
    <x v="0"/>
  </r>
  <r>
    <x v="1070"/>
    <s v="C0244"/>
    <x v="3"/>
    <d v="2024-02-09T00:00:00"/>
    <d v="2024-04-09T00:00:00"/>
    <s v="INR"/>
    <n v="11476468"/>
    <m/>
    <s v="WRITTEN OFF"/>
    <s v="N"/>
    <m/>
    <n v="0"/>
    <n v="1"/>
    <n v="11476468"/>
    <n v="0"/>
    <n v="0"/>
    <s v=""/>
    <x v="0"/>
  </r>
  <r>
    <x v="1071"/>
    <s v="C0057"/>
    <x v="3"/>
    <d v="2024-02-10T00:00:00"/>
    <d v="2024-03-11T00:00:00"/>
    <s v="INR"/>
    <n v="2557492"/>
    <d v="2024-03-07T00:00:00"/>
    <s v="PAID"/>
    <s v="N"/>
    <m/>
    <n v="2557492"/>
    <n v="1"/>
    <n v="2557492"/>
    <n v="0"/>
    <n v="0"/>
    <n v="-4"/>
    <x v="0"/>
  </r>
  <r>
    <x v="1072"/>
    <s v="C0071"/>
    <x v="1"/>
    <d v="2024-02-10T00:00:00"/>
    <d v="2024-04-10T00:00:00"/>
    <s v="USD"/>
    <n v="51029.26"/>
    <m/>
    <s v="WRITTEN OFF"/>
    <s v="N"/>
    <m/>
    <n v="0"/>
    <n v="83"/>
    <n v="4235428.58"/>
    <n v="0"/>
    <n v="0"/>
    <s v=""/>
    <x v="0"/>
  </r>
  <r>
    <x v="1073"/>
    <s v="C0192"/>
    <x v="4"/>
    <d v="2024-02-10T00:00:00"/>
    <d v="2024-05-10T00:00:00"/>
    <s v="EUR"/>
    <n v="26454.62"/>
    <d v="2024-06-07T00:00:00"/>
    <s v="PARTIALLY PAID"/>
    <s v="N"/>
    <m/>
    <n v="13454.11"/>
    <n v="89.490600000000001"/>
    <n v="2367439.8165719998"/>
    <n v="1163423.4402059999"/>
    <n v="325"/>
    <n v="28"/>
    <x v="1"/>
  </r>
  <r>
    <x v="1074"/>
    <s v="C0029"/>
    <x v="1"/>
    <d v="2024-02-12T00:00:00"/>
    <d v="2024-05-12T00:00:00"/>
    <s v="INR"/>
    <n v="11400328"/>
    <d v="2024-05-20T00:00:00"/>
    <s v="PAID"/>
    <s v="N"/>
    <m/>
    <n v="11400328"/>
    <n v="1"/>
    <n v="11400328"/>
    <n v="0"/>
    <n v="0"/>
    <n v="8"/>
    <x v="0"/>
  </r>
  <r>
    <x v="1075"/>
    <s v="C0040"/>
    <x v="2"/>
    <d v="2024-02-12T00:00:00"/>
    <d v="2024-03-13T00:00:00"/>
    <s v="EUR"/>
    <n v="148202.21"/>
    <d v="2024-04-02T00:00:00"/>
    <s v="PAID"/>
    <s v="N"/>
    <m/>
    <n v="148202.21"/>
    <n v="89.3703"/>
    <n v="13244875.968363"/>
    <n v="0"/>
    <n v="0"/>
    <n v="20"/>
    <x v="0"/>
  </r>
  <r>
    <x v="1076"/>
    <s v="C0057"/>
    <x v="3"/>
    <d v="2024-02-12T00:00:00"/>
    <d v="2024-03-13T00:00:00"/>
    <s v="INR"/>
    <n v="4885385"/>
    <d v="2024-03-17T00:00:00"/>
    <s v="PAID"/>
    <s v="N"/>
    <m/>
    <n v="4885385"/>
    <n v="1"/>
    <n v="4885385"/>
    <n v="0"/>
    <n v="0"/>
    <n v="4"/>
    <x v="0"/>
  </r>
  <r>
    <x v="1077"/>
    <s v="C0166"/>
    <x v="4"/>
    <d v="2024-02-12T00:00:00"/>
    <d v="2024-05-12T00:00:00"/>
    <s v="INR"/>
    <n v="4583315"/>
    <d v="2024-05-27T00:00:00"/>
    <s v="PAID"/>
    <s v="N"/>
    <m/>
    <n v="4583315"/>
    <n v="1"/>
    <n v="4583315"/>
    <n v="0"/>
    <n v="0"/>
    <n v="15"/>
    <x v="0"/>
  </r>
  <r>
    <x v="1078"/>
    <s v="C0244"/>
    <x v="3"/>
    <d v="2024-02-12T00:00:00"/>
    <d v="2024-04-12T00:00:00"/>
    <s v="INR"/>
    <n v="7165605"/>
    <d v="2024-05-03T00:00:00"/>
    <s v="PAID"/>
    <s v="N"/>
    <m/>
    <n v="7165605"/>
    <n v="1"/>
    <n v="7165605"/>
    <n v="0"/>
    <n v="0"/>
    <n v="21"/>
    <x v="0"/>
  </r>
  <r>
    <x v="1079"/>
    <s v="C0073"/>
    <x v="1"/>
    <d v="2024-02-13T00:00:00"/>
    <d v="2024-03-14T00:00:00"/>
    <s v="USD"/>
    <n v="118038.59"/>
    <d v="2024-03-27T00:00:00"/>
    <s v="PAID"/>
    <s v="Y"/>
    <n v="83.198400000000007"/>
    <n v="118038.59"/>
    <n v="83.06"/>
    <n v="9804285.2853999995"/>
    <n v="0"/>
    <n v="0"/>
    <n v="13"/>
    <x v="0"/>
  </r>
  <r>
    <x v="1080"/>
    <s v="C0195"/>
    <x v="4"/>
    <d v="2024-02-13T00:00:00"/>
    <d v="2024-04-13T00:00:00"/>
    <s v="EUR"/>
    <n v="30307.200000000001"/>
    <d v="2024-04-19T00:00:00"/>
    <s v="PAID"/>
    <s v="N"/>
    <m/>
    <n v="30307.200000000001"/>
    <n v="89.040300000000002"/>
    <n v="2698562.18016"/>
    <n v="0"/>
    <n v="0"/>
    <n v="6"/>
    <x v="0"/>
  </r>
  <r>
    <x v="1081"/>
    <s v="C0198"/>
    <x v="3"/>
    <d v="2024-02-13T00:00:00"/>
    <d v="2024-03-29T00:00:00"/>
    <s v="USD"/>
    <n v="300078.32"/>
    <d v="2024-04-13T00:00:00"/>
    <s v="PAID"/>
    <s v="Y"/>
    <n v="83.267700000000005"/>
    <n v="300078.32"/>
    <n v="83.06"/>
    <n v="24924505.259200003"/>
    <n v="0"/>
    <n v="0"/>
    <n v="15"/>
    <x v="0"/>
  </r>
  <r>
    <x v="1082"/>
    <s v="C0003"/>
    <x v="0"/>
    <d v="2024-02-14T00:00:00"/>
    <d v="2024-03-30T00:00:00"/>
    <s v="INR"/>
    <n v="7184474"/>
    <d v="2024-04-29T00:00:00"/>
    <s v="PAID"/>
    <s v="N"/>
    <m/>
    <n v="7184474"/>
    <n v="1"/>
    <n v="7184474"/>
    <n v="0"/>
    <n v="0"/>
    <n v="30"/>
    <x v="0"/>
  </r>
  <r>
    <x v="1083"/>
    <s v="C0180"/>
    <x v="1"/>
    <d v="2024-02-14T00:00:00"/>
    <d v="2024-03-30T00:00:00"/>
    <s v="USD"/>
    <n v="96929.16"/>
    <d v="2024-07-27T00:00:00"/>
    <s v="PAID"/>
    <s v="Y"/>
    <n v="83.227500000000006"/>
    <n v="96929.16"/>
    <n v="83.02"/>
    <n v="8047058.8631999996"/>
    <n v="0"/>
    <n v="0"/>
    <n v="119"/>
    <x v="0"/>
  </r>
  <r>
    <x v="1084"/>
    <s v="C0238"/>
    <x v="2"/>
    <d v="2024-02-15T00:00:00"/>
    <d v="2024-04-15T00:00:00"/>
    <s v="INR"/>
    <n v="10608933"/>
    <d v="2024-04-14T00:00:00"/>
    <s v="PAID"/>
    <s v="N"/>
    <m/>
    <n v="10608933"/>
    <n v="1"/>
    <n v="10608933"/>
    <n v="0"/>
    <n v="0"/>
    <n v="-1"/>
    <x v="0"/>
  </r>
  <r>
    <x v="1085"/>
    <s v="C0244"/>
    <x v="3"/>
    <d v="2024-02-15T00:00:00"/>
    <d v="2024-04-15T00:00:00"/>
    <s v="INR"/>
    <n v="2267364"/>
    <d v="2024-05-07T00:00:00"/>
    <s v="PAID"/>
    <s v="N"/>
    <m/>
    <n v="2267364"/>
    <n v="1"/>
    <n v="2267364"/>
    <n v="0"/>
    <n v="0"/>
    <n v="22"/>
    <x v="0"/>
  </r>
  <r>
    <x v="1086"/>
    <s v="C0039"/>
    <x v="0"/>
    <d v="2024-02-16T00:00:00"/>
    <d v="2024-04-16T00:00:00"/>
    <s v="INR"/>
    <n v="5708901"/>
    <d v="2024-04-30T00:00:00"/>
    <s v="PAID"/>
    <s v="N"/>
    <m/>
    <n v="5708901"/>
    <n v="1"/>
    <n v="5708901"/>
    <n v="0"/>
    <n v="0"/>
    <n v="14"/>
    <x v="0"/>
  </r>
  <r>
    <x v="1087"/>
    <s v="C0040"/>
    <x v="2"/>
    <d v="2024-02-16T00:00:00"/>
    <d v="2024-03-17T00:00:00"/>
    <s v="EUR"/>
    <n v="63264.85"/>
    <d v="2024-03-25T00:00:00"/>
    <s v="PAID"/>
    <s v="N"/>
    <m/>
    <n v="63264.85"/>
    <n v="89.404200000000003"/>
    <n v="5656143.3023699997"/>
    <n v="0"/>
    <n v="0"/>
    <n v="8"/>
    <x v="0"/>
  </r>
  <r>
    <x v="1088"/>
    <s v="C0099"/>
    <x v="3"/>
    <d v="2024-02-16T00:00:00"/>
    <d v="2024-04-16T00:00:00"/>
    <s v="EUR"/>
    <n v="94420"/>
    <m/>
    <s v="PAID"/>
    <s v="Y"/>
    <n v="89.582999999999998"/>
    <n v="94420"/>
    <n v="89.404200000000003"/>
    <n v="8441544.5640000012"/>
    <n v="0"/>
    <n v="0"/>
    <s v=""/>
    <x v="0"/>
  </r>
  <r>
    <x v="1089"/>
    <s v="C0054"/>
    <x v="4"/>
    <d v="2024-02-17T00:00:00"/>
    <d v="2024-04-17T00:00:00"/>
    <s v="EUR"/>
    <n v="54386.1"/>
    <d v="2024-04-22T00:00:00"/>
    <s v="PAID"/>
    <s v="Y"/>
    <n v="89.582999999999998"/>
    <n v="54386.1"/>
    <n v="89.404200000000003"/>
    <n v="4862345.76162"/>
    <n v="0"/>
    <n v="0"/>
    <n v="5"/>
    <x v="0"/>
  </r>
  <r>
    <x v="1090"/>
    <s v="C0103"/>
    <x v="0"/>
    <d v="2024-02-17T00:00:00"/>
    <d v="2024-04-17T00:00:00"/>
    <s v="INR"/>
    <n v="9933284"/>
    <d v="2024-04-20T00:00:00"/>
    <s v="PAID"/>
    <s v="N"/>
    <m/>
    <n v="9933284"/>
    <n v="1"/>
    <n v="9933284"/>
    <n v="0"/>
    <n v="0"/>
    <n v="3"/>
    <x v="0"/>
  </r>
  <r>
    <x v="1091"/>
    <s v="C0111"/>
    <x v="3"/>
    <d v="2024-02-17T00:00:00"/>
    <d v="2024-05-17T00:00:00"/>
    <s v="EUR"/>
    <n v="894812.55"/>
    <d v="2024-06-19T00:00:00"/>
    <s v="PAID"/>
    <s v="N"/>
    <m/>
    <n v="894812.55"/>
    <n v="89.404200000000003"/>
    <n v="80000000.182710007"/>
    <n v="0"/>
    <n v="0"/>
    <n v="33"/>
    <x v="0"/>
  </r>
  <r>
    <x v="1092"/>
    <s v="C0117"/>
    <x v="0"/>
    <d v="2024-02-17T00:00:00"/>
    <d v="2024-04-02T00:00:00"/>
    <s v="INR"/>
    <n v="1883180"/>
    <d v="2024-04-03T00:00:00"/>
    <s v="PAID"/>
    <s v="N"/>
    <m/>
    <n v="1883180"/>
    <n v="1"/>
    <n v="1883180"/>
    <n v="0"/>
    <n v="0"/>
    <n v="1"/>
    <x v="0"/>
  </r>
  <r>
    <x v="1093"/>
    <s v="C0123"/>
    <x v="1"/>
    <d v="2024-02-17T00:00:00"/>
    <d v="2024-04-17T00:00:00"/>
    <s v="USD"/>
    <n v="44416.92"/>
    <m/>
    <s v="PAID"/>
    <s v="N"/>
    <m/>
    <n v="44416.92"/>
    <n v="83.02"/>
    <n v="3687492.6983999996"/>
    <n v="0"/>
    <n v="0"/>
    <s v=""/>
    <x v="0"/>
  </r>
  <r>
    <x v="1094"/>
    <s v="C0125"/>
    <x v="3"/>
    <d v="2024-02-17T00:00:00"/>
    <d v="2024-04-02T00:00:00"/>
    <s v="INR"/>
    <n v="2216597"/>
    <d v="2024-03-31T00:00:00"/>
    <s v="PAID"/>
    <s v="N"/>
    <m/>
    <n v="2216597"/>
    <n v="1"/>
    <n v="2216597"/>
    <n v="0"/>
    <n v="0"/>
    <n v="-2"/>
    <x v="0"/>
  </r>
  <r>
    <x v="1095"/>
    <s v="C0177"/>
    <x v="3"/>
    <d v="2024-02-17T00:00:00"/>
    <d v="2024-04-17T00:00:00"/>
    <s v="EUR"/>
    <n v="18177.29"/>
    <d v="2024-04-30T00:00:00"/>
    <s v="PAID"/>
    <s v="Y"/>
    <n v="89.582999999999998"/>
    <n v="18177.29"/>
    <n v="89.404200000000003"/>
    <n v="1625126.0706180001"/>
    <n v="0"/>
    <n v="0"/>
    <n v="13"/>
    <x v="0"/>
  </r>
  <r>
    <x v="1096"/>
    <s v="C0177"/>
    <x v="3"/>
    <d v="2024-02-17T00:00:00"/>
    <d v="2024-04-17T00:00:00"/>
    <s v="EUR"/>
    <n v="49917.66"/>
    <d v="2024-04-27T00:00:00"/>
    <s v="PAID"/>
    <s v="Y"/>
    <n v="89.582999999999998"/>
    <n v="49917.66"/>
    <n v="89.404200000000003"/>
    <n v="4462848.458172"/>
    <n v="0"/>
    <n v="0"/>
    <n v="10"/>
    <x v="0"/>
  </r>
  <r>
    <x v="1097"/>
    <s v="C0182"/>
    <x v="0"/>
    <d v="2024-02-17T00:00:00"/>
    <d v="2024-04-17T00:00:00"/>
    <s v="INR"/>
    <n v="8889100"/>
    <d v="2024-04-23T00:00:00"/>
    <s v="PARTIALLY PAID"/>
    <s v="N"/>
    <m/>
    <n v="5025725.7699999996"/>
    <n v="1"/>
    <n v="8889100"/>
    <n v="3863374.2300000004"/>
    <n v="348"/>
    <n v="6"/>
    <x v="1"/>
  </r>
  <r>
    <x v="1098"/>
    <s v="C0221"/>
    <x v="1"/>
    <d v="2024-02-17T00:00:00"/>
    <d v="2024-04-17T00:00:00"/>
    <s v="INR"/>
    <n v="4605947"/>
    <d v="2024-05-19T00:00:00"/>
    <s v="PAID"/>
    <s v="N"/>
    <m/>
    <n v="4605947"/>
    <n v="1"/>
    <n v="4605947"/>
    <n v="0"/>
    <n v="0"/>
    <n v="32"/>
    <x v="0"/>
  </r>
  <r>
    <x v="1099"/>
    <s v="C0231"/>
    <x v="0"/>
    <d v="2024-02-17T00:00:00"/>
    <d v="2024-03-18T00:00:00"/>
    <s v="INR"/>
    <n v="2850322"/>
    <d v="2024-03-26T00:00:00"/>
    <s v="PAID"/>
    <s v="N"/>
    <m/>
    <n v="2850322"/>
    <n v="1"/>
    <n v="2850322"/>
    <n v="0"/>
    <n v="0"/>
    <n v="8"/>
    <x v="0"/>
  </r>
  <r>
    <x v="1100"/>
    <s v="C0241"/>
    <x v="3"/>
    <d v="2024-02-17T00:00:00"/>
    <d v="2024-04-17T00:00:00"/>
    <s v="EUR"/>
    <n v="76637.33"/>
    <d v="2024-05-24T00:00:00"/>
    <s v="PAID"/>
    <s v="Y"/>
    <n v="89.582999999999998"/>
    <n v="76637.33"/>
    <n v="89.404200000000003"/>
    <n v="6851699.1787860002"/>
    <n v="0"/>
    <n v="0"/>
    <n v="37"/>
    <x v="0"/>
  </r>
  <r>
    <x v="1101"/>
    <s v="C0244"/>
    <x v="3"/>
    <d v="2024-02-17T00:00:00"/>
    <d v="2024-04-17T00:00:00"/>
    <s v="INR"/>
    <n v="5721204"/>
    <d v="2024-05-05T00:00:00"/>
    <s v="PAID"/>
    <s v="N"/>
    <m/>
    <n v="5721204"/>
    <n v="1"/>
    <n v="5721204"/>
    <n v="0"/>
    <n v="0"/>
    <n v="18"/>
    <x v="0"/>
  </r>
  <r>
    <x v="1102"/>
    <s v="C0004"/>
    <x v="0"/>
    <d v="2024-02-19T00:00:00"/>
    <d v="2024-04-04T00:00:00"/>
    <s v="INR"/>
    <n v="4027452"/>
    <d v="2024-04-21T00:00:00"/>
    <s v="PAID"/>
    <s v="N"/>
    <m/>
    <n v="4027452"/>
    <n v="1"/>
    <n v="4027452"/>
    <n v="0"/>
    <n v="0"/>
    <n v="17"/>
    <x v="0"/>
  </r>
  <r>
    <x v="1103"/>
    <s v="C0039"/>
    <x v="0"/>
    <d v="2024-02-19T00:00:00"/>
    <d v="2024-04-19T00:00:00"/>
    <s v="INR"/>
    <n v="34595501"/>
    <d v="2024-05-04T00:00:00"/>
    <s v="PAID"/>
    <s v="N"/>
    <m/>
    <n v="34595501"/>
    <n v="1"/>
    <n v="34595501"/>
    <n v="0"/>
    <n v="0"/>
    <n v="15"/>
    <x v="0"/>
  </r>
  <r>
    <x v="1104"/>
    <s v="C0056"/>
    <x v="1"/>
    <d v="2024-02-19T00:00:00"/>
    <d v="2024-04-19T00:00:00"/>
    <s v="INR"/>
    <n v="4539676"/>
    <d v="2024-04-28T00:00:00"/>
    <s v="PAID"/>
    <s v="N"/>
    <m/>
    <n v="4539676"/>
    <n v="1"/>
    <n v="4539676"/>
    <n v="0"/>
    <n v="0"/>
    <n v="9"/>
    <x v="0"/>
  </r>
  <r>
    <x v="1105"/>
    <s v="C0058"/>
    <x v="3"/>
    <d v="2024-02-19T00:00:00"/>
    <d v="2024-03-20T00:00:00"/>
    <s v="INR"/>
    <n v="2378028"/>
    <m/>
    <s v="PAID"/>
    <s v="N"/>
    <m/>
    <n v="2378028"/>
    <n v="1"/>
    <n v="2378028"/>
    <n v="0"/>
    <n v="0"/>
    <s v=""/>
    <x v="0"/>
  </r>
  <r>
    <x v="1106"/>
    <s v="C0111"/>
    <x v="3"/>
    <d v="2024-02-19T00:00:00"/>
    <d v="2024-05-19T00:00:00"/>
    <s v="EUR"/>
    <n v="98590.94"/>
    <d v="2024-07-09T00:00:00"/>
    <s v="PAID"/>
    <s v="Y"/>
    <n v="89.672399999999996"/>
    <n v="98590.94"/>
    <n v="89.404200000000003"/>
    <n v="8814444.1179480013"/>
    <n v="0"/>
    <n v="0"/>
    <n v="51"/>
    <x v="0"/>
  </r>
  <r>
    <x v="1107"/>
    <s v="C0146"/>
    <x v="3"/>
    <d v="2024-02-19T00:00:00"/>
    <d v="2024-04-19T00:00:00"/>
    <s v="USD"/>
    <n v="112127.57"/>
    <d v="2024-04-24T00:00:00"/>
    <s v="PAID"/>
    <s v="Y"/>
    <n v="83.296700000000001"/>
    <n v="112127.57"/>
    <n v="83.02"/>
    <n v="9308830.8614000008"/>
    <n v="0"/>
    <n v="0"/>
    <n v="5"/>
    <x v="0"/>
  </r>
  <r>
    <x v="1108"/>
    <s v="C0075"/>
    <x v="1"/>
    <d v="2024-02-20T00:00:00"/>
    <d v="2024-03-21T00:00:00"/>
    <s v="INR"/>
    <n v="9000436"/>
    <d v="2024-05-13T00:00:00"/>
    <s v="PAID"/>
    <s v="N"/>
    <m/>
    <n v="9000436"/>
    <n v="1"/>
    <n v="9000436"/>
    <n v="0"/>
    <n v="0"/>
    <n v="53"/>
    <x v="0"/>
  </r>
  <r>
    <x v="1109"/>
    <s v="C0103"/>
    <x v="0"/>
    <d v="2024-02-20T00:00:00"/>
    <d v="2024-04-20T00:00:00"/>
    <s v="INR"/>
    <n v="5388756"/>
    <d v="2024-04-24T00:00:00"/>
    <s v="PAID"/>
    <s v="N"/>
    <m/>
    <n v="5388756"/>
    <n v="1"/>
    <n v="5388756"/>
    <n v="0"/>
    <n v="0"/>
    <n v="4"/>
    <x v="0"/>
  </r>
  <r>
    <x v="1110"/>
    <s v="C0170"/>
    <x v="2"/>
    <d v="2024-02-20T00:00:00"/>
    <d v="2024-04-20T00:00:00"/>
    <s v="INR"/>
    <n v="4446896"/>
    <d v="2024-05-03T00:00:00"/>
    <s v="PAID"/>
    <s v="N"/>
    <m/>
    <n v="4446896"/>
    <n v="1"/>
    <n v="4446896"/>
    <n v="0"/>
    <n v="0"/>
    <n v="13"/>
    <x v="0"/>
  </r>
  <r>
    <x v="1111"/>
    <s v="C0213"/>
    <x v="1"/>
    <d v="2024-02-20T00:00:00"/>
    <d v="2024-04-20T00:00:00"/>
    <s v="EUR"/>
    <n v="53727"/>
    <d v="2024-04-22T00:00:00"/>
    <s v="PAID"/>
    <s v="N"/>
    <m/>
    <n v="53727"/>
    <n v="89.626400000000004"/>
    <n v="4815357.5927999998"/>
    <n v="0"/>
    <n v="0"/>
    <n v="2"/>
    <x v="0"/>
  </r>
  <r>
    <x v="1112"/>
    <s v="C0009"/>
    <x v="3"/>
    <d v="2024-02-21T00:00:00"/>
    <d v="2024-04-21T00:00:00"/>
    <s v="INR"/>
    <n v="1496342"/>
    <d v="2024-04-12T00:00:00"/>
    <s v="PAID"/>
    <s v="N"/>
    <m/>
    <n v="1496342"/>
    <n v="1"/>
    <n v="1496342"/>
    <n v="0"/>
    <n v="0"/>
    <n v="-9"/>
    <x v="0"/>
  </r>
  <r>
    <x v="1113"/>
    <s v="C0083"/>
    <x v="3"/>
    <d v="2024-02-21T00:00:00"/>
    <d v="2024-04-06T00:00:00"/>
    <s v="INR"/>
    <n v="18976290"/>
    <d v="2024-05-26T00:00:00"/>
    <s v="PAID"/>
    <s v="N"/>
    <m/>
    <n v="18976290"/>
    <n v="1"/>
    <n v="18976290"/>
    <n v="0"/>
    <n v="0"/>
    <n v="50"/>
    <x v="0"/>
  </r>
  <r>
    <x v="1114"/>
    <s v="C0111"/>
    <x v="3"/>
    <d v="2024-02-21T00:00:00"/>
    <d v="2024-05-21T00:00:00"/>
    <s v="EUR"/>
    <n v="32937.440000000002"/>
    <d v="2024-06-23T00:00:00"/>
    <s v="PAID"/>
    <s v="Y"/>
    <n v="90.015299999999996"/>
    <n v="32937.440000000002"/>
    <n v="89.746099999999998"/>
    <n v="2956006.7839840003"/>
    <n v="0"/>
    <n v="0"/>
    <n v="33"/>
    <x v="0"/>
  </r>
  <r>
    <x v="1115"/>
    <s v="C0138"/>
    <x v="4"/>
    <d v="2024-02-21T00:00:00"/>
    <d v="2024-03-22T00:00:00"/>
    <s v="INR"/>
    <n v="13016248"/>
    <d v="2024-03-28T00:00:00"/>
    <s v="PAID"/>
    <s v="N"/>
    <m/>
    <n v="13016248"/>
    <n v="1"/>
    <n v="13016248"/>
    <n v="0"/>
    <n v="0"/>
    <n v="6"/>
    <x v="0"/>
  </r>
  <r>
    <x v="1116"/>
    <s v="C0156"/>
    <x v="0"/>
    <d v="2024-02-21T00:00:00"/>
    <d v="2024-04-06T00:00:00"/>
    <s v="USD"/>
    <n v="55608.65"/>
    <d v="2024-04-22T00:00:00"/>
    <s v="PAID"/>
    <s v="Y"/>
    <n v="83.167400000000001"/>
    <n v="55608.65"/>
    <n v="82.96"/>
    <n v="4613293.6039999994"/>
    <n v="0"/>
    <n v="0"/>
    <n v="16"/>
    <x v="0"/>
  </r>
  <r>
    <x v="1117"/>
    <s v="C0236"/>
    <x v="3"/>
    <d v="2024-02-21T00:00:00"/>
    <d v="2024-04-21T00:00:00"/>
    <s v="EUR"/>
    <n v="111260.19"/>
    <d v="2024-08-09T00:00:00"/>
    <s v="PAID"/>
    <s v="Y"/>
    <n v="89.925600000000003"/>
    <n v="111260.19"/>
    <n v="89.746099999999998"/>
    <n v="9985168.1377590001"/>
    <n v="0"/>
    <n v="0"/>
    <n v="110"/>
    <x v="0"/>
  </r>
  <r>
    <x v="1118"/>
    <s v="C0244"/>
    <x v="3"/>
    <d v="2024-02-21T00:00:00"/>
    <d v="2024-04-21T00:00:00"/>
    <s v="INR"/>
    <n v="20428604"/>
    <d v="2024-05-14T00:00:00"/>
    <s v="PAID"/>
    <s v="N"/>
    <m/>
    <n v="20428604"/>
    <n v="1"/>
    <n v="20428604"/>
    <n v="0"/>
    <n v="0"/>
    <n v="23"/>
    <x v="0"/>
  </r>
  <r>
    <x v="1119"/>
    <s v="C0052"/>
    <x v="0"/>
    <d v="2024-02-22T00:00:00"/>
    <d v="2024-03-23T00:00:00"/>
    <s v="INR"/>
    <n v="22962442"/>
    <d v="2024-04-04T00:00:00"/>
    <s v="PAID"/>
    <s v="N"/>
    <m/>
    <n v="22962442"/>
    <n v="1"/>
    <n v="22962442"/>
    <n v="0"/>
    <n v="0"/>
    <n v="12"/>
    <x v="0"/>
  </r>
  <r>
    <x v="1120"/>
    <s v="C0057"/>
    <x v="3"/>
    <d v="2024-02-22T00:00:00"/>
    <d v="2024-03-23T00:00:00"/>
    <s v="INR"/>
    <n v="16459810"/>
    <d v="2024-03-23T00:00:00"/>
    <s v="PAID"/>
    <s v="N"/>
    <m/>
    <n v="16459810"/>
    <n v="1"/>
    <n v="16459810"/>
    <n v="0"/>
    <n v="0"/>
    <n v="0"/>
    <x v="0"/>
  </r>
  <r>
    <x v="1121"/>
    <s v="C0137"/>
    <x v="1"/>
    <d v="2024-02-22T00:00:00"/>
    <d v="2024-04-22T00:00:00"/>
    <s v="USD"/>
    <n v="99026.49"/>
    <d v="2024-05-23T00:00:00"/>
    <s v="PAID"/>
    <s v="Y"/>
    <n v="83.136200000000002"/>
    <n v="99026.49"/>
    <n v="82.86"/>
    <n v="8205334.9614000004"/>
    <n v="0"/>
    <n v="0"/>
    <n v="31"/>
    <x v="0"/>
  </r>
  <r>
    <x v="1122"/>
    <s v="C0218"/>
    <x v="3"/>
    <d v="2024-02-22T00:00:00"/>
    <d v="2024-04-07T00:00:00"/>
    <s v="INR"/>
    <n v="3365438"/>
    <d v="2024-05-10T00:00:00"/>
    <s v="PAID"/>
    <s v="N"/>
    <m/>
    <n v="3365438"/>
    <n v="1"/>
    <n v="3365438"/>
    <n v="0"/>
    <n v="0"/>
    <n v="33"/>
    <x v="0"/>
  </r>
  <r>
    <x v="1123"/>
    <s v="C0221"/>
    <x v="1"/>
    <d v="2024-02-22T00:00:00"/>
    <d v="2024-04-22T00:00:00"/>
    <s v="INR"/>
    <n v="5105000"/>
    <d v="2024-05-14T00:00:00"/>
    <s v="PAID"/>
    <s v="N"/>
    <m/>
    <n v="5105000"/>
    <n v="1"/>
    <n v="5105000"/>
    <n v="0"/>
    <n v="0"/>
    <n v="22"/>
    <x v="0"/>
  </r>
  <r>
    <x v="1124"/>
    <s v="C0234"/>
    <x v="0"/>
    <d v="2024-02-22T00:00:00"/>
    <d v="2024-04-22T00:00:00"/>
    <s v="INR"/>
    <n v="8776313"/>
    <d v="2024-04-28T00:00:00"/>
    <s v="PAID"/>
    <s v="N"/>
    <m/>
    <n v="8776313"/>
    <n v="1"/>
    <n v="8776313"/>
    <n v="0"/>
    <n v="0"/>
    <n v="6"/>
    <x v="0"/>
  </r>
  <r>
    <x v="1125"/>
    <s v="C0238"/>
    <x v="2"/>
    <d v="2024-02-22T00:00:00"/>
    <d v="2024-04-22T00:00:00"/>
    <s v="INR"/>
    <n v="10276886"/>
    <d v="2024-04-24T00:00:00"/>
    <s v="PAID"/>
    <s v="N"/>
    <m/>
    <n v="10276886"/>
    <n v="1"/>
    <n v="10276886"/>
    <n v="0"/>
    <n v="0"/>
    <n v="2"/>
    <x v="0"/>
  </r>
  <r>
    <x v="1126"/>
    <s v="C0036"/>
    <x v="1"/>
    <d v="2024-02-23T00:00:00"/>
    <d v="2024-04-08T00:00:00"/>
    <s v="INR"/>
    <n v="600000"/>
    <d v="2024-04-07T00:00:00"/>
    <s v="PARTIALLY PAID"/>
    <s v="N"/>
    <m/>
    <n v="517272.81"/>
    <n v="1"/>
    <n v="600000"/>
    <n v="82727.19"/>
    <n v="357"/>
    <n v="-1"/>
    <x v="1"/>
  </r>
  <r>
    <x v="1127"/>
    <s v="C0099"/>
    <x v="3"/>
    <d v="2024-02-23T00:00:00"/>
    <d v="2024-04-23T00:00:00"/>
    <s v="EUR"/>
    <n v="447023.17"/>
    <d v="2024-04-28T00:00:00"/>
    <s v="PAID"/>
    <s v="Y"/>
    <n v="89.900199999999998"/>
    <n v="447023.17"/>
    <n v="89.720799999999997"/>
    <n v="40107276.430935994"/>
    <n v="0"/>
    <n v="0"/>
    <n v="5"/>
    <x v="0"/>
  </r>
  <r>
    <x v="1128"/>
    <s v="C0128"/>
    <x v="1"/>
    <d v="2024-02-23T00:00:00"/>
    <d v="2024-03-24T00:00:00"/>
    <s v="INR"/>
    <n v="2737592"/>
    <d v="2024-04-06T00:00:00"/>
    <s v="PAID"/>
    <s v="N"/>
    <m/>
    <n v="2737592"/>
    <n v="1"/>
    <n v="2737592"/>
    <n v="0"/>
    <n v="0"/>
    <n v="13"/>
    <x v="0"/>
  </r>
  <r>
    <x v="1129"/>
    <s v="C0131"/>
    <x v="1"/>
    <d v="2024-02-23T00:00:00"/>
    <d v="2024-05-23T00:00:00"/>
    <s v="INR"/>
    <n v="10451164"/>
    <d v="2024-05-29T00:00:00"/>
    <s v="PAID"/>
    <s v="N"/>
    <m/>
    <n v="10451164"/>
    <n v="1"/>
    <n v="10451164"/>
    <n v="0"/>
    <n v="0"/>
    <n v="6"/>
    <x v="0"/>
  </r>
  <r>
    <x v="1130"/>
    <s v="C0141"/>
    <x v="1"/>
    <d v="2024-02-23T00:00:00"/>
    <d v="2024-04-23T00:00:00"/>
    <s v="INR"/>
    <n v="5591672"/>
    <d v="2024-04-26T00:00:00"/>
    <s v="PAID"/>
    <s v="N"/>
    <m/>
    <n v="5591672"/>
    <n v="1"/>
    <n v="5591672"/>
    <n v="0"/>
    <n v="0"/>
    <n v="3"/>
    <x v="0"/>
  </r>
  <r>
    <x v="1131"/>
    <s v="C0188"/>
    <x v="3"/>
    <d v="2024-02-23T00:00:00"/>
    <d v="2024-04-08T00:00:00"/>
    <s v="INR"/>
    <n v="1928515"/>
    <d v="2024-04-23T00:00:00"/>
    <s v="PAID"/>
    <s v="N"/>
    <m/>
    <n v="1928515"/>
    <n v="1"/>
    <n v="1928515"/>
    <n v="0"/>
    <n v="0"/>
    <n v="15"/>
    <x v="0"/>
  </r>
  <r>
    <x v="1132"/>
    <s v="C0207"/>
    <x v="4"/>
    <d v="2024-02-23T00:00:00"/>
    <d v="2024-04-23T00:00:00"/>
    <s v="INR"/>
    <n v="8651020"/>
    <d v="2024-04-28T00:00:00"/>
    <s v="PAID"/>
    <s v="N"/>
    <m/>
    <n v="8651020"/>
    <n v="1"/>
    <n v="8651020"/>
    <n v="0"/>
    <n v="0"/>
    <n v="5"/>
    <x v="0"/>
  </r>
  <r>
    <x v="1133"/>
    <s v="C0234"/>
    <x v="0"/>
    <d v="2024-02-23T00:00:00"/>
    <d v="2024-04-23T00:00:00"/>
    <s v="INR"/>
    <n v="7804666"/>
    <d v="2024-05-06T00:00:00"/>
    <s v="PAID"/>
    <s v="N"/>
    <m/>
    <n v="7804666"/>
    <n v="1"/>
    <n v="7804666"/>
    <n v="0"/>
    <n v="0"/>
    <n v="13"/>
    <x v="0"/>
  </r>
  <r>
    <x v="1134"/>
    <s v="C0248"/>
    <x v="4"/>
    <d v="2024-02-23T00:00:00"/>
    <d v="2024-03-24T00:00:00"/>
    <s v="USD"/>
    <n v="319521.73"/>
    <d v="2024-04-05T00:00:00"/>
    <s v="PAID"/>
    <s v="Y"/>
    <n v="82.998099999999994"/>
    <n v="319521.73"/>
    <n v="82.86"/>
    <n v="26475570.547799997"/>
    <n v="0"/>
    <n v="0"/>
    <n v="12"/>
    <x v="0"/>
  </r>
  <r>
    <x v="1135"/>
    <s v="C0041"/>
    <x v="0"/>
    <d v="2024-02-24T00:00:00"/>
    <d v="2024-04-09T00:00:00"/>
    <s v="INR"/>
    <n v="6173530"/>
    <d v="2024-04-05T00:00:00"/>
    <s v="PAID"/>
    <s v="N"/>
    <m/>
    <n v="6173530"/>
    <n v="1"/>
    <n v="6173530"/>
    <n v="0"/>
    <n v="0"/>
    <n v="-4"/>
    <x v="0"/>
  </r>
  <r>
    <x v="1136"/>
    <s v="C0057"/>
    <x v="3"/>
    <d v="2024-02-24T00:00:00"/>
    <d v="2024-03-25T00:00:00"/>
    <s v="INR"/>
    <n v="29246186"/>
    <d v="2024-03-28T00:00:00"/>
    <s v="PAID"/>
    <s v="N"/>
    <m/>
    <n v="29246186"/>
    <n v="1"/>
    <n v="29246186"/>
    <n v="0"/>
    <n v="0"/>
    <n v="3"/>
    <x v="0"/>
  </r>
  <r>
    <x v="1137"/>
    <s v="C0083"/>
    <x v="3"/>
    <d v="2024-02-24T00:00:00"/>
    <d v="2024-04-09T00:00:00"/>
    <s v="INR"/>
    <n v="10537733"/>
    <d v="2024-05-27T00:00:00"/>
    <s v="PAID"/>
    <s v="N"/>
    <m/>
    <n v="10537733"/>
    <n v="1"/>
    <n v="10537733"/>
    <n v="0"/>
    <n v="0"/>
    <n v="48"/>
    <x v="0"/>
  </r>
  <r>
    <x v="1138"/>
    <s v="C0099"/>
    <x v="3"/>
    <d v="2024-02-24T00:00:00"/>
    <d v="2024-04-24T00:00:00"/>
    <s v="EUR"/>
    <n v="40377.56"/>
    <d v="2024-05-06T00:00:00"/>
    <s v="PAID"/>
    <s v="N"/>
    <m/>
    <n v="40377.56"/>
    <n v="89.720799999999997"/>
    <n v="3622706.9852479999"/>
    <n v="0"/>
    <n v="0"/>
    <n v="12"/>
    <x v="0"/>
  </r>
  <r>
    <x v="1139"/>
    <s v="C0165"/>
    <x v="3"/>
    <d v="2024-02-24T00:00:00"/>
    <d v="2024-03-25T00:00:00"/>
    <s v="USD"/>
    <n v="42164.31"/>
    <d v="2024-03-22T00:00:00"/>
    <s v="PAID"/>
    <s v="N"/>
    <m/>
    <n v="42164.31"/>
    <n v="82.86"/>
    <n v="3493734.7265999997"/>
    <n v="0"/>
    <n v="0"/>
    <n v="-3"/>
    <x v="0"/>
  </r>
  <r>
    <x v="1140"/>
    <s v="C0183"/>
    <x v="0"/>
    <d v="2024-02-24T00:00:00"/>
    <d v="2024-05-24T00:00:00"/>
    <s v="INR"/>
    <n v="1779712"/>
    <d v="2024-06-01T00:00:00"/>
    <s v="PAID"/>
    <s v="N"/>
    <m/>
    <n v="1779712"/>
    <n v="1"/>
    <n v="1779712"/>
    <n v="0"/>
    <n v="0"/>
    <n v="8"/>
    <x v="0"/>
  </r>
  <r>
    <x v="1141"/>
    <s v="C0213"/>
    <x v="2"/>
    <d v="2024-02-24T00:00:00"/>
    <d v="2024-04-24T00:00:00"/>
    <s v="EUR"/>
    <n v="45987.66"/>
    <d v="2024-05-01T00:00:00"/>
    <s v="PAID"/>
    <s v="Y"/>
    <n v="89.900199999999998"/>
    <n v="45987.66"/>
    <n v="89.720799999999997"/>
    <n v="4126049.6453280002"/>
    <n v="0"/>
    <n v="0"/>
    <n v="7"/>
    <x v="0"/>
  </r>
  <r>
    <x v="1142"/>
    <s v="C0227"/>
    <x v="2"/>
    <d v="2024-02-24T00:00:00"/>
    <d v="2024-04-09T00:00:00"/>
    <s v="INR"/>
    <n v="4171540"/>
    <d v="2024-05-25T00:00:00"/>
    <s v="PAID"/>
    <s v="N"/>
    <m/>
    <n v="4171540"/>
    <n v="1"/>
    <n v="4171540"/>
    <n v="0"/>
    <n v="0"/>
    <n v="46"/>
    <x v="0"/>
  </r>
  <r>
    <x v="1143"/>
    <s v="C0246"/>
    <x v="4"/>
    <d v="2024-02-24T00:00:00"/>
    <d v="2024-04-24T00:00:00"/>
    <s v="USD"/>
    <n v="134049.62"/>
    <d v="2024-04-28T00:00:00"/>
    <s v="PAID"/>
    <s v="Y"/>
    <n v="83.136200000000002"/>
    <n v="134049.62"/>
    <n v="82.86"/>
    <n v="11107351.5132"/>
    <n v="0"/>
    <n v="0"/>
    <n v="4"/>
    <x v="0"/>
  </r>
  <r>
    <x v="1144"/>
    <s v="C0117"/>
    <x v="0"/>
    <d v="2024-02-26T00:00:00"/>
    <d v="2024-04-11T00:00:00"/>
    <s v="INR"/>
    <n v="5692557"/>
    <d v="2024-04-19T00:00:00"/>
    <s v="PAID"/>
    <s v="N"/>
    <m/>
    <n v="5692557"/>
    <n v="1"/>
    <n v="5692557"/>
    <n v="0"/>
    <n v="0"/>
    <n v="8"/>
    <x v="0"/>
  </r>
  <r>
    <x v="1145"/>
    <s v="C0202"/>
    <x v="3"/>
    <d v="2024-02-26T00:00:00"/>
    <d v="2024-04-11T00:00:00"/>
    <s v="USD"/>
    <n v="28186.37"/>
    <d v="2024-04-19T00:00:00"/>
    <s v="PAID"/>
    <s v="N"/>
    <m/>
    <n v="28186.37"/>
    <n v="82.85"/>
    <n v="2335240.7544999998"/>
    <n v="0"/>
    <n v="0"/>
    <n v="8"/>
    <x v="0"/>
  </r>
  <r>
    <x v="1146"/>
    <s v="C0221"/>
    <x v="1"/>
    <d v="2024-02-26T00:00:00"/>
    <d v="2024-04-26T00:00:00"/>
    <s v="INR"/>
    <n v="6696046"/>
    <d v="2024-05-29T00:00:00"/>
    <s v="PAID"/>
    <s v="N"/>
    <m/>
    <n v="6696046"/>
    <n v="1"/>
    <n v="6696046"/>
    <n v="0"/>
    <n v="0"/>
    <n v="33"/>
    <x v="0"/>
  </r>
  <r>
    <x v="1147"/>
    <s v="C0233"/>
    <x v="0"/>
    <d v="2024-02-26T00:00:00"/>
    <d v="2024-04-26T00:00:00"/>
    <s v="INR"/>
    <n v="7703678"/>
    <d v="2024-05-02T00:00:00"/>
    <s v="PAID"/>
    <s v="N"/>
    <m/>
    <n v="7703678"/>
    <n v="1"/>
    <n v="7703678"/>
    <n v="0"/>
    <n v="0"/>
    <n v="6"/>
    <x v="0"/>
  </r>
  <r>
    <x v="1148"/>
    <s v="C0149"/>
    <x v="3"/>
    <d v="2024-02-27T00:00:00"/>
    <d v="2024-04-12T00:00:00"/>
    <s v="INR"/>
    <n v="9698150"/>
    <d v="2024-04-09T00:00:00"/>
    <s v="PAID"/>
    <s v="N"/>
    <m/>
    <n v="9698150"/>
    <n v="1"/>
    <n v="9698150"/>
    <n v="0"/>
    <n v="0"/>
    <n v="-3"/>
    <x v="0"/>
  </r>
  <r>
    <x v="1149"/>
    <s v="C0213"/>
    <x v="1"/>
    <d v="2024-02-27T00:00:00"/>
    <d v="2024-04-27T00:00:00"/>
    <s v="EUR"/>
    <n v="41876.620000000003"/>
    <d v="2024-05-05T00:00:00"/>
    <s v="PAID"/>
    <s v="N"/>
    <m/>
    <n v="41876.620000000003"/>
    <n v="89.982799999999997"/>
    <n v="3768175.522136"/>
    <n v="0"/>
    <n v="0"/>
    <n v="8"/>
    <x v="0"/>
  </r>
  <r>
    <x v="1150"/>
    <s v="C0228"/>
    <x v="3"/>
    <d v="2024-02-27T00:00:00"/>
    <d v="2024-04-12T00:00:00"/>
    <s v="INR"/>
    <n v="15120950"/>
    <d v="2024-04-23T00:00:00"/>
    <s v="PAID"/>
    <s v="N"/>
    <m/>
    <n v="15120950"/>
    <n v="1"/>
    <n v="15120950"/>
    <n v="0"/>
    <n v="0"/>
    <n v="11"/>
    <x v="0"/>
  </r>
  <r>
    <x v="1151"/>
    <s v="C0238"/>
    <x v="2"/>
    <d v="2024-02-27T00:00:00"/>
    <d v="2024-04-27T00:00:00"/>
    <s v="INR"/>
    <n v="9354401"/>
    <d v="2024-05-01T00:00:00"/>
    <s v="PARTIALLY PAID"/>
    <s v="N"/>
    <m/>
    <n v="5260629.26"/>
    <n v="1"/>
    <n v="9354401"/>
    <n v="4093771.74"/>
    <n v="338"/>
    <n v="4"/>
    <x v="1"/>
  </r>
  <r>
    <x v="1152"/>
    <s v="C0111"/>
    <x v="3"/>
    <d v="2024-02-28T00:00:00"/>
    <d v="2024-05-28T00:00:00"/>
    <s v="EUR"/>
    <n v="50495.5"/>
    <d v="2024-06-17T00:00:00"/>
    <s v="PAID"/>
    <s v="N"/>
    <m/>
    <n v="50495.5"/>
    <n v="89.866799999999998"/>
    <n v="4537868.9994000001"/>
    <n v="0"/>
    <n v="0"/>
    <n v="20"/>
    <x v="0"/>
  </r>
  <r>
    <x v="1153"/>
    <s v="C0220"/>
    <x v="1"/>
    <d v="2024-02-28T00:00:00"/>
    <d v="2024-03-29T00:00:00"/>
    <s v="INR"/>
    <n v="2444291"/>
    <d v="2024-04-12T00:00:00"/>
    <s v="PAID"/>
    <s v="N"/>
    <m/>
    <n v="2444291"/>
    <n v="1"/>
    <n v="2444291"/>
    <n v="0"/>
    <n v="0"/>
    <n v="14"/>
    <x v="0"/>
  </r>
  <r>
    <x v="1154"/>
    <s v="C0229"/>
    <x v="3"/>
    <d v="2024-02-28T00:00:00"/>
    <d v="2024-05-28T00:00:00"/>
    <s v="USD"/>
    <n v="83010"/>
    <d v="2024-06-11T00:00:00"/>
    <s v="PAID"/>
    <s v="N"/>
    <m/>
    <n v="83010"/>
    <n v="82.88"/>
    <n v="6879868.7999999998"/>
    <n v="0"/>
    <n v="0"/>
    <n v="14"/>
    <x v="0"/>
  </r>
  <r>
    <x v="1155"/>
    <s v="C0239"/>
    <x v="1"/>
    <d v="2024-02-28T00:00:00"/>
    <d v="2024-04-13T00:00:00"/>
    <s v="INR"/>
    <n v="9326569"/>
    <m/>
    <s v="WRITTEN OFF"/>
    <s v="N"/>
    <m/>
    <n v="0"/>
    <n v="1"/>
    <n v="9326569"/>
    <n v="0"/>
    <n v="0"/>
    <s v=""/>
    <x v="0"/>
  </r>
  <r>
    <x v="1156"/>
    <s v="C0057"/>
    <x v="3"/>
    <d v="2024-02-29T00:00:00"/>
    <d v="2024-03-30T00:00:00"/>
    <s v="INR"/>
    <n v="9933186"/>
    <d v="2024-04-04T00:00:00"/>
    <s v="PAID"/>
    <s v="N"/>
    <m/>
    <n v="9933186"/>
    <n v="1"/>
    <n v="9933186"/>
    <n v="0"/>
    <n v="0"/>
    <n v="5"/>
    <x v="0"/>
  </r>
  <r>
    <x v="1157"/>
    <s v="C0099"/>
    <x v="3"/>
    <d v="2024-02-29T00:00:00"/>
    <d v="2024-04-29T00:00:00"/>
    <s v="EUR"/>
    <n v="131460.5"/>
    <d v="2024-05-08T00:00:00"/>
    <s v="PAID"/>
    <s v="Y"/>
    <n v="89.736699999999999"/>
    <n v="131460.5"/>
    <n v="89.557599999999994"/>
    <n v="11773286.874799998"/>
    <n v="0"/>
    <n v="0"/>
    <n v="9"/>
    <x v="0"/>
  </r>
  <r>
    <x v="1158"/>
    <s v="C0164"/>
    <x v="3"/>
    <d v="2024-02-29T00:00:00"/>
    <d v="2024-04-29T00:00:00"/>
    <s v="USD"/>
    <n v="36905.300000000003"/>
    <d v="2024-05-30T00:00:00"/>
    <s v="PAID"/>
    <s v="Y"/>
    <n v="83.146199999999993"/>
    <n v="36905.300000000003"/>
    <n v="82.87"/>
    <n v="3058342.2110000006"/>
    <n v="0"/>
    <n v="0"/>
    <n v="31"/>
    <x v="0"/>
  </r>
  <r>
    <x v="1159"/>
    <s v="C0103"/>
    <x v="0"/>
    <d v="2024-03-01T00:00:00"/>
    <d v="2024-04-30T00:00:00"/>
    <s v="INR"/>
    <n v="10140321"/>
    <d v="2024-05-05T00:00:00"/>
    <s v="PAID"/>
    <s v="N"/>
    <m/>
    <n v="10140321"/>
    <n v="1"/>
    <n v="10140321"/>
    <n v="0"/>
    <n v="0"/>
    <n v="5"/>
    <x v="0"/>
  </r>
  <r>
    <x v="1160"/>
    <s v="C0111"/>
    <x v="3"/>
    <d v="2024-03-01T00:00:00"/>
    <d v="2024-05-30T00:00:00"/>
    <s v="EUR"/>
    <n v="157862.01999999999"/>
    <d v="2024-08-10T00:00:00"/>
    <s v="PAID"/>
    <s v="Y"/>
    <n v="90.077500000000001"/>
    <n v="157862.01999999999"/>
    <n v="89.808099999999996"/>
    <n v="14177288.078361999"/>
    <n v="0"/>
    <n v="0"/>
    <n v="72"/>
    <x v="0"/>
  </r>
  <r>
    <x v="1161"/>
    <s v="C0166"/>
    <x v="4"/>
    <d v="2024-03-01T00:00:00"/>
    <d v="2024-05-30T00:00:00"/>
    <s v="INR"/>
    <n v="2836620"/>
    <d v="2024-06-19T00:00:00"/>
    <s v="PAID"/>
    <s v="N"/>
    <m/>
    <n v="2836620"/>
    <n v="1"/>
    <n v="2836620"/>
    <n v="0"/>
    <n v="0"/>
    <n v="20"/>
    <x v="0"/>
  </r>
  <r>
    <x v="1162"/>
    <s v="C0029"/>
    <x v="1"/>
    <d v="2024-03-02T00:00:00"/>
    <d v="2024-05-31T00:00:00"/>
    <s v="INR"/>
    <n v="5021536"/>
    <d v="2024-06-05T00:00:00"/>
    <s v="PAID"/>
    <s v="N"/>
    <m/>
    <n v="5021536"/>
    <n v="1"/>
    <n v="5021536"/>
    <n v="0"/>
    <n v="0"/>
    <n v="5"/>
    <x v="0"/>
  </r>
  <r>
    <x v="1163"/>
    <s v="C0046"/>
    <x v="0"/>
    <d v="2024-03-02T00:00:00"/>
    <d v="2024-04-01T00:00:00"/>
    <s v="INR"/>
    <n v="884731"/>
    <d v="2024-03-27T00:00:00"/>
    <s v="PAID"/>
    <s v="N"/>
    <m/>
    <n v="884731"/>
    <n v="1"/>
    <n v="884731"/>
    <n v="0"/>
    <n v="0"/>
    <n v="-5"/>
    <x v="0"/>
  </r>
  <r>
    <x v="1164"/>
    <s v="C0073"/>
    <x v="1"/>
    <d v="2024-03-02T00:00:00"/>
    <d v="2024-04-01T00:00:00"/>
    <s v="USD"/>
    <n v="64749.98"/>
    <d v="2024-05-20T00:00:00"/>
    <s v="PAID"/>
    <s v="N"/>
    <m/>
    <n v="64749.98"/>
    <n v="82.91"/>
    <n v="5368420.8417999996"/>
    <n v="0"/>
    <n v="0"/>
    <n v="49"/>
    <x v="0"/>
  </r>
  <r>
    <x v="1165"/>
    <s v="C0073"/>
    <x v="1"/>
    <d v="2024-03-02T00:00:00"/>
    <d v="2024-04-01T00:00:00"/>
    <s v="USD"/>
    <n v="89352.38"/>
    <m/>
    <s v="PAID"/>
    <s v="N"/>
    <m/>
    <n v="89352.38"/>
    <n v="82.91"/>
    <n v="7408205.8257999998"/>
    <n v="0"/>
    <n v="0"/>
    <s v=""/>
    <x v="0"/>
  </r>
  <r>
    <x v="1166"/>
    <s v="C0103"/>
    <x v="0"/>
    <d v="2024-03-02T00:00:00"/>
    <d v="2024-05-01T00:00:00"/>
    <s v="INR"/>
    <n v="3760975"/>
    <d v="2024-05-03T00:00:00"/>
    <s v="PAID"/>
    <s v="N"/>
    <m/>
    <n v="3760975"/>
    <n v="1"/>
    <n v="3760975"/>
    <n v="0"/>
    <n v="0"/>
    <n v="2"/>
    <x v="0"/>
  </r>
  <r>
    <x v="1167"/>
    <s v="C0193"/>
    <x v="3"/>
    <d v="2024-03-02T00:00:00"/>
    <d v="2024-04-16T00:00:00"/>
    <s v="EUR"/>
    <n v="74596.570000000007"/>
    <d v="2024-05-11T00:00:00"/>
    <s v="PAID"/>
    <s v="N"/>
    <m/>
    <n v="74596.570000000007"/>
    <n v="89.808099999999996"/>
    <n v="6699376.2182170004"/>
    <n v="0"/>
    <n v="0"/>
    <n v="25"/>
    <x v="0"/>
  </r>
  <r>
    <x v="1168"/>
    <s v="C0198"/>
    <x v="3"/>
    <d v="2024-03-02T00:00:00"/>
    <d v="2024-04-16T00:00:00"/>
    <s v="USD"/>
    <n v="147135.71"/>
    <d v="2024-05-02T00:00:00"/>
    <s v="PAID"/>
    <s v="N"/>
    <m/>
    <n v="147135.71"/>
    <n v="82.91"/>
    <n v="12199021.716099998"/>
    <n v="0"/>
    <n v="0"/>
    <n v="16"/>
    <x v="0"/>
  </r>
  <r>
    <x v="1169"/>
    <s v="C0228"/>
    <x v="3"/>
    <d v="2024-03-02T00:00:00"/>
    <d v="2024-04-16T00:00:00"/>
    <s v="INR"/>
    <n v="20580190"/>
    <d v="2024-02-03T00:00:00"/>
    <s v="PAID"/>
    <s v="N"/>
    <m/>
    <n v="20580190"/>
    <n v="1"/>
    <n v="20580190"/>
    <n v="0"/>
    <n v="0"/>
    <m/>
    <x v="0"/>
  </r>
  <r>
    <x v="1170"/>
    <s v="C0228"/>
    <x v="0"/>
    <d v="2024-03-02T00:00:00"/>
    <d v="2024-04-16T00:00:00"/>
    <s v="INR"/>
    <n v="4276182"/>
    <d v="2024-05-09T00:00:00"/>
    <s v="PAID"/>
    <s v="N"/>
    <m/>
    <n v="4276182"/>
    <n v="1"/>
    <n v="4276182"/>
    <n v="0"/>
    <n v="0"/>
    <n v="23"/>
    <x v="0"/>
  </r>
  <r>
    <x v="1171"/>
    <s v="C0246"/>
    <x v="4"/>
    <d v="2024-03-02T00:00:00"/>
    <d v="2024-05-01T00:00:00"/>
    <s v="USD"/>
    <n v="254839.44"/>
    <d v="2024-05-08T00:00:00"/>
    <s v="PAID"/>
    <s v="N"/>
    <m/>
    <n v="254839.44"/>
    <n v="82.91"/>
    <n v="21128737.970399998"/>
    <n v="0"/>
    <n v="0"/>
    <n v="7"/>
    <x v="0"/>
  </r>
  <r>
    <x v="1172"/>
    <s v="C0246"/>
    <x v="4"/>
    <d v="2024-03-02T00:00:00"/>
    <d v="2024-05-01T00:00:00"/>
    <s v="USD"/>
    <n v="46094.91"/>
    <d v="2024-05-10T00:00:00"/>
    <s v="PAID"/>
    <s v="N"/>
    <m/>
    <n v="46094.91"/>
    <n v="82.91"/>
    <n v="3821728.9881000002"/>
    <n v="0"/>
    <n v="0"/>
    <n v="9"/>
    <x v="0"/>
  </r>
  <r>
    <x v="1173"/>
    <s v="C0004"/>
    <x v="0"/>
    <d v="2024-03-04T00:00:00"/>
    <d v="2024-04-18T00:00:00"/>
    <s v="INR"/>
    <n v="5678144"/>
    <d v="2024-04-23T00:00:00"/>
    <s v="PAID"/>
    <s v="N"/>
    <m/>
    <n v="5678144"/>
    <n v="1"/>
    <n v="5678144"/>
    <n v="0"/>
    <n v="0"/>
    <n v="5"/>
    <x v="0"/>
  </r>
  <r>
    <x v="1174"/>
    <s v="C0173"/>
    <x v="4"/>
    <d v="2024-03-04T00:00:00"/>
    <d v="2024-05-03T00:00:00"/>
    <s v="EUR"/>
    <n v="72721.23"/>
    <d v="2024-05-14T00:00:00"/>
    <s v="PAID"/>
    <s v="Y"/>
    <n v="90.204300000000003"/>
    <n v="72721.23"/>
    <n v="90.024299999999997"/>
    <n v="6546677.8258889997"/>
    <n v="0"/>
    <n v="0"/>
    <n v="11"/>
    <x v="0"/>
  </r>
  <r>
    <x v="1175"/>
    <s v="C0006"/>
    <x v="3"/>
    <d v="2024-03-05T00:00:00"/>
    <d v="2024-04-04T00:00:00"/>
    <s v="EUR"/>
    <n v="198175.54"/>
    <d v="2024-04-14T00:00:00"/>
    <s v="PAID"/>
    <s v="Y"/>
    <n v="90.084199999999996"/>
    <n v="198175.54"/>
    <n v="89.994200000000006"/>
    <n v="17834649.181868002"/>
    <n v="0"/>
    <n v="0"/>
    <n v="10"/>
    <x v="0"/>
  </r>
  <r>
    <x v="1176"/>
    <s v="C0005"/>
    <x v="2"/>
    <d v="2024-03-06T00:00:00"/>
    <d v="2024-04-05T00:00:00"/>
    <s v="INR"/>
    <n v="7386408"/>
    <d v="2024-04-16T00:00:00"/>
    <s v="PAID"/>
    <s v="N"/>
    <m/>
    <n v="7386408"/>
    <n v="1"/>
    <n v="7386408"/>
    <n v="0"/>
    <n v="0"/>
    <n v="11"/>
    <x v="0"/>
  </r>
  <r>
    <x v="1177"/>
    <s v="C0031"/>
    <x v="3"/>
    <d v="2024-03-06T00:00:00"/>
    <d v="2024-06-04T00:00:00"/>
    <s v="INR"/>
    <n v="9090424"/>
    <d v="2024-05-31T00:00:00"/>
    <s v="PAID"/>
    <s v="N"/>
    <m/>
    <n v="9090424"/>
    <n v="1"/>
    <n v="9090424"/>
    <n v="0"/>
    <n v="0"/>
    <n v="-4"/>
    <x v="0"/>
  </r>
  <r>
    <x v="1178"/>
    <s v="C0213"/>
    <x v="1"/>
    <d v="2024-03-06T00:00:00"/>
    <d v="2024-05-05T00:00:00"/>
    <s v="EUR"/>
    <n v="232122.57"/>
    <d v="2024-05-03T00:00:00"/>
    <s v="PAID"/>
    <s v="N"/>
    <m/>
    <n v="232122.57"/>
    <n v="90.337800000000001"/>
    <n v="20969442.304145999"/>
    <n v="0"/>
    <n v="0"/>
    <n v="-2"/>
    <x v="0"/>
  </r>
  <r>
    <x v="1179"/>
    <s v="C0221"/>
    <x v="1"/>
    <d v="2024-03-06T00:00:00"/>
    <d v="2024-05-05T00:00:00"/>
    <s v="INR"/>
    <n v="46241194"/>
    <d v="2024-05-20T00:00:00"/>
    <s v="PAID"/>
    <s v="N"/>
    <m/>
    <n v="46241194"/>
    <n v="1"/>
    <n v="46241194"/>
    <n v="0"/>
    <n v="0"/>
    <n v="15"/>
    <x v="0"/>
  </r>
  <r>
    <x v="1180"/>
    <s v="C0009"/>
    <x v="3"/>
    <d v="2024-03-07T00:00:00"/>
    <d v="2024-05-06T00:00:00"/>
    <s v="INR"/>
    <n v="14021311"/>
    <d v="2024-05-14T00:00:00"/>
    <s v="PAID"/>
    <s v="N"/>
    <m/>
    <n v="14021311"/>
    <n v="1"/>
    <n v="14021311"/>
    <n v="0"/>
    <n v="0"/>
    <n v="8"/>
    <x v="0"/>
  </r>
  <r>
    <x v="1181"/>
    <s v="C0025"/>
    <x v="3"/>
    <d v="2024-03-07T00:00:00"/>
    <d v="2024-04-21T00:00:00"/>
    <s v="USD"/>
    <n v="197665.31"/>
    <d v="2024-05-16T00:00:00"/>
    <s v="PAID"/>
    <s v="Y"/>
    <n v="82.986900000000006"/>
    <n v="197665.31"/>
    <n v="82.78"/>
    <n v="16362734.3618"/>
    <n v="0"/>
    <n v="0"/>
    <n v="25"/>
    <x v="0"/>
  </r>
  <r>
    <x v="1182"/>
    <s v="C0073"/>
    <x v="1"/>
    <d v="2024-03-07T00:00:00"/>
    <d v="2024-04-06T00:00:00"/>
    <s v="USD"/>
    <n v="108692.31"/>
    <d v="2024-05-06T00:00:00"/>
    <s v="PARTIALLY PAID"/>
    <s v="N"/>
    <m/>
    <n v="73664.89"/>
    <n v="82.78"/>
    <n v="8997549.4218000006"/>
    <n v="2899569.8276"/>
    <n v="359"/>
    <n v="30"/>
    <x v="1"/>
  </r>
  <r>
    <x v="1183"/>
    <s v="C0216"/>
    <x v="1"/>
    <d v="2024-03-07T00:00:00"/>
    <d v="2024-05-06T00:00:00"/>
    <s v="USD"/>
    <n v="160120.43"/>
    <d v="2024-06-06T00:00:00"/>
    <s v="PAID"/>
    <s v="N"/>
    <m/>
    <n v="160120.43"/>
    <n v="82.78"/>
    <n v="13254769.1954"/>
    <n v="0"/>
    <n v="0"/>
    <n v="31"/>
    <x v="0"/>
  </r>
  <r>
    <x v="1184"/>
    <s v="C0073"/>
    <x v="1"/>
    <d v="2024-03-08T00:00:00"/>
    <d v="2024-04-07T00:00:00"/>
    <s v="USD"/>
    <n v="71786.27"/>
    <d v="2024-04-24T00:00:00"/>
    <s v="PAID"/>
    <s v="N"/>
    <m/>
    <n v="71786.27"/>
    <n v="82.73"/>
    <n v="5938878.1171000004"/>
    <n v="0"/>
    <n v="0"/>
    <n v="17"/>
    <x v="0"/>
  </r>
  <r>
    <x v="1185"/>
    <s v="C0099"/>
    <x v="3"/>
    <d v="2024-03-08T00:00:00"/>
    <d v="2024-05-07T00:00:00"/>
    <s v="EUR"/>
    <n v="122996.17"/>
    <d v="2024-05-11T00:00:00"/>
    <s v="PAID"/>
    <s v="Y"/>
    <n v="90.695899999999995"/>
    <n v="122996.17"/>
    <n v="90.514899999999997"/>
    <n v="11132986.027933"/>
    <n v="0"/>
    <n v="0"/>
    <n v="4"/>
    <x v="0"/>
  </r>
  <r>
    <x v="1186"/>
    <s v="C0171"/>
    <x v="3"/>
    <d v="2024-03-08T00:00:00"/>
    <d v="2024-06-06T00:00:00"/>
    <s v="USD"/>
    <n v="79746.92"/>
    <d v="2024-07-06T00:00:00"/>
    <s v="PAID"/>
    <s v="N"/>
    <m/>
    <n v="79746.92"/>
    <n v="82.73"/>
    <n v="6597462.6916000005"/>
    <n v="0"/>
    <n v="0"/>
    <n v="30"/>
    <x v="0"/>
  </r>
  <r>
    <x v="1187"/>
    <s v="C0197"/>
    <x v="0"/>
    <d v="2024-03-08T00:00:00"/>
    <d v="2024-04-22T00:00:00"/>
    <s v="INR"/>
    <n v="7195136"/>
    <d v="2024-05-06T00:00:00"/>
    <s v="PAID"/>
    <s v="N"/>
    <m/>
    <n v="7195136"/>
    <n v="1"/>
    <n v="7195136"/>
    <n v="0"/>
    <n v="0"/>
    <n v="14"/>
    <x v="0"/>
  </r>
  <r>
    <x v="1188"/>
    <s v="C0022"/>
    <x v="3"/>
    <d v="2024-03-09T00:00:00"/>
    <d v="2024-04-08T00:00:00"/>
    <s v="INR"/>
    <n v="5596430"/>
    <d v="2024-04-23T00:00:00"/>
    <s v="PARTIALLY PAID"/>
    <s v="N"/>
    <m/>
    <n v="3266850.37"/>
    <n v="1"/>
    <n v="5596430"/>
    <n v="2329579.63"/>
    <n v="357"/>
    <n v="15"/>
    <x v="1"/>
  </r>
  <r>
    <x v="1189"/>
    <s v="C0048"/>
    <x v="1"/>
    <d v="2024-03-09T00:00:00"/>
    <d v="2024-04-23T00:00:00"/>
    <s v="INR"/>
    <n v="1881631"/>
    <d v="2024-07-26T00:00:00"/>
    <s v="PAID"/>
    <s v="N"/>
    <m/>
    <n v="1881631"/>
    <n v="1"/>
    <n v="1881631"/>
    <n v="0"/>
    <n v="0"/>
    <n v="94"/>
    <x v="0"/>
  </r>
  <r>
    <x v="1190"/>
    <s v="C0054"/>
    <x v="4"/>
    <d v="2024-03-09T00:00:00"/>
    <d v="2024-05-08T00:00:00"/>
    <s v="EUR"/>
    <n v="51109.99"/>
    <d v="2024-05-07T00:00:00"/>
    <s v="PAID"/>
    <s v="Y"/>
    <n v="90.695899999999995"/>
    <n v="51109.99"/>
    <n v="90.514899999999997"/>
    <n v="4626215.6338510001"/>
    <n v="0"/>
    <n v="0"/>
    <n v="-1"/>
    <x v="0"/>
  </r>
  <r>
    <x v="1191"/>
    <s v="C0096"/>
    <x v="3"/>
    <d v="2024-03-09T00:00:00"/>
    <d v="2024-05-08T00:00:00"/>
    <s v="USD"/>
    <n v="148298.13"/>
    <d v="2024-05-20T00:00:00"/>
    <s v="PAID"/>
    <s v="Y"/>
    <n v="83.005799999999994"/>
    <n v="148298.13"/>
    <n v="82.73"/>
    <n v="12268704.2949"/>
    <n v="0"/>
    <n v="0"/>
    <n v="12"/>
    <x v="0"/>
  </r>
  <r>
    <x v="1192"/>
    <s v="C0166"/>
    <x v="4"/>
    <d v="2024-03-09T00:00:00"/>
    <d v="2024-06-07T00:00:00"/>
    <s v="INR"/>
    <n v="6643090"/>
    <d v="2024-07-12T00:00:00"/>
    <s v="PAID"/>
    <s v="N"/>
    <m/>
    <n v="6643090"/>
    <n v="1"/>
    <n v="6643090"/>
    <n v="0"/>
    <n v="0"/>
    <n v="35"/>
    <x v="0"/>
  </r>
  <r>
    <x v="1193"/>
    <s v="C0192"/>
    <x v="4"/>
    <d v="2024-03-09T00:00:00"/>
    <d v="2024-06-07T00:00:00"/>
    <s v="EUR"/>
    <n v="19571.75"/>
    <d v="2024-06-24T00:00:00"/>
    <s v="PAID"/>
    <s v="N"/>
    <m/>
    <n v="19571.75"/>
    <n v="90.514899999999997"/>
    <n v="1771534.9940750001"/>
    <n v="0"/>
    <n v="0"/>
    <n v="17"/>
    <x v="0"/>
  </r>
  <r>
    <x v="1194"/>
    <s v="C0209"/>
    <x v="0"/>
    <d v="2024-03-09T00:00:00"/>
    <d v="2024-06-07T00:00:00"/>
    <s v="INR"/>
    <n v="3661682"/>
    <d v="2024-06-07T00:00:00"/>
    <s v="PAID"/>
    <s v="N"/>
    <m/>
    <n v="3661682"/>
    <n v="1"/>
    <n v="3661682"/>
    <n v="0"/>
    <n v="0"/>
    <n v="0"/>
    <x v="0"/>
  </r>
  <r>
    <x v="1195"/>
    <s v="C0213"/>
    <x v="1"/>
    <d v="2024-03-09T00:00:00"/>
    <d v="2024-05-08T00:00:00"/>
    <s v="EUR"/>
    <n v="152681.10999999999"/>
    <d v="2024-05-10T00:00:00"/>
    <s v="PAID"/>
    <s v="N"/>
    <m/>
    <n v="152681.10999999999"/>
    <n v="90.514899999999997"/>
    <n v="13819915.403538998"/>
    <n v="0"/>
    <n v="0"/>
    <n v="2"/>
    <x v="0"/>
  </r>
  <r>
    <x v="1196"/>
    <s v="C0226"/>
    <x v="3"/>
    <d v="2024-03-09T00:00:00"/>
    <d v="2024-04-23T00:00:00"/>
    <s v="INR"/>
    <n v="8987843"/>
    <d v="2024-04-25T00:00:00"/>
    <s v="PAID"/>
    <s v="N"/>
    <m/>
    <n v="8987843"/>
    <n v="1"/>
    <n v="8987843"/>
    <n v="0"/>
    <n v="0"/>
    <n v="2"/>
    <x v="0"/>
  </r>
  <r>
    <x v="1197"/>
    <s v="C0003"/>
    <x v="0"/>
    <d v="2024-03-11T00:00:00"/>
    <d v="2024-04-25T00:00:00"/>
    <s v="INR"/>
    <n v="7486867"/>
    <d v="2024-06-04T00:00:00"/>
    <s v="PAID"/>
    <s v="N"/>
    <m/>
    <n v="7486867"/>
    <n v="1"/>
    <n v="7486867"/>
    <n v="0"/>
    <n v="0"/>
    <n v="40"/>
    <x v="0"/>
  </r>
  <r>
    <x v="1198"/>
    <s v="C0004"/>
    <x v="0"/>
    <d v="2024-03-11T00:00:00"/>
    <d v="2024-04-25T00:00:00"/>
    <s v="INR"/>
    <n v="10834216"/>
    <d v="2024-05-04T00:00:00"/>
    <s v="PAID"/>
    <s v="N"/>
    <m/>
    <n v="10834216"/>
    <n v="1"/>
    <n v="10834216"/>
    <n v="0"/>
    <n v="0"/>
    <n v="9"/>
    <x v="0"/>
  </r>
  <r>
    <x v="1199"/>
    <s v="C0057"/>
    <x v="3"/>
    <d v="2024-03-11T00:00:00"/>
    <d v="2024-04-10T00:00:00"/>
    <s v="INR"/>
    <n v="24049076"/>
    <d v="2024-04-08T00:00:00"/>
    <s v="PAID"/>
    <s v="N"/>
    <m/>
    <n v="24049076"/>
    <n v="1"/>
    <n v="24049076"/>
    <n v="0"/>
    <n v="0"/>
    <n v="-2"/>
    <x v="0"/>
  </r>
  <r>
    <x v="1200"/>
    <s v="C0077"/>
    <x v="0"/>
    <d v="2024-03-11T00:00:00"/>
    <d v="2024-05-10T00:00:00"/>
    <s v="INR"/>
    <n v="6801089"/>
    <d v="2024-05-11T00:00:00"/>
    <s v="PAID"/>
    <s v="N"/>
    <m/>
    <n v="6801089"/>
    <n v="1"/>
    <n v="6801089"/>
    <n v="0"/>
    <n v="0"/>
    <n v="1"/>
    <x v="0"/>
  </r>
  <r>
    <x v="1201"/>
    <s v="C0103"/>
    <x v="0"/>
    <d v="2024-03-11T00:00:00"/>
    <d v="2024-05-10T00:00:00"/>
    <s v="INR"/>
    <n v="9926435"/>
    <d v="2024-05-10T00:00:00"/>
    <s v="PAID"/>
    <s v="N"/>
    <m/>
    <n v="9926435"/>
    <n v="1"/>
    <n v="9926435"/>
    <n v="0"/>
    <n v="0"/>
    <n v="0"/>
    <x v="0"/>
  </r>
  <r>
    <x v="1202"/>
    <s v="C0107"/>
    <x v="1"/>
    <d v="2024-03-11T00:00:00"/>
    <d v="2024-04-10T00:00:00"/>
    <s v="INR"/>
    <n v="7310536"/>
    <d v="2024-06-11T00:00:00"/>
    <s v="PAID"/>
    <s v="N"/>
    <m/>
    <n v="7310536"/>
    <n v="1"/>
    <n v="7310536"/>
    <n v="0"/>
    <n v="0"/>
    <n v="62"/>
    <x v="0"/>
  </r>
  <r>
    <x v="1203"/>
    <s v="C0108"/>
    <x v="0"/>
    <d v="2024-03-11T00:00:00"/>
    <d v="2024-04-25T00:00:00"/>
    <s v="INR"/>
    <n v="1438671"/>
    <d v="2024-04-24T00:00:00"/>
    <s v="PAID"/>
    <s v="N"/>
    <m/>
    <n v="1438671"/>
    <n v="1"/>
    <n v="1438671"/>
    <n v="0"/>
    <n v="0"/>
    <n v="-1"/>
    <x v="0"/>
  </r>
  <r>
    <x v="1204"/>
    <s v="C0125"/>
    <x v="3"/>
    <d v="2024-03-11T00:00:00"/>
    <d v="2024-04-25T00:00:00"/>
    <s v="INR"/>
    <n v="19828479"/>
    <d v="2024-05-04T00:00:00"/>
    <s v="PAID"/>
    <s v="N"/>
    <m/>
    <n v="19828479"/>
    <n v="1"/>
    <n v="19828479"/>
    <n v="0"/>
    <n v="0"/>
    <n v="9"/>
    <x v="0"/>
  </r>
  <r>
    <x v="1205"/>
    <s v="C0177"/>
    <x v="3"/>
    <d v="2024-03-11T00:00:00"/>
    <d v="2024-05-10T00:00:00"/>
    <s v="EUR"/>
    <n v="167240.15"/>
    <d v="2024-05-22T00:00:00"/>
    <s v="PAID"/>
    <s v="Y"/>
    <n v="90.577200000000005"/>
    <n v="167240.15"/>
    <n v="90.3964"/>
    <n v="15117907.49546"/>
    <n v="0"/>
    <n v="0"/>
    <n v="12"/>
    <x v="0"/>
  </r>
  <r>
    <x v="1206"/>
    <s v="C0225"/>
    <x v="2"/>
    <d v="2024-03-11T00:00:00"/>
    <d v="2024-04-25T00:00:00"/>
    <s v="USD"/>
    <n v="43790.15"/>
    <d v="2024-05-04T00:00:00"/>
    <s v="PAID"/>
    <s v="N"/>
    <m/>
    <n v="43790.15"/>
    <n v="82.72"/>
    <n v="3622321.2080000001"/>
    <n v="0"/>
    <n v="0"/>
    <n v="9"/>
    <x v="0"/>
  </r>
  <r>
    <x v="1207"/>
    <s v="C0099"/>
    <x v="3"/>
    <d v="2024-03-12T00:00:00"/>
    <d v="2024-05-11T00:00:00"/>
    <s v="EUR"/>
    <n v="67709.710000000006"/>
    <d v="2024-05-28T00:00:00"/>
    <s v="PAID"/>
    <s v="Y"/>
    <n v="90.549000000000007"/>
    <n v="67709.710000000006"/>
    <n v="90.368300000000005"/>
    <n v="6118811.3861930007"/>
    <n v="0"/>
    <n v="0"/>
    <n v="17"/>
    <x v="0"/>
  </r>
  <r>
    <x v="1208"/>
    <s v="C0138"/>
    <x v="4"/>
    <d v="2024-03-12T00:00:00"/>
    <d v="2024-04-11T00:00:00"/>
    <s v="INR"/>
    <n v="13700524"/>
    <d v="2024-04-13T00:00:00"/>
    <s v="PAID"/>
    <s v="N"/>
    <m/>
    <n v="13700524"/>
    <n v="1"/>
    <n v="13700524"/>
    <n v="0"/>
    <n v="0"/>
    <n v="2"/>
    <x v="0"/>
  </r>
  <r>
    <x v="1209"/>
    <s v="C0141"/>
    <x v="1"/>
    <d v="2024-03-12T00:00:00"/>
    <d v="2024-05-11T00:00:00"/>
    <s v="INR"/>
    <n v="8106451"/>
    <d v="2024-05-19T00:00:00"/>
    <s v="PAID"/>
    <s v="N"/>
    <m/>
    <n v="8106451"/>
    <n v="1"/>
    <n v="8106451"/>
    <n v="0"/>
    <n v="0"/>
    <n v="8"/>
    <x v="0"/>
  </r>
  <r>
    <x v="1210"/>
    <s v="C0169"/>
    <x v="3"/>
    <d v="2024-03-12T00:00:00"/>
    <d v="2024-04-26T00:00:00"/>
    <s v="EUR"/>
    <n v="94638.91"/>
    <d v="2024-05-03T00:00:00"/>
    <s v="PAID"/>
    <s v="Y"/>
    <n v="90.503900000000002"/>
    <n v="94638.91"/>
    <n v="90.368300000000005"/>
    <n v="8552357.4105530009"/>
    <n v="0"/>
    <n v="0"/>
    <n v="7"/>
    <x v="0"/>
  </r>
  <r>
    <x v="1211"/>
    <s v="C0234"/>
    <x v="0"/>
    <d v="2024-03-12T00:00:00"/>
    <d v="2024-05-11T00:00:00"/>
    <s v="INR"/>
    <n v="3629100"/>
    <d v="2024-05-13T00:00:00"/>
    <s v="PAID"/>
    <s v="N"/>
    <m/>
    <n v="3629100"/>
    <n v="1"/>
    <n v="3629100"/>
    <n v="0"/>
    <n v="0"/>
    <n v="2"/>
    <x v="0"/>
  </r>
  <r>
    <x v="1212"/>
    <s v="C0236"/>
    <x v="3"/>
    <d v="2024-03-12T00:00:00"/>
    <d v="2024-05-11T00:00:00"/>
    <s v="EUR"/>
    <n v="356460.41"/>
    <d v="2024-06-22T00:00:00"/>
    <s v="PAID"/>
    <s v="Y"/>
    <n v="90.549000000000007"/>
    <n v="356460.41"/>
    <n v="90.368300000000005"/>
    <n v="32212721.269003"/>
    <n v="0"/>
    <n v="0"/>
    <n v="42"/>
    <x v="0"/>
  </r>
  <r>
    <x v="1213"/>
    <s v="C0244"/>
    <x v="3"/>
    <d v="2024-03-12T00:00:00"/>
    <d v="2024-05-11T00:00:00"/>
    <s v="INR"/>
    <n v="33698638"/>
    <d v="2024-06-15T00:00:00"/>
    <s v="PAID"/>
    <s v="N"/>
    <m/>
    <n v="33698638"/>
    <n v="1"/>
    <n v="33698638"/>
    <n v="0"/>
    <n v="0"/>
    <n v="35"/>
    <x v="0"/>
  </r>
  <r>
    <x v="1214"/>
    <s v="C0013"/>
    <x v="4"/>
    <d v="2024-03-13T00:00:00"/>
    <d v="2024-04-27T00:00:00"/>
    <s v="USD"/>
    <n v="136166.57999999999"/>
    <d v="2024-05-20T00:00:00"/>
    <s v="PAID"/>
    <s v="N"/>
    <m/>
    <n v="136166.57999999999"/>
    <n v="82.81"/>
    <n v="11275954.489799999"/>
    <n v="0"/>
    <n v="0"/>
    <n v="23"/>
    <x v="0"/>
  </r>
  <r>
    <x v="1215"/>
    <s v="C0082"/>
    <x v="4"/>
    <d v="2024-03-13T00:00:00"/>
    <d v="2024-05-12T00:00:00"/>
    <s v="INR"/>
    <n v="32577149"/>
    <d v="2024-05-21T00:00:00"/>
    <s v="PAID"/>
    <s v="N"/>
    <m/>
    <n v="32577149"/>
    <n v="1"/>
    <n v="32577149"/>
    <n v="0"/>
    <n v="0"/>
    <n v="9"/>
    <x v="0"/>
  </r>
  <r>
    <x v="1216"/>
    <s v="C0090"/>
    <x v="2"/>
    <d v="2024-03-13T00:00:00"/>
    <d v="2024-06-11T00:00:00"/>
    <s v="EUR"/>
    <n v="26695.439999999999"/>
    <d v="2024-07-01T00:00:00"/>
    <s v="PAID"/>
    <s v="N"/>
    <m/>
    <n v="26695.439999999999"/>
    <n v="90.627300000000005"/>
    <n v="2419335.6495119999"/>
    <n v="0"/>
    <n v="0"/>
    <n v="20"/>
    <x v="0"/>
  </r>
  <r>
    <x v="1217"/>
    <s v="C0099"/>
    <x v="3"/>
    <d v="2024-03-13T00:00:00"/>
    <d v="2024-05-12T00:00:00"/>
    <s v="EUR"/>
    <n v="584828.51"/>
    <d v="2024-05-30T00:00:00"/>
    <s v="PAID"/>
    <s v="N"/>
    <m/>
    <n v="584828.51"/>
    <n v="90.627300000000005"/>
    <n v="53001428.824323006"/>
    <n v="0"/>
    <n v="0"/>
    <n v="18"/>
    <x v="0"/>
  </r>
  <r>
    <x v="1218"/>
    <s v="C0148"/>
    <x v="0"/>
    <d v="2024-03-13T00:00:00"/>
    <d v="2024-04-12T00:00:00"/>
    <s v="INR"/>
    <n v="3909858"/>
    <d v="2024-04-21T00:00:00"/>
    <s v="PAID"/>
    <s v="N"/>
    <m/>
    <n v="3909858"/>
    <n v="1"/>
    <n v="3909858"/>
    <n v="0"/>
    <n v="0"/>
    <n v="9"/>
    <x v="0"/>
  </r>
  <r>
    <x v="1219"/>
    <s v="C0010"/>
    <x v="1"/>
    <d v="2024-03-14T00:00:00"/>
    <d v="2024-05-13T00:00:00"/>
    <s v="USD"/>
    <n v="34933.9"/>
    <d v="2024-05-30T00:00:00"/>
    <s v="PAID"/>
    <s v="N"/>
    <m/>
    <n v="34933.9"/>
    <n v="82.82"/>
    <n v="2893225.5979999998"/>
    <n v="0"/>
    <n v="0"/>
    <n v="17"/>
    <x v="0"/>
  </r>
  <r>
    <x v="1220"/>
    <s v="C0050"/>
    <x v="0"/>
    <d v="2024-03-14T00:00:00"/>
    <d v="2024-05-13T00:00:00"/>
    <s v="INR"/>
    <n v="13224969"/>
    <d v="2024-05-13T00:00:00"/>
    <s v="PAID"/>
    <s v="N"/>
    <m/>
    <n v="13224969"/>
    <n v="1"/>
    <n v="13224969"/>
    <n v="0"/>
    <n v="0"/>
    <n v="0"/>
    <x v="0"/>
  </r>
  <r>
    <x v="1221"/>
    <s v="C0109"/>
    <x v="1"/>
    <d v="2024-03-14T00:00:00"/>
    <d v="2024-04-28T00:00:00"/>
    <s v="INR"/>
    <n v="11803234"/>
    <d v="2024-05-01T00:00:00"/>
    <s v="PAID"/>
    <s v="N"/>
    <m/>
    <n v="11803234"/>
    <n v="1"/>
    <n v="11803234"/>
    <n v="0"/>
    <n v="0"/>
    <n v="3"/>
    <x v="0"/>
  </r>
  <r>
    <x v="1222"/>
    <s v="C0161"/>
    <x v="4"/>
    <d v="2024-03-14T00:00:00"/>
    <d v="2024-06-12T00:00:00"/>
    <s v="USD"/>
    <n v="84252.02"/>
    <d v="2024-07-04T00:00:00"/>
    <s v="PAID"/>
    <s v="N"/>
    <m/>
    <n v="84252.02"/>
    <n v="82.82"/>
    <n v="6977752.2963999994"/>
    <n v="0"/>
    <n v="0"/>
    <n v="22"/>
    <x v="0"/>
  </r>
  <r>
    <x v="1223"/>
    <s v="C0019"/>
    <x v="2"/>
    <d v="2024-03-15T00:00:00"/>
    <d v="2024-06-13T00:00:00"/>
    <s v="EUR"/>
    <n v="61508.79"/>
    <d v="2024-07-01T00:00:00"/>
    <s v="PAID"/>
    <s v="Y"/>
    <n v="90.488699999999994"/>
    <n v="61508.79"/>
    <n v="90.218000000000004"/>
    <n v="5549200.0162200006"/>
    <n v="0"/>
    <n v="0"/>
    <n v="18"/>
    <x v="0"/>
  </r>
  <r>
    <x v="1224"/>
    <s v="C0111"/>
    <x v="3"/>
    <d v="2024-03-15T00:00:00"/>
    <d v="2024-06-13T00:00:00"/>
    <s v="EUR"/>
    <n v="94869.97"/>
    <d v="2024-06-26T00:00:00"/>
    <s v="PAID"/>
    <s v="Y"/>
    <n v="90.488699999999994"/>
    <n v="94869.97"/>
    <n v="90.218000000000004"/>
    <n v="8558978.9534600005"/>
    <n v="0"/>
    <n v="0"/>
    <n v="13"/>
    <x v="0"/>
  </r>
  <r>
    <x v="1225"/>
    <s v="C0211"/>
    <x v="3"/>
    <d v="2024-03-15T00:00:00"/>
    <d v="2024-04-29T00:00:00"/>
    <s v="INR"/>
    <n v="6495228"/>
    <d v="2024-05-27T00:00:00"/>
    <s v="PAID"/>
    <s v="N"/>
    <m/>
    <n v="6495228"/>
    <n v="1"/>
    <n v="6495228"/>
    <n v="0"/>
    <n v="0"/>
    <n v="28"/>
    <x v="0"/>
  </r>
  <r>
    <x v="1226"/>
    <s v="C0221"/>
    <x v="1"/>
    <d v="2024-03-15T00:00:00"/>
    <d v="2024-05-14T00:00:00"/>
    <s v="INR"/>
    <n v="8950138"/>
    <d v="2024-05-29T00:00:00"/>
    <s v="PAID"/>
    <s v="N"/>
    <m/>
    <n v="8950138"/>
    <n v="1"/>
    <n v="8950138"/>
    <n v="0"/>
    <n v="0"/>
    <n v="15"/>
    <x v="0"/>
  </r>
  <r>
    <x v="1227"/>
    <s v="C0246"/>
    <x v="4"/>
    <d v="2024-03-15T00:00:00"/>
    <d v="2024-05-14T00:00:00"/>
    <s v="USD"/>
    <n v="64226.41"/>
    <d v="2024-05-25T00:00:00"/>
    <s v="PAID"/>
    <s v="N"/>
    <m/>
    <n v="64226.41"/>
    <n v="82.86"/>
    <n v="5321800.3326000003"/>
    <n v="0"/>
    <n v="0"/>
    <n v="11"/>
    <x v="0"/>
  </r>
  <r>
    <x v="1228"/>
    <s v="C0020"/>
    <x v="2"/>
    <d v="2024-03-16T00:00:00"/>
    <d v="2024-06-14T00:00:00"/>
    <s v="USD"/>
    <n v="76551.399999999994"/>
    <m/>
    <s v="WRITTEN OFF"/>
    <s v="N"/>
    <m/>
    <n v="0"/>
    <n v="82.86"/>
    <n v="6343049.0039999997"/>
    <n v="0"/>
    <n v="0"/>
    <s v=""/>
    <x v="0"/>
  </r>
  <r>
    <x v="1229"/>
    <s v="C0173"/>
    <x v="4"/>
    <d v="2024-03-16T00:00:00"/>
    <d v="2024-05-15T00:00:00"/>
    <s v="EUR"/>
    <n v="310497.14"/>
    <d v="2024-05-26T00:00:00"/>
    <s v="PAID"/>
    <s v="Y"/>
    <n v="90.398399999999995"/>
    <n v="310497.14"/>
    <n v="90.218000000000004"/>
    <n v="28012430.976520002"/>
    <n v="0"/>
    <n v="0"/>
    <n v="11"/>
    <x v="0"/>
  </r>
  <r>
    <x v="1230"/>
    <s v="C0202"/>
    <x v="3"/>
    <d v="2024-03-16T00:00:00"/>
    <d v="2024-04-30T00:00:00"/>
    <s v="USD"/>
    <n v="46684.6"/>
    <d v="2024-05-01T00:00:00"/>
    <s v="PAID"/>
    <s v="Y"/>
    <n v="83.067099999999996"/>
    <n v="46684.6"/>
    <n v="82.86"/>
    <n v="3868285.9559999998"/>
    <n v="0"/>
    <n v="0"/>
    <n v="1"/>
    <x v="0"/>
  </r>
  <r>
    <x v="1231"/>
    <s v="C0236"/>
    <x v="3"/>
    <d v="2024-03-16T00:00:00"/>
    <d v="2024-05-15T00:00:00"/>
    <s v="EUR"/>
    <n v="83181.87"/>
    <d v="2024-06-07T00:00:00"/>
    <s v="PARTIALLY PAID"/>
    <s v="Y"/>
    <n v="90.398399999999995"/>
    <n v="62600.85"/>
    <n v="90.218000000000004"/>
    <n v="7504501.9476600001"/>
    <n v="1856778.4623599998"/>
    <n v="320"/>
    <n v="23"/>
    <x v="1"/>
  </r>
  <r>
    <x v="1232"/>
    <s v="C0214"/>
    <x v="1"/>
    <d v="2024-03-18T00:00:00"/>
    <d v="2024-04-17T00:00:00"/>
    <s v="INR"/>
    <n v="6512508"/>
    <d v="2024-04-21T00:00:00"/>
    <s v="PAID"/>
    <s v="N"/>
    <m/>
    <n v="6512508"/>
    <n v="1"/>
    <n v="6512508"/>
    <n v="0"/>
    <n v="0"/>
    <n v="4"/>
    <x v="0"/>
  </r>
  <r>
    <x v="1233"/>
    <s v="C0108"/>
    <x v="0"/>
    <d v="2024-03-19T00:00:00"/>
    <d v="2024-05-03T00:00:00"/>
    <s v="INR"/>
    <n v="3112944"/>
    <d v="2024-04-29T00:00:00"/>
    <s v="PAID"/>
    <s v="N"/>
    <m/>
    <n v="3112944"/>
    <n v="1"/>
    <n v="3112944"/>
    <n v="0"/>
    <n v="0"/>
    <n v="-4"/>
    <x v="0"/>
  </r>
  <r>
    <x v="1234"/>
    <s v="C0234"/>
    <x v="0"/>
    <d v="2024-03-19T00:00:00"/>
    <d v="2024-05-18T00:00:00"/>
    <s v="INR"/>
    <n v="2901520"/>
    <d v="2024-05-23T00:00:00"/>
    <s v="PAID"/>
    <s v="N"/>
    <m/>
    <n v="2901520"/>
    <n v="1"/>
    <n v="2901520"/>
    <n v="0"/>
    <n v="0"/>
    <n v="5"/>
    <x v="0"/>
  </r>
  <r>
    <x v="1235"/>
    <s v="C0019"/>
    <x v="2"/>
    <d v="2024-03-20T00:00:00"/>
    <d v="2024-06-18T00:00:00"/>
    <s v="EUR"/>
    <n v="153836.60999999999"/>
    <d v="2024-07-28T00:00:00"/>
    <s v="PAID"/>
    <s v="N"/>
    <m/>
    <n v="153836.60999999999"/>
    <n v="90.300200000000004"/>
    <n v="13891476.650322"/>
    <n v="0"/>
    <n v="0"/>
    <n v="40"/>
    <x v="0"/>
  </r>
  <r>
    <x v="1236"/>
    <s v="C0028"/>
    <x v="0"/>
    <d v="2024-03-20T00:00:00"/>
    <d v="2024-04-19T00:00:00"/>
    <s v="INR"/>
    <n v="3173211"/>
    <d v="2024-04-19T00:00:00"/>
    <s v="PAID"/>
    <s v="N"/>
    <m/>
    <n v="3173211"/>
    <n v="1"/>
    <n v="3173211"/>
    <n v="0"/>
    <n v="0"/>
    <n v="0"/>
    <x v="0"/>
  </r>
  <r>
    <x v="1237"/>
    <s v="C0084"/>
    <x v="0"/>
    <d v="2024-03-20T00:00:00"/>
    <d v="2024-05-04T00:00:00"/>
    <s v="INR"/>
    <n v="4194351"/>
    <d v="2024-05-03T00:00:00"/>
    <s v="PAID"/>
    <s v="N"/>
    <m/>
    <n v="4194351"/>
    <n v="1"/>
    <n v="4194351"/>
    <n v="0"/>
    <n v="0"/>
    <n v="-1"/>
    <x v="0"/>
  </r>
  <r>
    <x v="1238"/>
    <s v="C0098"/>
    <x v="1"/>
    <d v="2024-03-20T00:00:00"/>
    <d v="2024-06-18T00:00:00"/>
    <s v="INR"/>
    <n v="6404708"/>
    <d v="2024-06-26T00:00:00"/>
    <s v="PAID"/>
    <s v="N"/>
    <m/>
    <n v="6404708"/>
    <n v="1"/>
    <n v="6404708"/>
    <n v="0"/>
    <n v="0"/>
    <n v="8"/>
    <x v="0"/>
  </r>
  <r>
    <x v="1239"/>
    <s v="C0205"/>
    <x v="2"/>
    <d v="2024-03-20T00:00:00"/>
    <d v="2024-04-19T00:00:00"/>
    <s v="INR"/>
    <n v="8046517"/>
    <d v="2024-04-19T00:00:00"/>
    <s v="PAID"/>
    <s v="N"/>
    <m/>
    <n v="8046517"/>
    <n v="1"/>
    <n v="8046517"/>
    <n v="0"/>
    <n v="0"/>
    <n v="0"/>
    <x v="0"/>
  </r>
  <r>
    <x v="1240"/>
    <s v="C0073"/>
    <x v="1"/>
    <d v="2024-03-21T00:00:00"/>
    <d v="2024-04-20T00:00:00"/>
    <s v="USD"/>
    <n v="84677.4"/>
    <d v="2024-05-18T00:00:00"/>
    <s v="PAID"/>
    <s v="N"/>
    <m/>
    <n v="84677.4"/>
    <n v="83.15"/>
    <n v="7040925.8099999996"/>
    <n v="0"/>
    <n v="0"/>
    <n v="28"/>
    <x v="0"/>
  </r>
  <r>
    <x v="1241"/>
    <s v="C0225"/>
    <x v="2"/>
    <d v="2024-03-21T00:00:00"/>
    <d v="2024-05-05T00:00:00"/>
    <s v="USD"/>
    <n v="43074.02"/>
    <d v="2024-05-12T00:00:00"/>
    <s v="PAID"/>
    <s v="N"/>
    <m/>
    <n v="43074.02"/>
    <n v="83.15"/>
    <n v="3581604.7629999998"/>
    <n v="0"/>
    <n v="0"/>
    <n v="7"/>
    <x v="0"/>
  </r>
  <r>
    <x v="1242"/>
    <s v="C0228"/>
    <x v="0"/>
    <d v="2024-03-21T00:00:00"/>
    <d v="2024-05-05T00:00:00"/>
    <s v="INR"/>
    <n v="18001133"/>
    <d v="2024-06-11T00:00:00"/>
    <s v="PAID"/>
    <s v="N"/>
    <m/>
    <n v="18001133"/>
    <n v="1"/>
    <n v="18001133"/>
    <n v="0"/>
    <n v="0"/>
    <n v="37"/>
    <x v="0"/>
  </r>
  <r>
    <x v="1243"/>
    <s v="C0060"/>
    <x v="0"/>
    <d v="2024-03-22T00:00:00"/>
    <d v="2024-05-06T00:00:00"/>
    <s v="INR"/>
    <n v="9328185"/>
    <d v="2024-05-13T00:00:00"/>
    <s v="PAID"/>
    <s v="N"/>
    <m/>
    <n v="9328185"/>
    <n v="1"/>
    <n v="9328185"/>
    <n v="0"/>
    <n v="0"/>
    <n v="7"/>
    <x v="0"/>
  </r>
  <r>
    <x v="1244"/>
    <s v="C0069"/>
    <x v="2"/>
    <d v="2024-03-22T00:00:00"/>
    <d v="2024-04-21T00:00:00"/>
    <s v="INR"/>
    <n v="1204172"/>
    <d v="2024-04-27T00:00:00"/>
    <s v="PAID"/>
    <s v="N"/>
    <m/>
    <n v="1204172"/>
    <n v="1"/>
    <n v="1204172"/>
    <n v="0"/>
    <n v="0"/>
    <n v="6"/>
    <x v="0"/>
  </r>
  <r>
    <x v="1245"/>
    <s v="C0080"/>
    <x v="0"/>
    <d v="2024-03-22T00:00:00"/>
    <d v="2024-05-21T00:00:00"/>
    <s v="INR"/>
    <n v="4742469"/>
    <d v="2024-05-18T00:00:00"/>
    <s v="PAID"/>
    <s v="N"/>
    <m/>
    <n v="4742469"/>
    <n v="1"/>
    <n v="4742469"/>
    <n v="0"/>
    <n v="0"/>
    <n v="-3"/>
    <x v="0"/>
  </r>
  <r>
    <x v="1246"/>
    <s v="C0111"/>
    <x v="3"/>
    <d v="2024-03-22T00:00:00"/>
    <d v="2024-06-20T00:00:00"/>
    <s v="EUR"/>
    <n v="13936.75"/>
    <d v="2024-07-05T00:00:00"/>
    <s v="PAID"/>
    <s v="Y"/>
    <n v="90.625500000000002"/>
    <n v="13936.75"/>
    <n v="90.354399999999998"/>
    <n v="1259246.6842"/>
    <n v="0"/>
    <n v="0"/>
    <n v="15"/>
    <x v="0"/>
  </r>
  <r>
    <x v="1247"/>
    <s v="C0111"/>
    <x v="3"/>
    <d v="2024-03-22T00:00:00"/>
    <d v="2024-06-20T00:00:00"/>
    <s v="EUR"/>
    <n v="80861.77"/>
    <d v="2024-08-03T00:00:00"/>
    <s v="PAID"/>
    <s v="Y"/>
    <n v="90.625500000000002"/>
    <n v="80861.77"/>
    <n v="90.354399999999998"/>
    <n v="7306216.7112880005"/>
    <n v="0"/>
    <n v="0"/>
    <n v="44"/>
    <x v="0"/>
  </r>
  <r>
    <x v="1248"/>
    <s v="C0223"/>
    <x v="0"/>
    <d v="2024-03-22T00:00:00"/>
    <d v="2024-05-06T00:00:00"/>
    <s v="INR"/>
    <n v="6629162"/>
    <m/>
    <s v="WRITTEN OFF"/>
    <s v="N"/>
    <m/>
    <n v="0"/>
    <n v="1"/>
    <n v="6629162"/>
    <n v="0"/>
    <n v="0"/>
    <s v=""/>
    <x v="0"/>
  </r>
  <r>
    <x v="1249"/>
    <s v="C0228"/>
    <x v="0"/>
    <d v="2024-03-22T00:00:00"/>
    <d v="2024-05-06T00:00:00"/>
    <s v="INR"/>
    <n v="22853947"/>
    <d v="2024-05-13T00:00:00"/>
    <s v="PAID"/>
    <s v="N"/>
    <m/>
    <n v="22853947"/>
    <n v="1"/>
    <n v="22853947"/>
    <n v="0"/>
    <n v="0"/>
    <n v="7"/>
    <x v="0"/>
  </r>
  <r>
    <x v="1250"/>
    <s v="C0238"/>
    <x v="2"/>
    <d v="2024-03-22T00:00:00"/>
    <d v="2024-05-21T00:00:00"/>
    <s v="INR"/>
    <n v="3325299"/>
    <d v="2024-05-21T00:00:00"/>
    <s v="PAID"/>
    <s v="N"/>
    <m/>
    <n v="3325299"/>
    <n v="1"/>
    <n v="3325299"/>
    <n v="0"/>
    <n v="0"/>
    <n v="0"/>
    <x v="0"/>
  </r>
  <r>
    <x v="1251"/>
    <s v="C0046"/>
    <x v="0"/>
    <d v="2024-03-23T00:00:00"/>
    <d v="2024-04-22T00:00:00"/>
    <s v="INR"/>
    <n v="3656999"/>
    <d v="2024-04-28T00:00:00"/>
    <s v="PAID"/>
    <s v="N"/>
    <m/>
    <n v="3656999"/>
    <n v="1"/>
    <n v="3656999"/>
    <n v="0"/>
    <n v="0"/>
    <n v="6"/>
    <x v="0"/>
  </r>
  <r>
    <x v="1252"/>
    <s v="C0052"/>
    <x v="0"/>
    <d v="2024-03-23T00:00:00"/>
    <d v="2024-04-22T00:00:00"/>
    <s v="INR"/>
    <n v="11246352"/>
    <d v="2024-05-04T00:00:00"/>
    <s v="PAID"/>
    <s v="N"/>
    <m/>
    <n v="11246352"/>
    <n v="1"/>
    <n v="11246352"/>
    <n v="0"/>
    <n v="0"/>
    <n v="12"/>
    <x v="0"/>
  </r>
  <r>
    <x v="1253"/>
    <s v="C0071"/>
    <x v="1"/>
    <d v="2024-03-23T00:00:00"/>
    <d v="2024-05-22T00:00:00"/>
    <s v="USD"/>
    <n v="146177.49"/>
    <d v="2024-08-08T00:00:00"/>
    <s v="WRITTEN OFF"/>
    <s v="N"/>
    <m/>
    <n v="40878.67"/>
    <n v="83.53"/>
    <n v="12210205.739699999"/>
    <n v="0"/>
    <n v="0"/>
    <n v="78"/>
    <x v="0"/>
  </r>
  <r>
    <x v="1254"/>
    <s v="C0073"/>
    <x v="1"/>
    <d v="2024-03-23T00:00:00"/>
    <d v="2024-04-22T00:00:00"/>
    <s v="USD"/>
    <n v="39494.79"/>
    <d v="2024-04-29T00:00:00"/>
    <s v="PAID"/>
    <s v="N"/>
    <m/>
    <n v="39494.79"/>
    <n v="83.53"/>
    <n v="3298999.8086999999"/>
    <n v="0"/>
    <n v="0"/>
    <n v="7"/>
    <x v="0"/>
  </r>
  <r>
    <x v="1255"/>
    <s v="C0128"/>
    <x v="0"/>
    <d v="2024-03-23T00:00:00"/>
    <d v="2024-04-22T00:00:00"/>
    <s v="INR"/>
    <n v="1765904"/>
    <d v="2024-05-10T00:00:00"/>
    <s v="PAID"/>
    <s v="N"/>
    <m/>
    <n v="1765904"/>
    <n v="1"/>
    <n v="1765904"/>
    <n v="0"/>
    <n v="0"/>
    <n v="18"/>
    <x v="0"/>
  </r>
  <r>
    <x v="1256"/>
    <s v="C0141"/>
    <x v="1"/>
    <d v="2024-03-23T00:00:00"/>
    <d v="2024-05-22T00:00:00"/>
    <s v="INR"/>
    <n v="6735250"/>
    <d v="2024-05-16T00:00:00"/>
    <s v="PAID"/>
    <s v="N"/>
    <m/>
    <n v="6735250"/>
    <n v="1"/>
    <n v="6735250"/>
    <n v="0"/>
    <n v="0"/>
    <n v="-6"/>
    <x v="0"/>
  </r>
  <r>
    <x v="1257"/>
    <s v="C0182"/>
    <x v="0"/>
    <d v="2024-03-23T00:00:00"/>
    <d v="2024-05-22T00:00:00"/>
    <s v="INR"/>
    <n v="4640058"/>
    <d v="2024-05-22T00:00:00"/>
    <s v="PAID"/>
    <s v="N"/>
    <m/>
    <n v="4640058"/>
    <n v="1"/>
    <n v="4640058"/>
    <n v="0"/>
    <n v="0"/>
    <n v="0"/>
    <x v="0"/>
  </r>
  <r>
    <x v="1258"/>
    <s v="C0198"/>
    <x v="3"/>
    <d v="2024-03-23T00:00:00"/>
    <d v="2024-05-07T00:00:00"/>
    <s v="USD"/>
    <n v="125961.21"/>
    <d v="2024-06-05T00:00:00"/>
    <s v="PAID"/>
    <s v="Y"/>
    <n v="83.738799999999998"/>
    <n v="125961.21"/>
    <n v="83.53"/>
    <n v="10521539.871300001"/>
    <n v="0"/>
    <n v="0"/>
    <n v="29"/>
    <x v="0"/>
  </r>
  <r>
    <x v="1259"/>
    <s v="C0213"/>
    <x v="1"/>
    <d v="2024-03-23T00:00:00"/>
    <d v="2024-05-22T00:00:00"/>
    <s v="EUR"/>
    <n v="378172.88"/>
    <d v="2024-05-26T00:00:00"/>
    <s v="PAID"/>
    <s v="N"/>
    <m/>
    <n v="378172.88"/>
    <n v="90.354399999999998"/>
    <n v="34169583.668672003"/>
    <n v="0"/>
    <n v="0"/>
    <n v="4"/>
    <x v="0"/>
  </r>
  <r>
    <x v="1260"/>
    <s v="C0226"/>
    <x v="3"/>
    <d v="2024-03-23T00:00:00"/>
    <d v="2024-05-07T00:00:00"/>
    <s v="INR"/>
    <n v="4022505"/>
    <d v="2024-05-10T00:00:00"/>
    <s v="PAID"/>
    <s v="N"/>
    <m/>
    <n v="4022505"/>
    <n v="1"/>
    <n v="4022505"/>
    <n v="0"/>
    <n v="0"/>
    <n v="3"/>
    <x v="0"/>
  </r>
  <r>
    <x v="1261"/>
    <s v="C0010"/>
    <x v="1"/>
    <d v="2024-03-25T00:00:00"/>
    <d v="2024-05-24T00:00:00"/>
    <s v="USD"/>
    <n v="76900.78"/>
    <d v="2024-05-28T00:00:00"/>
    <s v="PAID"/>
    <s v="N"/>
    <m/>
    <n v="76900.78"/>
    <n v="83.42"/>
    <n v="6415063.0675999997"/>
    <n v="0"/>
    <n v="0"/>
    <n v="4"/>
    <x v="0"/>
  </r>
  <r>
    <x v="1262"/>
    <s v="C0039"/>
    <x v="0"/>
    <d v="2024-03-25T00:00:00"/>
    <d v="2024-05-24T00:00:00"/>
    <s v="INR"/>
    <n v="8476612"/>
    <d v="2024-06-02T00:00:00"/>
    <s v="PAID"/>
    <s v="N"/>
    <m/>
    <n v="8476612"/>
    <n v="1"/>
    <n v="8476612"/>
    <n v="0"/>
    <n v="0"/>
    <n v="9"/>
    <x v="0"/>
  </r>
  <r>
    <x v="1263"/>
    <s v="C0050"/>
    <x v="0"/>
    <d v="2024-03-25T00:00:00"/>
    <d v="2024-05-24T00:00:00"/>
    <s v="INR"/>
    <n v="12944345"/>
    <d v="2024-05-19T00:00:00"/>
    <s v="PAID"/>
    <s v="N"/>
    <m/>
    <n v="12944345"/>
    <n v="1"/>
    <n v="12944345"/>
    <n v="0"/>
    <n v="0"/>
    <n v="-5"/>
    <x v="0"/>
  </r>
  <r>
    <x v="1264"/>
    <s v="C0244"/>
    <x v="3"/>
    <d v="2024-03-25T00:00:00"/>
    <d v="2024-05-24T00:00:00"/>
    <s v="INR"/>
    <n v="17977868"/>
    <m/>
    <s v="WRITTEN OFF"/>
    <s v="N"/>
    <m/>
    <n v="0"/>
    <n v="1"/>
    <n v="17977868"/>
    <n v="0"/>
    <n v="0"/>
    <s v=""/>
    <x v="0"/>
  </r>
  <r>
    <x v="1265"/>
    <s v="C0071"/>
    <x v="1"/>
    <d v="2024-03-26T00:00:00"/>
    <d v="2024-05-25T00:00:00"/>
    <s v="USD"/>
    <n v="85593.17"/>
    <d v="2024-09-17T00:00:00"/>
    <s v="PAID"/>
    <s v="N"/>
    <m/>
    <n v="85593.17"/>
    <n v="83.32"/>
    <n v="7131622.924399999"/>
    <n v="0"/>
    <n v="0"/>
    <n v="115"/>
    <x v="0"/>
  </r>
  <r>
    <x v="1266"/>
    <s v="C0118"/>
    <x v="1"/>
    <d v="2024-03-26T00:00:00"/>
    <d v="2024-05-25T00:00:00"/>
    <s v="INR"/>
    <n v="2113647"/>
    <d v="2024-06-06T00:00:00"/>
    <s v="PAID"/>
    <s v="N"/>
    <m/>
    <n v="2113647"/>
    <n v="1"/>
    <n v="2113647"/>
    <n v="0"/>
    <n v="0"/>
    <n v="12"/>
    <x v="0"/>
  </r>
  <r>
    <x v="1267"/>
    <s v="C0142"/>
    <x v="4"/>
    <d v="2024-03-26T00:00:00"/>
    <d v="2024-05-25T00:00:00"/>
    <s v="EUR"/>
    <n v="59444.6"/>
    <d v="2024-06-23T00:00:00"/>
    <s v="PAID"/>
    <s v="Y"/>
    <n v="90.407700000000006"/>
    <n v="59444.6"/>
    <n v="90.227199999999996"/>
    <n v="5363519.8131200001"/>
    <n v="0"/>
    <n v="0"/>
    <n v="29"/>
    <x v="0"/>
  </r>
  <r>
    <x v="1268"/>
    <s v="C0177"/>
    <x v="3"/>
    <d v="2024-03-26T00:00:00"/>
    <d v="2024-05-25T00:00:00"/>
    <s v="EUR"/>
    <n v="613468.11"/>
    <d v="2024-06-08T00:00:00"/>
    <s v="PAID"/>
    <s v="Y"/>
    <n v="90.407700000000006"/>
    <n v="613468.11"/>
    <n v="90.227199999999996"/>
    <n v="55351509.854591995"/>
    <n v="0"/>
    <n v="0"/>
    <n v="14"/>
    <x v="0"/>
  </r>
  <r>
    <x v="1269"/>
    <s v="C0078"/>
    <x v="0"/>
    <d v="2024-03-27T00:00:00"/>
    <d v="2024-05-11T00:00:00"/>
    <s v="INR"/>
    <n v="1805804"/>
    <d v="2024-05-10T00:00:00"/>
    <s v="PARTIALLY PAID"/>
    <s v="N"/>
    <m/>
    <n v="1597366.15"/>
    <n v="1"/>
    <n v="1805804"/>
    <n v="208437.85000000009"/>
    <n v="324"/>
    <n v="-1"/>
    <x v="1"/>
  </r>
  <r>
    <x v="1270"/>
    <s v="C0082"/>
    <x v="4"/>
    <d v="2024-03-27T00:00:00"/>
    <d v="2024-05-26T00:00:00"/>
    <s v="INR"/>
    <n v="12928236"/>
    <d v="2024-06-04T00:00:00"/>
    <s v="PAID"/>
    <s v="N"/>
    <m/>
    <n v="12928236"/>
    <n v="1"/>
    <n v="12928236"/>
    <n v="0"/>
    <n v="0"/>
    <n v="9"/>
    <x v="0"/>
  </r>
  <r>
    <x v="1271"/>
    <s v="C0111"/>
    <x v="3"/>
    <d v="2024-03-27T00:00:00"/>
    <d v="2024-06-25T00:00:00"/>
    <s v="EUR"/>
    <n v="45580.78"/>
    <d v="2024-07-20T00:00:00"/>
    <s v="PAID"/>
    <s v="N"/>
    <m/>
    <n v="45580.78"/>
    <n v="90.182199999999995"/>
    <n v="4110575.0181159996"/>
    <n v="0"/>
    <n v="0"/>
    <n v="25"/>
    <x v="0"/>
  </r>
  <r>
    <x v="1272"/>
    <s v="C0060"/>
    <x v="1"/>
    <d v="2024-03-28T00:00:00"/>
    <d v="2024-05-12T00:00:00"/>
    <s v="INR"/>
    <n v="12507053"/>
    <d v="2024-05-13T00:00:00"/>
    <s v="PAID"/>
    <s v="N"/>
    <m/>
    <n v="12507053"/>
    <n v="1"/>
    <n v="12507053"/>
    <n v="0"/>
    <n v="0"/>
    <n v="1"/>
    <x v="0"/>
  </r>
  <r>
    <x v="1273"/>
    <s v="C0177"/>
    <x v="4"/>
    <d v="2024-03-28T00:00:00"/>
    <d v="2024-05-27T00:00:00"/>
    <s v="EUR"/>
    <n v="381431.82"/>
    <d v="2024-06-05T00:00:00"/>
    <s v="PARTIALLY PAID"/>
    <s v="N"/>
    <m/>
    <n v="254308.25"/>
    <n v="90.026300000000006"/>
    <n v="34338895.456866004"/>
    <n v="11444464.649891002"/>
    <n v="308"/>
    <n v="9"/>
    <x v="1"/>
  </r>
  <r>
    <x v="1274"/>
    <s v="C0228"/>
    <x v="0"/>
    <d v="2024-03-28T00:00:00"/>
    <d v="2024-05-12T00:00:00"/>
    <s v="INR"/>
    <n v="7306436"/>
    <d v="2024-05-28T00:00:00"/>
    <s v="PAID"/>
    <s v="N"/>
    <m/>
    <n v="7306436"/>
    <n v="1"/>
    <n v="7306436"/>
    <n v="0"/>
    <n v="0"/>
    <n v="16"/>
    <x v="0"/>
  </r>
  <r>
    <x v="1275"/>
    <s v="C0228"/>
    <x v="0"/>
    <d v="2024-03-28T00:00:00"/>
    <d v="2024-05-12T00:00:00"/>
    <s v="INR"/>
    <n v="12452669"/>
    <d v="2024-05-20T00:00:00"/>
    <s v="PAID"/>
    <s v="N"/>
    <m/>
    <n v="12452669"/>
    <n v="1"/>
    <n v="12452669"/>
    <n v="0"/>
    <n v="0"/>
    <n v="8"/>
    <x v="0"/>
  </r>
  <r>
    <x v="1276"/>
    <s v="C0090"/>
    <x v="2"/>
    <d v="2024-03-29T00:00:00"/>
    <d v="2024-06-27T00:00:00"/>
    <s v="EUR"/>
    <n v="28842.959999999999"/>
    <d v="2024-07-28T00:00:00"/>
    <s v="PAID"/>
    <s v="Y"/>
    <n v="90.201999999999998"/>
    <n v="28842.959999999999"/>
    <n v="89.932199999999995"/>
    <n v="2593910.8473119996"/>
    <n v="0"/>
    <n v="0"/>
    <n v="31"/>
    <x v="0"/>
  </r>
  <r>
    <x v="1277"/>
    <s v="C0091"/>
    <x v="2"/>
    <d v="2024-03-29T00:00:00"/>
    <d v="2024-05-28T00:00:00"/>
    <s v="USD"/>
    <n v="29365.79"/>
    <d v="2024-05-29T00:00:00"/>
    <s v="PAID"/>
    <s v="Y"/>
    <n v="83.617800000000003"/>
    <n v="29365.79"/>
    <n v="83.34"/>
    <n v="2447344.9386"/>
    <n v="0"/>
    <n v="0"/>
    <n v="1"/>
    <x v="0"/>
  </r>
  <r>
    <x v="1278"/>
    <s v="C0119"/>
    <x v="3"/>
    <d v="2024-03-29T00:00:00"/>
    <d v="2024-05-28T00:00:00"/>
    <s v="INR"/>
    <n v="2920961"/>
    <d v="2024-06-01T00:00:00"/>
    <s v="PAID"/>
    <s v="N"/>
    <m/>
    <n v="2920961"/>
    <n v="1"/>
    <n v="2920961"/>
    <n v="0"/>
    <n v="0"/>
    <n v="4"/>
    <x v="0"/>
  </r>
  <r>
    <x v="1279"/>
    <s v="C0119"/>
    <x v="3"/>
    <d v="2024-03-29T00:00:00"/>
    <d v="2024-05-28T00:00:00"/>
    <s v="INR"/>
    <n v="9609831"/>
    <d v="2024-05-30T00:00:00"/>
    <s v="PAID"/>
    <s v="N"/>
    <m/>
    <n v="9609831"/>
    <n v="1"/>
    <n v="9609831"/>
    <n v="0"/>
    <n v="0"/>
    <n v="2"/>
    <x v="0"/>
  </r>
  <r>
    <x v="1280"/>
    <s v="C0187"/>
    <x v="3"/>
    <d v="2024-03-29T00:00:00"/>
    <d v="2024-05-13T00:00:00"/>
    <s v="INR"/>
    <n v="7026039"/>
    <d v="2024-05-16T00:00:00"/>
    <s v="PAID"/>
    <s v="N"/>
    <m/>
    <n v="7026039"/>
    <n v="1"/>
    <n v="7026039"/>
    <n v="0"/>
    <n v="0"/>
    <n v="3"/>
    <x v="0"/>
  </r>
  <r>
    <x v="1281"/>
    <s v="C0089"/>
    <x v="0"/>
    <d v="2024-03-30T00:00:00"/>
    <d v="2024-06-28T00:00:00"/>
    <s v="USD"/>
    <n v="27983.37"/>
    <d v="2024-07-21T00:00:00"/>
    <s v="PARTIALLY PAID"/>
    <s v="Y"/>
    <n v="83.756699999999995"/>
    <n v="14095.79"/>
    <n v="83.34"/>
    <n v="2332134.0558000002"/>
    <n v="1157390.9171999998"/>
    <n v="276"/>
    <n v="23"/>
    <x v="1"/>
  </r>
  <r>
    <x v="1282"/>
    <s v="C0099"/>
    <x v="3"/>
    <d v="2024-03-30T00:00:00"/>
    <d v="2024-05-29T00:00:00"/>
    <s v="EUR"/>
    <n v="32443.99"/>
    <d v="2024-06-03T00:00:00"/>
    <s v="PAID"/>
    <s v="Y"/>
    <n v="90.112099999999998"/>
    <n v="32443.99"/>
    <n v="89.932199999999995"/>
    <n v="2917759.3974779998"/>
    <n v="0"/>
    <n v="0"/>
    <n v="5"/>
    <x v="0"/>
  </r>
  <r>
    <x v="1283"/>
    <s v="C0138"/>
    <x v="4"/>
    <d v="2024-03-30T00:00:00"/>
    <d v="2024-04-29T00:00:00"/>
    <s v="INR"/>
    <n v="2860091"/>
    <d v="2024-05-01T00:00:00"/>
    <s v="PAID"/>
    <s v="N"/>
    <m/>
    <n v="2860091"/>
    <n v="1"/>
    <n v="2860091"/>
    <n v="0"/>
    <n v="0"/>
    <n v="2"/>
    <x v="0"/>
  </r>
  <r>
    <x v="1284"/>
    <s v="C0165"/>
    <x v="3"/>
    <d v="2024-03-30T00:00:00"/>
    <d v="2024-04-29T00:00:00"/>
    <s v="USD"/>
    <n v="112742.9"/>
    <d v="2024-04-29T00:00:00"/>
    <s v="PARTIALLY PAID"/>
    <s v="Y"/>
    <n v="83.478899999999996"/>
    <n v="96859.16"/>
    <n v="83.34"/>
    <n v="9395993.2860000003"/>
    <n v="1323750.8915999993"/>
    <n v="336"/>
    <n v="0"/>
    <x v="1"/>
  </r>
  <r>
    <x v="1285"/>
    <s v="C0228"/>
    <x v="0"/>
    <d v="2024-03-30T00:00:00"/>
    <d v="2024-05-14T00:00:00"/>
    <s v="INR"/>
    <n v="4738080"/>
    <d v="2024-05-25T00:00:00"/>
    <s v="PAID"/>
    <s v="N"/>
    <m/>
    <n v="4738080"/>
    <n v="1"/>
    <n v="4738080"/>
    <n v="0"/>
    <n v="0"/>
    <n v="11"/>
    <x v="0"/>
  </r>
  <r>
    <x v="1286"/>
    <s v="C0236"/>
    <x v="3"/>
    <d v="2024-03-30T00:00:00"/>
    <d v="2024-05-29T00:00:00"/>
    <s v="EUR"/>
    <n v="66274.240000000005"/>
    <d v="2024-07-25T00:00:00"/>
    <s v="PAID"/>
    <s v="Y"/>
    <n v="90.112099999999998"/>
    <n v="66274.240000000005"/>
    <n v="89.932199999999995"/>
    <n v="5960188.2065280005"/>
    <n v="0"/>
    <n v="0"/>
    <n v="57"/>
    <x v="0"/>
  </r>
  <r>
    <x v="1287"/>
    <s v="C0203"/>
    <x v="0"/>
    <d v="2024-04-02T00:00:00"/>
    <d v="2024-05-17T00:00:00"/>
    <s v="INR"/>
    <n v="6378565"/>
    <d v="2024-05-25T00:00:00"/>
    <s v="PAID"/>
    <s v="N"/>
    <m/>
    <n v="6378565"/>
    <n v="1"/>
    <n v="6378565"/>
    <n v="0"/>
    <n v="0"/>
    <n v="8"/>
    <x v="0"/>
  </r>
  <r>
    <x v="1288"/>
    <s v="C0228"/>
    <x v="3"/>
    <d v="2024-04-02T00:00:00"/>
    <d v="2024-05-17T00:00:00"/>
    <s v="INR"/>
    <n v="6127429"/>
    <d v="2024-05-25T00:00:00"/>
    <s v="PAID"/>
    <s v="N"/>
    <m/>
    <n v="6127429"/>
    <n v="1"/>
    <n v="6127429"/>
    <n v="0"/>
    <n v="0"/>
    <n v="8"/>
    <x v="0"/>
  </r>
  <r>
    <x v="1289"/>
    <s v="C0039"/>
    <x v="0"/>
    <d v="2024-04-03T00:00:00"/>
    <d v="2024-06-02T00:00:00"/>
    <s v="INR"/>
    <n v="6820721"/>
    <d v="2024-06-10T00:00:00"/>
    <s v="PAID"/>
    <s v="N"/>
    <m/>
    <n v="6820721"/>
    <n v="1"/>
    <n v="6820721"/>
    <n v="0"/>
    <n v="0"/>
    <n v="8"/>
    <x v="0"/>
  </r>
  <r>
    <x v="1290"/>
    <s v="C0111"/>
    <x v="3"/>
    <d v="2024-04-03T00:00:00"/>
    <d v="2024-07-02T00:00:00"/>
    <s v="EUR"/>
    <n v="57619.62"/>
    <d v="2024-07-09T00:00:00"/>
    <s v="PAID"/>
    <s v="Y"/>
    <n v="90.600700000000003"/>
    <n v="57619.62"/>
    <n v="90.329700000000003"/>
    <n v="5204762.9887140002"/>
    <n v="0"/>
    <n v="0"/>
    <n v="7"/>
    <x v="0"/>
  </r>
  <r>
    <x v="1291"/>
    <s v="C0004"/>
    <x v="0"/>
    <d v="2024-04-04T00:00:00"/>
    <d v="2024-05-19T00:00:00"/>
    <s v="INR"/>
    <n v="8816088"/>
    <d v="2024-05-19T00:00:00"/>
    <s v="PARTIALLY PAID"/>
    <s v="N"/>
    <m/>
    <n v="5310432.8899999997"/>
    <n v="1"/>
    <n v="8816088"/>
    <n v="3505655.1100000003"/>
    <n v="316"/>
    <n v="0"/>
    <x v="1"/>
  </r>
  <r>
    <x v="1292"/>
    <s v="C0019"/>
    <x v="2"/>
    <d v="2024-04-04T00:00:00"/>
    <d v="2024-07-03T00:00:00"/>
    <s v="EUR"/>
    <n v="18818.86"/>
    <d v="2024-07-14T00:00:00"/>
    <s v="PAID"/>
    <s v="N"/>
    <m/>
    <n v="18818.86"/>
    <n v="90.657600000000002"/>
    <n v="1706072.682336"/>
    <n v="0"/>
    <n v="0"/>
    <n v="11"/>
    <x v="0"/>
  </r>
  <r>
    <x v="1293"/>
    <s v="C0006"/>
    <x v="3"/>
    <d v="2024-04-05T00:00:00"/>
    <d v="2024-05-05T00:00:00"/>
    <s v="EUR"/>
    <n v="128866.13"/>
    <d v="2024-05-25T00:00:00"/>
    <s v="PAID"/>
    <s v="Y"/>
    <n v="90.385000000000005"/>
    <n v="128866.13"/>
    <n v="90.294700000000006"/>
    <n v="11635928.548511"/>
    <n v="0"/>
    <n v="0"/>
    <n v="20"/>
    <x v="0"/>
  </r>
  <r>
    <x v="1294"/>
    <s v="C0112"/>
    <x v="4"/>
    <d v="2024-04-05T00:00:00"/>
    <d v="2024-05-20T00:00:00"/>
    <s v="INR"/>
    <n v="4228155"/>
    <d v="2024-08-27T00:00:00"/>
    <s v="PAID"/>
    <s v="N"/>
    <m/>
    <n v="4228155"/>
    <n v="1"/>
    <n v="4228155"/>
    <n v="0"/>
    <n v="0"/>
    <n v="99"/>
    <x v="0"/>
  </r>
  <r>
    <x v="1295"/>
    <s v="C0180"/>
    <x v="1"/>
    <d v="2024-04-05T00:00:00"/>
    <d v="2024-05-20T00:00:00"/>
    <s v="USD"/>
    <n v="248203.97"/>
    <d v="2024-11-06T00:00:00"/>
    <s v="PAID"/>
    <s v="N"/>
    <m/>
    <n v="248203.97"/>
    <n v="83.29"/>
    <n v="20672908.6613"/>
    <n v="0"/>
    <n v="0"/>
    <n v="170"/>
    <x v="0"/>
  </r>
  <r>
    <x v="1296"/>
    <s v="C0009"/>
    <x v="3"/>
    <d v="2024-04-06T00:00:00"/>
    <d v="2024-06-05T00:00:00"/>
    <s v="INR"/>
    <n v="16585856"/>
    <d v="2024-05-31T00:00:00"/>
    <s v="PAID"/>
    <s v="N"/>
    <m/>
    <n v="16585856"/>
    <n v="1"/>
    <n v="16585856"/>
    <n v="0"/>
    <n v="0"/>
    <n v="-5"/>
    <x v="0"/>
  </r>
  <r>
    <x v="1297"/>
    <s v="C0061"/>
    <x v="0"/>
    <d v="2024-04-06T00:00:00"/>
    <d v="2024-07-05T00:00:00"/>
    <s v="INR"/>
    <n v="1973948"/>
    <d v="2024-07-04T00:00:00"/>
    <s v="PAID"/>
    <s v="N"/>
    <m/>
    <n v="1973948"/>
    <n v="1"/>
    <n v="1973948"/>
    <n v="0"/>
    <n v="0"/>
    <n v="-1"/>
    <x v="0"/>
  </r>
  <r>
    <x v="1298"/>
    <s v="C0109"/>
    <x v="1"/>
    <d v="2024-04-06T00:00:00"/>
    <d v="2024-05-21T00:00:00"/>
    <s v="INR"/>
    <n v="5015457"/>
    <d v="2024-05-27T00:00:00"/>
    <s v="PAID"/>
    <s v="N"/>
    <m/>
    <n v="5015457"/>
    <n v="1"/>
    <n v="5015457"/>
    <n v="0"/>
    <n v="0"/>
    <n v="6"/>
    <x v="0"/>
  </r>
  <r>
    <x v="1299"/>
    <s v="C0142"/>
    <x v="4"/>
    <d v="2024-04-06T00:00:00"/>
    <d v="2024-06-05T00:00:00"/>
    <s v="EUR"/>
    <n v="42377.51"/>
    <d v="2024-06-14T00:00:00"/>
    <s v="PAID"/>
    <s v="N"/>
    <m/>
    <n v="42377.51"/>
    <n v="90.294700000000006"/>
    <n v="3826464.5521970005"/>
    <n v="0"/>
    <n v="0"/>
    <n v="9"/>
    <x v="0"/>
  </r>
  <r>
    <x v="1300"/>
    <s v="C0218"/>
    <x v="3"/>
    <d v="2024-04-06T00:00:00"/>
    <d v="2024-05-21T00:00:00"/>
    <s v="INR"/>
    <n v="4308990"/>
    <d v="2024-06-10T00:00:00"/>
    <s v="PAID"/>
    <s v="N"/>
    <m/>
    <n v="4308990"/>
    <n v="1"/>
    <n v="4308990"/>
    <n v="0"/>
    <n v="0"/>
    <n v="20"/>
    <x v="0"/>
  </r>
  <r>
    <x v="1301"/>
    <s v="C0229"/>
    <x v="3"/>
    <d v="2024-04-06T00:00:00"/>
    <d v="2024-07-05T00:00:00"/>
    <s v="USD"/>
    <n v="98608.89"/>
    <d v="2024-07-09T00:00:00"/>
    <s v="PAID"/>
    <s v="Y"/>
    <n v="83.706500000000005"/>
    <n v="98608.89"/>
    <n v="83.29"/>
    <n v="8213134.4481000006"/>
    <n v="0"/>
    <n v="0"/>
    <n v="4"/>
    <x v="0"/>
  </r>
  <r>
    <x v="1302"/>
    <s v="C0054"/>
    <x v="4"/>
    <d v="2024-04-08T00:00:00"/>
    <d v="2024-06-07T00:00:00"/>
    <s v="EUR"/>
    <n v="107963.52"/>
    <d v="2024-06-23T00:00:00"/>
    <s v="PAID"/>
    <s v="N"/>
    <m/>
    <n v="107963.52"/>
    <n v="90.351200000000006"/>
    <n v="9754633.5882240012"/>
    <n v="0"/>
    <n v="0"/>
    <n v="16"/>
    <x v="0"/>
  </r>
  <r>
    <x v="1303"/>
    <s v="C0133"/>
    <x v="1"/>
    <d v="2024-04-08T00:00:00"/>
    <d v="2024-07-07T00:00:00"/>
    <s v="USD"/>
    <n v="76967.78"/>
    <d v="2024-07-13T00:00:00"/>
    <s v="PAID"/>
    <s v="N"/>
    <m/>
    <n v="76967.78"/>
    <n v="83.25"/>
    <n v="6407567.6849999996"/>
    <n v="0"/>
    <n v="0"/>
    <n v="6"/>
    <x v="0"/>
  </r>
  <r>
    <x v="1304"/>
    <s v="C0146"/>
    <x v="3"/>
    <d v="2024-04-08T00:00:00"/>
    <d v="2024-06-07T00:00:00"/>
    <s v="USD"/>
    <n v="49210.63"/>
    <d v="2024-06-14T00:00:00"/>
    <s v="PAID"/>
    <s v="N"/>
    <m/>
    <n v="49210.63"/>
    <n v="83.25"/>
    <n v="4096784.9474999998"/>
    <n v="0"/>
    <n v="0"/>
    <n v="7"/>
    <x v="0"/>
  </r>
  <r>
    <x v="1305"/>
    <s v="C0198"/>
    <x v="3"/>
    <d v="2024-04-08T00:00:00"/>
    <d v="2024-05-23T00:00:00"/>
    <s v="USD"/>
    <n v="131005.2"/>
    <d v="2024-06-17T00:00:00"/>
    <s v="PAID"/>
    <s v="Y"/>
    <n v="83.458100000000002"/>
    <n v="131005.2"/>
    <n v="83.25"/>
    <n v="10906182.9"/>
    <n v="0"/>
    <n v="0"/>
    <n v="25"/>
    <x v="0"/>
  </r>
  <r>
    <x v="1306"/>
    <s v="C0134"/>
    <x v="0"/>
    <d v="2024-04-09T00:00:00"/>
    <d v="2024-07-08T00:00:00"/>
    <s v="INR"/>
    <n v="4707412"/>
    <d v="2024-07-15T00:00:00"/>
    <s v="PAID"/>
    <s v="N"/>
    <m/>
    <n v="4707412"/>
    <n v="1"/>
    <n v="4707412"/>
    <n v="0"/>
    <n v="0"/>
    <n v="7"/>
    <x v="0"/>
  </r>
  <r>
    <x v="1307"/>
    <s v="C0148"/>
    <x v="0"/>
    <d v="2024-04-09T00:00:00"/>
    <d v="2024-05-09T00:00:00"/>
    <s v="INR"/>
    <n v="5440397"/>
    <d v="2024-05-05T00:00:00"/>
    <s v="PAID"/>
    <s v="N"/>
    <m/>
    <n v="5440397"/>
    <n v="1"/>
    <n v="5440397"/>
    <n v="0"/>
    <n v="0"/>
    <n v="-4"/>
    <x v="0"/>
  </r>
  <r>
    <x v="1308"/>
    <s v="C0169"/>
    <x v="3"/>
    <d v="2024-04-09T00:00:00"/>
    <d v="2024-05-24T00:00:00"/>
    <s v="EUR"/>
    <n v="7200.58"/>
    <d v="2024-05-31T00:00:00"/>
    <s v="PAID"/>
    <s v="Y"/>
    <n v="90.435699999999997"/>
    <n v="7200.58"/>
    <n v="90.300200000000004"/>
    <n v="650213.81411599996"/>
    <n v="0"/>
    <n v="0"/>
    <n v="7"/>
    <x v="0"/>
  </r>
  <r>
    <x v="1309"/>
    <s v="C0216"/>
    <x v="1"/>
    <d v="2024-04-09T00:00:00"/>
    <d v="2024-06-08T00:00:00"/>
    <s v="USD"/>
    <n v="89711.96"/>
    <d v="2024-06-19T00:00:00"/>
    <s v="PAID"/>
    <s v="Y"/>
    <n v="83.457300000000004"/>
    <n v="89711.96"/>
    <n v="83.18"/>
    <n v="7462240.8328000009"/>
    <n v="0"/>
    <n v="0"/>
    <n v="11"/>
    <x v="0"/>
  </r>
  <r>
    <x v="1310"/>
    <s v="C0218"/>
    <x v="3"/>
    <d v="2024-04-09T00:00:00"/>
    <d v="2024-05-24T00:00:00"/>
    <s v="INR"/>
    <n v="21022662"/>
    <d v="2024-06-17T00:00:00"/>
    <s v="PAID"/>
    <s v="N"/>
    <m/>
    <n v="21022662"/>
    <n v="1"/>
    <n v="21022662"/>
    <n v="0"/>
    <n v="0"/>
    <n v="24"/>
    <x v="0"/>
  </r>
  <r>
    <x v="1311"/>
    <s v="C0004"/>
    <x v="0"/>
    <d v="2024-04-10T00:00:00"/>
    <d v="2024-05-25T00:00:00"/>
    <s v="INR"/>
    <n v="7058692"/>
    <d v="2024-05-29T00:00:00"/>
    <s v="PAID"/>
    <s v="N"/>
    <m/>
    <n v="7058692"/>
    <n v="1"/>
    <n v="7058692"/>
    <n v="0"/>
    <n v="0"/>
    <n v="4"/>
    <x v="0"/>
  </r>
  <r>
    <x v="1312"/>
    <s v="C0004"/>
    <x v="0"/>
    <d v="2024-04-10T00:00:00"/>
    <d v="2024-05-25T00:00:00"/>
    <s v="INR"/>
    <n v="4907741"/>
    <d v="2024-06-10T00:00:00"/>
    <s v="PAID"/>
    <s v="N"/>
    <m/>
    <n v="4907741"/>
    <n v="1"/>
    <n v="4907741"/>
    <n v="0"/>
    <n v="0"/>
    <n v="16"/>
    <x v="0"/>
  </r>
  <r>
    <x v="1313"/>
    <s v="C0161"/>
    <x v="3"/>
    <d v="2024-04-10T00:00:00"/>
    <d v="2024-07-09T00:00:00"/>
    <s v="USD"/>
    <n v="87885.01"/>
    <d v="2024-07-24T00:00:00"/>
    <s v="PAID"/>
    <s v="N"/>
    <m/>
    <n v="87885.01"/>
    <n v="83.37"/>
    <n v="7326973.2836999996"/>
    <n v="0"/>
    <n v="0"/>
    <n v="15"/>
    <x v="0"/>
  </r>
  <r>
    <x v="1314"/>
    <s v="C0218"/>
    <x v="3"/>
    <d v="2024-04-10T00:00:00"/>
    <d v="2024-05-25T00:00:00"/>
    <s v="INR"/>
    <n v="15058476"/>
    <d v="2024-06-05T00:00:00"/>
    <s v="PAID"/>
    <s v="N"/>
    <m/>
    <n v="15058476"/>
    <n v="1"/>
    <n v="15058476"/>
    <n v="0"/>
    <n v="0"/>
    <n v="11"/>
    <x v="0"/>
  </r>
  <r>
    <x v="1315"/>
    <s v="C0075"/>
    <x v="1"/>
    <d v="2024-04-11T00:00:00"/>
    <d v="2024-05-11T00:00:00"/>
    <s v="INR"/>
    <n v="7787746"/>
    <d v="2024-07-07T00:00:00"/>
    <s v="PAID"/>
    <s v="N"/>
    <m/>
    <n v="7787746"/>
    <n v="1"/>
    <n v="7787746"/>
    <n v="0"/>
    <n v="0"/>
    <n v="57"/>
    <x v="0"/>
  </r>
  <r>
    <x v="1316"/>
    <s v="C0109"/>
    <x v="1"/>
    <d v="2024-04-11T00:00:00"/>
    <d v="2024-05-26T00:00:00"/>
    <s v="INR"/>
    <n v="6152917"/>
    <d v="2024-06-02T00:00:00"/>
    <s v="PAID"/>
    <s v="N"/>
    <m/>
    <n v="6152917"/>
    <n v="1"/>
    <n v="6152917"/>
    <n v="0"/>
    <n v="0"/>
    <n v="7"/>
    <x v="0"/>
  </r>
  <r>
    <x v="1317"/>
    <s v="C0118"/>
    <x v="1"/>
    <d v="2024-04-11T00:00:00"/>
    <d v="2024-06-10T00:00:00"/>
    <s v="INR"/>
    <n v="4118565"/>
    <m/>
    <s v="WRITTEN OFF"/>
    <s v="N"/>
    <m/>
    <n v="0"/>
    <n v="1"/>
    <n v="4118565"/>
    <n v="0"/>
    <n v="0"/>
    <s v=""/>
    <x v="0"/>
  </r>
  <r>
    <x v="1318"/>
    <s v="C0242"/>
    <x v="0"/>
    <d v="2024-04-11T00:00:00"/>
    <d v="2024-06-10T00:00:00"/>
    <s v="EUR"/>
    <n v="49289.42"/>
    <d v="2024-06-23T00:00:00"/>
    <s v="PAID"/>
    <s v="N"/>
    <m/>
    <n v="49289.42"/>
    <n v="89.196299999999994"/>
    <n v="4396433.8931459999"/>
    <n v="0"/>
    <n v="0"/>
    <n v="13"/>
    <x v="0"/>
  </r>
  <r>
    <x v="1319"/>
    <s v="C0236"/>
    <x v="3"/>
    <d v="2024-04-12T00:00:00"/>
    <d v="2024-06-11T00:00:00"/>
    <s v="EUR"/>
    <n v="156293.85"/>
    <d v="2024-08-19T00:00:00"/>
    <s v="PAID"/>
    <s v="Y"/>
    <n v="89.176299999999998"/>
    <n v="156293.85"/>
    <n v="88.9983"/>
    <n v="13909886.950455001"/>
    <n v="0"/>
    <n v="0"/>
    <n v="69"/>
    <x v="0"/>
  </r>
  <r>
    <x v="1320"/>
    <s v="C0016"/>
    <x v="1"/>
    <d v="2024-04-13T00:00:00"/>
    <d v="2024-05-13T00:00:00"/>
    <s v="INR"/>
    <n v="6666406"/>
    <d v="2024-06-01T00:00:00"/>
    <s v="PAID"/>
    <s v="N"/>
    <m/>
    <n v="6666406"/>
    <n v="1"/>
    <n v="6666406"/>
    <n v="0"/>
    <n v="0"/>
    <n v="19"/>
    <x v="0"/>
  </r>
  <r>
    <x v="1321"/>
    <s v="C0049"/>
    <x v="3"/>
    <d v="2024-04-13T00:00:00"/>
    <d v="2024-05-13T00:00:00"/>
    <s v="INR"/>
    <n v="1342619"/>
    <d v="2024-05-09T00:00:00"/>
    <s v="PAID"/>
    <s v="N"/>
    <m/>
    <n v="1342619"/>
    <n v="1"/>
    <n v="1342619"/>
    <n v="0"/>
    <n v="0"/>
    <n v="-4"/>
    <x v="0"/>
  </r>
  <r>
    <x v="1322"/>
    <s v="C0144"/>
    <x v="0"/>
    <d v="2024-04-13T00:00:00"/>
    <d v="2024-05-28T00:00:00"/>
    <s v="INR"/>
    <n v="7112849"/>
    <d v="2024-05-23T00:00:00"/>
    <s v="PAID"/>
    <s v="N"/>
    <m/>
    <n v="7112849"/>
    <n v="1"/>
    <n v="7112849"/>
    <n v="0"/>
    <n v="0"/>
    <n v="-5"/>
    <x v="0"/>
  </r>
  <r>
    <x v="1323"/>
    <s v="C0146"/>
    <x v="3"/>
    <d v="2024-04-13T00:00:00"/>
    <d v="2024-06-12T00:00:00"/>
    <s v="USD"/>
    <n v="84570.21"/>
    <d v="2024-06-11T00:00:00"/>
    <s v="PAID"/>
    <s v="N"/>
    <m/>
    <n v="84570.21"/>
    <n v="83.59"/>
    <n v="7069223.8539000005"/>
    <n v="0"/>
    <n v="0"/>
    <n v="-1"/>
    <x v="0"/>
  </r>
  <r>
    <x v="1324"/>
    <s v="C0167"/>
    <x v="4"/>
    <d v="2024-04-13T00:00:00"/>
    <d v="2024-05-13T00:00:00"/>
    <s v="INR"/>
    <n v="1338572"/>
    <d v="2024-05-29T00:00:00"/>
    <s v="PAID"/>
    <s v="N"/>
    <m/>
    <n v="1338572"/>
    <n v="1"/>
    <n v="1338572"/>
    <n v="0"/>
    <n v="0"/>
    <n v="16"/>
    <x v="0"/>
  </r>
  <r>
    <x v="1325"/>
    <s v="C0223"/>
    <x v="0"/>
    <d v="2024-04-13T00:00:00"/>
    <d v="2024-05-28T00:00:00"/>
    <s v="INR"/>
    <n v="10235633"/>
    <m/>
    <s v="WRITTEN OFF"/>
    <s v="N"/>
    <m/>
    <n v="0"/>
    <n v="1"/>
    <n v="10235633"/>
    <n v="0"/>
    <n v="0"/>
    <s v=""/>
    <x v="0"/>
  </r>
  <r>
    <x v="1326"/>
    <s v="C0238"/>
    <x v="2"/>
    <d v="2024-04-13T00:00:00"/>
    <d v="2024-06-12T00:00:00"/>
    <s v="INR"/>
    <n v="6799550"/>
    <d v="2024-06-21T00:00:00"/>
    <s v="PAID"/>
    <s v="N"/>
    <m/>
    <n v="6799550"/>
    <n v="1"/>
    <n v="6799550"/>
    <n v="0"/>
    <n v="0"/>
    <n v="9"/>
    <x v="0"/>
  </r>
  <r>
    <x v="1327"/>
    <s v="C0111"/>
    <x v="3"/>
    <d v="2024-04-15T00:00:00"/>
    <d v="2024-07-14T00:00:00"/>
    <s v="EUR"/>
    <n v="37123.33"/>
    <m/>
    <s v="WRITTEN OFF"/>
    <s v="N"/>
    <m/>
    <n v="0"/>
    <n v="88.856099999999998"/>
    <n v="3298634.3228130001"/>
    <n v="0"/>
    <n v="0"/>
    <s v=""/>
    <x v="0"/>
  </r>
  <r>
    <x v="1328"/>
    <s v="C0141"/>
    <x v="3"/>
    <d v="2024-04-15T00:00:00"/>
    <d v="2024-06-14T00:00:00"/>
    <s v="INR"/>
    <n v="10546961"/>
    <d v="2024-07-01T00:00:00"/>
    <s v="PARTIALLY PAID"/>
    <s v="N"/>
    <m/>
    <n v="6953209.5499999998"/>
    <n v="1"/>
    <n v="10546961"/>
    <n v="3593751.45"/>
    <n v="290"/>
    <n v="17"/>
    <x v="1"/>
  </r>
  <r>
    <x v="1329"/>
    <s v="C0212"/>
    <x v="2"/>
    <d v="2024-04-15T00:00:00"/>
    <d v="2024-07-14T00:00:00"/>
    <s v="INR"/>
    <n v="5004223"/>
    <d v="2024-07-16T00:00:00"/>
    <s v="PAID"/>
    <s v="N"/>
    <m/>
    <n v="5004223"/>
    <n v="1"/>
    <n v="5004223"/>
    <n v="0"/>
    <n v="0"/>
    <n v="2"/>
    <x v="0"/>
  </r>
  <r>
    <x v="1330"/>
    <s v="C0006"/>
    <x v="1"/>
    <d v="2024-04-16T00:00:00"/>
    <d v="2024-05-16T00:00:00"/>
    <s v="EUR"/>
    <n v="62014.26"/>
    <d v="2024-05-30T00:00:00"/>
    <s v="PAID"/>
    <s v="N"/>
    <m/>
    <n v="62014.26"/>
    <n v="88.786299999999997"/>
    <n v="5506016.6926379995"/>
    <n v="0"/>
    <n v="0"/>
    <n v="14"/>
    <x v="0"/>
  </r>
  <r>
    <x v="1331"/>
    <s v="C0055"/>
    <x v="1"/>
    <d v="2024-04-16T00:00:00"/>
    <d v="2024-05-31T00:00:00"/>
    <s v="INR"/>
    <n v="2948107"/>
    <d v="2024-06-02T00:00:00"/>
    <s v="PAID"/>
    <s v="N"/>
    <m/>
    <n v="2948107"/>
    <n v="1"/>
    <n v="2948107"/>
    <n v="0"/>
    <n v="0"/>
    <n v="2"/>
    <x v="0"/>
  </r>
  <r>
    <x v="1332"/>
    <s v="C0146"/>
    <x v="3"/>
    <d v="2024-04-16T00:00:00"/>
    <d v="2024-06-15T00:00:00"/>
    <s v="USD"/>
    <n v="63839.77"/>
    <d v="2024-06-23T00:00:00"/>
    <s v="PAID"/>
    <s v="Y"/>
    <n v="83.8185"/>
    <n v="63839.77"/>
    <n v="83.54"/>
    <n v="5333174.3858000003"/>
    <n v="0"/>
    <n v="0"/>
    <n v="8"/>
    <x v="0"/>
  </r>
  <r>
    <x v="1333"/>
    <s v="C0189"/>
    <x v="1"/>
    <d v="2024-04-16T00:00:00"/>
    <d v="2024-05-31T00:00:00"/>
    <s v="INR"/>
    <n v="20067614"/>
    <d v="2024-07-14T00:00:00"/>
    <s v="PAID"/>
    <s v="N"/>
    <m/>
    <n v="20067614"/>
    <n v="1"/>
    <n v="20067614"/>
    <n v="0"/>
    <n v="0"/>
    <n v="44"/>
    <x v="0"/>
  </r>
  <r>
    <x v="1334"/>
    <s v="C0244"/>
    <x v="3"/>
    <d v="2024-04-16T00:00:00"/>
    <d v="2024-06-15T00:00:00"/>
    <s v="INR"/>
    <n v="16125197"/>
    <d v="2024-07-25T00:00:00"/>
    <s v="PAID"/>
    <s v="N"/>
    <m/>
    <n v="16125197"/>
    <n v="1"/>
    <n v="16125197"/>
    <n v="0"/>
    <n v="0"/>
    <n v="40"/>
    <x v="0"/>
  </r>
  <r>
    <x v="1335"/>
    <s v="C0244"/>
    <x v="3"/>
    <d v="2024-04-16T00:00:00"/>
    <d v="2024-06-15T00:00:00"/>
    <s v="INR"/>
    <n v="2159753"/>
    <d v="2024-07-20T00:00:00"/>
    <s v="PAID"/>
    <s v="N"/>
    <m/>
    <n v="2159753"/>
    <n v="1"/>
    <n v="2159753"/>
    <n v="0"/>
    <n v="0"/>
    <n v="35"/>
    <x v="0"/>
  </r>
  <r>
    <x v="1336"/>
    <s v="C0106"/>
    <x v="3"/>
    <d v="2024-04-17T00:00:00"/>
    <d v="2024-06-01T00:00:00"/>
    <s v="USD"/>
    <n v="137007.75"/>
    <d v="2024-06-03T00:00:00"/>
    <s v="PAID"/>
    <s v="Y"/>
    <n v="83.748900000000006"/>
    <n v="137007.75"/>
    <n v="83.54"/>
    <n v="11445627.435000001"/>
    <n v="0"/>
    <n v="0"/>
    <n v="2"/>
    <x v="0"/>
  </r>
  <r>
    <x v="1337"/>
    <s v="C0180"/>
    <x v="1"/>
    <d v="2024-04-17T00:00:00"/>
    <d v="2024-06-01T00:00:00"/>
    <s v="USD"/>
    <n v="149087.29"/>
    <m/>
    <s v="WRITTEN OFF"/>
    <s v="N"/>
    <m/>
    <n v="0"/>
    <n v="83.54"/>
    <n v="12454752.206600001"/>
    <n v="0"/>
    <n v="0"/>
    <s v=""/>
    <x v="0"/>
  </r>
  <r>
    <x v="1338"/>
    <s v="C0219"/>
    <x v="2"/>
    <d v="2024-04-17T00:00:00"/>
    <d v="2024-05-17T00:00:00"/>
    <s v="INR"/>
    <n v="20424399"/>
    <d v="2024-05-17T00:00:00"/>
    <s v="PAID"/>
    <s v="N"/>
    <m/>
    <n v="20424399"/>
    <n v="1"/>
    <n v="20424399"/>
    <n v="0"/>
    <n v="0"/>
    <n v="0"/>
    <x v="0"/>
  </r>
  <r>
    <x v="1339"/>
    <s v="C0238"/>
    <x v="2"/>
    <d v="2024-04-17T00:00:00"/>
    <d v="2024-06-16T00:00:00"/>
    <s v="INR"/>
    <n v="3909256"/>
    <d v="2024-06-21T00:00:00"/>
    <s v="PAID"/>
    <s v="N"/>
    <m/>
    <n v="3909256"/>
    <n v="1"/>
    <n v="3909256"/>
    <n v="0"/>
    <n v="0"/>
    <n v="5"/>
    <x v="0"/>
  </r>
  <r>
    <x v="1340"/>
    <s v="C0003"/>
    <x v="0"/>
    <d v="2024-04-18T00:00:00"/>
    <d v="2024-06-02T00:00:00"/>
    <s v="INR"/>
    <n v="7584688"/>
    <d v="2024-06-30T00:00:00"/>
    <s v="PAID"/>
    <s v="N"/>
    <m/>
    <n v="7584688"/>
    <n v="1"/>
    <n v="7584688"/>
    <n v="0"/>
    <n v="0"/>
    <n v="28"/>
    <x v="0"/>
  </r>
  <r>
    <x v="1341"/>
    <s v="C0024"/>
    <x v="3"/>
    <d v="2024-04-18T00:00:00"/>
    <d v="2024-05-18T00:00:00"/>
    <s v="INR"/>
    <n v="14484831"/>
    <d v="2024-05-15T00:00:00"/>
    <s v="PAID"/>
    <s v="N"/>
    <m/>
    <n v="14484831"/>
    <n v="1"/>
    <n v="14484831"/>
    <n v="0"/>
    <n v="0"/>
    <n v="-3"/>
    <x v="0"/>
  </r>
  <r>
    <x v="1342"/>
    <s v="C0049"/>
    <x v="3"/>
    <d v="2024-04-18T00:00:00"/>
    <d v="2024-05-18T00:00:00"/>
    <s v="INR"/>
    <n v="4794501"/>
    <d v="2024-05-20T00:00:00"/>
    <s v="PAID"/>
    <s v="N"/>
    <m/>
    <n v="4794501"/>
    <n v="1"/>
    <n v="4794501"/>
    <n v="0"/>
    <n v="0"/>
    <n v="2"/>
    <x v="0"/>
  </r>
  <r>
    <x v="1343"/>
    <s v="C0080"/>
    <x v="0"/>
    <d v="2024-04-18T00:00:00"/>
    <d v="2024-06-17T00:00:00"/>
    <s v="INR"/>
    <n v="2261466"/>
    <d v="2024-06-30T00:00:00"/>
    <s v="PAID"/>
    <s v="N"/>
    <m/>
    <n v="2261466"/>
    <n v="1"/>
    <n v="2261466"/>
    <n v="0"/>
    <n v="0"/>
    <n v="13"/>
    <x v="0"/>
  </r>
  <r>
    <x v="1344"/>
    <s v="C0236"/>
    <x v="3"/>
    <d v="2024-04-18T00:00:00"/>
    <d v="2024-06-17T00:00:00"/>
    <s v="EUR"/>
    <n v="67094.12"/>
    <d v="2024-07-19T00:00:00"/>
    <s v="PARTIALLY PAID"/>
    <s v="Y"/>
    <n v="89.221100000000007"/>
    <n v="50083.65"/>
    <n v="89.043000000000006"/>
    <n v="5974261.7271600002"/>
    <n v="1514663.2802099995"/>
    <n v="287"/>
    <n v="32"/>
    <x v="1"/>
  </r>
  <r>
    <x v="1345"/>
    <s v="C0244"/>
    <x v="3"/>
    <d v="2024-04-18T00:00:00"/>
    <d v="2024-06-17T00:00:00"/>
    <s v="INR"/>
    <n v="5315083"/>
    <d v="2024-07-15T00:00:00"/>
    <s v="PAID"/>
    <s v="N"/>
    <m/>
    <n v="5315083"/>
    <n v="1"/>
    <n v="5315083"/>
    <n v="0"/>
    <n v="0"/>
    <n v="28"/>
    <x v="0"/>
  </r>
  <r>
    <x v="1346"/>
    <s v="C0004"/>
    <x v="0"/>
    <d v="2024-04-19T00:00:00"/>
    <d v="2024-06-03T00:00:00"/>
    <s v="INR"/>
    <n v="7737786"/>
    <d v="2024-06-10T00:00:00"/>
    <s v="PAID"/>
    <s v="N"/>
    <m/>
    <n v="7737786"/>
    <n v="1"/>
    <n v="7737786"/>
    <n v="0"/>
    <n v="0"/>
    <n v="7"/>
    <x v="0"/>
  </r>
  <r>
    <x v="1347"/>
    <s v="C0050"/>
    <x v="0"/>
    <d v="2024-04-19T00:00:00"/>
    <d v="2024-06-18T00:00:00"/>
    <s v="INR"/>
    <n v="16455228"/>
    <d v="2024-06-15T00:00:00"/>
    <s v="PAID"/>
    <s v="N"/>
    <m/>
    <n v="16455228"/>
    <n v="1"/>
    <n v="16455228"/>
    <n v="0"/>
    <n v="0"/>
    <n v="-3"/>
    <x v="0"/>
  </r>
  <r>
    <x v="1348"/>
    <s v="C0080"/>
    <x v="0"/>
    <d v="2024-04-19T00:00:00"/>
    <d v="2024-06-18T00:00:00"/>
    <s v="INR"/>
    <n v="1259437"/>
    <d v="2024-06-21T00:00:00"/>
    <s v="PAID"/>
    <s v="N"/>
    <m/>
    <n v="1259437"/>
    <n v="1"/>
    <n v="1259437"/>
    <n v="0"/>
    <n v="0"/>
    <n v="3"/>
    <x v="0"/>
  </r>
  <r>
    <x v="1349"/>
    <s v="C0213"/>
    <x v="1"/>
    <d v="2024-04-19T00:00:00"/>
    <d v="2024-06-18T00:00:00"/>
    <s v="EUR"/>
    <n v="61758.5"/>
    <d v="2024-06-30T00:00:00"/>
    <s v="PAID"/>
    <s v="N"/>
    <m/>
    <n v="61758.5"/>
    <n v="88.926599999999993"/>
    <n v="5491973.4260999998"/>
    <n v="0"/>
    <n v="0"/>
    <n v="12"/>
    <x v="0"/>
  </r>
  <r>
    <x v="1350"/>
    <s v="C0236"/>
    <x v="3"/>
    <d v="2024-04-19T00:00:00"/>
    <d v="2024-06-18T00:00:00"/>
    <s v="EUR"/>
    <n v="42747.81"/>
    <d v="2024-09-06T00:00:00"/>
    <s v="PAID"/>
    <s v="Y"/>
    <n v="89.104500000000002"/>
    <n v="42747.81"/>
    <n v="88.926599999999993"/>
    <n v="3801417.4007459995"/>
    <n v="0"/>
    <n v="0"/>
    <n v="80"/>
    <x v="0"/>
  </r>
  <r>
    <x v="1351"/>
    <s v="C0016"/>
    <x v="1"/>
    <d v="2024-04-20T00:00:00"/>
    <d v="2024-05-20T00:00:00"/>
    <s v="INR"/>
    <n v="4816334"/>
    <d v="2024-05-26T00:00:00"/>
    <s v="PAID"/>
    <s v="N"/>
    <m/>
    <n v="4816334"/>
    <n v="1"/>
    <n v="4816334"/>
    <n v="0"/>
    <n v="0"/>
    <n v="6"/>
    <x v="0"/>
  </r>
  <r>
    <x v="1352"/>
    <s v="C0118"/>
    <x v="1"/>
    <d v="2024-04-20T00:00:00"/>
    <d v="2024-06-19T00:00:00"/>
    <s v="INR"/>
    <n v="2188146"/>
    <d v="2024-06-30T00:00:00"/>
    <s v="PAID"/>
    <s v="N"/>
    <m/>
    <n v="2188146"/>
    <n v="1"/>
    <n v="2188146"/>
    <n v="0"/>
    <n v="0"/>
    <n v="11"/>
    <x v="0"/>
  </r>
  <r>
    <x v="1353"/>
    <s v="C0118"/>
    <x v="1"/>
    <d v="2024-04-20T00:00:00"/>
    <d v="2024-06-19T00:00:00"/>
    <s v="INR"/>
    <n v="6453136"/>
    <d v="2024-06-25T00:00:00"/>
    <s v="PAID"/>
    <s v="N"/>
    <m/>
    <n v="6453136"/>
    <n v="1"/>
    <n v="6453136"/>
    <n v="0"/>
    <n v="0"/>
    <n v="6"/>
    <x v="0"/>
  </r>
  <r>
    <x v="1354"/>
    <s v="C0129"/>
    <x v="2"/>
    <d v="2024-04-20T00:00:00"/>
    <d v="2024-06-19T00:00:00"/>
    <s v="EUR"/>
    <n v="53658.02"/>
    <d v="2024-06-25T00:00:00"/>
    <s v="PAID"/>
    <s v="N"/>
    <m/>
    <n v="53658.02"/>
    <n v="88.926599999999993"/>
    <n v="4771625.2813319992"/>
    <n v="0"/>
    <n v="0"/>
    <n v="6"/>
    <x v="0"/>
  </r>
  <r>
    <x v="1355"/>
    <s v="C0134"/>
    <x v="0"/>
    <d v="2024-04-20T00:00:00"/>
    <d v="2024-07-19T00:00:00"/>
    <s v="INR"/>
    <n v="12954244"/>
    <d v="2024-07-24T00:00:00"/>
    <s v="PAID"/>
    <s v="N"/>
    <m/>
    <n v="12954244"/>
    <n v="1"/>
    <n v="12954244"/>
    <n v="0"/>
    <n v="0"/>
    <n v="5"/>
    <x v="0"/>
  </r>
  <r>
    <x v="1356"/>
    <s v="C0177"/>
    <x v="4"/>
    <d v="2024-04-20T00:00:00"/>
    <d v="2024-06-19T00:00:00"/>
    <s v="EUR"/>
    <n v="493753.54"/>
    <d v="2024-06-28T00:00:00"/>
    <s v="PAID"/>
    <s v="N"/>
    <m/>
    <n v="493753.54"/>
    <n v="88.926599999999993"/>
    <n v="43907823.550163992"/>
    <n v="0"/>
    <n v="0"/>
    <n v="9"/>
    <x v="0"/>
  </r>
  <r>
    <x v="1357"/>
    <s v="C0219"/>
    <x v="2"/>
    <d v="2024-04-20T00:00:00"/>
    <d v="2024-05-20T00:00:00"/>
    <s v="INR"/>
    <n v="779746"/>
    <d v="2024-06-01T00:00:00"/>
    <s v="PAID"/>
    <s v="N"/>
    <m/>
    <n v="779746"/>
    <n v="1"/>
    <n v="779746"/>
    <n v="0"/>
    <n v="0"/>
    <n v="12"/>
    <x v="0"/>
  </r>
  <r>
    <x v="1358"/>
    <s v="C0242"/>
    <x v="0"/>
    <d v="2024-04-20T00:00:00"/>
    <d v="2024-06-19T00:00:00"/>
    <s v="EUR"/>
    <n v="109023.74"/>
    <d v="2024-06-21T00:00:00"/>
    <s v="PAID"/>
    <s v="Y"/>
    <n v="89.104500000000002"/>
    <n v="109023.74"/>
    <n v="88.926599999999993"/>
    <n v="9695110.517484"/>
    <n v="0"/>
    <n v="0"/>
    <n v="2"/>
    <x v="0"/>
  </r>
  <r>
    <x v="1359"/>
    <s v="C0003"/>
    <x v="0"/>
    <d v="2024-04-22T00:00:00"/>
    <d v="2024-06-06T00:00:00"/>
    <s v="INR"/>
    <n v="4417444"/>
    <d v="2024-07-01T00:00:00"/>
    <s v="PAID"/>
    <s v="N"/>
    <m/>
    <n v="4417444"/>
    <n v="1"/>
    <n v="4417444"/>
    <n v="0"/>
    <n v="0"/>
    <n v="25"/>
    <x v="0"/>
  </r>
  <r>
    <x v="1360"/>
    <s v="C0034"/>
    <x v="1"/>
    <d v="2024-04-22T00:00:00"/>
    <d v="2024-06-06T00:00:00"/>
    <s v="INR"/>
    <n v="930185"/>
    <d v="2024-06-13T00:00:00"/>
    <s v="PAID"/>
    <s v="N"/>
    <m/>
    <n v="930185"/>
    <n v="1"/>
    <n v="930185"/>
    <n v="0"/>
    <n v="0"/>
    <n v="7"/>
    <x v="0"/>
  </r>
  <r>
    <x v="1361"/>
    <s v="C0050"/>
    <x v="0"/>
    <d v="2024-04-22T00:00:00"/>
    <d v="2024-06-21T00:00:00"/>
    <s v="INR"/>
    <n v="23676281"/>
    <d v="2024-06-26T00:00:00"/>
    <s v="PAID"/>
    <s v="N"/>
    <m/>
    <n v="23676281"/>
    <n v="1"/>
    <n v="23676281"/>
    <n v="0"/>
    <n v="0"/>
    <n v="5"/>
    <x v="0"/>
  </r>
  <r>
    <x v="1362"/>
    <s v="C0057"/>
    <x v="3"/>
    <d v="2024-04-22T00:00:00"/>
    <d v="2024-05-22T00:00:00"/>
    <s v="INR"/>
    <n v="11434242"/>
    <d v="2024-05-23T00:00:00"/>
    <s v="PAID"/>
    <s v="N"/>
    <m/>
    <n v="11434242"/>
    <n v="1"/>
    <n v="11434242"/>
    <n v="0"/>
    <n v="0"/>
    <n v="1"/>
    <x v="0"/>
  </r>
  <r>
    <x v="1363"/>
    <s v="C0049"/>
    <x v="3"/>
    <d v="2024-04-23T00:00:00"/>
    <d v="2024-05-23T00:00:00"/>
    <s v="INR"/>
    <n v="14865925"/>
    <d v="2024-05-23T00:00:00"/>
    <s v="PAID"/>
    <s v="N"/>
    <m/>
    <n v="14865925"/>
    <n v="1"/>
    <n v="14865925"/>
    <n v="0"/>
    <n v="0"/>
    <n v="0"/>
    <x v="0"/>
  </r>
  <r>
    <x v="1364"/>
    <s v="C0073"/>
    <x v="1"/>
    <d v="2024-04-23T00:00:00"/>
    <d v="2024-05-23T00:00:00"/>
    <s v="USD"/>
    <n v="103110.49"/>
    <d v="2024-06-21T00:00:00"/>
    <s v="PAID"/>
    <s v="N"/>
    <m/>
    <n v="103110.49"/>
    <n v="83.36"/>
    <n v="8595290.4463999998"/>
    <n v="0"/>
    <n v="0"/>
    <n v="29"/>
    <x v="0"/>
  </r>
  <r>
    <x v="1365"/>
    <s v="C0234"/>
    <x v="0"/>
    <d v="2024-04-23T00:00:00"/>
    <d v="2024-06-22T00:00:00"/>
    <s v="INR"/>
    <n v="5734308"/>
    <m/>
    <s v="WRITTEN OFF"/>
    <s v="N"/>
    <m/>
    <n v="0"/>
    <n v="1"/>
    <n v="5734308"/>
    <n v="0"/>
    <n v="0"/>
    <s v=""/>
    <x v="0"/>
  </r>
  <r>
    <x v="1366"/>
    <s v="C0249"/>
    <x v="4"/>
    <d v="2024-04-23T00:00:00"/>
    <d v="2024-07-22T00:00:00"/>
    <s v="EUR"/>
    <n v="225237.83"/>
    <d v="2024-08-13T00:00:00"/>
    <s v="PAID"/>
    <s v="N"/>
    <m/>
    <n v="225237.83"/>
    <n v="89.153499999999994"/>
    <n v="20080740.876904998"/>
    <n v="0"/>
    <n v="0"/>
    <n v="22"/>
    <x v="0"/>
  </r>
  <r>
    <x v="1367"/>
    <s v="C0139"/>
    <x v="1"/>
    <d v="2024-04-24T00:00:00"/>
    <d v="2024-06-23T00:00:00"/>
    <s v="USD"/>
    <n v="80120.23"/>
    <d v="2024-07-29T00:00:00"/>
    <s v="PAID"/>
    <s v="N"/>
    <m/>
    <n v="80120.23"/>
    <n v="83.34"/>
    <n v="6677219.9682"/>
    <n v="0"/>
    <n v="0"/>
    <n v="36"/>
    <x v="0"/>
  </r>
  <r>
    <x v="1368"/>
    <s v="C0146"/>
    <x v="3"/>
    <d v="2024-04-24T00:00:00"/>
    <d v="2024-06-23T00:00:00"/>
    <s v="USD"/>
    <n v="41608.32"/>
    <d v="2024-07-11T00:00:00"/>
    <s v="PAID"/>
    <s v="N"/>
    <m/>
    <n v="41608.32"/>
    <n v="83.34"/>
    <n v="3467637.3888000003"/>
    <n v="0"/>
    <n v="0"/>
    <n v="18"/>
    <x v="0"/>
  </r>
  <r>
    <x v="1369"/>
    <s v="C0159"/>
    <x v="4"/>
    <d v="2024-04-24T00:00:00"/>
    <d v="2024-06-08T00:00:00"/>
    <s v="INR"/>
    <n v="5138209"/>
    <d v="2024-06-05T00:00:00"/>
    <s v="PAID"/>
    <s v="N"/>
    <m/>
    <n v="5138209"/>
    <n v="1"/>
    <n v="5138209"/>
    <n v="0"/>
    <n v="0"/>
    <n v="-3"/>
    <x v="0"/>
  </r>
  <r>
    <x v="1370"/>
    <s v="C0181"/>
    <x v="1"/>
    <d v="2024-04-24T00:00:00"/>
    <d v="2024-06-23T00:00:00"/>
    <s v="INR"/>
    <n v="4372821"/>
    <d v="2024-06-30T00:00:00"/>
    <s v="PAID"/>
    <s v="N"/>
    <m/>
    <n v="4372821"/>
    <n v="1"/>
    <n v="4372821"/>
    <n v="0"/>
    <n v="0"/>
    <n v="7"/>
    <x v="0"/>
  </r>
  <r>
    <x v="1371"/>
    <s v="C0040"/>
    <x v="2"/>
    <d v="2024-04-25T00:00:00"/>
    <d v="2024-05-25T00:00:00"/>
    <s v="EUR"/>
    <n v="99103.66"/>
    <d v="2024-06-07T00:00:00"/>
    <s v="PAID"/>
    <s v="N"/>
    <m/>
    <n v="99103.66"/>
    <n v="89.316699999999997"/>
    <n v="8851611.8691220004"/>
    <n v="0"/>
    <n v="0"/>
    <n v="13"/>
    <x v="0"/>
  </r>
  <r>
    <x v="1372"/>
    <s v="C0049"/>
    <x v="3"/>
    <d v="2024-04-25T00:00:00"/>
    <d v="2024-05-25T00:00:00"/>
    <s v="INR"/>
    <n v="6248289"/>
    <d v="2024-05-28T00:00:00"/>
    <s v="PAID"/>
    <s v="N"/>
    <m/>
    <n v="6248289"/>
    <n v="1"/>
    <n v="6248289"/>
    <n v="0"/>
    <n v="0"/>
    <n v="3"/>
    <x v="0"/>
  </r>
  <r>
    <x v="1373"/>
    <s v="C0060"/>
    <x v="0"/>
    <d v="2024-04-25T00:00:00"/>
    <d v="2024-06-09T00:00:00"/>
    <s v="INR"/>
    <n v="7726444"/>
    <d v="2024-06-06T00:00:00"/>
    <s v="PAID"/>
    <s v="N"/>
    <m/>
    <n v="7726444"/>
    <n v="1"/>
    <n v="7726444"/>
    <n v="0"/>
    <n v="0"/>
    <n v="-3"/>
    <x v="0"/>
  </r>
  <r>
    <x v="1374"/>
    <s v="C0244"/>
    <x v="3"/>
    <d v="2024-04-25T00:00:00"/>
    <d v="2024-06-24T00:00:00"/>
    <s v="INR"/>
    <n v="18068611"/>
    <d v="2024-08-11T00:00:00"/>
    <s v="PAID"/>
    <s v="N"/>
    <m/>
    <n v="18068611"/>
    <n v="1"/>
    <n v="18068611"/>
    <n v="0"/>
    <n v="0"/>
    <n v="48"/>
    <x v="0"/>
  </r>
  <r>
    <x v="1375"/>
    <s v="C0016"/>
    <x v="4"/>
    <d v="2024-04-26T00:00:00"/>
    <d v="2024-05-26T00:00:00"/>
    <s v="INR"/>
    <n v="2035677"/>
    <d v="2024-05-31T00:00:00"/>
    <s v="PAID"/>
    <s v="N"/>
    <m/>
    <n v="2035677"/>
    <n v="1"/>
    <n v="2035677"/>
    <n v="0"/>
    <n v="0"/>
    <n v="5"/>
    <x v="0"/>
  </r>
  <r>
    <x v="1376"/>
    <s v="C0014"/>
    <x v="3"/>
    <d v="2024-04-27T00:00:00"/>
    <d v="2024-06-11T00:00:00"/>
    <s v="EUR"/>
    <n v="12783.71"/>
    <d v="2024-06-27T00:00:00"/>
    <s v="PARTIALLY PAID"/>
    <s v="N"/>
    <m/>
    <n v="11481.08"/>
    <n v="89.099900000000005"/>
    <n v="1139027.282629"/>
    <n v="116064.20273699994"/>
    <n v="293"/>
    <n v="16"/>
    <x v="1"/>
  </r>
  <r>
    <x v="1377"/>
    <s v="C0068"/>
    <x v="3"/>
    <d v="2024-04-27T00:00:00"/>
    <d v="2024-06-26T00:00:00"/>
    <s v="INR"/>
    <n v="5718747"/>
    <d v="2024-07-13T00:00:00"/>
    <s v="PAID"/>
    <s v="N"/>
    <m/>
    <n v="5718747"/>
    <n v="1"/>
    <n v="5718747"/>
    <n v="0"/>
    <n v="0"/>
    <n v="17"/>
    <x v="0"/>
  </r>
  <r>
    <x v="1378"/>
    <s v="C0075"/>
    <x v="1"/>
    <d v="2024-04-27T00:00:00"/>
    <d v="2024-05-27T00:00:00"/>
    <s v="INR"/>
    <n v="1813010"/>
    <d v="2024-05-28T00:00:00"/>
    <s v="PAID"/>
    <s v="N"/>
    <m/>
    <n v="1813010"/>
    <n v="1"/>
    <n v="1813010"/>
    <n v="0"/>
    <n v="0"/>
    <n v="1"/>
    <x v="0"/>
  </r>
  <r>
    <x v="1379"/>
    <s v="C0131"/>
    <x v="1"/>
    <d v="2024-04-27T00:00:00"/>
    <d v="2024-07-26T00:00:00"/>
    <s v="INR"/>
    <n v="10282648"/>
    <d v="2024-08-01T00:00:00"/>
    <s v="PAID"/>
    <s v="N"/>
    <m/>
    <n v="10282648"/>
    <n v="1"/>
    <n v="10282648"/>
    <n v="0"/>
    <n v="0"/>
    <n v="6"/>
    <x v="0"/>
  </r>
  <r>
    <x v="1380"/>
    <s v="C0136"/>
    <x v="0"/>
    <d v="2024-04-27T00:00:00"/>
    <d v="2024-06-26T00:00:00"/>
    <s v="INR"/>
    <n v="10185923"/>
    <d v="2024-06-24T00:00:00"/>
    <s v="PARTIALLY PAID"/>
    <s v="N"/>
    <m/>
    <n v="7747934.6399999997"/>
    <n v="1"/>
    <n v="10185923"/>
    <n v="2437988.3600000003"/>
    <n v="278"/>
    <n v="-2"/>
    <x v="1"/>
  </r>
  <r>
    <x v="1381"/>
    <s v="C0189"/>
    <x v="1"/>
    <d v="2024-04-27T00:00:00"/>
    <d v="2024-06-11T00:00:00"/>
    <s v="INR"/>
    <n v="11338860"/>
    <d v="2024-06-30T00:00:00"/>
    <s v="PAID"/>
    <s v="N"/>
    <m/>
    <n v="11338860"/>
    <n v="1"/>
    <n v="11338860"/>
    <n v="0"/>
    <n v="0"/>
    <n v="19"/>
    <x v="0"/>
  </r>
  <r>
    <x v="1382"/>
    <s v="C0207"/>
    <x v="4"/>
    <d v="2024-04-27T00:00:00"/>
    <d v="2024-06-26T00:00:00"/>
    <s v="INR"/>
    <n v="6131714"/>
    <d v="2024-06-30T00:00:00"/>
    <s v="PAID"/>
    <s v="N"/>
    <m/>
    <n v="6131714"/>
    <n v="1"/>
    <n v="6131714"/>
    <n v="0"/>
    <n v="0"/>
    <n v="4"/>
    <x v="0"/>
  </r>
  <r>
    <x v="1383"/>
    <s v="C0018"/>
    <x v="0"/>
    <d v="2024-04-29T00:00:00"/>
    <d v="2024-05-29T00:00:00"/>
    <s v="INR"/>
    <n v="2748380"/>
    <d v="2024-06-05T00:00:00"/>
    <s v="PAID"/>
    <s v="N"/>
    <m/>
    <n v="2748380"/>
    <n v="1"/>
    <n v="2748380"/>
    <n v="0"/>
    <n v="0"/>
    <n v="7"/>
    <x v="0"/>
  </r>
  <r>
    <x v="1384"/>
    <s v="C0040"/>
    <x v="2"/>
    <d v="2024-04-29T00:00:00"/>
    <d v="2024-05-29T00:00:00"/>
    <s v="EUR"/>
    <n v="52064.01"/>
    <d v="2024-06-08T00:00:00"/>
    <s v="PAID"/>
    <s v="N"/>
    <m/>
    <n v="52064.01"/>
    <n v="89.444100000000006"/>
    <n v="4656818.5168410009"/>
    <n v="0"/>
    <n v="0"/>
    <n v="10"/>
    <x v="0"/>
  </r>
  <r>
    <x v="1385"/>
    <s v="C0094"/>
    <x v="0"/>
    <d v="2024-04-29T00:00:00"/>
    <d v="2024-06-13T00:00:00"/>
    <s v="INR"/>
    <n v="8689890"/>
    <d v="2024-06-19T00:00:00"/>
    <s v="PARTIALLY PAID"/>
    <s v="N"/>
    <m/>
    <n v="6255142.9100000001"/>
    <n v="1"/>
    <n v="8689890"/>
    <n v="2434747.09"/>
    <n v="291"/>
    <n v="6"/>
    <x v="1"/>
  </r>
  <r>
    <x v="1386"/>
    <s v="C0179"/>
    <x v="1"/>
    <d v="2024-04-29T00:00:00"/>
    <d v="2024-05-29T00:00:00"/>
    <s v="INR"/>
    <n v="6884489"/>
    <d v="2024-06-21T00:00:00"/>
    <s v="WRITTEN OFF"/>
    <s v="N"/>
    <m/>
    <n v="1860576.86"/>
    <n v="1"/>
    <n v="6884489"/>
    <n v="0"/>
    <n v="0"/>
    <n v="23"/>
    <x v="0"/>
  </r>
  <r>
    <x v="1387"/>
    <s v="C0189"/>
    <x v="1"/>
    <d v="2024-04-29T00:00:00"/>
    <d v="2024-06-13T00:00:00"/>
    <s v="INR"/>
    <n v="4257933"/>
    <d v="2024-07-18T00:00:00"/>
    <s v="PAID"/>
    <s v="N"/>
    <m/>
    <n v="4257933"/>
    <n v="1"/>
    <n v="4257933"/>
    <n v="0"/>
    <n v="0"/>
    <n v="35"/>
    <x v="0"/>
  </r>
  <r>
    <x v="1388"/>
    <s v="C0002"/>
    <x v="4"/>
    <d v="2024-04-30T00:00:00"/>
    <d v="2024-06-14T00:00:00"/>
    <s v="INR"/>
    <n v="3519347"/>
    <d v="2024-07-01T00:00:00"/>
    <s v="PAID"/>
    <s v="N"/>
    <m/>
    <n v="3519347"/>
    <n v="1"/>
    <n v="3519347"/>
    <n v="0"/>
    <n v="0"/>
    <n v="17"/>
    <x v="0"/>
  </r>
  <r>
    <x v="1389"/>
    <s v="C0020"/>
    <x v="3"/>
    <d v="2024-04-30T00:00:00"/>
    <d v="2024-07-29T00:00:00"/>
    <s v="USD"/>
    <n v="55338.92"/>
    <d v="2024-08-18T00:00:00"/>
    <s v="PAID"/>
    <s v="N"/>
    <m/>
    <n v="55338.92"/>
    <n v="83.44"/>
    <n v="4617479.4847999997"/>
    <n v="0"/>
    <n v="0"/>
    <n v="20"/>
    <x v="0"/>
  </r>
  <r>
    <x v="1390"/>
    <s v="C0050"/>
    <x v="0"/>
    <d v="2024-04-30T00:00:00"/>
    <d v="2024-06-29T00:00:00"/>
    <s v="INR"/>
    <n v="3648840"/>
    <d v="2024-07-02T00:00:00"/>
    <s v="PAID"/>
    <s v="N"/>
    <m/>
    <n v="3648840"/>
    <n v="1"/>
    <n v="3648840"/>
    <n v="0"/>
    <n v="0"/>
    <n v="3"/>
    <x v="0"/>
  </r>
  <r>
    <x v="1391"/>
    <s v="C0082"/>
    <x v="4"/>
    <d v="2024-04-30T00:00:00"/>
    <d v="2024-06-29T00:00:00"/>
    <s v="INR"/>
    <n v="12942056"/>
    <d v="2024-07-03T00:00:00"/>
    <s v="PAID"/>
    <s v="N"/>
    <m/>
    <n v="12942056"/>
    <n v="1"/>
    <n v="12942056"/>
    <n v="0"/>
    <n v="0"/>
    <n v="4"/>
    <x v="0"/>
  </r>
  <r>
    <x v="1392"/>
    <s v="C0029"/>
    <x v="1"/>
    <d v="2024-05-01T00:00:00"/>
    <d v="2024-07-30T00:00:00"/>
    <s v="INR"/>
    <n v="1844204"/>
    <d v="2024-08-06T00:00:00"/>
    <s v="PAID"/>
    <s v="N"/>
    <m/>
    <n v="1844204"/>
    <n v="1"/>
    <n v="1844204"/>
    <n v="0"/>
    <n v="0"/>
    <n v="7"/>
    <x v="0"/>
  </r>
  <r>
    <x v="1393"/>
    <s v="C0040"/>
    <x v="2"/>
    <d v="2024-05-01T00:00:00"/>
    <d v="2024-05-31T00:00:00"/>
    <s v="EUR"/>
    <n v="92385"/>
    <d v="2024-06-12T00:00:00"/>
    <s v="PAID"/>
    <s v="Y"/>
    <n v="89.213700000000003"/>
    <n v="92385"/>
    <n v="89.124600000000001"/>
    <n v="8233776.1710000001"/>
    <n v="0"/>
    <n v="0"/>
    <n v="12"/>
    <x v="0"/>
  </r>
  <r>
    <x v="1394"/>
    <s v="C0075"/>
    <x v="1"/>
    <d v="2024-05-01T00:00:00"/>
    <d v="2024-05-31T00:00:00"/>
    <s v="INR"/>
    <n v="5787150"/>
    <d v="2024-06-10T00:00:00"/>
    <s v="PAID"/>
    <s v="N"/>
    <m/>
    <n v="5787150"/>
    <n v="1"/>
    <n v="5787150"/>
    <n v="0"/>
    <n v="0"/>
    <n v="10"/>
    <x v="0"/>
  </r>
  <r>
    <x v="1395"/>
    <s v="C0226"/>
    <x v="3"/>
    <d v="2024-05-01T00:00:00"/>
    <d v="2024-06-15T00:00:00"/>
    <s v="INR"/>
    <n v="10235568"/>
    <d v="2024-06-18T00:00:00"/>
    <s v="PAID"/>
    <s v="N"/>
    <m/>
    <n v="10235568"/>
    <n v="1"/>
    <n v="10235568"/>
    <n v="0"/>
    <n v="0"/>
    <n v="3"/>
    <x v="0"/>
  </r>
  <r>
    <x v="1396"/>
    <s v="C0228"/>
    <x v="3"/>
    <d v="2024-05-01T00:00:00"/>
    <d v="2024-06-15T00:00:00"/>
    <s v="INR"/>
    <n v="4413647"/>
    <d v="2024-06-21T00:00:00"/>
    <s v="PAID"/>
    <s v="N"/>
    <m/>
    <n v="4413647"/>
    <n v="1"/>
    <n v="4413647"/>
    <n v="0"/>
    <n v="0"/>
    <n v="6"/>
    <x v="0"/>
  </r>
  <r>
    <x v="1397"/>
    <s v="C0070"/>
    <x v="1"/>
    <d v="2024-05-02T00:00:00"/>
    <d v="2024-06-16T00:00:00"/>
    <s v="INR"/>
    <n v="2170505"/>
    <d v="2024-07-07T00:00:00"/>
    <s v="PAID"/>
    <s v="N"/>
    <m/>
    <n v="2170505"/>
    <n v="1"/>
    <n v="2170505"/>
    <n v="0"/>
    <n v="0"/>
    <n v="21"/>
    <x v="0"/>
  </r>
  <r>
    <x v="1398"/>
    <s v="C0109"/>
    <x v="1"/>
    <d v="2024-05-02T00:00:00"/>
    <d v="2024-06-16T00:00:00"/>
    <s v="INR"/>
    <n v="12759736"/>
    <d v="2024-06-16T00:00:00"/>
    <s v="PAID"/>
    <s v="N"/>
    <m/>
    <n v="12759736"/>
    <n v="1"/>
    <n v="12759736"/>
    <n v="0"/>
    <n v="0"/>
    <n v="0"/>
    <x v="0"/>
  </r>
  <r>
    <x v="1399"/>
    <s v="C0244"/>
    <x v="3"/>
    <d v="2024-05-02T00:00:00"/>
    <d v="2024-07-01T00:00:00"/>
    <s v="INR"/>
    <n v="10773124"/>
    <d v="2024-09-12T00:00:00"/>
    <s v="PAID"/>
    <s v="N"/>
    <m/>
    <n v="10773124"/>
    <n v="1"/>
    <n v="10773124"/>
    <n v="0"/>
    <n v="0"/>
    <n v="73"/>
    <x v="0"/>
  </r>
  <r>
    <x v="1400"/>
    <s v="C0107"/>
    <x v="1"/>
    <d v="2024-05-03T00:00:00"/>
    <d v="2024-06-02T00:00:00"/>
    <s v="INR"/>
    <n v="2983167"/>
    <d v="2024-10-01T00:00:00"/>
    <s v="PAID"/>
    <s v="N"/>
    <m/>
    <n v="2983167"/>
    <n v="1"/>
    <n v="2983167"/>
    <n v="0"/>
    <n v="0"/>
    <n v="121"/>
    <x v="0"/>
  </r>
  <r>
    <x v="1401"/>
    <s v="C0211"/>
    <x v="3"/>
    <d v="2024-05-03T00:00:00"/>
    <d v="2024-06-17T00:00:00"/>
    <s v="INR"/>
    <n v="17545842"/>
    <d v="2024-07-18T00:00:00"/>
    <s v="PAID"/>
    <s v="N"/>
    <m/>
    <n v="17545842"/>
    <n v="1"/>
    <n v="17545842"/>
    <n v="0"/>
    <n v="0"/>
    <n v="31"/>
    <x v="0"/>
  </r>
  <r>
    <x v="1402"/>
    <s v="C0212"/>
    <x v="2"/>
    <d v="2024-05-03T00:00:00"/>
    <d v="2024-08-01T00:00:00"/>
    <s v="INR"/>
    <n v="25411298"/>
    <d v="2024-08-05T00:00:00"/>
    <s v="PAID"/>
    <s v="N"/>
    <m/>
    <n v="25411298"/>
    <n v="1"/>
    <n v="25411298"/>
    <n v="0"/>
    <n v="0"/>
    <n v="4"/>
    <x v="0"/>
  </r>
  <r>
    <x v="1403"/>
    <s v="C0042"/>
    <x v="3"/>
    <d v="2024-05-04T00:00:00"/>
    <d v="2024-07-03T00:00:00"/>
    <s v="EUR"/>
    <n v="44135.82"/>
    <d v="2024-07-20T00:00:00"/>
    <s v="PAID"/>
    <s v="N"/>
    <m/>
    <n v="44135.82"/>
    <n v="89.854100000000003"/>
    <n v="3965784.383862"/>
    <n v="0"/>
    <n v="0"/>
    <n v="17"/>
    <x v="0"/>
  </r>
  <r>
    <x v="1404"/>
    <s v="C0043"/>
    <x v="1"/>
    <d v="2024-05-04T00:00:00"/>
    <d v="2024-06-18T00:00:00"/>
    <s v="INR"/>
    <n v="10367511"/>
    <d v="2024-06-13T00:00:00"/>
    <s v="PAID"/>
    <s v="N"/>
    <m/>
    <n v="10367511"/>
    <n v="1"/>
    <n v="10367511"/>
    <n v="0"/>
    <n v="0"/>
    <n v="-5"/>
    <x v="0"/>
  </r>
  <r>
    <x v="1405"/>
    <s v="C0075"/>
    <x v="1"/>
    <d v="2024-05-04T00:00:00"/>
    <d v="2024-06-03T00:00:00"/>
    <s v="INR"/>
    <n v="4729647"/>
    <d v="2024-07-01T00:00:00"/>
    <s v="PAID"/>
    <s v="N"/>
    <m/>
    <n v="4729647"/>
    <n v="1"/>
    <n v="4729647"/>
    <n v="0"/>
    <n v="0"/>
    <n v="28"/>
    <x v="0"/>
  </r>
  <r>
    <x v="1406"/>
    <s v="C0075"/>
    <x v="1"/>
    <d v="2024-05-04T00:00:00"/>
    <d v="2024-06-03T00:00:00"/>
    <s v="INR"/>
    <n v="13029082"/>
    <d v="2024-06-20T00:00:00"/>
    <s v="PAID"/>
    <s v="N"/>
    <m/>
    <n v="13029082"/>
    <n v="1"/>
    <n v="13029082"/>
    <n v="0"/>
    <n v="0"/>
    <n v="17"/>
    <x v="0"/>
  </r>
  <r>
    <x v="1407"/>
    <s v="C0095"/>
    <x v="1"/>
    <d v="2024-05-04T00:00:00"/>
    <d v="2024-06-18T00:00:00"/>
    <s v="INR"/>
    <n v="6131593"/>
    <d v="2024-07-04T00:00:00"/>
    <s v="PAID"/>
    <s v="N"/>
    <m/>
    <n v="6131593"/>
    <n v="1"/>
    <n v="6131593"/>
    <n v="0"/>
    <n v="0"/>
    <n v="16"/>
    <x v="0"/>
  </r>
  <r>
    <x v="1408"/>
    <s v="C0233"/>
    <x v="0"/>
    <d v="2024-05-04T00:00:00"/>
    <d v="2024-07-03T00:00:00"/>
    <s v="INR"/>
    <n v="2703122"/>
    <d v="2024-07-27T00:00:00"/>
    <s v="PAID"/>
    <s v="N"/>
    <m/>
    <n v="2703122"/>
    <n v="1"/>
    <n v="2703122"/>
    <n v="0"/>
    <n v="0"/>
    <n v="24"/>
    <x v="0"/>
  </r>
  <r>
    <x v="1409"/>
    <s v="C0050"/>
    <x v="0"/>
    <d v="2024-05-06T00:00:00"/>
    <d v="2024-07-05T00:00:00"/>
    <s v="INR"/>
    <n v="19993644"/>
    <d v="2024-07-07T00:00:00"/>
    <s v="PAID"/>
    <s v="N"/>
    <m/>
    <n v="19993644"/>
    <n v="1"/>
    <n v="19993644"/>
    <n v="0"/>
    <n v="0"/>
    <n v="2"/>
    <x v="0"/>
  </r>
  <r>
    <x v="1410"/>
    <s v="C0229"/>
    <x v="3"/>
    <d v="2024-05-06T00:00:00"/>
    <d v="2024-08-04T00:00:00"/>
    <s v="USD"/>
    <n v="96172.14"/>
    <d v="2024-08-08T00:00:00"/>
    <s v="PAID"/>
    <s v="Y"/>
    <n v="83.897400000000005"/>
    <n v="96172.14"/>
    <n v="83.48"/>
    <n v="8028450.2472000001"/>
    <n v="0"/>
    <n v="0"/>
    <n v="4"/>
    <x v="0"/>
  </r>
  <r>
    <x v="1411"/>
    <s v="C0057"/>
    <x v="3"/>
    <d v="2024-05-07T00:00:00"/>
    <d v="2024-06-06T00:00:00"/>
    <s v="INR"/>
    <n v="4560082"/>
    <d v="2024-06-06T00:00:00"/>
    <s v="PAID"/>
    <s v="N"/>
    <m/>
    <n v="4560082"/>
    <n v="1"/>
    <n v="4560082"/>
    <n v="0"/>
    <n v="0"/>
    <n v="0"/>
    <x v="0"/>
  </r>
  <r>
    <x v="1412"/>
    <s v="C0062"/>
    <x v="4"/>
    <d v="2024-05-07T00:00:00"/>
    <d v="2024-07-06T00:00:00"/>
    <s v="USD"/>
    <n v="158118.24"/>
    <d v="2024-07-28T00:00:00"/>
    <s v="PAID"/>
    <s v="N"/>
    <m/>
    <n v="158118.24"/>
    <n v="83.51"/>
    <n v="13204454.2224"/>
    <n v="0"/>
    <n v="0"/>
    <n v="22"/>
    <x v="0"/>
  </r>
  <r>
    <x v="1413"/>
    <s v="C0075"/>
    <x v="1"/>
    <d v="2024-05-07T00:00:00"/>
    <d v="2024-06-06T00:00:00"/>
    <s v="INR"/>
    <n v="7057703"/>
    <d v="2024-06-17T00:00:00"/>
    <s v="PAID"/>
    <s v="N"/>
    <m/>
    <n v="7057703"/>
    <n v="1"/>
    <n v="7057703"/>
    <n v="0"/>
    <n v="0"/>
    <n v="11"/>
    <x v="0"/>
  </r>
  <r>
    <x v="1414"/>
    <s v="C0111"/>
    <x v="3"/>
    <d v="2024-05-07T00:00:00"/>
    <d v="2024-08-05T00:00:00"/>
    <s v="EUR"/>
    <n v="103642.64"/>
    <d v="2024-08-11T00:00:00"/>
    <s v="PAID"/>
    <s v="Y"/>
    <n v="90.184899999999999"/>
    <n v="103642.64"/>
    <n v="89.915199999999999"/>
    <n v="9319048.704127999"/>
    <n v="0"/>
    <n v="0"/>
    <n v="6"/>
    <x v="0"/>
  </r>
  <r>
    <x v="1415"/>
    <s v="C0139"/>
    <x v="1"/>
    <d v="2024-05-07T00:00:00"/>
    <d v="2024-07-06T00:00:00"/>
    <s v="USD"/>
    <n v="555769.4"/>
    <d v="2024-08-17T00:00:00"/>
    <s v="PAID"/>
    <s v="N"/>
    <m/>
    <n v="555769.4"/>
    <n v="83.51"/>
    <n v="46412302.594000004"/>
    <n v="0"/>
    <n v="0"/>
    <n v="42"/>
    <x v="0"/>
  </r>
  <r>
    <x v="1416"/>
    <s v="C0140"/>
    <x v="0"/>
    <d v="2024-05-07T00:00:00"/>
    <d v="2024-06-21T00:00:00"/>
    <s v="INR"/>
    <n v="2540659"/>
    <d v="2024-10-06T00:00:00"/>
    <s v="PAID"/>
    <s v="N"/>
    <m/>
    <n v="2540659"/>
    <n v="1"/>
    <n v="2540659"/>
    <n v="0"/>
    <n v="0"/>
    <n v="107"/>
    <x v="0"/>
  </r>
  <r>
    <x v="1417"/>
    <s v="C0142"/>
    <x v="4"/>
    <d v="2024-05-07T00:00:00"/>
    <d v="2024-07-06T00:00:00"/>
    <s v="EUR"/>
    <n v="65513.68"/>
    <d v="2024-07-03T00:00:00"/>
    <s v="PAID"/>
    <s v="Y"/>
    <n v="90.094999999999999"/>
    <n v="65513.68"/>
    <n v="89.915199999999999"/>
    <n v="5890675.6399360001"/>
    <n v="0"/>
    <n v="0"/>
    <n v="-3"/>
    <x v="0"/>
  </r>
  <r>
    <x v="1418"/>
    <s v="C0193"/>
    <x v="3"/>
    <d v="2024-05-07T00:00:00"/>
    <d v="2024-06-21T00:00:00"/>
    <s v="EUR"/>
    <n v="43333.35"/>
    <d v="2024-06-25T00:00:00"/>
    <s v="PAID"/>
    <s v="N"/>
    <m/>
    <n v="43333.35"/>
    <n v="89.915199999999999"/>
    <n v="3896326.8319199998"/>
    <n v="0"/>
    <n v="0"/>
    <n v="4"/>
    <x v="0"/>
  </r>
  <r>
    <x v="1419"/>
    <s v="C0111"/>
    <x v="3"/>
    <d v="2024-05-08T00:00:00"/>
    <d v="2024-08-06T00:00:00"/>
    <s v="EUR"/>
    <n v="88888.97"/>
    <m/>
    <s v="WRITTEN OFF"/>
    <s v="Y"/>
    <n v="90.019800000000004"/>
    <n v="0"/>
    <n v="89.750500000000002"/>
    <n v="7977829.5019850004"/>
    <n v="0"/>
    <n v="0"/>
    <s v=""/>
    <x v="0"/>
  </r>
  <r>
    <x v="1420"/>
    <s v="C0121"/>
    <x v="0"/>
    <d v="2024-05-08T00:00:00"/>
    <d v="2024-07-07T00:00:00"/>
    <s v="INR"/>
    <n v="600000"/>
    <d v="2024-07-02T00:00:00"/>
    <s v="PAID"/>
    <s v="N"/>
    <m/>
    <n v="600000"/>
    <n v="1"/>
    <n v="600000"/>
    <n v="0"/>
    <n v="0"/>
    <n v="-5"/>
    <x v="0"/>
  </r>
  <r>
    <x v="1421"/>
    <s v="C0213"/>
    <x v="1"/>
    <d v="2024-05-08T00:00:00"/>
    <d v="2024-07-07T00:00:00"/>
    <s v="EUR"/>
    <n v="261182.95"/>
    <d v="2024-07-17T00:00:00"/>
    <s v="PAID"/>
    <s v="Y"/>
    <n v="89.93"/>
    <n v="261182.95"/>
    <n v="89.750500000000002"/>
    <n v="23441300.353975002"/>
    <n v="0"/>
    <n v="0"/>
    <n v="10"/>
    <x v="0"/>
  </r>
  <r>
    <x v="1422"/>
    <s v="C0029"/>
    <x v="1"/>
    <d v="2024-05-09T00:00:00"/>
    <d v="2024-08-07T00:00:00"/>
    <s v="INR"/>
    <n v="14592182"/>
    <d v="2024-08-10T00:00:00"/>
    <s v="PARTIALLY PAID"/>
    <s v="N"/>
    <m/>
    <n v="9673171.0299999993"/>
    <n v="1"/>
    <n v="14592182"/>
    <n v="4919010.9700000007"/>
    <n v="236"/>
    <n v="3"/>
    <x v="1"/>
  </r>
  <r>
    <x v="1423"/>
    <s v="C0060"/>
    <x v="0"/>
    <d v="2024-05-09T00:00:00"/>
    <d v="2024-06-23T00:00:00"/>
    <s v="INR"/>
    <n v="4128128"/>
    <d v="2024-06-24T00:00:00"/>
    <s v="PAID"/>
    <s v="N"/>
    <m/>
    <n v="4128128"/>
    <n v="1"/>
    <n v="4128128"/>
    <n v="0"/>
    <n v="0"/>
    <n v="1"/>
    <x v="0"/>
  </r>
  <r>
    <x v="1424"/>
    <s v="C0084"/>
    <x v="3"/>
    <d v="2024-05-09T00:00:00"/>
    <d v="2024-06-23T00:00:00"/>
    <s v="INR"/>
    <n v="18131867"/>
    <d v="2024-06-23T00:00:00"/>
    <s v="PAID"/>
    <s v="N"/>
    <m/>
    <n v="18131867"/>
    <n v="1"/>
    <n v="18131867"/>
    <n v="0"/>
    <n v="0"/>
    <n v="0"/>
    <x v="0"/>
  </r>
  <r>
    <x v="1425"/>
    <s v="C0111"/>
    <x v="3"/>
    <d v="2024-05-09T00:00:00"/>
    <d v="2024-08-07T00:00:00"/>
    <s v="EUR"/>
    <n v="191926.17"/>
    <m/>
    <s v="WRITTEN OFF"/>
    <s v="Y"/>
    <n v="90.218400000000003"/>
    <n v="0"/>
    <n v="89.948599999999999"/>
    <n v="17263490.294862002"/>
    <n v="0"/>
    <n v="0"/>
    <s v=""/>
    <x v="0"/>
  </r>
  <r>
    <x v="1426"/>
    <s v="C0019"/>
    <x v="2"/>
    <d v="2024-05-10T00:00:00"/>
    <d v="2024-08-08T00:00:00"/>
    <s v="EUR"/>
    <n v="77354.67"/>
    <d v="2024-08-25T00:00:00"/>
    <s v="PAID"/>
    <s v="Y"/>
    <n v="90.267600000000002"/>
    <n v="77354.67"/>
    <n v="89.997600000000006"/>
    <n v="6961734.6487920005"/>
    <n v="0"/>
    <n v="0"/>
    <n v="17"/>
    <x v="0"/>
  </r>
  <r>
    <x v="1427"/>
    <s v="C0198"/>
    <x v="3"/>
    <d v="2024-05-10T00:00:00"/>
    <d v="2024-06-24T00:00:00"/>
    <s v="USD"/>
    <n v="30939.13"/>
    <d v="2024-07-13T00:00:00"/>
    <s v="PARTIALLY PAID"/>
    <s v="N"/>
    <m/>
    <n v="24945.91"/>
    <n v="83.54"/>
    <n v="2584654.9202000001"/>
    <n v="500673.59880000015"/>
    <n v="280"/>
    <n v="19"/>
    <x v="1"/>
  </r>
  <r>
    <x v="1428"/>
    <s v="C0012"/>
    <x v="3"/>
    <d v="2024-05-11T00:00:00"/>
    <d v="2024-07-10T00:00:00"/>
    <s v="EUR"/>
    <n v="80454.8"/>
    <d v="2024-09-06T00:00:00"/>
    <s v="PAID"/>
    <s v="Y"/>
    <n v="90.177599999999998"/>
    <n v="80454.8"/>
    <n v="89.997600000000006"/>
    <n v="7240738.9084800007"/>
    <n v="0"/>
    <n v="0"/>
    <n v="58"/>
    <x v="0"/>
  </r>
  <r>
    <x v="1429"/>
    <s v="C0050"/>
    <x v="0"/>
    <d v="2024-05-11T00:00:00"/>
    <d v="2024-07-10T00:00:00"/>
    <s v="INR"/>
    <n v="1896905"/>
    <d v="2024-07-13T00:00:00"/>
    <s v="PAID"/>
    <s v="N"/>
    <m/>
    <n v="1896905"/>
    <n v="1"/>
    <n v="1896905"/>
    <n v="0"/>
    <n v="0"/>
    <n v="3"/>
    <x v="0"/>
  </r>
  <r>
    <x v="1430"/>
    <s v="C0102"/>
    <x v="4"/>
    <d v="2024-05-11T00:00:00"/>
    <d v="2024-07-10T00:00:00"/>
    <s v="USD"/>
    <n v="47791.78"/>
    <d v="2024-09-07T00:00:00"/>
    <s v="PAID"/>
    <s v="N"/>
    <m/>
    <n v="47791.78"/>
    <n v="83.54"/>
    <n v="3992525.3012000001"/>
    <n v="0"/>
    <n v="0"/>
    <n v="59"/>
    <x v="0"/>
  </r>
  <r>
    <x v="1431"/>
    <s v="C0111"/>
    <x v="3"/>
    <d v="2024-05-11T00:00:00"/>
    <d v="2024-08-09T00:00:00"/>
    <s v="EUR"/>
    <n v="35019.129999999997"/>
    <d v="2024-09-05T00:00:00"/>
    <s v="PAID"/>
    <s v="Y"/>
    <n v="90.267600000000002"/>
    <n v="35019.129999999997"/>
    <n v="89.997600000000006"/>
    <n v="3151637.6540879998"/>
    <n v="0"/>
    <n v="0"/>
    <n v="27"/>
    <x v="0"/>
  </r>
  <r>
    <x v="1432"/>
    <s v="C0193"/>
    <x v="2"/>
    <d v="2024-05-11T00:00:00"/>
    <d v="2024-06-25T00:00:00"/>
    <s v="EUR"/>
    <n v="165837.59"/>
    <d v="2024-07-12T00:00:00"/>
    <s v="PAID"/>
    <s v="Y"/>
    <n v="90.132599999999996"/>
    <n v="165837.59"/>
    <n v="89.997600000000006"/>
    <n v="14924985.089784"/>
    <n v="0"/>
    <n v="0"/>
    <n v="17"/>
    <x v="0"/>
  </r>
  <r>
    <x v="1433"/>
    <s v="C0009"/>
    <x v="3"/>
    <d v="2024-05-13T00:00:00"/>
    <d v="2024-07-12T00:00:00"/>
    <s v="INR"/>
    <n v="4012018"/>
    <d v="2024-07-10T00:00:00"/>
    <s v="PAID"/>
    <s v="N"/>
    <m/>
    <n v="4012018"/>
    <n v="1"/>
    <n v="4012018"/>
    <n v="0"/>
    <n v="0"/>
    <n v="-2"/>
    <x v="0"/>
  </r>
  <r>
    <x v="1434"/>
    <s v="C0218"/>
    <x v="3"/>
    <d v="2024-05-13T00:00:00"/>
    <d v="2024-06-27T00:00:00"/>
    <s v="INR"/>
    <n v="2310590"/>
    <d v="2024-07-15T00:00:00"/>
    <s v="PAID"/>
    <s v="N"/>
    <m/>
    <n v="2310590"/>
    <n v="1"/>
    <n v="2310590"/>
    <n v="0"/>
    <n v="0"/>
    <n v="18"/>
    <x v="0"/>
  </r>
  <r>
    <x v="1435"/>
    <s v="C0228"/>
    <x v="3"/>
    <d v="2024-05-13T00:00:00"/>
    <d v="2024-06-27T00:00:00"/>
    <s v="INR"/>
    <n v="36780209"/>
    <d v="2024-07-08T00:00:00"/>
    <s v="PAID"/>
    <s v="N"/>
    <m/>
    <n v="36780209"/>
    <n v="1"/>
    <n v="36780209"/>
    <n v="0"/>
    <n v="0"/>
    <n v="11"/>
    <x v="0"/>
  </r>
  <r>
    <x v="1436"/>
    <s v="C0013"/>
    <x v="4"/>
    <d v="2024-05-14T00:00:00"/>
    <d v="2024-06-28T00:00:00"/>
    <s v="USD"/>
    <n v="75071.22"/>
    <d v="2024-07-26T00:00:00"/>
    <s v="PAID"/>
    <s v="Y"/>
    <n v="83.708699999999993"/>
    <n v="75071.22"/>
    <n v="83.5"/>
    <n v="6268446.8700000001"/>
    <n v="0"/>
    <n v="0"/>
    <n v="28"/>
    <x v="0"/>
  </r>
  <r>
    <x v="1437"/>
    <s v="C0050"/>
    <x v="0"/>
    <d v="2024-05-14T00:00:00"/>
    <d v="2024-07-13T00:00:00"/>
    <s v="INR"/>
    <n v="10987995"/>
    <d v="2024-07-28T00:00:00"/>
    <s v="PAID"/>
    <s v="N"/>
    <m/>
    <n v="10987995"/>
    <n v="1"/>
    <n v="10987995"/>
    <n v="0"/>
    <n v="0"/>
    <n v="15"/>
    <x v="0"/>
  </r>
  <r>
    <x v="1438"/>
    <s v="C0037"/>
    <x v="2"/>
    <d v="2024-05-15T00:00:00"/>
    <d v="2024-06-14T00:00:00"/>
    <s v="INR"/>
    <n v="3813014"/>
    <d v="2024-06-16T00:00:00"/>
    <s v="PAID"/>
    <s v="N"/>
    <m/>
    <n v="3813014"/>
    <n v="1"/>
    <n v="3813014"/>
    <n v="0"/>
    <n v="0"/>
    <n v="2"/>
    <x v="0"/>
  </r>
  <r>
    <x v="1439"/>
    <s v="C0054"/>
    <x v="4"/>
    <d v="2024-05-15T00:00:00"/>
    <d v="2024-07-14T00:00:00"/>
    <s v="EUR"/>
    <n v="90541.54"/>
    <d v="2024-07-14T00:00:00"/>
    <s v="PAID"/>
    <s v="Y"/>
    <n v="90.818899999999999"/>
    <n v="90541.54"/>
    <n v="90.637600000000006"/>
    <n v="8206467.8859040001"/>
    <n v="0"/>
    <n v="0"/>
    <n v="0"/>
    <x v="0"/>
  </r>
  <r>
    <x v="1440"/>
    <s v="C0213"/>
    <x v="2"/>
    <d v="2024-05-15T00:00:00"/>
    <d v="2024-07-14T00:00:00"/>
    <s v="EUR"/>
    <n v="81372.02"/>
    <d v="2024-07-28T00:00:00"/>
    <s v="PAID"/>
    <s v="N"/>
    <m/>
    <n v="81372.02"/>
    <n v="90.637600000000006"/>
    <n v="7375364.5999520011"/>
    <n v="0"/>
    <n v="0"/>
    <n v="14"/>
    <x v="0"/>
  </r>
  <r>
    <x v="1441"/>
    <s v="C0236"/>
    <x v="3"/>
    <d v="2024-05-15T00:00:00"/>
    <d v="2024-07-14T00:00:00"/>
    <s v="EUR"/>
    <n v="63321.03"/>
    <d v="2024-08-23T00:00:00"/>
    <s v="PAID"/>
    <s v="Y"/>
    <n v="90.818899999999999"/>
    <n v="63321.03"/>
    <n v="90.637600000000006"/>
    <n v="5739266.188728"/>
    <n v="0"/>
    <n v="0"/>
    <n v="40"/>
    <x v="0"/>
  </r>
  <r>
    <x v="1442"/>
    <s v="C0102"/>
    <x v="2"/>
    <d v="2024-05-16T00:00:00"/>
    <d v="2024-07-15T00:00:00"/>
    <s v="USD"/>
    <n v="42687.11"/>
    <d v="2024-10-01T00:00:00"/>
    <s v="PAID"/>
    <s v="N"/>
    <m/>
    <n v="42687.11"/>
    <n v="83.46"/>
    <n v="3562666.2005999996"/>
    <n v="0"/>
    <n v="0"/>
    <n v="78"/>
    <x v="0"/>
  </r>
  <r>
    <x v="1443"/>
    <s v="C0111"/>
    <x v="3"/>
    <d v="2024-05-16T00:00:00"/>
    <d v="2024-08-14T00:00:00"/>
    <s v="EUR"/>
    <n v="165772.20000000001"/>
    <d v="2024-09-16T00:00:00"/>
    <s v="PAID"/>
    <s v="Y"/>
    <n v="91.034999999999997"/>
    <n v="165772.20000000001"/>
    <n v="90.762699999999995"/>
    <n v="15045932.456940001"/>
    <n v="0"/>
    <n v="0"/>
    <n v="33"/>
    <x v="0"/>
  </r>
  <r>
    <x v="1444"/>
    <s v="C0112"/>
    <x v="1"/>
    <d v="2024-05-16T00:00:00"/>
    <d v="2024-06-30T00:00:00"/>
    <s v="INR"/>
    <n v="9025986"/>
    <d v="2024-11-10T00:00:00"/>
    <s v="PAID"/>
    <s v="N"/>
    <m/>
    <n v="9025986"/>
    <n v="1"/>
    <n v="9025986"/>
    <n v="0"/>
    <n v="0"/>
    <n v="133"/>
    <x v="0"/>
  </r>
  <r>
    <x v="1445"/>
    <s v="C0216"/>
    <x v="1"/>
    <d v="2024-05-16T00:00:00"/>
    <d v="2024-07-15T00:00:00"/>
    <s v="USD"/>
    <n v="31746.9"/>
    <d v="2024-07-25T00:00:00"/>
    <s v="PAID"/>
    <s v="Y"/>
    <n v="83.738200000000006"/>
    <n v="31746.9"/>
    <n v="83.46"/>
    <n v="2649596.2739999997"/>
    <n v="0"/>
    <n v="0"/>
    <n v="10"/>
    <x v="0"/>
  </r>
  <r>
    <x v="1446"/>
    <s v="C0236"/>
    <x v="3"/>
    <d v="2024-05-16T00:00:00"/>
    <d v="2024-07-15T00:00:00"/>
    <s v="EUR"/>
    <n v="135529.04999999999"/>
    <d v="2024-08-21T00:00:00"/>
    <s v="PARTIALLY PAID"/>
    <s v="Y"/>
    <n v="90.944199999999995"/>
    <n v="80618.16"/>
    <n v="90.762699999999995"/>
    <n v="12300982.506434998"/>
    <n v="4983860.6358029982"/>
    <n v="259"/>
    <n v="37"/>
    <x v="1"/>
  </r>
  <r>
    <x v="1447"/>
    <s v="C0211"/>
    <x v="3"/>
    <d v="2024-05-17T00:00:00"/>
    <d v="2024-07-01T00:00:00"/>
    <s v="INR"/>
    <n v="3003092"/>
    <d v="2024-07-13T00:00:00"/>
    <s v="PARTIALLY PAID"/>
    <s v="N"/>
    <m/>
    <n v="1526385.4"/>
    <n v="1"/>
    <n v="3003092"/>
    <n v="1476706.6"/>
    <n v="273"/>
    <n v="12"/>
    <x v="1"/>
  </r>
  <r>
    <x v="1448"/>
    <s v="C0236"/>
    <x v="3"/>
    <d v="2024-05-17T00:00:00"/>
    <d v="2024-07-16T00:00:00"/>
    <s v="EUR"/>
    <n v="83364.36"/>
    <d v="2024-09-28T00:00:00"/>
    <s v="PAID"/>
    <s v="Y"/>
    <n v="90.763400000000004"/>
    <n v="83364.36"/>
    <n v="90.5822"/>
    <n v="7551327.1303920001"/>
    <n v="0"/>
    <n v="0"/>
    <n v="74"/>
    <x v="0"/>
  </r>
  <r>
    <x v="1449"/>
    <s v="C0003"/>
    <x v="0"/>
    <d v="2024-05-18T00:00:00"/>
    <d v="2024-07-02T00:00:00"/>
    <s v="INR"/>
    <n v="19806411"/>
    <d v="2024-09-03T00:00:00"/>
    <s v="PARTIALLY PAID"/>
    <s v="N"/>
    <m/>
    <n v="12295738"/>
    <n v="1"/>
    <n v="19806411"/>
    <n v="7510673"/>
    <n v="272"/>
    <n v="63"/>
    <x v="1"/>
  </r>
  <r>
    <x v="1450"/>
    <s v="C0030"/>
    <x v="3"/>
    <d v="2024-05-18T00:00:00"/>
    <d v="2024-07-17T00:00:00"/>
    <s v="INR"/>
    <n v="2433006"/>
    <d v="2024-07-28T00:00:00"/>
    <s v="PAID"/>
    <s v="N"/>
    <m/>
    <n v="2433006"/>
    <n v="1"/>
    <n v="2433006"/>
    <n v="0"/>
    <n v="0"/>
    <n v="11"/>
    <x v="0"/>
  </r>
  <r>
    <x v="1451"/>
    <s v="C0111"/>
    <x v="3"/>
    <d v="2024-05-18T00:00:00"/>
    <d v="2024-08-16T00:00:00"/>
    <s v="EUR"/>
    <n v="58106.78"/>
    <d v="2024-09-22T00:00:00"/>
    <s v="PAID"/>
    <s v="N"/>
    <m/>
    <n v="58106.78"/>
    <n v="90.5822"/>
    <n v="5263439.9673159998"/>
    <n v="0"/>
    <n v="0"/>
    <n v="37"/>
    <x v="0"/>
  </r>
  <r>
    <x v="1452"/>
    <s v="C0163"/>
    <x v="4"/>
    <d v="2024-05-18T00:00:00"/>
    <d v="2024-07-17T00:00:00"/>
    <s v="EUR"/>
    <n v="66944.77"/>
    <d v="2024-07-28T00:00:00"/>
    <s v="PAID"/>
    <s v="N"/>
    <m/>
    <n v="66944.77"/>
    <n v="90.5822"/>
    <n v="6064004.5450940002"/>
    <n v="0"/>
    <n v="0"/>
    <n v="11"/>
    <x v="0"/>
  </r>
  <r>
    <x v="1453"/>
    <s v="C0227"/>
    <x v="2"/>
    <d v="2024-05-18T00:00:00"/>
    <d v="2024-07-02T00:00:00"/>
    <s v="INR"/>
    <n v="2756643"/>
    <d v="2024-07-09T00:00:00"/>
    <s v="PAID"/>
    <s v="N"/>
    <m/>
    <n v="2756643"/>
    <n v="1"/>
    <n v="2756643"/>
    <n v="0"/>
    <n v="0"/>
    <n v="7"/>
    <x v="0"/>
  </r>
  <r>
    <x v="1454"/>
    <s v="C0236"/>
    <x v="3"/>
    <d v="2024-05-18T00:00:00"/>
    <d v="2024-07-17T00:00:00"/>
    <s v="EUR"/>
    <n v="54000.44"/>
    <d v="2024-09-04T00:00:00"/>
    <s v="PAID"/>
    <s v="Y"/>
    <n v="90.763400000000004"/>
    <n v="54000.44"/>
    <n v="90.5822"/>
    <n v="4891478.6561679998"/>
    <n v="0"/>
    <n v="0"/>
    <n v="49"/>
    <x v="0"/>
  </r>
  <r>
    <x v="1455"/>
    <s v="C0114"/>
    <x v="3"/>
    <d v="2024-05-20T00:00:00"/>
    <d v="2024-07-19T00:00:00"/>
    <s v="INR"/>
    <n v="4771190"/>
    <d v="2024-08-19T00:00:00"/>
    <s v="PAID"/>
    <s v="N"/>
    <m/>
    <n v="4771190"/>
    <n v="1"/>
    <n v="4771190"/>
    <n v="0"/>
    <n v="0"/>
    <n v="31"/>
    <x v="0"/>
  </r>
  <r>
    <x v="1456"/>
    <s v="C0228"/>
    <x v="3"/>
    <d v="2024-05-20T00:00:00"/>
    <d v="2024-07-04T00:00:00"/>
    <s v="INR"/>
    <n v="10727462"/>
    <d v="2024-07-15T00:00:00"/>
    <s v="PAID"/>
    <s v="N"/>
    <m/>
    <n v="10727462"/>
    <n v="1"/>
    <n v="10727462"/>
    <n v="0"/>
    <n v="0"/>
    <n v="11"/>
    <x v="0"/>
  </r>
  <r>
    <x v="1457"/>
    <s v="C0244"/>
    <x v="3"/>
    <d v="2024-05-20T00:00:00"/>
    <d v="2024-07-19T00:00:00"/>
    <s v="INR"/>
    <n v="2056957"/>
    <d v="2024-09-19T00:00:00"/>
    <s v="PAID"/>
    <s v="N"/>
    <m/>
    <n v="2056957"/>
    <n v="1"/>
    <n v="2056957"/>
    <n v="0"/>
    <n v="0"/>
    <n v="62"/>
    <x v="0"/>
  </r>
  <r>
    <x v="1458"/>
    <s v="C0059"/>
    <x v="3"/>
    <d v="2024-05-21T00:00:00"/>
    <d v="2024-06-20T00:00:00"/>
    <s v="INR"/>
    <n v="1199665"/>
    <d v="2024-06-24T00:00:00"/>
    <s v="PAID"/>
    <s v="N"/>
    <m/>
    <n v="1199665"/>
    <n v="1"/>
    <n v="1199665"/>
    <n v="0"/>
    <n v="0"/>
    <n v="4"/>
    <x v="0"/>
  </r>
  <r>
    <x v="1459"/>
    <s v="C0081"/>
    <x v="0"/>
    <d v="2024-05-21T00:00:00"/>
    <d v="2024-06-20T00:00:00"/>
    <s v="INR"/>
    <n v="3889777"/>
    <d v="2024-07-07T00:00:00"/>
    <s v="PAID"/>
    <s v="N"/>
    <m/>
    <n v="3889777"/>
    <n v="1"/>
    <n v="3889777"/>
    <n v="0"/>
    <n v="0"/>
    <n v="17"/>
    <x v="0"/>
  </r>
  <r>
    <x v="1460"/>
    <s v="C0159"/>
    <x v="4"/>
    <d v="2024-05-21T00:00:00"/>
    <d v="2024-07-05T00:00:00"/>
    <s v="INR"/>
    <n v="4780732"/>
    <d v="2024-07-08T00:00:00"/>
    <s v="PARTIALLY PAID"/>
    <s v="N"/>
    <m/>
    <n v="3075778.65"/>
    <n v="1"/>
    <n v="4780732"/>
    <n v="1704953.35"/>
    <n v="269"/>
    <n v="3"/>
    <x v="1"/>
  </r>
  <r>
    <x v="1461"/>
    <s v="C0233"/>
    <x v="0"/>
    <d v="2024-05-21T00:00:00"/>
    <d v="2024-07-20T00:00:00"/>
    <s v="INR"/>
    <n v="7648212"/>
    <d v="2024-08-08T00:00:00"/>
    <s v="PAID"/>
    <s v="N"/>
    <m/>
    <n v="7648212"/>
    <n v="1"/>
    <n v="7648212"/>
    <n v="0"/>
    <n v="0"/>
    <n v="19"/>
    <x v="0"/>
  </r>
  <r>
    <x v="1462"/>
    <s v="C0033"/>
    <x v="2"/>
    <d v="2024-05-22T00:00:00"/>
    <d v="2024-08-20T00:00:00"/>
    <s v="USD"/>
    <n v="193588.42"/>
    <d v="2024-09-22T00:00:00"/>
    <s v="PAID"/>
    <s v="N"/>
    <m/>
    <n v="193588.42"/>
    <n v="83.26"/>
    <n v="16118171.849200003"/>
    <n v="0"/>
    <n v="0"/>
    <n v="33"/>
    <x v="0"/>
  </r>
  <r>
    <x v="1463"/>
    <s v="C0075"/>
    <x v="1"/>
    <d v="2024-05-22T00:00:00"/>
    <d v="2024-06-21T00:00:00"/>
    <s v="INR"/>
    <n v="4230080"/>
    <d v="2024-07-06T00:00:00"/>
    <s v="PAID"/>
    <s v="N"/>
    <m/>
    <n v="4230080"/>
    <n v="1"/>
    <n v="4230080"/>
    <n v="0"/>
    <n v="0"/>
    <n v="15"/>
    <x v="0"/>
  </r>
  <r>
    <x v="1464"/>
    <s v="C0077"/>
    <x v="0"/>
    <d v="2024-05-22T00:00:00"/>
    <d v="2024-07-21T00:00:00"/>
    <s v="INR"/>
    <n v="600000"/>
    <d v="2024-07-18T00:00:00"/>
    <s v="PAID"/>
    <s v="N"/>
    <m/>
    <n v="600000"/>
    <n v="1"/>
    <n v="600000"/>
    <n v="0"/>
    <n v="0"/>
    <n v="-3"/>
    <x v="0"/>
  </r>
  <r>
    <x v="1465"/>
    <s v="C0185"/>
    <x v="3"/>
    <d v="2024-05-22T00:00:00"/>
    <d v="2024-07-21T00:00:00"/>
    <s v="INR"/>
    <n v="3380795"/>
    <d v="2024-08-08T00:00:00"/>
    <s v="PAID"/>
    <s v="N"/>
    <m/>
    <n v="3380795"/>
    <n v="1"/>
    <n v="3380795"/>
    <n v="0"/>
    <n v="0"/>
    <n v="18"/>
    <x v="0"/>
  </r>
  <r>
    <x v="1466"/>
    <s v="C0202"/>
    <x v="3"/>
    <d v="2024-05-22T00:00:00"/>
    <d v="2024-07-06T00:00:00"/>
    <s v="USD"/>
    <n v="17558.400000000001"/>
    <d v="2024-07-06T00:00:00"/>
    <s v="PAID"/>
    <s v="Y"/>
    <n v="83.468100000000007"/>
    <n v="17558.400000000001"/>
    <n v="83.26"/>
    <n v="1461912.3840000003"/>
    <n v="0"/>
    <n v="0"/>
    <n v="0"/>
    <x v="0"/>
  </r>
  <r>
    <x v="1467"/>
    <s v="C0212"/>
    <x v="2"/>
    <d v="2024-05-22T00:00:00"/>
    <d v="2024-08-20T00:00:00"/>
    <s v="INR"/>
    <n v="3358430"/>
    <d v="2024-08-24T00:00:00"/>
    <s v="PAID"/>
    <s v="N"/>
    <m/>
    <n v="3358430"/>
    <n v="1"/>
    <n v="3358430"/>
    <n v="0"/>
    <n v="0"/>
    <n v="4"/>
    <x v="0"/>
  </r>
  <r>
    <x v="1468"/>
    <s v="C0111"/>
    <x v="3"/>
    <d v="2024-05-23T00:00:00"/>
    <d v="2024-08-21T00:00:00"/>
    <s v="EUR"/>
    <n v="22871.95"/>
    <d v="2024-09-12T00:00:00"/>
    <s v="PAID"/>
    <s v="Y"/>
    <n v="90.426900000000003"/>
    <n v="22871.95"/>
    <n v="90.156400000000005"/>
    <n v="2062052.6729800003"/>
    <n v="0"/>
    <n v="0"/>
    <n v="22"/>
    <x v="0"/>
  </r>
  <r>
    <x v="1469"/>
    <s v="C0133"/>
    <x v="1"/>
    <d v="2024-05-23T00:00:00"/>
    <d v="2024-08-21T00:00:00"/>
    <s v="USD"/>
    <n v="53291.37"/>
    <d v="2024-08-29T00:00:00"/>
    <s v="PAID"/>
    <s v="N"/>
    <m/>
    <n v="53291.37"/>
    <n v="83.27"/>
    <n v="4437572.3799000001"/>
    <n v="0"/>
    <n v="0"/>
    <n v="8"/>
    <x v="0"/>
  </r>
  <r>
    <x v="1470"/>
    <s v="C0100"/>
    <x v="4"/>
    <d v="2024-05-24T00:00:00"/>
    <d v="2024-07-23T00:00:00"/>
    <s v="USD"/>
    <n v="37157.11"/>
    <d v="2024-08-06T00:00:00"/>
    <s v="PAID"/>
    <s v="N"/>
    <m/>
    <n v="37157.11"/>
    <n v="83.09"/>
    <n v="3087384.2699000002"/>
    <n v="0"/>
    <n v="0"/>
    <n v="14"/>
    <x v="0"/>
  </r>
  <r>
    <x v="1471"/>
    <s v="C0106"/>
    <x v="3"/>
    <d v="2024-05-24T00:00:00"/>
    <d v="2024-07-08T00:00:00"/>
    <s v="USD"/>
    <n v="57804.5"/>
    <d v="2024-07-18T00:00:00"/>
    <s v="PAID"/>
    <s v="Y"/>
    <n v="83.297700000000006"/>
    <n v="57804.5"/>
    <n v="83.09"/>
    <n v="4802975.9050000003"/>
    <n v="0"/>
    <n v="0"/>
    <n v="10"/>
    <x v="0"/>
  </r>
  <r>
    <x v="1472"/>
    <s v="C0111"/>
    <x v="3"/>
    <d v="2024-05-24T00:00:00"/>
    <d v="2024-08-22T00:00:00"/>
    <s v="EUR"/>
    <n v="252711.44"/>
    <d v="2024-09-21T00:00:00"/>
    <s v="PAID"/>
    <s v="Y"/>
    <n v="90.439800000000005"/>
    <n v="252711.44"/>
    <n v="90.169300000000007"/>
    <n v="22786813.646792002"/>
    <n v="0"/>
    <n v="0"/>
    <n v="30"/>
    <x v="0"/>
  </r>
  <r>
    <x v="1473"/>
    <s v="C0130"/>
    <x v="0"/>
    <d v="2024-05-24T00:00:00"/>
    <d v="2024-06-23T00:00:00"/>
    <s v="INR"/>
    <n v="2738053"/>
    <d v="2024-06-26T00:00:00"/>
    <s v="PAID"/>
    <s v="N"/>
    <m/>
    <n v="2738053"/>
    <n v="1"/>
    <n v="2738053"/>
    <n v="0"/>
    <n v="0"/>
    <n v="3"/>
    <x v="0"/>
  </r>
  <r>
    <x v="1474"/>
    <s v="C0133"/>
    <x v="1"/>
    <d v="2024-05-24T00:00:00"/>
    <d v="2024-08-22T00:00:00"/>
    <s v="USD"/>
    <n v="104987.05"/>
    <d v="2024-09-15T00:00:00"/>
    <s v="PAID"/>
    <s v="Y"/>
    <n v="83.505399999999995"/>
    <n v="104987.05"/>
    <n v="83.09"/>
    <n v="8723373.9845000003"/>
    <n v="0"/>
    <n v="0"/>
    <n v="24"/>
    <x v="0"/>
  </r>
  <r>
    <x v="1475"/>
    <s v="C0052"/>
    <x v="0"/>
    <d v="2024-05-25T00:00:00"/>
    <d v="2024-06-24T00:00:00"/>
    <s v="INR"/>
    <n v="9724586"/>
    <d v="2024-07-07T00:00:00"/>
    <s v="PAID"/>
    <s v="N"/>
    <m/>
    <n v="9724586"/>
    <n v="1"/>
    <n v="9724586"/>
    <n v="0"/>
    <n v="0"/>
    <n v="13"/>
    <x v="0"/>
  </r>
  <r>
    <x v="1476"/>
    <s v="C0070"/>
    <x v="1"/>
    <d v="2024-05-25T00:00:00"/>
    <d v="2024-07-09T00:00:00"/>
    <s v="INR"/>
    <n v="2340786"/>
    <d v="2024-07-20T00:00:00"/>
    <s v="PAID"/>
    <s v="N"/>
    <m/>
    <n v="2340786"/>
    <n v="1"/>
    <n v="2340786"/>
    <n v="0"/>
    <n v="0"/>
    <n v="11"/>
    <x v="0"/>
  </r>
  <r>
    <x v="1477"/>
    <s v="C0099"/>
    <x v="3"/>
    <d v="2024-05-25T00:00:00"/>
    <d v="2024-07-24T00:00:00"/>
    <s v="EUR"/>
    <n v="152229.23000000001"/>
    <d v="2024-07-28T00:00:00"/>
    <s v="PAID"/>
    <s v="Y"/>
    <n v="90.349599999999995"/>
    <n v="152229.23000000001"/>
    <n v="90.169300000000007"/>
    <n v="13726403.108639002"/>
    <n v="0"/>
    <n v="0"/>
    <n v="4"/>
    <x v="0"/>
  </r>
  <r>
    <x v="1478"/>
    <s v="C0111"/>
    <x v="3"/>
    <d v="2024-05-25T00:00:00"/>
    <d v="2024-08-23T00:00:00"/>
    <s v="EUR"/>
    <n v="45007.81"/>
    <d v="2024-10-08T00:00:00"/>
    <s v="PAID"/>
    <s v="Y"/>
    <n v="90.439800000000005"/>
    <n v="45007.81"/>
    <n v="90.169300000000007"/>
    <n v="4058322.7222330002"/>
    <n v="0"/>
    <n v="0"/>
    <n v="46"/>
    <x v="0"/>
  </r>
  <r>
    <x v="1479"/>
    <s v="C0036"/>
    <x v="1"/>
    <d v="2024-05-27T00:00:00"/>
    <d v="2024-07-11T00:00:00"/>
    <s v="INR"/>
    <n v="5258115"/>
    <d v="2024-07-09T00:00:00"/>
    <s v="PAID"/>
    <s v="N"/>
    <m/>
    <n v="5258115"/>
    <n v="1"/>
    <n v="5258115"/>
    <n v="0"/>
    <n v="0"/>
    <n v="-2"/>
    <x v="0"/>
  </r>
  <r>
    <x v="1480"/>
    <s v="C0057"/>
    <x v="3"/>
    <d v="2024-05-27T00:00:00"/>
    <d v="2024-06-26T00:00:00"/>
    <s v="INR"/>
    <n v="15122251"/>
    <d v="2024-06-27T00:00:00"/>
    <s v="PAID"/>
    <s v="N"/>
    <m/>
    <n v="15122251"/>
    <n v="1"/>
    <n v="15122251"/>
    <n v="0"/>
    <n v="0"/>
    <n v="1"/>
    <x v="0"/>
  </r>
  <r>
    <x v="1481"/>
    <s v="C0078"/>
    <x v="0"/>
    <d v="2024-05-27T00:00:00"/>
    <d v="2024-07-11T00:00:00"/>
    <s v="INR"/>
    <n v="1884759"/>
    <d v="2024-07-07T00:00:00"/>
    <s v="PAID"/>
    <s v="N"/>
    <m/>
    <n v="1884759"/>
    <n v="1"/>
    <n v="1884759"/>
    <n v="0"/>
    <n v="0"/>
    <n v="-4"/>
    <x v="0"/>
  </r>
  <r>
    <x v="1482"/>
    <s v="C0082"/>
    <x v="4"/>
    <d v="2024-05-27T00:00:00"/>
    <d v="2024-07-26T00:00:00"/>
    <s v="INR"/>
    <n v="2923860"/>
    <d v="2024-08-03T00:00:00"/>
    <s v="PAID"/>
    <s v="N"/>
    <m/>
    <n v="2923860"/>
    <n v="1"/>
    <n v="2923860"/>
    <n v="0"/>
    <n v="0"/>
    <n v="8"/>
    <x v="0"/>
  </r>
  <r>
    <x v="1483"/>
    <s v="C0099"/>
    <x v="3"/>
    <d v="2024-05-27T00:00:00"/>
    <d v="2024-07-26T00:00:00"/>
    <s v="EUR"/>
    <n v="114200.95"/>
    <d v="2024-09-02T00:00:00"/>
    <s v="PAID"/>
    <s v="N"/>
    <m/>
    <n v="114200.95"/>
    <n v="90.169300000000007"/>
    <n v="10297419.720835"/>
    <n v="0"/>
    <n v="0"/>
    <n v="38"/>
    <x v="0"/>
  </r>
  <r>
    <x v="1484"/>
    <s v="C0141"/>
    <x v="3"/>
    <d v="2024-05-27T00:00:00"/>
    <d v="2024-07-26T00:00:00"/>
    <s v="INR"/>
    <n v="4508274"/>
    <d v="2024-08-06T00:00:00"/>
    <s v="PAID"/>
    <s v="N"/>
    <m/>
    <n v="4508274"/>
    <n v="1"/>
    <n v="4508274"/>
    <n v="0"/>
    <n v="0"/>
    <n v="11"/>
    <x v="0"/>
  </r>
  <r>
    <x v="1485"/>
    <s v="C0236"/>
    <x v="3"/>
    <d v="2024-05-27T00:00:00"/>
    <d v="2024-07-26T00:00:00"/>
    <s v="EUR"/>
    <n v="53631.45"/>
    <d v="2024-09-25T00:00:00"/>
    <s v="PAID"/>
    <s v="Y"/>
    <n v="90.349599999999995"/>
    <n v="53631.45"/>
    <n v="90.169300000000007"/>
    <n v="4835910.3044849997"/>
    <n v="0"/>
    <n v="0"/>
    <n v="61"/>
    <x v="0"/>
  </r>
  <r>
    <x v="1486"/>
    <s v="C0056"/>
    <x v="3"/>
    <d v="2024-05-28T00:00:00"/>
    <d v="2024-07-27T00:00:00"/>
    <s v="INR"/>
    <n v="11569223"/>
    <d v="2024-08-13T00:00:00"/>
    <s v="PAID"/>
    <s v="N"/>
    <m/>
    <n v="11569223"/>
    <n v="1"/>
    <n v="11569223"/>
    <n v="0"/>
    <n v="0"/>
    <n v="17"/>
    <x v="0"/>
  </r>
  <r>
    <x v="1487"/>
    <s v="C0057"/>
    <x v="3"/>
    <d v="2024-05-28T00:00:00"/>
    <d v="2024-06-27T00:00:00"/>
    <s v="INR"/>
    <n v="13858214"/>
    <d v="2024-06-25T00:00:00"/>
    <s v="PAID"/>
    <s v="N"/>
    <m/>
    <n v="13858214"/>
    <n v="1"/>
    <n v="13858214"/>
    <n v="0"/>
    <n v="0"/>
    <n v="-2"/>
    <x v="0"/>
  </r>
  <r>
    <x v="1488"/>
    <s v="C0222"/>
    <x v="2"/>
    <d v="2024-05-28T00:00:00"/>
    <d v="2024-07-27T00:00:00"/>
    <s v="EUR"/>
    <n v="120500.22"/>
    <d v="2024-08-19T00:00:00"/>
    <s v="PAID"/>
    <s v="Y"/>
    <n v="90.650700000000001"/>
    <n v="120500.22"/>
    <n v="90.469800000000006"/>
    <n v="10901630.803356001"/>
    <n v="0"/>
    <n v="0"/>
    <n v="23"/>
    <x v="0"/>
  </r>
  <r>
    <x v="1489"/>
    <s v="C0230"/>
    <x v="0"/>
    <d v="2024-05-28T00:00:00"/>
    <d v="2024-06-27T00:00:00"/>
    <s v="INR"/>
    <n v="5899322"/>
    <d v="2024-07-10T00:00:00"/>
    <s v="PAID"/>
    <s v="N"/>
    <m/>
    <n v="5899322"/>
    <n v="1"/>
    <n v="5899322"/>
    <n v="0"/>
    <n v="0"/>
    <n v="13"/>
    <x v="0"/>
  </r>
  <r>
    <x v="1490"/>
    <s v="C0238"/>
    <x v="2"/>
    <d v="2024-05-28T00:00:00"/>
    <d v="2024-07-27T00:00:00"/>
    <s v="INR"/>
    <n v="3794656"/>
    <d v="2024-07-27T00:00:00"/>
    <s v="PAID"/>
    <s v="N"/>
    <m/>
    <n v="3794656"/>
    <n v="1"/>
    <n v="3794656"/>
    <n v="0"/>
    <n v="0"/>
    <n v="0"/>
    <x v="0"/>
  </r>
  <r>
    <x v="1491"/>
    <s v="C0028"/>
    <x v="0"/>
    <d v="2024-05-29T00:00:00"/>
    <d v="2024-06-28T00:00:00"/>
    <s v="INR"/>
    <n v="2651884"/>
    <d v="2024-06-28T00:00:00"/>
    <s v="PAID"/>
    <s v="N"/>
    <m/>
    <n v="2651884"/>
    <n v="1"/>
    <n v="2651884"/>
    <n v="0"/>
    <n v="0"/>
    <n v="0"/>
    <x v="0"/>
  </r>
  <r>
    <x v="1492"/>
    <s v="C0050"/>
    <x v="0"/>
    <d v="2024-05-29T00:00:00"/>
    <d v="2024-07-28T00:00:00"/>
    <s v="INR"/>
    <n v="11898983"/>
    <d v="2024-08-03T00:00:00"/>
    <s v="PAID"/>
    <s v="N"/>
    <m/>
    <n v="11898983"/>
    <n v="1"/>
    <n v="11898983"/>
    <n v="0"/>
    <n v="0"/>
    <n v="6"/>
    <x v="0"/>
  </r>
  <r>
    <x v="1493"/>
    <s v="C0203"/>
    <x v="1"/>
    <d v="2024-05-29T00:00:00"/>
    <d v="2024-07-13T00:00:00"/>
    <s v="INR"/>
    <n v="13925553"/>
    <d v="2024-07-13T00:00:00"/>
    <s v="PAID"/>
    <s v="N"/>
    <m/>
    <n v="13925553"/>
    <n v="1"/>
    <n v="13925553"/>
    <n v="0"/>
    <n v="0"/>
    <n v="0"/>
    <x v="0"/>
  </r>
  <r>
    <x v="1494"/>
    <s v="C0005"/>
    <x v="2"/>
    <d v="2024-05-30T00:00:00"/>
    <d v="2024-06-29T00:00:00"/>
    <s v="INR"/>
    <n v="3180331"/>
    <d v="2024-07-15T00:00:00"/>
    <s v="PAID"/>
    <s v="N"/>
    <m/>
    <n v="3180331"/>
    <n v="1"/>
    <n v="3180331"/>
    <n v="0"/>
    <n v="0"/>
    <n v="16"/>
    <x v="0"/>
  </r>
  <r>
    <x v="1495"/>
    <s v="C0035"/>
    <x v="0"/>
    <d v="2024-05-30T00:00:00"/>
    <d v="2024-07-14T00:00:00"/>
    <s v="INR"/>
    <n v="2265066"/>
    <d v="2024-07-12T00:00:00"/>
    <s v="PAID"/>
    <s v="N"/>
    <m/>
    <n v="2265066"/>
    <n v="1"/>
    <n v="2265066"/>
    <n v="0"/>
    <n v="0"/>
    <n v="-2"/>
    <x v="0"/>
  </r>
  <r>
    <x v="1496"/>
    <s v="C0057"/>
    <x v="3"/>
    <d v="2024-05-30T00:00:00"/>
    <d v="2024-06-29T00:00:00"/>
    <s v="INR"/>
    <n v="4439848"/>
    <d v="2024-07-04T00:00:00"/>
    <s v="PAID"/>
    <s v="N"/>
    <m/>
    <n v="4439848"/>
    <n v="1"/>
    <n v="4439848"/>
    <n v="0"/>
    <n v="0"/>
    <n v="5"/>
    <x v="0"/>
  </r>
  <r>
    <x v="1497"/>
    <s v="C0063"/>
    <x v="2"/>
    <d v="2024-05-31T00:00:00"/>
    <d v="2024-07-30T00:00:00"/>
    <s v="INR"/>
    <n v="16680522"/>
    <d v="2024-07-27T00:00:00"/>
    <s v="PAID"/>
    <s v="N"/>
    <m/>
    <n v="16680522"/>
    <n v="1"/>
    <n v="16680522"/>
    <n v="0"/>
    <n v="0"/>
    <n v="-3"/>
    <x v="0"/>
  </r>
  <r>
    <x v="1498"/>
    <s v="C0218"/>
    <x v="3"/>
    <d v="2024-05-31T00:00:00"/>
    <d v="2024-07-15T00:00:00"/>
    <s v="INR"/>
    <n v="7184804"/>
    <d v="2024-07-29T00:00:00"/>
    <s v="PAID"/>
    <s v="N"/>
    <m/>
    <n v="7184804"/>
    <n v="1"/>
    <n v="7184804"/>
    <n v="0"/>
    <n v="0"/>
    <n v="14"/>
    <x v="0"/>
  </r>
  <r>
    <x v="1499"/>
    <s v="C0006"/>
    <x v="1"/>
    <d v="2024-06-01T00:00:00"/>
    <d v="2024-07-01T00:00:00"/>
    <s v="EUR"/>
    <n v="473804.14"/>
    <d v="2024-08-07T00:00:00"/>
    <s v="PAID"/>
    <s v="N"/>
    <m/>
    <n v="473804.14"/>
    <n v="90.488200000000006"/>
    <n v="42873683.781148002"/>
    <n v="0"/>
    <n v="0"/>
    <n v="37"/>
    <x v="0"/>
  </r>
  <r>
    <x v="1500"/>
    <s v="C0009"/>
    <x v="3"/>
    <d v="2024-06-01T00:00:00"/>
    <d v="2024-07-31T00:00:00"/>
    <s v="INR"/>
    <n v="1420781"/>
    <d v="2024-08-03T00:00:00"/>
    <s v="PAID"/>
    <s v="N"/>
    <m/>
    <n v="1420781"/>
    <n v="1"/>
    <n v="1420781"/>
    <n v="0"/>
    <n v="0"/>
    <n v="3"/>
    <x v="0"/>
  </r>
  <r>
    <x v="1501"/>
    <s v="C0013"/>
    <x v="4"/>
    <d v="2024-06-01T00:00:00"/>
    <d v="2024-07-16T00:00:00"/>
    <s v="USD"/>
    <n v="341327.53"/>
    <d v="2024-07-26T00:00:00"/>
    <s v="PAID"/>
    <s v="N"/>
    <m/>
    <n v="341327.53"/>
    <n v="83.43"/>
    <n v="28476955.827900004"/>
    <n v="0"/>
    <n v="0"/>
    <n v="10"/>
    <x v="0"/>
  </r>
  <r>
    <x v="1502"/>
    <s v="C0040"/>
    <x v="2"/>
    <d v="2024-06-01T00:00:00"/>
    <d v="2024-07-01T00:00:00"/>
    <s v="EUR"/>
    <n v="41240.39"/>
    <d v="2024-07-30T00:00:00"/>
    <s v="PAID"/>
    <s v="N"/>
    <m/>
    <n v="41240.39"/>
    <n v="90.488200000000006"/>
    <n v="3731768.6583980001"/>
    <n v="0"/>
    <n v="0"/>
    <n v="29"/>
    <x v="0"/>
  </r>
  <r>
    <x v="1503"/>
    <s v="C0073"/>
    <x v="1"/>
    <d v="2024-06-01T00:00:00"/>
    <d v="2024-07-01T00:00:00"/>
    <s v="USD"/>
    <n v="305715.25"/>
    <d v="2024-08-14T00:00:00"/>
    <s v="PAID"/>
    <s v="N"/>
    <m/>
    <n v="305715.25"/>
    <n v="83.43"/>
    <n v="25505823.307500001"/>
    <n v="0"/>
    <n v="0"/>
    <n v="44"/>
    <x v="0"/>
  </r>
  <r>
    <x v="1504"/>
    <s v="C0107"/>
    <x v="1"/>
    <d v="2024-06-01T00:00:00"/>
    <d v="2024-07-01T00:00:00"/>
    <s v="INR"/>
    <n v="2986676"/>
    <d v="2024-11-03T00:00:00"/>
    <s v="PAID"/>
    <s v="N"/>
    <m/>
    <n v="2986676"/>
    <n v="1"/>
    <n v="2986676"/>
    <n v="0"/>
    <n v="0"/>
    <n v="125"/>
    <x v="0"/>
  </r>
  <r>
    <x v="1505"/>
    <s v="C0207"/>
    <x v="4"/>
    <d v="2024-06-01T00:00:00"/>
    <d v="2024-07-31T00:00:00"/>
    <s v="INR"/>
    <n v="8550394"/>
    <d v="2024-07-27T00:00:00"/>
    <s v="PAID"/>
    <s v="N"/>
    <m/>
    <n v="8550394"/>
    <n v="1"/>
    <n v="8550394"/>
    <n v="0"/>
    <n v="0"/>
    <n v="-4"/>
    <x v="0"/>
  </r>
  <r>
    <x v="1506"/>
    <s v="C0228"/>
    <x v="0"/>
    <d v="2024-06-01T00:00:00"/>
    <d v="2024-07-16T00:00:00"/>
    <s v="INR"/>
    <n v="9741016"/>
    <d v="2024-07-25T00:00:00"/>
    <s v="PAID"/>
    <s v="N"/>
    <m/>
    <n v="9741016"/>
    <n v="1"/>
    <n v="9741016"/>
    <n v="0"/>
    <n v="0"/>
    <n v="9"/>
    <x v="0"/>
  </r>
  <r>
    <x v="1507"/>
    <s v="C0232"/>
    <x v="2"/>
    <d v="2024-06-01T00:00:00"/>
    <d v="2024-08-30T00:00:00"/>
    <s v="EUR"/>
    <n v="311574.43"/>
    <d v="2024-09-07T00:00:00"/>
    <s v="PAID"/>
    <s v="N"/>
    <m/>
    <n v="311574.43"/>
    <n v="90.488200000000006"/>
    <n v="28193809.336726002"/>
    <n v="0"/>
    <n v="0"/>
    <n v="8"/>
    <x v="0"/>
  </r>
  <r>
    <x v="1508"/>
    <s v="C0238"/>
    <x v="2"/>
    <d v="2024-06-01T00:00:00"/>
    <d v="2024-07-31T00:00:00"/>
    <s v="INR"/>
    <n v="11583608"/>
    <d v="2024-08-02T00:00:00"/>
    <s v="PAID"/>
    <s v="N"/>
    <m/>
    <n v="11583608"/>
    <n v="1"/>
    <n v="11583608"/>
    <n v="0"/>
    <n v="0"/>
    <n v="2"/>
    <x v="0"/>
  </r>
  <r>
    <x v="1509"/>
    <s v="C0240"/>
    <x v="2"/>
    <d v="2024-06-01T00:00:00"/>
    <d v="2024-07-01T00:00:00"/>
    <s v="INR"/>
    <n v="3612879"/>
    <d v="2024-07-23T00:00:00"/>
    <s v="PAID"/>
    <s v="N"/>
    <m/>
    <n v="3612879"/>
    <n v="1"/>
    <n v="3612879"/>
    <n v="0"/>
    <n v="0"/>
    <n v="22"/>
    <x v="0"/>
  </r>
  <r>
    <x v="1510"/>
    <s v="C0057"/>
    <x v="3"/>
    <d v="2024-06-03T00:00:00"/>
    <d v="2024-07-03T00:00:00"/>
    <s v="INR"/>
    <n v="10364169"/>
    <d v="2024-07-03T00:00:00"/>
    <s v="PAID"/>
    <s v="N"/>
    <m/>
    <n v="10364169"/>
    <n v="1"/>
    <n v="10364169"/>
    <n v="0"/>
    <n v="0"/>
    <n v="0"/>
    <x v="0"/>
  </r>
  <r>
    <x v="1511"/>
    <s v="C0058"/>
    <x v="3"/>
    <d v="2024-06-03T00:00:00"/>
    <d v="2024-07-03T00:00:00"/>
    <s v="INR"/>
    <n v="4232682"/>
    <d v="2024-07-04T00:00:00"/>
    <s v="PAID"/>
    <s v="N"/>
    <m/>
    <n v="4232682"/>
    <n v="1"/>
    <n v="4232682"/>
    <n v="0"/>
    <n v="0"/>
    <n v="1"/>
    <x v="0"/>
  </r>
  <r>
    <x v="1512"/>
    <s v="C0166"/>
    <x v="4"/>
    <d v="2024-06-03T00:00:00"/>
    <d v="2024-09-01T00:00:00"/>
    <s v="INR"/>
    <n v="8177846"/>
    <d v="2024-09-10T00:00:00"/>
    <s v="PAID"/>
    <s v="N"/>
    <m/>
    <n v="8177846"/>
    <n v="1"/>
    <n v="8177846"/>
    <n v="0"/>
    <n v="0"/>
    <n v="9"/>
    <x v="0"/>
  </r>
  <r>
    <x v="1513"/>
    <s v="C0006"/>
    <x v="1"/>
    <d v="2024-06-04T00:00:00"/>
    <d v="2024-07-04T00:00:00"/>
    <s v="EUR"/>
    <n v="55818.37"/>
    <d v="2024-07-17T00:00:00"/>
    <s v="PAID"/>
    <s v="N"/>
    <m/>
    <n v="55818.37"/>
    <n v="90.853099999999998"/>
    <n v="5071271.9514469998"/>
    <n v="0"/>
    <n v="0"/>
    <n v="13"/>
    <x v="0"/>
  </r>
  <r>
    <x v="1514"/>
    <s v="C0094"/>
    <x v="0"/>
    <d v="2024-06-04T00:00:00"/>
    <d v="2024-07-19T00:00:00"/>
    <s v="INR"/>
    <n v="4797621"/>
    <d v="2024-07-18T00:00:00"/>
    <s v="PAID"/>
    <s v="N"/>
    <m/>
    <n v="4797621"/>
    <n v="1"/>
    <n v="4797621"/>
    <n v="0"/>
    <n v="0"/>
    <n v="-1"/>
    <x v="0"/>
  </r>
  <r>
    <x v="1515"/>
    <s v="C0165"/>
    <x v="3"/>
    <d v="2024-06-04T00:00:00"/>
    <d v="2024-07-04T00:00:00"/>
    <s v="USD"/>
    <n v="46409.34"/>
    <d v="2024-07-12T00:00:00"/>
    <s v="PAID"/>
    <s v="N"/>
    <m/>
    <n v="46409.34"/>
    <n v="83.52"/>
    <n v="3876108.0767999995"/>
    <n v="0"/>
    <n v="0"/>
    <n v="8"/>
    <x v="0"/>
  </r>
  <r>
    <x v="1516"/>
    <s v="C0076"/>
    <x v="0"/>
    <d v="2024-06-05T00:00:00"/>
    <d v="2024-08-04T00:00:00"/>
    <s v="INR"/>
    <n v="1046680"/>
    <d v="2024-09-13T00:00:00"/>
    <s v="PAID"/>
    <s v="N"/>
    <m/>
    <n v="1046680"/>
    <n v="1"/>
    <n v="1046680"/>
    <n v="0"/>
    <n v="0"/>
    <n v="40"/>
    <x v="0"/>
  </r>
  <r>
    <x v="1517"/>
    <s v="C0236"/>
    <x v="3"/>
    <d v="2024-06-05T00:00:00"/>
    <d v="2024-08-04T00:00:00"/>
    <s v="EUR"/>
    <n v="77291.429999999993"/>
    <d v="2024-09-06T00:00:00"/>
    <s v="PAID"/>
    <s v="Y"/>
    <n v="90.762699999999995"/>
    <n v="77291.429999999993"/>
    <n v="90.581500000000005"/>
    <n v="7001173.6665449999"/>
    <n v="0"/>
    <n v="0"/>
    <n v="33"/>
    <x v="0"/>
  </r>
  <r>
    <x v="1518"/>
    <s v="C0050"/>
    <x v="0"/>
    <d v="2024-06-06T00:00:00"/>
    <d v="2024-08-05T00:00:00"/>
    <s v="INR"/>
    <n v="16665204"/>
    <d v="2024-08-23T00:00:00"/>
    <s v="PAID"/>
    <s v="N"/>
    <m/>
    <n v="16665204"/>
    <n v="1"/>
    <n v="16665204"/>
    <n v="0"/>
    <n v="0"/>
    <n v="18"/>
    <x v="0"/>
  </r>
  <r>
    <x v="1519"/>
    <s v="C0146"/>
    <x v="3"/>
    <d v="2024-06-06T00:00:00"/>
    <d v="2024-08-05T00:00:00"/>
    <s v="USD"/>
    <n v="186080.4"/>
    <d v="2024-08-11T00:00:00"/>
    <s v="PAID"/>
    <s v="Y"/>
    <n v="83.748199999999997"/>
    <n v="186080.4"/>
    <n v="83.47"/>
    <n v="15532130.988"/>
    <n v="0"/>
    <n v="0"/>
    <n v="6"/>
    <x v="0"/>
  </r>
  <r>
    <x v="1520"/>
    <s v="C0010"/>
    <x v="1"/>
    <d v="2024-06-07T00:00:00"/>
    <d v="2024-08-06T00:00:00"/>
    <s v="USD"/>
    <n v="160243.5"/>
    <d v="2024-08-10T00:00:00"/>
    <s v="PAID"/>
    <s v="N"/>
    <m/>
    <n v="160243.5"/>
    <n v="83.38"/>
    <n v="13361103.029999999"/>
    <n v="0"/>
    <n v="0"/>
    <n v="4"/>
    <x v="0"/>
  </r>
  <r>
    <x v="1521"/>
    <s v="C0025"/>
    <x v="3"/>
    <d v="2024-06-07T00:00:00"/>
    <d v="2024-07-22T00:00:00"/>
    <s v="USD"/>
    <n v="82427.33"/>
    <d v="2024-08-02T00:00:00"/>
    <s v="PAID"/>
    <s v="Y"/>
    <n v="83.588399999999993"/>
    <n v="82427.33"/>
    <n v="83.38"/>
    <n v="6872790.7753999997"/>
    <n v="0"/>
    <n v="0"/>
    <n v="11"/>
    <x v="0"/>
  </r>
  <r>
    <x v="1522"/>
    <s v="C0203"/>
    <x v="0"/>
    <d v="2024-06-07T00:00:00"/>
    <d v="2024-07-22T00:00:00"/>
    <s v="INR"/>
    <n v="3762976"/>
    <d v="2024-07-26T00:00:00"/>
    <s v="PAID"/>
    <s v="N"/>
    <m/>
    <n v="3762976"/>
    <n v="1"/>
    <n v="3762976"/>
    <n v="0"/>
    <n v="0"/>
    <n v="4"/>
    <x v="0"/>
  </r>
  <r>
    <x v="1523"/>
    <s v="C0219"/>
    <x v="2"/>
    <d v="2024-06-07T00:00:00"/>
    <d v="2024-07-07T00:00:00"/>
    <s v="INR"/>
    <n v="13152675"/>
    <d v="2024-07-08T00:00:00"/>
    <s v="PAID"/>
    <s v="N"/>
    <m/>
    <n v="13152675"/>
    <n v="1"/>
    <n v="13152675"/>
    <n v="0"/>
    <n v="0"/>
    <n v="1"/>
    <x v="0"/>
  </r>
  <r>
    <x v="1524"/>
    <s v="C0007"/>
    <x v="3"/>
    <d v="2024-06-08T00:00:00"/>
    <d v="2024-07-08T00:00:00"/>
    <s v="USD"/>
    <n v="100447.84"/>
    <d v="2024-09-14T00:00:00"/>
    <s v="PAID"/>
    <s v="Y"/>
    <n v="83.519000000000005"/>
    <n v="100447.84"/>
    <n v="83.38"/>
    <n v="8375340.8991999989"/>
    <n v="0"/>
    <n v="0"/>
    <n v="68"/>
    <x v="0"/>
  </r>
  <r>
    <x v="1525"/>
    <s v="C0019"/>
    <x v="2"/>
    <d v="2024-06-08T00:00:00"/>
    <d v="2024-09-06T00:00:00"/>
    <s v="EUR"/>
    <n v="184522.02"/>
    <d v="2024-10-03T00:00:00"/>
    <s v="PAID"/>
    <s v="N"/>
    <m/>
    <n v="184522.02"/>
    <n v="90.108800000000002"/>
    <n v="16627057.795776"/>
    <n v="0"/>
    <n v="0"/>
    <n v="27"/>
    <x v="0"/>
  </r>
  <r>
    <x v="1526"/>
    <s v="C0032"/>
    <x v="0"/>
    <d v="2024-06-08T00:00:00"/>
    <d v="2024-08-07T00:00:00"/>
    <s v="INR"/>
    <n v="3763551"/>
    <d v="2024-08-11T00:00:00"/>
    <s v="PAID"/>
    <s v="N"/>
    <m/>
    <n v="3763551"/>
    <n v="1"/>
    <n v="3763551"/>
    <n v="0"/>
    <n v="0"/>
    <n v="4"/>
    <x v="0"/>
  </r>
  <r>
    <x v="1527"/>
    <s v="C0046"/>
    <x v="0"/>
    <d v="2024-06-08T00:00:00"/>
    <d v="2024-07-08T00:00:00"/>
    <s v="INR"/>
    <n v="8129831"/>
    <d v="2024-07-07T00:00:00"/>
    <s v="PAID"/>
    <s v="N"/>
    <m/>
    <n v="8129831"/>
    <n v="1"/>
    <n v="8129831"/>
    <n v="0"/>
    <n v="0"/>
    <n v="-1"/>
    <x v="0"/>
  </r>
  <r>
    <x v="1528"/>
    <s v="C0050"/>
    <x v="0"/>
    <d v="2024-06-08T00:00:00"/>
    <d v="2024-08-07T00:00:00"/>
    <s v="INR"/>
    <n v="5101831"/>
    <d v="2024-08-07T00:00:00"/>
    <s v="PAID"/>
    <s v="N"/>
    <m/>
    <n v="5101831"/>
    <n v="1"/>
    <n v="5101831"/>
    <n v="0"/>
    <n v="0"/>
    <n v="0"/>
    <x v="0"/>
  </r>
  <r>
    <x v="1529"/>
    <s v="C0056"/>
    <x v="1"/>
    <d v="2024-06-08T00:00:00"/>
    <d v="2024-08-07T00:00:00"/>
    <s v="INR"/>
    <n v="8651194"/>
    <d v="2024-08-16T00:00:00"/>
    <s v="PAID"/>
    <s v="N"/>
    <m/>
    <n v="8651194"/>
    <n v="1"/>
    <n v="8651194"/>
    <n v="0"/>
    <n v="0"/>
    <n v="9"/>
    <x v="0"/>
  </r>
  <r>
    <x v="1530"/>
    <s v="C0070"/>
    <x v="1"/>
    <d v="2024-06-08T00:00:00"/>
    <d v="2024-07-23T00:00:00"/>
    <s v="INR"/>
    <n v="2211487"/>
    <d v="2024-08-07T00:00:00"/>
    <s v="PAID"/>
    <s v="N"/>
    <m/>
    <n v="2211487"/>
    <n v="1"/>
    <n v="2211487"/>
    <n v="0"/>
    <n v="0"/>
    <n v="15"/>
    <x v="0"/>
  </r>
  <r>
    <x v="1531"/>
    <s v="C0082"/>
    <x v="4"/>
    <d v="2024-06-08T00:00:00"/>
    <d v="2024-08-07T00:00:00"/>
    <s v="INR"/>
    <n v="4088996"/>
    <d v="2024-08-25T00:00:00"/>
    <s v="PAID"/>
    <s v="N"/>
    <m/>
    <n v="4088996"/>
    <n v="1"/>
    <n v="4088996"/>
    <n v="0"/>
    <n v="0"/>
    <n v="18"/>
    <x v="0"/>
  </r>
  <r>
    <x v="1532"/>
    <s v="C0151"/>
    <x v="2"/>
    <d v="2024-06-08T00:00:00"/>
    <d v="2024-07-08T00:00:00"/>
    <s v="INR"/>
    <n v="6579461"/>
    <d v="2024-07-10T00:00:00"/>
    <s v="PAID"/>
    <s v="N"/>
    <m/>
    <n v="6579461"/>
    <n v="1"/>
    <n v="6579461"/>
    <n v="0"/>
    <n v="0"/>
    <n v="2"/>
    <x v="0"/>
  </r>
  <r>
    <x v="1533"/>
    <s v="C0197"/>
    <x v="0"/>
    <d v="2024-06-08T00:00:00"/>
    <d v="2024-07-23T00:00:00"/>
    <s v="INR"/>
    <n v="15247796"/>
    <d v="2024-07-25T00:00:00"/>
    <s v="PAID"/>
    <s v="N"/>
    <m/>
    <n v="15247796"/>
    <n v="1"/>
    <n v="15247796"/>
    <n v="0"/>
    <n v="0"/>
    <n v="2"/>
    <x v="0"/>
  </r>
  <r>
    <x v="1534"/>
    <s v="C0213"/>
    <x v="1"/>
    <d v="2024-06-08T00:00:00"/>
    <d v="2024-08-07T00:00:00"/>
    <s v="EUR"/>
    <n v="75850.53"/>
    <d v="2024-08-11T00:00:00"/>
    <s v="PAID"/>
    <s v="N"/>
    <m/>
    <n v="75850.53"/>
    <n v="90.108800000000002"/>
    <n v="6834800.2376640001"/>
    <n v="0"/>
    <n v="0"/>
    <n v="4"/>
    <x v="0"/>
  </r>
  <r>
    <x v="1535"/>
    <s v="C0233"/>
    <x v="0"/>
    <d v="2024-06-08T00:00:00"/>
    <d v="2024-08-07T00:00:00"/>
    <s v="INR"/>
    <n v="1340445"/>
    <d v="2024-08-15T00:00:00"/>
    <s v="PAID"/>
    <s v="N"/>
    <m/>
    <n v="1340445"/>
    <n v="1"/>
    <n v="1340445"/>
    <n v="0"/>
    <n v="0"/>
    <n v="8"/>
    <x v="0"/>
  </r>
  <r>
    <x v="1536"/>
    <s v="C0010"/>
    <x v="1"/>
    <d v="2024-06-10T00:00:00"/>
    <d v="2024-08-09T00:00:00"/>
    <s v="USD"/>
    <n v="86699.19"/>
    <d v="2024-08-07T00:00:00"/>
    <s v="PARTIALLY PAID"/>
    <s v="N"/>
    <m/>
    <n v="46224.89"/>
    <n v="83.5"/>
    <n v="7239382.3650000002"/>
    <n v="3379604.0500000003"/>
    <n v="234"/>
    <n v="-2"/>
    <x v="1"/>
  </r>
  <r>
    <x v="1537"/>
    <s v="C0019"/>
    <x v="2"/>
    <d v="2024-06-10T00:00:00"/>
    <d v="2024-09-08T00:00:00"/>
    <s v="EUR"/>
    <n v="20357.37"/>
    <d v="2024-09-24T00:00:00"/>
    <s v="PAID"/>
    <s v="N"/>
    <m/>
    <n v="20357.37"/>
    <n v="89.770799999999994"/>
    <n v="1827497.3907959999"/>
    <n v="0"/>
    <n v="0"/>
    <n v="16"/>
    <x v="0"/>
  </r>
  <r>
    <x v="1538"/>
    <s v="C0057"/>
    <x v="3"/>
    <d v="2024-06-10T00:00:00"/>
    <d v="2024-07-10T00:00:00"/>
    <s v="INR"/>
    <n v="3800738"/>
    <d v="2024-07-16T00:00:00"/>
    <s v="PAID"/>
    <s v="N"/>
    <m/>
    <n v="3800738"/>
    <n v="1"/>
    <n v="3800738"/>
    <n v="0"/>
    <n v="0"/>
    <n v="6"/>
    <x v="0"/>
  </r>
  <r>
    <x v="1539"/>
    <s v="C0161"/>
    <x v="4"/>
    <d v="2024-06-10T00:00:00"/>
    <d v="2024-09-08T00:00:00"/>
    <s v="USD"/>
    <n v="162312.97"/>
    <d v="2024-09-18T00:00:00"/>
    <s v="PAID"/>
    <s v="Y"/>
    <n v="83.917500000000004"/>
    <n v="162312.97"/>
    <n v="83.5"/>
    <n v="13553132.994999999"/>
    <n v="0"/>
    <n v="0"/>
    <n v="10"/>
    <x v="0"/>
  </r>
  <r>
    <x v="1540"/>
    <s v="C0168"/>
    <x v="3"/>
    <d v="2024-06-10T00:00:00"/>
    <d v="2024-08-09T00:00:00"/>
    <s v="INR"/>
    <n v="20001800"/>
    <d v="2024-08-15T00:00:00"/>
    <s v="PAID"/>
    <s v="N"/>
    <m/>
    <n v="20001800"/>
    <n v="1"/>
    <n v="20001800"/>
    <n v="0"/>
    <n v="0"/>
    <n v="6"/>
    <x v="0"/>
  </r>
  <r>
    <x v="1541"/>
    <s v="C0173"/>
    <x v="4"/>
    <d v="2024-06-10T00:00:00"/>
    <d v="2024-08-09T00:00:00"/>
    <s v="EUR"/>
    <n v="62581.78"/>
    <d v="2024-08-18T00:00:00"/>
    <s v="PAID"/>
    <s v="Y"/>
    <n v="89.950299999999999"/>
    <n v="62581.78"/>
    <n v="89.770799999999994"/>
    <n v="5618016.4560239995"/>
    <n v="0"/>
    <n v="0"/>
    <n v="9"/>
    <x v="0"/>
  </r>
  <r>
    <x v="1542"/>
    <s v="C0177"/>
    <x v="4"/>
    <d v="2024-06-10T00:00:00"/>
    <d v="2024-08-09T00:00:00"/>
    <s v="EUR"/>
    <n v="190036.31"/>
    <d v="2024-08-08T00:00:00"/>
    <s v="PAID"/>
    <s v="N"/>
    <m/>
    <n v="190036.31"/>
    <n v="89.770799999999994"/>
    <n v="17059711.577747997"/>
    <n v="0"/>
    <n v="0"/>
    <n v="-1"/>
    <x v="0"/>
  </r>
  <r>
    <x v="1543"/>
    <s v="C0231"/>
    <x v="0"/>
    <d v="2024-06-10T00:00:00"/>
    <d v="2024-07-10T00:00:00"/>
    <s v="INR"/>
    <n v="1866148"/>
    <d v="2024-07-23T00:00:00"/>
    <s v="PAID"/>
    <s v="N"/>
    <m/>
    <n v="1866148"/>
    <n v="1"/>
    <n v="1866148"/>
    <n v="0"/>
    <n v="0"/>
    <n v="13"/>
    <x v="0"/>
  </r>
  <r>
    <x v="1544"/>
    <s v="C0018"/>
    <x v="0"/>
    <d v="2024-06-11T00:00:00"/>
    <d v="2024-07-11T00:00:00"/>
    <s v="INR"/>
    <n v="4753448"/>
    <d v="2024-07-30T00:00:00"/>
    <s v="PAID"/>
    <s v="N"/>
    <m/>
    <n v="4753448"/>
    <n v="1"/>
    <n v="4753448"/>
    <n v="0"/>
    <n v="0"/>
    <n v="19"/>
    <x v="0"/>
  </r>
  <r>
    <x v="1545"/>
    <s v="C0073"/>
    <x v="1"/>
    <d v="2024-06-11T00:00:00"/>
    <d v="2024-07-11T00:00:00"/>
    <s v="USD"/>
    <n v="343276.07"/>
    <d v="2024-09-08T00:00:00"/>
    <s v="PAID"/>
    <s v="N"/>
    <m/>
    <n v="343276.07"/>
    <n v="83.5"/>
    <n v="28663551.844999999"/>
    <n v="0"/>
    <n v="0"/>
    <n v="59"/>
    <x v="0"/>
  </r>
  <r>
    <x v="1546"/>
    <s v="C0246"/>
    <x v="4"/>
    <d v="2024-06-11T00:00:00"/>
    <d v="2024-08-10T00:00:00"/>
    <s v="USD"/>
    <n v="136938.87"/>
    <d v="2024-08-19T00:00:00"/>
    <s v="PAID"/>
    <s v="N"/>
    <m/>
    <n v="136938.87"/>
    <n v="83.5"/>
    <n v="11434395.645"/>
    <n v="0"/>
    <n v="0"/>
    <n v="9"/>
    <x v="0"/>
  </r>
  <r>
    <x v="1547"/>
    <s v="C0022"/>
    <x v="4"/>
    <d v="2024-06-12T00:00:00"/>
    <d v="2024-07-12T00:00:00"/>
    <s v="INR"/>
    <n v="10619898"/>
    <d v="2024-07-13T00:00:00"/>
    <s v="PAID"/>
    <s v="N"/>
    <m/>
    <n v="10619898"/>
    <n v="1"/>
    <n v="10619898"/>
    <n v="0"/>
    <n v="0"/>
    <n v="1"/>
    <x v="0"/>
  </r>
  <r>
    <x v="1548"/>
    <s v="C0111"/>
    <x v="3"/>
    <d v="2024-06-12T00:00:00"/>
    <d v="2024-09-10T00:00:00"/>
    <s v="EUR"/>
    <n v="25444.62"/>
    <d v="2024-09-30T00:00:00"/>
    <s v="PAID"/>
    <s v="Y"/>
    <n v="90.886799999999994"/>
    <n v="25444.62"/>
    <n v="90.614999999999995"/>
    <n v="2305664.2412999999"/>
    <n v="0"/>
    <n v="0"/>
    <n v="20"/>
    <x v="0"/>
  </r>
  <r>
    <x v="1549"/>
    <s v="C0111"/>
    <x v="3"/>
    <d v="2024-06-12T00:00:00"/>
    <d v="2024-09-10T00:00:00"/>
    <s v="EUR"/>
    <n v="228902.31"/>
    <d v="2024-11-02T00:00:00"/>
    <s v="PAID"/>
    <s v="N"/>
    <m/>
    <n v="228902.31"/>
    <n v="90.614999999999995"/>
    <n v="20741982.82065"/>
    <n v="0"/>
    <n v="0"/>
    <n v="53"/>
    <x v="0"/>
  </r>
  <r>
    <x v="1550"/>
    <s v="C0228"/>
    <x v="0"/>
    <d v="2024-06-12T00:00:00"/>
    <d v="2024-07-27T00:00:00"/>
    <s v="INR"/>
    <n v="9000056"/>
    <d v="2024-07-29T00:00:00"/>
    <s v="PAID"/>
    <s v="N"/>
    <m/>
    <n v="9000056"/>
    <n v="1"/>
    <n v="9000056"/>
    <n v="0"/>
    <n v="0"/>
    <n v="2"/>
    <x v="0"/>
  </r>
  <r>
    <x v="1551"/>
    <s v="C0233"/>
    <x v="0"/>
    <d v="2024-06-12T00:00:00"/>
    <d v="2024-08-11T00:00:00"/>
    <s v="INR"/>
    <n v="8481809"/>
    <d v="2024-08-26T00:00:00"/>
    <s v="PAID"/>
    <s v="N"/>
    <m/>
    <n v="8481809"/>
    <n v="1"/>
    <n v="8481809"/>
    <n v="0"/>
    <n v="0"/>
    <n v="15"/>
    <x v="0"/>
  </r>
  <r>
    <x v="1552"/>
    <s v="C0007"/>
    <x v="3"/>
    <d v="2024-06-13T00:00:00"/>
    <d v="2024-07-13T00:00:00"/>
    <s v="USD"/>
    <n v="110992.53"/>
    <d v="2024-08-09T00:00:00"/>
    <s v="PAID"/>
    <s v="Y"/>
    <n v="83.659199999999998"/>
    <n v="110992.53"/>
    <n v="83.52"/>
    <n v="9270096.1055999994"/>
    <n v="0"/>
    <n v="0"/>
    <n v="27"/>
    <x v="0"/>
  </r>
  <r>
    <x v="1553"/>
    <s v="C0009"/>
    <x v="3"/>
    <d v="2024-06-13T00:00:00"/>
    <d v="2024-08-12T00:00:00"/>
    <s v="INR"/>
    <n v="1837127"/>
    <d v="2024-08-08T00:00:00"/>
    <s v="PAID"/>
    <s v="N"/>
    <m/>
    <n v="1837127"/>
    <n v="1"/>
    <n v="1837127"/>
    <n v="0"/>
    <n v="0"/>
    <n v="-4"/>
    <x v="0"/>
  </r>
  <r>
    <x v="1554"/>
    <s v="C0033"/>
    <x v="2"/>
    <d v="2024-06-13T00:00:00"/>
    <d v="2024-09-11T00:00:00"/>
    <s v="USD"/>
    <n v="133558.51"/>
    <d v="2025-01-18T00:00:00"/>
    <s v="PAID"/>
    <s v="N"/>
    <m/>
    <n v="133558.51"/>
    <n v="83.52"/>
    <n v="11154806.7552"/>
    <n v="0"/>
    <n v="0"/>
    <n v="129"/>
    <x v="0"/>
  </r>
  <r>
    <x v="1555"/>
    <s v="C0063"/>
    <x v="2"/>
    <d v="2024-06-13T00:00:00"/>
    <d v="2024-08-12T00:00:00"/>
    <s v="INR"/>
    <n v="11808072"/>
    <d v="2024-08-14T00:00:00"/>
    <s v="PAID"/>
    <s v="N"/>
    <m/>
    <n v="11808072"/>
    <n v="1"/>
    <n v="11808072"/>
    <n v="0"/>
    <n v="0"/>
    <n v="2"/>
    <x v="0"/>
  </r>
  <r>
    <x v="1556"/>
    <s v="C0072"/>
    <x v="4"/>
    <d v="2024-06-13T00:00:00"/>
    <d v="2024-09-11T00:00:00"/>
    <s v="EUR"/>
    <n v="100374.93"/>
    <d v="2024-09-16T00:00:00"/>
    <s v="PARTIALLY PAID"/>
    <s v="N"/>
    <m/>
    <n v="83574.33"/>
    <n v="89.834100000000007"/>
    <n v="9017091.4991130009"/>
    <n v="1509266.7804599993"/>
    <n v="201"/>
    <n v="5"/>
    <x v="1"/>
  </r>
  <r>
    <x v="1557"/>
    <s v="C0164"/>
    <x v="3"/>
    <d v="2024-06-13T00:00:00"/>
    <d v="2024-08-12T00:00:00"/>
    <s v="USD"/>
    <n v="36657.519999999997"/>
    <m/>
    <s v="PAID"/>
    <s v="Y"/>
    <n v="83.798400000000001"/>
    <n v="36657.519999999997"/>
    <n v="83.52"/>
    <n v="3061636.0703999996"/>
    <n v="0"/>
    <n v="0"/>
    <s v=""/>
    <x v="0"/>
  </r>
  <r>
    <x v="1558"/>
    <s v="C0075"/>
    <x v="1"/>
    <d v="2024-06-14T00:00:00"/>
    <d v="2024-07-14T00:00:00"/>
    <s v="INR"/>
    <n v="4616267"/>
    <d v="2024-07-25T00:00:00"/>
    <s v="PARTIALLY PAID"/>
    <s v="N"/>
    <m/>
    <n v="2528313.5"/>
    <n v="1"/>
    <n v="4616267"/>
    <n v="2087953.5"/>
    <n v="260"/>
    <n v="11"/>
    <x v="1"/>
  </r>
  <r>
    <x v="1559"/>
    <s v="C0052"/>
    <x v="0"/>
    <d v="2024-06-15T00:00:00"/>
    <d v="2024-07-15T00:00:00"/>
    <s v="INR"/>
    <n v="1962801"/>
    <d v="2024-07-30T00:00:00"/>
    <s v="PAID"/>
    <s v="N"/>
    <m/>
    <n v="1962801"/>
    <n v="1"/>
    <n v="1962801"/>
    <n v="0"/>
    <n v="0"/>
    <n v="15"/>
    <x v="0"/>
  </r>
  <r>
    <x v="1560"/>
    <s v="C0073"/>
    <x v="1"/>
    <d v="2024-06-15T00:00:00"/>
    <d v="2024-07-15T00:00:00"/>
    <s v="USD"/>
    <n v="129023.16"/>
    <d v="2024-07-27T00:00:00"/>
    <s v="PAID"/>
    <s v="N"/>
    <m/>
    <n v="129023.16"/>
    <n v="83.54"/>
    <n v="10778594.786400001"/>
    <n v="0"/>
    <n v="0"/>
    <n v="12"/>
    <x v="0"/>
  </r>
  <r>
    <x v="1561"/>
    <s v="C0081"/>
    <x v="0"/>
    <d v="2024-06-15T00:00:00"/>
    <d v="2024-07-15T00:00:00"/>
    <s v="INR"/>
    <n v="4720386"/>
    <d v="2024-08-06T00:00:00"/>
    <s v="PAID"/>
    <s v="N"/>
    <m/>
    <n v="4720386"/>
    <n v="1"/>
    <n v="4720386"/>
    <n v="0"/>
    <n v="0"/>
    <n v="22"/>
    <x v="0"/>
  </r>
  <r>
    <x v="1562"/>
    <s v="C0164"/>
    <x v="3"/>
    <d v="2024-06-15T00:00:00"/>
    <d v="2024-08-14T00:00:00"/>
    <s v="USD"/>
    <n v="94406.35"/>
    <d v="2024-08-29T00:00:00"/>
    <s v="PAID"/>
    <s v="N"/>
    <m/>
    <n v="94406.35"/>
    <n v="83.54"/>
    <n v="7886706.4790000012"/>
    <n v="0"/>
    <n v="0"/>
    <n v="15"/>
    <x v="0"/>
  </r>
  <r>
    <x v="1563"/>
    <s v="C0173"/>
    <x v="4"/>
    <d v="2024-06-15T00:00:00"/>
    <d v="2024-08-14T00:00:00"/>
    <s v="EUR"/>
    <n v="40631.74"/>
    <d v="2024-08-27T00:00:00"/>
    <s v="PARTIALLY PAID"/>
    <s v="Y"/>
    <n v="89.558199999999999"/>
    <n v="34436.89"/>
    <n v="89.379400000000004"/>
    <n v="3631640.5421560002"/>
    <n v="553691.97608999989"/>
    <n v="229"/>
    <n v="13"/>
    <x v="1"/>
  </r>
  <r>
    <x v="1564"/>
    <s v="C0177"/>
    <x v="3"/>
    <d v="2024-06-15T00:00:00"/>
    <d v="2024-08-14T00:00:00"/>
    <s v="EUR"/>
    <n v="34515.47"/>
    <d v="2024-08-10T00:00:00"/>
    <s v="PAID"/>
    <s v="Y"/>
    <n v="89.558199999999999"/>
    <n v="34515.47"/>
    <n v="89.379400000000004"/>
    <n v="3084971.9993180004"/>
    <n v="0"/>
    <n v="0"/>
    <n v="-4"/>
    <x v="0"/>
  </r>
  <r>
    <x v="1565"/>
    <s v="C0236"/>
    <x v="3"/>
    <d v="2024-06-15T00:00:00"/>
    <d v="2024-08-14T00:00:00"/>
    <s v="EUR"/>
    <n v="58553.18"/>
    <d v="2024-09-27T00:00:00"/>
    <s v="PAID"/>
    <s v="Y"/>
    <n v="89.558199999999999"/>
    <n v="58553.18"/>
    <n v="89.379400000000004"/>
    <n v="5233448.0964919999"/>
    <n v="0"/>
    <n v="0"/>
    <n v="44"/>
    <x v="0"/>
  </r>
  <r>
    <x v="1566"/>
    <s v="C0238"/>
    <x v="2"/>
    <d v="2024-06-15T00:00:00"/>
    <d v="2024-08-14T00:00:00"/>
    <s v="INR"/>
    <n v="33607556"/>
    <d v="2024-08-20T00:00:00"/>
    <s v="PAID"/>
    <s v="N"/>
    <m/>
    <n v="33607556"/>
    <n v="1"/>
    <n v="33607556"/>
    <n v="0"/>
    <n v="0"/>
    <n v="6"/>
    <x v="0"/>
  </r>
  <r>
    <x v="1567"/>
    <s v="C0216"/>
    <x v="1"/>
    <d v="2024-06-17T00:00:00"/>
    <d v="2024-08-16T00:00:00"/>
    <s v="USD"/>
    <n v="64077.440000000002"/>
    <d v="2024-08-29T00:00:00"/>
    <s v="PAID"/>
    <s v="Y"/>
    <n v="83.798400000000001"/>
    <n v="64077.440000000002"/>
    <n v="83.52"/>
    <n v="5351747.7888000002"/>
    <n v="0"/>
    <n v="0"/>
    <n v="13"/>
    <x v="0"/>
  </r>
  <r>
    <x v="1568"/>
    <s v="C0228"/>
    <x v="0"/>
    <d v="2024-06-17T00:00:00"/>
    <d v="2024-08-01T00:00:00"/>
    <s v="INR"/>
    <n v="21392656"/>
    <d v="2024-08-07T00:00:00"/>
    <s v="PARTIALLY PAID"/>
    <s v="N"/>
    <m/>
    <n v="13519382.65"/>
    <n v="1"/>
    <n v="21392656"/>
    <n v="7873273.3499999996"/>
    <n v="242"/>
    <n v="6"/>
    <x v="1"/>
  </r>
  <r>
    <x v="1569"/>
    <s v="C0011"/>
    <x v="0"/>
    <d v="2024-06-18T00:00:00"/>
    <d v="2024-08-02T00:00:00"/>
    <s v="INR"/>
    <n v="13366734"/>
    <d v="2024-08-15T00:00:00"/>
    <s v="PAID"/>
    <s v="N"/>
    <m/>
    <n v="13366734"/>
    <n v="1"/>
    <n v="13366734"/>
    <n v="0"/>
    <n v="0"/>
    <n v="13"/>
    <x v="0"/>
  </r>
  <r>
    <x v="1570"/>
    <s v="C0072"/>
    <x v="4"/>
    <d v="2024-06-18T00:00:00"/>
    <d v="2024-09-16T00:00:00"/>
    <s v="EUR"/>
    <n v="102034.26"/>
    <d v="2024-10-08T00:00:00"/>
    <s v="PAID"/>
    <s v="N"/>
    <m/>
    <n v="102034.26"/>
    <n v="89.584699999999998"/>
    <n v="9140708.5718219988"/>
    <n v="0"/>
    <n v="0"/>
    <n v="22"/>
    <x v="0"/>
  </r>
  <r>
    <x v="1571"/>
    <s v="C0135"/>
    <x v="1"/>
    <d v="2024-06-18T00:00:00"/>
    <d v="2024-08-17T00:00:00"/>
    <s v="EUR"/>
    <n v="62828.2"/>
    <d v="2024-08-28T00:00:00"/>
    <s v="PAID"/>
    <s v="N"/>
    <m/>
    <n v="62828.2"/>
    <n v="89.584699999999998"/>
    <n v="5628445.4485399993"/>
    <n v="0"/>
    <n v="0"/>
    <n v="11"/>
    <x v="0"/>
  </r>
  <r>
    <x v="1572"/>
    <s v="C0043"/>
    <x v="1"/>
    <d v="2024-06-19T00:00:00"/>
    <d v="2024-08-03T00:00:00"/>
    <s v="INR"/>
    <n v="11999071"/>
    <d v="2024-08-04T00:00:00"/>
    <s v="PAID"/>
    <s v="N"/>
    <m/>
    <n v="11999071"/>
    <n v="1"/>
    <n v="11999071"/>
    <n v="0"/>
    <n v="0"/>
    <n v="1"/>
    <x v="0"/>
  </r>
  <r>
    <x v="1573"/>
    <s v="C0054"/>
    <x v="4"/>
    <d v="2024-06-19T00:00:00"/>
    <d v="2024-08-18T00:00:00"/>
    <s v="EUR"/>
    <n v="26520.73"/>
    <d v="2024-09-10T00:00:00"/>
    <s v="PARTIALLY PAID"/>
    <s v="N"/>
    <m/>
    <n v="20814.8"/>
    <n v="89.584699999999998"/>
    <n v="2375851.6408309997"/>
    <n v="511164.02727100003"/>
    <n v="225"/>
    <n v="23"/>
    <x v="1"/>
  </r>
  <r>
    <x v="1574"/>
    <s v="C0091"/>
    <x v="2"/>
    <d v="2024-06-19T00:00:00"/>
    <d v="2024-08-18T00:00:00"/>
    <s v="USD"/>
    <n v="327513.45"/>
    <d v="2024-08-29T00:00:00"/>
    <s v="PAID"/>
    <s v="N"/>
    <m/>
    <n v="327513.45"/>
    <n v="83.42"/>
    <n v="27321171.999000002"/>
    <n v="0"/>
    <n v="0"/>
    <n v="11"/>
    <x v="0"/>
  </r>
  <r>
    <x v="1575"/>
    <s v="C0146"/>
    <x v="3"/>
    <d v="2024-06-19T00:00:00"/>
    <d v="2024-08-18T00:00:00"/>
    <s v="USD"/>
    <n v="69159.05"/>
    <d v="2024-09-04T00:00:00"/>
    <s v="PAID"/>
    <s v="Y"/>
    <n v="83.698099999999997"/>
    <n v="69159.05"/>
    <n v="83.42"/>
    <n v="5769247.9510000004"/>
    <n v="0"/>
    <n v="0"/>
    <n v="17"/>
    <x v="0"/>
  </r>
  <r>
    <x v="1576"/>
    <s v="C0189"/>
    <x v="1"/>
    <d v="2024-06-19T00:00:00"/>
    <d v="2024-08-03T00:00:00"/>
    <s v="INR"/>
    <n v="11768735"/>
    <d v="2024-10-02T00:00:00"/>
    <s v="PAID"/>
    <s v="N"/>
    <m/>
    <n v="11768735"/>
    <n v="1"/>
    <n v="11768735"/>
    <n v="0"/>
    <n v="0"/>
    <n v="60"/>
    <x v="0"/>
  </r>
  <r>
    <x v="1577"/>
    <s v="C0141"/>
    <x v="3"/>
    <d v="2024-06-20T00:00:00"/>
    <d v="2024-08-19T00:00:00"/>
    <s v="INR"/>
    <n v="1206232"/>
    <d v="2024-08-26T00:00:00"/>
    <s v="PAID"/>
    <s v="N"/>
    <m/>
    <n v="1206232"/>
    <n v="1"/>
    <n v="1206232"/>
    <n v="0"/>
    <n v="0"/>
    <n v="7"/>
    <x v="0"/>
  </r>
  <r>
    <x v="1578"/>
    <s v="C0144"/>
    <x v="2"/>
    <d v="2024-06-20T00:00:00"/>
    <d v="2024-08-04T00:00:00"/>
    <s v="INR"/>
    <n v="7229651"/>
    <d v="2024-08-03T00:00:00"/>
    <s v="PAID"/>
    <s v="N"/>
    <m/>
    <n v="7229651"/>
    <n v="1"/>
    <n v="7229651"/>
    <n v="0"/>
    <n v="0"/>
    <n v="-1"/>
    <x v="0"/>
  </r>
  <r>
    <x v="1579"/>
    <s v="C0033"/>
    <x v="2"/>
    <d v="2024-06-21T00:00:00"/>
    <d v="2024-09-19T00:00:00"/>
    <s v="USD"/>
    <n v="29023.4"/>
    <d v="2024-10-31T00:00:00"/>
    <s v="PAID"/>
    <s v="N"/>
    <m/>
    <n v="29023.4"/>
    <n v="83.53"/>
    <n v="2424324.602"/>
    <n v="0"/>
    <n v="0"/>
    <n v="42"/>
    <x v="0"/>
  </r>
  <r>
    <x v="1580"/>
    <s v="C0111"/>
    <x v="3"/>
    <d v="2024-06-22T00:00:00"/>
    <d v="2024-09-20T00:00:00"/>
    <s v="EUR"/>
    <n v="150263.85999999999"/>
    <d v="2024-11-04T00:00:00"/>
    <s v="PAID"/>
    <s v="Y"/>
    <n v="89.594999999999999"/>
    <n v="150263.85999999999"/>
    <n v="89.326999999999998"/>
    <n v="13422619.822219998"/>
    <n v="0"/>
    <n v="0"/>
    <n v="45"/>
    <x v="0"/>
  </r>
  <r>
    <x v="1581"/>
    <s v="C0213"/>
    <x v="1"/>
    <d v="2024-06-22T00:00:00"/>
    <d v="2024-08-21T00:00:00"/>
    <s v="EUR"/>
    <n v="30584.7"/>
    <d v="2024-08-24T00:00:00"/>
    <s v="PAID"/>
    <s v="N"/>
    <m/>
    <n v="30584.7"/>
    <n v="89.326999999999998"/>
    <n v="2732039.4969000001"/>
    <n v="0"/>
    <n v="0"/>
    <n v="3"/>
    <x v="0"/>
  </r>
  <r>
    <x v="1582"/>
    <s v="C0038"/>
    <x v="0"/>
    <d v="2024-06-24T00:00:00"/>
    <d v="2024-08-23T00:00:00"/>
    <s v="INR"/>
    <n v="12026791"/>
    <d v="2024-08-23T00:00:00"/>
    <s v="PAID"/>
    <s v="N"/>
    <m/>
    <n v="12026791"/>
    <n v="1"/>
    <n v="12026791"/>
    <n v="0"/>
    <n v="0"/>
    <n v="0"/>
    <x v="0"/>
  </r>
  <r>
    <x v="1583"/>
    <s v="C0111"/>
    <x v="3"/>
    <d v="2024-06-24T00:00:00"/>
    <d v="2024-09-22T00:00:00"/>
    <s v="EUR"/>
    <n v="432256.78"/>
    <d v="2024-10-15T00:00:00"/>
    <s v="PAID"/>
    <s v="N"/>
    <m/>
    <n v="432256.78"/>
    <n v="89.4846"/>
    <n v="38680325.055588"/>
    <n v="0"/>
    <n v="0"/>
    <n v="23"/>
    <x v="0"/>
  </r>
  <r>
    <x v="1584"/>
    <s v="C0198"/>
    <x v="3"/>
    <d v="2024-06-24T00:00:00"/>
    <d v="2024-08-08T00:00:00"/>
    <s v="USD"/>
    <n v="91199.25"/>
    <d v="2024-08-30T00:00:00"/>
    <s v="PAID"/>
    <s v="Y"/>
    <n v="83.628600000000006"/>
    <n v="91199.25"/>
    <n v="83.42"/>
    <n v="7607841.4350000005"/>
    <n v="0"/>
    <n v="0"/>
    <n v="22"/>
    <x v="0"/>
  </r>
  <r>
    <x v="1585"/>
    <s v="C0244"/>
    <x v="3"/>
    <d v="2024-06-24T00:00:00"/>
    <d v="2024-08-23T00:00:00"/>
    <s v="INR"/>
    <n v="37949557"/>
    <d v="2024-09-13T00:00:00"/>
    <s v="PAID"/>
    <s v="N"/>
    <m/>
    <n v="37949557"/>
    <n v="1"/>
    <n v="37949557"/>
    <n v="0"/>
    <n v="0"/>
    <n v="21"/>
    <x v="0"/>
  </r>
  <r>
    <x v="1586"/>
    <s v="C0006"/>
    <x v="3"/>
    <d v="2024-06-25T00:00:00"/>
    <d v="2024-07-25T00:00:00"/>
    <s v="EUR"/>
    <n v="44377.57"/>
    <d v="2024-07-27T00:00:00"/>
    <s v="PAID"/>
    <s v="Y"/>
    <n v="89.369"/>
    <n v="44377.57"/>
    <n v="89.279700000000005"/>
    <n v="3962016.1363290004"/>
    <n v="0"/>
    <n v="0"/>
    <n v="2"/>
    <x v="0"/>
  </r>
  <r>
    <x v="1587"/>
    <s v="C0057"/>
    <x v="3"/>
    <d v="2024-06-25T00:00:00"/>
    <d v="2024-07-25T00:00:00"/>
    <s v="INR"/>
    <n v="12648729"/>
    <d v="2024-07-20T00:00:00"/>
    <s v="PAID"/>
    <s v="N"/>
    <m/>
    <n v="12648729"/>
    <n v="1"/>
    <n v="12648729"/>
    <n v="0"/>
    <n v="0"/>
    <n v="-5"/>
    <x v="0"/>
  </r>
  <r>
    <x v="1588"/>
    <s v="C0083"/>
    <x v="3"/>
    <d v="2024-06-25T00:00:00"/>
    <d v="2024-08-09T00:00:00"/>
    <s v="INR"/>
    <n v="5529939"/>
    <d v="2024-09-17T00:00:00"/>
    <s v="PAID"/>
    <s v="N"/>
    <m/>
    <n v="5529939"/>
    <n v="1"/>
    <n v="5529939"/>
    <n v="0"/>
    <n v="0"/>
    <n v="39"/>
    <x v="0"/>
  </r>
  <r>
    <x v="1589"/>
    <s v="C0139"/>
    <x v="1"/>
    <d v="2024-06-25T00:00:00"/>
    <d v="2024-08-24T00:00:00"/>
    <s v="USD"/>
    <n v="33489.96"/>
    <d v="2024-09-14T00:00:00"/>
    <s v="PAID"/>
    <s v="Y"/>
    <n v="83.677999999999997"/>
    <n v="33489.96"/>
    <n v="83.4"/>
    <n v="2793062.6640000003"/>
    <n v="0"/>
    <n v="0"/>
    <n v="21"/>
    <x v="0"/>
  </r>
  <r>
    <x v="1590"/>
    <s v="C0228"/>
    <x v="0"/>
    <d v="2024-06-25T00:00:00"/>
    <d v="2024-08-09T00:00:00"/>
    <s v="INR"/>
    <n v="1992835"/>
    <d v="2024-08-12T00:00:00"/>
    <s v="PAID"/>
    <s v="N"/>
    <m/>
    <n v="1992835"/>
    <n v="1"/>
    <n v="1992835"/>
    <n v="0"/>
    <n v="0"/>
    <n v="3"/>
    <x v="0"/>
  </r>
  <r>
    <x v="1591"/>
    <s v="C0002"/>
    <x v="4"/>
    <d v="2024-06-26T00:00:00"/>
    <d v="2024-08-10T00:00:00"/>
    <s v="INR"/>
    <n v="1885326"/>
    <d v="2024-08-19T00:00:00"/>
    <s v="PAID"/>
    <s v="N"/>
    <m/>
    <n v="1885326"/>
    <n v="1"/>
    <n v="1885326"/>
    <n v="0"/>
    <n v="0"/>
    <n v="9"/>
    <x v="0"/>
  </r>
  <r>
    <x v="1592"/>
    <s v="C0043"/>
    <x v="1"/>
    <d v="2024-06-26T00:00:00"/>
    <d v="2024-08-10T00:00:00"/>
    <s v="INR"/>
    <n v="4000403"/>
    <d v="2024-08-11T00:00:00"/>
    <s v="PAID"/>
    <s v="N"/>
    <m/>
    <n v="4000403"/>
    <n v="1"/>
    <n v="4000403"/>
    <n v="0"/>
    <n v="0"/>
    <n v="1"/>
    <x v="0"/>
  </r>
  <r>
    <x v="1593"/>
    <s v="C0141"/>
    <x v="1"/>
    <d v="2024-06-26T00:00:00"/>
    <d v="2024-08-25T00:00:00"/>
    <s v="INR"/>
    <n v="11271288"/>
    <d v="2024-09-20T00:00:00"/>
    <s v="PAID"/>
    <s v="N"/>
    <m/>
    <n v="11271288"/>
    <n v="1"/>
    <n v="11271288"/>
    <n v="0"/>
    <n v="0"/>
    <n v="26"/>
    <x v="0"/>
  </r>
  <r>
    <x v="1594"/>
    <s v="C0183"/>
    <x v="0"/>
    <d v="2024-06-26T00:00:00"/>
    <d v="2024-09-24T00:00:00"/>
    <s v="INR"/>
    <n v="4699333"/>
    <d v="2024-09-26T00:00:00"/>
    <s v="PAID"/>
    <s v="N"/>
    <m/>
    <n v="4699333"/>
    <n v="1"/>
    <n v="4699333"/>
    <n v="0"/>
    <n v="0"/>
    <n v="2"/>
    <x v="0"/>
  </r>
  <r>
    <x v="1595"/>
    <s v="C0236"/>
    <x v="3"/>
    <d v="2024-06-26T00:00:00"/>
    <d v="2024-08-25T00:00:00"/>
    <s v="EUR"/>
    <n v="154945.41"/>
    <d v="2024-10-04T00:00:00"/>
    <s v="PAID"/>
    <s v="N"/>
    <m/>
    <n v="154945.41"/>
    <n v="89.248099999999994"/>
    <n v="13828583.446221"/>
    <n v="0"/>
    <n v="0"/>
    <n v="40"/>
    <x v="0"/>
  </r>
  <r>
    <x v="1596"/>
    <s v="C0139"/>
    <x v="1"/>
    <d v="2024-06-27T00:00:00"/>
    <d v="2024-08-26T00:00:00"/>
    <s v="USD"/>
    <n v="130478.06"/>
    <d v="2024-09-25T00:00:00"/>
    <s v="PAID"/>
    <s v="N"/>
    <m/>
    <n v="130478.06"/>
    <n v="83.44"/>
    <n v="10887089.326399999"/>
    <n v="0"/>
    <n v="0"/>
    <n v="30"/>
    <x v="0"/>
  </r>
  <r>
    <x v="1597"/>
    <s v="C0147"/>
    <x v="2"/>
    <d v="2024-06-27T00:00:00"/>
    <d v="2024-09-25T00:00:00"/>
    <s v="INR"/>
    <n v="6032935"/>
    <d v="2024-10-05T00:00:00"/>
    <s v="PAID"/>
    <s v="N"/>
    <m/>
    <n v="6032935"/>
    <n v="1"/>
    <n v="6032935"/>
    <n v="0"/>
    <n v="0"/>
    <n v="10"/>
    <x v="0"/>
  </r>
  <r>
    <x v="1598"/>
    <s v="C0211"/>
    <x v="3"/>
    <d v="2024-06-27T00:00:00"/>
    <d v="2024-08-11T00:00:00"/>
    <s v="INR"/>
    <n v="6512040"/>
    <d v="2024-08-26T00:00:00"/>
    <s v="PAID"/>
    <s v="N"/>
    <m/>
    <n v="6512040"/>
    <n v="1"/>
    <n v="6512040"/>
    <n v="0"/>
    <n v="0"/>
    <n v="15"/>
    <x v="0"/>
  </r>
  <r>
    <x v="1599"/>
    <s v="C0230"/>
    <x v="0"/>
    <d v="2024-06-27T00:00:00"/>
    <d v="2024-07-27T00:00:00"/>
    <s v="INR"/>
    <n v="2713331"/>
    <d v="2024-08-22T00:00:00"/>
    <s v="PAID"/>
    <s v="N"/>
    <m/>
    <n v="2713331"/>
    <n v="1"/>
    <n v="2713331"/>
    <n v="0"/>
    <n v="0"/>
    <n v="26"/>
    <x v="0"/>
  </r>
  <r>
    <x v="1600"/>
    <s v="C0033"/>
    <x v="2"/>
    <d v="2024-06-28T00:00:00"/>
    <d v="2024-09-26T00:00:00"/>
    <s v="USD"/>
    <n v="84790.19"/>
    <d v="2024-10-14T00:00:00"/>
    <s v="PAID"/>
    <s v="Y"/>
    <n v="83.746600000000001"/>
    <n v="84790.19"/>
    <n v="83.33"/>
    <n v="7065566.5327000003"/>
    <n v="0"/>
    <n v="0"/>
    <n v="18"/>
    <x v="0"/>
  </r>
  <r>
    <x v="1601"/>
    <s v="C0057"/>
    <x v="3"/>
    <d v="2024-06-28T00:00:00"/>
    <d v="2024-07-28T00:00:00"/>
    <s v="INR"/>
    <n v="3237541"/>
    <d v="2024-07-22T00:00:00"/>
    <s v="PARTIALLY PAID"/>
    <s v="N"/>
    <m/>
    <n v="2677266.36"/>
    <n v="1"/>
    <n v="3237541"/>
    <n v="560274.64000000013"/>
    <n v="246"/>
    <n v="-6"/>
    <x v="1"/>
  </r>
  <r>
    <x v="1602"/>
    <s v="C0228"/>
    <x v="0"/>
    <d v="2024-06-28T00:00:00"/>
    <d v="2024-08-12T00:00:00"/>
    <s v="INR"/>
    <n v="16199211"/>
    <d v="2024-08-26T00:00:00"/>
    <s v="PAID"/>
    <s v="N"/>
    <m/>
    <n v="16199211"/>
    <n v="1"/>
    <n v="16199211"/>
    <n v="0"/>
    <n v="0"/>
    <n v="14"/>
    <x v="0"/>
  </r>
  <r>
    <x v="1603"/>
    <s v="C0009"/>
    <x v="3"/>
    <d v="2024-06-29T00:00:00"/>
    <d v="2024-08-28T00:00:00"/>
    <s v="INR"/>
    <n v="2148441"/>
    <d v="2024-09-03T00:00:00"/>
    <s v="PAID"/>
    <s v="N"/>
    <m/>
    <n v="2148441"/>
    <n v="1"/>
    <n v="2148441"/>
    <n v="0"/>
    <n v="0"/>
    <n v="6"/>
    <x v="0"/>
  </r>
  <r>
    <x v="1604"/>
    <s v="C0056"/>
    <x v="1"/>
    <d v="2024-06-29T00:00:00"/>
    <d v="2024-08-28T00:00:00"/>
    <s v="INR"/>
    <n v="27231908"/>
    <d v="2024-09-03T00:00:00"/>
    <s v="PAID"/>
    <s v="N"/>
    <m/>
    <n v="27231908"/>
    <n v="1"/>
    <n v="27231908"/>
    <n v="0"/>
    <n v="0"/>
    <n v="6"/>
    <x v="0"/>
  </r>
  <r>
    <x v="1605"/>
    <s v="C0110"/>
    <x v="1"/>
    <d v="2024-06-29T00:00:00"/>
    <d v="2024-08-28T00:00:00"/>
    <s v="USD"/>
    <n v="43065.01"/>
    <d v="2024-10-02T00:00:00"/>
    <s v="PAID"/>
    <s v="Y"/>
    <n v="83.607799999999997"/>
    <n v="43065.01"/>
    <n v="83.33"/>
    <n v="3588607.2833000002"/>
    <n v="0"/>
    <n v="0"/>
    <n v="35"/>
    <x v="0"/>
  </r>
  <r>
    <x v="1606"/>
    <s v="C0227"/>
    <x v="2"/>
    <d v="2024-06-29T00:00:00"/>
    <d v="2024-08-13T00:00:00"/>
    <s v="INR"/>
    <n v="2221406"/>
    <d v="2024-09-03T00:00:00"/>
    <s v="PAID"/>
    <s v="N"/>
    <m/>
    <n v="2221406"/>
    <n v="1"/>
    <n v="2221406"/>
    <n v="0"/>
    <n v="0"/>
    <n v="21"/>
    <x v="0"/>
  </r>
  <r>
    <x v="1607"/>
    <s v="C0236"/>
    <x v="3"/>
    <d v="2024-06-29T00:00:00"/>
    <d v="2024-08-28T00:00:00"/>
    <s v="EUR"/>
    <n v="816206.57"/>
    <d v="2024-09-15T00:00:00"/>
    <s v="PAID"/>
    <s v="Y"/>
    <n v="89.433300000000003"/>
    <n v="816206.57"/>
    <n v="89.254800000000003"/>
    <n v="72850354.164035991"/>
    <n v="0"/>
    <n v="0"/>
    <n v="18"/>
    <x v="0"/>
  </r>
  <r>
    <x v="1608"/>
    <s v="C0039"/>
    <x v="0"/>
    <d v="2024-07-01T00:00:00"/>
    <d v="2024-08-30T00:00:00"/>
    <s v="INR"/>
    <n v="2628506"/>
    <d v="2024-09-06T00:00:00"/>
    <s v="PAID"/>
    <s v="N"/>
    <m/>
    <n v="2628506"/>
    <n v="1"/>
    <n v="2628506"/>
    <n v="0"/>
    <n v="0"/>
    <n v="7"/>
    <x v="0"/>
  </r>
  <r>
    <x v="1609"/>
    <s v="C0042"/>
    <x v="3"/>
    <d v="2024-07-01T00:00:00"/>
    <d v="2024-08-30T00:00:00"/>
    <s v="EUR"/>
    <n v="57661.56"/>
    <d v="2024-09-06T00:00:00"/>
    <s v="PAID"/>
    <s v="N"/>
    <m/>
    <n v="57661.56"/>
    <n v="89.514399999999995"/>
    <n v="5161539.9464639993"/>
    <n v="0"/>
    <n v="0"/>
    <n v="7"/>
    <x v="0"/>
  </r>
  <r>
    <x v="1610"/>
    <s v="C0057"/>
    <x v="3"/>
    <d v="2024-07-01T00:00:00"/>
    <d v="2024-07-31T00:00:00"/>
    <s v="INR"/>
    <n v="5922409"/>
    <d v="2024-07-27T00:00:00"/>
    <s v="PAID"/>
    <s v="N"/>
    <m/>
    <n v="5922409"/>
    <n v="1"/>
    <n v="5922409"/>
    <n v="0"/>
    <n v="0"/>
    <n v="-4"/>
    <x v="0"/>
  </r>
  <r>
    <x v="1611"/>
    <s v="C0200"/>
    <x v="1"/>
    <d v="2024-07-01T00:00:00"/>
    <d v="2024-08-30T00:00:00"/>
    <s v="EUR"/>
    <n v="42164.639999999999"/>
    <d v="2024-09-01T00:00:00"/>
    <s v="PAID"/>
    <s v="N"/>
    <m/>
    <n v="42164.639999999999"/>
    <n v="89.514399999999995"/>
    <n v="3774342.4508159999"/>
    <n v="0"/>
    <n v="0"/>
    <n v="2"/>
    <x v="0"/>
  </r>
  <r>
    <x v="1612"/>
    <s v="C0213"/>
    <x v="1"/>
    <d v="2024-07-01T00:00:00"/>
    <d v="2024-08-30T00:00:00"/>
    <s v="EUR"/>
    <n v="40599.07"/>
    <d v="2024-08-29T00:00:00"/>
    <s v="PAID"/>
    <s v="N"/>
    <m/>
    <n v="40599.07"/>
    <n v="89.514399999999995"/>
    <n v="3634201.3916079998"/>
    <n v="0"/>
    <n v="0"/>
    <n v="-1"/>
    <x v="0"/>
  </r>
  <r>
    <x v="1613"/>
    <s v="C0242"/>
    <x v="0"/>
    <d v="2024-07-01T00:00:00"/>
    <d v="2024-08-30T00:00:00"/>
    <s v="EUR"/>
    <n v="39214.449999999997"/>
    <d v="2024-09-10T00:00:00"/>
    <s v="PAID"/>
    <s v="Y"/>
    <n v="89.693399999999997"/>
    <n v="39214.449999999997"/>
    <n v="89.514399999999995"/>
    <n v="3510257.9630799997"/>
    <n v="0"/>
    <n v="0"/>
    <n v="11"/>
    <x v="0"/>
  </r>
  <r>
    <x v="1614"/>
    <s v="C0111"/>
    <x v="3"/>
    <d v="2024-07-02T00:00:00"/>
    <d v="2024-09-30T00:00:00"/>
    <s v="EUR"/>
    <n v="68940.740000000005"/>
    <m/>
    <s v="PAID"/>
    <s v="N"/>
    <m/>
    <n v="68940.740000000005"/>
    <n v="89.653999999999996"/>
    <n v="6180813.10396"/>
    <n v="0"/>
    <n v="0"/>
    <s v=""/>
    <x v="0"/>
  </r>
  <r>
    <x v="1615"/>
    <s v="C0134"/>
    <x v="0"/>
    <d v="2024-07-02T00:00:00"/>
    <d v="2024-09-30T00:00:00"/>
    <s v="INR"/>
    <n v="2567756"/>
    <d v="2024-09-28T00:00:00"/>
    <s v="PAID"/>
    <s v="N"/>
    <m/>
    <n v="2567756"/>
    <n v="1"/>
    <n v="2567756"/>
    <n v="0"/>
    <n v="0"/>
    <n v="-2"/>
    <x v="0"/>
  </r>
  <r>
    <x v="1616"/>
    <s v="C0169"/>
    <x v="3"/>
    <d v="2024-07-02T00:00:00"/>
    <d v="2024-08-16T00:00:00"/>
    <s v="EUR"/>
    <n v="97265.22"/>
    <d v="2024-08-16T00:00:00"/>
    <s v="PAID"/>
    <s v="N"/>
    <m/>
    <n v="97265.22"/>
    <n v="89.653999999999996"/>
    <n v="8720216.0338799991"/>
    <n v="0"/>
    <n v="0"/>
    <n v="0"/>
    <x v="0"/>
  </r>
  <r>
    <x v="1617"/>
    <s v="C0196"/>
    <x v="2"/>
    <d v="2024-07-02T00:00:00"/>
    <d v="2024-09-30T00:00:00"/>
    <s v="USD"/>
    <n v="41348.43"/>
    <d v="2024-10-07T00:00:00"/>
    <s v="PAID"/>
    <s v="Y"/>
    <n v="83.917500000000004"/>
    <n v="41348.43"/>
    <n v="83.5"/>
    <n v="3452593.9049999998"/>
    <n v="0"/>
    <n v="0"/>
    <n v="7"/>
    <x v="0"/>
  </r>
  <r>
    <x v="1618"/>
    <s v="C0242"/>
    <x v="0"/>
    <d v="2024-07-02T00:00:00"/>
    <d v="2024-08-31T00:00:00"/>
    <s v="EUR"/>
    <n v="52851.38"/>
    <d v="2024-09-09T00:00:00"/>
    <s v="PAID"/>
    <s v="N"/>
    <m/>
    <n v="52851.38"/>
    <n v="89.653999999999996"/>
    <n v="4738337.6225199997"/>
    <n v="0"/>
    <n v="0"/>
    <n v="9"/>
    <x v="0"/>
  </r>
  <r>
    <x v="1619"/>
    <s v="C0033"/>
    <x v="2"/>
    <d v="2024-07-03T00:00:00"/>
    <d v="2024-10-01T00:00:00"/>
    <s v="USD"/>
    <n v="152090.42000000001"/>
    <m/>
    <s v="WRITTEN OFF"/>
    <s v="Y"/>
    <n v="83.897400000000005"/>
    <n v="0"/>
    <n v="83.48"/>
    <n v="12696508.261600001"/>
    <n v="0"/>
    <n v="0"/>
    <s v=""/>
    <x v="0"/>
  </r>
  <r>
    <x v="1620"/>
    <s v="C0057"/>
    <x v="3"/>
    <d v="2024-07-03T00:00:00"/>
    <d v="2024-08-02T00:00:00"/>
    <s v="INR"/>
    <n v="8094151"/>
    <d v="2024-08-11T00:00:00"/>
    <s v="PAID"/>
    <s v="N"/>
    <m/>
    <n v="8094151"/>
    <n v="1"/>
    <n v="8094151"/>
    <n v="0"/>
    <n v="0"/>
    <n v="9"/>
    <x v="0"/>
  </r>
  <r>
    <x v="1621"/>
    <s v="C0223"/>
    <x v="0"/>
    <d v="2024-07-03T00:00:00"/>
    <d v="2024-08-17T00:00:00"/>
    <s v="INR"/>
    <n v="20636877"/>
    <d v="2024-09-20T00:00:00"/>
    <s v="PAID"/>
    <s v="N"/>
    <m/>
    <n v="20636877"/>
    <n v="1"/>
    <n v="20636877"/>
    <n v="0"/>
    <n v="0"/>
    <n v="34"/>
    <x v="0"/>
  </r>
  <r>
    <x v="1622"/>
    <s v="C0049"/>
    <x v="3"/>
    <d v="2024-07-04T00:00:00"/>
    <d v="2024-08-03T00:00:00"/>
    <s v="INR"/>
    <n v="5114372"/>
    <d v="2024-07-25T00:00:00"/>
    <s v="PAID"/>
    <s v="N"/>
    <m/>
    <n v="5114372"/>
    <n v="1"/>
    <n v="5114372"/>
    <n v="0"/>
    <n v="0"/>
    <n v="-9"/>
    <x v="0"/>
  </r>
  <r>
    <x v="1623"/>
    <s v="C0228"/>
    <x v="0"/>
    <d v="2024-07-04T00:00:00"/>
    <d v="2024-08-18T00:00:00"/>
    <s v="INR"/>
    <n v="8401185"/>
    <d v="2024-08-20T00:00:00"/>
    <s v="PAID"/>
    <s v="N"/>
    <m/>
    <n v="8401185"/>
    <n v="1"/>
    <n v="8401185"/>
    <n v="0"/>
    <n v="0"/>
    <n v="2"/>
    <x v="0"/>
  </r>
  <r>
    <x v="1624"/>
    <s v="C0228"/>
    <x v="0"/>
    <d v="2024-07-04T00:00:00"/>
    <d v="2024-08-18T00:00:00"/>
    <s v="INR"/>
    <n v="3049085"/>
    <d v="2024-08-26T00:00:00"/>
    <s v="PAID"/>
    <s v="N"/>
    <m/>
    <n v="3049085"/>
    <n v="1"/>
    <n v="3049085"/>
    <n v="0"/>
    <n v="0"/>
    <n v="8"/>
    <x v="0"/>
  </r>
  <r>
    <x v="1625"/>
    <s v="C0011"/>
    <x v="0"/>
    <d v="2024-07-05T00:00:00"/>
    <d v="2024-08-19T00:00:00"/>
    <s v="INR"/>
    <n v="17415565"/>
    <d v="2024-08-30T00:00:00"/>
    <s v="PAID"/>
    <s v="N"/>
    <m/>
    <n v="17415565"/>
    <n v="1"/>
    <n v="17415565"/>
    <n v="0"/>
    <n v="0"/>
    <n v="11"/>
    <x v="0"/>
  </r>
  <r>
    <x v="1626"/>
    <s v="C0039"/>
    <x v="0"/>
    <d v="2024-07-05T00:00:00"/>
    <d v="2024-09-03T00:00:00"/>
    <s v="INR"/>
    <n v="3326320"/>
    <d v="2024-09-15T00:00:00"/>
    <s v="PAID"/>
    <s v="N"/>
    <m/>
    <n v="3326320"/>
    <n v="1"/>
    <n v="3326320"/>
    <n v="0"/>
    <n v="0"/>
    <n v="12"/>
    <x v="0"/>
  </r>
  <r>
    <x v="1627"/>
    <s v="C0053"/>
    <x v="2"/>
    <d v="2024-07-05T00:00:00"/>
    <d v="2024-09-03T00:00:00"/>
    <s v="EUR"/>
    <n v="11633.24"/>
    <d v="2024-09-17T00:00:00"/>
    <s v="PAID"/>
    <s v="N"/>
    <m/>
    <n v="11633.24"/>
    <n v="90.381299999999996"/>
    <n v="1051427.3544119999"/>
    <n v="0"/>
    <n v="0"/>
    <n v="14"/>
    <x v="0"/>
  </r>
  <r>
    <x v="1628"/>
    <s v="C0082"/>
    <x v="4"/>
    <d v="2024-07-05T00:00:00"/>
    <d v="2024-09-03T00:00:00"/>
    <s v="INR"/>
    <n v="5388529"/>
    <d v="2024-09-20T00:00:00"/>
    <s v="PAID"/>
    <s v="N"/>
    <m/>
    <n v="5388529"/>
    <n v="1"/>
    <n v="5388529"/>
    <n v="0"/>
    <n v="0"/>
    <n v="17"/>
    <x v="0"/>
  </r>
  <r>
    <x v="1629"/>
    <s v="C0091"/>
    <x v="2"/>
    <d v="2024-07-05T00:00:00"/>
    <d v="2024-09-03T00:00:00"/>
    <s v="USD"/>
    <n v="48410.29"/>
    <d v="2024-09-07T00:00:00"/>
    <s v="PAID"/>
    <s v="Y"/>
    <n v="83.748199999999997"/>
    <n v="48410.29"/>
    <n v="83.47"/>
    <n v="4040806.9062999999"/>
    <n v="0"/>
    <n v="0"/>
    <n v="4"/>
    <x v="0"/>
  </r>
  <r>
    <x v="1630"/>
    <s v="C0094"/>
    <x v="0"/>
    <d v="2024-07-05T00:00:00"/>
    <d v="2024-08-19T00:00:00"/>
    <s v="INR"/>
    <n v="723464"/>
    <d v="2024-08-17T00:00:00"/>
    <s v="PAID"/>
    <s v="N"/>
    <m/>
    <n v="723464"/>
    <n v="1"/>
    <n v="723464"/>
    <n v="0"/>
    <n v="0"/>
    <n v="-2"/>
    <x v="0"/>
  </r>
  <r>
    <x v="1631"/>
    <s v="C0138"/>
    <x v="4"/>
    <d v="2024-07-05T00:00:00"/>
    <d v="2024-08-04T00:00:00"/>
    <s v="INR"/>
    <n v="3450797"/>
    <d v="2024-07-31T00:00:00"/>
    <s v="PAID"/>
    <s v="N"/>
    <m/>
    <n v="3450797"/>
    <n v="1"/>
    <n v="3450797"/>
    <n v="0"/>
    <n v="0"/>
    <n v="-4"/>
    <x v="0"/>
  </r>
  <r>
    <x v="1632"/>
    <s v="C0228"/>
    <x v="3"/>
    <d v="2024-07-05T00:00:00"/>
    <d v="2024-08-19T00:00:00"/>
    <s v="INR"/>
    <n v="1169583"/>
    <d v="2024-08-31T00:00:00"/>
    <s v="PARTIALLY PAID"/>
    <s v="N"/>
    <m/>
    <n v="820814.41"/>
    <n v="1"/>
    <n v="1169583"/>
    <n v="348768.58999999997"/>
    <n v="224"/>
    <n v="12"/>
    <x v="1"/>
  </r>
  <r>
    <x v="1633"/>
    <s v="C0029"/>
    <x v="1"/>
    <d v="2024-07-06T00:00:00"/>
    <d v="2024-10-04T00:00:00"/>
    <s v="INR"/>
    <n v="41067334"/>
    <d v="2024-10-04T00:00:00"/>
    <s v="PARTIALLY PAID"/>
    <s v="N"/>
    <m/>
    <n v="25770993.649999999"/>
    <n v="1"/>
    <n v="41067334"/>
    <n v="15296340.350000001"/>
    <n v="178"/>
    <n v="0"/>
    <x v="1"/>
  </r>
  <r>
    <x v="1634"/>
    <s v="C0116"/>
    <x v="4"/>
    <d v="2024-07-06T00:00:00"/>
    <d v="2024-08-20T00:00:00"/>
    <s v="INR"/>
    <n v="2757391"/>
    <d v="2024-09-26T00:00:00"/>
    <s v="PAID"/>
    <s v="N"/>
    <m/>
    <n v="2757391"/>
    <n v="1"/>
    <n v="2757391"/>
    <n v="0"/>
    <n v="0"/>
    <n v="37"/>
    <x v="0"/>
  </r>
  <r>
    <x v="1635"/>
    <s v="C0153"/>
    <x v="4"/>
    <d v="2024-07-06T00:00:00"/>
    <d v="2024-10-04T00:00:00"/>
    <s v="INR"/>
    <n v="1743897"/>
    <d v="2024-10-08T00:00:00"/>
    <s v="PAID"/>
    <s v="N"/>
    <m/>
    <n v="1743897"/>
    <n v="1"/>
    <n v="1743897"/>
    <n v="0"/>
    <n v="0"/>
    <n v="4"/>
    <x v="0"/>
  </r>
  <r>
    <x v="1636"/>
    <s v="C0056"/>
    <x v="3"/>
    <d v="2024-07-08T00:00:00"/>
    <d v="2024-09-06T00:00:00"/>
    <s v="INR"/>
    <n v="3712586"/>
    <d v="2024-09-15T00:00:00"/>
    <s v="PAID"/>
    <s v="N"/>
    <m/>
    <n v="3712586"/>
    <n v="1"/>
    <n v="3712586"/>
    <n v="0"/>
    <n v="0"/>
    <n v="9"/>
    <x v="0"/>
  </r>
  <r>
    <x v="1637"/>
    <s v="C0141"/>
    <x v="3"/>
    <d v="2024-07-08T00:00:00"/>
    <d v="2024-09-06T00:00:00"/>
    <s v="INR"/>
    <n v="4298324"/>
    <d v="2024-09-12T00:00:00"/>
    <s v="PAID"/>
    <s v="N"/>
    <m/>
    <n v="4298324"/>
    <n v="1"/>
    <n v="4298324"/>
    <n v="0"/>
    <n v="0"/>
    <n v="6"/>
    <x v="0"/>
  </r>
  <r>
    <x v="1638"/>
    <s v="C0146"/>
    <x v="3"/>
    <d v="2024-07-08T00:00:00"/>
    <d v="2024-09-06T00:00:00"/>
    <s v="USD"/>
    <n v="110498.65"/>
    <d v="2024-09-16T00:00:00"/>
    <s v="PAID"/>
    <s v="Y"/>
    <n v="83.728200000000001"/>
    <n v="110498.65"/>
    <n v="83.45"/>
    <n v="9221112.3424999993"/>
    <n v="0"/>
    <n v="0"/>
    <n v="10"/>
    <x v="0"/>
  </r>
  <r>
    <x v="1639"/>
    <s v="C0198"/>
    <x v="3"/>
    <d v="2024-07-08T00:00:00"/>
    <d v="2024-08-22T00:00:00"/>
    <s v="USD"/>
    <n v="51642.18"/>
    <d v="2024-09-03T00:00:00"/>
    <s v="PAID"/>
    <s v="Y"/>
    <n v="83.658600000000007"/>
    <n v="51642.18"/>
    <n v="83.45"/>
    <n v="4309539.9210000001"/>
    <n v="0"/>
    <n v="0"/>
    <n v="12"/>
    <x v="0"/>
  </r>
  <r>
    <x v="1640"/>
    <s v="C0244"/>
    <x v="3"/>
    <d v="2024-07-08T00:00:00"/>
    <d v="2024-09-06T00:00:00"/>
    <s v="INR"/>
    <n v="6435370"/>
    <d v="2024-11-14T00:00:00"/>
    <s v="PAID"/>
    <s v="N"/>
    <m/>
    <n v="6435370"/>
    <n v="1"/>
    <n v="6435370"/>
    <n v="0"/>
    <n v="0"/>
    <n v="69"/>
    <x v="0"/>
  </r>
  <r>
    <x v="1641"/>
    <s v="C0009"/>
    <x v="3"/>
    <d v="2024-07-09T00:00:00"/>
    <d v="2024-09-07T00:00:00"/>
    <s v="INR"/>
    <n v="9379320"/>
    <d v="2024-09-09T00:00:00"/>
    <s v="PAID"/>
    <s v="N"/>
    <m/>
    <n v="9379320"/>
    <n v="1"/>
    <n v="9379320"/>
    <n v="0"/>
    <n v="0"/>
    <n v="2"/>
    <x v="0"/>
  </r>
  <r>
    <x v="1642"/>
    <s v="C0020"/>
    <x v="3"/>
    <d v="2024-07-09T00:00:00"/>
    <d v="2024-10-07T00:00:00"/>
    <s v="USD"/>
    <n v="84548.56"/>
    <m/>
    <s v="OPEN"/>
    <s v="Y"/>
    <n v="83.887299999999996"/>
    <n v="0"/>
    <n v="83.47"/>
    <n v="7057268.3032"/>
    <n v="7057268.3032"/>
    <n v="175"/>
    <s v=""/>
    <x v="1"/>
  </r>
  <r>
    <x v="1643"/>
    <s v="C0030"/>
    <x v="0"/>
    <d v="2024-07-09T00:00:00"/>
    <d v="2024-09-07T00:00:00"/>
    <s v="INR"/>
    <n v="10013417"/>
    <d v="2024-09-10T00:00:00"/>
    <s v="PAID"/>
    <s v="N"/>
    <m/>
    <n v="10013417"/>
    <n v="1"/>
    <n v="10013417"/>
    <n v="0"/>
    <n v="0"/>
    <n v="3"/>
    <x v="0"/>
  </r>
  <r>
    <x v="1644"/>
    <s v="C0050"/>
    <x v="0"/>
    <d v="2024-07-09T00:00:00"/>
    <d v="2024-09-07T00:00:00"/>
    <s v="INR"/>
    <n v="4140295"/>
    <d v="2024-09-17T00:00:00"/>
    <s v="PAID"/>
    <s v="N"/>
    <m/>
    <n v="4140295"/>
    <n v="1"/>
    <n v="4140295"/>
    <n v="0"/>
    <n v="0"/>
    <n v="10"/>
    <x v="0"/>
  </r>
  <r>
    <x v="1645"/>
    <s v="C0183"/>
    <x v="0"/>
    <d v="2024-07-09T00:00:00"/>
    <d v="2024-10-07T00:00:00"/>
    <s v="INR"/>
    <n v="2425245"/>
    <d v="2024-10-12T00:00:00"/>
    <s v="PAID"/>
    <s v="N"/>
    <m/>
    <n v="2425245"/>
    <n v="1"/>
    <n v="2425245"/>
    <n v="0"/>
    <n v="0"/>
    <n v="5"/>
    <x v="0"/>
  </r>
  <r>
    <x v="1646"/>
    <s v="C0211"/>
    <x v="3"/>
    <d v="2024-07-09T00:00:00"/>
    <d v="2024-08-23T00:00:00"/>
    <s v="INR"/>
    <n v="18177799"/>
    <d v="2024-09-16T00:00:00"/>
    <s v="PAID"/>
    <s v="N"/>
    <m/>
    <n v="18177799"/>
    <n v="1"/>
    <n v="18177799"/>
    <n v="0"/>
    <n v="0"/>
    <n v="24"/>
    <x v="0"/>
  </r>
  <r>
    <x v="1647"/>
    <s v="C0033"/>
    <x v="2"/>
    <d v="2024-07-10T00:00:00"/>
    <d v="2024-10-08T00:00:00"/>
    <s v="USD"/>
    <n v="125415.91"/>
    <d v="2024-10-31T00:00:00"/>
    <s v="PAID"/>
    <s v="N"/>
    <m/>
    <n v="125415.91"/>
    <n v="83.5"/>
    <n v="10472228.484999999"/>
    <n v="0"/>
    <n v="0"/>
    <n v="23"/>
    <x v="0"/>
  </r>
  <r>
    <x v="1648"/>
    <s v="C0111"/>
    <x v="3"/>
    <d v="2024-07-10T00:00:00"/>
    <d v="2024-10-08T00:00:00"/>
    <s v="EUR"/>
    <n v="221490.49"/>
    <d v="2024-11-01T00:00:00"/>
    <s v="PAID"/>
    <s v="Y"/>
    <n v="90.643100000000004"/>
    <n v="221490.49"/>
    <n v="90.372"/>
    <n v="20016538.562279999"/>
    <n v="0"/>
    <n v="0"/>
    <n v="24"/>
    <x v="0"/>
  </r>
  <r>
    <x v="1649"/>
    <s v="C0226"/>
    <x v="3"/>
    <d v="2024-07-10T00:00:00"/>
    <d v="2024-08-24T00:00:00"/>
    <s v="INR"/>
    <n v="5568181"/>
    <d v="2024-08-17T00:00:00"/>
    <s v="PAID"/>
    <s v="N"/>
    <m/>
    <n v="5568181"/>
    <n v="1"/>
    <n v="5568181"/>
    <n v="0"/>
    <n v="0"/>
    <n v="-7"/>
    <x v="0"/>
  </r>
  <r>
    <x v="1650"/>
    <s v="C0006"/>
    <x v="1"/>
    <d v="2024-07-11T00:00:00"/>
    <d v="2024-08-10T00:00:00"/>
    <s v="EUR"/>
    <n v="98578.7"/>
    <d v="2024-08-20T00:00:00"/>
    <s v="PAID"/>
    <s v="N"/>
    <m/>
    <n v="98578.7"/>
    <n v="90.840599999999995"/>
    <n v="8954948.2552199997"/>
    <n v="0"/>
    <n v="0"/>
    <n v="10"/>
    <x v="0"/>
  </r>
  <r>
    <x v="1651"/>
    <s v="C0019"/>
    <x v="2"/>
    <d v="2024-07-11T00:00:00"/>
    <d v="2024-10-09T00:00:00"/>
    <s v="EUR"/>
    <n v="178238.11"/>
    <d v="2024-10-24T00:00:00"/>
    <s v="PAID"/>
    <s v="Y"/>
    <n v="91.113100000000003"/>
    <n v="178238.11"/>
    <n v="90.840599999999995"/>
    <n v="16191256.855265997"/>
    <n v="0"/>
    <n v="0"/>
    <n v="15"/>
    <x v="0"/>
  </r>
  <r>
    <x v="1652"/>
    <s v="C0073"/>
    <x v="1"/>
    <d v="2024-07-11T00:00:00"/>
    <d v="2024-08-10T00:00:00"/>
    <s v="USD"/>
    <n v="119259.9"/>
    <d v="2024-09-09T00:00:00"/>
    <s v="PAID"/>
    <s v="N"/>
    <m/>
    <n v="119259.9"/>
    <n v="83.57"/>
    <n v="9966549.8429999985"/>
    <n v="0"/>
    <n v="0"/>
    <n v="30"/>
    <x v="0"/>
  </r>
  <r>
    <x v="1653"/>
    <s v="C0127"/>
    <x v="2"/>
    <d v="2024-07-11T00:00:00"/>
    <d v="2024-09-09T00:00:00"/>
    <s v="INR"/>
    <n v="14354528"/>
    <d v="2024-11-12T00:00:00"/>
    <s v="PAID"/>
    <s v="N"/>
    <m/>
    <n v="14354528"/>
    <n v="1"/>
    <n v="14354528"/>
    <n v="0"/>
    <n v="0"/>
    <n v="64"/>
    <x v="0"/>
  </r>
  <r>
    <x v="1654"/>
    <s v="C0202"/>
    <x v="3"/>
    <d v="2024-07-11T00:00:00"/>
    <d v="2024-08-25T00:00:00"/>
    <s v="USD"/>
    <n v="34173.61"/>
    <d v="2024-09-07T00:00:00"/>
    <s v="PARTIALLY PAID"/>
    <s v="N"/>
    <m/>
    <n v="18979.75"/>
    <n v="83.57"/>
    <n v="2855888.5877"/>
    <n v="1269750.8802"/>
    <n v="218"/>
    <n v="13"/>
    <x v="1"/>
  </r>
  <r>
    <x v="1655"/>
    <s v="C0215"/>
    <x v="4"/>
    <d v="2024-07-12T00:00:00"/>
    <d v="2024-08-11T00:00:00"/>
    <s v="USD"/>
    <n v="88009.2"/>
    <d v="2024-08-17T00:00:00"/>
    <s v="PAID"/>
    <s v="N"/>
    <m/>
    <n v="88009.2"/>
    <n v="83.48"/>
    <n v="7347008.0159999998"/>
    <n v="0"/>
    <n v="0"/>
    <n v="6"/>
    <x v="0"/>
  </r>
  <r>
    <x v="1656"/>
    <s v="C0228"/>
    <x v="0"/>
    <d v="2024-07-12T00:00:00"/>
    <d v="2024-08-26T00:00:00"/>
    <s v="INR"/>
    <n v="16671283"/>
    <d v="2024-09-08T00:00:00"/>
    <s v="PAID"/>
    <s v="N"/>
    <m/>
    <n v="16671283"/>
    <n v="1"/>
    <n v="16671283"/>
    <n v="0"/>
    <n v="0"/>
    <n v="13"/>
    <x v="0"/>
  </r>
  <r>
    <x v="1657"/>
    <s v="C0025"/>
    <x v="3"/>
    <d v="2024-07-13T00:00:00"/>
    <d v="2024-08-27T00:00:00"/>
    <s v="USD"/>
    <n v="189952.68"/>
    <d v="2024-10-01T00:00:00"/>
    <s v="PAID"/>
    <s v="N"/>
    <m/>
    <n v="189952.68"/>
    <n v="83.48"/>
    <n v="15857249.726400001"/>
    <n v="0"/>
    <n v="0"/>
    <n v="35"/>
    <x v="0"/>
  </r>
  <r>
    <x v="1658"/>
    <s v="C0039"/>
    <x v="0"/>
    <d v="2024-07-13T00:00:00"/>
    <d v="2024-09-11T00:00:00"/>
    <s v="INR"/>
    <n v="2951278"/>
    <d v="2024-09-20T00:00:00"/>
    <s v="PAID"/>
    <s v="N"/>
    <m/>
    <n v="2951278"/>
    <n v="1"/>
    <n v="2951278"/>
    <n v="0"/>
    <n v="0"/>
    <n v="9"/>
    <x v="0"/>
  </r>
  <r>
    <x v="1659"/>
    <s v="C0099"/>
    <x v="3"/>
    <d v="2024-07-13T00:00:00"/>
    <d v="2024-09-11T00:00:00"/>
    <s v="EUR"/>
    <n v="135717.24"/>
    <d v="2024-09-22T00:00:00"/>
    <s v="PAID"/>
    <s v="N"/>
    <m/>
    <n v="135717.24"/>
    <n v="91.009900000000002"/>
    <n v="12351612.440676"/>
    <n v="0"/>
    <n v="0"/>
    <n v="11"/>
    <x v="0"/>
  </r>
  <r>
    <x v="1660"/>
    <s v="C0111"/>
    <x v="3"/>
    <d v="2024-07-13T00:00:00"/>
    <d v="2024-10-11T00:00:00"/>
    <s v="EUR"/>
    <n v="161620.42000000001"/>
    <d v="2024-10-31T00:00:00"/>
    <s v="PAID"/>
    <s v="N"/>
    <m/>
    <n v="161620.42000000001"/>
    <n v="91.009900000000002"/>
    <n v="14709058.262158001"/>
    <n v="0"/>
    <n v="0"/>
    <n v="20"/>
    <x v="0"/>
  </r>
  <r>
    <x v="1661"/>
    <s v="C0171"/>
    <x v="3"/>
    <d v="2024-07-13T00:00:00"/>
    <d v="2024-10-11T00:00:00"/>
    <s v="USD"/>
    <n v="8112.6"/>
    <d v="2024-10-14T00:00:00"/>
    <s v="PAID"/>
    <s v="Y"/>
    <n v="83.897400000000005"/>
    <n v="8112.6"/>
    <n v="83.48"/>
    <n v="677239.84800000011"/>
    <n v="0"/>
    <n v="0"/>
    <n v="3"/>
    <x v="0"/>
  </r>
  <r>
    <x v="1662"/>
    <s v="C0214"/>
    <x v="0"/>
    <d v="2024-07-13T00:00:00"/>
    <d v="2024-08-12T00:00:00"/>
    <s v="INR"/>
    <n v="2022262"/>
    <d v="2024-08-16T00:00:00"/>
    <s v="PAID"/>
    <s v="N"/>
    <m/>
    <n v="2022262"/>
    <n v="1"/>
    <n v="2022262"/>
    <n v="0"/>
    <n v="0"/>
    <n v="4"/>
    <x v="0"/>
  </r>
  <r>
    <x v="1663"/>
    <s v="C0007"/>
    <x v="3"/>
    <d v="2024-07-15T00:00:00"/>
    <d v="2024-08-14T00:00:00"/>
    <s v="USD"/>
    <n v="232765"/>
    <m/>
    <s v="WRITTEN OFF"/>
    <s v="Y"/>
    <n v="83.689300000000003"/>
    <n v="0"/>
    <n v="83.55"/>
    <n v="19447515.75"/>
    <n v="0"/>
    <n v="0"/>
    <s v=""/>
    <x v="0"/>
  </r>
  <r>
    <x v="1664"/>
    <s v="C0023"/>
    <x v="1"/>
    <d v="2024-07-15T00:00:00"/>
    <d v="2024-08-29T00:00:00"/>
    <s v="INR"/>
    <n v="18271038"/>
    <d v="2024-10-19T00:00:00"/>
    <s v="PAID"/>
    <s v="N"/>
    <m/>
    <n v="18271038"/>
    <n v="1"/>
    <n v="18271038"/>
    <n v="0"/>
    <n v="0"/>
    <n v="51"/>
    <x v="0"/>
  </r>
  <r>
    <x v="1665"/>
    <s v="C0033"/>
    <x v="2"/>
    <d v="2024-07-15T00:00:00"/>
    <d v="2024-10-13T00:00:00"/>
    <s v="USD"/>
    <n v="245570.17"/>
    <d v="2024-11-29T00:00:00"/>
    <s v="PAID"/>
    <s v="Y"/>
    <n v="83.967699999999994"/>
    <n v="245570.17"/>
    <n v="83.55"/>
    <n v="20517387.703499999"/>
    <n v="0"/>
    <n v="0"/>
    <n v="47"/>
    <x v="0"/>
  </r>
  <r>
    <x v="1666"/>
    <s v="C0113"/>
    <x v="0"/>
    <d v="2024-07-15T00:00:00"/>
    <d v="2024-10-13T00:00:00"/>
    <s v="INR"/>
    <n v="4657865"/>
    <d v="2024-10-04T00:00:00"/>
    <s v="PAID"/>
    <s v="N"/>
    <m/>
    <n v="4657865"/>
    <n v="1"/>
    <n v="4657865"/>
    <n v="0"/>
    <n v="0"/>
    <n v="-9"/>
    <x v="0"/>
  </r>
  <r>
    <x v="1667"/>
    <s v="C0177"/>
    <x v="3"/>
    <d v="2024-07-15T00:00:00"/>
    <d v="2024-09-13T00:00:00"/>
    <s v="EUR"/>
    <n v="180854.93"/>
    <d v="2024-09-16T00:00:00"/>
    <s v="PAID"/>
    <s v="Y"/>
    <n v="91.352099999999993"/>
    <n v="180854.93"/>
    <n v="91.169799999999995"/>
    <n v="16488507.797113998"/>
    <n v="0"/>
    <n v="0"/>
    <n v="3"/>
    <x v="0"/>
  </r>
  <r>
    <x v="1668"/>
    <s v="C0203"/>
    <x v="0"/>
    <d v="2024-07-15T00:00:00"/>
    <d v="2024-08-29T00:00:00"/>
    <s v="INR"/>
    <n v="756779"/>
    <d v="2024-09-04T00:00:00"/>
    <s v="PARTIALLY PAID"/>
    <s v="N"/>
    <m/>
    <n v="401766.3"/>
    <n v="1"/>
    <n v="756779"/>
    <n v="355012.7"/>
    <n v="214"/>
    <n v="6"/>
    <x v="1"/>
  </r>
  <r>
    <x v="1669"/>
    <s v="C0221"/>
    <x v="1"/>
    <d v="2024-07-15T00:00:00"/>
    <d v="2024-09-13T00:00:00"/>
    <s v="INR"/>
    <n v="3412165"/>
    <d v="2024-09-28T00:00:00"/>
    <s v="PAID"/>
    <s v="N"/>
    <m/>
    <n v="3412165"/>
    <n v="1"/>
    <n v="3412165"/>
    <n v="0"/>
    <n v="0"/>
    <n v="15"/>
    <x v="0"/>
  </r>
  <r>
    <x v="1670"/>
    <s v="C0239"/>
    <x v="1"/>
    <d v="2024-07-16T00:00:00"/>
    <d v="2024-08-30T00:00:00"/>
    <s v="INR"/>
    <n v="7701192"/>
    <d v="2024-12-15T00:00:00"/>
    <s v="PAID"/>
    <s v="N"/>
    <m/>
    <n v="7701192"/>
    <n v="1"/>
    <n v="7701192"/>
    <n v="0"/>
    <n v="0"/>
    <n v="107"/>
    <x v="0"/>
  </r>
  <r>
    <x v="1671"/>
    <s v="C0057"/>
    <x v="3"/>
    <d v="2024-07-17T00:00:00"/>
    <d v="2024-08-16T00:00:00"/>
    <s v="INR"/>
    <n v="9416213"/>
    <d v="2024-08-19T00:00:00"/>
    <s v="PAID"/>
    <s v="N"/>
    <m/>
    <n v="9416213"/>
    <n v="1"/>
    <n v="9416213"/>
    <n v="0"/>
    <n v="0"/>
    <n v="3"/>
    <x v="0"/>
  </r>
  <r>
    <x v="1672"/>
    <s v="C0084"/>
    <x v="3"/>
    <d v="2024-07-17T00:00:00"/>
    <d v="2024-08-31T00:00:00"/>
    <s v="INR"/>
    <n v="10502013"/>
    <d v="2024-08-30T00:00:00"/>
    <s v="PAID"/>
    <s v="N"/>
    <m/>
    <n v="10502013"/>
    <n v="1"/>
    <n v="10502013"/>
    <n v="0"/>
    <n v="0"/>
    <n v="-1"/>
    <x v="0"/>
  </r>
  <r>
    <x v="1673"/>
    <s v="C0165"/>
    <x v="4"/>
    <d v="2024-07-17T00:00:00"/>
    <d v="2024-08-16T00:00:00"/>
    <s v="USD"/>
    <n v="150415.66"/>
    <d v="2024-08-27T00:00:00"/>
    <s v="PAID"/>
    <s v="N"/>
    <m/>
    <n v="150415.66"/>
    <n v="83.55"/>
    <n v="12567228.392999999"/>
    <n v="0"/>
    <n v="0"/>
    <n v="11"/>
    <x v="0"/>
  </r>
  <r>
    <x v="1674"/>
    <s v="C0147"/>
    <x v="3"/>
    <d v="2024-07-18T00:00:00"/>
    <d v="2024-10-16T00:00:00"/>
    <s v="INR"/>
    <n v="4843762"/>
    <d v="2024-10-21T00:00:00"/>
    <s v="PAID"/>
    <s v="N"/>
    <m/>
    <n v="4843762"/>
    <n v="1"/>
    <n v="4843762"/>
    <n v="0"/>
    <n v="0"/>
    <n v="5"/>
    <x v="0"/>
  </r>
  <r>
    <x v="1675"/>
    <s v="C0052"/>
    <x v="0"/>
    <d v="2024-07-19T00:00:00"/>
    <d v="2024-08-18T00:00:00"/>
    <s v="INR"/>
    <n v="2218091"/>
    <d v="2024-08-27T00:00:00"/>
    <s v="PAID"/>
    <s v="N"/>
    <m/>
    <n v="2218091"/>
    <n v="1"/>
    <n v="2218091"/>
    <n v="0"/>
    <n v="0"/>
    <n v="9"/>
    <x v="0"/>
  </r>
  <r>
    <x v="1676"/>
    <s v="C0080"/>
    <x v="4"/>
    <d v="2024-07-19T00:00:00"/>
    <d v="2024-09-17T00:00:00"/>
    <s v="INR"/>
    <n v="26855031"/>
    <d v="2024-10-12T00:00:00"/>
    <s v="PAID"/>
    <s v="N"/>
    <m/>
    <n v="26855031"/>
    <n v="1"/>
    <n v="26855031"/>
    <n v="0"/>
    <n v="0"/>
    <n v="25"/>
    <x v="0"/>
  </r>
  <r>
    <x v="1677"/>
    <s v="C0147"/>
    <x v="3"/>
    <d v="2024-07-19T00:00:00"/>
    <d v="2024-10-17T00:00:00"/>
    <s v="INR"/>
    <n v="13218956"/>
    <d v="2024-11-04T00:00:00"/>
    <s v="PAID"/>
    <s v="N"/>
    <m/>
    <n v="13218956"/>
    <n v="1"/>
    <n v="13218956"/>
    <n v="0"/>
    <n v="0"/>
    <n v="18"/>
    <x v="0"/>
  </r>
  <r>
    <x v="1678"/>
    <s v="C0148"/>
    <x v="0"/>
    <d v="2024-07-19T00:00:00"/>
    <d v="2024-08-18T00:00:00"/>
    <s v="INR"/>
    <n v="2509482"/>
    <d v="2024-08-23T00:00:00"/>
    <s v="PAID"/>
    <s v="N"/>
    <m/>
    <n v="2509482"/>
    <n v="1"/>
    <n v="2509482"/>
    <n v="0"/>
    <n v="0"/>
    <n v="5"/>
    <x v="0"/>
  </r>
  <r>
    <x v="1679"/>
    <s v="C0030"/>
    <x v="0"/>
    <d v="2024-07-20T00:00:00"/>
    <d v="2024-09-18T00:00:00"/>
    <s v="INR"/>
    <n v="2551259"/>
    <d v="2024-09-29T00:00:00"/>
    <s v="PAID"/>
    <s v="N"/>
    <m/>
    <n v="2551259"/>
    <n v="1"/>
    <n v="2551259"/>
    <n v="0"/>
    <n v="0"/>
    <n v="11"/>
    <x v="0"/>
  </r>
  <r>
    <x v="1680"/>
    <s v="C0046"/>
    <x v="0"/>
    <d v="2024-07-20T00:00:00"/>
    <d v="2024-08-19T00:00:00"/>
    <s v="INR"/>
    <n v="8563502"/>
    <d v="2024-08-19T00:00:00"/>
    <s v="PAID"/>
    <s v="N"/>
    <m/>
    <n v="8563502"/>
    <n v="1"/>
    <n v="8563502"/>
    <n v="0"/>
    <n v="0"/>
    <n v="0"/>
    <x v="0"/>
  </r>
  <r>
    <x v="1681"/>
    <s v="C0049"/>
    <x v="3"/>
    <d v="2024-07-20T00:00:00"/>
    <d v="2024-08-19T00:00:00"/>
    <s v="INR"/>
    <n v="6380196"/>
    <d v="2024-08-21T00:00:00"/>
    <s v="PAID"/>
    <s v="N"/>
    <m/>
    <n v="6380196"/>
    <n v="1"/>
    <n v="6380196"/>
    <n v="0"/>
    <n v="0"/>
    <n v="2"/>
    <x v="0"/>
  </r>
  <r>
    <x v="1682"/>
    <s v="C0073"/>
    <x v="1"/>
    <d v="2024-07-20T00:00:00"/>
    <d v="2024-08-19T00:00:00"/>
    <s v="USD"/>
    <n v="130436.33"/>
    <d v="2024-09-20T00:00:00"/>
    <s v="PAID"/>
    <s v="N"/>
    <m/>
    <n v="130436.33"/>
    <n v="83.7"/>
    <n v="10917520.821"/>
    <n v="0"/>
    <n v="0"/>
    <n v="32"/>
    <x v="0"/>
  </r>
  <r>
    <x v="1683"/>
    <s v="C0099"/>
    <x v="3"/>
    <d v="2024-07-20T00:00:00"/>
    <d v="2024-09-18T00:00:00"/>
    <s v="EUR"/>
    <n v="252461.76"/>
    <d v="2024-10-12T00:00:00"/>
    <s v="PAID"/>
    <s v="N"/>
    <m/>
    <n v="252461.76"/>
    <n v="91.132599999999996"/>
    <n v="23007496.589375999"/>
    <n v="0"/>
    <n v="0"/>
    <n v="24"/>
    <x v="0"/>
  </r>
  <r>
    <x v="1684"/>
    <s v="C0109"/>
    <x v="1"/>
    <d v="2024-07-20T00:00:00"/>
    <d v="2024-09-03T00:00:00"/>
    <s v="INR"/>
    <n v="3197959"/>
    <d v="2024-09-04T00:00:00"/>
    <s v="PAID"/>
    <s v="N"/>
    <m/>
    <n v="3197959"/>
    <n v="1"/>
    <n v="3197959"/>
    <n v="0"/>
    <n v="0"/>
    <n v="1"/>
    <x v="0"/>
  </r>
  <r>
    <x v="1685"/>
    <s v="C0152"/>
    <x v="0"/>
    <d v="2024-07-20T00:00:00"/>
    <d v="2024-09-18T00:00:00"/>
    <s v="INR"/>
    <n v="2694234"/>
    <d v="2024-09-21T00:00:00"/>
    <s v="PAID"/>
    <s v="N"/>
    <m/>
    <n v="2694234"/>
    <n v="1"/>
    <n v="2694234"/>
    <n v="0"/>
    <n v="0"/>
    <n v="3"/>
    <x v="0"/>
  </r>
  <r>
    <x v="1686"/>
    <s v="C0033"/>
    <x v="2"/>
    <d v="2024-07-22T00:00:00"/>
    <d v="2024-10-20T00:00:00"/>
    <s v="USD"/>
    <n v="25962.93"/>
    <d v="2024-11-20T00:00:00"/>
    <s v="PAID"/>
    <s v="N"/>
    <m/>
    <n v="25962.93"/>
    <n v="83.65"/>
    <n v="2171799.0945000001"/>
    <n v="0"/>
    <n v="0"/>
    <n v="31"/>
    <x v="0"/>
  </r>
  <r>
    <x v="1687"/>
    <s v="C0054"/>
    <x v="4"/>
    <d v="2024-07-22T00:00:00"/>
    <d v="2024-09-20T00:00:00"/>
    <s v="EUR"/>
    <n v="51222.02"/>
    <d v="2024-09-24T00:00:00"/>
    <s v="PAID"/>
    <s v="Y"/>
    <n v="91.193200000000004"/>
    <n v="51222.02"/>
    <n v="91.011200000000002"/>
    <n v="4661777.5066240001"/>
    <n v="0"/>
    <n v="0"/>
    <n v="4"/>
    <x v="0"/>
  </r>
  <r>
    <x v="1688"/>
    <s v="C0103"/>
    <x v="0"/>
    <d v="2024-07-22T00:00:00"/>
    <d v="2024-09-20T00:00:00"/>
    <s v="INR"/>
    <n v="7236646"/>
    <d v="2024-09-29T00:00:00"/>
    <s v="PAID"/>
    <s v="N"/>
    <m/>
    <n v="7236646"/>
    <n v="1"/>
    <n v="7236646"/>
    <n v="0"/>
    <n v="0"/>
    <n v="9"/>
    <x v="0"/>
  </r>
  <r>
    <x v="1689"/>
    <s v="C0100"/>
    <x v="4"/>
    <d v="2024-07-23T00:00:00"/>
    <d v="2024-09-21T00:00:00"/>
    <s v="USD"/>
    <n v="75925.850000000006"/>
    <d v="2024-09-30T00:00:00"/>
    <s v="PAID"/>
    <s v="Y"/>
    <n v="83.9589"/>
    <n v="75925.850000000006"/>
    <n v="83.68"/>
    <n v="6353475.1280000014"/>
    <n v="0"/>
    <n v="0"/>
    <n v="9"/>
    <x v="0"/>
  </r>
  <r>
    <x v="1690"/>
    <s v="C0165"/>
    <x v="3"/>
    <d v="2024-07-23T00:00:00"/>
    <d v="2024-08-22T00:00:00"/>
    <s v="USD"/>
    <n v="148438.12"/>
    <d v="2024-08-31T00:00:00"/>
    <s v="PAID"/>
    <s v="Y"/>
    <n v="83.819500000000005"/>
    <n v="148438.12"/>
    <n v="83.68"/>
    <n v="12421301.8816"/>
    <n v="0"/>
    <n v="0"/>
    <n v="9"/>
    <x v="0"/>
  </r>
  <r>
    <x v="1691"/>
    <s v="C0219"/>
    <x v="2"/>
    <d v="2024-07-23T00:00:00"/>
    <d v="2024-08-22T00:00:00"/>
    <s v="INR"/>
    <n v="1291297"/>
    <d v="2024-08-23T00:00:00"/>
    <s v="PAID"/>
    <s v="N"/>
    <m/>
    <n v="1291297"/>
    <n v="1"/>
    <n v="1291297"/>
    <n v="0"/>
    <n v="0"/>
    <n v="1"/>
    <x v="0"/>
  </r>
  <r>
    <x v="1692"/>
    <s v="C0238"/>
    <x v="2"/>
    <d v="2024-07-23T00:00:00"/>
    <d v="2024-09-21T00:00:00"/>
    <s v="INR"/>
    <n v="4994403"/>
    <d v="2024-09-29T00:00:00"/>
    <s v="PAID"/>
    <s v="N"/>
    <m/>
    <n v="4994403"/>
    <n v="1"/>
    <n v="4994403"/>
    <n v="0"/>
    <n v="0"/>
    <n v="8"/>
    <x v="0"/>
  </r>
  <r>
    <x v="1693"/>
    <s v="C0039"/>
    <x v="0"/>
    <d v="2024-07-24T00:00:00"/>
    <d v="2024-09-22T00:00:00"/>
    <s v="INR"/>
    <n v="9906850"/>
    <d v="2024-09-30T00:00:00"/>
    <s v="PAID"/>
    <s v="N"/>
    <m/>
    <n v="9906850"/>
    <n v="1"/>
    <n v="9906850"/>
    <n v="0"/>
    <n v="0"/>
    <n v="8"/>
    <x v="0"/>
  </r>
  <r>
    <x v="1694"/>
    <s v="C0103"/>
    <x v="0"/>
    <d v="2024-07-24T00:00:00"/>
    <d v="2024-09-22T00:00:00"/>
    <s v="INR"/>
    <n v="6297341"/>
    <d v="2024-09-26T00:00:00"/>
    <s v="PAID"/>
    <s v="N"/>
    <m/>
    <n v="6297341"/>
    <n v="1"/>
    <n v="6297341"/>
    <n v="0"/>
    <n v="0"/>
    <n v="4"/>
    <x v="0"/>
  </r>
  <r>
    <x v="1695"/>
    <s v="C0113"/>
    <x v="0"/>
    <d v="2024-07-24T00:00:00"/>
    <d v="2024-10-22T00:00:00"/>
    <s v="INR"/>
    <n v="2557326"/>
    <d v="2024-10-29T00:00:00"/>
    <s v="PAID"/>
    <s v="N"/>
    <m/>
    <n v="2557326"/>
    <n v="1"/>
    <n v="2557326"/>
    <n v="0"/>
    <n v="0"/>
    <n v="7"/>
    <x v="0"/>
  </r>
  <r>
    <x v="1696"/>
    <s v="C0223"/>
    <x v="0"/>
    <d v="2024-07-24T00:00:00"/>
    <d v="2024-09-07T00:00:00"/>
    <s v="INR"/>
    <n v="4523043"/>
    <d v="2024-10-10T00:00:00"/>
    <s v="PAID"/>
    <s v="N"/>
    <m/>
    <n v="4523043"/>
    <n v="1"/>
    <n v="4523043"/>
    <n v="0"/>
    <n v="0"/>
    <n v="33"/>
    <x v="0"/>
  </r>
  <r>
    <x v="1697"/>
    <s v="C0244"/>
    <x v="3"/>
    <d v="2024-07-24T00:00:00"/>
    <d v="2024-09-22T00:00:00"/>
    <s v="INR"/>
    <n v="3681039"/>
    <d v="2024-11-15T00:00:00"/>
    <s v="PAID"/>
    <s v="N"/>
    <m/>
    <n v="3681039"/>
    <n v="1"/>
    <n v="3681039"/>
    <n v="0"/>
    <n v="0"/>
    <n v="54"/>
    <x v="0"/>
  </r>
  <r>
    <x v="1698"/>
    <s v="C0175"/>
    <x v="0"/>
    <d v="2024-07-25T00:00:00"/>
    <d v="2024-09-23T00:00:00"/>
    <s v="INR"/>
    <n v="3397037"/>
    <d v="2024-11-11T00:00:00"/>
    <s v="PAID"/>
    <s v="N"/>
    <m/>
    <n v="3397037"/>
    <n v="1"/>
    <n v="3397037"/>
    <n v="0"/>
    <n v="0"/>
    <n v="49"/>
    <x v="0"/>
  </r>
  <r>
    <x v="1699"/>
    <s v="C0183"/>
    <x v="0"/>
    <d v="2024-07-25T00:00:00"/>
    <d v="2024-10-23T00:00:00"/>
    <s v="INR"/>
    <n v="5763316"/>
    <d v="2024-10-29T00:00:00"/>
    <s v="PAID"/>
    <s v="N"/>
    <m/>
    <n v="5763316"/>
    <n v="1"/>
    <n v="5763316"/>
    <n v="0"/>
    <n v="0"/>
    <n v="6"/>
    <x v="0"/>
  </r>
  <r>
    <x v="1700"/>
    <s v="C0082"/>
    <x v="4"/>
    <d v="2024-07-26T00:00:00"/>
    <d v="2024-09-24T00:00:00"/>
    <s v="INR"/>
    <n v="16017268"/>
    <d v="2024-10-06T00:00:00"/>
    <s v="PAID"/>
    <s v="N"/>
    <m/>
    <n v="16017268"/>
    <n v="1"/>
    <n v="16017268"/>
    <n v="0"/>
    <n v="0"/>
    <n v="12"/>
    <x v="0"/>
  </r>
  <r>
    <x v="1701"/>
    <s v="C0112"/>
    <x v="4"/>
    <d v="2024-07-26T00:00:00"/>
    <d v="2024-09-09T00:00:00"/>
    <s v="INR"/>
    <n v="18640059"/>
    <d v="2025-01-30T00:00:00"/>
    <s v="PAID"/>
    <s v="N"/>
    <m/>
    <n v="18640059"/>
    <n v="1"/>
    <n v="18640059"/>
    <n v="0"/>
    <n v="0"/>
    <n v="143"/>
    <x v="0"/>
  </r>
  <r>
    <x v="1702"/>
    <s v="C0236"/>
    <x v="3"/>
    <d v="2024-07-26T00:00:00"/>
    <d v="2024-09-24T00:00:00"/>
    <s v="EUR"/>
    <n v="226503.7"/>
    <d v="2025-02-09T00:00:00"/>
    <s v="PAID"/>
    <s v="Y"/>
    <n v="91.071600000000004"/>
    <n v="226503.7"/>
    <n v="90.889799999999994"/>
    <n v="20586875.992259998"/>
    <n v="0"/>
    <n v="0"/>
    <n v="138"/>
    <x v="0"/>
  </r>
  <r>
    <x v="1703"/>
    <s v="C0238"/>
    <x v="2"/>
    <d v="2024-07-26T00:00:00"/>
    <d v="2024-09-24T00:00:00"/>
    <s v="INR"/>
    <n v="28523929"/>
    <d v="2024-09-27T00:00:00"/>
    <s v="PAID"/>
    <s v="N"/>
    <m/>
    <n v="28523929"/>
    <n v="1"/>
    <n v="28523929"/>
    <n v="0"/>
    <n v="0"/>
    <n v="3"/>
    <x v="0"/>
  </r>
  <r>
    <x v="1704"/>
    <s v="C0240"/>
    <x v="2"/>
    <d v="2024-07-26T00:00:00"/>
    <d v="2024-08-25T00:00:00"/>
    <s v="INR"/>
    <n v="6203788"/>
    <d v="2024-09-06T00:00:00"/>
    <s v="PAID"/>
    <s v="N"/>
    <m/>
    <n v="6203788"/>
    <n v="1"/>
    <n v="6203788"/>
    <n v="0"/>
    <n v="0"/>
    <n v="12"/>
    <x v="0"/>
  </r>
  <r>
    <x v="1705"/>
    <s v="C0249"/>
    <x v="4"/>
    <d v="2024-07-26T00:00:00"/>
    <d v="2024-10-24T00:00:00"/>
    <s v="EUR"/>
    <n v="21140.080000000002"/>
    <d v="2024-11-18T00:00:00"/>
    <s v="PAID"/>
    <s v="N"/>
    <m/>
    <n v="21140.080000000002"/>
    <n v="90.889799999999994"/>
    <n v="1921417.6431839999"/>
    <n v="0"/>
    <n v="0"/>
    <n v="25"/>
    <x v="0"/>
  </r>
  <r>
    <x v="1706"/>
    <s v="C0049"/>
    <x v="3"/>
    <d v="2024-07-27T00:00:00"/>
    <d v="2024-08-26T00:00:00"/>
    <s v="INR"/>
    <n v="4546073"/>
    <d v="2024-08-29T00:00:00"/>
    <s v="PAID"/>
    <s v="N"/>
    <m/>
    <n v="4546073"/>
    <n v="1"/>
    <n v="4546073"/>
    <n v="0"/>
    <n v="0"/>
    <n v="3"/>
    <x v="0"/>
  </r>
  <r>
    <x v="1707"/>
    <s v="C0082"/>
    <x v="4"/>
    <d v="2024-07-27T00:00:00"/>
    <d v="2024-09-25T00:00:00"/>
    <s v="INR"/>
    <n v="3474541"/>
    <d v="2024-09-26T00:00:00"/>
    <s v="PAID"/>
    <s v="N"/>
    <m/>
    <n v="3474541"/>
    <n v="1"/>
    <n v="3474541"/>
    <n v="0"/>
    <n v="0"/>
    <n v="1"/>
    <x v="0"/>
  </r>
  <r>
    <x v="1708"/>
    <s v="C0183"/>
    <x v="0"/>
    <d v="2024-07-27T00:00:00"/>
    <d v="2024-10-25T00:00:00"/>
    <s v="INR"/>
    <n v="10869157"/>
    <d v="2024-11-01T00:00:00"/>
    <s v="PAID"/>
    <s v="N"/>
    <m/>
    <n v="10869157"/>
    <n v="1"/>
    <n v="10869157"/>
    <n v="0"/>
    <n v="0"/>
    <n v="7"/>
    <x v="0"/>
  </r>
  <r>
    <x v="1709"/>
    <s v="C0216"/>
    <x v="1"/>
    <d v="2024-07-27T00:00:00"/>
    <d v="2024-09-25T00:00:00"/>
    <s v="USD"/>
    <n v="92756.24"/>
    <d v="2024-10-13T00:00:00"/>
    <s v="PARTIALLY PAID"/>
    <s v="N"/>
    <m/>
    <n v="77018.649999999994"/>
    <n v="83.7"/>
    <n v="7763697.2880000006"/>
    <n v="1317236.283000001"/>
    <n v="187"/>
    <n v="18"/>
    <x v="1"/>
  </r>
  <r>
    <x v="1710"/>
    <s v="C0241"/>
    <x v="3"/>
    <d v="2024-07-27T00:00:00"/>
    <d v="2024-09-25T00:00:00"/>
    <s v="EUR"/>
    <n v="36559.64"/>
    <d v="2024-09-30T00:00:00"/>
    <s v="PAID"/>
    <s v="Y"/>
    <n v="91.071600000000004"/>
    <n v="36559.64"/>
    <n v="90.889799999999994"/>
    <n v="3322898.3676719996"/>
    <n v="0"/>
    <n v="0"/>
    <n v="5"/>
    <x v="0"/>
  </r>
  <r>
    <x v="1711"/>
    <s v="C0111"/>
    <x v="3"/>
    <d v="2024-07-29T00:00:00"/>
    <d v="2024-10-27T00:00:00"/>
    <s v="EUR"/>
    <n v="29915.87"/>
    <d v="2024-11-30T00:00:00"/>
    <s v="PAID"/>
    <s v="Y"/>
    <n v="90.880899999999997"/>
    <n v="29915.87"/>
    <n v="90.609099999999998"/>
    <n v="2710650.056417"/>
    <n v="0"/>
    <n v="0"/>
    <n v="34"/>
    <x v="0"/>
  </r>
  <r>
    <x v="1712"/>
    <s v="C0238"/>
    <x v="2"/>
    <d v="2024-07-29T00:00:00"/>
    <d v="2024-09-27T00:00:00"/>
    <s v="INR"/>
    <n v="13799484"/>
    <d v="2024-09-27T00:00:00"/>
    <s v="PAID"/>
    <s v="N"/>
    <m/>
    <n v="13799484"/>
    <n v="1"/>
    <n v="13799484"/>
    <n v="0"/>
    <n v="0"/>
    <n v="0"/>
    <x v="0"/>
  </r>
  <r>
    <x v="1713"/>
    <s v="C0020"/>
    <x v="3"/>
    <d v="2024-07-30T00:00:00"/>
    <d v="2024-10-28T00:00:00"/>
    <s v="USD"/>
    <n v="89157.43"/>
    <m/>
    <s v="OPEN"/>
    <s v="Y"/>
    <n v="84.118499999999997"/>
    <n v="0"/>
    <n v="83.7"/>
    <n v="7462476.8909999998"/>
    <n v="7462476.8909999998"/>
    <n v="154"/>
    <s v=""/>
    <x v="1"/>
  </r>
  <r>
    <x v="1714"/>
    <s v="C0073"/>
    <x v="1"/>
    <d v="2024-07-30T00:00:00"/>
    <d v="2024-08-29T00:00:00"/>
    <s v="USD"/>
    <n v="318090.95"/>
    <d v="2024-09-14T00:00:00"/>
    <s v="PAID"/>
    <s v="N"/>
    <m/>
    <n v="318090.95"/>
    <n v="83.7"/>
    <n v="26624212.515000001"/>
    <n v="0"/>
    <n v="0"/>
    <n v="16"/>
    <x v="0"/>
  </r>
  <r>
    <x v="1715"/>
    <s v="C0173"/>
    <x v="4"/>
    <d v="2024-07-30T00:00:00"/>
    <d v="2024-09-28T00:00:00"/>
    <s v="EUR"/>
    <n v="78979.92"/>
    <d v="2024-10-17T00:00:00"/>
    <s v="PAID"/>
    <s v="N"/>
    <m/>
    <n v="78979.92"/>
    <n v="90.471299999999999"/>
    <n v="7145416.0362959998"/>
    <n v="0"/>
    <n v="0"/>
    <n v="19"/>
    <x v="0"/>
  </r>
  <r>
    <x v="1716"/>
    <s v="C0236"/>
    <x v="1"/>
    <d v="2024-07-30T00:00:00"/>
    <d v="2024-09-28T00:00:00"/>
    <s v="EUR"/>
    <n v="482838.65"/>
    <d v="2024-10-12T00:00:00"/>
    <s v="PAID"/>
    <s v="N"/>
    <m/>
    <n v="482838.65"/>
    <n v="90.471299999999999"/>
    <n v="43683040.355745003"/>
    <n v="0"/>
    <n v="0"/>
    <n v="14"/>
    <x v="0"/>
  </r>
  <r>
    <x v="1717"/>
    <s v="C0084"/>
    <x v="3"/>
    <d v="2024-08-01T00:00:00"/>
    <d v="2024-09-15T00:00:00"/>
    <s v="INR"/>
    <n v="3606414"/>
    <d v="2024-09-15T00:00:00"/>
    <s v="PAID"/>
    <s v="N"/>
    <m/>
    <n v="3606414"/>
    <n v="1"/>
    <n v="3606414"/>
    <n v="0"/>
    <n v="0"/>
    <n v="0"/>
    <x v="0"/>
  </r>
  <r>
    <x v="1718"/>
    <s v="C0161"/>
    <x v="4"/>
    <d v="2024-08-01T00:00:00"/>
    <d v="2024-10-30T00:00:00"/>
    <s v="USD"/>
    <n v="29680.06"/>
    <d v="2024-11-29T00:00:00"/>
    <s v="PAID"/>
    <s v="Y"/>
    <n v="84.118499999999997"/>
    <n v="29680.06"/>
    <n v="83.7"/>
    <n v="2484221.0220000003"/>
    <n v="0"/>
    <n v="0"/>
    <n v="30"/>
    <x v="0"/>
  </r>
  <r>
    <x v="1719"/>
    <s v="C0172"/>
    <x v="4"/>
    <d v="2024-08-01T00:00:00"/>
    <d v="2024-08-31T00:00:00"/>
    <s v="INR"/>
    <n v="5194257"/>
    <d v="2024-09-02T00:00:00"/>
    <s v="PAID"/>
    <s v="N"/>
    <m/>
    <n v="5194257"/>
    <n v="1"/>
    <n v="5194257"/>
    <n v="0"/>
    <n v="0"/>
    <n v="2"/>
    <x v="0"/>
  </r>
  <r>
    <x v="1720"/>
    <s v="C0198"/>
    <x v="3"/>
    <d v="2024-08-01T00:00:00"/>
    <d v="2024-09-15T00:00:00"/>
    <s v="USD"/>
    <n v="97857.54"/>
    <d v="2024-10-09T00:00:00"/>
    <s v="PAID"/>
    <s v="Y"/>
    <n v="83.909300000000002"/>
    <n v="97857.54"/>
    <n v="83.7"/>
    <n v="8190676.0979999993"/>
    <n v="0"/>
    <n v="0"/>
    <n v="24"/>
    <x v="0"/>
  </r>
  <r>
    <x v="1721"/>
    <s v="C0215"/>
    <x v="4"/>
    <d v="2024-08-01T00:00:00"/>
    <d v="2024-08-31T00:00:00"/>
    <s v="USD"/>
    <n v="46952.91"/>
    <d v="2024-09-18T00:00:00"/>
    <s v="PAID"/>
    <s v="N"/>
    <m/>
    <n v="46952.91"/>
    <n v="83.7"/>
    <n v="3929958.5670000003"/>
    <n v="0"/>
    <n v="0"/>
    <n v="18"/>
    <x v="0"/>
  </r>
  <r>
    <x v="1722"/>
    <s v="C0015"/>
    <x v="3"/>
    <d v="2024-08-02T00:00:00"/>
    <d v="2024-10-01T00:00:00"/>
    <s v="INR"/>
    <n v="2033681"/>
    <d v="2024-09-26T00:00:00"/>
    <s v="PAID"/>
    <s v="N"/>
    <m/>
    <n v="2033681"/>
    <n v="1"/>
    <n v="2033681"/>
    <n v="0"/>
    <n v="0"/>
    <n v="-5"/>
    <x v="0"/>
  </r>
  <r>
    <x v="1723"/>
    <s v="C0040"/>
    <x v="2"/>
    <d v="2024-08-02T00:00:00"/>
    <d v="2024-09-01T00:00:00"/>
    <s v="EUR"/>
    <n v="45055.65"/>
    <d v="2024-09-21T00:00:00"/>
    <s v="PAID"/>
    <s v="N"/>
    <m/>
    <n v="45055.65"/>
    <n v="91.448400000000007"/>
    <n v="4120267.1034600004"/>
    <n v="0"/>
    <n v="0"/>
    <n v="20"/>
    <x v="0"/>
  </r>
  <r>
    <x v="1724"/>
    <s v="C0096"/>
    <x v="3"/>
    <d v="2024-08-02T00:00:00"/>
    <d v="2024-10-01T00:00:00"/>
    <s v="USD"/>
    <n v="174512.51"/>
    <d v="2025-01-04T00:00:00"/>
    <s v="PAID"/>
    <s v="N"/>
    <m/>
    <n v="174512.51"/>
    <n v="83.79"/>
    <n v="14622403.212900002"/>
    <n v="0"/>
    <n v="0"/>
    <n v="95"/>
    <x v="0"/>
  </r>
  <r>
    <x v="1725"/>
    <s v="C0122"/>
    <x v="3"/>
    <d v="2024-08-02T00:00:00"/>
    <d v="2024-09-16T00:00:00"/>
    <s v="EUR"/>
    <n v="26988.85"/>
    <d v="2024-10-09T00:00:00"/>
    <s v="PAID"/>
    <s v="Y"/>
    <n v="91.585599999999999"/>
    <n v="26988.85"/>
    <n v="91.448400000000007"/>
    <n v="2468087.1503400002"/>
    <n v="0"/>
    <n v="0"/>
    <n v="23"/>
    <x v="0"/>
  </r>
  <r>
    <x v="1726"/>
    <s v="C0159"/>
    <x v="4"/>
    <d v="2024-08-02T00:00:00"/>
    <d v="2024-09-16T00:00:00"/>
    <s v="INR"/>
    <n v="2890701"/>
    <d v="2024-09-21T00:00:00"/>
    <s v="PAID"/>
    <s v="N"/>
    <m/>
    <n v="2890701"/>
    <n v="1"/>
    <n v="2890701"/>
    <n v="0"/>
    <n v="0"/>
    <n v="5"/>
    <x v="0"/>
  </r>
  <r>
    <x v="1727"/>
    <s v="C0080"/>
    <x v="0"/>
    <d v="2024-08-03T00:00:00"/>
    <d v="2024-10-02T00:00:00"/>
    <s v="INR"/>
    <n v="4359133"/>
    <d v="2024-10-21T00:00:00"/>
    <s v="PAID"/>
    <s v="N"/>
    <m/>
    <n v="4359133"/>
    <n v="1"/>
    <n v="4359133"/>
    <n v="0"/>
    <n v="0"/>
    <n v="19"/>
    <x v="0"/>
  </r>
  <r>
    <x v="1728"/>
    <s v="C0111"/>
    <x v="3"/>
    <d v="2024-08-03T00:00:00"/>
    <d v="2024-11-01T00:00:00"/>
    <s v="EUR"/>
    <n v="47706.87"/>
    <d v="2024-11-20T00:00:00"/>
    <s v="PAID"/>
    <s v="Y"/>
    <n v="91.722700000000003"/>
    <n v="47706.87"/>
    <n v="91.448400000000007"/>
    <n v="4362716.9305080008"/>
    <n v="0"/>
    <n v="0"/>
    <n v="19"/>
    <x v="0"/>
  </r>
  <r>
    <x v="1729"/>
    <s v="C0177"/>
    <x v="3"/>
    <d v="2024-08-03T00:00:00"/>
    <d v="2024-10-02T00:00:00"/>
    <s v="EUR"/>
    <n v="19447.77"/>
    <d v="2024-10-09T00:00:00"/>
    <s v="PAID"/>
    <s v="Y"/>
    <n v="91.631299999999996"/>
    <n v="19447.77"/>
    <n v="91.448400000000007"/>
    <n v="1778467.4500680002"/>
    <n v="0"/>
    <n v="0"/>
    <n v="7"/>
    <x v="0"/>
  </r>
  <r>
    <x v="1730"/>
    <s v="C0180"/>
    <x v="1"/>
    <d v="2024-08-03T00:00:00"/>
    <d v="2024-09-17T00:00:00"/>
    <s v="USD"/>
    <n v="59820.76"/>
    <m/>
    <s v="OPEN"/>
    <s v="Y"/>
    <n v="83.999499999999998"/>
    <n v="0"/>
    <n v="83.79"/>
    <n v="5012381.4804000007"/>
    <n v="5012381.4804000007"/>
    <n v="195"/>
    <s v=""/>
    <x v="1"/>
  </r>
  <r>
    <x v="1731"/>
    <s v="C0198"/>
    <x v="3"/>
    <d v="2024-08-03T00:00:00"/>
    <d v="2024-09-17T00:00:00"/>
    <s v="USD"/>
    <n v="102538.4"/>
    <m/>
    <s v="WRITTEN OFF"/>
    <s v="Y"/>
    <n v="83.999499999999998"/>
    <n v="0"/>
    <n v="83.79"/>
    <n v="8591692.5360000003"/>
    <n v="0"/>
    <n v="0"/>
    <s v=""/>
    <x v="0"/>
  </r>
  <r>
    <x v="1732"/>
    <s v="C0212"/>
    <x v="2"/>
    <d v="2024-08-03T00:00:00"/>
    <d v="2024-11-01T00:00:00"/>
    <s v="INR"/>
    <n v="6633193"/>
    <d v="2024-11-09T00:00:00"/>
    <s v="PAID"/>
    <s v="N"/>
    <m/>
    <n v="6633193"/>
    <n v="1"/>
    <n v="6633193"/>
    <n v="0"/>
    <n v="0"/>
    <n v="8"/>
    <x v="0"/>
  </r>
  <r>
    <x v="1733"/>
    <s v="C0236"/>
    <x v="3"/>
    <d v="2024-08-03T00:00:00"/>
    <d v="2024-10-02T00:00:00"/>
    <s v="EUR"/>
    <n v="170767.93"/>
    <d v="2024-11-01T00:00:00"/>
    <s v="PAID"/>
    <s v="N"/>
    <m/>
    <n v="170767.93"/>
    <n v="91.448400000000007"/>
    <n v="15616453.969812"/>
    <n v="0"/>
    <n v="0"/>
    <n v="30"/>
    <x v="0"/>
  </r>
  <r>
    <x v="1734"/>
    <s v="C0004"/>
    <x v="0"/>
    <d v="2024-08-05T00:00:00"/>
    <d v="2024-09-19T00:00:00"/>
    <s v="INR"/>
    <n v="4492432"/>
    <d v="2024-09-23T00:00:00"/>
    <s v="PAID"/>
    <s v="N"/>
    <m/>
    <n v="4492432"/>
    <n v="1"/>
    <n v="4492432"/>
    <n v="0"/>
    <n v="0"/>
    <n v="4"/>
    <x v="0"/>
  </r>
  <r>
    <x v="1735"/>
    <s v="C0141"/>
    <x v="3"/>
    <d v="2024-08-05T00:00:00"/>
    <d v="2024-10-04T00:00:00"/>
    <s v="INR"/>
    <n v="6246664"/>
    <d v="2024-10-12T00:00:00"/>
    <s v="PAID"/>
    <s v="N"/>
    <m/>
    <n v="6246664"/>
    <n v="1"/>
    <n v="6246664"/>
    <n v="0"/>
    <n v="0"/>
    <n v="8"/>
    <x v="0"/>
  </r>
  <r>
    <x v="1736"/>
    <s v="C0152"/>
    <x v="0"/>
    <d v="2024-08-05T00:00:00"/>
    <d v="2024-10-04T00:00:00"/>
    <s v="INR"/>
    <n v="3395112"/>
    <d v="2024-09-30T00:00:00"/>
    <s v="PAID"/>
    <s v="N"/>
    <m/>
    <n v="3395112"/>
    <n v="1"/>
    <n v="3395112"/>
    <n v="0"/>
    <n v="0"/>
    <n v="-4"/>
    <x v="0"/>
  </r>
  <r>
    <x v="1737"/>
    <s v="C0228"/>
    <x v="0"/>
    <d v="2024-08-05T00:00:00"/>
    <d v="2024-09-19T00:00:00"/>
    <s v="INR"/>
    <n v="9028443"/>
    <d v="2024-10-01T00:00:00"/>
    <s v="PAID"/>
    <s v="N"/>
    <m/>
    <n v="9028443"/>
    <n v="1"/>
    <n v="9028443"/>
    <n v="0"/>
    <n v="0"/>
    <n v="12"/>
    <x v="0"/>
  </r>
  <r>
    <x v="1738"/>
    <s v="C0231"/>
    <x v="0"/>
    <d v="2024-08-05T00:00:00"/>
    <d v="2024-09-04T00:00:00"/>
    <s v="INR"/>
    <n v="2095173"/>
    <d v="2024-09-13T00:00:00"/>
    <s v="PAID"/>
    <s v="N"/>
    <m/>
    <n v="2095173"/>
    <n v="1"/>
    <n v="2095173"/>
    <n v="0"/>
    <n v="0"/>
    <n v="9"/>
    <x v="0"/>
  </r>
  <r>
    <x v="1739"/>
    <s v="C0073"/>
    <x v="1"/>
    <d v="2024-08-06T00:00:00"/>
    <d v="2024-09-05T00:00:00"/>
    <s v="USD"/>
    <n v="138176.35"/>
    <d v="2024-09-16T00:00:00"/>
    <s v="PAID"/>
    <s v="N"/>
    <m/>
    <n v="138176.35"/>
    <n v="83.91"/>
    <n v="11594377.5285"/>
    <n v="0"/>
    <n v="0"/>
    <n v="11"/>
    <x v="0"/>
  </r>
  <r>
    <x v="1740"/>
    <s v="C0147"/>
    <x v="3"/>
    <d v="2024-08-06T00:00:00"/>
    <d v="2024-11-04T00:00:00"/>
    <s v="INR"/>
    <n v="2749688"/>
    <d v="2024-11-15T00:00:00"/>
    <s v="PAID"/>
    <s v="N"/>
    <m/>
    <n v="2749688"/>
    <n v="1"/>
    <n v="2749688"/>
    <n v="0"/>
    <n v="0"/>
    <n v="11"/>
    <x v="0"/>
  </r>
  <r>
    <x v="1741"/>
    <s v="C0181"/>
    <x v="1"/>
    <d v="2024-08-06T00:00:00"/>
    <d v="2024-10-05T00:00:00"/>
    <s v="INR"/>
    <n v="13456280"/>
    <d v="2024-10-10T00:00:00"/>
    <s v="PAID"/>
    <s v="N"/>
    <m/>
    <n v="13456280"/>
    <n v="1"/>
    <n v="13456280"/>
    <n v="0"/>
    <n v="0"/>
    <n v="5"/>
    <x v="0"/>
  </r>
  <r>
    <x v="1742"/>
    <s v="C0127"/>
    <x v="2"/>
    <d v="2024-08-07T00:00:00"/>
    <d v="2024-10-06T00:00:00"/>
    <s v="INR"/>
    <n v="600963"/>
    <d v="2024-12-24T00:00:00"/>
    <s v="PAID"/>
    <s v="N"/>
    <m/>
    <n v="600963"/>
    <n v="1"/>
    <n v="600963"/>
    <n v="0"/>
    <n v="0"/>
    <n v="79"/>
    <x v="0"/>
  </r>
  <r>
    <x v="1743"/>
    <s v="C0141"/>
    <x v="3"/>
    <d v="2024-08-07T00:00:00"/>
    <d v="2024-10-06T00:00:00"/>
    <s v="INR"/>
    <n v="48142878"/>
    <d v="2024-10-08T00:00:00"/>
    <s v="PAID"/>
    <s v="N"/>
    <m/>
    <n v="48142878"/>
    <n v="1"/>
    <n v="48142878"/>
    <n v="0"/>
    <n v="0"/>
    <n v="2"/>
    <x v="0"/>
  </r>
  <r>
    <x v="1744"/>
    <s v="C0141"/>
    <x v="3"/>
    <d v="2024-08-07T00:00:00"/>
    <d v="2024-10-06T00:00:00"/>
    <s v="INR"/>
    <n v="5698797"/>
    <d v="2024-08-01T00:00:00"/>
    <s v="PAID"/>
    <s v="N"/>
    <m/>
    <n v="5698797"/>
    <n v="1"/>
    <n v="5698797"/>
    <n v="0"/>
    <n v="0"/>
    <m/>
    <x v="0"/>
  </r>
  <r>
    <x v="1745"/>
    <s v="C0050"/>
    <x v="0"/>
    <d v="2024-08-08T00:00:00"/>
    <d v="2024-10-07T00:00:00"/>
    <s v="INR"/>
    <n v="9404840"/>
    <d v="2024-10-10T00:00:00"/>
    <s v="PAID"/>
    <s v="N"/>
    <m/>
    <n v="9404840"/>
    <n v="1"/>
    <n v="9404840"/>
    <n v="0"/>
    <n v="0"/>
    <n v="3"/>
    <x v="0"/>
  </r>
  <r>
    <x v="1746"/>
    <s v="C0103"/>
    <x v="0"/>
    <d v="2024-08-08T00:00:00"/>
    <d v="2024-10-07T00:00:00"/>
    <s v="INR"/>
    <n v="11441141"/>
    <d v="2024-10-15T00:00:00"/>
    <s v="PAID"/>
    <s v="N"/>
    <m/>
    <n v="11441141"/>
    <n v="1"/>
    <n v="11441141"/>
    <n v="0"/>
    <n v="0"/>
    <n v="8"/>
    <x v="0"/>
  </r>
  <r>
    <x v="1747"/>
    <s v="C0136"/>
    <x v="0"/>
    <d v="2024-08-08T00:00:00"/>
    <d v="2024-10-07T00:00:00"/>
    <s v="INR"/>
    <n v="3090442"/>
    <d v="2024-10-05T00:00:00"/>
    <s v="PAID"/>
    <s v="N"/>
    <m/>
    <n v="3090442"/>
    <n v="1"/>
    <n v="3090442"/>
    <n v="0"/>
    <n v="0"/>
    <n v="-2"/>
    <x v="0"/>
  </r>
  <r>
    <x v="1748"/>
    <s v="C0214"/>
    <x v="1"/>
    <d v="2024-08-08T00:00:00"/>
    <d v="2024-09-07T00:00:00"/>
    <s v="INR"/>
    <n v="1122403"/>
    <d v="2024-09-06T00:00:00"/>
    <s v="PARTIALLY PAID"/>
    <s v="N"/>
    <m/>
    <n v="644432.41"/>
    <n v="1"/>
    <n v="1122403"/>
    <n v="477970.58999999997"/>
    <n v="205"/>
    <n v="-1"/>
    <x v="1"/>
  </r>
  <r>
    <x v="1749"/>
    <s v="C0036"/>
    <x v="1"/>
    <d v="2024-08-09T00:00:00"/>
    <d v="2024-09-23T00:00:00"/>
    <s v="INR"/>
    <n v="7776793"/>
    <d v="2024-09-30T00:00:00"/>
    <s v="PAID"/>
    <s v="N"/>
    <m/>
    <n v="7776793"/>
    <n v="1"/>
    <n v="7776793"/>
    <n v="0"/>
    <n v="0"/>
    <n v="7"/>
    <x v="0"/>
  </r>
  <r>
    <x v="1750"/>
    <s v="C0050"/>
    <x v="0"/>
    <d v="2024-08-09T00:00:00"/>
    <d v="2024-10-08T00:00:00"/>
    <s v="INR"/>
    <n v="13536679"/>
    <d v="2024-10-11T00:00:00"/>
    <s v="PAID"/>
    <s v="N"/>
    <m/>
    <n v="13536679"/>
    <n v="1"/>
    <n v="13536679"/>
    <n v="0"/>
    <n v="0"/>
    <n v="3"/>
    <x v="0"/>
  </r>
  <r>
    <x v="1751"/>
    <s v="C0091"/>
    <x v="2"/>
    <d v="2024-08-09T00:00:00"/>
    <d v="2024-10-08T00:00:00"/>
    <s v="USD"/>
    <n v="45725.93"/>
    <d v="2024-10-16T00:00:00"/>
    <s v="PAID"/>
    <s v="N"/>
    <m/>
    <n v="45725.93"/>
    <n v="83.92"/>
    <n v="3837320.0456000003"/>
    <n v="0"/>
    <n v="0"/>
    <n v="8"/>
    <x v="0"/>
  </r>
  <r>
    <x v="1752"/>
    <s v="C0103"/>
    <x v="0"/>
    <d v="2024-08-09T00:00:00"/>
    <d v="2024-10-08T00:00:00"/>
    <s v="INR"/>
    <n v="12648163"/>
    <d v="2024-10-09T00:00:00"/>
    <s v="PAID"/>
    <s v="N"/>
    <m/>
    <n v="12648163"/>
    <n v="1"/>
    <n v="12648163"/>
    <n v="0"/>
    <n v="0"/>
    <n v="1"/>
    <x v="0"/>
  </r>
  <r>
    <x v="1753"/>
    <s v="C0108"/>
    <x v="0"/>
    <d v="2024-08-09T00:00:00"/>
    <d v="2024-09-23T00:00:00"/>
    <s v="INR"/>
    <n v="3627784"/>
    <d v="2024-09-20T00:00:00"/>
    <s v="PAID"/>
    <s v="N"/>
    <m/>
    <n v="3627784"/>
    <n v="1"/>
    <n v="3627784"/>
    <n v="0"/>
    <n v="0"/>
    <n v="-3"/>
    <x v="0"/>
  </r>
  <r>
    <x v="1754"/>
    <s v="C0047"/>
    <x v="4"/>
    <d v="2024-08-10T00:00:00"/>
    <d v="2024-11-08T00:00:00"/>
    <s v="USD"/>
    <n v="163998.87"/>
    <d v="2024-11-18T00:00:00"/>
    <s v="PAID"/>
    <s v="N"/>
    <m/>
    <n v="163998.87"/>
    <n v="83.92"/>
    <n v="13762785.170399999"/>
    <n v="0"/>
    <n v="0"/>
    <n v="10"/>
    <x v="0"/>
  </r>
  <r>
    <x v="1755"/>
    <s v="C0083"/>
    <x v="3"/>
    <d v="2024-08-10T00:00:00"/>
    <d v="2024-09-24T00:00:00"/>
    <s v="INR"/>
    <n v="13222850"/>
    <d v="2024-10-12T00:00:00"/>
    <s v="PAID"/>
    <s v="N"/>
    <m/>
    <n v="13222850"/>
    <n v="1"/>
    <n v="13222850"/>
    <n v="0"/>
    <n v="0"/>
    <n v="18"/>
    <x v="0"/>
  </r>
  <r>
    <x v="1756"/>
    <s v="C0109"/>
    <x v="1"/>
    <d v="2024-08-10T00:00:00"/>
    <d v="2024-09-24T00:00:00"/>
    <s v="INR"/>
    <n v="12598604"/>
    <d v="2024-10-01T00:00:00"/>
    <s v="PAID"/>
    <s v="N"/>
    <m/>
    <n v="12598604"/>
    <n v="1"/>
    <n v="12598604"/>
    <n v="0"/>
    <n v="0"/>
    <n v="7"/>
    <x v="0"/>
  </r>
  <r>
    <x v="1757"/>
    <s v="C0137"/>
    <x v="1"/>
    <d v="2024-08-10T00:00:00"/>
    <d v="2024-10-09T00:00:00"/>
    <s v="USD"/>
    <n v="61729.93"/>
    <d v="2024-11-10T00:00:00"/>
    <s v="PAID"/>
    <s v="N"/>
    <m/>
    <n v="61729.93"/>
    <n v="83.92"/>
    <n v="5180375.7256000005"/>
    <n v="0"/>
    <n v="0"/>
    <n v="32"/>
    <x v="0"/>
  </r>
  <r>
    <x v="1758"/>
    <s v="C0146"/>
    <x v="3"/>
    <d v="2024-08-10T00:00:00"/>
    <d v="2024-10-09T00:00:00"/>
    <s v="USD"/>
    <n v="57314.73"/>
    <d v="2024-10-21T00:00:00"/>
    <s v="PAID"/>
    <s v="Y"/>
    <n v="84.199700000000007"/>
    <n v="57314.73"/>
    <n v="83.92"/>
    <n v="4809852.1416000007"/>
    <n v="0"/>
    <n v="0"/>
    <n v="12"/>
    <x v="0"/>
  </r>
  <r>
    <x v="1759"/>
    <s v="C0159"/>
    <x v="4"/>
    <d v="2024-08-10T00:00:00"/>
    <d v="2024-09-24T00:00:00"/>
    <s v="INR"/>
    <n v="2694085"/>
    <d v="2024-09-25T00:00:00"/>
    <s v="PAID"/>
    <s v="N"/>
    <m/>
    <n v="2694085"/>
    <n v="1"/>
    <n v="2694085"/>
    <n v="0"/>
    <n v="0"/>
    <n v="1"/>
    <x v="0"/>
  </r>
  <r>
    <x v="1760"/>
    <s v="C0223"/>
    <x v="0"/>
    <d v="2024-08-10T00:00:00"/>
    <d v="2024-09-24T00:00:00"/>
    <s v="INR"/>
    <n v="5137175"/>
    <d v="2024-10-23T00:00:00"/>
    <s v="PAID"/>
    <s v="N"/>
    <m/>
    <n v="5137175"/>
    <n v="1"/>
    <n v="5137175"/>
    <n v="0"/>
    <n v="0"/>
    <n v="29"/>
    <x v="0"/>
  </r>
  <r>
    <x v="1761"/>
    <s v="C0226"/>
    <x v="3"/>
    <d v="2024-08-10T00:00:00"/>
    <d v="2024-09-24T00:00:00"/>
    <s v="INR"/>
    <n v="8051129"/>
    <d v="2024-10-01T00:00:00"/>
    <s v="PAID"/>
    <s v="N"/>
    <m/>
    <n v="8051129"/>
    <n v="1"/>
    <n v="8051129"/>
    <n v="0"/>
    <n v="0"/>
    <n v="7"/>
    <x v="0"/>
  </r>
  <r>
    <x v="1762"/>
    <s v="C0226"/>
    <x v="3"/>
    <d v="2024-08-10T00:00:00"/>
    <d v="2024-09-24T00:00:00"/>
    <s v="INR"/>
    <n v="2600510"/>
    <d v="2024-10-09T00:00:00"/>
    <s v="PAID"/>
    <s v="N"/>
    <m/>
    <n v="2600510"/>
    <n v="1"/>
    <n v="2600510"/>
    <n v="0"/>
    <n v="0"/>
    <n v="15"/>
    <x v="0"/>
  </r>
  <r>
    <x v="1763"/>
    <s v="C0236"/>
    <x v="3"/>
    <d v="2024-08-10T00:00:00"/>
    <d v="2024-10-09T00:00:00"/>
    <s v="EUR"/>
    <n v="115404.11"/>
    <m/>
    <s v="OPEN"/>
    <s v="Y"/>
    <n v="91.866"/>
    <n v="0"/>
    <n v="91.682599999999994"/>
    <n v="10580548.855486"/>
    <n v="10580548.855486"/>
    <n v="173"/>
    <s v=""/>
    <x v="1"/>
  </r>
  <r>
    <x v="1764"/>
    <s v="C0009"/>
    <x v="3"/>
    <d v="2024-08-12T00:00:00"/>
    <d v="2024-10-11T00:00:00"/>
    <s v="INR"/>
    <n v="2120582"/>
    <d v="2024-10-06T00:00:00"/>
    <s v="PAID"/>
    <s v="N"/>
    <m/>
    <n v="2120582"/>
    <n v="1"/>
    <n v="2120582"/>
    <n v="0"/>
    <n v="0"/>
    <n v="-5"/>
    <x v="0"/>
  </r>
  <r>
    <x v="1765"/>
    <s v="C0078"/>
    <x v="0"/>
    <d v="2024-08-12T00:00:00"/>
    <d v="2024-09-26T00:00:00"/>
    <s v="INR"/>
    <n v="5580762"/>
    <d v="2024-09-16T00:00:00"/>
    <s v="PAID"/>
    <s v="N"/>
    <m/>
    <n v="5580762"/>
    <n v="1"/>
    <n v="5580762"/>
    <n v="0"/>
    <n v="0"/>
    <n v="-10"/>
    <x v="0"/>
  </r>
  <r>
    <x v="1766"/>
    <s v="C0116"/>
    <x v="4"/>
    <d v="2024-08-12T00:00:00"/>
    <d v="2024-09-26T00:00:00"/>
    <s v="INR"/>
    <n v="3713123"/>
    <d v="2024-10-07T00:00:00"/>
    <s v="PAID"/>
    <s v="N"/>
    <m/>
    <n v="3713123"/>
    <n v="1"/>
    <n v="3713123"/>
    <n v="0"/>
    <n v="0"/>
    <n v="11"/>
    <x v="0"/>
  </r>
  <r>
    <x v="1767"/>
    <s v="C0228"/>
    <x v="0"/>
    <d v="2024-08-12T00:00:00"/>
    <d v="2024-09-26T00:00:00"/>
    <s v="INR"/>
    <n v="17062748"/>
    <d v="2024-09-28T00:00:00"/>
    <s v="PAID"/>
    <s v="N"/>
    <m/>
    <n v="17062748"/>
    <n v="1"/>
    <n v="17062748"/>
    <n v="0"/>
    <n v="0"/>
    <n v="2"/>
    <x v="0"/>
  </r>
  <r>
    <x v="1768"/>
    <s v="C0004"/>
    <x v="0"/>
    <d v="2024-08-13T00:00:00"/>
    <d v="2024-09-27T00:00:00"/>
    <s v="INR"/>
    <n v="12837681"/>
    <d v="2024-10-03T00:00:00"/>
    <s v="PAID"/>
    <s v="N"/>
    <m/>
    <n v="12837681"/>
    <n v="1"/>
    <n v="12837681"/>
    <n v="0"/>
    <n v="0"/>
    <n v="6"/>
    <x v="0"/>
  </r>
  <r>
    <x v="1769"/>
    <s v="C0054"/>
    <x v="4"/>
    <d v="2024-08-13T00:00:00"/>
    <d v="2024-10-12T00:00:00"/>
    <s v="EUR"/>
    <n v="339799.97"/>
    <d v="2024-10-22T00:00:00"/>
    <s v="PAID"/>
    <s v="N"/>
    <m/>
    <n v="339799.97"/>
    <n v="91.980699999999999"/>
    <n v="31255039.100578997"/>
    <n v="0"/>
    <n v="0"/>
    <n v="10"/>
    <x v="0"/>
  </r>
  <r>
    <x v="1770"/>
    <s v="C0107"/>
    <x v="1"/>
    <d v="2024-08-13T00:00:00"/>
    <d v="2024-09-12T00:00:00"/>
    <s v="INR"/>
    <n v="10964795"/>
    <d v="2025-02-07T00:00:00"/>
    <s v="PAID"/>
    <s v="N"/>
    <m/>
    <n v="10964795"/>
    <n v="1"/>
    <n v="10964795"/>
    <n v="0"/>
    <n v="0"/>
    <n v="148"/>
    <x v="0"/>
  </r>
  <r>
    <x v="1771"/>
    <s v="C0111"/>
    <x v="3"/>
    <d v="2024-08-13T00:00:00"/>
    <d v="2024-11-11T00:00:00"/>
    <s v="EUR"/>
    <n v="147613.43"/>
    <d v="2024-11-22T00:00:00"/>
    <s v="PAID"/>
    <s v="Y"/>
    <n v="92.256600000000006"/>
    <n v="147613.43"/>
    <n v="91.980699999999999"/>
    <n v="13577586.620801"/>
    <n v="0"/>
    <n v="0"/>
    <n v="11"/>
    <x v="0"/>
  </r>
  <r>
    <x v="1772"/>
    <s v="C0111"/>
    <x v="3"/>
    <d v="2024-08-13T00:00:00"/>
    <d v="2024-11-11T00:00:00"/>
    <s v="EUR"/>
    <n v="146316.34"/>
    <d v="2024-12-24T00:00:00"/>
    <s v="PAID"/>
    <s v="N"/>
    <m/>
    <n v="146316.34"/>
    <n v="91.980699999999999"/>
    <n v="13458279.374637999"/>
    <n v="0"/>
    <n v="0"/>
    <n v="43"/>
    <x v="0"/>
  </r>
  <r>
    <x v="1773"/>
    <s v="C0004"/>
    <x v="0"/>
    <d v="2024-08-14T00:00:00"/>
    <d v="2024-09-28T00:00:00"/>
    <s v="INR"/>
    <n v="3886872"/>
    <d v="2024-10-25T00:00:00"/>
    <s v="PARTIALLY PAID"/>
    <s v="N"/>
    <m/>
    <n v="3393041.65"/>
    <n v="1"/>
    <n v="3886872"/>
    <n v="493830.35000000009"/>
    <n v="184"/>
    <n v="27"/>
    <x v="1"/>
  </r>
  <r>
    <x v="1774"/>
    <s v="C0056"/>
    <x v="1"/>
    <d v="2024-08-15T00:00:00"/>
    <d v="2024-10-14T00:00:00"/>
    <s v="INR"/>
    <n v="3667280"/>
    <d v="2024-11-03T00:00:00"/>
    <s v="PAID"/>
    <s v="N"/>
    <m/>
    <n v="3667280"/>
    <n v="1"/>
    <n v="3667280"/>
    <n v="0"/>
    <n v="0"/>
    <n v="20"/>
    <x v="0"/>
  </r>
  <r>
    <x v="1775"/>
    <s v="C0138"/>
    <x v="4"/>
    <d v="2024-08-15T00:00:00"/>
    <d v="2024-09-14T00:00:00"/>
    <s v="INR"/>
    <n v="7091968"/>
    <d v="2024-09-22T00:00:00"/>
    <s v="PAID"/>
    <s v="N"/>
    <m/>
    <n v="7091968"/>
    <n v="1"/>
    <n v="7091968"/>
    <n v="0"/>
    <n v="0"/>
    <n v="8"/>
    <x v="0"/>
  </r>
  <r>
    <x v="1776"/>
    <s v="C0238"/>
    <x v="2"/>
    <d v="2024-08-15T00:00:00"/>
    <d v="2024-10-14T00:00:00"/>
    <s v="INR"/>
    <n v="2520701"/>
    <d v="2024-10-24T00:00:00"/>
    <s v="PAID"/>
    <s v="N"/>
    <m/>
    <n v="2520701"/>
    <n v="1"/>
    <n v="2520701"/>
    <n v="0"/>
    <n v="0"/>
    <n v="10"/>
    <x v="0"/>
  </r>
  <r>
    <x v="1777"/>
    <s v="C0019"/>
    <x v="2"/>
    <d v="2024-08-16T00:00:00"/>
    <d v="2024-11-14T00:00:00"/>
    <s v="EUR"/>
    <n v="215271.8"/>
    <d v="2024-12-15T00:00:00"/>
    <s v="PAID"/>
    <s v="N"/>
    <m/>
    <n v="215271.8"/>
    <n v="92.311400000000006"/>
    <n v="19872041.23852"/>
    <n v="0"/>
    <n v="0"/>
    <n v="31"/>
    <x v="0"/>
  </r>
  <r>
    <x v="1778"/>
    <s v="C0131"/>
    <x v="1"/>
    <d v="2024-08-16T00:00:00"/>
    <d v="2024-11-14T00:00:00"/>
    <s v="INR"/>
    <n v="4304889"/>
    <d v="2024-11-20T00:00:00"/>
    <s v="PAID"/>
    <s v="N"/>
    <m/>
    <n v="4304889"/>
    <n v="1"/>
    <n v="4304889"/>
    <n v="0"/>
    <n v="0"/>
    <n v="6"/>
    <x v="0"/>
  </r>
  <r>
    <x v="1779"/>
    <s v="C0242"/>
    <x v="0"/>
    <d v="2024-08-16T00:00:00"/>
    <d v="2024-10-15T00:00:00"/>
    <s v="EUR"/>
    <n v="97664.06"/>
    <d v="2024-10-28T00:00:00"/>
    <s v="PARTIALLY PAID"/>
    <s v="Y"/>
    <n v="92.495999999999995"/>
    <n v="72127.61"/>
    <n v="92.311400000000006"/>
    <n v="9015506.1082840003"/>
    <n v="2357305.45053"/>
    <n v="167"/>
    <n v="13"/>
    <x v="1"/>
  </r>
  <r>
    <x v="1780"/>
    <s v="C0056"/>
    <x v="1"/>
    <d v="2024-08-17T00:00:00"/>
    <d v="2024-10-16T00:00:00"/>
    <s v="INR"/>
    <n v="1559091"/>
    <d v="2024-10-23T00:00:00"/>
    <s v="PAID"/>
    <s v="N"/>
    <m/>
    <n v="1559091"/>
    <n v="1"/>
    <n v="1559091"/>
    <n v="0"/>
    <n v="0"/>
    <n v="7"/>
    <x v="0"/>
  </r>
  <r>
    <x v="1781"/>
    <s v="C0080"/>
    <x v="0"/>
    <d v="2024-08-17T00:00:00"/>
    <d v="2024-10-16T00:00:00"/>
    <s v="INR"/>
    <n v="5125613"/>
    <d v="2024-10-30T00:00:00"/>
    <s v="PAID"/>
    <s v="N"/>
    <m/>
    <n v="5125613"/>
    <n v="1"/>
    <n v="5125613"/>
    <n v="0"/>
    <n v="0"/>
    <n v="14"/>
    <x v="0"/>
  </r>
  <r>
    <x v="1782"/>
    <s v="C0109"/>
    <x v="1"/>
    <d v="2024-08-17T00:00:00"/>
    <d v="2024-10-01T00:00:00"/>
    <s v="INR"/>
    <n v="13866065"/>
    <d v="2024-10-09T00:00:00"/>
    <s v="PAID"/>
    <s v="N"/>
    <m/>
    <n v="13866065"/>
    <n v="1"/>
    <n v="13866065"/>
    <n v="0"/>
    <n v="0"/>
    <n v="8"/>
    <x v="0"/>
  </r>
  <r>
    <x v="1783"/>
    <s v="C0121"/>
    <x v="0"/>
    <d v="2024-08-17T00:00:00"/>
    <d v="2024-10-16T00:00:00"/>
    <s v="INR"/>
    <n v="12283916"/>
    <d v="2024-10-14T00:00:00"/>
    <s v="PAID"/>
    <s v="N"/>
    <m/>
    <n v="12283916"/>
    <n v="1"/>
    <n v="12283916"/>
    <n v="0"/>
    <n v="0"/>
    <n v="-2"/>
    <x v="0"/>
  </r>
  <r>
    <x v="1784"/>
    <s v="C0141"/>
    <x v="3"/>
    <d v="2024-08-17T00:00:00"/>
    <d v="2024-10-16T00:00:00"/>
    <s v="INR"/>
    <n v="2005156"/>
    <d v="2024-10-17T00:00:00"/>
    <s v="PAID"/>
    <s v="N"/>
    <m/>
    <n v="2005156"/>
    <n v="1"/>
    <n v="2005156"/>
    <n v="0"/>
    <n v="0"/>
    <n v="1"/>
    <x v="0"/>
  </r>
  <r>
    <x v="1785"/>
    <s v="C0238"/>
    <x v="2"/>
    <d v="2024-08-17T00:00:00"/>
    <d v="2024-10-16T00:00:00"/>
    <s v="INR"/>
    <n v="5332279"/>
    <d v="2024-10-17T00:00:00"/>
    <s v="PAID"/>
    <s v="N"/>
    <m/>
    <n v="5332279"/>
    <n v="1"/>
    <n v="5332279"/>
    <n v="0"/>
    <n v="0"/>
    <n v="1"/>
    <x v="0"/>
  </r>
  <r>
    <x v="1786"/>
    <s v="C0010"/>
    <x v="1"/>
    <d v="2024-08-19T00:00:00"/>
    <d v="2024-10-18T00:00:00"/>
    <s v="USD"/>
    <n v="67741.460000000006"/>
    <d v="2024-10-25T00:00:00"/>
    <s v="PAID"/>
    <s v="N"/>
    <m/>
    <n v="67741.460000000006"/>
    <n v="83.82"/>
    <n v="5678089.1771999998"/>
    <n v="0"/>
    <n v="0"/>
    <n v="7"/>
    <x v="0"/>
  </r>
  <r>
    <x v="1787"/>
    <s v="C0073"/>
    <x v="1"/>
    <d v="2024-08-19T00:00:00"/>
    <d v="2024-09-18T00:00:00"/>
    <s v="USD"/>
    <n v="44098.27"/>
    <d v="2024-09-25T00:00:00"/>
    <s v="PAID"/>
    <s v="N"/>
    <m/>
    <n v="44098.27"/>
    <n v="83.82"/>
    <n v="3696316.9913999992"/>
    <n v="0"/>
    <n v="0"/>
    <n v="7"/>
    <x v="0"/>
  </r>
  <r>
    <x v="1788"/>
    <s v="C0111"/>
    <x v="3"/>
    <d v="2024-08-19T00:00:00"/>
    <d v="2024-11-17T00:00:00"/>
    <s v="EUR"/>
    <n v="86294.74"/>
    <d v="2025-01-06T00:00:00"/>
    <s v="PAID"/>
    <s v="Y"/>
    <n v="93.067099999999996"/>
    <n v="86294.74"/>
    <n v="92.788700000000006"/>
    <n v="8007176.7414380014"/>
    <n v="0"/>
    <n v="0"/>
    <n v="50"/>
    <x v="0"/>
  </r>
  <r>
    <x v="1789"/>
    <s v="C0183"/>
    <x v="0"/>
    <d v="2024-08-19T00:00:00"/>
    <d v="2024-11-17T00:00:00"/>
    <s v="INR"/>
    <n v="29585532"/>
    <d v="2024-11-25T00:00:00"/>
    <s v="PAID"/>
    <s v="N"/>
    <m/>
    <n v="29585532"/>
    <n v="1"/>
    <n v="29585532"/>
    <n v="0"/>
    <n v="0"/>
    <n v="8"/>
    <x v="0"/>
  </r>
  <r>
    <x v="1790"/>
    <s v="C0233"/>
    <x v="0"/>
    <d v="2024-08-19T00:00:00"/>
    <d v="2024-10-18T00:00:00"/>
    <s v="INR"/>
    <n v="13409435"/>
    <d v="2024-10-23T00:00:00"/>
    <s v="PAID"/>
    <s v="N"/>
    <m/>
    <n v="13409435"/>
    <n v="1"/>
    <n v="13409435"/>
    <n v="0"/>
    <n v="0"/>
    <n v="5"/>
    <x v="0"/>
  </r>
  <r>
    <x v="1791"/>
    <s v="C0246"/>
    <x v="4"/>
    <d v="2024-08-19T00:00:00"/>
    <d v="2024-10-18T00:00:00"/>
    <s v="USD"/>
    <n v="60347.25"/>
    <d v="2024-10-29T00:00:00"/>
    <s v="PAID"/>
    <s v="Y"/>
    <n v="84.099400000000003"/>
    <n v="60347.25"/>
    <n v="83.82"/>
    <n v="5058306.4949999992"/>
    <n v="0"/>
    <n v="0"/>
    <n v="11"/>
    <x v="0"/>
  </r>
  <r>
    <x v="1792"/>
    <s v="C0043"/>
    <x v="1"/>
    <d v="2024-08-20T00:00:00"/>
    <d v="2024-10-04T00:00:00"/>
    <s v="INR"/>
    <n v="31602925"/>
    <d v="2024-10-08T00:00:00"/>
    <s v="PAID"/>
    <s v="N"/>
    <m/>
    <n v="31602925"/>
    <n v="1"/>
    <n v="31602925"/>
    <n v="0"/>
    <n v="0"/>
    <n v="4"/>
    <x v="0"/>
  </r>
  <r>
    <x v="1793"/>
    <s v="C0143"/>
    <x v="0"/>
    <d v="2024-08-20T00:00:00"/>
    <d v="2024-09-19T00:00:00"/>
    <s v="INR"/>
    <n v="4404441"/>
    <m/>
    <s v="PAID"/>
    <s v="N"/>
    <m/>
    <n v="4404441"/>
    <n v="1"/>
    <n v="4404441"/>
    <n v="0"/>
    <n v="0"/>
    <s v=""/>
    <x v="0"/>
  </r>
  <r>
    <x v="1794"/>
    <s v="C0023"/>
    <x v="1"/>
    <d v="2024-08-21T00:00:00"/>
    <d v="2024-10-05T00:00:00"/>
    <s v="INR"/>
    <n v="7920575"/>
    <d v="2024-12-14T00:00:00"/>
    <s v="PAID"/>
    <s v="N"/>
    <m/>
    <n v="7920575"/>
    <n v="1"/>
    <n v="7920575"/>
    <n v="0"/>
    <n v="0"/>
    <n v="70"/>
    <x v="0"/>
  </r>
  <r>
    <x v="1795"/>
    <s v="C0114"/>
    <x v="3"/>
    <d v="2024-08-21T00:00:00"/>
    <d v="2024-10-20T00:00:00"/>
    <s v="INR"/>
    <n v="3979640"/>
    <d v="2025-01-17T00:00:00"/>
    <s v="PAID"/>
    <s v="N"/>
    <m/>
    <n v="3979640"/>
    <n v="1"/>
    <n v="3979640"/>
    <n v="0"/>
    <n v="0"/>
    <n v="89"/>
    <x v="0"/>
  </r>
  <r>
    <x v="1796"/>
    <s v="C0054"/>
    <x v="4"/>
    <d v="2024-08-22T00:00:00"/>
    <d v="2024-10-21T00:00:00"/>
    <s v="EUR"/>
    <n v="21116.86"/>
    <d v="2024-11-06T00:00:00"/>
    <s v="PAID"/>
    <s v="Y"/>
    <n v="93.466399999999993"/>
    <n v="21116.86"/>
    <n v="93.279799999999994"/>
    <n v="1969776.477428"/>
    <n v="0"/>
    <n v="0"/>
    <n v="16"/>
    <x v="0"/>
  </r>
  <r>
    <x v="1797"/>
    <s v="C0097"/>
    <x v="3"/>
    <d v="2024-08-23T00:00:00"/>
    <d v="2024-10-07T00:00:00"/>
    <s v="INR"/>
    <n v="7056726"/>
    <d v="2024-09-27T00:00:00"/>
    <s v="PAID"/>
    <s v="N"/>
    <m/>
    <n v="7056726"/>
    <n v="1"/>
    <n v="7056726"/>
    <n v="0"/>
    <n v="0"/>
    <n v="-10"/>
    <x v="0"/>
  </r>
  <r>
    <x v="1798"/>
    <s v="C0019"/>
    <x v="2"/>
    <d v="2024-08-24T00:00:00"/>
    <d v="2024-11-22T00:00:00"/>
    <s v="EUR"/>
    <n v="172593.59"/>
    <d v="2024-12-16T00:00:00"/>
    <s v="PAID"/>
    <s v="N"/>
    <m/>
    <n v="172593.59"/>
    <n v="93.777799999999999"/>
    <n v="16185447.164301999"/>
    <n v="0"/>
    <n v="0"/>
    <n v="24"/>
    <x v="0"/>
  </r>
  <r>
    <x v="1799"/>
    <s v="C0039"/>
    <x v="0"/>
    <d v="2024-08-24T00:00:00"/>
    <d v="2024-10-23T00:00:00"/>
    <s v="INR"/>
    <n v="8856479"/>
    <d v="2024-10-30T00:00:00"/>
    <s v="PAID"/>
    <s v="N"/>
    <m/>
    <n v="8856479"/>
    <n v="1"/>
    <n v="8856479"/>
    <n v="0"/>
    <n v="0"/>
    <n v="7"/>
    <x v="0"/>
  </r>
  <r>
    <x v="1800"/>
    <s v="C0072"/>
    <x v="4"/>
    <d v="2024-08-24T00:00:00"/>
    <d v="2024-11-22T00:00:00"/>
    <s v="EUR"/>
    <n v="34042.699999999997"/>
    <d v="2024-12-07T00:00:00"/>
    <s v="PAID"/>
    <s v="N"/>
    <m/>
    <n v="34042.699999999997"/>
    <n v="93.777799999999999"/>
    <n v="3192449.5120599996"/>
    <n v="0"/>
    <n v="0"/>
    <n v="15"/>
    <x v="0"/>
  </r>
  <r>
    <x v="1801"/>
    <s v="C0098"/>
    <x v="1"/>
    <d v="2024-08-24T00:00:00"/>
    <d v="2024-11-22T00:00:00"/>
    <s v="INR"/>
    <n v="2501338"/>
    <d v="2024-12-05T00:00:00"/>
    <s v="PAID"/>
    <s v="N"/>
    <m/>
    <n v="2501338"/>
    <n v="1"/>
    <n v="2501338"/>
    <n v="0"/>
    <n v="0"/>
    <n v="13"/>
    <x v="0"/>
  </r>
  <r>
    <x v="1802"/>
    <s v="C0140"/>
    <x v="4"/>
    <d v="2024-08-24T00:00:00"/>
    <d v="2024-10-08T00:00:00"/>
    <s v="INR"/>
    <n v="19790384"/>
    <m/>
    <s v="OPEN"/>
    <s v="N"/>
    <m/>
    <n v="0"/>
    <n v="1"/>
    <n v="19790384"/>
    <n v="19790384"/>
    <n v="174"/>
    <s v=""/>
    <x v="1"/>
  </r>
  <r>
    <x v="1803"/>
    <s v="C0212"/>
    <x v="2"/>
    <d v="2024-08-24T00:00:00"/>
    <d v="2024-11-22T00:00:00"/>
    <s v="INR"/>
    <n v="4964299"/>
    <d v="2024-11-21T00:00:00"/>
    <s v="PAID"/>
    <s v="N"/>
    <m/>
    <n v="4964299"/>
    <n v="1"/>
    <n v="4964299"/>
    <n v="0"/>
    <n v="0"/>
    <n v="-1"/>
    <x v="0"/>
  </r>
  <r>
    <x v="1804"/>
    <s v="C0003"/>
    <x v="0"/>
    <d v="2024-08-26T00:00:00"/>
    <d v="2024-10-10T00:00:00"/>
    <s v="INR"/>
    <n v="3214832"/>
    <d v="2024-10-24T00:00:00"/>
    <s v="PAID"/>
    <s v="N"/>
    <m/>
    <n v="3214832"/>
    <n v="1"/>
    <n v="3214832"/>
    <n v="0"/>
    <n v="0"/>
    <n v="14"/>
    <x v="0"/>
  </r>
  <r>
    <x v="1805"/>
    <s v="C0012"/>
    <x v="1"/>
    <d v="2024-08-26T00:00:00"/>
    <d v="2024-10-25T00:00:00"/>
    <s v="EUR"/>
    <n v="29684.62"/>
    <d v="2024-11-10T00:00:00"/>
    <s v="PAID"/>
    <s v="N"/>
    <m/>
    <n v="29684.62"/>
    <n v="93.632499999999993"/>
    <n v="2779445.1821499998"/>
    <n v="0"/>
    <n v="0"/>
    <n v="16"/>
    <x v="0"/>
  </r>
  <r>
    <x v="1806"/>
    <s v="C0013"/>
    <x v="4"/>
    <d v="2024-08-26T00:00:00"/>
    <d v="2024-10-10T00:00:00"/>
    <s v="USD"/>
    <n v="12063.44"/>
    <d v="2024-10-27T00:00:00"/>
    <s v="PAID"/>
    <s v="Y"/>
    <n v="84.079700000000003"/>
    <n v="12063.44"/>
    <n v="83.87"/>
    <n v="1011760.7128000001"/>
    <n v="0"/>
    <n v="0"/>
    <n v="17"/>
    <x v="0"/>
  </r>
  <r>
    <x v="1807"/>
    <s v="C0025"/>
    <x v="3"/>
    <d v="2024-08-26T00:00:00"/>
    <d v="2024-10-10T00:00:00"/>
    <s v="USD"/>
    <n v="151453.13"/>
    <d v="2024-10-19T00:00:00"/>
    <s v="PAID"/>
    <s v="Y"/>
    <n v="84.079700000000003"/>
    <n v="151453.13"/>
    <n v="83.87"/>
    <n v="12702374.013100002"/>
    <n v="0"/>
    <n v="0"/>
    <n v="9"/>
    <x v="0"/>
  </r>
  <r>
    <x v="1808"/>
    <s v="C0133"/>
    <x v="2"/>
    <d v="2024-08-26T00:00:00"/>
    <d v="2024-11-24T00:00:00"/>
    <s v="USD"/>
    <n v="229852.63"/>
    <d v="2024-12-07T00:00:00"/>
    <s v="PAID"/>
    <s v="N"/>
    <m/>
    <n v="229852.63"/>
    <n v="83.87"/>
    <n v="19277740.0781"/>
    <n v="0"/>
    <n v="0"/>
    <n v="13"/>
    <x v="0"/>
  </r>
  <r>
    <x v="1809"/>
    <s v="C0050"/>
    <x v="0"/>
    <d v="2024-08-27T00:00:00"/>
    <d v="2024-10-26T00:00:00"/>
    <s v="INR"/>
    <n v="8612168"/>
    <d v="2024-11-02T00:00:00"/>
    <s v="PAID"/>
    <s v="N"/>
    <m/>
    <n v="8612168"/>
    <n v="1"/>
    <n v="8612168"/>
    <n v="0"/>
    <n v="0"/>
    <n v="7"/>
    <x v="0"/>
  </r>
  <r>
    <x v="1810"/>
    <s v="C0057"/>
    <x v="3"/>
    <d v="2024-08-27T00:00:00"/>
    <d v="2024-09-26T00:00:00"/>
    <s v="INR"/>
    <n v="20992659"/>
    <d v="2024-09-24T00:00:00"/>
    <s v="PAID"/>
    <s v="N"/>
    <m/>
    <n v="20992659"/>
    <n v="1"/>
    <n v="20992659"/>
    <n v="0"/>
    <n v="0"/>
    <n v="-2"/>
    <x v="0"/>
  </r>
  <r>
    <x v="1811"/>
    <s v="C0107"/>
    <x v="1"/>
    <d v="2024-08-27T00:00:00"/>
    <d v="2024-09-26T00:00:00"/>
    <s v="INR"/>
    <n v="5437164"/>
    <d v="2024-11-23T00:00:00"/>
    <s v="PAID"/>
    <s v="N"/>
    <m/>
    <n v="5437164"/>
    <n v="1"/>
    <n v="5437164"/>
    <n v="0"/>
    <n v="0"/>
    <n v="58"/>
    <x v="0"/>
  </r>
  <r>
    <x v="1812"/>
    <s v="C0148"/>
    <x v="0"/>
    <d v="2024-08-27T00:00:00"/>
    <d v="2024-09-26T00:00:00"/>
    <s v="INR"/>
    <n v="3500892"/>
    <d v="2024-09-23T00:00:00"/>
    <s v="PAID"/>
    <s v="N"/>
    <m/>
    <n v="3500892"/>
    <n v="1"/>
    <n v="3500892"/>
    <n v="0"/>
    <n v="0"/>
    <n v="-3"/>
    <x v="0"/>
  </r>
  <r>
    <x v="1813"/>
    <s v="C0250"/>
    <x v="0"/>
    <d v="2024-08-27T00:00:00"/>
    <d v="2024-10-26T00:00:00"/>
    <s v="INR"/>
    <n v="12137705"/>
    <d v="2024-10-28T00:00:00"/>
    <s v="PAID"/>
    <s v="N"/>
    <m/>
    <n v="12137705"/>
    <n v="1"/>
    <n v="12137705"/>
    <n v="0"/>
    <n v="0"/>
    <n v="2"/>
    <x v="0"/>
  </r>
  <r>
    <x v="1814"/>
    <s v="C0079"/>
    <x v="3"/>
    <d v="2024-08-28T00:00:00"/>
    <d v="2024-11-26T00:00:00"/>
    <s v="USD"/>
    <n v="28745.9"/>
    <d v="2024-12-06T00:00:00"/>
    <s v="PAID"/>
    <s v="Y"/>
    <n v="84.319500000000005"/>
    <n v="28745.9"/>
    <n v="83.9"/>
    <n v="2411781.0100000002"/>
    <n v="0"/>
    <n v="0"/>
    <n v="10"/>
    <x v="0"/>
  </r>
  <r>
    <x v="1815"/>
    <s v="C0090"/>
    <x v="2"/>
    <d v="2024-08-28T00:00:00"/>
    <d v="2024-11-26T00:00:00"/>
    <s v="EUR"/>
    <n v="23802.9"/>
    <d v="2024-12-29T00:00:00"/>
    <s v="PAID"/>
    <s v="Y"/>
    <n v="93.635599999999997"/>
    <n v="23802.9"/>
    <n v="93.355500000000006"/>
    <n v="2222131.6309500001"/>
    <n v="0"/>
    <n v="0"/>
    <n v="33"/>
    <x v="0"/>
  </r>
  <r>
    <x v="1816"/>
    <s v="C0146"/>
    <x v="3"/>
    <d v="2024-08-28T00:00:00"/>
    <d v="2024-10-27T00:00:00"/>
    <s v="USD"/>
    <n v="99865.49"/>
    <d v="2024-10-30T00:00:00"/>
    <s v="PAID"/>
    <s v="N"/>
    <m/>
    <n v="99865.49"/>
    <n v="83.9"/>
    <n v="8378714.6110000014"/>
    <n v="0"/>
    <n v="0"/>
    <n v="3"/>
    <x v="0"/>
  </r>
  <r>
    <x v="1817"/>
    <s v="C0057"/>
    <x v="3"/>
    <d v="2024-08-29T00:00:00"/>
    <d v="2024-09-28T00:00:00"/>
    <s v="INR"/>
    <n v="24333591"/>
    <d v="2024-09-30T00:00:00"/>
    <s v="PAID"/>
    <s v="N"/>
    <m/>
    <n v="24333591"/>
    <n v="1"/>
    <n v="24333591"/>
    <n v="0"/>
    <n v="0"/>
    <n v="2"/>
    <x v="0"/>
  </r>
  <r>
    <x v="1818"/>
    <s v="C0099"/>
    <x v="3"/>
    <d v="2024-08-29T00:00:00"/>
    <d v="2024-10-28T00:00:00"/>
    <s v="EUR"/>
    <n v="108770.29"/>
    <d v="2024-11-04T00:00:00"/>
    <s v="PAID"/>
    <s v="Y"/>
    <n v="93.130899999999997"/>
    <n v="108770.29"/>
    <n v="92.944999999999993"/>
    <n v="10109654.604049999"/>
    <n v="0"/>
    <n v="0"/>
    <n v="7"/>
    <x v="0"/>
  </r>
  <r>
    <x v="1819"/>
    <s v="C0116"/>
    <x v="4"/>
    <d v="2024-08-29T00:00:00"/>
    <d v="2024-10-13T00:00:00"/>
    <s v="INR"/>
    <n v="13283846"/>
    <d v="2024-10-21T00:00:00"/>
    <s v="PAID"/>
    <s v="N"/>
    <m/>
    <n v="13283846"/>
    <n v="1"/>
    <n v="13283846"/>
    <n v="0"/>
    <n v="0"/>
    <n v="8"/>
    <x v="0"/>
  </r>
  <r>
    <x v="1820"/>
    <s v="C0236"/>
    <x v="1"/>
    <d v="2024-08-29T00:00:00"/>
    <d v="2024-10-28T00:00:00"/>
    <s v="EUR"/>
    <n v="57116.97"/>
    <m/>
    <s v="OPEN"/>
    <s v="N"/>
    <m/>
    <n v="0"/>
    <n v="92.944999999999993"/>
    <n v="5308736.7766499994"/>
    <n v="5308736.7766499994"/>
    <n v="154"/>
    <s v=""/>
    <x v="1"/>
  </r>
  <r>
    <x v="1821"/>
    <s v="C0057"/>
    <x v="3"/>
    <d v="2024-08-30T00:00:00"/>
    <d v="2024-09-29T00:00:00"/>
    <s v="INR"/>
    <n v="7011591"/>
    <d v="2024-10-01T00:00:00"/>
    <s v="PAID"/>
    <s v="N"/>
    <m/>
    <n v="7011591"/>
    <n v="1"/>
    <n v="7011591"/>
    <n v="0"/>
    <n v="0"/>
    <n v="2"/>
    <x v="0"/>
  </r>
  <r>
    <x v="1822"/>
    <s v="C0073"/>
    <x v="1"/>
    <d v="2024-08-30T00:00:00"/>
    <d v="2024-09-29T00:00:00"/>
    <s v="USD"/>
    <n v="173923.64"/>
    <d v="2024-11-08T00:00:00"/>
    <s v="PAID"/>
    <s v="N"/>
    <m/>
    <n v="173923.64"/>
    <n v="83.83"/>
    <n v="14580018.7412"/>
    <n v="0"/>
    <n v="0"/>
    <n v="40"/>
    <x v="0"/>
  </r>
  <r>
    <x v="1823"/>
    <s v="C0111"/>
    <x v="3"/>
    <d v="2024-08-30T00:00:00"/>
    <d v="2024-11-28T00:00:00"/>
    <s v="EUR"/>
    <n v="161028.01"/>
    <d v="2024-12-25T00:00:00"/>
    <s v="PAID"/>
    <s v="Y"/>
    <n v="92.994100000000003"/>
    <n v="161028.01"/>
    <n v="92.715999999999994"/>
    <n v="14929872.975159999"/>
    <n v="0"/>
    <n v="0"/>
    <n v="27"/>
    <x v="0"/>
  </r>
  <r>
    <x v="1824"/>
    <s v="C0123"/>
    <x v="1"/>
    <d v="2024-08-30T00:00:00"/>
    <d v="2024-10-29T00:00:00"/>
    <s v="USD"/>
    <n v="52788.03"/>
    <d v="2024-11-12T00:00:00"/>
    <s v="PAID"/>
    <s v="N"/>
    <m/>
    <n v="52788.03"/>
    <n v="83.83"/>
    <n v="4425220.5548999999"/>
    <n v="0"/>
    <n v="0"/>
    <n v="14"/>
    <x v="0"/>
  </r>
  <r>
    <x v="1825"/>
    <s v="C0218"/>
    <x v="3"/>
    <d v="2024-08-30T00:00:00"/>
    <d v="2024-10-14T00:00:00"/>
    <s v="INR"/>
    <n v="12423670"/>
    <d v="2024-11-10T00:00:00"/>
    <s v="PAID"/>
    <s v="N"/>
    <m/>
    <n v="12423670"/>
    <n v="1"/>
    <n v="12423670"/>
    <n v="0"/>
    <n v="0"/>
    <n v="27"/>
    <x v="0"/>
  </r>
  <r>
    <x v="1826"/>
    <s v="C0004"/>
    <x v="0"/>
    <d v="2024-08-31T00:00:00"/>
    <d v="2024-10-15T00:00:00"/>
    <s v="INR"/>
    <n v="2929076"/>
    <d v="2024-10-24T00:00:00"/>
    <s v="PAID"/>
    <s v="N"/>
    <m/>
    <n v="2929076"/>
    <n v="1"/>
    <n v="2929076"/>
    <n v="0"/>
    <n v="0"/>
    <n v="9"/>
    <x v="0"/>
  </r>
  <r>
    <x v="1827"/>
    <s v="C0043"/>
    <x v="1"/>
    <d v="2024-08-31T00:00:00"/>
    <d v="2024-10-15T00:00:00"/>
    <s v="INR"/>
    <n v="12386555"/>
    <d v="2024-10-12T00:00:00"/>
    <s v="PAID"/>
    <s v="N"/>
    <m/>
    <n v="12386555"/>
    <n v="1"/>
    <n v="12386555"/>
    <n v="0"/>
    <n v="0"/>
    <n v="-3"/>
    <x v="0"/>
  </r>
  <r>
    <x v="1828"/>
    <s v="C0123"/>
    <x v="1"/>
    <d v="2024-08-31T00:00:00"/>
    <d v="2024-10-30T00:00:00"/>
    <s v="USD"/>
    <n v="28505.97"/>
    <d v="2024-11-21T00:00:00"/>
    <s v="PAID"/>
    <s v="Y"/>
    <n v="84.109399999999994"/>
    <n v="28505.97"/>
    <n v="83.83"/>
    <n v="2389655.4651000001"/>
    <n v="0"/>
    <n v="0"/>
    <n v="22"/>
    <x v="0"/>
  </r>
  <r>
    <x v="1829"/>
    <s v="C0224"/>
    <x v="1"/>
    <d v="2024-08-31T00:00:00"/>
    <d v="2024-09-30T00:00:00"/>
    <s v="EUR"/>
    <n v="97894.11"/>
    <d v="2024-12-02T00:00:00"/>
    <s v="PAID"/>
    <s v="Y"/>
    <n v="92.808700000000002"/>
    <n v="97894.11"/>
    <n v="92.715999999999994"/>
    <n v="9076350.3027599994"/>
    <n v="0"/>
    <n v="0"/>
    <n v="63"/>
    <x v="0"/>
  </r>
  <r>
    <x v="1830"/>
    <s v="C0170"/>
    <x v="2"/>
    <d v="2024-09-02T00:00:00"/>
    <d v="2024-11-01T00:00:00"/>
    <s v="INR"/>
    <n v="7137454"/>
    <d v="2024-11-04T00:00:00"/>
    <s v="PAID"/>
    <s v="N"/>
    <m/>
    <n v="7137454"/>
    <n v="1"/>
    <n v="7137454"/>
    <n v="0"/>
    <n v="0"/>
    <n v="3"/>
    <x v="0"/>
  </r>
  <r>
    <x v="1831"/>
    <s v="C0198"/>
    <x v="3"/>
    <d v="2024-09-02T00:00:00"/>
    <d v="2024-10-17T00:00:00"/>
    <s v="USD"/>
    <n v="50188.800000000003"/>
    <d v="2024-12-19T00:00:00"/>
    <s v="PARTIALLY PAID"/>
    <s v="Y"/>
    <n v="84.039599999999993"/>
    <n v="16376.25"/>
    <n v="83.83"/>
    <n v="4207327.1040000003"/>
    <n v="2834506.0665000002"/>
    <n v="165"/>
    <n v="63"/>
    <x v="1"/>
  </r>
  <r>
    <x v="1832"/>
    <s v="C0228"/>
    <x v="0"/>
    <d v="2024-09-02T00:00:00"/>
    <d v="2024-10-17T00:00:00"/>
    <s v="INR"/>
    <n v="8769575"/>
    <d v="2024-11-02T00:00:00"/>
    <s v="PAID"/>
    <s v="N"/>
    <m/>
    <n v="8769575"/>
    <n v="1"/>
    <n v="8769575"/>
    <n v="0"/>
    <n v="0"/>
    <n v="16"/>
    <x v="0"/>
  </r>
  <r>
    <x v="1833"/>
    <s v="C0181"/>
    <x v="1"/>
    <d v="2024-09-03T00:00:00"/>
    <d v="2024-11-02T00:00:00"/>
    <s v="INR"/>
    <n v="1429617"/>
    <d v="2024-11-08T00:00:00"/>
    <s v="PAID"/>
    <s v="N"/>
    <m/>
    <n v="1429617"/>
    <n v="1"/>
    <n v="1429617"/>
    <n v="0"/>
    <n v="0"/>
    <n v="6"/>
    <x v="0"/>
  </r>
  <r>
    <x v="1834"/>
    <s v="C0109"/>
    <x v="1"/>
    <d v="2024-09-04T00:00:00"/>
    <d v="2024-10-19T00:00:00"/>
    <s v="INR"/>
    <n v="1783708"/>
    <d v="2024-10-25T00:00:00"/>
    <s v="PAID"/>
    <s v="N"/>
    <m/>
    <n v="1783708"/>
    <n v="1"/>
    <n v="1783708"/>
    <n v="0"/>
    <n v="0"/>
    <n v="6"/>
    <x v="0"/>
  </r>
  <r>
    <x v="1835"/>
    <s v="C0171"/>
    <x v="3"/>
    <d v="2024-09-04T00:00:00"/>
    <d v="2024-12-03T00:00:00"/>
    <s v="USD"/>
    <n v="28770.55"/>
    <d v="2024-12-12T00:00:00"/>
    <s v="PAID"/>
    <s v="Y"/>
    <n v="84.369699999999995"/>
    <n v="28770.55"/>
    <n v="83.95"/>
    <n v="2415287.6724999999"/>
    <n v="0"/>
    <n v="0"/>
    <n v="9"/>
    <x v="0"/>
  </r>
  <r>
    <x v="1836"/>
    <s v="C0052"/>
    <x v="0"/>
    <d v="2024-09-05T00:00:00"/>
    <d v="2024-10-05T00:00:00"/>
    <s v="INR"/>
    <n v="2795847"/>
    <m/>
    <s v="PAID"/>
    <s v="N"/>
    <m/>
    <n v="2795847"/>
    <n v="1"/>
    <n v="2795847"/>
    <n v="0"/>
    <n v="0"/>
    <s v=""/>
    <x v="0"/>
  </r>
  <r>
    <x v="1837"/>
    <s v="C0123"/>
    <x v="1"/>
    <d v="2024-09-05T00:00:00"/>
    <d v="2024-11-04T00:00:00"/>
    <s v="USD"/>
    <n v="44886.03"/>
    <d v="2024-11-29T00:00:00"/>
    <s v="PAID"/>
    <s v="N"/>
    <m/>
    <n v="44886.03"/>
    <n v="83.96"/>
    <n v="3768631.0787999998"/>
    <n v="0"/>
    <n v="0"/>
    <n v="25"/>
    <x v="0"/>
  </r>
  <r>
    <x v="1838"/>
    <s v="C0198"/>
    <x v="3"/>
    <d v="2024-09-05T00:00:00"/>
    <d v="2024-10-20T00:00:00"/>
    <s v="USD"/>
    <n v="173513.78"/>
    <d v="2024-11-07T00:00:00"/>
    <s v="PAID"/>
    <s v="N"/>
    <m/>
    <n v="173513.78"/>
    <n v="83.96"/>
    <n v="14568216.968799999"/>
    <n v="0"/>
    <n v="0"/>
    <n v="18"/>
    <x v="0"/>
  </r>
  <r>
    <x v="1839"/>
    <s v="C0223"/>
    <x v="0"/>
    <d v="2024-09-05T00:00:00"/>
    <d v="2024-10-20T00:00:00"/>
    <s v="INR"/>
    <n v="8045851"/>
    <d v="2024-12-20T00:00:00"/>
    <s v="PAID"/>
    <s v="N"/>
    <m/>
    <n v="8045851"/>
    <n v="1"/>
    <n v="8045851"/>
    <n v="0"/>
    <n v="0"/>
    <n v="61"/>
    <x v="0"/>
  </r>
  <r>
    <x v="1840"/>
    <s v="C0002"/>
    <x v="4"/>
    <d v="2024-09-06T00:00:00"/>
    <d v="2024-10-21T00:00:00"/>
    <s v="INR"/>
    <n v="3471047"/>
    <d v="2024-11-13T00:00:00"/>
    <s v="PAID"/>
    <s v="N"/>
    <m/>
    <n v="3471047"/>
    <n v="1"/>
    <n v="3471047"/>
    <n v="0"/>
    <n v="0"/>
    <n v="23"/>
    <x v="0"/>
  </r>
  <r>
    <x v="1841"/>
    <s v="C0004"/>
    <x v="0"/>
    <d v="2024-09-07T00:00:00"/>
    <d v="2024-10-22T00:00:00"/>
    <s v="INR"/>
    <n v="11138767"/>
    <d v="2024-10-27T00:00:00"/>
    <s v="PAID"/>
    <s v="N"/>
    <m/>
    <n v="11138767"/>
    <n v="1"/>
    <n v="11138767"/>
    <n v="0"/>
    <n v="0"/>
    <n v="5"/>
    <x v="0"/>
  </r>
  <r>
    <x v="1842"/>
    <s v="C0026"/>
    <x v="1"/>
    <d v="2024-09-07T00:00:00"/>
    <d v="2024-10-07T00:00:00"/>
    <s v="INR"/>
    <n v="3092015"/>
    <d v="2024-10-14T00:00:00"/>
    <s v="PAID"/>
    <s v="N"/>
    <m/>
    <n v="3092015"/>
    <n v="1"/>
    <n v="3092015"/>
    <n v="0"/>
    <n v="0"/>
    <n v="7"/>
    <x v="0"/>
  </r>
  <r>
    <x v="1843"/>
    <s v="C0063"/>
    <x v="2"/>
    <d v="2024-09-07T00:00:00"/>
    <d v="2024-11-06T00:00:00"/>
    <s v="INR"/>
    <n v="12703920"/>
    <d v="2024-11-12T00:00:00"/>
    <s v="PAID"/>
    <s v="N"/>
    <m/>
    <n v="12703920"/>
    <n v="1"/>
    <n v="12703920"/>
    <n v="0"/>
    <n v="0"/>
    <n v="6"/>
    <x v="0"/>
  </r>
  <r>
    <x v="1844"/>
    <s v="C0084"/>
    <x v="3"/>
    <d v="2024-09-07T00:00:00"/>
    <d v="2024-10-22T00:00:00"/>
    <s v="INR"/>
    <n v="3051393"/>
    <d v="2024-10-16T00:00:00"/>
    <s v="PAID"/>
    <s v="N"/>
    <m/>
    <n v="3051393"/>
    <n v="1"/>
    <n v="3051393"/>
    <n v="0"/>
    <n v="0"/>
    <n v="-6"/>
    <x v="0"/>
  </r>
  <r>
    <x v="1845"/>
    <s v="C0164"/>
    <x v="3"/>
    <d v="2024-09-07T00:00:00"/>
    <d v="2024-11-06T00:00:00"/>
    <s v="USD"/>
    <n v="143478.01"/>
    <d v="2024-12-10T00:00:00"/>
    <s v="PAID"/>
    <s v="Y"/>
    <n v="84.189700000000002"/>
    <n v="143478.01"/>
    <n v="83.91"/>
    <n v="12039239.8191"/>
    <n v="0"/>
    <n v="0"/>
    <n v="34"/>
    <x v="0"/>
  </r>
  <r>
    <x v="1846"/>
    <s v="C0111"/>
    <x v="3"/>
    <d v="2024-09-09T00:00:00"/>
    <d v="2024-12-08T00:00:00"/>
    <s v="EUR"/>
    <n v="39021.230000000003"/>
    <d v="2024-12-13T00:00:00"/>
    <s v="PAID"/>
    <s v="Y"/>
    <n v="92.953500000000005"/>
    <n v="39021.230000000003"/>
    <n v="92.6755"/>
    <n v="3616312.0008650003"/>
    <n v="0"/>
    <n v="0"/>
    <n v="5"/>
    <x v="0"/>
  </r>
  <r>
    <x v="1847"/>
    <s v="C0238"/>
    <x v="2"/>
    <d v="2024-09-09T00:00:00"/>
    <d v="2024-11-08T00:00:00"/>
    <s v="INR"/>
    <n v="5584059"/>
    <d v="2024-11-14T00:00:00"/>
    <s v="PAID"/>
    <s v="N"/>
    <m/>
    <n v="5584059"/>
    <n v="1"/>
    <n v="5584059"/>
    <n v="0"/>
    <n v="0"/>
    <n v="6"/>
    <x v="0"/>
  </r>
  <r>
    <x v="1848"/>
    <s v="C0073"/>
    <x v="1"/>
    <d v="2024-09-10T00:00:00"/>
    <d v="2024-10-10T00:00:00"/>
    <s v="USD"/>
    <n v="81937.63"/>
    <d v="2024-10-29T00:00:00"/>
    <s v="PAID"/>
    <s v="N"/>
    <m/>
    <n v="81937.63"/>
    <n v="83.95"/>
    <n v="6878664.0385000007"/>
    <n v="0"/>
    <n v="0"/>
    <n v="19"/>
    <x v="0"/>
  </r>
  <r>
    <x v="1849"/>
    <s v="C0159"/>
    <x v="4"/>
    <d v="2024-09-10T00:00:00"/>
    <d v="2024-10-25T00:00:00"/>
    <s v="INR"/>
    <n v="1588705"/>
    <d v="2024-11-03T00:00:00"/>
    <s v="PAID"/>
    <s v="N"/>
    <m/>
    <n v="1588705"/>
    <n v="1"/>
    <n v="1588705"/>
    <n v="0"/>
    <n v="0"/>
    <n v="9"/>
    <x v="0"/>
  </r>
  <r>
    <x v="1850"/>
    <s v="C0236"/>
    <x v="3"/>
    <d v="2024-09-10T00:00:00"/>
    <d v="2024-11-09T00:00:00"/>
    <s v="EUR"/>
    <n v="202358.82"/>
    <d v="2025-01-16T00:00:00"/>
    <s v="PAID"/>
    <s v="Y"/>
    <n v="92.74"/>
    <n v="202358.82"/>
    <n v="92.554900000000004"/>
    <n v="18729300.349218"/>
    <n v="0"/>
    <n v="0"/>
    <n v="68"/>
    <x v="0"/>
  </r>
  <r>
    <x v="1851"/>
    <s v="C0090"/>
    <x v="2"/>
    <d v="2024-09-11T00:00:00"/>
    <d v="2024-12-10T00:00:00"/>
    <s v="EUR"/>
    <n v="96130.78"/>
    <d v="2024-12-22T00:00:00"/>
    <s v="PAID"/>
    <s v="N"/>
    <m/>
    <n v="96130.78"/>
    <n v="92.445700000000002"/>
    <n v="8886877.2486460004"/>
    <n v="0"/>
    <n v="0"/>
    <n v="12"/>
    <x v="0"/>
  </r>
  <r>
    <x v="1852"/>
    <s v="C0099"/>
    <x v="3"/>
    <d v="2024-09-11T00:00:00"/>
    <d v="2024-11-10T00:00:00"/>
    <s v="EUR"/>
    <n v="153494.37"/>
    <d v="2024-11-21T00:00:00"/>
    <s v="PAID"/>
    <s v="Y"/>
    <n v="92.630600000000001"/>
    <n v="153494.37"/>
    <n v="92.445700000000002"/>
    <n v="14189894.480709"/>
    <n v="0"/>
    <n v="0"/>
    <n v="11"/>
    <x v="0"/>
  </r>
  <r>
    <x v="1853"/>
    <s v="C0139"/>
    <x v="1"/>
    <d v="2024-09-11T00:00:00"/>
    <d v="2024-11-10T00:00:00"/>
    <s v="USD"/>
    <n v="78784.36"/>
    <d v="2024-11-24T00:00:00"/>
    <s v="PAID"/>
    <s v="Y"/>
    <n v="84.229799999999997"/>
    <n v="78784.36"/>
    <n v="83.95"/>
    <n v="6613947.0219999999"/>
    <n v="0"/>
    <n v="0"/>
    <n v="14"/>
    <x v="0"/>
  </r>
  <r>
    <x v="1854"/>
    <s v="C0216"/>
    <x v="1"/>
    <d v="2024-09-11T00:00:00"/>
    <d v="2024-11-10T00:00:00"/>
    <s v="USD"/>
    <n v="67793.289999999994"/>
    <d v="2024-11-17T00:00:00"/>
    <s v="PAID"/>
    <s v="N"/>
    <m/>
    <n v="67793.289999999994"/>
    <n v="83.95"/>
    <n v="5691246.6954999994"/>
    <n v="0"/>
    <n v="0"/>
    <n v="7"/>
    <x v="0"/>
  </r>
  <r>
    <x v="1855"/>
    <s v="C0013"/>
    <x v="4"/>
    <d v="2024-09-12T00:00:00"/>
    <d v="2024-10-27T00:00:00"/>
    <s v="USD"/>
    <n v="93036.12"/>
    <d v="2024-11-09T00:00:00"/>
    <s v="PAID"/>
    <s v="N"/>
    <m/>
    <n v="93036.12"/>
    <n v="83.92"/>
    <n v="7807591.1903999997"/>
    <n v="0"/>
    <n v="0"/>
    <n v="13"/>
    <x v="0"/>
  </r>
  <r>
    <x v="1856"/>
    <s v="C0228"/>
    <x v="0"/>
    <d v="2024-09-12T00:00:00"/>
    <d v="2024-10-27T00:00:00"/>
    <s v="INR"/>
    <n v="2580076"/>
    <d v="2024-11-06T00:00:00"/>
    <s v="PAID"/>
    <s v="N"/>
    <m/>
    <n v="2580076"/>
    <n v="1"/>
    <n v="2580076"/>
    <n v="0"/>
    <n v="0"/>
    <n v="10"/>
    <x v="0"/>
  </r>
  <r>
    <x v="1857"/>
    <s v="C0236"/>
    <x v="3"/>
    <d v="2024-09-12T00:00:00"/>
    <d v="2024-11-11T00:00:00"/>
    <s v="EUR"/>
    <n v="144427.13"/>
    <d v="2024-12-06T00:00:00"/>
    <s v="PAID"/>
    <s v="Y"/>
    <n v="92.841399999999993"/>
    <n v="144427.13"/>
    <n v="92.656099999999995"/>
    <n v="13382054.599993"/>
    <n v="0"/>
    <n v="0"/>
    <n v="25"/>
    <x v="0"/>
  </r>
  <r>
    <x v="1858"/>
    <s v="C0014"/>
    <x v="3"/>
    <d v="2024-09-13T00:00:00"/>
    <d v="2024-10-28T00:00:00"/>
    <s v="EUR"/>
    <n v="57804.1"/>
    <d v="2024-11-06T00:00:00"/>
    <s v="PAID"/>
    <s v="Y"/>
    <n v="93.120500000000007"/>
    <n v="57804.1"/>
    <n v="92.980999999999995"/>
    <n v="5374683.0220999997"/>
    <n v="0"/>
    <n v="0"/>
    <n v="9"/>
    <x v="0"/>
  </r>
  <r>
    <x v="1859"/>
    <s v="C0115"/>
    <x v="1"/>
    <d v="2024-09-13T00:00:00"/>
    <d v="2024-11-12T00:00:00"/>
    <s v="EUR"/>
    <n v="41095.4"/>
    <d v="2024-12-16T00:00:00"/>
    <s v="PAID"/>
    <s v="N"/>
    <m/>
    <n v="41095.4"/>
    <n v="92.980999999999995"/>
    <n v="3821091.3873999999"/>
    <n v="0"/>
    <n v="0"/>
    <n v="34"/>
    <x v="0"/>
  </r>
  <r>
    <x v="1860"/>
    <s v="C0109"/>
    <x v="1"/>
    <d v="2024-09-14T00:00:00"/>
    <d v="2024-10-29T00:00:00"/>
    <s v="INR"/>
    <n v="2118140"/>
    <d v="2024-11-14T00:00:00"/>
    <s v="PAID"/>
    <s v="N"/>
    <m/>
    <n v="2118140"/>
    <n v="1"/>
    <n v="2118140"/>
    <n v="0"/>
    <n v="0"/>
    <n v="16"/>
    <x v="0"/>
  </r>
  <r>
    <x v="1861"/>
    <s v="C0111"/>
    <x v="3"/>
    <d v="2024-09-14T00:00:00"/>
    <d v="2024-12-13T00:00:00"/>
    <s v="EUR"/>
    <n v="331298.62"/>
    <d v="2025-03-10T00:00:00"/>
    <s v="PAID"/>
    <s v="N"/>
    <m/>
    <n v="331298.62"/>
    <n v="92.980999999999995"/>
    <n v="30804476.986219998"/>
    <n v="0"/>
    <n v="0"/>
    <n v="87"/>
    <x v="0"/>
  </r>
  <r>
    <x v="1862"/>
    <s v="C0212"/>
    <x v="2"/>
    <d v="2024-09-14T00:00:00"/>
    <d v="2024-12-13T00:00:00"/>
    <s v="INR"/>
    <n v="6942323"/>
    <d v="2024-12-06T00:00:00"/>
    <s v="PAID"/>
    <s v="N"/>
    <m/>
    <n v="6942323"/>
    <n v="1"/>
    <n v="6942323"/>
    <n v="0"/>
    <n v="0"/>
    <n v="-7"/>
    <x v="0"/>
  </r>
  <r>
    <x v="1863"/>
    <s v="C0218"/>
    <x v="3"/>
    <d v="2024-09-14T00:00:00"/>
    <d v="2024-10-29T00:00:00"/>
    <s v="INR"/>
    <n v="2641217"/>
    <d v="2024-11-09T00:00:00"/>
    <s v="PAID"/>
    <s v="N"/>
    <m/>
    <n v="2641217"/>
    <n v="1"/>
    <n v="2641217"/>
    <n v="0"/>
    <n v="0"/>
    <n v="11"/>
    <x v="0"/>
  </r>
  <r>
    <x v="1864"/>
    <s v="C0236"/>
    <x v="3"/>
    <d v="2024-09-14T00:00:00"/>
    <d v="2024-11-13T00:00:00"/>
    <s v="EUR"/>
    <n v="71859.61"/>
    <d v="2024-12-16T00:00:00"/>
    <s v="PAID"/>
    <s v="Y"/>
    <n v="93.167000000000002"/>
    <n v="71859.61"/>
    <n v="92.980999999999995"/>
    <n v="6681578.3974099997"/>
    <n v="0"/>
    <n v="0"/>
    <n v="33"/>
    <x v="0"/>
  </r>
  <r>
    <x v="1865"/>
    <s v="C0242"/>
    <x v="0"/>
    <d v="2024-09-14T00:00:00"/>
    <d v="2024-11-13T00:00:00"/>
    <s v="EUR"/>
    <n v="84381.38"/>
    <d v="2024-11-24T00:00:00"/>
    <s v="PAID"/>
    <s v="Y"/>
    <n v="93.167000000000002"/>
    <n v="84381.38"/>
    <n v="92.980999999999995"/>
    <n v="7845865.0937799998"/>
    <n v="0"/>
    <n v="0"/>
    <n v="11"/>
    <x v="0"/>
  </r>
  <r>
    <x v="1866"/>
    <s v="C0247"/>
    <x v="4"/>
    <d v="2024-09-14T00:00:00"/>
    <d v="2024-10-29T00:00:00"/>
    <s v="USD"/>
    <n v="55236.25"/>
    <d v="2024-11-28T00:00:00"/>
    <s v="PAID"/>
    <s v="N"/>
    <m/>
    <n v="55236.25"/>
    <n v="83.88"/>
    <n v="4633216.6499999994"/>
    <n v="0"/>
    <n v="0"/>
    <n v="30"/>
    <x v="0"/>
  </r>
  <r>
    <x v="1867"/>
    <s v="C0004"/>
    <x v="0"/>
    <d v="2024-09-16T00:00:00"/>
    <d v="2024-10-31T00:00:00"/>
    <s v="INR"/>
    <n v="8979682"/>
    <d v="2024-11-16T00:00:00"/>
    <s v="PAID"/>
    <s v="N"/>
    <m/>
    <n v="8979682"/>
    <n v="1"/>
    <n v="8979682"/>
    <n v="0"/>
    <n v="0"/>
    <n v="16"/>
    <x v="0"/>
  </r>
  <r>
    <x v="1868"/>
    <s v="C0072"/>
    <x v="4"/>
    <d v="2024-09-16T00:00:00"/>
    <d v="2024-12-15T00:00:00"/>
    <s v="EUR"/>
    <n v="48193.18"/>
    <d v="2025-01-07T00:00:00"/>
    <s v="PAID"/>
    <s v="N"/>
    <m/>
    <n v="48193.18"/>
    <n v="93.3108"/>
    <n v="4496944.1803440005"/>
    <n v="0"/>
    <n v="0"/>
    <n v="23"/>
    <x v="0"/>
  </r>
  <r>
    <x v="1869"/>
    <s v="C0094"/>
    <x v="0"/>
    <d v="2024-09-16T00:00:00"/>
    <d v="2024-10-31T00:00:00"/>
    <s v="INR"/>
    <n v="22883155"/>
    <d v="2024-10-27T00:00:00"/>
    <s v="PAID"/>
    <s v="N"/>
    <m/>
    <n v="22883155"/>
    <n v="1"/>
    <n v="22883155"/>
    <n v="0"/>
    <n v="0"/>
    <n v="-4"/>
    <x v="0"/>
  </r>
  <r>
    <x v="1870"/>
    <s v="C0099"/>
    <x v="3"/>
    <d v="2024-09-16T00:00:00"/>
    <d v="2024-11-15T00:00:00"/>
    <s v="EUR"/>
    <n v="81313.149999999994"/>
    <d v="2024-12-02T00:00:00"/>
    <s v="PAID"/>
    <s v="Y"/>
    <n v="93.497399999999999"/>
    <n v="81313.149999999994"/>
    <n v="93.3108"/>
    <n v="7587395.0770199997"/>
    <n v="0"/>
    <n v="0"/>
    <n v="17"/>
    <x v="0"/>
  </r>
  <r>
    <x v="1871"/>
    <s v="C0103"/>
    <x v="0"/>
    <d v="2024-09-16T00:00:00"/>
    <d v="2024-11-15T00:00:00"/>
    <s v="INR"/>
    <n v="7593434"/>
    <d v="2024-11-23T00:00:00"/>
    <s v="PAID"/>
    <s v="N"/>
    <m/>
    <n v="7593434"/>
    <n v="1"/>
    <n v="7593434"/>
    <n v="0"/>
    <n v="0"/>
    <n v="8"/>
    <x v="0"/>
  </r>
  <r>
    <x v="1872"/>
    <s v="C0129"/>
    <x v="2"/>
    <d v="2024-09-16T00:00:00"/>
    <d v="2024-11-15T00:00:00"/>
    <s v="EUR"/>
    <n v="13505.5"/>
    <m/>
    <s v="PAID"/>
    <s v="N"/>
    <m/>
    <n v="13505.5"/>
    <n v="93.3108"/>
    <n v="1260209.0094000001"/>
    <n v="0"/>
    <n v="0"/>
    <s v=""/>
    <x v="0"/>
  </r>
  <r>
    <x v="1873"/>
    <s v="C0049"/>
    <x v="3"/>
    <d v="2024-09-17T00:00:00"/>
    <d v="2024-10-17T00:00:00"/>
    <s v="INR"/>
    <n v="8351012"/>
    <d v="2024-10-17T00:00:00"/>
    <s v="PAID"/>
    <s v="N"/>
    <m/>
    <n v="8351012"/>
    <n v="1"/>
    <n v="8351012"/>
    <n v="0"/>
    <n v="0"/>
    <n v="0"/>
    <x v="0"/>
  </r>
  <r>
    <x v="1874"/>
    <s v="C0128"/>
    <x v="0"/>
    <d v="2024-09-17T00:00:00"/>
    <d v="2024-10-17T00:00:00"/>
    <s v="INR"/>
    <n v="5396966"/>
    <d v="2024-10-31T00:00:00"/>
    <s v="PAID"/>
    <s v="N"/>
    <m/>
    <n v="5396966"/>
    <n v="1"/>
    <n v="5396966"/>
    <n v="0"/>
    <n v="0"/>
    <n v="14"/>
    <x v="0"/>
  </r>
  <r>
    <x v="1875"/>
    <s v="C0131"/>
    <x v="1"/>
    <d v="2024-09-17T00:00:00"/>
    <d v="2024-12-16T00:00:00"/>
    <s v="INR"/>
    <n v="770249"/>
    <d v="2024-12-16T00:00:00"/>
    <s v="PAID"/>
    <s v="N"/>
    <m/>
    <n v="770249"/>
    <n v="1"/>
    <n v="770249"/>
    <n v="0"/>
    <n v="0"/>
    <n v="0"/>
    <x v="0"/>
  </r>
  <r>
    <x v="1876"/>
    <s v="C0133"/>
    <x v="1"/>
    <d v="2024-09-17T00:00:00"/>
    <d v="2024-12-16T00:00:00"/>
    <s v="USD"/>
    <n v="56264.32"/>
    <d v="2024-12-28T00:00:00"/>
    <s v="PAID"/>
    <s v="N"/>
    <m/>
    <n v="56264.32"/>
    <n v="83.75"/>
    <n v="4712136.8"/>
    <n v="0"/>
    <n v="0"/>
    <n v="12"/>
    <x v="0"/>
  </r>
  <r>
    <x v="1877"/>
    <s v="C0169"/>
    <x v="3"/>
    <d v="2024-09-17T00:00:00"/>
    <d v="2024-11-01T00:00:00"/>
    <s v="EUR"/>
    <n v="21694.45"/>
    <d v="2024-11-08T00:00:00"/>
    <s v="PAID"/>
    <s v="Y"/>
    <n v="93.252899999999997"/>
    <n v="21694.45"/>
    <n v="93.113200000000006"/>
    <n v="2020039.6617400001"/>
    <n v="0"/>
    <n v="0"/>
    <n v="7"/>
    <x v="0"/>
  </r>
  <r>
    <x v="1878"/>
    <s v="C0205"/>
    <x v="2"/>
    <d v="2024-09-17T00:00:00"/>
    <d v="2024-10-17T00:00:00"/>
    <s v="INR"/>
    <n v="1911991"/>
    <d v="2024-11-06T00:00:00"/>
    <s v="PAID"/>
    <s v="N"/>
    <m/>
    <n v="1911991"/>
    <n v="1"/>
    <n v="1911991"/>
    <n v="0"/>
    <n v="0"/>
    <n v="20"/>
    <x v="0"/>
  </r>
  <r>
    <x v="1879"/>
    <s v="C0230"/>
    <x v="0"/>
    <d v="2024-09-17T00:00:00"/>
    <d v="2024-10-17T00:00:00"/>
    <s v="INR"/>
    <n v="4478778"/>
    <d v="2024-11-11T00:00:00"/>
    <s v="PAID"/>
    <s v="N"/>
    <m/>
    <n v="4478778"/>
    <n v="1"/>
    <n v="4478778"/>
    <n v="0"/>
    <n v="0"/>
    <n v="25"/>
    <x v="0"/>
  </r>
  <r>
    <x v="1880"/>
    <s v="C0059"/>
    <x v="3"/>
    <d v="2024-09-18T00:00:00"/>
    <d v="2024-10-18T00:00:00"/>
    <s v="INR"/>
    <n v="2904154"/>
    <d v="2024-10-24T00:00:00"/>
    <s v="PAID"/>
    <s v="N"/>
    <m/>
    <n v="2904154"/>
    <n v="1"/>
    <n v="2904154"/>
    <n v="0"/>
    <n v="0"/>
    <n v="6"/>
    <x v="0"/>
  </r>
  <r>
    <x v="1881"/>
    <s v="C0228"/>
    <x v="0"/>
    <d v="2024-09-18T00:00:00"/>
    <d v="2024-11-02T00:00:00"/>
    <s v="INR"/>
    <n v="4239705"/>
    <d v="2024-11-09T00:00:00"/>
    <s v="PAID"/>
    <s v="N"/>
    <m/>
    <n v="4239705"/>
    <n v="1"/>
    <n v="4239705"/>
    <n v="0"/>
    <n v="0"/>
    <n v="7"/>
    <x v="0"/>
  </r>
  <r>
    <x v="1882"/>
    <s v="C0236"/>
    <x v="1"/>
    <d v="2024-09-18T00:00:00"/>
    <d v="2024-11-17T00:00:00"/>
    <s v="EUR"/>
    <n v="145674.42000000001"/>
    <d v="2024-12-27T00:00:00"/>
    <s v="PAID"/>
    <s v="N"/>
    <m/>
    <n v="145674.42000000001"/>
    <n v="93.096500000000006"/>
    <n v="13561778.641530002"/>
    <n v="0"/>
    <n v="0"/>
    <n v="40"/>
    <x v="0"/>
  </r>
  <r>
    <x v="1883"/>
    <s v="C0171"/>
    <x v="3"/>
    <d v="2024-09-19T00:00:00"/>
    <d v="2024-12-18T00:00:00"/>
    <s v="USD"/>
    <n v="23370"/>
    <d v="2025-01-19T00:00:00"/>
    <s v="PARTIALLY PAID"/>
    <s v="Y"/>
    <n v="84.098399999999998"/>
    <n v="12052"/>
    <n v="83.68"/>
    <n v="1955601.6"/>
    <n v="947090.24000000011"/>
    <n v="103"/>
    <n v="32"/>
    <x v="1"/>
  </r>
  <r>
    <x v="1884"/>
    <s v="C0004"/>
    <x v="0"/>
    <d v="2024-09-20T00:00:00"/>
    <d v="2024-11-04T00:00:00"/>
    <s v="INR"/>
    <n v="7585853"/>
    <d v="2024-11-13T00:00:00"/>
    <s v="PAID"/>
    <s v="N"/>
    <m/>
    <n v="7585853"/>
    <n v="1"/>
    <n v="7585853"/>
    <n v="0"/>
    <n v="0"/>
    <n v="9"/>
    <x v="0"/>
  </r>
  <r>
    <x v="1885"/>
    <s v="C0036"/>
    <x v="1"/>
    <d v="2024-09-20T00:00:00"/>
    <d v="2024-11-04T00:00:00"/>
    <s v="INR"/>
    <n v="4983786"/>
    <d v="2024-11-01T00:00:00"/>
    <s v="PAID"/>
    <s v="N"/>
    <m/>
    <n v="4983786"/>
    <n v="1"/>
    <n v="4983786"/>
    <n v="0"/>
    <n v="0"/>
    <n v="-3"/>
    <x v="0"/>
  </r>
  <r>
    <x v="1886"/>
    <s v="C0050"/>
    <x v="0"/>
    <d v="2024-09-20T00:00:00"/>
    <d v="2024-11-19T00:00:00"/>
    <s v="INR"/>
    <n v="27210451"/>
    <d v="2024-11-25T00:00:00"/>
    <s v="PAID"/>
    <s v="N"/>
    <m/>
    <n v="27210451"/>
    <n v="1"/>
    <n v="27210451"/>
    <n v="0"/>
    <n v="0"/>
    <n v="6"/>
    <x v="0"/>
  </r>
  <r>
    <x v="1887"/>
    <s v="C0091"/>
    <x v="2"/>
    <d v="2024-09-20T00:00:00"/>
    <d v="2024-11-19T00:00:00"/>
    <s v="USD"/>
    <n v="223400.42"/>
    <d v="2024-11-30T00:00:00"/>
    <s v="PAID"/>
    <s v="N"/>
    <m/>
    <n v="223400.42"/>
    <n v="83.57"/>
    <n v="18669573.099399999"/>
    <n v="0"/>
    <n v="0"/>
    <n v="11"/>
    <x v="0"/>
  </r>
  <r>
    <x v="1888"/>
    <s v="C0189"/>
    <x v="1"/>
    <d v="2024-09-20T00:00:00"/>
    <d v="2024-11-04T00:00:00"/>
    <s v="INR"/>
    <n v="3146930"/>
    <d v="2024-11-17T00:00:00"/>
    <s v="PAID"/>
    <s v="N"/>
    <m/>
    <n v="3146930"/>
    <n v="1"/>
    <n v="3146930"/>
    <n v="0"/>
    <n v="0"/>
    <n v="13"/>
    <x v="0"/>
  </r>
  <r>
    <x v="1889"/>
    <s v="C0234"/>
    <x v="0"/>
    <d v="2024-09-20T00:00:00"/>
    <d v="2024-11-19T00:00:00"/>
    <s v="INR"/>
    <n v="2712533"/>
    <d v="2024-12-01T00:00:00"/>
    <s v="PAID"/>
    <s v="N"/>
    <m/>
    <n v="2712533"/>
    <n v="1"/>
    <n v="2712533"/>
    <n v="0"/>
    <n v="0"/>
    <n v="12"/>
    <x v="0"/>
  </r>
  <r>
    <x v="1890"/>
    <s v="C0004"/>
    <x v="0"/>
    <d v="2024-09-21T00:00:00"/>
    <d v="2024-11-05T00:00:00"/>
    <s v="INR"/>
    <n v="17233203"/>
    <d v="2024-11-08T00:00:00"/>
    <s v="PAID"/>
    <s v="N"/>
    <m/>
    <n v="17233203"/>
    <n v="1"/>
    <n v="17233203"/>
    <n v="0"/>
    <n v="0"/>
    <n v="3"/>
    <x v="0"/>
  </r>
  <r>
    <x v="1891"/>
    <s v="C0016"/>
    <x v="4"/>
    <d v="2024-09-21T00:00:00"/>
    <d v="2024-10-21T00:00:00"/>
    <s v="INR"/>
    <n v="3096145"/>
    <d v="2024-10-26T00:00:00"/>
    <s v="PAID"/>
    <s v="N"/>
    <m/>
    <n v="3096145"/>
    <n v="1"/>
    <n v="3096145"/>
    <n v="0"/>
    <n v="0"/>
    <n v="5"/>
    <x v="0"/>
  </r>
  <r>
    <x v="1892"/>
    <s v="C0043"/>
    <x v="1"/>
    <d v="2024-09-21T00:00:00"/>
    <d v="2024-11-05T00:00:00"/>
    <s v="INR"/>
    <n v="7140933"/>
    <d v="2024-11-21T00:00:00"/>
    <s v="PAID"/>
    <s v="N"/>
    <m/>
    <n v="7140933"/>
    <n v="1"/>
    <n v="7140933"/>
    <n v="0"/>
    <n v="0"/>
    <n v="16"/>
    <x v="0"/>
  </r>
  <r>
    <x v="1893"/>
    <s v="C0052"/>
    <x v="0"/>
    <d v="2024-09-21T00:00:00"/>
    <d v="2024-10-21T00:00:00"/>
    <s v="INR"/>
    <n v="2180104"/>
    <d v="2024-10-30T00:00:00"/>
    <s v="PAID"/>
    <s v="N"/>
    <m/>
    <n v="2180104"/>
    <n v="1"/>
    <n v="2180104"/>
    <n v="0"/>
    <n v="0"/>
    <n v="9"/>
    <x v="0"/>
  </r>
  <r>
    <x v="1894"/>
    <s v="C0100"/>
    <x v="4"/>
    <d v="2024-09-21T00:00:00"/>
    <d v="2024-11-20T00:00:00"/>
    <s v="USD"/>
    <n v="39923.64"/>
    <d v="2024-12-03T00:00:00"/>
    <s v="PAID"/>
    <s v="N"/>
    <m/>
    <n v="39923.64"/>
    <n v="83.57"/>
    <n v="3336418.5947999996"/>
    <n v="0"/>
    <n v="0"/>
    <n v="13"/>
    <x v="0"/>
  </r>
  <r>
    <x v="1895"/>
    <s v="C0146"/>
    <x v="3"/>
    <d v="2024-09-21T00:00:00"/>
    <d v="2024-11-20T00:00:00"/>
    <s v="USD"/>
    <n v="368540.53"/>
    <d v="2024-11-28T00:00:00"/>
    <s v="PAID"/>
    <s v="Y"/>
    <n v="83.848600000000005"/>
    <n v="368540.53"/>
    <n v="83.57"/>
    <n v="30798932.092099998"/>
    <n v="0"/>
    <n v="0"/>
    <n v="8"/>
    <x v="0"/>
  </r>
  <r>
    <x v="1896"/>
    <s v="C0202"/>
    <x v="4"/>
    <d v="2024-09-21T00:00:00"/>
    <d v="2024-11-05T00:00:00"/>
    <s v="USD"/>
    <n v="44078.01"/>
    <d v="2024-11-19T00:00:00"/>
    <s v="PAID"/>
    <s v="N"/>
    <m/>
    <n v="44078.01"/>
    <n v="83.57"/>
    <n v="3683599.2956999997"/>
    <n v="0"/>
    <n v="0"/>
    <n v="14"/>
    <x v="0"/>
  </r>
  <r>
    <x v="1897"/>
    <s v="C0202"/>
    <x v="3"/>
    <d v="2024-09-21T00:00:00"/>
    <d v="2024-11-05T00:00:00"/>
    <s v="USD"/>
    <n v="49580.76"/>
    <d v="2024-11-18T00:00:00"/>
    <s v="PAID"/>
    <s v="Y"/>
    <n v="83.778899999999993"/>
    <n v="49580.76"/>
    <n v="83.57"/>
    <n v="4143464.1132"/>
    <n v="0"/>
    <n v="0"/>
    <n v="13"/>
    <x v="0"/>
  </r>
  <r>
    <x v="1898"/>
    <s v="C0216"/>
    <x v="1"/>
    <d v="2024-09-21T00:00:00"/>
    <d v="2024-11-20T00:00:00"/>
    <s v="USD"/>
    <n v="159363.47"/>
    <m/>
    <s v="OPEN"/>
    <s v="N"/>
    <m/>
    <n v="0"/>
    <n v="83.57"/>
    <n v="13318005.187899999"/>
    <n v="13318005.187899999"/>
    <n v="131"/>
    <s v=""/>
    <x v="1"/>
  </r>
  <r>
    <x v="1899"/>
    <s v="C0228"/>
    <x v="0"/>
    <d v="2024-09-21T00:00:00"/>
    <d v="2024-11-05T00:00:00"/>
    <s v="INR"/>
    <n v="33818074"/>
    <d v="2024-11-13T00:00:00"/>
    <s v="PAID"/>
    <s v="N"/>
    <m/>
    <n v="33818074"/>
    <n v="1"/>
    <n v="33818074"/>
    <n v="0"/>
    <n v="0"/>
    <n v="8"/>
    <x v="0"/>
  </r>
  <r>
    <x v="1900"/>
    <s v="C0059"/>
    <x v="3"/>
    <d v="2024-09-23T00:00:00"/>
    <d v="2024-10-23T00:00:00"/>
    <s v="INR"/>
    <n v="5137032"/>
    <d v="2024-10-31T00:00:00"/>
    <s v="PAID"/>
    <s v="N"/>
    <m/>
    <n v="5137032"/>
    <n v="1"/>
    <n v="5137032"/>
    <n v="0"/>
    <n v="0"/>
    <n v="8"/>
    <x v="0"/>
  </r>
  <r>
    <x v="1901"/>
    <s v="C0135"/>
    <x v="1"/>
    <d v="2024-09-23T00:00:00"/>
    <d v="2024-11-22T00:00:00"/>
    <s v="EUR"/>
    <n v="11581.86"/>
    <d v="2024-12-21T00:00:00"/>
    <s v="PAID"/>
    <s v="N"/>
    <m/>
    <n v="11581.86"/>
    <n v="92.968900000000005"/>
    <n v="1076752.7841540002"/>
    <n v="0"/>
    <n v="0"/>
    <n v="29"/>
    <x v="0"/>
  </r>
  <r>
    <x v="1902"/>
    <s v="C0165"/>
    <x v="3"/>
    <d v="2024-09-23T00:00:00"/>
    <d v="2024-10-23T00:00:00"/>
    <s v="USD"/>
    <n v="114213.3"/>
    <d v="2024-10-31T00:00:00"/>
    <s v="PAID"/>
    <s v="N"/>
    <m/>
    <n v="114213.3"/>
    <n v="83.53"/>
    <n v="9540236.949000001"/>
    <n v="0"/>
    <n v="0"/>
    <n v="8"/>
    <x v="0"/>
  </r>
  <r>
    <x v="1903"/>
    <s v="C0213"/>
    <x v="1"/>
    <d v="2024-09-23T00:00:00"/>
    <d v="2024-11-22T00:00:00"/>
    <s v="EUR"/>
    <n v="118296.76"/>
    <d v="2024-11-28T00:00:00"/>
    <s v="PAID"/>
    <s v="Y"/>
    <n v="93.154799999999994"/>
    <n v="118296.76"/>
    <n v="92.968900000000005"/>
    <n v="10997919.650764"/>
    <n v="0"/>
    <n v="0"/>
    <n v="6"/>
    <x v="0"/>
  </r>
  <r>
    <x v="1904"/>
    <s v="C0050"/>
    <x v="0"/>
    <d v="2024-09-24T00:00:00"/>
    <d v="2024-11-23T00:00:00"/>
    <s v="INR"/>
    <n v="14502291"/>
    <d v="2024-12-01T00:00:00"/>
    <s v="PAID"/>
    <s v="N"/>
    <m/>
    <n v="14502291"/>
    <n v="1"/>
    <n v="14502291"/>
    <n v="0"/>
    <n v="0"/>
    <n v="8"/>
    <x v="0"/>
  </r>
  <r>
    <x v="1905"/>
    <s v="C0123"/>
    <x v="1"/>
    <d v="2024-09-24T00:00:00"/>
    <d v="2024-11-23T00:00:00"/>
    <s v="USD"/>
    <n v="69490.63"/>
    <d v="2024-12-10T00:00:00"/>
    <s v="PAID"/>
    <s v="Y"/>
    <n v="83.938900000000004"/>
    <n v="69490.63"/>
    <n v="83.66"/>
    <n v="5813586.1058"/>
    <n v="0"/>
    <n v="0"/>
    <n v="17"/>
    <x v="0"/>
  </r>
  <r>
    <x v="1906"/>
    <s v="C0246"/>
    <x v="4"/>
    <d v="2024-09-24T00:00:00"/>
    <d v="2024-11-23T00:00:00"/>
    <s v="USD"/>
    <n v="239696.04"/>
    <d v="2024-11-28T00:00:00"/>
    <s v="PAID"/>
    <s v="N"/>
    <m/>
    <n v="239696.04"/>
    <n v="83.66"/>
    <n v="20052970.7064"/>
    <n v="0"/>
    <n v="0"/>
    <n v="5"/>
    <x v="0"/>
  </r>
  <r>
    <x v="1907"/>
    <s v="C0052"/>
    <x v="0"/>
    <d v="2024-09-25T00:00:00"/>
    <d v="2024-10-25T00:00:00"/>
    <s v="INR"/>
    <n v="4851188"/>
    <d v="2024-11-04T00:00:00"/>
    <s v="PAID"/>
    <s v="N"/>
    <m/>
    <n v="4851188"/>
    <n v="1"/>
    <n v="4851188"/>
    <n v="0"/>
    <n v="0"/>
    <n v="10"/>
    <x v="0"/>
  </r>
  <r>
    <x v="1908"/>
    <s v="C0052"/>
    <x v="0"/>
    <d v="2024-09-25T00:00:00"/>
    <d v="2024-10-25T00:00:00"/>
    <s v="INR"/>
    <n v="5018100"/>
    <d v="2024-10-25T00:00:00"/>
    <s v="PAID"/>
    <s v="N"/>
    <m/>
    <n v="5018100"/>
    <n v="1"/>
    <n v="5018100"/>
    <n v="0"/>
    <n v="0"/>
    <n v="0"/>
    <x v="0"/>
  </r>
  <r>
    <x v="1909"/>
    <s v="C0057"/>
    <x v="3"/>
    <d v="2024-09-25T00:00:00"/>
    <d v="2024-10-25T00:00:00"/>
    <s v="INR"/>
    <n v="7897704"/>
    <d v="2024-10-16T00:00:00"/>
    <s v="PAID"/>
    <s v="N"/>
    <m/>
    <n v="7897704"/>
    <n v="1"/>
    <n v="7897704"/>
    <n v="0"/>
    <n v="0"/>
    <n v="-9"/>
    <x v="0"/>
  </r>
  <r>
    <x v="1910"/>
    <s v="C0062"/>
    <x v="4"/>
    <d v="2024-09-25T00:00:00"/>
    <d v="2024-11-24T00:00:00"/>
    <s v="USD"/>
    <n v="101175.8"/>
    <d v="2024-12-08T00:00:00"/>
    <s v="PAID"/>
    <s v="Y"/>
    <n v="83.838499999999996"/>
    <n v="101175.8"/>
    <n v="83.56"/>
    <n v="8454249.8480000012"/>
    <n v="0"/>
    <n v="0"/>
    <n v="14"/>
    <x v="0"/>
  </r>
  <r>
    <x v="1911"/>
    <s v="C0069"/>
    <x v="2"/>
    <d v="2024-09-25T00:00:00"/>
    <d v="2024-10-25T00:00:00"/>
    <s v="INR"/>
    <n v="4743482"/>
    <d v="2024-11-08T00:00:00"/>
    <s v="PAID"/>
    <s v="N"/>
    <m/>
    <n v="4743482"/>
    <n v="1"/>
    <n v="4743482"/>
    <n v="0"/>
    <n v="0"/>
    <n v="14"/>
    <x v="0"/>
  </r>
  <r>
    <x v="1912"/>
    <s v="C0110"/>
    <x v="1"/>
    <d v="2024-09-25T00:00:00"/>
    <d v="2024-11-24T00:00:00"/>
    <s v="USD"/>
    <n v="83348.88"/>
    <d v="2025-01-01T00:00:00"/>
    <s v="PAID"/>
    <s v="Y"/>
    <n v="83.838499999999996"/>
    <n v="83348.88"/>
    <n v="83.56"/>
    <n v="6964632.412800001"/>
    <n v="0"/>
    <n v="0"/>
    <n v="38"/>
    <x v="0"/>
  </r>
  <r>
    <x v="1913"/>
    <s v="C0164"/>
    <x v="3"/>
    <d v="2024-09-25T00:00:00"/>
    <d v="2024-11-24T00:00:00"/>
    <s v="USD"/>
    <n v="122006.26"/>
    <d v="2024-12-02T00:00:00"/>
    <s v="PAID"/>
    <s v="Y"/>
    <n v="83.838499999999996"/>
    <n v="122006.26"/>
    <n v="83.56"/>
    <n v="10194843.0856"/>
    <n v="0"/>
    <n v="0"/>
    <n v="8"/>
    <x v="0"/>
  </r>
  <r>
    <x v="1914"/>
    <s v="C0241"/>
    <x v="3"/>
    <d v="2024-09-25T00:00:00"/>
    <d v="2024-11-24T00:00:00"/>
    <s v="EUR"/>
    <n v="54237.98"/>
    <d v="2024-12-08T00:00:00"/>
    <s v="PAID"/>
    <s v="Y"/>
    <n v="93.2971"/>
    <n v="54237.98"/>
    <n v="93.110900000000001"/>
    <n v="5050147.1319820005"/>
    <n v="0"/>
    <n v="0"/>
    <n v="14"/>
    <x v="0"/>
  </r>
  <r>
    <x v="1915"/>
    <s v="C0091"/>
    <x v="2"/>
    <d v="2024-09-26T00:00:00"/>
    <d v="2024-11-25T00:00:00"/>
    <s v="USD"/>
    <n v="80462.97"/>
    <d v="2024-12-16T00:00:00"/>
    <s v="PAID"/>
    <s v="N"/>
    <m/>
    <n v="80462.97"/>
    <n v="83.6"/>
    <n v="6726704.2919999994"/>
    <n v="0"/>
    <n v="0"/>
    <n v="21"/>
    <x v="0"/>
  </r>
  <r>
    <x v="1916"/>
    <s v="C0109"/>
    <x v="1"/>
    <d v="2024-09-26T00:00:00"/>
    <d v="2024-11-10T00:00:00"/>
    <s v="INR"/>
    <n v="26432704"/>
    <d v="2024-11-25T00:00:00"/>
    <s v="PARTIALLY PAID"/>
    <s v="N"/>
    <m/>
    <n v="16759491.869999999"/>
    <n v="1"/>
    <n v="26432704"/>
    <n v="9673212.1300000008"/>
    <n v="141"/>
    <n v="15"/>
    <x v="1"/>
  </r>
  <r>
    <x v="1917"/>
    <s v="C0111"/>
    <x v="3"/>
    <d v="2024-09-26T00:00:00"/>
    <d v="2024-12-25T00:00:00"/>
    <s v="EUR"/>
    <n v="64390.09"/>
    <d v="2025-01-29T00:00:00"/>
    <s v="PAID"/>
    <s v="Y"/>
    <n v="93.778700000000001"/>
    <n v="64390.09"/>
    <n v="93.498199999999997"/>
    <n v="6020357.5128379995"/>
    <n v="0"/>
    <n v="0"/>
    <n v="35"/>
    <x v="0"/>
  </r>
  <r>
    <x v="1918"/>
    <s v="C0116"/>
    <x v="4"/>
    <d v="2024-09-26T00:00:00"/>
    <d v="2024-11-10T00:00:00"/>
    <s v="INR"/>
    <n v="3446421"/>
    <d v="2024-12-13T00:00:00"/>
    <s v="PAID"/>
    <s v="N"/>
    <m/>
    <n v="3446421"/>
    <n v="1"/>
    <n v="3446421"/>
    <n v="0"/>
    <n v="0"/>
    <n v="33"/>
    <x v="0"/>
  </r>
  <r>
    <x v="1919"/>
    <s v="C0156"/>
    <x v="0"/>
    <d v="2024-09-26T00:00:00"/>
    <d v="2024-11-10T00:00:00"/>
    <s v="USD"/>
    <n v="136318.39999999999"/>
    <d v="2024-11-28T00:00:00"/>
    <s v="PAID"/>
    <s v="N"/>
    <m/>
    <n v="136318.39999999999"/>
    <n v="83.6"/>
    <n v="11396218.239999998"/>
    <n v="0"/>
    <n v="0"/>
    <n v="18"/>
    <x v="0"/>
  </r>
  <r>
    <x v="1920"/>
    <s v="C0040"/>
    <x v="2"/>
    <d v="2024-09-27T00:00:00"/>
    <d v="2024-10-27T00:00:00"/>
    <s v="EUR"/>
    <n v="70893.919999999998"/>
    <m/>
    <s v="OPEN"/>
    <s v="Y"/>
    <n v="93.471900000000005"/>
    <n v="0"/>
    <n v="93.378500000000003"/>
    <n v="6619967.9087199997"/>
    <n v="6619967.9087199997"/>
    <n v="155"/>
    <s v=""/>
    <x v="1"/>
  </r>
  <r>
    <x v="1921"/>
    <s v="C0099"/>
    <x v="3"/>
    <d v="2024-09-27T00:00:00"/>
    <d v="2024-11-26T00:00:00"/>
    <s v="EUR"/>
    <n v="136049.88"/>
    <d v="2024-12-11T00:00:00"/>
    <s v="PAID"/>
    <s v="N"/>
    <m/>
    <n v="136049.88"/>
    <n v="93.378500000000003"/>
    <n v="12704133.71958"/>
    <n v="0"/>
    <n v="0"/>
    <n v="15"/>
    <x v="0"/>
  </r>
  <r>
    <x v="1922"/>
    <s v="C0114"/>
    <x v="3"/>
    <d v="2024-09-27T00:00:00"/>
    <d v="2024-11-26T00:00:00"/>
    <s v="INR"/>
    <n v="2989180"/>
    <d v="2025-01-21T00:00:00"/>
    <s v="PAID"/>
    <s v="N"/>
    <m/>
    <n v="2989180"/>
    <n v="1"/>
    <n v="2989180"/>
    <n v="0"/>
    <n v="0"/>
    <n v="56"/>
    <x v="0"/>
  </r>
  <r>
    <x v="1923"/>
    <s v="C0176"/>
    <x v="0"/>
    <d v="2024-09-27T00:00:00"/>
    <d v="2024-10-27T00:00:00"/>
    <s v="INR"/>
    <n v="2580571"/>
    <d v="2024-10-29T00:00:00"/>
    <s v="PAID"/>
    <s v="N"/>
    <m/>
    <n v="2580571"/>
    <n v="1"/>
    <n v="2580571"/>
    <n v="0"/>
    <n v="0"/>
    <n v="2"/>
    <x v="0"/>
  </r>
  <r>
    <x v="1924"/>
    <s v="C0236"/>
    <x v="3"/>
    <d v="2024-09-27T00:00:00"/>
    <d v="2024-11-26T00:00:00"/>
    <s v="EUR"/>
    <n v="548924.12"/>
    <d v="2024-12-23T00:00:00"/>
    <s v="PAID"/>
    <s v="Y"/>
    <n v="93.565299999999993"/>
    <n v="548924.12"/>
    <n v="93.378500000000003"/>
    <n v="51257710.93942"/>
    <n v="0"/>
    <n v="0"/>
    <n v="27"/>
    <x v="0"/>
  </r>
  <r>
    <x v="1925"/>
    <s v="C0063"/>
    <x v="2"/>
    <d v="2024-09-28T00:00:00"/>
    <d v="2024-11-27T00:00:00"/>
    <s v="INR"/>
    <n v="9025866"/>
    <d v="2024-11-28T00:00:00"/>
    <s v="PAID"/>
    <s v="N"/>
    <m/>
    <n v="9025866"/>
    <n v="1"/>
    <n v="9025866"/>
    <n v="0"/>
    <n v="0"/>
    <n v="1"/>
    <x v="0"/>
  </r>
  <r>
    <x v="1926"/>
    <s v="C0090"/>
    <x v="2"/>
    <d v="2024-09-28T00:00:00"/>
    <d v="2024-12-27T00:00:00"/>
    <s v="EUR"/>
    <n v="36183.599999999999"/>
    <d v="2025-02-04T00:00:00"/>
    <s v="PAID"/>
    <s v="Y"/>
    <n v="93.658600000000007"/>
    <n v="36183.599999999999"/>
    <n v="93.378500000000003"/>
    <n v="3378770.2925999998"/>
    <n v="0"/>
    <n v="0"/>
    <n v="39"/>
    <x v="0"/>
  </r>
  <r>
    <x v="1927"/>
    <s v="C0091"/>
    <x v="2"/>
    <d v="2024-09-28T00:00:00"/>
    <d v="2024-11-27T00:00:00"/>
    <s v="USD"/>
    <n v="91346.53"/>
    <d v="2024-12-06T00:00:00"/>
    <s v="PAID"/>
    <s v="Y"/>
    <n v="83.9589"/>
    <n v="91346.53"/>
    <n v="83.68"/>
    <n v="7643877.6304000001"/>
    <n v="0"/>
    <n v="0"/>
    <n v="9"/>
    <x v="0"/>
  </r>
  <r>
    <x v="1928"/>
    <s v="C0207"/>
    <x v="4"/>
    <d v="2024-09-28T00:00:00"/>
    <d v="2024-11-27T00:00:00"/>
    <s v="INR"/>
    <n v="21337090"/>
    <d v="2024-12-05T00:00:00"/>
    <s v="PAID"/>
    <s v="N"/>
    <m/>
    <n v="21337090"/>
    <n v="1"/>
    <n v="21337090"/>
    <n v="0"/>
    <n v="0"/>
    <n v="8"/>
    <x v="0"/>
  </r>
  <r>
    <x v="1929"/>
    <s v="C0228"/>
    <x v="0"/>
    <d v="2024-09-28T00:00:00"/>
    <d v="2024-11-12T00:00:00"/>
    <s v="INR"/>
    <n v="2348988"/>
    <d v="2024-11-19T00:00:00"/>
    <s v="PAID"/>
    <s v="N"/>
    <m/>
    <n v="2348988"/>
    <n v="1"/>
    <n v="2348988"/>
    <n v="0"/>
    <n v="0"/>
    <n v="7"/>
    <x v="0"/>
  </r>
  <r>
    <x v="1930"/>
    <s v="C0049"/>
    <x v="3"/>
    <d v="2024-09-30T00:00:00"/>
    <d v="2024-10-30T00:00:00"/>
    <s v="INR"/>
    <n v="3103495"/>
    <d v="2024-10-24T00:00:00"/>
    <s v="PAID"/>
    <s v="N"/>
    <m/>
    <n v="3103495"/>
    <n v="1"/>
    <n v="3103495"/>
    <n v="0"/>
    <n v="0"/>
    <n v="-6"/>
    <x v="0"/>
  </r>
  <r>
    <x v="1931"/>
    <s v="C0111"/>
    <x v="3"/>
    <d v="2024-09-30T00:00:00"/>
    <d v="2024-12-29T00:00:00"/>
    <s v="EUR"/>
    <n v="70201.179999999993"/>
    <d v="2025-01-15T00:00:00"/>
    <s v="PAID"/>
    <s v="N"/>
    <m/>
    <n v="70201.179999999993"/>
    <n v="93.350499999999997"/>
    <n v="6553315.2535899989"/>
    <n v="0"/>
    <n v="0"/>
    <n v="17"/>
    <x v="0"/>
  </r>
  <r>
    <x v="1932"/>
    <s v="C0111"/>
    <x v="3"/>
    <d v="2024-09-30T00:00:00"/>
    <d v="2024-12-29T00:00:00"/>
    <s v="EUR"/>
    <n v="74573.009999999995"/>
    <d v="2025-02-11T00:00:00"/>
    <s v="PAID"/>
    <s v="Y"/>
    <n v="93.630600000000001"/>
    <n v="74573.009999999995"/>
    <n v="93.350499999999997"/>
    <n v="6961427.7700049989"/>
    <n v="0"/>
    <n v="0"/>
    <n v="44"/>
    <x v="0"/>
  </r>
  <r>
    <x v="1933"/>
    <s v="C0123"/>
    <x v="1"/>
    <d v="2024-09-30T00:00:00"/>
    <d v="2024-11-29T00:00:00"/>
    <s v="USD"/>
    <n v="66412.58"/>
    <d v="2024-11-25T00:00:00"/>
    <s v="PAID"/>
    <s v="N"/>
    <m/>
    <n v="66412.58"/>
    <n v="83.76"/>
    <n v="5562717.7008000007"/>
    <n v="0"/>
    <n v="0"/>
    <n v="-4"/>
    <x v="0"/>
  </r>
  <r>
    <x v="1934"/>
    <s v="C0127"/>
    <x v="2"/>
    <d v="2024-09-30T00:00:00"/>
    <d v="2024-11-29T00:00:00"/>
    <s v="INR"/>
    <n v="15272598"/>
    <d v="2025-02-04T00:00:00"/>
    <s v="PAID"/>
    <s v="N"/>
    <m/>
    <n v="15272598"/>
    <n v="1"/>
    <n v="15272598"/>
    <n v="0"/>
    <n v="0"/>
    <n v="67"/>
    <x v="0"/>
  </r>
  <r>
    <x v="1935"/>
    <s v="C0175"/>
    <x v="0"/>
    <d v="2024-09-30T00:00:00"/>
    <d v="2024-11-29T00:00:00"/>
    <s v="INR"/>
    <n v="992922"/>
    <d v="2024-12-21T00:00:00"/>
    <s v="PAID"/>
    <s v="N"/>
    <m/>
    <n v="992922"/>
    <n v="1"/>
    <n v="992922"/>
    <n v="0"/>
    <n v="0"/>
    <n v="22"/>
    <x v="0"/>
  </r>
  <r>
    <x v="1936"/>
    <s v="C0183"/>
    <x v="0"/>
    <d v="2024-09-30T00:00:00"/>
    <d v="2024-12-29T00:00:00"/>
    <s v="INR"/>
    <n v="9157207"/>
    <d v="2025-01-09T00:00:00"/>
    <s v="PARTIALLY PAID"/>
    <s v="N"/>
    <m/>
    <n v="5221934.42"/>
    <n v="1"/>
    <n v="9157207"/>
    <n v="3935272.58"/>
    <n v="92"/>
    <n v="11"/>
    <x v="1"/>
  </r>
  <r>
    <x v="1937"/>
    <s v="C0197"/>
    <x v="0"/>
    <d v="2024-09-30T00:00:00"/>
    <d v="2024-11-14T00:00:00"/>
    <s v="INR"/>
    <n v="10030571"/>
    <d v="2024-11-19T00:00:00"/>
    <s v="PAID"/>
    <s v="N"/>
    <m/>
    <n v="10030571"/>
    <n v="1"/>
    <n v="10030571"/>
    <n v="0"/>
    <n v="0"/>
    <n v="5"/>
    <x v="0"/>
  </r>
  <r>
    <x v="1938"/>
    <s v="C0212"/>
    <x v="2"/>
    <d v="2024-09-30T00:00:00"/>
    <d v="2024-12-29T00:00:00"/>
    <s v="INR"/>
    <n v="30515115"/>
    <d v="2024-12-27T00:00:00"/>
    <s v="PARTIALLY PAID"/>
    <s v="N"/>
    <m/>
    <n v="24852522.91"/>
    <n v="1"/>
    <n v="30515115"/>
    <n v="5662592.0899999999"/>
    <n v="92"/>
    <n v="-2"/>
    <x v="1"/>
  </r>
  <r>
    <x v="1939"/>
    <s v="C0050"/>
    <x v="0"/>
    <d v="2024-10-01T00:00:00"/>
    <d v="2024-11-30T00:00:00"/>
    <s v="INR"/>
    <n v="5194041"/>
    <d v="2024-12-03T00:00:00"/>
    <s v="PAID"/>
    <s v="N"/>
    <m/>
    <n v="5194041"/>
    <n v="1"/>
    <n v="5194041"/>
    <n v="0"/>
    <n v="0"/>
    <n v="3"/>
    <x v="0"/>
  </r>
  <r>
    <x v="1940"/>
    <s v="C0096"/>
    <x v="3"/>
    <d v="2024-10-01T00:00:00"/>
    <d v="2024-11-30T00:00:00"/>
    <s v="USD"/>
    <n v="34783.360000000001"/>
    <m/>
    <s v="OPEN"/>
    <s v="Y"/>
    <n v="84.089399999999998"/>
    <n v="0"/>
    <n v="83.81"/>
    <n v="2915193.4016"/>
    <n v="2915193.4016"/>
    <n v="121"/>
    <s v=""/>
    <x v="1"/>
  </r>
  <r>
    <x v="1941"/>
    <s v="C0183"/>
    <x v="0"/>
    <d v="2024-10-01T00:00:00"/>
    <d v="2024-12-30T00:00:00"/>
    <s v="INR"/>
    <n v="3844744"/>
    <d v="2025-01-05T00:00:00"/>
    <s v="PAID"/>
    <s v="N"/>
    <m/>
    <n v="3844744"/>
    <n v="1"/>
    <n v="3844744"/>
    <n v="0"/>
    <n v="0"/>
    <n v="6"/>
    <x v="0"/>
  </r>
  <r>
    <x v="1942"/>
    <s v="C0210"/>
    <x v="3"/>
    <d v="2024-10-01T00:00:00"/>
    <d v="2024-11-15T00:00:00"/>
    <s v="USD"/>
    <n v="42188.800000000003"/>
    <d v="2024-12-05T00:00:00"/>
    <s v="PAID"/>
    <s v="N"/>
    <m/>
    <n v="42188.800000000003"/>
    <n v="83.81"/>
    <n v="3535843.3280000002"/>
    <n v="0"/>
    <n v="0"/>
    <n v="20"/>
    <x v="0"/>
  </r>
  <r>
    <x v="1943"/>
    <s v="C0214"/>
    <x v="0"/>
    <d v="2024-10-01T00:00:00"/>
    <d v="2024-10-31T00:00:00"/>
    <s v="INR"/>
    <n v="1560275"/>
    <d v="2024-10-26T00:00:00"/>
    <s v="PAID"/>
    <s v="N"/>
    <m/>
    <n v="1560275"/>
    <n v="1"/>
    <n v="1560275"/>
    <n v="0"/>
    <n v="0"/>
    <n v="-5"/>
    <x v="0"/>
  </r>
  <r>
    <x v="1944"/>
    <s v="C0026"/>
    <x v="4"/>
    <d v="2024-10-02T00:00:00"/>
    <d v="2024-11-01T00:00:00"/>
    <s v="INR"/>
    <n v="14373890"/>
    <d v="2024-11-06T00:00:00"/>
    <s v="PAID"/>
    <s v="N"/>
    <m/>
    <n v="14373890"/>
    <n v="1"/>
    <n v="14373890"/>
    <n v="0"/>
    <n v="0"/>
    <n v="5"/>
    <x v="0"/>
  </r>
  <r>
    <x v="1945"/>
    <s v="C0091"/>
    <x v="2"/>
    <d v="2024-10-02T00:00:00"/>
    <d v="2024-12-01T00:00:00"/>
    <s v="USD"/>
    <n v="113723.76"/>
    <d v="2024-12-12T00:00:00"/>
    <s v="PAID"/>
    <s v="Y"/>
    <n v="84.089399999999998"/>
    <n v="113723.76"/>
    <n v="83.81"/>
    <n v="9531188.3256000001"/>
    <n v="0"/>
    <n v="0"/>
    <n v="11"/>
    <x v="0"/>
  </r>
  <r>
    <x v="1946"/>
    <s v="C0091"/>
    <x v="2"/>
    <d v="2024-10-02T00:00:00"/>
    <d v="2024-12-01T00:00:00"/>
    <s v="USD"/>
    <n v="94928.73"/>
    <d v="2024-12-07T00:00:00"/>
    <s v="PAID"/>
    <s v="N"/>
    <m/>
    <n v="94928.73"/>
    <n v="83.81"/>
    <n v="7955976.8613"/>
    <n v="0"/>
    <n v="0"/>
    <n v="6"/>
    <x v="0"/>
  </r>
  <r>
    <x v="1947"/>
    <s v="C0180"/>
    <x v="1"/>
    <d v="2024-10-02T00:00:00"/>
    <d v="2024-11-16T00:00:00"/>
    <s v="USD"/>
    <n v="52927.1"/>
    <m/>
    <s v="OPEN"/>
    <s v="Y"/>
    <n v="84.019499999999994"/>
    <n v="0"/>
    <n v="83.81"/>
    <n v="4435820.2510000002"/>
    <n v="4435820.2510000002"/>
    <n v="135"/>
    <s v=""/>
    <x v="1"/>
  </r>
  <r>
    <x v="1948"/>
    <s v="C0211"/>
    <x v="3"/>
    <d v="2024-10-02T00:00:00"/>
    <d v="2024-11-16T00:00:00"/>
    <s v="INR"/>
    <n v="6896049"/>
    <d v="2024-11-29T00:00:00"/>
    <s v="PAID"/>
    <s v="N"/>
    <m/>
    <n v="6896049"/>
    <n v="1"/>
    <n v="6896049"/>
    <n v="0"/>
    <n v="0"/>
    <n v="13"/>
    <x v="0"/>
  </r>
  <r>
    <x v="1949"/>
    <s v="C0004"/>
    <x v="0"/>
    <d v="2024-10-03T00:00:00"/>
    <d v="2024-11-17T00:00:00"/>
    <s v="INR"/>
    <n v="4785946"/>
    <d v="2024-11-26T00:00:00"/>
    <s v="PAID"/>
    <s v="N"/>
    <m/>
    <n v="4785946"/>
    <n v="1"/>
    <n v="4785946"/>
    <n v="0"/>
    <n v="0"/>
    <n v="9"/>
    <x v="0"/>
  </r>
  <r>
    <x v="1950"/>
    <s v="C0103"/>
    <x v="0"/>
    <d v="2024-10-03T00:00:00"/>
    <d v="2024-12-02T00:00:00"/>
    <s v="INR"/>
    <n v="4571160"/>
    <d v="2024-12-09T00:00:00"/>
    <s v="PAID"/>
    <s v="N"/>
    <m/>
    <n v="4571160"/>
    <n v="1"/>
    <n v="4571160"/>
    <n v="0"/>
    <n v="0"/>
    <n v="7"/>
    <x v="0"/>
  </r>
  <r>
    <x v="1951"/>
    <s v="C0110"/>
    <x v="1"/>
    <d v="2024-10-03T00:00:00"/>
    <d v="2024-12-02T00:00:00"/>
    <s v="USD"/>
    <n v="61922.67"/>
    <d v="2025-01-10T00:00:00"/>
    <s v="PAID"/>
    <s v="N"/>
    <m/>
    <n v="61922.67"/>
    <n v="84"/>
    <n v="5201504.28"/>
    <n v="0"/>
    <n v="0"/>
    <n v="39"/>
    <x v="0"/>
  </r>
  <r>
    <x v="1952"/>
    <s v="C0221"/>
    <x v="1"/>
    <d v="2024-10-03T00:00:00"/>
    <d v="2024-12-02T00:00:00"/>
    <s v="INR"/>
    <n v="2689235"/>
    <d v="2024-12-23T00:00:00"/>
    <s v="PAID"/>
    <s v="N"/>
    <m/>
    <n v="2689235"/>
    <n v="1"/>
    <n v="2689235"/>
    <n v="0"/>
    <n v="0"/>
    <n v="21"/>
    <x v="0"/>
  </r>
  <r>
    <x v="1953"/>
    <s v="C0244"/>
    <x v="3"/>
    <d v="2024-10-03T00:00:00"/>
    <d v="2024-12-02T00:00:00"/>
    <s v="INR"/>
    <n v="10736079"/>
    <d v="2025-03-07T00:00:00"/>
    <s v="PAID"/>
    <s v="N"/>
    <m/>
    <n v="10736079"/>
    <n v="1"/>
    <n v="10736079"/>
    <n v="0"/>
    <n v="0"/>
    <n v="95"/>
    <x v="0"/>
  </r>
  <r>
    <x v="1954"/>
    <s v="C0049"/>
    <x v="3"/>
    <d v="2024-10-04T00:00:00"/>
    <d v="2024-11-03T00:00:00"/>
    <s v="INR"/>
    <n v="8796706"/>
    <d v="2024-11-06T00:00:00"/>
    <s v="PAID"/>
    <s v="N"/>
    <m/>
    <n v="8796706"/>
    <n v="1"/>
    <n v="8796706"/>
    <n v="0"/>
    <n v="0"/>
    <n v="3"/>
    <x v="0"/>
  </r>
  <r>
    <x v="1955"/>
    <s v="C0099"/>
    <x v="3"/>
    <d v="2024-10-04T00:00:00"/>
    <d v="2024-12-03T00:00:00"/>
    <s v="EUR"/>
    <n v="54239.32"/>
    <d v="2024-12-23T00:00:00"/>
    <s v="PAID"/>
    <s v="N"/>
    <m/>
    <n v="54239.32"/>
    <n v="92.061400000000006"/>
    <n v="4993347.7342480002"/>
    <n v="0"/>
    <n v="0"/>
    <n v="20"/>
    <x v="0"/>
  </r>
  <r>
    <x v="1956"/>
    <s v="C0184"/>
    <x v="0"/>
    <d v="2024-10-04T00:00:00"/>
    <d v="2024-11-18T00:00:00"/>
    <s v="INR"/>
    <n v="6408594"/>
    <d v="2024-12-23T00:00:00"/>
    <s v="PAID"/>
    <s v="N"/>
    <m/>
    <n v="6408594"/>
    <n v="1"/>
    <n v="6408594"/>
    <n v="0"/>
    <n v="0"/>
    <n v="35"/>
    <x v="0"/>
  </r>
  <r>
    <x v="1957"/>
    <s v="C0207"/>
    <x v="4"/>
    <d v="2024-10-04T00:00:00"/>
    <d v="2024-12-03T00:00:00"/>
    <s v="INR"/>
    <n v="16233691"/>
    <d v="2024-12-17T00:00:00"/>
    <s v="PAID"/>
    <s v="N"/>
    <m/>
    <n v="16233691"/>
    <n v="1"/>
    <n v="16233691"/>
    <n v="0"/>
    <n v="0"/>
    <n v="14"/>
    <x v="0"/>
  </r>
  <r>
    <x v="1958"/>
    <s v="C0210"/>
    <x v="3"/>
    <d v="2024-10-04T00:00:00"/>
    <d v="2024-11-18T00:00:00"/>
    <s v="USD"/>
    <n v="22330.240000000002"/>
    <d v="2024-11-30T00:00:00"/>
    <s v="PAID"/>
    <s v="Y"/>
    <n v="84.2"/>
    <n v="22330.240000000002"/>
    <n v="83.99"/>
    <n v="1875516.8576"/>
    <n v="0"/>
    <n v="0"/>
    <n v="12"/>
    <x v="0"/>
  </r>
  <r>
    <x v="1959"/>
    <s v="C0216"/>
    <x v="1"/>
    <d v="2024-10-04T00:00:00"/>
    <d v="2024-12-03T00:00:00"/>
    <s v="USD"/>
    <n v="93593.63"/>
    <d v="2024-12-20T00:00:00"/>
    <s v="PAID"/>
    <s v="Y"/>
    <n v="84.27"/>
    <n v="93593.63"/>
    <n v="83.99"/>
    <n v="7860928.9836999997"/>
    <n v="0"/>
    <n v="0"/>
    <n v="17"/>
    <x v="0"/>
  </r>
  <r>
    <x v="1960"/>
    <s v="C0225"/>
    <x v="2"/>
    <d v="2024-10-04T00:00:00"/>
    <d v="2024-11-18T00:00:00"/>
    <s v="USD"/>
    <n v="43154.82"/>
    <d v="2024-11-22T00:00:00"/>
    <s v="PARTIALLY PAID"/>
    <s v="Y"/>
    <n v="84.2"/>
    <n v="24965.79"/>
    <n v="83.99"/>
    <n v="3624573.3317999998"/>
    <n v="1527696.6296999997"/>
    <n v="133"/>
    <n v="4"/>
    <x v="1"/>
  </r>
  <r>
    <x v="1961"/>
    <s v="C0006"/>
    <x v="1"/>
    <d v="2024-10-05T00:00:00"/>
    <d v="2024-11-04T00:00:00"/>
    <s v="EUR"/>
    <n v="40058.410000000003"/>
    <d v="2024-11-10T00:00:00"/>
    <s v="PAID"/>
    <s v="N"/>
    <m/>
    <n v="40058.410000000003"/>
    <n v="92.061400000000006"/>
    <n v="3687833.3063740004"/>
    <n v="0"/>
    <n v="0"/>
    <n v="6"/>
    <x v="0"/>
  </r>
  <r>
    <x v="1962"/>
    <s v="C0007"/>
    <x v="4"/>
    <d v="2024-10-05T00:00:00"/>
    <d v="2024-11-04T00:00:00"/>
    <s v="USD"/>
    <n v="180878.04"/>
    <d v="2024-12-10T00:00:00"/>
    <s v="PAID"/>
    <s v="N"/>
    <m/>
    <n v="180878.04"/>
    <n v="83.99"/>
    <n v="15191946.579599999"/>
    <n v="0"/>
    <n v="0"/>
    <n v="36"/>
    <x v="0"/>
  </r>
  <r>
    <x v="1963"/>
    <s v="C0010"/>
    <x v="1"/>
    <d v="2024-10-05T00:00:00"/>
    <d v="2024-12-04T00:00:00"/>
    <s v="USD"/>
    <n v="107647.53"/>
    <d v="2024-12-16T00:00:00"/>
    <s v="PAID"/>
    <s v="N"/>
    <m/>
    <n v="107647.53"/>
    <n v="83.99"/>
    <n v="9041316.0446999986"/>
    <n v="0"/>
    <n v="0"/>
    <n v="12"/>
    <x v="0"/>
  </r>
  <r>
    <x v="1964"/>
    <s v="C0018"/>
    <x v="0"/>
    <d v="2024-10-05T00:00:00"/>
    <d v="2024-11-04T00:00:00"/>
    <s v="INR"/>
    <n v="1846444"/>
    <d v="2024-11-10T00:00:00"/>
    <s v="PAID"/>
    <s v="N"/>
    <m/>
    <n v="1846444"/>
    <n v="1"/>
    <n v="1846444"/>
    <n v="0"/>
    <n v="0"/>
    <n v="6"/>
    <x v="0"/>
  </r>
  <r>
    <x v="1965"/>
    <s v="C0060"/>
    <x v="0"/>
    <d v="2024-10-05T00:00:00"/>
    <d v="2024-11-19T00:00:00"/>
    <s v="INR"/>
    <n v="10853114"/>
    <d v="2024-11-24T00:00:00"/>
    <s v="PAID"/>
    <s v="N"/>
    <m/>
    <n v="10853114"/>
    <n v="1"/>
    <n v="10853114"/>
    <n v="0"/>
    <n v="0"/>
    <n v="5"/>
    <x v="0"/>
  </r>
  <r>
    <x v="1966"/>
    <s v="C0073"/>
    <x v="1"/>
    <d v="2024-10-05T00:00:00"/>
    <d v="2024-11-04T00:00:00"/>
    <s v="USD"/>
    <n v="113889"/>
    <d v="2024-12-26T00:00:00"/>
    <s v="PAID"/>
    <s v="Y"/>
    <n v="84.13"/>
    <n v="113889"/>
    <n v="83.99"/>
    <n v="9565537.1099999994"/>
    <n v="0"/>
    <n v="0"/>
    <n v="52"/>
    <x v="0"/>
  </r>
  <r>
    <x v="1967"/>
    <s v="C0078"/>
    <x v="0"/>
    <d v="2024-10-05T00:00:00"/>
    <d v="2024-11-19T00:00:00"/>
    <s v="INR"/>
    <n v="19542704"/>
    <d v="2024-11-21T00:00:00"/>
    <s v="PAID"/>
    <s v="N"/>
    <m/>
    <n v="19542704"/>
    <n v="1"/>
    <n v="19542704"/>
    <n v="0"/>
    <n v="0"/>
    <n v="2"/>
    <x v="0"/>
  </r>
  <r>
    <x v="1968"/>
    <s v="C0143"/>
    <x v="0"/>
    <d v="2024-10-05T00:00:00"/>
    <d v="2024-11-04T00:00:00"/>
    <s v="INR"/>
    <n v="3155107"/>
    <d v="2024-12-04T00:00:00"/>
    <s v="PAID"/>
    <s v="N"/>
    <m/>
    <n v="3155107"/>
    <n v="1"/>
    <n v="3155107"/>
    <n v="0"/>
    <n v="0"/>
    <n v="30"/>
    <x v="0"/>
  </r>
  <r>
    <x v="1969"/>
    <s v="C0156"/>
    <x v="0"/>
    <d v="2024-10-05T00:00:00"/>
    <d v="2024-11-19T00:00:00"/>
    <s v="USD"/>
    <n v="49580.91"/>
    <d v="2024-11-29T00:00:00"/>
    <s v="PAID"/>
    <s v="N"/>
    <m/>
    <n v="49580.91"/>
    <n v="83.99"/>
    <n v="4164300.6309000002"/>
    <n v="0"/>
    <n v="0"/>
    <n v="10"/>
    <x v="0"/>
  </r>
  <r>
    <x v="1970"/>
    <s v="C0170"/>
    <x v="2"/>
    <d v="2024-10-05T00:00:00"/>
    <d v="2024-12-04T00:00:00"/>
    <s v="INR"/>
    <n v="3692536"/>
    <d v="2025-01-05T00:00:00"/>
    <s v="PAID"/>
    <s v="N"/>
    <m/>
    <n v="3692536"/>
    <n v="1"/>
    <n v="3692536"/>
    <n v="0"/>
    <n v="0"/>
    <n v="32"/>
    <x v="0"/>
  </r>
  <r>
    <x v="1971"/>
    <s v="C0180"/>
    <x v="0"/>
    <d v="2024-10-05T00:00:00"/>
    <d v="2024-11-19T00:00:00"/>
    <s v="USD"/>
    <n v="58066.86"/>
    <m/>
    <s v="OPEN"/>
    <s v="Y"/>
    <n v="84.2"/>
    <n v="0"/>
    <n v="83.99"/>
    <n v="4877035.5713999998"/>
    <n v="4877035.5713999998"/>
    <n v="132"/>
    <s v=""/>
    <x v="1"/>
  </r>
  <r>
    <x v="1972"/>
    <s v="C0228"/>
    <x v="0"/>
    <d v="2024-10-05T00:00:00"/>
    <d v="2024-11-19T00:00:00"/>
    <s v="INR"/>
    <n v="24216094"/>
    <d v="2024-11-26T00:00:00"/>
    <s v="PAID"/>
    <s v="N"/>
    <m/>
    <n v="24216094"/>
    <n v="1"/>
    <n v="24216094"/>
    <n v="0"/>
    <n v="0"/>
    <n v="7"/>
    <x v="0"/>
  </r>
  <r>
    <x v="1973"/>
    <s v="C0244"/>
    <x v="3"/>
    <d v="2024-10-05T00:00:00"/>
    <d v="2024-12-04T00:00:00"/>
    <s v="INR"/>
    <n v="10641833"/>
    <d v="2024-12-24T00:00:00"/>
    <s v="PAID"/>
    <s v="N"/>
    <m/>
    <n v="10641833"/>
    <n v="1"/>
    <n v="10641833"/>
    <n v="0"/>
    <n v="0"/>
    <n v="20"/>
    <x v="0"/>
  </r>
  <r>
    <x v="1974"/>
    <s v="C0055"/>
    <x v="1"/>
    <d v="2024-10-07T00:00:00"/>
    <d v="2024-11-21T00:00:00"/>
    <s v="INR"/>
    <n v="4583964"/>
    <d v="2024-11-24T00:00:00"/>
    <s v="PAID"/>
    <s v="N"/>
    <m/>
    <n v="4583964"/>
    <n v="1"/>
    <n v="4583964"/>
    <n v="0"/>
    <n v="0"/>
    <n v="3"/>
    <x v="0"/>
  </r>
  <r>
    <x v="1975"/>
    <s v="C0104"/>
    <x v="4"/>
    <d v="2024-10-07T00:00:00"/>
    <d v="2024-11-06T00:00:00"/>
    <s v="INR"/>
    <n v="1579409"/>
    <d v="2024-11-20T00:00:00"/>
    <s v="PAID"/>
    <s v="N"/>
    <m/>
    <n v="1579409"/>
    <n v="1"/>
    <n v="1579409"/>
    <n v="0"/>
    <n v="0"/>
    <n v="14"/>
    <x v="0"/>
  </r>
  <r>
    <x v="1976"/>
    <s v="C0131"/>
    <x v="4"/>
    <d v="2024-10-07T00:00:00"/>
    <d v="2025-01-05T00:00:00"/>
    <s v="INR"/>
    <n v="5602737"/>
    <d v="2025-01-12T00:00:00"/>
    <s v="PAID"/>
    <s v="N"/>
    <m/>
    <n v="5602737"/>
    <n v="1"/>
    <n v="5602737"/>
    <n v="0"/>
    <n v="0"/>
    <n v="7"/>
    <x v="0"/>
  </r>
  <r>
    <x v="1977"/>
    <s v="C0173"/>
    <x v="4"/>
    <d v="2024-10-07T00:00:00"/>
    <d v="2024-12-06T00:00:00"/>
    <s v="EUR"/>
    <n v="113946.38"/>
    <d v="2024-12-08T00:00:00"/>
    <s v="PAID"/>
    <s v="Y"/>
    <n v="92.338800000000006"/>
    <n v="113946.38"/>
    <n v="92.154499999999999"/>
    <n v="10500671.67571"/>
    <n v="0"/>
    <n v="0"/>
    <n v="2"/>
    <x v="0"/>
  </r>
  <r>
    <x v="1978"/>
    <s v="C0180"/>
    <x v="1"/>
    <d v="2024-10-07T00:00:00"/>
    <d v="2024-11-21T00:00:00"/>
    <s v="USD"/>
    <n v="233241.23"/>
    <m/>
    <s v="OPEN"/>
    <s v="N"/>
    <m/>
    <n v="0"/>
    <n v="83.96"/>
    <n v="19582933.6708"/>
    <n v="19582933.6708"/>
    <n v="130"/>
    <s v=""/>
    <x v="1"/>
  </r>
  <r>
    <x v="1979"/>
    <s v="C0228"/>
    <x v="0"/>
    <d v="2024-10-07T00:00:00"/>
    <d v="2024-11-21T00:00:00"/>
    <s v="INR"/>
    <n v="6854082"/>
    <d v="2024-12-06T00:00:00"/>
    <s v="PAID"/>
    <s v="N"/>
    <m/>
    <n v="6854082"/>
    <n v="1"/>
    <n v="6854082"/>
    <n v="0"/>
    <n v="0"/>
    <n v="15"/>
    <x v="0"/>
  </r>
  <r>
    <x v="1980"/>
    <s v="C0057"/>
    <x v="3"/>
    <d v="2024-10-08T00:00:00"/>
    <d v="2024-11-07T00:00:00"/>
    <s v="INR"/>
    <n v="47978695"/>
    <d v="2024-10-30T00:00:00"/>
    <s v="PAID"/>
    <s v="N"/>
    <m/>
    <n v="47978695"/>
    <n v="1"/>
    <n v="47978695"/>
    <n v="0"/>
    <n v="0"/>
    <n v="-8"/>
    <x v="0"/>
  </r>
  <r>
    <x v="1981"/>
    <s v="C0079"/>
    <x v="3"/>
    <d v="2024-10-08T00:00:00"/>
    <d v="2025-01-06T00:00:00"/>
    <s v="USD"/>
    <n v="55774.51"/>
    <d v="2025-01-25T00:00:00"/>
    <s v="PAID"/>
    <s v="Y"/>
    <n v="84.369699999999995"/>
    <n v="55774.51"/>
    <n v="83.95"/>
    <n v="4682270.1145000001"/>
    <n v="0"/>
    <n v="0"/>
    <n v="19"/>
    <x v="0"/>
  </r>
  <r>
    <x v="1982"/>
    <s v="C0123"/>
    <x v="1"/>
    <d v="2024-10-08T00:00:00"/>
    <d v="2024-12-07T00:00:00"/>
    <s v="USD"/>
    <n v="56995.87"/>
    <d v="2025-02-16T00:00:00"/>
    <s v="PAID"/>
    <s v="N"/>
    <m/>
    <n v="56995.87"/>
    <n v="83.95"/>
    <n v="4784803.2865000004"/>
    <n v="0"/>
    <n v="0"/>
    <n v="71"/>
    <x v="0"/>
  </r>
  <r>
    <x v="1983"/>
    <s v="C0133"/>
    <x v="1"/>
    <d v="2024-10-08T00:00:00"/>
    <d v="2025-01-06T00:00:00"/>
    <s v="USD"/>
    <n v="186810.66"/>
    <d v="2025-01-12T00:00:00"/>
    <s v="PAID"/>
    <s v="N"/>
    <m/>
    <n v="186810.66"/>
    <n v="83.95"/>
    <n v="15682754.907000002"/>
    <n v="0"/>
    <n v="0"/>
    <n v="6"/>
    <x v="0"/>
  </r>
  <r>
    <x v="1984"/>
    <s v="C0164"/>
    <x v="3"/>
    <d v="2024-10-08T00:00:00"/>
    <d v="2024-12-07T00:00:00"/>
    <s v="USD"/>
    <n v="16588.509999999998"/>
    <d v="2024-12-21T00:00:00"/>
    <s v="PAID"/>
    <s v="Y"/>
    <n v="84.229799999999997"/>
    <n v="16588.509999999998"/>
    <n v="83.95"/>
    <n v="1392605.4145"/>
    <n v="0"/>
    <n v="0"/>
    <n v="14"/>
    <x v="0"/>
  </r>
  <r>
    <x v="1985"/>
    <s v="C0023"/>
    <x v="1"/>
    <d v="2024-10-09T00:00:00"/>
    <d v="2024-11-23T00:00:00"/>
    <s v="INR"/>
    <n v="4518719"/>
    <d v="2024-12-13T00:00:00"/>
    <s v="PARTIALLY PAID"/>
    <s v="N"/>
    <m/>
    <n v="2028881"/>
    <n v="1"/>
    <n v="4518719"/>
    <n v="2489838"/>
    <n v="128"/>
    <n v="20"/>
    <x v="1"/>
  </r>
  <r>
    <x v="1986"/>
    <s v="C0090"/>
    <x v="2"/>
    <d v="2024-10-09T00:00:00"/>
    <d v="2025-01-07T00:00:00"/>
    <s v="EUR"/>
    <n v="123706.81"/>
    <d v="2025-02-16T00:00:00"/>
    <s v="PAID"/>
    <s v="N"/>
    <m/>
    <n v="123706.81"/>
    <n v="91.911699999999996"/>
    <n v="11370103.208676999"/>
    <n v="0"/>
    <n v="0"/>
    <n v="40"/>
    <x v="0"/>
  </r>
  <r>
    <x v="1987"/>
    <s v="C0162"/>
    <x v="1"/>
    <d v="2024-10-09T00:00:00"/>
    <d v="2024-11-08T00:00:00"/>
    <s v="INR"/>
    <n v="20605210"/>
    <d v="2024-11-21T00:00:00"/>
    <s v="PAID"/>
    <s v="N"/>
    <m/>
    <n v="20605210"/>
    <n v="1"/>
    <n v="20605210"/>
    <n v="0"/>
    <n v="0"/>
    <n v="13"/>
    <x v="0"/>
  </r>
  <r>
    <x v="1988"/>
    <s v="C0198"/>
    <x v="3"/>
    <d v="2024-10-09T00:00:00"/>
    <d v="2024-11-23T00:00:00"/>
    <s v="USD"/>
    <n v="76065.240000000005"/>
    <d v="2025-01-07T00:00:00"/>
    <s v="PAID"/>
    <s v="N"/>
    <m/>
    <n v="76065.240000000005"/>
    <n v="83.93"/>
    <n v="6384155.5932000009"/>
    <n v="0"/>
    <n v="0"/>
    <n v="45"/>
    <x v="0"/>
  </r>
  <r>
    <x v="1989"/>
    <s v="C0211"/>
    <x v="3"/>
    <d v="2024-10-10T00:00:00"/>
    <d v="2024-11-24T00:00:00"/>
    <s v="INR"/>
    <n v="23065209"/>
    <d v="2024-11-30T00:00:00"/>
    <s v="PAID"/>
    <s v="N"/>
    <m/>
    <n v="23065209"/>
    <n v="1"/>
    <n v="23065209"/>
    <n v="0"/>
    <n v="0"/>
    <n v="6"/>
    <x v="0"/>
  </r>
  <r>
    <x v="1990"/>
    <s v="C0214"/>
    <x v="0"/>
    <d v="2024-10-10T00:00:00"/>
    <d v="2024-11-09T00:00:00"/>
    <s v="INR"/>
    <n v="5090956"/>
    <d v="2024-11-10T00:00:00"/>
    <s v="PAID"/>
    <s v="N"/>
    <m/>
    <n v="5090956"/>
    <n v="1"/>
    <n v="5090956"/>
    <n v="0"/>
    <n v="0"/>
    <n v="1"/>
    <x v="0"/>
  </r>
  <r>
    <x v="1991"/>
    <s v="C0003"/>
    <x v="0"/>
    <d v="2024-10-11T00:00:00"/>
    <d v="2024-11-25T00:00:00"/>
    <s v="INR"/>
    <n v="6197116"/>
    <d v="2024-12-28T00:00:00"/>
    <s v="PAID"/>
    <s v="N"/>
    <m/>
    <n v="6197116"/>
    <n v="1"/>
    <n v="6197116"/>
    <n v="0"/>
    <n v="0"/>
    <n v="33"/>
    <x v="0"/>
  </r>
  <r>
    <x v="1992"/>
    <s v="C0065"/>
    <x v="1"/>
    <d v="2024-10-11T00:00:00"/>
    <d v="2024-11-10T00:00:00"/>
    <s v="INR"/>
    <n v="8154934"/>
    <d v="2024-11-01T00:00:00"/>
    <s v="PAID"/>
    <s v="N"/>
    <m/>
    <n v="8154934"/>
    <n v="1"/>
    <n v="8154934"/>
    <n v="0"/>
    <n v="0"/>
    <n v="-9"/>
    <x v="0"/>
  </r>
  <r>
    <x v="1993"/>
    <s v="C0073"/>
    <x v="1"/>
    <d v="2024-10-11T00:00:00"/>
    <d v="2024-11-10T00:00:00"/>
    <s v="USD"/>
    <n v="136175.17000000001"/>
    <d v="2024-12-07T00:00:00"/>
    <s v="PAID"/>
    <s v="N"/>
    <m/>
    <n v="136175.17000000001"/>
    <n v="84.08"/>
    <n v="11449608.2936"/>
    <n v="0"/>
    <n v="0"/>
    <n v="27"/>
    <x v="0"/>
  </r>
  <r>
    <x v="1994"/>
    <s v="C0073"/>
    <x v="1"/>
    <d v="2024-10-11T00:00:00"/>
    <d v="2024-11-10T00:00:00"/>
    <s v="USD"/>
    <n v="123239.32"/>
    <d v="2024-11-28T00:00:00"/>
    <s v="PARTIALLY PAID"/>
    <s v="N"/>
    <m/>
    <n v="63181.54"/>
    <n v="84.08"/>
    <n v="10361962.025600001"/>
    <n v="5049658.1424000002"/>
    <n v="141"/>
    <n v="18"/>
    <x v="1"/>
  </r>
  <r>
    <x v="1995"/>
    <s v="C0123"/>
    <x v="1"/>
    <d v="2024-10-11T00:00:00"/>
    <d v="2024-12-10T00:00:00"/>
    <s v="USD"/>
    <n v="254429.53"/>
    <d v="2025-01-14T00:00:00"/>
    <s v="PAID"/>
    <s v="N"/>
    <m/>
    <n v="254429.53"/>
    <n v="84.08"/>
    <n v="21392434.882399999"/>
    <n v="0"/>
    <n v="0"/>
    <n v="35"/>
    <x v="0"/>
  </r>
  <r>
    <x v="1996"/>
    <s v="C0177"/>
    <x v="4"/>
    <d v="2024-10-11T00:00:00"/>
    <d v="2024-12-10T00:00:00"/>
    <s v="EUR"/>
    <n v="26648.06"/>
    <d v="2024-12-11T00:00:00"/>
    <s v="PAID"/>
    <s v="N"/>
    <m/>
    <n v="26648.06"/>
    <n v="92.000299999999996"/>
    <n v="2451629.5144179999"/>
    <n v="0"/>
    <n v="0"/>
    <n v="1"/>
    <x v="0"/>
  </r>
  <r>
    <x v="1997"/>
    <s v="C0178"/>
    <x v="4"/>
    <d v="2024-10-11T00:00:00"/>
    <d v="2024-12-10T00:00:00"/>
    <s v="INR"/>
    <n v="4357484"/>
    <d v="2025-01-01T00:00:00"/>
    <s v="PAID"/>
    <s v="N"/>
    <m/>
    <n v="4357484"/>
    <n v="1"/>
    <n v="4357484"/>
    <n v="0"/>
    <n v="0"/>
    <n v="22"/>
    <x v="0"/>
  </r>
  <r>
    <x v="1998"/>
    <s v="C0057"/>
    <x v="3"/>
    <d v="2024-10-12T00:00:00"/>
    <d v="2024-11-11T00:00:00"/>
    <s v="INR"/>
    <n v="14791999"/>
    <d v="2024-11-05T00:00:00"/>
    <s v="PAID"/>
    <s v="N"/>
    <m/>
    <n v="14791999"/>
    <n v="1"/>
    <n v="14791999"/>
    <n v="0"/>
    <n v="0"/>
    <n v="-6"/>
    <x v="0"/>
  </r>
  <r>
    <x v="1999"/>
    <s v="C0212"/>
    <x v="2"/>
    <d v="2024-10-12T00:00:00"/>
    <d v="2025-01-10T00:00:00"/>
    <s v="INR"/>
    <n v="19992076"/>
    <d v="2025-01-06T00:00:00"/>
    <s v="PAID"/>
    <s v="N"/>
    <m/>
    <n v="19992076"/>
    <n v="1"/>
    <n v="19992076"/>
    <n v="0"/>
    <n v="0"/>
    <n v="-4"/>
    <x v="0"/>
  </r>
  <r>
    <x v="2000"/>
    <s v="C0020"/>
    <x v="3"/>
    <d v="2024-10-14T00:00:00"/>
    <d v="2025-01-12T00:00:00"/>
    <s v="USD"/>
    <n v="42756.67"/>
    <m/>
    <s v="OPEN"/>
    <s v="Y"/>
    <n v="84.500399999999999"/>
    <n v="0"/>
    <n v="84.08"/>
    <n v="3594980.8136"/>
    <n v="3594980.8136"/>
    <n v="78"/>
    <s v=""/>
    <x v="2"/>
  </r>
  <r>
    <x v="2001"/>
    <s v="C0169"/>
    <x v="3"/>
    <d v="2024-10-14T00:00:00"/>
    <d v="2024-11-28T00:00:00"/>
    <s v="EUR"/>
    <n v="78172.070000000007"/>
    <d v="2024-12-04T00:00:00"/>
    <s v="PAID"/>
    <s v="Y"/>
    <n v="92.138300000000001"/>
    <n v="78172.070000000007"/>
    <n v="92.000299999999996"/>
    <n v="7191853.8916210001"/>
    <n v="0"/>
    <n v="0"/>
    <n v="6"/>
    <x v="0"/>
  </r>
  <r>
    <x v="2002"/>
    <s v="C0060"/>
    <x v="0"/>
    <d v="2024-10-15T00:00:00"/>
    <d v="2024-11-29T00:00:00"/>
    <s v="INR"/>
    <n v="7055035"/>
    <d v="2024-11-24T00:00:00"/>
    <s v="PAID"/>
    <s v="N"/>
    <m/>
    <n v="7055035"/>
    <n v="1"/>
    <n v="7055035"/>
    <n v="0"/>
    <n v="0"/>
    <n v="-5"/>
    <x v="0"/>
  </r>
  <r>
    <x v="2003"/>
    <s v="C0073"/>
    <x v="1"/>
    <d v="2024-10-15T00:00:00"/>
    <d v="2024-11-14T00:00:00"/>
    <s v="USD"/>
    <n v="80851.759999999995"/>
    <d v="2024-11-25T00:00:00"/>
    <s v="PAID"/>
    <s v="N"/>
    <m/>
    <n v="80851.759999999995"/>
    <n v="84.04"/>
    <n v="6794781.9104000004"/>
    <n v="0"/>
    <n v="0"/>
    <n v="11"/>
    <x v="0"/>
  </r>
  <r>
    <x v="2004"/>
    <s v="C0100"/>
    <x v="4"/>
    <d v="2024-10-15T00:00:00"/>
    <d v="2024-12-14T00:00:00"/>
    <s v="USD"/>
    <n v="52911.94"/>
    <d v="2024-12-24T00:00:00"/>
    <s v="PAID"/>
    <s v="N"/>
    <m/>
    <n v="52911.94"/>
    <n v="84.04"/>
    <n v="4446719.4376000008"/>
    <n v="0"/>
    <n v="0"/>
    <n v="10"/>
    <x v="0"/>
  </r>
  <r>
    <x v="2005"/>
    <s v="C0173"/>
    <x v="4"/>
    <d v="2024-10-15T00:00:00"/>
    <d v="2024-12-14T00:00:00"/>
    <s v="EUR"/>
    <n v="321265.94"/>
    <d v="2024-12-28T00:00:00"/>
    <s v="PAID"/>
    <s v="N"/>
    <m/>
    <n v="321265.94"/>
    <n v="91.595200000000006"/>
    <n v="29426418.027488001"/>
    <n v="0"/>
    <n v="0"/>
    <n v="14"/>
    <x v="0"/>
  </r>
  <r>
    <x v="2006"/>
    <s v="C0221"/>
    <x v="1"/>
    <d v="2024-10-15T00:00:00"/>
    <d v="2024-12-14T00:00:00"/>
    <s v="INR"/>
    <n v="3121672"/>
    <d v="2025-02-08T00:00:00"/>
    <s v="PAID"/>
    <s v="N"/>
    <m/>
    <n v="3121672"/>
    <n v="1"/>
    <n v="3121672"/>
    <n v="0"/>
    <n v="0"/>
    <n v="56"/>
    <x v="0"/>
  </r>
  <r>
    <x v="2007"/>
    <s v="C0222"/>
    <x v="2"/>
    <d v="2024-10-15T00:00:00"/>
    <d v="2024-12-14T00:00:00"/>
    <s v="EUR"/>
    <n v="219328.9"/>
    <d v="2025-01-28T00:00:00"/>
    <s v="PAID"/>
    <s v="N"/>
    <m/>
    <n v="219328.9"/>
    <n v="91.595200000000006"/>
    <n v="20089474.461279999"/>
    <n v="0"/>
    <n v="0"/>
    <n v="45"/>
    <x v="0"/>
  </r>
  <r>
    <x v="2008"/>
    <s v="C0006"/>
    <x v="3"/>
    <d v="2024-10-16T00:00:00"/>
    <d v="2024-11-15T00:00:00"/>
    <s v="EUR"/>
    <n v="45818.21"/>
    <d v="2024-11-17T00:00:00"/>
    <s v="PAID"/>
    <s v="Y"/>
    <n v="91.435400000000001"/>
    <n v="45818.21"/>
    <n v="91.344099999999997"/>
    <n v="4185223.1560609997"/>
    <n v="0"/>
    <n v="0"/>
    <n v="2"/>
    <x v="0"/>
  </r>
  <r>
    <x v="2009"/>
    <s v="C0020"/>
    <x v="3"/>
    <d v="2024-10-16T00:00:00"/>
    <d v="2025-01-14T00:00:00"/>
    <s v="USD"/>
    <n v="33500.78"/>
    <d v="2025-02-14T00:00:00"/>
    <s v="PAID"/>
    <s v="Y"/>
    <n v="84.43"/>
    <n v="33500.78"/>
    <n v="84.01"/>
    <n v="2814400.5278000003"/>
    <n v="0"/>
    <n v="0"/>
    <n v="31"/>
    <x v="0"/>
  </r>
  <r>
    <x v="2010"/>
    <s v="C0057"/>
    <x v="3"/>
    <d v="2024-10-16T00:00:00"/>
    <d v="2024-11-15T00:00:00"/>
    <s v="INR"/>
    <n v="10656040"/>
    <d v="2024-11-16T00:00:00"/>
    <s v="PAID"/>
    <s v="N"/>
    <m/>
    <n v="10656040"/>
    <n v="1"/>
    <n v="10656040"/>
    <n v="0"/>
    <n v="0"/>
    <n v="1"/>
    <x v="0"/>
  </r>
  <r>
    <x v="2011"/>
    <s v="C0058"/>
    <x v="3"/>
    <d v="2024-10-16T00:00:00"/>
    <d v="2024-11-15T00:00:00"/>
    <s v="INR"/>
    <n v="12446887"/>
    <d v="2024-11-20T00:00:00"/>
    <s v="PAID"/>
    <s v="N"/>
    <m/>
    <n v="12446887"/>
    <n v="1"/>
    <n v="12446887"/>
    <n v="0"/>
    <n v="0"/>
    <n v="5"/>
    <x v="0"/>
  </r>
  <r>
    <x v="2012"/>
    <s v="C0072"/>
    <x v="4"/>
    <d v="2024-10-16T00:00:00"/>
    <d v="2025-01-14T00:00:00"/>
    <s v="EUR"/>
    <n v="13481.39"/>
    <d v="2025-02-03T00:00:00"/>
    <s v="PAID"/>
    <s v="Y"/>
    <n v="91.618099999999998"/>
    <n v="13481.39"/>
    <n v="91.344099999999997"/>
    <n v="1231445.4362989999"/>
    <n v="0"/>
    <n v="0"/>
    <n v="20"/>
    <x v="0"/>
  </r>
  <r>
    <x v="2013"/>
    <s v="C0198"/>
    <x v="3"/>
    <d v="2024-10-16T00:00:00"/>
    <d v="2024-11-30T00:00:00"/>
    <s v="USD"/>
    <n v="84848.23"/>
    <d v="2024-12-30T00:00:00"/>
    <s v="PAID"/>
    <s v="N"/>
    <m/>
    <n v="84848.23"/>
    <n v="84.01"/>
    <n v="7128099.8022999996"/>
    <n v="0"/>
    <n v="0"/>
    <n v="30"/>
    <x v="0"/>
  </r>
  <r>
    <x v="2014"/>
    <s v="C0065"/>
    <x v="4"/>
    <d v="2024-10-17T00:00:00"/>
    <d v="2024-11-16T00:00:00"/>
    <s v="INR"/>
    <n v="9160618"/>
    <d v="2024-11-08T00:00:00"/>
    <s v="PARTIALLY PAID"/>
    <s v="N"/>
    <m/>
    <n v="6741506.1600000001"/>
    <n v="1"/>
    <n v="9160618"/>
    <n v="2419111.84"/>
    <n v="135"/>
    <n v="-8"/>
    <x v="1"/>
  </r>
  <r>
    <x v="2015"/>
    <s v="C0182"/>
    <x v="0"/>
    <d v="2024-10-17T00:00:00"/>
    <d v="2024-12-16T00:00:00"/>
    <s v="INR"/>
    <n v="6467274"/>
    <d v="2024-12-23T00:00:00"/>
    <s v="PAID"/>
    <s v="N"/>
    <m/>
    <n v="6467274"/>
    <n v="1"/>
    <n v="6467274"/>
    <n v="0"/>
    <n v="0"/>
    <n v="7"/>
    <x v="0"/>
  </r>
  <r>
    <x v="2016"/>
    <s v="C0111"/>
    <x v="3"/>
    <d v="2024-10-18T00:00:00"/>
    <d v="2025-01-16T00:00:00"/>
    <s v="EUR"/>
    <n v="253436.76"/>
    <d v="2025-02-13T00:00:00"/>
    <s v="PAID"/>
    <s v="N"/>
    <m/>
    <n v="253436.76"/>
    <n v="91.206199999999995"/>
    <n v="23115003.819912001"/>
    <n v="0"/>
    <n v="0"/>
    <n v="28"/>
    <x v="0"/>
  </r>
  <r>
    <x v="2017"/>
    <s v="C0171"/>
    <x v="3"/>
    <d v="2024-10-18T00:00:00"/>
    <d v="2025-01-16T00:00:00"/>
    <s v="USD"/>
    <n v="323217.62"/>
    <d v="2025-01-28T00:00:00"/>
    <s v="PAID"/>
    <s v="Y"/>
    <n v="84.450100000000006"/>
    <n v="323217.62"/>
    <n v="84.03"/>
    <n v="27159976.608600002"/>
    <n v="0"/>
    <n v="0"/>
    <n v="12"/>
    <x v="0"/>
  </r>
  <r>
    <x v="2018"/>
    <s v="C0202"/>
    <x v="4"/>
    <d v="2024-10-18T00:00:00"/>
    <d v="2024-12-02T00:00:00"/>
    <s v="USD"/>
    <n v="186501.27"/>
    <d v="2024-12-15T00:00:00"/>
    <s v="PAID"/>
    <s v="N"/>
    <m/>
    <n v="186501.27"/>
    <n v="84.03"/>
    <n v="15671701.7181"/>
    <n v="0"/>
    <n v="0"/>
    <n v="13"/>
    <x v="0"/>
  </r>
  <r>
    <x v="2019"/>
    <s v="C0020"/>
    <x v="3"/>
    <d v="2024-10-19T00:00:00"/>
    <d v="2025-01-17T00:00:00"/>
    <s v="USD"/>
    <n v="108451.73"/>
    <m/>
    <s v="OPEN"/>
    <s v="N"/>
    <m/>
    <n v="0"/>
    <n v="84.03"/>
    <n v="9113198.8718999997"/>
    <n v="9113198.8718999997"/>
    <n v="73"/>
    <s v=""/>
    <x v="2"/>
  </r>
  <r>
    <x v="2020"/>
    <s v="C0022"/>
    <x v="4"/>
    <d v="2024-10-19T00:00:00"/>
    <d v="2024-11-18T00:00:00"/>
    <s v="INR"/>
    <n v="3624627"/>
    <d v="2024-11-20T00:00:00"/>
    <s v="PAID"/>
    <s v="N"/>
    <m/>
    <n v="3624627"/>
    <n v="1"/>
    <n v="3624627"/>
    <n v="0"/>
    <n v="0"/>
    <n v="2"/>
    <x v="0"/>
  </r>
  <r>
    <x v="2021"/>
    <s v="C0039"/>
    <x v="0"/>
    <d v="2024-10-19T00:00:00"/>
    <d v="2024-12-18T00:00:00"/>
    <s v="INR"/>
    <n v="1974220"/>
    <d v="2024-12-24T00:00:00"/>
    <s v="PAID"/>
    <s v="N"/>
    <m/>
    <n v="1974220"/>
    <n v="1"/>
    <n v="1974220"/>
    <n v="0"/>
    <n v="0"/>
    <n v="6"/>
    <x v="0"/>
  </r>
  <r>
    <x v="2022"/>
    <s v="C0121"/>
    <x v="0"/>
    <d v="2024-10-19T00:00:00"/>
    <d v="2024-12-18T00:00:00"/>
    <s v="INR"/>
    <n v="13122655"/>
    <d v="2024-12-18T00:00:00"/>
    <s v="PAID"/>
    <s v="N"/>
    <m/>
    <n v="13122655"/>
    <n v="1"/>
    <n v="13122655"/>
    <n v="0"/>
    <n v="0"/>
    <n v="0"/>
    <x v="0"/>
  </r>
  <r>
    <x v="2023"/>
    <s v="C0164"/>
    <x v="3"/>
    <d v="2024-10-19T00:00:00"/>
    <d v="2024-12-18T00:00:00"/>
    <s v="USD"/>
    <n v="32928.300000000003"/>
    <d v="2025-01-07T00:00:00"/>
    <s v="PAID"/>
    <s v="Y"/>
    <n v="84.310100000000006"/>
    <n v="32928.300000000003"/>
    <n v="84.03"/>
    <n v="2766965.0490000001"/>
    <n v="0"/>
    <n v="0"/>
    <n v="20"/>
    <x v="0"/>
  </r>
  <r>
    <x v="2024"/>
    <s v="C0198"/>
    <x v="3"/>
    <d v="2024-10-19T00:00:00"/>
    <d v="2024-12-03T00:00:00"/>
    <s v="USD"/>
    <n v="48977.9"/>
    <d v="2024-12-25T00:00:00"/>
    <s v="PAID"/>
    <s v="N"/>
    <m/>
    <n v="48977.9"/>
    <n v="84.03"/>
    <n v="4115612.9370000004"/>
    <n v="0"/>
    <n v="0"/>
    <n v="22"/>
    <x v="0"/>
  </r>
  <r>
    <x v="2025"/>
    <s v="C0207"/>
    <x v="4"/>
    <d v="2024-10-19T00:00:00"/>
    <d v="2024-12-18T00:00:00"/>
    <s v="INR"/>
    <n v="9421390"/>
    <d v="2024-12-16T00:00:00"/>
    <s v="PAID"/>
    <s v="N"/>
    <m/>
    <n v="9421390"/>
    <n v="1"/>
    <n v="9421390"/>
    <n v="0"/>
    <n v="0"/>
    <n v="-2"/>
    <x v="0"/>
  </r>
  <r>
    <x v="2026"/>
    <s v="C0213"/>
    <x v="2"/>
    <d v="2024-10-19T00:00:00"/>
    <d v="2024-12-18T00:00:00"/>
    <s v="EUR"/>
    <n v="156994.45000000001"/>
    <d v="2024-12-26T00:00:00"/>
    <s v="PAID"/>
    <s v="Y"/>
    <n v="91.388599999999997"/>
    <n v="156994.45000000001"/>
    <n v="91.206199999999995"/>
    <n v="14318867.20559"/>
    <n v="0"/>
    <n v="0"/>
    <n v="8"/>
    <x v="0"/>
  </r>
  <r>
    <x v="2027"/>
    <s v="C0225"/>
    <x v="2"/>
    <d v="2024-10-19T00:00:00"/>
    <d v="2024-12-03T00:00:00"/>
    <s v="USD"/>
    <n v="46080.88"/>
    <d v="2024-12-08T00:00:00"/>
    <s v="PAID"/>
    <s v="N"/>
    <m/>
    <n v="46080.88"/>
    <n v="84.03"/>
    <n v="3872176.3463999997"/>
    <n v="0"/>
    <n v="0"/>
    <n v="5"/>
    <x v="0"/>
  </r>
  <r>
    <x v="2028"/>
    <s v="C0081"/>
    <x v="0"/>
    <d v="2024-10-21T00:00:00"/>
    <d v="2024-11-20T00:00:00"/>
    <s v="INR"/>
    <n v="1433173"/>
    <d v="2024-12-22T00:00:00"/>
    <s v="PAID"/>
    <s v="N"/>
    <m/>
    <n v="1433173"/>
    <n v="1"/>
    <n v="1433173"/>
    <n v="0"/>
    <n v="0"/>
    <n v="32"/>
    <x v="0"/>
  </r>
  <r>
    <x v="2029"/>
    <s v="C0173"/>
    <x v="4"/>
    <d v="2024-10-21T00:00:00"/>
    <d v="2024-12-20T00:00:00"/>
    <s v="EUR"/>
    <n v="21105.58"/>
    <d v="2025-01-01T00:00:00"/>
    <s v="PAID"/>
    <s v="Y"/>
    <n v="91.145600000000002"/>
    <n v="21105.58"/>
    <n v="90.963700000000003"/>
    <n v="1919841.6474460003"/>
    <n v="0"/>
    <n v="0"/>
    <n v="12"/>
    <x v="0"/>
  </r>
  <r>
    <x v="2030"/>
    <s v="C0177"/>
    <x v="4"/>
    <d v="2024-10-21T00:00:00"/>
    <d v="2024-12-20T00:00:00"/>
    <s v="EUR"/>
    <n v="264747.88"/>
    <d v="2024-12-29T00:00:00"/>
    <s v="PAID"/>
    <s v="N"/>
    <m/>
    <n v="264747.88"/>
    <n v="90.963700000000003"/>
    <n v="24082446.731956001"/>
    <n v="0"/>
    <n v="0"/>
    <n v="9"/>
    <x v="0"/>
  </r>
  <r>
    <x v="2031"/>
    <s v="C0198"/>
    <x v="3"/>
    <d v="2024-10-21T00:00:00"/>
    <d v="2024-12-05T00:00:00"/>
    <s v="USD"/>
    <n v="143862.85"/>
    <d v="2024-12-17T00:00:00"/>
    <s v="PAID"/>
    <s v="Y"/>
    <n v="84.280199999999994"/>
    <n v="143862.85"/>
    <n v="84.07"/>
    <n v="12094549.7995"/>
    <n v="0"/>
    <n v="0"/>
    <n v="12"/>
    <x v="0"/>
  </r>
  <r>
    <x v="2032"/>
    <s v="C0246"/>
    <x v="4"/>
    <d v="2024-10-21T00:00:00"/>
    <d v="2024-12-20T00:00:00"/>
    <s v="USD"/>
    <n v="93282.41"/>
    <d v="2025-01-02T00:00:00"/>
    <s v="PAID"/>
    <s v="Y"/>
    <n v="84.350200000000001"/>
    <n v="93282.41"/>
    <n v="84.07"/>
    <n v="7842252.2086999994"/>
    <n v="0"/>
    <n v="0"/>
    <n v="13"/>
    <x v="0"/>
  </r>
  <r>
    <x v="2033"/>
    <s v="C0059"/>
    <x v="3"/>
    <d v="2024-10-22T00:00:00"/>
    <d v="2024-11-21T00:00:00"/>
    <s v="INR"/>
    <n v="3279577"/>
    <d v="2024-11-25T00:00:00"/>
    <s v="PAID"/>
    <s v="N"/>
    <m/>
    <n v="3279577"/>
    <n v="1"/>
    <n v="3279577"/>
    <n v="0"/>
    <n v="0"/>
    <n v="4"/>
    <x v="0"/>
  </r>
  <r>
    <x v="2034"/>
    <s v="C0141"/>
    <x v="1"/>
    <d v="2024-10-22T00:00:00"/>
    <d v="2024-12-21T00:00:00"/>
    <s v="INR"/>
    <n v="6183008"/>
    <m/>
    <s v="OPEN"/>
    <s v="N"/>
    <m/>
    <n v="0"/>
    <n v="1"/>
    <n v="6183008"/>
    <n v="6183008"/>
    <n v="100"/>
    <s v=""/>
    <x v="1"/>
  </r>
  <r>
    <x v="2035"/>
    <s v="C0219"/>
    <x v="2"/>
    <d v="2024-10-22T00:00:00"/>
    <d v="2024-11-21T00:00:00"/>
    <s v="INR"/>
    <n v="3149429"/>
    <d v="2024-11-29T00:00:00"/>
    <s v="PAID"/>
    <s v="N"/>
    <m/>
    <n v="3149429"/>
    <n v="1"/>
    <n v="3149429"/>
    <n v="0"/>
    <n v="0"/>
    <n v="8"/>
    <x v="0"/>
  </r>
  <r>
    <x v="2036"/>
    <s v="C0221"/>
    <x v="1"/>
    <d v="2024-10-22T00:00:00"/>
    <d v="2024-12-21T00:00:00"/>
    <s v="INR"/>
    <n v="5382879"/>
    <d v="2024-12-26T00:00:00"/>
    <s v="PAID"/>
    <s v="N"/>
    <m/>
    <n v="5382879"/>
    <n v="1"/>
    <n v="5382879"/>
    <n v="0"/>
    <n v="0"/>
    <n v="5"/>
    <x v="0"/>
  </r>
  <r>
    <x v="2037"/>
    <s v="C0238"/>
    <x v="2"/>
    <d v="2024-10-22T00:00:00"/>
    <d v="2024-12-21T00:00:00"/>
    <s v="INR"/>
    <n v="4544410"/>
    <d v="2024-12-24T00:00:00"/>
    <s v="PAID"/>
    <s v="N"/>
    <m/>
    <n v="4544410"/>
    <n v="1"/>
    <n v="4544410"/>
    <n v="0"/>
    <n v="0"/>
    <n v="3"/>
    <x v="0"/>
  </r>
  <r>
    <x v="2038"/>
    <s v="C0072"/>
    <x v="4"/>
    <d v="2024-10-23T00:00:00"/>
    <d v="2025-01-21T00:00:00"/>
    <s v="EUR"/>
    <n v="687193.98"/>
    <d v="2025-01-31T00:00:00"/>
    <s v="PAID"/>
    <s v="Y"/>
    <n v="90.880099999999999"/>
    <n v="687193.98"/>
    <n v="90.6083"/>
    <n v="62265478.298033997"/>
    <n v="0"/>
    <n v="0"/>
    <n v="10"/>
    <x v="0"/>
  </r>
  <r>
    <x v="2039"/>
    <s v="C0098"/>
    <x v="1"/>
    <d v="2024-10-23T00:00:00"/>
    <d v="2025-01-21T00:00:00"/>
    <s v="INR"/>
    <n v="4237338"/>
    <d v="2025-02-05T00:00:00"/>
    <s v="PARTIALLY PAID"/>
    <s v="N"/>
    <m/>
    <n v="2906134.79"/>
    <n v="1"/>
    <n v="4237338"/>
    <n v="1331203.21"/>
    <n v="69"/>
    <n v="15"/>
    <x v="2"/>
  </r>
  <r>
    <x v="2040"/>
    <s v="C0118"/>
    <x v="1"/>
    <d v="2024-10-23T00:00:00"/>
    <d v="2024-12-22T00:00:00"/>
    <s v="INR"/>
    <n v="5262178"/>
    <d v="2025-01-11T00:00:00"/>
    <s v="PAID"/>
    <s v="N"/>
    <m/>
    <n v="5262178"/>
    <n v="1"/>
    <n v="5262178"/>
    <n v="0"/>
    <n v="0"/>
    <n v="20"/>
    <x v="0"/>
  </r>
  <r>
    <x v="2041"/>
    <s v="C0190"/>
    <x v="4"/>
    <d v="2024-10-23T00:00:00"/>
    <d v="2024-11-22T00:00:00"/>
    <s v="INR"/>
    <n v="7385160"/>
    <d v="2024-11-16T00:00:00"/>
    <s v="PAID"/>
    <s v="N"/>
    <m/>
    <n v="7385160"/>
    <n v="1"/>
    <n v="7385160"/>
    <n v="0"/>
    <n v="0"/>
    <n v="-6"/>
    <x v="0"/>
  </r>
  <r>
    <x v="2042"/>
    <s v="C0228"/>
    <x v="3"/>
    <d v="2024-10-23T00:00:00"/>
    <d v="2024-12-07T00:00:00"/>
    <s v="INR"/>
    <n v="11974778"/>
    <d v="2024-12-07T00:00:00"/>
    <s v="PAID"/>
    <s v="N"/>
    <m/>
    <n v="11974778"/>
    <n v="1"/>
    <n v="11974778"/>
    <n v="0"/>
    <n v="0"/>
    <n v="0"/>
    <x v="0"/>
  </r>
  <r>
    <x v="2043"/>
    <s v="C0079"/>
    <x v="3"/>
    <d v="2024-10-24T00:00:00"/>
    <d v="2025-01-22T00:00:00"/>
    <s v="USD"/>
    <n v="132878.74"/>
    <d v="2025-01-30T00:00:00"/>
    <s v="PAID"/>
    <s v="Y"/>
    <n v="84.470200000000006"/>
    <n v="132878.74"/>
    <n v="84.05"/>
    <n v="11168458.096999999"/>
    <n v="0"/>
    <n v="0"/>
    <n v="8"/>
    <x v="0"/>
  </r>
  <r>
    <x v="2044"/>
    <s v="C0111"/>
    <x v="3"/>
    <d v="2024-10-24T00:00:00"/>
    <d v="2025-01-22T00:00:00"/>
    <s v="EUR"/>
    <n v="87142.12"/>
    <d v="2025-03-04T00:00:00"/>
    <s v="PAID"/>
    <s v="Y"/>
    <n v="91.096900000000005"/>
    <n v="87142.12"/>
    <n v="90.824399999999997"/>
    <n v="7914630.7637279993"/>
    <n v="0"/>
    <n v="0"/>
    <n v="41"/>
    <x v="0"/>
  </r>
  <r>
    <x v="2045"/>
    <s v="C0141"/>
    <x v="1"/>
    <d v="2024-10-24T00:00:00"/>
    <d v="2024-12-23T00:00:00"/>
    <s v="INR"/>
    <n v="22654692"/>
    <d v="2024-12-28T00:00:00"/>
    <s v="PAID"/>
    <s v="N"/>
    <m/>
    <n v="22654692"/>
    <n v="1"/>
    <n v="22654692"/>
    <n v="0"/>
    <n v="0"/>
    <n v="5"/>
    <x v="0"/>
  </r>
  <r>
    <x v="2046"/>
    <s v="C0141"/>
    <x v="3"/>
    <d v="2024-10-24T00:00:00"/>
    <d v="2024-12-23T00:00:00"/>
    <s v="INR"/>
    <n v="5789671"/>
    <d v="2024-12-26T00:00:00"/>
    <s v="PAID"/>
    <s v="N"/>
    <m/>
    <n v="5789671"/>
    <n v="1"/>
    <n v="5789671"/>
    <n v="0"/>
    <n v="0"/>
    <n v="3"/>
    <x v="0"/>
  </r>
  <r>
    <x v="2047"/>
    <s v="C0054"/>
    <x v="4"/>
    <d v="2024-10-25T00:00:00"/>
    <d v="2024-12-24T00:00:00"/>
    <s v="EUR"/>
    <n v="100963.49"/>
    <d v="2025-01-03T00:00:00"/>
    <s v="PAID"/>
    <s v="N"/>
    <m/>
    <n v="100963.49"/>
    <n v="90.894099999999995"/>
    <n v="9176985.5564089995"/>
    <n v="0"/>
    <n v="0"/>
    <n v="10"/>
    <x v="0"/>
  </r>
  <r>
    <x v="2048"/>
    <s v="C0089"/>
    <x v="3"/>
    <d v="2024-10-25T00:00:00"/>
    <d v="2025-01-23T00:00:00"/>
    <s v="USD"/>
    <n v="147133.32"/>
    <d v="2025-01-29T00:00:00"/>
    <s v="PAID"/>
    <s v="Y"/>
    <n v="84.4803"/>
    <n v="147133.32"/>
    <n v="84.06"/>
    <n v="12368026.8792"/>
    <n v="0"/>
    <n v="0"/>
    <n v="6"/>
    <x v="0"/>
  </r>
  <r>
    <x v="2049"/>
    <s v="C0101"/>
    <x v="4"/>
    <d v="2024-10-25T00:00:00"/>
    <d v="2024-12-24T00:00:00"/>
    <s v="USD"/>
    <n v="27689.68"/>
    <d v="2025-01-14T00:00:00"/>
    <s v="PAID"/>
    <s v="Y"/>
    <n v="84.340199999999996"/>
    <n v="27689.68"/>
    <n v="84.06"/>
    <n v="2327594.5008"/>
    <n v="0"/>
    <n v="0"/>
    <n v="21"/>
    <x v="0"/>
  </r>
  <r>
    <x v="2050"/>
    <s v="C0004"/>
    <x v="0"/>
    <d v="2024-10-26T00:00:00"/>
    <d v="2024-12-10T00:00:00"/>
    <s v="INR"/>
    <n v="3601308"/>
    <d v="2024-12-21T00:00:00"/>
    <s v="PAID"/>
    <s v="N"/>
    <m/>
    <n v="3601308"/>
    <n v="1"/>
    <n v="3601308"/>
    <n v="0"/>
    <n v="0"/>
    <n v="11"/>
    <x v="0"/>
  </r>
  <r>
    <x v="2051"/>
    <s v="C0005"/>
    <x v="2"/>
    <d v="2024-10-26T00:00:00"/>
    <d v="2024-11-25T00:00:00"/>
    <s v="INR"/>
    <n v="16778393"/>
    <d v="2024-12-17T00:00:00"/>
    <s v="PAID"/>
    <s v="N"/>
    <m/>
    <n v="16778393"/>
    <n v="1"/>
    <n v="16778393"/>
    <n v="0"/>
    <n v="0"/>
    <n v="22"/>
    <x v="0"/>
  </r>
  <r>
    <x v="2052"/>
    <s v="C0039"/>
    <x v="0"/>
    <d v="2024-10-26T00:00:00"/>
    <d v="2024-12-25T00:00:00"/>
    <s v="INR"/>
    <n v="4065814"/>
    <d v="2024-12-30T00:00:00"/>
    <s v="PAID"/>
    <s v="N"/>
    <m/>
    <n v="4065814"/>
    <n v="1"/>
    <n v="4065814"/>
    <n v="0"/>
    <n v="0"/>
    <n v="5"/>
    <x v="0"/>
  </r>
  <r>
    <x v="2053"/>
    <s v="C0050"/>
    <x v="0"/>
    <d v="2024-10-26T00:00:00"/>
    <d v="2024-12-25T00:00:00"/>
    <s v="INR"/>
    <n v="28840760"/>
    <d v="2024-12-24T00:00:00"/>
    <s v="PAID"/>
    <s v="N"/>
    <m/>
    <n v="28840760"/>
    <n v="1"/>
    <n v="28840760"/>
    <n v="0"/>
    <n v="0"/>
    <n v="-1"/>
    <x v="0"/>
  </r>
  <r>
    <x v="2054"/>
    <s v="C0059"/>
    <x v="3"/>
    <d v="2024-10-26T00:00:00"/>
    <d v="2024-11-25T00:00:00"/>
    <s v="INR"/>
    <n v="4852458"/>
    <d v="2024-10-06T00:00:00"/>
    <s v="PAID"/>
    <s v="N"/>
    <m/>
    <n v="4852458"/>
    <n v="1"/>
    <n v="4852458"/>
    <n v="0"/>
    <n v="0"/>
    <m/>
    <x v="0"/>
  </r>
  <r>
    <x v="2055"/>
    <s v="C0075"/>
    <x v="1"/>
    <d v="2024-10-26T00:00:00"/>
    <d v="2024-11-25T00:00:00"/>
    <s v="INR"/>
    <n v="10903471"/>
    <d v="2024-12-13T00:00:00"/>
    <s v="PAID"/>
    <s v="N"/>
    <m/>
    <n v="10903471"/>
    <n v="1"/>
    <n v="10903471"/>
    <n v="0"/>
    <n v="0"/>
    <n v="18"/>
    <x v="0"/>
  </r>
  <r>
    <x v="2056"/>
    <s v="C0081"/>
    <x v="0"/>
    <d v="2024-10-26T00:00:00"/>
    <d v="2024-11-25T00:00:00"/>
    <s v="INR"/>
    <n v="2490688"/>
    <d v="2024-12-10T00:00:00"/>
    <s v="PAID"/>
    <s v="N"/>
    <m/>
    <n v="2490688"/>
    <n v="1"/>
    <n v="2490688"/>
    <n v="0"/>
    <n v="0"/>
    <n v="15"/>
    <x v="0"/>
  </r>
  <r>
    <x v="2057"/>
    <s v="C0211"/>
    <x v="3"/>
    <d v="2024-10-26T00:00:00"/>
    <d v="2024-12-10T00:00:00"/>
    <s v="INR"/>
    <n v="6589031"/>
    <d v="2024-12-31T00:00:00"/>
    <s v="PAID"/>
    <s v="N"/>
    <m/>
    <n v="6589031"/>
    <n v="1"/>
    <n v="6589031"/>
    <n v="0"/>
    <n v="0"/>
    <n v="21"/>
    <x v="0"/>
  </r>
  <r>
    <x v="2058"/>
    <s v="C0228"/>
    <x v="3"/>
    <d v="2024-10-26T00:00:00"/>
    <d v="2024-12-10T00:00:00"/>
    <s v="INR"/>
    <n v="10270184"/>
    <d v="2024-12-25T00:00:00"/>
    <s v="PAID"/>
    <s v="N"/>
    <m/>
    <n v="10270184"/>
    <n v="1"/>
    <n v="10270184"/>
    <n v="0"/>
    <n v="0"/>
    <n v="15"/>
    <x v="0"/>
  </r>
  <r>
    <x v="2059"/>
    <s v="C0236"/>
    <x v="1"/>
    <d v="2024-10-26T00:00:00"/>
    <d v="2024-12-25T00:00:00"/>
    <s v="EUR"/>
    <n v="108966.2"/>
    <m/>
    <s v="OPEN"/>
    <s v="Y"/>
    <n v="91.075900000000004"/>
    <n v="0"/>
    <n v="90.894099999999995"/>
    <n v="9904384.6794199999"/>
    <n v="9904384.6794199999"/>
    <n v="96"/>
    <s v=""/>
    <x v="1"/>
  </r>
  <r>
    <x v="2060"/>
    <s v="C0057"/>
    <x v="3"/>
    <d v="2024-10-28T00:00:00"/>
    <d v="2024-11-27T00:00:00"/>
    <s v="INR"/>
    <n v="12947690"/>
    <d v="2024-12-06T00:00:00"/>
    <s v="PAID"/>
    <s v="N"/>
    <m/>
    <n v="12947690"/>
    <n v="1"/>
    <n v="12947690"/>
    <n v="0"/>
    <n v="0"/>
    <n v="9"/>
    <x v="0"/>
  </r>
  <r>
    <x v="2061"/>
    <s v="C0063"/>
    <x v="2"/>
    <d v="2024-10-28T00:00:00"/>
    <d v="2024-12-27T00:00:00"/>
    <s v="INR"/>
    <n v="6910635"/>
    <d v="2024-12-21T00:00:00"/>
    <s v="PAID"/>
    <s v="N"/>
    <m/>
    <n v="6910635"/>
    <n v="1"/>
    <n v="6910635"/>
    <n v="0"/>
    <n v="0"/>
    <n v="-6"/>
    <x v="0"/>
  </r>
  <r>
    <x v="2062"/>
    <s v="C0096"/>
    <x v="3"/>
    <d v="2024-10-28T00:00:00"/>
    <d v="2024-12-27T00:00:00"/>
    <s v="USD"/>
    <n v="132618.94"/>
    <d v="2025-01-20T00:00:00"/>
    <s v="PAID"/>
    <s v="Y"/>
    <n v="84.330200000000005"/>
    <n v="132618.94"/>
    <n v="84.05"/>
    <n v="11146621.907"/>
    <n v="0"/>
    <n v="0"/>
    <n v="24"/>
    <x v="0"/>
  </r>
  <r>
    <x v="2063"/>
    <s v="C0177"/>
    <x v="4"/>
    <d v="2024-10-28T00:00:00"/>
    <d v="2024-12-27T00:00:00"/>
    <s v="EUR"/>
    <n v="76950.33"/>
    <d v="2025-01-01T00:00:00"/>
    <s v="PAID"/>
    <s v="Y"/>
    <n v="91.115600000000001"/>
    <n v="76950.33"/>
    <n v="90.933700000000002"/>
    <n v="6997378.2231210005"/>
    <n v="0"/>
    <n v="0"/>
    <n v="5"/>
    <x v="0"/>
  </r>
  <r>
    <x v="2064"/>
    <s v="C0228"/>
    <x v="0"/>
    <d v="2024-10-28T00:00:00"/>
    <d v="2024-12-12T00:00:00"/>
    <s v="INR"/>
    <n v="18350466"/>
    <d v="2024-12-17T00:00:00"/>
    <s v="PAID"/>
    <s v="N"/>
    <m/>
    <n v="18350466"/>
    <n v="1"/>
    <n v="18350466"/>
    <n v="0"/>
    <n v="0"/>
    <n v="5"/>
    <x v="0"/>
  </r>
  <r>
    <x v="2065"/>
    <s v="C0177"/>
    <x v="4"/>
    <d v="2024-10-29T00:00:00"/>
    <d v="2024-12-28T00:00:00"/>
    <s v="EUR"/>
    <n v="60953.52"/>
    <d v="2025-01-03T00:00:00"/>
    <s v="PAID"/>
    <s v="Y"/>
    <n v="90.927899999999994"/>
    <n v="60953.52"/>
    <n v="90.746399999999994"/>
    <n v="5531312.507327999"/>
    <n v="0"/>
    <n v="0"/>
    <n v="6"/>
    <x v="0"/>
  </r>
  <r>
    <x v="2066"/>
    <s v="C0233"/>
    <x v="2"/>
    <d v="2024-10-29T00:00:00"/>
    <d v="2024-12-28T00:00:00"/>
    <s v="INR"/>
    <n v="2034926"/>
    <d v="2025-01-11T00:00:00"/>
    <s v="PAID"/>
    <s v="N"/>
    <m/>
    <n v="2034926"/>
    <n v="1"/>
    <n v="2034926"/>
    <n v="0"/>
    <n v="0"/>
    <n v="14"/>
    <x v="0"/>
  </r>
  <r>
    <x v="2067"/>
    <s v="C0019"/>
    <x v="0"/>
    <d v="2024-10-30T00:00:00"/>
    <d v="2025-01-28T00:00:00"/>
    <s v="EUR"/>
    <n v="18911.23"/>
    <d v="2025-02-14T00:00:00"/>
    <s v="PAID"/>
    <s v="N"/>
    <m/>
    <n v="18911.23"/>
    <n v="91.333600000000004"/>
    <n v="1727230.716328"/>
    <n v="0"/>
    <n v="0"/>
    <n v="17"/>
    <x v="0"/>
  </r>
  <r>
    <x v="2068"/>
    <s v="C0055"/>
    <x v="1"/>
    <d v="2024-10-30T00:00:00"/>
    <d v="2024-12-14T00:00:00"/>
    <s v="INR"/>
    <n v="2287046"/>
    <d v="2024-12-16T00:00:00"/>
    <s v="PAID"/>
    <s v="N"/>
    <m/>
    <n v="2287046"/>
    <n v="1"/>
    <n v="2287046"/>
    <n v="0"/>
    <n v="0"/>
    <n v="2"/>
    <x v="0"/>
  </r>
  <r>
    <x v="2069"/>
    <s v="C0111"/>
    <x v="3"/>
    <d v="2024-10-30T00:00:00"/>
    <d v="2025-01-28T00:00:00"/>
    <s v="EUR"/>
    <n v="59256.97"/>
    <d v="2025-03-21T00:00:00"/>
    <s v="PAID"/>
    <s v="Y"/>
    <n v="91.607600000000005"/>
    <n v="59256.97"/>
    <n v="91.333600000000004"/>
    <n v="5412152.3951920001"/>
    <n v="0"/>
    <n v="0"/>
    <n v="52"/>
    <x v="0"/>
  </r>
  <r>
    <x v="2070"/>
    <s v="C0193"/>
    <x v="3"/>
    <d v="2024-10-30T00:00:00"/>
    <d v="2024-12-14T00:00:00"/>
    <s v="EUR"/>
    <n v="122947.82"/>
    <d v="2024-12-25T00:00:00"/>
    <s v="PAID"/>
    <s v="Y"/>
    <n v="91.470600000000005"/>
    <n v="122947.82"/>
    <n v="91.333600000000004"/>
    <n v="11229267.012752"/>
    <n v="0"/>
    <n v="0"/>
    <n v="11"/>
    <x v="0"/>
  </r>
  <r>
    <x v="2071"/>
    <s v="C0142"/>
    <x v="4"/>
    <d v="2024-10-31T00:00:00"/>
    <d v="2024-12-30T00:00:00"/>
    <s v="EUR"/>
    <n v="23805.29"/>
    <d v="2025-01-27T00:00:00"/>
    <s v="PAID"/>
    <s v="Y"/>
    <n v="91.429599999999994"/>
    <n v="23805.29"/>
    <n v="91.247100000000003"/>
    <n v="2172163.6771590002"/>
    <n v="0"/>
    <n v="0"/>
    <n v="28"/>
    <x v="0"/>
  </r>
  <r>
    <x v="2072"/>
    <s v="C0100"/>
    <x v="4"/>
    <d v="2024-11-01T00:00:00"/>
    <d v="2024-12-31T00:00:00"/>
    <s v="USD"/>
    <n v="96668.28"/>
    <d v="2025-01-05T00:00:00"/>
    <s v="PAID"/>
    <s v="N"/>
    <m/>
    <n v="96668.28"/>
    <n v="84.03"/>
    <n v="8123035.5684000002"/>
    <n v="0"/>
    <n v="0"/>
    <n v="5"/>
    <x v="0"/>
  </r>
  <r>
    <x v="2073"/>
    <s v="C0111"/>
    <x v="3"/>
    <d v="2024-11-01T00:00:00"/>
    <d v="2025-01-30T00:00:00"/>
    <s v="EUR"/>
    <n v="66363.210000000006"/>
    <d v="2025-03-03T00:00:00"/>
    <s v="PAID"/>
    <s v="Y"/>
    <n v="91.429199999999994"/>
    <n v="66363.210000000006"/>
    <n v="91.155699999999996"/>
    <n v="6049384.8617970003"/>
    <n v="0"/>
    <n v="0"/>
    <n v="32"/>
    <x v="0"/>
  </r>
  <r>
    <x v="2074"/>
    <s v="C0207"/>
    <x v="4"/>
    <d v="2024-11-01T00:00:00"/>
    <d v="2024-12-31T00:00:00"/>
    <s v="INR"/>
    <n v="4879572"/>
    <d v="2025-01-06T00:00:00"/>
    <s v="PAID"/>
    <s v="N"/>
    <m/>
    <n v="4879572"/>
    <n v="1"/>
    <n v="4879572"/>
    <n v="0"/>
    <n v="0"/>
    <n v="6"/>
    <x v="0"/>
  </r>
  <r>
    <x v="2075"/>
    <s v="C0234"/>
    <x v="0"/>
    <d v="2024-11-01T00:00:00"/>
    <d v="2024-12-31T00:00:00"/>
    <s v="INR"/>
    <n v="7132706"/>
    <d v="2025-01-14T00:00:00"/>
    <s v="PAID"/>
    <s v="N"/>
    <m/>
    <n v="7132706"/>
    <n v="1"/>
    <n v="7132706"/>
    <n v="0"/>
    <n v="0"/>
    <n v="14"/>
    <x v="0"/>
  </r>
  <r>
    <x v="2076"/>
    <s v="C0238"/>
    <x v="2"/>
    <d v="2024-11-01T00:00:00"/>
    <d v="2024-12-31T00:00:00"/>
    <s v="INR"/>
    <n v="6948907"/>
    <d v="2025-01-02T00:00:00"/>
    <s v="PAID"/>
    <s v="N"/>
    <m/>
    <n v="6948907"/>
    <n v="1"/>
    <n v="6948907"/>
    <n v="0"/>
    <n v="0"/>
    <n v="2"/>
    <x v="0"/>
  </r>
  <r>
    <x v="2077"/>
    <s v="C0007"/>
    <x v="3"/>
    <d v="2024-11-02T00:00:00"/>
    <d v="2024-12-02T00:00:00"/>
    <s v="USD"/>
    <n v="225004.75"/>
    <d v="2024-12-14T00:00:00"/>
    <s v="PAID"/>
    <s v="Y"/>
    <n v="84.170100000000005"/>
    <n v="225004.75"/>
    <n v="84.03"/>
    <n v="18907149.142500002"/>
    <n v="0"/>
    <n v="0"/>
    <n v="12"/>
    <x v="0"/>
  </r>
  <r>
    <x v="2078"/>
    <s v="C0029"/>
    <x v="1"/>
    <d v="2024-11-02T00:00:00"/>
    <d v="2025-01-31T00:00:00"/>
    <s v="INR"/>
    <n v="8864905"/>
    <d v="2025-02-08T00:00:00"/>
    <s v="PAID"/>
    <s v="N"/>
    <m/>
    <n v="8864905"/>
    <n v="1"/>
    <n v="8864905"/>
    <n v="0"/>
    <n v="0"/>
    <n v="8"/>
    <x v="0"/>
  </r>
  <r>
    <x v="2079"/>
    <s v="C0040"/>
    <x v="2"/>
    <d v="2024-11-02T00:00:00"/>
    <d v="2024-12-02T00:00:00"/>
    <s v="EUR"/>
    <n v="66077.960000000006"/>
    <d v="2024-12-10T00:00:00"/>
    <s v="PAID"/>
    <s v="Y"/>
    <n v="91.246899999999997"/>
    <n v="66077.960000000006"/>
    <n v="91.155699999999996"/>
    <n v="6023382.6983719999"/>
    <n v="0"/>
    <n v="0"/>
    <n v="8"/>
    <x v="0"/>
  </r>
  <r>
    <x v="2080"/>
    <s v="C0043"/>
    <x v="1"/>
    <d v="2024-11-02T00:00:00"/>
    <d v="2024-12-17T00:00:00"/>
    <s v="INR"/>
    <n v="3947092"/>
    <d v="2025-01-08T00:00:00"/>
    <s v="PAID"/>
    <s v="N"/>
    <m/>
    <n v="3947092"/>
    <n v="1"/>
    <n v="3947092"/>
    <n v="0"/>
    <n v="0"/>
    <n v="22"/>
    <x v="0"/>
  </r>
  <r>
    <x v="2081"/>
    <s v="C0054"/>
    <x v="4"/>
    <d v="2024-11-02T00:00:00"/>
    <d v="2025-01-01T00:00:00"/>
    <s v="EUR"/>
    <n v="230437.12"/>
    <d v="2025-01-16T00:00:00"/>
    <s v="PAID"/>
    <s v="N"/>
    <m/>
    <n v="230437.12"/>
    <n v="91.155699999999996"/>
    <n v="21005656.979583997"/>
    <n v="0"/>
    <n v="0"/>
    <n v="15"/>
    <x v="0"/>
  </r>
  <r>
    <x v="2082"/>
    <s v="C0059"/>
    <x v="3"/>
    <d v="2024-11-02T00:00:00"/>
    <d v="2024-12-02T00:00:00"/>
    <s v="INR"/>
    <n v="4172145"/>
    <d v="2024-12-04T00:00:00"/>
    <s v="PAID"/>
    <s v="N"/>
    <m/>
    <n v="4172145"/>
    <n v="1"/>
    <n v="4172145"/>
    <n v="0"/>
    <n v="0"/>
    <n v="2"/>
    <x v="0"/>
  </r>
  <r>
    <x v="2083"/>
    <s v="C0074"/>
    <x v="0"/>
    <d v="2024-11-02T00:00:00"/>
    <d v="2024-12-02T00:00:00"/>
    <s v="INR"/>
    <n v="4716450"/>
    <d v="2024-12-07T00:00:00"/>
    <s v="PARTIALLY PAID"/>
    <s v="N"/>
    <m/>
    <n v="3469862.11"/>
    <n v="1"/>
    <n v="4716450"/>
    <n v="1246587.8900000001"/>
    <n v="119"/>
    <n v="5"/>
    <x v="1"/>
  </r>
  <r>
    <x v="2084"/>
    <s v="C0146"/>
    <x v="3"/>
    <d v="2024-11-02T00:00:00"/>
    <d v="2025-01-01T00:00:00"/>
    <s v="USD"/>
    <n v="74776.81"/>
    <d v="2024-12-29T00:00:00"/>
    <s v="PAID"/>
    <s v="N"/>
    <m/>
    <n v="74776.81"/>
    <n v="84.03"/>
    <n v="6283495.3443"/>
    <n v="0"/>
    <n v="0"/>
    <n v="-3"/>
    <x v="0"/>
  </r>
  <r>
    <x v="2085"/>
    <s v="C0161"/>
    <x v="4"/>
    <d v="2024-11-02T00:00:00"/>
    <d v="2025-01-31T00:00:00"/>
    <s v="USD"/>
    <n v="41589.03"/>
    <d v="2025-02-02T00:00:00"/>
    <s v="PAID"/>
    <s v="N"/>
    <m/>
    <n v="41589.03"/>
    <n v="84.03"/>
    <n v="3494726.1908999998"/>
    <n v="0"/>
    <n v="0"/>
    <n v="2"/>
    <x v="0"/>
  </r>
  <r>
    <x v="2086"/>
    <s v="C0202"/>
    <x v="3"/>
    <d v="2024-11-02T00:00:00"/>
    <d v="2024-12-17T00:00:00"/>
    <s v="USD"/>
    <n v="50196.47"/>
    <d v="2025-01-02T00:00:00"/>
    <s v="PAID"/>
    <s v="Y"/>
    <n v="84.240099999999998"/>
    <n v="50196.47"/>
    <n v="84.03"/>
    <n v="4218009.3741000006"/>
    <n v="0"/>
    <n v="0"/>
    <n v="16"/>
    <x v="0"/>
  </r>
  <r>
    <x v="2087"/>
    <s v="C0222"/>
    <x v="2"/>
    <d v="2024-11-02T00:00:00"/>
    <d v="2025-01-01T00:00:00"/>
    <s v="EUR"/>
    <n v="53640.67"/>
    <d v="2025-01-20T00:00:00"/>
    <s v="PAID"/>
    <s v="N"/>
    <m/>
    <n v="53640.67"/>
    <n v="91.155699999999996"/>
    <n v="4889652.822319"/>
    <n v="0"/>
    <n v="0"/>
    <n v="19"/>
    <x v="0"/>
  </r>
  <r>
    <x v="2088"/>
    <s v="C0226"/>
    <x v="3"/>
    <d v="2024-11-02T00:00:00"/>
    <d v="2024-12-17T00:00:00"/>
    <s v="INR"/>
    <n v="8289979"/>
    <d v="2024-12-12T00:00:00"/>
    <s v="PAID"/>
    <s v="N"/>
    <m/>
    <n v="8289979"/>
    <n v="1"/>
    <n v="8289979"/>
    <n v="0"/>
    <n v="0"/>
    <n v="-5"/>
    <x v="0"/>
  </r>
  <r>
    <x v="2089"/>
    <s v="C0039"/>
    <x v="0"/>
    <d v="2024-11-04T00:00:00"/>
    <d v="2025-01-03T00:00:00"/>
    <s v="INR"/>
    <n v="2690778"/>
    <d v="2025-01-12T00:00:00"/>
    <s v="PAID"/>
    <s v="N"/>
    <m/>
    <n v="2690778"/>
    <n v="1"/>
    <n v="2690778"/>
    <n v="0"/>
    <n v="0"/>
    <n v="9"/>
    <x v="0"/>
  </r>
  <r>
    <x v="2090"/>
    <s v="C0060"/>
    <x v="0"/>
    <d v="2024-11-04T00:00:00"/>
    <d v="2024-12-19T00:00:00"/>
    <s v="INR"/>
    <n v="1345159"/>
    <d v="2024-12-17T00:00:00"/>
    <s v="PAID"/>
    <s v="N"/>
    <m/>
    <n v="1345159"/>
    <n v="1"/>
    <n v="1345159"/>
    <n v="0"/>
    <n v="0"/>
    <n v="-2"/>
    <x v="0"/>
  </r>
  <r>
    <x v="2091"/>
    <s v="C0099"/>
    <x v="3"/>
    <d v="2024-11-04T00:00:00"/>
    <d v="2025-01-03T00:00:00"/>
    <s v="EUR"/>
    <n v="38449.760000000002"/>
    <d v="2025-02-04T00:00:00"/>
    <s v="PAID"/>
    <s v="Y"/>
    <n v="91.728399999999993"/>
    <n v="38449.760000000002"/>
    <n v="91.545299999999997"/>
    <n v="3519894.8141280003"/>
    <n v="0"/>
    <n v="0"/>
    <n v="32"/>
    <x v="0"/>
  </r>
  <r>
    <x v="2092"/>
    <s v="C0144"/>
    <x v="2"/>
    <d v="2024-11-04T00:00:00"/>
    <d v="2024-12-19T00:00:00"/>
    <s v="INR"/>
    <n v="10835912"/>
    <d v="2024-12-21T00:00:00"/>
    <s v="PAID"/>
    <s v="N"/>
    <m/>
    <n v="10835912"/>
    <n v="1"/>
    <n v="10835912"/>
    <n v="0"/>
    <n v="0"/>
    <n v="2"/>
    <x v="0"/>
  </r>
  <r>
    <x v="2093"/>
    <s v="C0182"/>
    <x v="0"/>
    <d v="2024-11-04T00:00:00"/>
    <d v="2025-01-03T00:00:00"/>
    <s v="INR"/>
    <n v="3785806"/>
    <d v="2025-01-05T00:00:00"/>
    <s v="PAID"/>
    <s v="N"/>
    <m/>
    <n v="3785806"/>
    <n v="1"/>
    <n v="3785806"/>
    <n v="0"/>
    <n v="0"/>
    <n v="2"/>
    <x v="0"/>
  </r>
  <r>
    <x v="2094"/>
    <s v="C0207"/>
    <x v="4"/>
    <d v="2024-11-04T00:00:00"/>
    <d v="2025-01-03T00:00:00"/>
    <s v="INR"/>
    <n v="15775189"/>
    <d v="2025-01-09T00:00:00"/>
    <s v="PAID"/>
    <s v="N"/>
    <m/>
    <n v="15775189"/>
    <n v="1"/>
    <n v="15775189"/>
    <n v="0"/>
    <n v="0"/>
    <n v="6"/>
    <x v="0"/>
  </r>
  <r>
    <x v="2095"/>
    <s v="C0073"/>
    <x v="1"/>
    <d v="2024-11-05T00:00:00"/>
    <d v="2024-12-05T00:00:00"/>
    <s v="USD"/>
    <n v="49784.12"/>
    <d v="2025-01-12T00:00:00"/>
    <s v="PAID"/>
    <s v="N"/>
    <m/>
    <n v="49784.12"/>
    <n v="84.1"/>
    <n v="4186844.4920000001"/>
    <n v="0"/>
    <n v="0"/>
    <n v="38"/>
    <x v="0"/>
  </r>
  <r>
    <x v="2096"/>
    <s v="C0117"/>
    <x v="0"/>
    <d v="2024-11-05T00:00:00"/>
    <d v="2024-12-20T00:00:00"/>
    <s v="INR"/>
    <n v="735683"/>
    <d v="2024-12-29T00:00:00"/>
    <s v="PAID"/>
    <s v="N"/>
    <m/>
    <n v="735683"/>
    <n v="1"/>
    <n v="735683"/>
    <n v="0"/>
    <n v="0"/>
    <n v="9"/>
    <x v="0"/>
  </r>
  <r>
    <x v="2097"/>
    <s v="C0166"/>
    <x v="4"/>
    <d v="2024-11-05T00:00:00"/>
    <d v="2025-02-03T00:00:00"/>
    <s v="INR"/>
    <n v="9106616"/>
    <d v="2025-02-17T00:00:00"/>
    <s v="PAID"/>
    <s v="N"/>
    <m/>
    <n v="9106616"/>
    <n v="1"/>
    <n v="9106616"/>
    <n v="0"/>
    <n v="0"/>
    <n v="14"/>
    <x v="0"/>
  </r>
  <r>
    <x v="2098"/>
    <s v="C0202"/>
    <x v="3"/>
    <d v="2024-11-05T00:00:00"/>
    <d v="2024-12-20T00:00:00"/>
    <s v="USD"/>
    <n v="55764.65"/>
    <d v="2024-12-25T00:00:00"/>
    <s v="PAID"/>
    <s v="Y"/>
    <n v="84.310199999999995"/>
    <n v="55764.65"/>
    <n v="84.1"/>
    <n v="4689807.0649999995"/>
    <n v="0"/>
    <n v="0"/>
    <n v="5"/>
    <x v="0"/>
  </r>
  <r>
    <x v="2099"/>
    <s v="C0236"/>
    <x v="3"/>
    <d v="2024-11-05T00:00:00"/>
    <d v="2025-01-04T00:00:00"/>
    <s v="EUR"/>
    <n v="254700.88"/>
    <d v="2025-01-27T00:00:00"/>
    <s v="PAID"/>
    <s v="Y"/>
    <n v="92.020899999999997"/>
    <n v="254700.88"/>
    <n v="91.837199999999996"/>
    <n v="23391015.656735998"/>
    <n v="0"/>
    <n v="0"/>
    <n v="23"/>
    <x v="0"/>
  </r>
  <r>
    <x v="2100"/>
    <s v="C0242"/>
    <x v="0"/>
    <d v="2024-11-05T00:00:00"/>
    <d v="2025-01-04T00:00:00"/>
    <s v="EUR"/>
    <n v="16470.64"/>
    <d v="2025-01-04T00:00:00"/>
    <s v="PAID"/>
    <s v="Y"/>
    <n v="92.020899999999997"/>
    <n v="16470.64"/>
    <n v="91.837199999999996"/>
    <n v="1512617.4598079999"/>
    <n v="0"/>
    <n v="0"/>
    <n v="0"/>
    <x v="0"/>
  </r>
  <r>
    <x v="2101"/>
    <s v="C0057"/>
    <x v="3"/>
    <d v="2024-11-06T00:00:00"/>
    <d v="2024-12-06T00:00:00"/>
    <s v="INR"/>
    <n v="21102647"/>
    <d v="2024-12-07T00:00:00"/>
    <s v="PAID"/>
    <s v="N"/>
    <m/>
    <n v="21102647"/>
    <n v="1"/>
    <n v="21102647"/>
    <n v="0"/>
    <n v="0"/>
    <n v="1"/>
    <x v="0"/>
  </r>
  <r>
    <x v="2102"/>
    <s v="C0060"/>
    <x v="1"/>
    <d v="2024-11-06T00:00:00"/>
    <d v="2024-12-21T00:00:00"/>
    <s v="INR"/>
    <n v="6861622"/>
    <d v="2024-12-26T00:00:00"/>
    <s v="PAID"/>
    <s v="N"/>
    <m/>
    <n v="6861622"/>
    <n v="1"/>
    <n v="6861622"/>
    <n v="0"/>
    <n v="0"/>
    <n v="5"/>
    <x v="0"/>
  </r>
  <r>
    <x v="2103"/>
    <s v="C0198"/>
    <x v="3"/>
    <d v="2024-11-06T00:00:00"/>
    <d v="2024-12-21T00:00:00"/>
    <s v="USD"/>
    <n v="299286.34000000003"/>
    <d v="2025-01-20T00:00:00"/>
    <s v="PAID"/>
    <s v="Y"/>
    <n v="84.520799999999994"/>
    <n v="299286.34000000003"/>
    <n v="84.31"/>
    <n v="25232831.325400002"/>
    <n v="0"/>
    <n v="0"/>
    <n v="30"/>
    <x v="0"/>
  </r>
  <r>
    <x v="2104"/>
    <s v="C0207"/>
    <x v="4"/>
    <d v="2024-11-06T00:00:00"/>
    <d v="2025-01-05T00:00:00"/>
    <s v="INR"/>
    <n v="8073251"/>
    <d v="2025-01-03T00:00:00"/>
    <s v="PAID"/>
    <s v="N"/>
    <m/>
    <n v="8073251"/>
    <n v="1"/>
    <n v="8073251"/>
    <n v="0"/>
    <n v="0"/>
    <n v="-2"/>
    <x v="0"/>
  </r>
  <r>
    <x v="2105"/>
    <s v="C0057"/>
    <x v="3"/>
    <d v="2024-11-07T00:00:00"/>
    <d v="2024-12-07T00:00:00"/>
    <s v="INR"/>
    <n v="15857103"/>
    <d v="2024-12-06T00:00:00"/>
    <s v="PAID"/>
    <s v="N"/>
    <m/>
    <n v="15857103"/>
    <n v="1"/>
    <n v="15857103"/>
    <n v="0"/>
    <n v="0"/>
    <n v="-1"/>
    <x v="0"/>
  </r>
  <r>
    <x v="2106"/>
    <s v="C0082"/>
    <x v="4"/>
    <d v="2024-11-07T00:00:00"/>
    <d v="2025-01-06T00:00:00"/>
    <s v="INR"/>
    <n v="26618502"/>
    <d v="2025-01-19T00:00:00"/>
    <s v="PAID"/>
    <s v="N"/>
    <m/>
    <n v="26618502"/>
    <n v="1"/>
    <n v="26618502"/>
    <n v="0"/>
    <n v="0"/>
    <n v="13"/>
    <x v="0"/>
  </r>
  <r>
    <x v="2107"/>
    <s v="C0133"/>
    <x v="1"/>
    <d v="2024-11-07T00:00:00"/>
    <d v="2025-02-05T00:00:00"/>
    <s v="USD"/>
    <n v="546510.92000000004"/>
    <d v="2025-02-24T00:00:00"/>
    <s v="PAID"/>
    <s v="N"/>
    <m/>
    <n v="546510.92000000004"/>
    <n v="84.37"/>
    <n v="46109126.320400007"/>
    <n v="0"/>
    <n v="0"/>
    <n v="19"/>
    <x v="0"/>
  </r>
  <r>
    <x v="2108"/>
    <s v="C0174"/>
    <x v="4"/>
    <d v="2024-11-07T00:00:00"/>
    <d v="2024-12-22T00:00:00"/>
    <s v="EUR"/>
    <n v="48459.78"/>
    <d v="2025-01-06T00:00:00"/>
    <s v="PAID"/>
    <s v="Y"/>
    <n v="91.188699999999997"/>
    <n v="48459.78"/>
    <n v="91.052099999999996"/>
    <n v="4412364.7345380001"/>
    <n v="0"/>
    <n v="0"/>
    <n v="15"/>
    <x v="0"/>
  </r>
  <r>
    <x v="2109"/>
    <s v="C0196"/>
    <x v="2"/>
    <d v="2024-11-07T00:00:00"/>
    <d v="2025-02-05T00:00:00"/>
    <s v="USD"/>
    <n v="35644.11"/>
    <d v="2025-02-10T00:00:00"/>
    <s v="PAID"/>
    <s v="N"/>
    <m/>
    <n v="35644.11"/>
    <n v="84.37"/>
    <n v="3007293.5607000003"/>
    <n v="0"/>
    <n v="0"/>
    <n v="5"/>
    <x v="0"/>
  </r>
  <r>
    <x v="2110"/>
    <s v="C0213"/>
    <x v="2"/>
    <d v="2024-11-07T00:00:00"/>
    <d v="2025-01-06T00:00:00"/>
    <s v="EUR"/>
    <n v="33128.93"/>
    <d v="2025-01-04T00:00:00"/>
    <s v="PAID"/>
    <s v="Y"/>
    <n v="91.234200000000001"/>
    <n v="33128.93"/>
    <n v="91.052099999999996"/>
    <n v="3016458.6472529997"/>
    <n v="0"/>
    <n v="0"/>
    <n v="-2"/>
    <x v="0"/>
  </r>
  <r>
    <x v="2111"/>
    <s v="C0238"/>
    <x v="2"/>
    <d v="2024-11-07T00:00:00"/>
    <d v="2025-01-06T00:00:00"/>
    <s v="INR"/>
    <n v="24048843"/>
    <d v="2025-01-13T00:00:00"/>
    <s v="PAID"/>
    <s v="N"/>
    <m/>
    <n v="24048843"/>
    <n v="1"/>
    <n v="24048843"/>
    <n v="0"/>
    <n v="0"/>
    <n v="7"/>
    <x v="0"/>
  </r>
  <r>
    <x v="2112"/>
    <s v="C0003"/>
    <x v="0"/>
    <d v="2024-11-08T00:00:00"/>
    <d v="2024-12-23T00:00:00"/>
    <s v="INR"/>
    <n v="1131537"/>
    <d v="2025-01-20T00:00:00"/>
    <s v="PAID"/>
    <s v="N"/>
    <m/>
    <n v="1131537"/>
    <n v="1"/>
    <n v="1131537"/>
    <n v="0"/>
    <n v="0"/>
    <n v="28"/>
    <x v="0"/>
  </r>
  <r>
    <x v="2113"/>
    <s v="C0073"/>
    <x v="1"/>
    <d v="2024-11-08T00:00:00"/>
    <d v="2024-12-08T00:00:00"/>
    <s v="USD"/>
    <n v="224538.13"/>
    <d v="2024-12-19T00:00:00"/>
    <s v="PAID"/>
    <s v="N"/>
    <m/>
    <n v="224538.13"/>
    <n v="84.34"/>
    <n v="18937545.884200003"/>
    <n v="0"/>
    <n v="0"/>
    <n v="11"/>
    <x v="0"/>
  </r>
  <r>
    <x v="2114"/>
    <s v="C0114"/>
    <x v="3"/>
    <d v="2024-11-08T00:00:00"/>
    <d v="2025-01-07T00:00:00"/>
    <s v="INR"/>
    <n v="2329434"/>
    <d v="2025-01-29T00:00:00"/>
    <s v="PAID"/>
    <s v="N"/>
    <m/>
    <n v="2329434"/>
    <n v="1"/>
    <n v="2329434"/>
    <n v="0"/>
    <n v="0"/>
    <n v="22"/>
    <x v="0"/>
  </r>
  <r>
    <x v="2115"/>
    <s v="C0138"/>
    <x v="4"/>
    <d v="2024-11-08T00:00:00"/>
    <d v="2024-12-08T00:00:00"/>
    <s v="INR"/>
    <n v="3868896"/>
    <m/>
    <s v="OPEN"/>
    <s v="N"/>
    <m/>
    <n v="0"/>
    <n v="1"/>
    <n v="3868896"/>
    <n v="3868896"/>
    <n v="113"/>
    <s v=""/>
    <x v="1"/>
  </r>
  <r>
    <x v="2116"/>
    <s v="C0038"/>
    <x v="0"/>
    <d v="2024-11-09T00:00:00"/>
    <d v="2025-01-08T00:00:00"/>
    <s v="INR"/>
    <n v="2729964"/>
    <d v="2025-01-14T00:00:00"/>
    <s v="PAID"/>
    <s v="N"/>
    <m/>
    <n v="2729964"/>
    <n v="1"/>
    <n v="2729964"/>
    <n v="0"/>
    <n v="0"/>
    <n v="6"/>
    <x v="0"/>
  </r>
  <r>
    <x v="2117"/>
    <s v="C0049"/>
    <x v="3"/>
    <d v="2024-11-09T00:00:00"/>
    <d v="2024-12-09T00:00:00"/>
    <s v="INR"/>
    <n v="15888212"/>
    <d v="2024-12-09T00:00:00"/>
    <s v="PAID"/>
    <s v="N"/>
    <m/>
    <n v="15888212"/>
    <n v="1"/>
    <n v="15888212"/>
    <n v="0"/>
    <n v="0"/>
    <n v="0"/>
    <x v="0"/>
  </r>
  <r>
    <x v="2118"/>
    <s v="C0049"/>
    <x v="3"/>
    <d v="2024-11-09T00:00:00"/>
    <d v="2024-12-09T00:00:00"/>
    <s v="INR"/>
    <n v="8940717"/>
    <d v="2024-12-03T00:00:00"/>
    <s v="PAID"/>
    <s v="N"/>
    <m/>
    <n v="8940717"/>
    <n v="1"/>
    <n v="8940717"/>
    <n v="0"/>
    <n v="0"/>
    <n v="-6"/>
    <x v="0"/>
  </r>
  <r>
    <x v="2119"/>
    <s v="C0060"/>
    <x v="0"/>
    <d v="2024-11-09T00:00:00"/>
    <d v="2024-12-24T00:00:00"/>
    <s v="INR"/>
    <n v="2049194"/>
    <d v="2024-12-24T00:00:00"/>
    <s v="PAID"/>
    <s v="N"/>
    <m/>
    <n v="2049194"/>
    <n v="1"/>
    <n v="2049194"/>
    <n v="0"/>
    <n v="0"/>
    <n v="0"/>
    <x v="0"/>
  </r>
  <r>
    <x v="2120"/>
    <s v="C0146"/>
    <x v="3"/>
    <d v="2024-11-09T00:00:00"/>
    <d v="2025-01-08T00:00:00"/>
    <s v="USD"/>
    <n v="45094.49"/>
    <d v="2024-10-23T00:00:00"/>
    <s v="PAID"/>
    <s v="Y"/>
    <n v="84.621099999999998"/>
    <n v="45094.49"/>
    <n v="84.34"/>
    <n v="3803269.2865999998"/>
    <n v="0"/>
    <n v="0"/>
    <m/>
    <x v="0"/>
  </r>
  <r>
    <x v="2121"/>
    <s v="C0198"/>
    <x v="3"/>
    <d v="2024-11-09T00:00:00"/>
    <d v="2024-12-24T00:00:00"/>
    <s v="USD"/>
    <n v="147954.76"/>
    <d v="2025-02-26T00:00:00"/>
    <s v="PAID"/>
    <s v="N"/>
    <m/>
    <n v="147954.76"/>
    <n v="84.34"/>
    <n v="12478504.458400002"/>
    <n v="0"/>
    <n v="0"/>
    <n v="64"/>
    <x v="0"/>
  </r>
  <r>
    <x v="2122"/>
    <s v="C0233"/>
    <x v="0"/>
    <d v="2024-11-09T00:00:00"/>
    <d v="2025-01-08T00:00:00"/>
    <s v="INR"/>
    <n v="2032009"/>
    <d v="2025-01-23T00:00:00"/>
    <s v="PAID"/>
    <s v="N"/>
    <m/>
    <n v="2032009"/>
    <n v="1"/>
    <n v="2032009"/>
    <n v="0"/>
    <n v="0"/>
    <n v="15"/>
    <x v="0"/>
  </r>
  <r>
    <x v="2123"/>
    <s v="C0238"/>
    <x v="2"/>
    <d v="2024-11-09T00:00:00"/>
    <d v="2025-01-08T00:00:00"/>
    <s v="INR"/>
    <n v="25987087"/>
    <d v="2025-01-10T00:00:00"/>
    <s v="PAID"/>
    <s v="N"/>
    <m/>
    <n v="25987087"/>
    <n v="1"/>
    <n v="25987087"/>
    <n v="0"/>
    <n v="0"/>
    <n v="2"/>
    <x v="0"/>
  </r>
  <r>
    <x v="2124"/>
    <s v="C0109"/>
    <x v="1"/>
    <d v="2024-11-11T00:00:00"/>
    <d v="2024-12-26T00:00:00"/>
    <s v="INR"/>
    <n v="9428032"/>
    <d v="2024-12-30T00:00:00"/>
    <s v="PAID"/>
    <s v="N"/>
    <m/>
    <n v="9428032"/>
    <n v="1"/>
    <n v="9428032"/>
    <n v="0"/>
    <n v="0"/>
    <n v="4"/>
    <x v="0"/>
  </r>
  <r>
    <x v="2125"/>
    <s v="C0222"/>
    <x v="2"/>
    <d v="2024-11-11T00:00:00"/>
    <d v="2025-01-10T00:00:00"/>
    <s v="EUR"/>
    <n v="108336.97"/>
    <d v="2025-01-21T00:00:00"/>
    <s v="PAID"/>
    <s v="N"/>
    <m/>
    <n v="108336.97"/>
    <n v="90.328100000000006"/>
    <n v="9785872.6598570012"/>
    <n v="0"/>
    <n v="0"/>
    <n v="11"/>
    <x v="0"/>
  </r>
  <r>
    <x v="2126"/>
    <s v="C0247"/>
    <x v="4"/>
    <d v="2024-11-11T00:00:00"/>
    <d v="2024-12-26T00:00:00"/>
    <s v="USD"/>
    <n v="85245.22"/>
    <d v="2025-01-05T00:00:00"/>
    <s v="PAID"/>
    <s v="N"/>
    <m/>
    <n v="85245.22"/>
    <n v="84.34"/>
    <n v="7189581.8548000008"/>
    <n v="0"/>
    <n v="0"/>
    <n v="10"/>
    <x v="0"/>
  </r>
  <r>
    <x v="2127"/>
    <s v="C0248"/>
    <x v="4"/>
    <d v="2024-11-11T00:00:00"/>
    <d v="2024-12-11T00:00:00"/>
    <s v="USD"/>
    <n v="165645.32"/>
    <d v="2024-12-08T00:00:00"/>
    <s v="PAID"/>
    <s v="Y"/>
    <n v="84.480599999999995"/>
    <n v="165645.32"/>
    <n v="84.34"/>
    <n v="13970526.288800001"/>
    <n v="0"/>
    <n v="0"/>
    <n v="-3"/>
    <x v="0"/>
  </r>
  <r>
    <x v="2128"/>
    <s v="C0241"/>
    <x v="3"/>
    <d v="2024-11-12T00:00:00"/>
    <d v="2025-01-11T00:00:00"/>
    <s v="EUR"/>
    <n v="136463.16"/>
    <d v="2025-02-23T00:00:00"/>
    <s v="PARTIALLY PAID"/>
    <s v="Y"/>
    <n v="89.604799999999997"/>
    <n v="77301.7"/>
    <n v="89.425899999999999"/>
    <n v="12203340.899844"/>
    <n v="5290566.8058140008"/>
    <n v="79"/>
    <n v="43"/>
    <x v="2"/>
  </r>
  <r>
    <x v="2129"/>
    <s v="C0072"/>
    <x v="4"/>
    <d v="2024-11-13T00:00:00"/>
    <d v="2025-02-11T00:00:00"/>
    <s v="EUR"/>
    <n v="45651.9"/>
    <d v="2025-02-17T00:00:00"/>
    <s v="PAID"/>
    <s v="Y"/>
    <n v="89.442400000000006"/>
    <n v="45651.9"/>
    <n v="89.174899999999994"/>
    <n v="4071003.6173099997"/>
    <n v="0"/>
    <n v="0"/>
    <n v="6"/>
    <x v="0"/>
  </r>
  <r>
    <x v="2130"/>
    <s v="C0164"/>
    <x v="3"/>
    <d v="2024-11-13T00:00:00"/>
    <d v="2025-01-12T00:00:00"/>
    <s v="USD"/>
    <n v="50860.160000000003"/>
    <d v="2025-02-21T00:00:00"/>
    <s v="PAID"/>
    <s v="Y"/>
    <n v="84.671300000000002"/>
    <n v="50860.160000000003"/>
    <n v="84.39"/>
    <n v="4292088.9024"/>
    <n v="0"/>
    <n v="0"/>
    <n v="40"/>
    <x v="0"/>
  </r>
  <r>
    <x v="2131"/>
    <s v="C0210"/>
    <x v="3"/>
    <d v="2024-11-13T00:00:00"/>
    <d v="2024-12-28T00:00:00"/>
    <s v="USD"/>
    <n v="27780.32"/>
    <d v="2025-01-07T00:00:00"/>
    <s v="PARTIALLY PAID"/>
    <s v="Y"/>
    <n v="84.600999999999999"/>
    <n v="15598.58"/>
    <n v="84.39"/>
    <n v="2344381.2047999999"/>
    <n v="1028017.0386"/>
    <n v="93"/>
    <n v="10"/>
    <x v="1"/>
  </r>
  <r>
    <x v="2132"/>
    <s v="C0226"/>
    <x v="3"/>
    <d v="2024-11-13T00:00:00"/>
    <d v="2024-12-28T00:00:00"/>
    <s v="INR"/>
    <n v="600000"/>
    <d v="2025-01-02T00:00:00"/>
    <s v="PAID"/>
    <s v="N"/>
    <m/>
    <n v="600000"/>
    <n v="1"/>
    <n v="600000"/>
    <n v="0"/>
    <n v="0"/>
    <n v="5"/>
    <x v="0"/>
  </r>
  <r>
    <x v="2133"/>
    <s v="C0196"/>
    <x v="2"/>
    <d v="2024-11-14T00:00:00"/>
    <d v="2025-02-12T00:00:00"/>
    <s v="USD"/>
    <n v="108141.99"/>
    <d v="2025-02-17T00:00:00"/>
    <s v="PAID"/>
    <s v="N"/>
    <m/>
    <n v="108141.99"/>
    <n v="84.42"/>
    <n v="9129346.7958000004"/>
    <n v="0"/>
    <n v="0"/>
    <n v="5"/>
    <x v="0"/>
  </r>
  <r>
    <x v="2134"/>
    <s v="C0037"/>
    <x v="2"/>
    <d v="2024-11-15T00:00:00"/>
    <d v="2024-12-15T00:00:00"/>
    <s v="INR"/>
    <n v="2231930"/>
    <d v="2024-12-20T00:00:00"/>
    <s v="PAID"/>
    <s v="N"/>
    <m/>
    <n v="2231930"/>
    <n v="1"/>
    <n v="2231930"/>
    <n v="0"/>
    <n v="0"/>
    <n v="5"/>
    <x v="0"/>
  </r>
  <r>
    <x v="2135"/>
    <s v="C0091"/>
    <x v="2"/>
    <d v="2024-11-15T00:00:00"/>
    <d v="2025-01-14T00:00:00"/>
    <s v="USD"/>
    <n v="251564.78"/>
    <d v="2025-02-01T00:00:00"/>
    <s v="PAID"/>
    <s v="N"/>
    <m/>
    <n v="251564.78"/>
    <n v="84.41"/>
    <n v="21234583.079799999"/>
    <n v="0"/>
    <n v="0"/>
    <n v="18"/>
    <x v="0"/>
  </r>
  <r>
    <x v="2136"/>
    <s v="C0162"/>
    <x v="1"/>
    <d v="2024-11-15T00:00:00"/>
    <d v="2024-12-15T00:00:00"/>
    <s v="INR"/>
    <n v="8243199"/>
    <d v="2025-01-29T00:00:00"/>
    <s v="PAID"/>
    <s v="N"/>
    <m/>
    <n v="8243199"/>
    <n v="1"/>
    <n v="8243199"/>
    <n v="0"/>
    <n v="0"/>
    <n v="45"/>
    <x v="0"/>
  </r>
  <r>
    <x v="2137"/>
    <s v="C0207"/>
    <x v="4"/>
    <d v="2024-11-15T00:00:00"/>
    <d v="2025-01-14T00:00:00"/>
    <s v="INR"/>
    <n v="4015334"/>
    <d v="2025-01-12T00:00:00"/>
    <s v="PAID"/>
    <s v="N"/>
    <m/>
    <n v="4015334"/>
    <n v="1"/>
    <n v="4015334"/>
    <n v="0"/>
    <n v="0"/>
    <n v="-2"/>
    <x v="0"/>
  </r>
  <r>
    <x v="2138"/>
    <s v="C0009"/>
    <x v="3"/>
    <d v="2024-11-16T00:00:00"/>
    <d v="2025-01-15T00:00:00"/>
    <s v="INR"/>
    <n v="16524551"/>
    <d v="2025-01-17T00:00:00"/>
    <s v="PAID"/>
    <s v="N"/>
    <m/>
    <n v="16524551"/>
    <n v="1"/>
    <n v="16524551"/>
    <n v="0"/>
    <n v="0"/>
    <n v="2"/>
    <x v="0"/>
  </r>
  <r>
    <x v="2139"/>
    <s v="C0010"/>
    <x v="1"/>
    <d v="2024-11-16T00:00:00"/>
    <d v="2025-01-15T00:00:00"/>
    <s v="USD"/>
    <n v="33976.35"/>
    <d v="2025-02-05T00:00:00"/>
    <s v="PAID"/>
    <s v="N"/>
    <m/>
    <n v="33976.35"/>
    <n v="84.41"/>
    <n v="2867943.7034999998"/>
    <n v="0"/>
    <n v="0"/>
    <n v="21"/>
    <x v="0"/>
  </r>
  <r>
    <x v="2140"/>
    <s v="C0081"/>
    <x v="0"/>
    <d v="2024-11-16T00:00:00"/>
    <d v="2024-12-16T00:00:00"/>
    <s v="INR"/>
    <n v="7667433"/>
    <d v="2025-01-21T00:00:00"/>
    <s v="PAID"/>
    <s v="N"/>
    <m/>
    <n v="7667433"/>
    <n v="1"/>
    <n v="7667433"/>
    <n v="0"/>
    <n v="0"/>
    <n v="36"/>
    <x v="0"/>
  </r>
  <r>
    <x v="2141"/>
    <s v="C0091"/>
    <x v="2"/>
    <d v="2024-11-16T00:00:00"/>
    <d v="2025-01-15T00:00:00"/>
    <s v="USD"/>
    <n v="113812.27"/>
    <d v="2025-01-22T00:00:00"/>
    <s v="PAID"/>
    <s v="Y"/>
    <n v="84.691400000000002"/>
    <n v="113812.27"/>
    <n v="84.41"/>
    <n v="9606893.7106999997"/>
    <n v="0"/>
    <n v="0"/>
    <n v="7"/>
    <x v="0"/>
  </r>
  <r>
    <x v="2142"/>
    <s v="C0210"/>
    <x v="3"/>
    <d v="2024-11-16T00:00:00"/>
    <d v="2024-12-31T00:00:00"/>
    <s v="USD"/>
    <n v="177130.23"/>
    <d v="2025-01-04T00:00:00"/>
    <s v="PAID"/>
    <s v="N"/>
    <m/>
    <n v="177130.23"/>
    <n v="84.41"/>
    <n v="14951562.714300001"/>
    <n v="0"/>
    <n v="0"/>
    <n v="4"/>
    <x v="0"/>
  </r>
  <r>
    <x v="2143"/>
    <s v="C0213"/>
    <x v="1"/>
    <d v="2024-11-16T00:00:00"/>
    <d v="2025-01-15T00:00:00"/>
    <s v="EUR"/>
    <n v="149080.84"/>
    <d v="2025-01-16T00:00:00"/>
    <s v="PAID"/>
    <s v="N"/>
    <m/>
    <n v="149080.84"/>
    <n v="89.069400000000002"/>
    <n v="13278540.970295999"/>
    <n v="0"/>
    <n v="0"/>
    <n v="1"/>
    <x v="0"/>
  </r>
  <r>
    <x v="2144"/>
    <s v="C0233"/>
    <x v="2"/>
    <d v="2024-11-16T00:00:00"/>
    <d v="2025-01-15T00:00:00"/>
    <s v="INR"/>
    <n v="3613280"/>
    <d v="2025-01-26T00:00:00"/>
    <s v="PAID"/>
    <s v="N"/>
    <m/>
    <n v="3613280"/>
    <n v="1"/>
    <n v="3613280"/>
    <n v="0"/>
    <n v="0"/>
    <n v="11"/>
    <x v="0"/>
  </r>
  <r>
    <x v="2145"/>
    <s v="C0238"/>
    <x v="2"/>
    <d v="2024-11-16T00:00:00"/>
    <d v="2025-01-15T00:00:00"/>
    <s v="INR"/>
    <n v="10258582"/>
    <d v="2025-01-14T00:00:00"/>
    <s v="PAID"/>
    <s v="N"/>
    <m/>
    <n v="10258582"/>
    <n v="1"/>
    <n v="10258582"/>
    <n v="0"/>
    <n v="0"/>
    <n v="-1"/>
    <x v="0"/>
  </r>
  <r>
    <x v="2146"/>
    <s v="C0098"/>
    <x v="1"/>
    <d v="2024-11-18T00:00:00"/>
    <d v="2025-02-16T00:00:00"/>
    <s v="INR"/>
    <n v="2367520"/>
    <d v="2025-03-02T00:00:00"/>
    <s v="PAID"/>
    <s v="N"/>
    <m/>
    <n v="2367520"/>
    <n v="1"/>
    <n v="2367520"/>
    <n v="0"/>
    <n v="0"/>
    <n v="14"/>
    <x v="0"/>
  </r>
  <r>
    <x v="2147"/>
    <s v="C0133"/>
    <x v="2"/>
    <d v="2024-11-18T00:00:00"/>
    <d v="2025-02-16T00:00:00"/>
    <s v="USD"/>
    <n v="66769.56"/>
    <d v="2025-03-02T00:00:00"/>
    <s v="PAID"/>
    <s v="N"/>
    <m/>
    <n v="66769.56"/>
    <n v="84.37"/>
    <n v="5633347.7772000004"/>
    <n v="0"/>
    <n v="0"/>
    <n v="14"/>
    <x v="0"/>
  </r>
  <r>
    <x v="2148"/>
    <s v="C0038"/>
    <x v="0"/>
    <d v="2024-11-19T00:00:00"/>
    <d v="2025-01-18T00:00:00"/>
    <s v="INR"/>
    <n v="4559290"/>
    <d v="2025-01-19T00:00:00"/>
    <s v="PAID"/>
    <s v="N"/>
    <m/>
    <n v="4559290"/>
    <n v="1"/>
    <n v="4559290"/>
    <n v="0"/>
    <n v="0"/>
    <n v="1"/>
    <x v="0"/>
  </r>
  <r>
    <x v="2149"/>
    <s v="C0215"/>
    <x v="4"/>
    <d v="2024-11-19T00:00:00"/>
    <d v="2024-12-19T00:00:00"/>
    <s v="USD"/>
    <n v="72305.649999999994"/>
    <d v="2024-12-29T00:00:00"/>
    <s v="PAID"/>
    <s v="Y"/>
    <n v="84.500600000000006"/>
    <n v="72305.649999999994"/>
    <n v="84.36"/>
    <n v="6099704.6339999996"/>
    <n v="0"/>
    <n v="0"/>
    <n v="10"/>
    <x v="0"/>
  </r>
  <r>
    <x v="2150"/>
    <s v="C0242"/>
    <x v="0"/>
    <d v="2024-11-19T00:00:00"/>
    <d v="2025-01-18T00:00:00"/>
    <s v="EUR"/>
    <n v="84912.88"/>
    <d v="2025-02-11T00:00:00"/>
    <s v="PAID"/>
    <s v="N"/>
    <m/>
    <n v="84912.88"/>
    <n v="89.236000000000004"/>
    <n v="7577285.7596800011"/>
    <n v="0"/>
    <n v="0"/>
    <n v="24"/>
    <x v="0"/>
  </r>
  <r>
    <x v="2151"/>
    <s v="C0244"/>
    <x v="3"/>
    <d v="2024-11-19T00:00:00"/>
    <d v="2025-01-18T00:00:00"/>
    <s v="INR"/>
    <n v="8312245"/>
    <d v="2025-02-21T00:00:00"/>
    <s v="PAID"/>
    <s v="N"/>
    <m/>
    <n v="8312245"/>
    <n v="1"/>
    <n v="8312245"/>
    <n v="0"/>
    <n v="0"/>
    <n v="34"/>
    <x v="0"/>
  </r>
  <r>
    <x v="2152"/>
    <s v="C0249"/>
    <x v="4"/>
    <d v="2024-11-19T00:00:00"/>
    <d v="2025-02-17T00:00:00"/>
    <s v="EUR"/>
    <n v="33395.589999999997"/>
    <d v="2025-03-08T00:00:00"/>
    <s v="PAID"/>
    <s v="N"/>
    <m/>
    <n v="33395.589999999997"/>
    <n v="89.236000000000004"/>
    <n v="2980088.8692399999"/>
    <n v="0"/>
    <n v="0"/>
    <n v="19"/>
    <x v="0"/>
  </r>
  <r>
    <x v="2153"/>
    <s v="C0002"/>
    <x v="4"/>
    <d v="2024-11-20T00:00:00"/>
    <d v="2025-01-04T00:00:00"/>
    <s v="INR"/>
    <n v="16377235"/>
    <d v="2025-01-21T00:00:00"/>
    <s v="PAID"/>
    <s v="N"/>
    <m/>
    <n v="16377235"/>
    <n v="1"/>
    <n v="16377235"/>
    <n v="0"/>
    <n v="0"/>
    <n v="17"/>
    <x v="0"/>
  </r>
  <r>
    <x v="2154"/>
    <s v="C0003"/>
    <x v="0"/>
    <d v="2024-11-20T00:00:00"/>
    <d v="2025-01-04T00:00:00"/>
    <s v="INR"/>
    <n v="8141932"/>
    <d v="2025-02-04T00:00:00"/>
    <s v="PAID"/>
    <s v="N"/>
    <m/>
    <n v="8141932"/>
    <n v="1"/>
    <n v="8141932"/>
    <n v="0"/>
    <n v="0"/>
    <n v="31"/>
    <x v="0"/>
  </r>
  <r>
    <x v="2155"/>
    <s v="C0012"/>
    <x v="1"/>
    <d v="2024-11-20T00:00:00"/>
    <d v="2025-01-19T00:00:00"/>
    <s v="EUR"/>
    <n v="34745.57"/>
    <d v="2025-02-16T00:00:00"/>
    <s v="PAID"/>
    <s v="N"/>
    <m/>
    <n v="34745.57"/>
    <n v="88.8078"/>
    <n v="3085677.6314460002"/>
    <n v="0"/>
    <n v="0"/>
    <n v="28"/>
    <x v="0"/>
  </r>
  <r>
    <x v="2156"/>
    <s v="C0012"/>
    <x v="3"/>
    <d v="2024-11-20T00:00:00"/>
    <d v="2025-01-19T00:00:00"/>
    <s v="EUR"/>
    <n v="43685.58"/>
    <d v="2025-02-20T00:00:00"/>
    <s v="PAID"/>
    <s v="N"/>
    <m/>
    <n v="43685.58"/>
    <n v="88.8078"/>
    <n v="3879620.251524"/>
    <n v="0"/>
    <n v="0"/>
    <n v="32"/>
    <x v="0"/>
  </r>
  <r>
    <x v="2157"/>
    <s v="C0049"/>
    <x v="3"/>
    <d v="2024-11-20T00:00:00"/>
    <d v="2024-12-20T00:00:00"/>
    <s v="INR"/>
    <n v="6260447"/>
    <d v="2024-12-19T00:00:00"/>
    <s v="PAID"/>
    <s v="N"/>
    <m/>
    <n v="6260447"/>
    <n v="1"/>
    <n v="6260447"/>
    <n v="0"/>
    <n v="0"/>
    <n v="-1"/>
    <x v="0"/>
  </r>
  <r>
    <x v="2158"/>
    <s v="C0073"/>
    <x v="1"/>
    <d v="2024-11-20T00:00:00"/>
    <d v="2024-12-20T00:00:00"/>
    <s v="USD"/>
    <n v="139925.04999999999"/>
    <d v="2025-01-10T00:00:00"/>
    <s v="PAID"/>
    <s v="Y"/>
    <n v="84.550700000000006"/>
    <n v="139925.04999999999"/>
    <n v="84.41"/>
    <n v="11811073.470499998"/>
    <n v="0"/>
    <n v="0"/>
    <n v="21"/>
    <x v="0"/>
  </r>
  <r>
    <x v="2159"/>
    <s v="C0099"/>
    <x v="3"/>
    <d v="2024-11-20T00:00:00"/>
    <d v="2025-01-19T00:00:00"/>
    <s v="EUR"/>
    <n v="36320.480000000003"/>
    <d v="2025-02-12T00:00:00"/>
    <s v="PAID"/>
    <s v="Y"/>
    <n v="88.985399999999998"/>
    <n v="36320.480000000003"/>
    <n v="88.8078"/>
    <n v="3225541.9237440005"/>
    <n v="0"/>
    <n v="0"/>
    <n v="24"/>
    <x v="0"/>
  </r>
  <r>
    <x v="2160"/>
    <s v="C0177"/>
    <x v="4"/>
    <d v="2024-11-20T00:00:00"/>
    <d v="2025-01-19T00:00:00"/>
    <s v="EUR"/>
    <n v="79290.52"/>
    <d v="2025-01-27T00:00:00"/>
    <s v="PAID"/>
    <s v="N"/>
    <m/>
    <n v="79290.52"/>
    <n v="88.8078"/>
    <n v="7041616.6420560004"/>
    <n v="0"/>
    <n v="0"/>
    <n v="8"/>
    <x v="0"/>
  </r>
  <r>
    <x v="2161"/>
    <s v="C0073"/>
    <x v="1"/>
    <d v="2024-11-21T00:00:00"/>
    <d v="2024-12-21T00:00:00"/>
    <s v="USD"/>
    <n v="86462.21"/>
    <d v="2025-01-11T00:00:00"/>
    <s v="PAID"/>
    <s v="Y"/>
    <n v="84.620800000000003"/>
    <n v="86462.21"/>
    <n v="84.48"/>
    <n v="7304327.5008000005"/>
    <n v="0"/>
    <n v="0"/>
    <n v="21"/>
    <x v="0"/>
  </r>
  <r>
    <x v="2162"/>
    <s v="C0171"/>
    <x v="3"/>
    <d v="2024-11-21T00:00:00"/>
    <d v="2025-02-19T00:00:00"/>
    <s v="USD"/>
    <n v="30307.47"/>
    <d v="2025-03-13T00:00:00"/>
    <s v="PAID"/>
    <s v="Y"/>
    <n v="84.9024"/>
    <n v="30307.47"/>
    <n v="84.48"/>
    <n v="2560375.0656000003"/>
    <n v="0"/>
    <n v="0"/>
    <n v="22"/>
    <x v="0"/>
  </r>
  <r>
    <x v="2163"/>
    <s v="C0212"/>
    <x v="2"/>
    <d v="2024-11-21T00:00:00"/>
    <d v="2025-02-19T00:00:00"/>
    <s v="INR"/>
    <n v="4893279"/>
    <d v="2025-02-17T00:00:00"/>
    <s v="PAID"/>
    <s v="N"/>
    <m/>
    <n v="4893279"/>
    <n v="1"/>
    <n v="4893279"/>
    <n v="0"/>
    <n v="0"/>
    <n v="-2"/>
    <x v="0"/>
  </r>
  <r>
    <x v="2164"/>
    <s v="C0249"/>
    <x v="4"/>
    <d v="2024-11-21T00:00:00"/>
    <d v="2025-02-19T00:00:00"/>
    <s v="EUR"/>
    <n v="76002.59"/>
    <d v="2025-03-09T00:00:00"/>
    <s v="PAID"/>
    <s v="N"/>
    <m/>
    <n v="76002.59"/>
    <n v="88.492800000000003"/>
    <n v="6725681.9963520002"/>
    <n v="0"/>
    <n v="0"/>
    <n v="18"/>
    <x v="0"/>
  </r>
  <r>
    <x v="2165"/>
    <s v="C0042"/>
    <x v="3"/>
    <d v="2024-11-23T00:00:00"/>
    <d v="2025-01-22T00:00:00"/>
    <s v="EUR"/>
    <n v="64299.66"/>
    <m/>
    <s v="OPEN"/>
    <s v="Y"/>
    <n v="87.984800000000007"/>
    <n v="0"/>
    <n v="87.809200000000004"/>
    <n v="5646101.704872001"/>
    <n v="5646101.704872001"/>
    <n v="68"/>
    <s v=""/>
    <x v="2"/>
  </r>
  <r>
    <x v="2166"/>
    <s v="C0050"/>
    <x v="0"/>
    <d v="2024-11-23T00:00:00"/>
    <d v="2025-01-22T00:00:00"/>
    <s v="INR"/>
    <n v="13960464"/>
    <d v="2025-01-22T00:00:00"/>
    <s v="PAID"/>
    <s v="N"/>
    <m/>
    <n v="13960464"/>
    <n v="1"/>
    <n v="13960464"/>
    <n v="0"/>
    <n v="0"/>
    <n v="0"/>
    <x v="0"/>
  </r>
  <r>
    <x v="2167"/>
    <s v="C0082"/>
    <x v="4"/>
    <d v="2024-11-23T00:00:00"/>
    <d v="2025-01-22T00:00:00"/>
    <s v="INR"/>
    <n v="5992777"/>
    <d v="2025-02-06T00:00:00"/>
    <s v="PAID"/>
    <s v="N"/>
    <m/>
    <n v="5992777"/>
    <n v="1"/>
    <n v="5992777"/>
    <n v="0"/>
    <n v="0"/>
    <n v="15"/>
    <x v="0"/>
  </r>
  <r>
    <x v="2168"/>
    <s v="C0141"/>
    <x v="3"/>
    <d v="2024-11-23T00:00:00"/>
    <d v="2025-01-22T00:00:00"/>
    <s v="INR"/>
    <n v="7631799"/>
    <d v="2025-01-21T00:00:00"/>
    <s v="PAID"/>
    <s v="N"/>
    <m/>
    <n v="7631799"/>
    <n v="1"/>
    <n v="7631799"/>
    <n v="0"/>
    <n v="0"/>
    <n v="-1"/>
    <x v="0"/>
  </r>
  <r>
    <x v="2169"/>
    <s v="C0173"/>
    <x v="4"/>
    <d v="2024-11-23T00:00:00"/>
    <d v="2025-01-22T00:00:00"/>
    <s v="EUR"/>
    <n v="30080.45"/>
    <d v="2025-01-31T00:00:00"/>
    <s v="PAID"/>
    <s v="Y"/>
    <n v="87.984800000000007"/>
    <n v="30080.45"/>
    <n v="87.809200000000004"/>
    <n v="2641340.2501400001"/>
    <n v="0"/>
    <n v="0"/>
    <n v="9"/>
    <x v="0"/>
  </r>
  <r>
    <x v="2170"/>
    <s v="C0176"/>
    <x v="0"/>
    <d v="2024-11-23T00:00:00"/>
    <d v="2024-12-23T00:00:00"/>
    <s v="INR"/>
    <n v="1979532"/>
    <d v="2025-01-01T00:00:00"/>
    <s v="PAID"/>
    <s v="N"/>
    <m/>
    <n v="1979532"/>
    <n v="1"/>
    <n v="1979532"/>
    <n v="0"/>
    <n v="0"/>
    <n v="9"/>
    <x v="0"/>
  </r>
  <r>
    <x v="2171"/>
    <s v="C0005"/>
    <x v="2"/>
    <d v="2024-11-25T00:00:00"/>
    <d v="2024-12-25T00:00:00"/>
    <s v="INR"/>
    <n v="3885984"/>
    <d v="2025-01-06T00:00:00"/>
    <s v="PAID"/>
    <s v="N"/>
    <m/>
    <n v="3885984"/>
    <n v="1"/>
    <n v="3885984"/>
    <n v="0"/>
    <n v="0"/>
    <n v="12"/>
    <x v="0"/>
  </r>
  <r>
    <x v="2172"/>
    <s v="C0054"/>
    <x v="4"/>
    <d v="2024-11-25T00:00:00"/>
    <d v="2025-01-24T00:00:00"/>
    <s v="EUR"/>
    <n v="322818.32"/>
    <d v="2025-02-06T00:00:00"/>
    <s v="PAID"/>
    <s v="Y"/>
    <n v="88.443200000000004"/>
    <n v="322818.32"/>
    <n v="88.2667"/>
    <n v="28494107.805943999"/>
    <n v="0"/>
    <n v="0"/>
    <n v="13"/>
    <x v="0"/>
  </r>
  <r>
    <x v="2173"/>
    <s v="C0111"/>
    <x v="3"/>
    <d v="2024-11-25T00:00:00"/>
    <d v="2025-02-23T00:00:00"/>
    <s v="EUR"/>
    <n v="141054.69"/>
    <m/>
    <s v="PAID"/>
    <s v="N"/>
    <m/>
    <n v="141054.69"/>
    <n v="88.2667"/>
    <n v="12450432.005822999"/>
    <n v="0"/>
    <n v="0"/>
    <s v=""/>
    <x v="0"/>
  </r>
  <r>
    <x v="2174"/>
    <s v="C0127"/>
    <x v="2"/>
    <d v="2024-11-25T00:00:00"/>
    <d v="2025-01-24T00:00:00"/>
    <s v="INR"/>
    <n v="2181794"/>
    <m/>
    <s v="OPEN"/>
    <s v="N"/>
    <m/>
    <n v="0"/>
    <n v="1"/>
    <n v="2181794"/>
    <n v="2181794"/>
    <n v="66"/>
    <s v=""/>
    <x v="2"/>
  </r>
  <r>
    <x v="2175"/>
    <s v="C0221"/>
    <x v="1"/>
    <d v="2024-11-25T00:00:00"/>
    <d v="2025-01-24T00:00:00"/>
    <s v="INR"/>
    <n v="21530786"/>
    <d v="2025-02-24T00:00:00"/>
    <s v="PAID"/>
    <s v="N"/>
    <m/>
    <n v="21530786"/>
    <n v="1"/>
    <n v="21530786"/>
    <n v="0"/>
    <n v="0"/>
    <n v="31"/>
    <x v="0"/>
  </r>
  <r>
    <x v="2176"/>
    <s v="C0228"/>
    <x v="0"/>
    <d v="2024-11-25T00:00:00"/>
    <d v="2025-01-09T00:00:00"/>
    <s v="INR"/>
    <n v="71797544"/>
    <d v="2025-01-15T00:00:00"/>
    <s v="PAID"/>
    <s v="N"/>
    <m/>
    <n v="71797544"/>
    <n v="1"/>
    <n v="71797544"/>
    <n v="0"/>
    <n v="0"/>
    <n v="6"/>
    <x v="0"/>
  </r>
  <r>
    <x v="2177"/>
    <s v="C0110"/>
    <x v="1"/>
    <d v="2024-11-26T00:00:00"/>
    <d v="2025-01-25T00:00:00"/>
    <s v="USD"/>
    <n v="74356.2"/>
    <d v="2024-10-31T00:00:00"/>
    <s v="PAID"/>
    <s v="Y"/>
    <n v="84.550899999999999"/>
    <n v="74356.2"/>
    <n v="84.27"/>
    <n v="6265996.9739999995"/>
    <n v="0"/>
    <n v="0"/>
    <m/>
    <x v="0"/>
  </r>
  <r>
    <x v="2178"/>
    <s v="C0183"/>
    <x v="0"/>
    <d v="2024-11-26T00:00:00"/>
    <d v="2025-02-24T00:00:00"/>
    <s v="INR"/>
    <n v="2429875"/>
    <d v="2025-03-01T00:00:00"/>
    <s v="PAID"/>
    <s v="N"/>
    <m/>
    <n v="2429875"/>
    <n v="1"/>
    <n v="2429875"/>
    <n v="0"/>
    <n v="0"/>
    <n v="5"/>
    <x v="0"/>
  </r>
  <r>
    <x v="2179"/>
    <s v="C0211"/>
    <x v="3"/>
    <d v="2024-11-26T00:00:00"/>
    <d v="2025-01-10T00:00:00"/>
    <s v="INR"/>
    <n v="3961845"/>
    <d v="2025-01-20T00:00:00"/>
    <s v="PAID"/>
    <s v="N"/>
    <m/>
    <n v="3961845"/>
    <n v="1"/>
    <n v="3961845"/>
    <n v="0"/>
    <n v="0"/>
    <n v="10"/>
    <x v="0"/>
  </r>
  <r>
    <x v="2180"/>
    <s v="C0131"/>
    <x v="4"/>
    <d v="2024-11-27T00:00:00"/>
    <d v="2025-02-25T00:00:00"/>
    <s v="INR"/>
    <n v="9156309"/>
    <d v="2025-02-23T00:00:00"/>
    <s v="PAID"/>
    <s v="N"/>
    <m/>
    <n v="9156309"/>
    <n v="1"/>
    <n v="9156309"/>
    <n v="0"/>
    <n v="0"/>
    <n v="-2"/>
    <x v="0"/>
  </r>
  <r>
    <x v="2181"/>
    <s v="C0146"/>
    <x v="3"/>
    <d v="2024-11-27T00:00:00"/>
    <d v="2025-01-26T00:00:00"/>
    <s v="USD"/>
    <n v="320472.23"/>
    <d v="2025-02-05T00:00:00"/>
    <s v="PAID"/>
    <s v="Y"/>
    <n v="84.691400000000002"/>
    <n v="320472.23"/>
    <n v="84.41"/>
    <n v="27051060.934299998"/>
    <n v="0"/>
    <n v="0"/>
    <n v="10"/>
    <x v="0"/>
  </r>
  <r>
    <x v="2182"/>
    <s v="C0213"/>
    <x v="1"/>
    <d v="2024-11-27T00:00:00"/>
    <d v="2025-01-26T00:00:00"/>
    <s v="EUR"/>
    <n v="96967.8"/>
    <d v="2025-01-26T00:00:00"/>
    <s v="PAID"/>
    <s v="N"/>
    <m/>
    <n v="96967.8"/>
    <n v="89.263599999999997"/>
    <n v="8655694.9120799992"/>
    <n v="0"/>
    <n v="0"/>
    <n v="0"/>
    <x v="0"/>
  </r>
  <r>
    <x v="2183"/>
    <s v="C0075"/>
    <x v="1"/>
    <d v="2024-11-28T00:00:00"/>
    <d v="2024-12-28T00:00:00"/>
    <s v="INR"/>
    <n v="2643346"/>
    <d v="2025-01-11T00:00:00"/>
    <s v="PAID"/>
    <s v="N"/>
    <m/>
    <n v="2643346"/>
    <n v="1"/>
    <n v="2643346"/>
    <n v="0"/>
    <n v="0"/>
    <n v="14"/>
    <x v="0"/>
  </r>
  <r>
    <x v="2184"/>
    <s v="C0111"/>
    <x v="3"/>
    <d v="2024-11-28T00:00:00"/>
    <d v="2025-02-26T00:00:00"/>
    <s v="EUR"/>
    <n v="134690.39000000001"/>
    <d v="2025-03-16T00:00:00"/>
    <s v="PAID"/>
    <s v="Y"/>
    <n v="89.531400000000005"/>
    <n v="134690.39000000001"/>
    <n v="89.263599999999997"/>
    <n v="12022949.096804"/>
    <n v="0"/>
    <n v="0"/>
    <n v="18"/>
    <x v="0"/>
  </r>
  <r>
    <x v="2185"/>
    <s v="C0165"/>
    <x v="3"/>
    <d v="2024-11-29T00:00:00"/>
    <d v="2024-12-29T00:00:00"/>
    <s v="USD"/>
    <n v="55871.41"/>
    <d v="2025-01-02T00:00:00"/>
    <s v="PAID"/>
    <s v="Y"/>
    <n v="84.620800000000003"/>
    <n v="55871.41"/>
    <n v="84.48"/>
    <n v="4720016.7168000005"/>
    <n v="0"/>
    <n v="0"/>
    <n v="4"/>
    <x v="0"/>
  </r>
  <r>
    <x v="2186"/>
    <s v="C0215"/>
    <x v="4"/>
    <d v="2024-11-29T00:00:00"/>
    <d v="2024-12-29T00:00:00"/>
    <s v="USD"/>
    <n v="117111.98"/>
    <d v="2024-12-31T00:00:00"/>
    <s v="PAID"/>
    <s v="N"/>
    <m/>
    <n v="117111.98"/>
    <n v="84.48"/>
    <n v="9893620.0703999996"/>
    <n v="0"/>
    <n v="0"/>
    <n v="2"/>
    <x v="0"/>
  </r>
  <r>
    <x v="2187"/>
    <s v="C0219"/>
    <x v="2"/>
    <d v="2024-11-29T00:00:00"/>
    <d v="2024-12-29T00:00:00"/>
    <s v="INR"/>
    <n v="2452145"/>
    <d v="2024-12-30T00:00:00"/>
    <s v="PAID"/>
    <s v="N"/>
    <m/>
    <n v="2452145"/>
    <n v="1"/>
    <n v="2452145"/>
    <n v="0"/>
    <n v="0"/>
    <n v="1"/>
    <x v="0"/>
  </r>
  <r>
    <x v="2188"/>
    <s v="C0019"/>
    <x v="2"/>
    <d v="2024-11-30T00:00:00"/>
    <d v="2025-02-28T00:00:00"/>
    <s v="EUR"/>
    <n v="87993.96"/>
    <m/>
    <s v="OPEN"/>
    <s v="N"/>
    <m/>
    <n v="0"/>
    <n v="89.101100000000002"/>
    <n v="7840358.6293560006"/>
    <n v="7840358.6293560006"/>
    <n v="31"/>
    <s v=""/>
    <x v="3"/>
  </r>
  <r>
    <x v="2189"/>
    <s v="C0052"/>
    <x v="0"/>
    <d v="2024-11-30T00:00:00"/>
    <d v="2024-12-30T00:00:00"/>
    <s v="INR"/>
    <n v="7674573"/>
    <d v="2025-01-05T00:00:00"/>
    <s v="PAID"/>
    <s v="N"/>
    <m/>
    <n v="7674573"/>
    <n v="1"/>
    <n v="7674573"/>
    <n v="0"/>
    <n v="0"/>
    <n v="6"/>
    <x v="0"/>
  </r>
  <r>
    <x v="2190"/>
    <s v="C0072"/>
    <x v="4"/>
    <d v="2024-11-30T00:00:00"/>
    <d v="2025-02-28T00:00:00"/>
    <s v="EUR"/>
    <n v="531897.17000000004"/>
    <d v="2025-03-05T00:00:00"/>
    <s v="PAID"/>
    <s v="Y"/>
    <n v="89.368399999999994"/>
    <n v="531897.17000000004"/>
    <n v="89.101100000000002"/>
    <n v="47392622.933887005"/>
    <n v="0"/>
    <n v="0"/>
    <n v="5"/>
    <x v="0"/>
  </r>
  <r>
    <x v="2191"/>
    <s v="C0073"/>
    <x v="1"/>
    <d v="2024-11-30T00:00:00"/>
    <d v="2024-12-30T00:00:00"/>
    <s v="USD"/>
    <n v="69227.64"/>
    <d v="2025-01-25T00:00:00"/>
    <s v="PAID"/>
    <s v="N"/>
    <m/>
    <n v="69227.64"/>
    <n v="84.48"/>
    <n v="5848351.0272000004"/>
    <n v="0"/>
    <n v="0"/>
    <n v="26"/>
    <x v="0"/>
  </r>
  <r>
    <x v="2192"/>
    <s v="C0147"/>
    <x v="2"/>
    <d v="2024-11-30T00:00:00"/>
    <d v="2025-02-28T00:00:00"/>
    <s v="INR"/>
    <n v="6948939"/>
    <d v="2025-03-06T00:00:00"/>
    <s v="PAID"/>
    <s v="N"/>
    <m/>
    <n v="6948939"/>
    <n v="1"/>
    <n v="6948939"/>
    <n v="0"/>
    <n v="0"/>
    <n v="6"/>
    <x v="0"/>
  </r>
  <r>
    <x v="2193"/>
    <s v="C0149"/>
    <x v="3"/>
    <d v="2024-11-30T00:00:00"/>
    <d v="2025-01-14T00:00:00"/>
    <s v="INR"/>
    <n v="2378997"/>
    <d v="2025-01-18T00:00:00"/>
    <s v="PAID"/>
    <s v="N"/>
    <m/>
    <n v="2378997"/>
    <n v="1"/>
    <n v="2378997"/>
    <n v="0"/>
    <n v="0"/>
    <n v="4"/>
    <x v="0"/>
  </r>
  <r>
    <x v="2194"/>
    <s v="C0228"/>
    <x v="0"/>
    <d v="2024-11-30T00:00:00"/>
    <d v="2025-01-14T00:00:00"/>
    <s v="INR"/>
    <n v="3979513"/>
    <d v="2025-01-26T00:00:00"/>
    <s v="PAID"/>
    <s v="N"/>
    <m/>
    <n v="3979513"/>
    <n v="1"/>
    <n v="3979513"/>
    <n v="0"/>
    <n v="0"/>
    <n v="12"/>
    <x v="0"/>
  </r>
  <r>
    <x v="2195"/>
    <s v="C0234"/>
    <x v="0"/>
    <d v="2024-11-30T00:00:00"/>
    <d v="2025-01-29T00:00:00"/>
    <s v="INR"/>
    <n v="1770115"/>
    <d v="2025-02-11T00:00:00"/>
    <s v="PAID"/>
    <s v="N"/>
    <m/>
    <n v="1770115"/>
    <n v="1"/>
    <n v="1770115"/>
    <n v="0"/>
    <n v="0"/>
    <n v="13"/>
    <x v="0"/>
  </r>
  <r>
    <x v="2196"/>
    <s v="C0238"/>
    <x v="2"/>
    <d v="2024-11-30T00:00:00"/>
    <d v="2025-01-29T00:00:00"/>
    <s v="INR"/>
    <n v="9809985"/>
    <d v="2025-02-04T00:00:00"/>
    <s v="PAID"/>
    <s v="N"/>
    <m/>
    <n v="9809985"/>
    <n v="1"/>
    <n v="9809985"/>
    <n v="0"/>
    <n v="0"/>
    <n v="6"/>
    <x v="0"/>
  </r>
  <r>
    <x v="2197"/>
    <s v="C0238"/>
    <x v="2"/>
    <d v="2024-11-30T00:00:00"/>
    <d v="2025-01-29T00:00:00"/>
    <s v="INR"/>
    <n v="12065707"/>
    <d v="2025-02-08T00:00:00"/>
    <s v="PAID"/>
    <s v="N"/>
    <m/>
    <n v="12065707"/>
    <n v="1"/>
    <n v="12065707"/>
    <n v="0"/>
    <n v="0"/>
    <n v="10"/>
    <x v="0"/>
  </r>
  <r>
    <x v="2198"/>
    <s v="C0007"/>
    <x v="3"/>
    <d v="2024-12-02T00:00:00"/>
    <d v="2025-01-01T00:00:00"/>
    <s v="USD"/>
    <n v="140050.15"/>
    <d v="2025-01-11T00:00:00"/>
    <s v="PAID"/>
    <s v="Y"/>
    <n v="84.881200000000007"/>
    <n v="140050.15"/>
    <n v="84.74"/>
    <n v="11867849.710999999"/>
    <n v="0"/>
    <n v="0"/>
    <n v="10"/>
    <x v="0"/>
  </r>
  <r>
    <x v="2199"/>
    <s v="C0047"/>
    <x v="4"/>
    <d v="2024-12-02T00:00:00"/>
    <d v="2025-03-02T00:00:00"/>
    <s v="USD"/>
    <n v="109313.03"/>
    <d v="2025-03-08T00:00:00"/>
    <s v="PAID"/>
    <s v="Y"/>
    <n v="85.163700000000006"/>
    <n v="109313.03"/>
    <n v="84.74"/>
    <n v="9263186.1622000001"/>
    <n v="0"/>
    <n v="0"/>
    <n v="6"/>
    <x v="0"/>
  </r>
  <r>
    <x v="2200"/>
    <s v="C0073"/>
    <x v="1"/>
    <d v="2024-12-02T00:00:00"/>
    <d v="2025-01-01T00:00:00"/>
    <s v="USD"/>
    <n v="434594.38"/>
    <d v="2025-01-13T00:00:00"/>
    <s v="PAID"/>
    <s v="N"/>
    <m/>
    <n v="434594.38"/>
    <n v="84.74"/>
    <n v="36827527.761199996"/>
    <n v="0"/>
    <n v="0"/>
    <n v="12"/>
    <x v="0"/>
  </r>
  <r>
    <x v="2201"/>
    <s v="C0169"/>
    <x v="3"/>
    <d v="2024-12-02T00:00:00"/>
    <d v="2025-01-16T00:00:00"/>
    <s v="EUR"/>
    <n v="69060.160000000003"/>
    <d v="2025-01-24T00:00:00"/>
    <s v="PAID"/>
    <s v="Y"/>
    <n v="88.974699999999999"/>
    <n v="69060.160000000003"/>
    <n v="88.841399999999993"/>
    <n v="6135401.2986239996"/>
    <n v="0"/>
    <n v="0"/>
    <n v="8"/>
    <x v="0"/>
  </r>
  <r>
    <x v="2202"/>
    <s v="C0238"/>
    <x v="2"/>
    <d v="2024-12-02T00:00:00"/>
    <d v="2025-01-31T00:00:00"/>
    <s v="INR"/>
    <n v="2795522"/>
    <d v="2025-02-07T00:00:00"/>
    <s v="PAID"/>
    <s v="N"/>
    <m/>
    <n v="2795522"/>
    <n v="1"/>
    <n v="2795522"/>
    <n v="0"/>
    <n v="0"/>
    <n v="7"/>
    <x v="0"/>
  </r>
  <r>
    <x v="2203"/>
    <s v="C0241"/>
    <x v="3"/>
    <d v="2024-12-02T00:00:00"/>
    <d v="2025-01-31T00:00:00"/>
    <s v="EUR"/>
    <n v="16522.04"/>
    <d v="2025-02-09T00:00:00"/>
    <s v="PARTIALLY PAID"/>
    <s v="Y"/>
    <n v="89.019099999999995"/>
    <n v="10098.709999999999"/>
    <n v="88.841399999999993"/>
    <n v="1467841.1644559999"/>
    <n v="570657.62986200012"/>
    <n v="59"/>
    <n v="9"/>
    <x v="3"/>
  </r>
  <r>
    <x v="2204"/>
    <s v="C0111"/>
    <x v="3"/>
    <d v="2024-12-03T00:00:00"/>
    <d v="2025-03-03T00:00:00"/>
    <s v="EUR"/>
    <n v="213003.5"/>
    <d v="2025-03-24T00:00:00"/>
    <s v="PAID"/>
    <s v="Y"/>
    <n v="89.333600000000004"/>
    <n v="213003.5"/>
    <n v="89.066400000000002"/>
    <n v="18971454.932399999"/>
    <n v="0"/>
    <n v="0"/>
    <n v="21"/>
    <x v="0"/>
  </r>
  <r>
    <x v="2205"/>
    <s v="C0117"/>
    <x v="0"/>
    <d v="2024-12-03T00:00:00"/>
    <d v="2025-01-17T00:00:00"/>
    <s v="INR"/>
    <n v="4092920"/>
    <d v="2025-01-29T00:00:00"/>
    <s v="PAID"/>
    <s v="N"/>
    <m/>
    <n v="4092920"/>
    <n v="1"/>
    <n v="4092920"/>
    <n v="0"/>
    <n v="0"/>
    <n v="12"/>
    <x v="0"/>
  </r>
  <r>
    <x v="2206"/>
    <s v="C0158"/>
    <x v="0"/>
    <d v="2024-12-03T00:00:00"/>
    <d v="2025-02-01T00:00:00"/>
    <s v="INR"/>
    <n v="1725766"/>
    <d v="2025-01-30T00:00:00"/>
    <s v="PAID"/>
    <s v="N"/>
    <m/>
    <n v="1725766"/>
    <n v="1"/>
    <n v="1725766"/>
    <n v="0"/>
    <n v="0"/>
    <n v="-2"/>
    <x v="0"/>
  </r>
  <r>
    <x v="2207"/>
    <s v="C0146"/>
    <x v="3"/>
    <d v="2024-12-04T00:00:00"/>
    <d v="2025-02-02T00:00:00"/>
    <s v="USD"/>
    <n v="238846.32"/>
    <d v="2025-02-05T00:00:00"/>
    <s v="PAID"/>
    <s v="Y"/>
    <n v="84.972300000000004"/>
    <n v="238846.32"/>
    <n v="84.69"/>
    <n v="20227894.840799998"/>
    <n v="0"/>
    <n v="0"/>
    <n v="3"/>
    <x v="0"/>
  </r>
  <r>
    <x v="2208"/>
    <s v="C0222"/>
    <x v="2"/>
    <d v="2024-12-04T00:00:00"/>
    <d v="2025-02-02T00:00:00"/>
    <s v="EUR"/>
    <n v="51209.919999999998"/>
    <d v="2025-02-12T00:00:00"/>
    <s v="PAID"/>
    <s v="Y"/>
    <n v="89.331500000000005"/>
    <n v="51209.919999999998"/>
    <n v="89.153199999999998"/>
    <n v="4565528.2397440001"/>
    <n v="0"/>
    <n v="0"/>
    <n v="10"/>
    <x v="0"/>
  </r>
  <r>
    <x v="2209"/>
    <s v="C0060"/>
    <x v="0"/>
    <d v="2024-12-05T00:00:00"/>
    <d v="2025-01-19T00:00:00"/>
    <s v="INR"/>
    <n v="7013822"/>
    <d v="2025-01-19T00:00:00"/>
    <s v="PAID"/>
    <s v="N"/>
    <m/>
    <n v="7013822"/>
    <n v="1"/>
    <n v="7013822"/>
    <n v="0"/>
    <n v="0"/>
    <n v="0"/>
    <x v="0"/>
  </r>
  <r>
    <x v="2210"/>
    <s v="C0166"/>
    <x v="4"/>
    <d v="2024-12-05T00:00:00"/>
    <d v="2025-03-05T00:00:00"/>
    <s v="INR"/>
    <n v="5979192"/>
    <d v="2025-03-21T00:00:00"/>
    <s v="PAID"/>
    <s v="N"/>
    <m/>
    <n v="5979192"/>
    <n v="1"/>
    <n v="5979192"/>
    <n v="0"/>
    <n v="0"/>
    <n v="16"/>
    <x v="0"/>
  </r>
  <r>
    <x v="2211"/>
    <s v="C0213"/>
    <x v="2"/>
    <d v="2024-12-05T00:00:00"/>
    <d v="2025-02-03T00:00:00"/>
    <s v="EUR"/>
    <n v="90407.64"/>
    <d v="2025-02-14T00:00:00"/>
    <s v="PAID"/>
    <s v="Y"/>
    <n v="89.694199999999995"/>
    <n v="90407.64"/>
    <n v="89.515199999999993"/>
    <n v="8092857.9761279989"/>
    <n v="0"/>
    <n v="0"/>
    <n v="11"/>
    <x v="0"/>
  </r>
  <r>
    <x v="2212"/>
    <s v="C0248"/>
    <x v="4"/>
    <d v="2024-12-05T00:00:00"/>
    <d v="2025-01-04T00:00:00"/>
    <s v="USD"/>
    <n v="127720.26"/>
    <d v="2025-01-06T00:00:00"/>
    <s v="PARTIALLY PAID"/>
    <s v="Y"/>
    <n v="84.821100000000001"/>
    <n v="97916.78"/>
    <n v="84.68"/>
    <n v="10815351.616800001"/>
    <n v="2523758.6864"/>
    <n v="86"/>
    <n v="2"/>
    <x v="2"/>
  </r>
  <r>
    <x v="2213"/>
    <s v="C0069"/>
    <x v="2"/>
    <d v="2024-12-06T00:00:00"/>
    <d v="2025-01-05T00:00:00"/>
    <s v="INR"/>
    <n v="6504001"/>
    <d v="2025-01-20T00:00:00"/>
    <s v="PAID"/>
    <s v="N"/>
    <m/>
    <n v="6504001"/>
    <n v="1"/>
    <n v="6504001"/>
    <n v="0"/>
    <n v="0"/>
    <n v="15"/>
    <x v="0"/>
  </r>
  <r>
    <x v="2214"/>
    <s v="C0211"/>
    <x v="3"/>
    <d v="2024-12-06T00:00:00"/>
    <d v="2025-01-20T00:00:00"/>
    <s v="INR"/>
    <n v="4775123"/>
    <d v="2025-02-07T00:00:00"/>
    <s v="PAID"/>
    <s v="N"/>
    <m/>
    <n v="4775123"/>
    <n v="1"/>
    <n v="4775123"/>
    <n v="0"/>
    <n v="0"/>
    <n v="18"/>
    <x v="0"/>
  </r>
  <r>
    <x v="2215"/>
    <s v="C0019"/>
    <x v="2"/>
    <d v="2024-12-07T00:00:00"/>
    <d v="2025-03-07T00:00:00"/>
    <s v="EUR"/>
    <n v="103874.64"/>
    <m/>
    <s v="OPEN"/>
    <s v="N"/>
    <m/>
    <n v="0"/>
    <n v="89.436899999999994"/>
    <n v="9290225.7902159989"/>
    <n v="9290225.7902159989"/>
    <n v="24"/>
    <s v=""/>
    <x v="4"/>
  </r>
  <r>
    <x v="2216"/>
    <s v="C0029"/>
    <x v="1"/>
    <d v="2024-12-07T00:00:00"/>
    <d v="2025-03-07T00:00:00"/>
    <s v="INR"/>
    <n v="6819513"/>
    <d v="2025-03-17T00:00:00"/>
    <s v="PAID"/>
    <s v="N"/>
    <m/>
    <n v="6819513"/>
    <n v="1"/>
    <n v="6819513"/>
    <n v="0"/>
    <n v="0"/>
    <n v="10"/>
    <x v="0"/>
  </r>
  <r>
    <x v="2217"/>
    <s v="C0039"/>
    <x v="0"/>
    <d v="2024-12-07T00:00:00"/>
    <d v="2025-02-05T00:00:00"/>
    <s v="INR"/>
    <n v="12660545"/>
    <d v="2025-03-02T00:00:00"/>
    <s v="PAID"/>
    <s v="N"/>
    <m/>
    <n v="12660545"/>
    <n v="1"/>
    <n v="12660545"/>
    <n v="0"/>
    <n v="0"/>
    <n v="25"/>
    <x v="0"/>
  </r>
  <r>
    <x v="2218"/>
    <s v="C0060"/>
    <x v="0"/>
    <d v="2024-12-07T00:00:00"/>
    <d v="2025-01-21T00:00:00"/>
    <s v="INR"/>
    <n v="4695814"/>
    <d v="2025-01-27T00:00:00"/>
    <s v="PAID"/>
    <s v="N"/>
    <m/>
    <n v="4695814"/>
    <n v="1"/>
    <n v="4695814"/>
    <n v="0"/>
    <n v="0"/>
    <n v="6"/>
    <x v="0"/>
  </r>
  <r>
    <x v="2219"/>
    <s v="C0091"/>
    <x v="2"/>
    <d v="2024-12-07T00:00:00"/>
    <d v="2025-02-05T00:00:00"/>
    <s v="USD"/>
    <n v="248237.33"/>
    <d v="2025-02-08T00:00:00"/>
    <s v="PARTIALLY PAID"/>
    <s v="Y"/>
    <n v="84.952200000000005"/>
    <n v="196069.29"/>
    <n v="84.67"/>
    <n v="21018254.7311"/>
    <n v="4417067.9467999982"/>
    <n v="54"/>
    <n v="3"/>
    <x v="3"/>
  </r>
  <r>
    <x v="2220"/>
    <s v="C0115"/>
    <x v="1"/>
    <d v="2024-12-07T00:00:00"/>
    <d v="2025-02-05T00:00:00"/>
    <s v="EUR"/>
    <n v="14731.23"/>
    <d v="2025-02-16T00:00:00"/>
    <s v="PAID"/>
    <s v="Y"/>
    <n v="89.615799999999993"/>
    <n v="14731.23"/>
    <n v="89.436899999999994"/>
    <n v="1317515.5443869999"/>
    <n v="0"/>
    <n v="0"/>
    <n v="11"/>
    <x v="0"/>
  </r>
  <r>
    <x v="2221"/>
    <s v="C0148"/>
    <x v="0"/>
    <d v="2024-12-07T00:00:00"/>
    <d v="2025-01-06T00:00:00"/>
    <s v="INR"/>
    <n v="8515912"/>
    <d v="2025-01-11T00:00:00"/>
    <s v="PAID"/>
    <s v="N"/>
    <m/>
    <n v="8515912"/>
    <n v="1"/>
    <n v="8515912"/>
    <n v="0"/>
    <n v="0"/>
    <n v="5"/>
    <x v="0"/>
  </r>
  <r>
    <x v="2222"/>
    <s v="C0165"/>
    <x v="3"/>
    <d v="2024-12-07T00:00:00"/>
    <d v="2025-01-06T00:00:00"/>
    <s v="USD"/>
    <n v="13294.78"/>
    <d v="2025-01-13T00:00:00"/>
    <s v="PAID"/>
    <s v="Y"/>
    <n v="84.811099999999996"/>
    <n v="13294.78"/>
    <n v="84.67"/>
    <n v="1125669.0226"/>
    <n v="0"/>
    <n v="0"/>
    <n v="7"/>
    <x v="0"/>
  </r>
  <r>
    <x v="2223"/>
    <s v="C0165"/>
    <x v="4"/>
    <d v="2024-12-07T00:00:00"/>
    <d v="2025-01-06T00:00:00"/>
    <s v="USD"/>
    <n v="92855.15"/>
    <d v="2025-01-12T00:00:00"/>
    <s v="PAID"/>
    <s v="N"/>
    <m/>
    <n v="92855.15"/>
    <n v="84.67"/>
    <n v="7862045.5504999999"/>
    <n v="0"/>
    <n v="0"/>
    <n v="6"/>
    <x v="0"/>
  </r>
  <r>
    <x v="2224"/>
    <s v="C0213"/>
    <x v="2"/>
    <d v="2024-12-07T00:00:00"/>
    <d v="2025-02-05T00:00:00"/>
    <s v="EUR"/>
    <n v="286231.03000000003"/>
    <d v="2025-02-10T00:00:00"/>
    <s v="PAID"/>
    <s v="N"/>
    <m/>
    <n v="286231.03000000003"/>
    <n v="89.436899999999994"/>
    <n v="25599616.007006999"/>
    <n v="0"/>
    <n v="0"/>
    <n v="5"/>
    <x v="0"/>
  </r>
  <r>
    <x v="2225"/>
    <s v="C0228"/>
    <x v="0"/>
    <d v="2024-12-07T00:00:00"/>
    <d v="2025-01-21T00:00:00"/>
    <s v="INR"/>
    <n v="18033365"/>
    <d v="2025-01-26T00:00:00"/>
    <s v="PAID"/>
    <s v="N"/>
    <m/>
    <n v="18033365"/>
    <n v="1"/>
    <n v="18033365"/>
    <n v="0"/>
    <n v="0"/>
    <n v="5"/>
    <x v="0"/>
  </r>
  <r>
    <x v="2226"/>
    <s v="C0236"/>
    <x v="3"/>
    <d v="2024-12-07T00:00:00"/>
    <d v="2025-02-05T00:00:00"/>
    <s v="EUR"/>
    <n v="81447.03"/>
    <d v="2025-03-26T00:00:00"/>
    <s v="PAID"/>
    <s v="N"/>
    <m/>
    <n v="81447.03"/>
    <n v="89.436899999999994"/>
    <n v="7284369.8774069995"/>
    <n v="0"/>
    <n v="0"/>
    <n v="49"/>
    <x v="0"/>
  </r>
  <r>
    <x v="2227"/>
    <s v="C0038"/>
    <x v="0"/>
    <d v="2024-12-09T00:00:00"/>
    <d v="2025-02-07T00:00:00"/>
    <s v="INR"/>
    <n v="4812761"/>
    <d v="2025-02-06T00:00:00"/>
    <s v="PAID"/>
    <s v="N"/>
    <m/>
    <n v="4812761"/>
    <n v="1"/>
    <n v="4812761"/>
    <n v="0"/>
    <n v="0"/>
    <n v="-1"/>
    <x v="0"/>
  </r>
  <r>
    <x v="2228"/>
    <s v="C0069"/>
    <x v="2"/>
    <d v="2024-12-09T00:00:00"/>
    <d v="2025-01-08T00:00:00"/>
    <s v="INR"/>
    <n v="7094193"/>
    <d v="2025-02-07T00:00:00"/>
    <s v="PAID"/>
    <s v="N"/>
    <m/>
    <n v="7094193"/>
    <n v="1"/>
    <n v="7094193"/>
    <n v="0"/>
    <n v="0"/>
    <n v="30"/>
    <x v="0"/>
  </r>
  <r>
    <x v="2229"/>
    <s v="C0073"/>
    <x v="1"/>
    <d v="2024-12-09T00:00:00"/>
    <d v="2025-01-08T00:00:00"/>
    <s v="USD"/>
    <n v="84756.01"/>
    <m/>
    <s v="OPEN"/>
    <s v="Y"/>
    <n v="84.861199999999997"/>
    <n v="0"/>
    <n v="84.72"/>
    <n v="7180529.1671999991"/>
    <n v="7180529.1671999991"/>
    <n v="82"/>
    <s v=""/>
    <x v="2"/>
  </r>
  <r>
    <x v="2230"/>
    <s v="C0084"/>
    <x v="3"/>
    <d v="2024-12-09T00:00:00"/>
    <d v="2025-01-23T00:00:00"/>
    <s v="INR"/>
    <n v="7599611"/>
    <d v="2025-01-24T00:00:00"/>
    <s v="PAID"/>
    <s v="N"/>
    <m/>
    <n v="7599611"/>
    <n v="1"/>
    <n v="7599611"/>
    <n v="0"/>
    <n v="0"/>
    <n v="1"/>
    <x v="0"/>
  </r>
  <r>
    <x v="2231"/>
    <s v="C0112"/>
    <x v="1"/>
    <d v="2024-12-09T00:00:00"/>
    <d v="2025-01-23T00:00:00"/>
    <s v="INR"/>
    <n v="7445251"/>
    <m/>
    <s v="OPEN"/>
    <s v="N"/>
    <m/>
    <n v="0"/>
    <n v="1"/>
    <n v="7445251"/>
    <n v="7445251"/>
    <n v="67"/>
    <s v=""/>
    <x v="2"/>
  </r>
  <r>
    <x v="2232"/>
    <s v="C0147"/>
    <x v="2"/>
    <d v="2024-12-09T00:00:00"/>
    <d v="2025-03-09T00:00:00"/>
    <s v="INR"/>
    <n v="5628450"/>
    <d v="2025-03-24T00:00:00"/>
    <s v="PAID"/>
    <s v="N"/>
    <m/>
    <n v="5628450"/>
    <n v="1"/>
    <n v="5628450"/>
    <n v="0"/>
    <n v="0"/>
    <n v="15"/>
    <x v="0"/>
  </r>
  <r>
    <x v="2233"/>
    <s v="C0166"/>
    <x v="4"/>
    <d v="2024-12-09T00:00:00"/>
    <d v="2025-03-09T00:00:00"/>
    <s v="INR"/>
    <n v="4258332"/>
    <d v="2025-03-30T00:00:00"/>
    <s v="PAID"/>
    <s v="N"/>
    <m/>
    <n v="4258332"/>
    <n v="1"/>
    <n v="4258332"/>
    <n v="0"/>
    <n v="0"/>
    <n v="21"/>
    <x v="0"/>
  </r>
  <r>
    <x v="2234"/>
    <s v="C0182"/>
    <x v="0"/>
    <d v="2024-12-09T00:00:00"/>
    <d v="2025-02-07T00:00:00"/>
    <s v="INR"/>
    <n v="15960024"/>
    <d v="2025-02-10T00:00:00"/>
    <s v="PAID"/>
    <s v="N"/>
    <m/>
    <n v="15960024"/>
    <n v="1"/>
    <n v="15960024"/>
    <n v="0"/>
    <n v="0"/>
    <n v="3"/>
    <x v="0"/>
  </r>
  <r>
    <x v="2235"/>
    <s v="C0233"/>
    <x v="2"/>
    <d v="2024-12-09T00:00:00"/>
    <d v="2025-02-07T00:00:00"/>
    <s v="INR"/>
    <n v="1657213"/>
    <d v="2025-02-05T00:00:00"/>
    <s v="PAID"/>
    <s v="N"/>
    <m/>
    <n v="1657213"/>
    <n v="1"/>
    <n v="1657213"/>
    <n v="0"/>
    <n v="0"/>
    <n v="-2"/>
    <x v="0"/>
  </r>
  <r>
    <x v="2236"/>
    <s v="C0039"/>
    <x v="0"/>
    <d v="2024-12-10T00:00:00"/>
    <d v="2025-02-08T00:00:00"/>
    <s v="INR"/>
    <n v="11095067"/>
    <d v="2025-02-11T00:00:00"/>
    <s v="PAID"/>
    <s v="N"/>
    <m/>
    <n v="11095067"/>
    <n v="1"/>
    <n v="11095067"/>
    <n v="0"/>
    <n v="0"/>
    <n v="3"/>
    <x v="0"/>
  </r>
  <r>
    <x v="2237"/>
    <s v="C0080"/>
    <x v="0"/>
    <d v="2024-12-10T00:00:00"/>
    <d v="2025-02-08T00:00:00"/>
    <s v="INR"/>
    <n v="6944170"/>
    <d v="2025-02-15T00:00:00"/>
    <s v="PAID"/>
    <s v="N"/>
    <m/>
    <n v="6944170"/>
    <n v="1"/>
    <n v="6944170"/>
    <n v="0"/>
    <n v="0"/>
    <n v="7"/>
    <x v="0"/>
  </r>
  <r>
    <x v="2238"/>
    <s v="C0198"/>
    <x v="3"/>
    <d v="2024-12-10T00:00:00"/>
    <d v="2025-01-24T00:00:00"/>
    <s v="USD"/>
    <n v="190212.66"/>
    <d v="2025-03-06T00:00:00"/>
    <s v="PAID"/>
    <s v="Y"/>
    <n v="85.052099999999996"/>
    <n v="190212.66"/>
    <n v="84.84"/>
    <n v="16137642.0744"/>
    <n v="0"/>
    <n v="0"/>
    <n v="41"/>
    <x v="0"/>
  </r>
  <r>
    <x v="2239"/>
    <s v="C0236"/>
    <x v="1"/>
    <d v="2024-12-10T00:00:00"/>
    <d v="2025-02-08T00:00:00"/>
    <s v="EUR"/>
    <n v="60456.31"/>
    <d v="2025-02-28T00:00:00"/>
    <s v="PAID"/>
    <s v="N"/>
    <m/>
    <n v="60456.31"/>
    <n v="89.183800000000005"/>
    <n v="5391723.4597779997"/>
    <n v="0"/>
    <n v="0"/>
    <n v="20"/>
    <x v="0"/>
  </r>
  <r>
    <x v="2240"/>
    <s v="C0050"/>
    <x v="0"/>
    <d v="2024-12-11T00:00:00"/>
    <d v="2025-02-09T00:00:00"/>
    <s v="INR"/>
    <n v="5368129"/>
    <d v="2025-02-14T00:00:00"/>
    <s v="PAID"/>
    <s v="N"/>
    <m/>
    <n v="5368129"/>
    <n v="1"/>
    <n v="5368129"/>
    <n v="0"/>
    <n v="0"/>
    <n v="5"/>
    <x v="0"/>
  </r>
  <r>
    <x v="2241"/>
    <s v="C0072"/>
    <x v="4"/>
    <d v="2024-12-11T00:00:00"/>
    <d v="2025-03-11T00:00:00"/>
    <s v="EUR"/>
    <n v="331724.75"/>
    <d v="2025-03-23T00:00:00"/>
    <s v="PAID"/>
    <s v="N"/>
    <m/>
    <n v="331724.75"/>
    <n v="89.107799999999997"/>
    <n v="29559262.67805"/>
    <n v="0"/>
    <n v="0"/>
    <n v="12"/>
    <x v="0"/>
  </r>
  <r>
    <x v="2242"/>
    <s v="C0080"/>
    <x v="4"/>
    <d v="2024-12-11T00:00:00"/>
    <d v="2025-02-09T00:00:00"/>
    <s v="INR"/>
    <n v="16645660"/>
    <d v="2025-02-19T00:00:00"/>
    <s v="PAID"/>
    <s v="N"/>
    <m/>
    <n v="16645660"/>
    <n v="1"/>
    <n v="16645660"/>
    <n v="0"/>
    <n v="0"/>
    <n v="10"/>
    <x v="0"/>
  </r>
  <r>
    <x v="2243"/>
    <s v="C0121"/>
    <x v="0"/>
    <d v="2024-12-11T00:00:00"/>
    <d v="2025-02-09T00:00:00"/>
    <s v="INR"/>
    <n v="5086074"/>
    <d v="2025-02-11T00:00:00"/>
    <s v="PAID"/>
    <s v="N"/>
    <m/>
    <n v="5086074"/>
    <n v="1"/>
    <n v="5086074"/>
    <n v="0"/>
    <n v="0"/>
    <n v="2"/>
    <x v="0"/>
  </r>
  <r>
    <x v="2244"/>
    <s v="C0146"/>
    <x v="3"/>
    <d v="2024-12-11T00:00:00"/>
    <d v="2025-02-09T00:00:00"/>
    <s v="USD"/>
    <n v="198625.84"/>
    <d v="2025-02-16T00:00:00"/>
    <s v="PAID"/>
    <s v="N"/>
    <m/>
    <n v="198625.84"/>
    <n v="84.8"/>
    <n v="16843471.232000001"/>
    <n v="0"/>
    <n v="0"/>
    <n v="7"/>
    <x v="0"/>
  </r>
  <r>
    <x v="2245"/>
    <s v="C0246"/>
    <x v="4"/>
    <d v="2024-12-11T00:00:00"/>
    <d v="2025-02-09T00:00:00"/>
    <s v="USD"/>
    <n v="103055.41"/>
    <d v="2025-03-14T00:00:00"/>
    <s v="PAID"/>
    <s v="Y"/>
    <n v="85.082700000000003"/>
    <n v="103055.41"/>
    <n v="84.8"/>
    <n v="8739098.7679999992"/>
    <n v="0"/>
    <n v="0"/>
    <n v="33"/>
    <x v="0"/>
  </r>
  <r>
    <x v="2246"/>
    <s v="C0073"/>
    <x v="1"/>
    <d v="2024-12-12T00:00:00"/>
    <d v="2025-01-11T00:00:00"/>
    <s v="USD"/>
    <n v="98217.95"/>
    <d v="2025-01-30T00:00:00"/>
    <s v="PAID"/>
    <s v="N"/>
    <m/>
    <n v="98217.95"/>
    <n v="84.84"/>
    <n v="8332810.8780000005"/>
    <n v="0"/>
    <n v="0"/>
    <n v="19"/>
    <x v="0"/>
  </r>
  <r>
    <x v="2247"/>
    <s v="C0076"/>
    <x v="0"/>
    <d v="2024-12-12T00:00:00"/>
    <d v="2025-02-10T00:00:00"/>
    <s v="INR"/>
    <n v="4619438"/>
    <m/>
    <s v="OPEN"/>
    <s v="N"/>
    <m/>
    <n v="0"/>
    <n v="1"/>
    <n v="4619438"/>
    <n v="4619438"/>
    <n v="49"/>
    <s v=""/>
    <x v="3"/>
  </r>
  <r>
    <x v="2248"/>
    <s v="C0083"/>
    <x v="3"/>
    <d v="2024-12-12T00:00:00"/>
    <d v="2025-01-26T00:00:00"/>
    <s v="INR"/>
    <n v="7821238"/>
    <d v="2025-02-03T00:00:00"/>
    <s v="PAID"/>
    <s v="N"/>
    <m/>
    <n v="7821238"/>
    <n v="1"/>
    <n v="7821238"/>
    <n v="0"/>
    <n v="0"/>
    <n v="8"/>
    <x v="0"/>
  </r>
  <r>
    <x v="2249"/>
    <s v="C0110"/>
    <x v="1"/>
    <d v="2024-12-12T00:00:00"/>
    <d v="2025-02-10T00:00:00"/>
    <s v="USD"/>
    <n v="270150.7"/>
    <d v="2025-03-04T00:00:00"/>
    <s v="PAID"/>
    <s v="N"/>
    <m/>
    <n v="270150.7"/>
    <n v="84.84"/>
    <n v="22919585.388"/>
    <n v="0"/>
    <n v="0"/>
    <n v="22"/>
    <x v="0"/>
  </r>
  <r>
    <x v="2250"/>
    <s v="C0131"/>
    <x v="4"/>
    <d v="2024-12-12T00:00:00"/>
    <d v="2025-03-12T00:00:00"/>
    <s v="INR"/>
    <n v="1894002"/>
    <d v="2025-03-25T00:00:00"/>
    <s v="PARTIALLY PAID"/>
    <s v="N"/>
    <m/>
    <n v="1499849.22"/>
    <n v="1"/>
    <n v="1894002"/>
    <n v="394152.78"/>
    <n v="19"/>
    <n v="13"/>
    <x v="4"/>
  </r>
  <r>
    <x v="2251"/>
    <s v="C0189"/>
    <x v="1"/>
    <d v="2024-12-12T00:00:00"/>
    <d v="2025-01-26T00:00:00"/>
    <s v="INR"/>
    <n v="3680550"/>
    <d v="2025-03-12T00:00:00"/>
    <s v="PAID"/>
    <s v="N"/>
    <m/>
    <n v="3680550"/>
    <n v="1"/>
    <n v="3680550"/>
    <n v="0"/>
    <n v="0"/>
    <n v="45"/>
    <x v="0"/>
  </r>
  <r>
    <x v="2252"/>
    <s v="C0198"/>
    <x v="3"/>
    <d v="2024-12-12T00:00:00"/>
    <d v="2025-01-26T00:00:00"/>
    <s v="USD"/>
    <n v="225595.07"/>
    <m/>
    <s v="OPEN"/>
    <s v="Y"/>
    <n v="85.052099999999996"/>
    <n v="0"/>
    <n v="84.84"/>
    <n v="19139485.7388"/>
    <n v="19139485.7388"/>
    <n v="64"/>
    <s v=""/>
    <x v="2"/>
  </r>
  <r>
    <x v="2253"/>
    <s v="C0057"/>
    <x v="3"/>
    <d v="2024-12-13T00:00:00"/>
    <d v="2025-01-12T00:00:00"/>
    <s v="INR"/>
    <n v="8173222"/>
    <d v="2025-01-17T00:00:00"/>
    <s v="PAID"/>
    <s v="N"/>
    <m/>
    <n v="8173222"/>
    <n v="1"/>
    <n v="8173222"/>
    <n v="0"/>
    <n v="0"/>
    <n v="5"/>
    <x v="0"/>
  </r>
  <r>
    <x v="2254"/>
    <s v="C0228"/>
    <x v="0"/>
    <d v="2024-12-13T00:00:00"/>
    <d v="2025-01-27T00:00:00"/>
    <s v="INR"/>
    <n v="10796560"/>
    <d v="2025-02-07T00:00:00"/>
    <s v="PAID"/>
    <s v="N"/>
    <m/>
    <n v="10796560"/>
    <n v="1"/>
    <n v="10796560"/>
    <n v="0"/>
    <n v="0"/>
    <n v="11"/>
    <x v="0"/>
  </r>
  <r>
    <x v="2255"/>
    <s v="C0228"/>
    <x v="0"/>
    <d v="2024-12-13T00:00:00"/>
    <d v="2025-01-27T00:00:00"/>
    <s v="INR"/>
    <n v="15230173"/>
    <d v="2025-02-05T00:00:00"/>
    <s v="PAID"/>
    <s v="N"/>
    <m/>
    <n v="15230173"/>
    <n v="1"/>
    <n v="15230173"/>
    <n v="0"/>
    <n v="0"/>
    <n v="9"/>
    <x v="0"/>
  </r>
  <r>
    <x v="2256"/>
    <s v="C0016"/>
    <x v="1"/>
    <d v="2024-12-14T00:00:00"/>
    <d v="2025-01-13T00:00:00"/>
    <s v="INR"/>
    <n v="1264929"/>
    <d v="2025-01-23T00:00:00"/>
    <s v="PAID"/>
    <s v="N"/>
    <m/>
    <n v="1264929"/>
    <n v="1"/>
    <n v="1264929"/>
    <n v="0"/>
    <n v="0"/>
    <n v="10"/>
    <x v="0"/>
  </r>
  <r>
    <x v="2257"/>
    <s v="C0049"/>
    <x v="3"/>
    <d v="2024-12-14T00:00:00"/>
    <d v="2025-01-13T00:00:00"/>
    <s v="INR"/>
    <n v="19748579"/>
    <d v="2025-01-06T00:00:00"/>
    <s v="PAID"/>
    <s v="N"/>
    <m/>
    <n v="19748579"/>
    <n v="1"/>
    <n v="19748579"/>
    <n v="0"/>
    <n v="0"/>
    <n v="-7"/>
    <x v="0"/>
  </r>
  <r>
    <x v="2258"/>
    <s v="C0169"/>
    <x v="3"/>
    <d v="2024-12-14T00:00:00"/>
    <d v="2025-01-28T00:00:00"/>
    <s v="EUR"/>
    <n v="93305.87"/>
    <d v="2025-02-15T00:00:00"/>
    <s v="PARTIALLY PAID"/>
    <s v="Y"/>
    <n v="89.135499999999993"/>
    <n v="83691.45"/>
    <n v="89.001999999999995"/>
    <n v="8304409.0417399993"/>
    <n v="855702.60883999977"/>
    <n v="62"/>
    <n v="18"/>
    <x v="2"/>
  </r>
  <r>
    <x v="2259"/>
    <s v="C0228"/>
    <x v="0"/>
    <d v="2024-12-14T00:00:00"/>
    <d v="2025-01-28T00:00:00"/>
    <s v="INR"/>
    <n v="10707334"/>
    <d v="2025-02-02T00:00:00"/>
    <s v="PAID"/>
    <s v="N"/>
    <m/>
    <n v="10707334"/>
    <n v="1"/>
    <n v="10707334"/>
    <n v="0"/>
    <n v="0"/>
    <n v="5"/>
    <x v="0"/>
  </r>
  <r>
    <x v="2260"/>
    <s v="C0033"/>
    <x v="2"/>
    <d v="2024-12-16T00:00:00"/>
    <d v="2025-03-16T00:00:00"/>
    <s v="USD"/>
    <n v="31625.22"/>
    <m/>
    <s v="OPEN"/>
    <s v="N"/>
    <m/>
    <n v="0"/>
    <n v="84.89"/>
    <n v="2684664.9258000003"/>
    <n v="2684664.9258000003"/>
    <n v="15"/>
    <s v=""/>
    <x v="4"/>
  </r>
  <r>
    <x v="2261"/>
    <s v="C0098"/>
    <x v="3"/>
    <d v="2024-12-16T00:00:00"/>
    <d v="2025-03-16T00:00:00"/>
    <s v="INR"/>
    <n v="26822820"/>
    <d v="2025-03-19T00:00:00"/>
    <s v="PAID"/>
    <s v="N"/>
    <m/>
    <n v="26822820"/>
    <n v="1"/>
    <n v="26822820"/>
    <n v="0"/>
    <n v="0"/>
    <n v="3"/>
    <x v="0"/>
  </r>
  <r>
    <x v="2262"/>
    <s v="C0111"/>
    <x v="3"/>
    <d v="2024-12-16T00:00:00"/>
    <d v="2025-03-16T00:00:00"/>
    <s v="EUR"/>
    <n v="74080.28"/>
    <m/>
    <s v="OPEN"/>
    <s v="Y"/>
    <n v="89.504099999999994"/>
    <n v="0"/>
    <n v="89.236400000000003"/>
    <n v="6610657.4981920002"/>
    <n v="6610657.4981920002"/>
    <n v="15"/>
    <s v=""/>
    <x v="4"/>
  </r>
  <r>
    <x v="2263"/>
    <s v="C0133"/>
    <x v="2"/>
    <d v="2024-12-16T00:00:00"/>
    <d v="2025-03-16T00:00:00"/>
    <s v="USD"/>
    <n v="42882.06"/>
    <d v="2025-03-31T00:00:00"/>
    <s v="PAID"/>
    <s v="N"/>
    <m/>
    <n v="42882.06"/>
    <n v="84.89"/>
    <n v="3640258.0733999996"/>
    <n v="0"/>
    <n v="0"/>
    <n v="15"/>
    <x v="0"/>
  </r>
  <r>
    <x v="2264"/>
    <s v="C0058"/>
    <x v="3"/>
    <d v="2024-12-17T00:00:00"/>
    <d v="2025-01-16T00:00:00"/>
    <s v="INR"/>
    <n v="5339304"/>
    <d v="2025-01-22T00:00:00"/>
    <s v="PAID"/>
    <s v="N"/>
    <m/>
    <n v="5339304"/>
    <n v="1"/>
    <n v="5339304"/>
    <n v="0"/>
    <n v="0"/>
    <n v="6"/>
    <x v="0"/>
  </r>
  <r>
    <x v="2265"/>
    <s v="C0166"/>
    <x v="4"/>
    <d v="2024-12-17T00:00:00"/>
    <d v="2025-03-17T00:00:00"/>
    <s v="INR"/>
    <n v="13783437"/>
    <m/>
    <s v="OPEN"/>
    <s v="N"/>
    <m/>
    <n v="0"/>
    <n v="1"/>
    <n v="13783437"/>
    <n v="13783437"/>
    <n v="14"/>
    <s v=""/>
    <x v="4"/>
  </r>
  <r>
    <x v="2266"/>
    <s v="C0175"/>
    <x v="0"/>
    <d v="2024-12-17T00:00:00"/>
    <d v="2025-02-15T00:00:00"/>
    <s v="INR"/>
    <n v="1697706"/>
    <d v="2025-03-11T00:00:00"/>
    <s v="PAID"/>
    <s v="N"/>
    <m/>
    <n v="1697706"/>
    <n v="1"/>
    <n v="1697706"/>
    <n v="0"/>
    <n v="0"/>
    <n v="24"/>
    <x v="0"/>
  </r>
  <r>
    <x v="2267"/>
    <s v="C0222"/>
    <x v="2"/>
    <d v="2024-12-17T00:00:00"/>
    <d v="2025-02-15T00:00:00"/>
    <s v="EUR"/>
    <n v="39397.42"/>
    <d v="2025-03-13T00:00:00"/>
    <s v="PAID"/>
    <s v="N"/>
    <m/>
    <n v="39397.42"/>
    <n v="89.206400000000002"/>
    <n v="3514502.0074879997"/>
    <n v="0"/>
    <n v="0"/>
    <n v="26"/>
    <x v="0"/>
  </r>
  <r>
    <x v="2268"/>
    <s v="C0011"/>
    <x v="0"/>
    <d v="2024-12-18T00:00:00"/>
    <d v="2025-02-01T00:00:00"/>
    <s v="INR"/>
    <n v="10109818"/>
    <d v="2025-03-13T00:00:00"/>
    <s v="PAID"/>
    <s v="N"/>
    <m/>
    <n v="10109818"/>
    <n v="1"/>
    <n v="10109818"/>
    <n v="0"/>
    <n v="0"/>
    <n v="40"/>
    <x v="0"/>
  </r>
  <r>
    <x v="2269"/>
    <s v="C0057"/>
    <x v="3"/>
    <d v="2024-12-18T00:00:00"/>
    <d v="2025-01-17T00:00:00"/>
    <s v="INR"/>
    <n v="2331984"/>
    <d v="2025-01-10T00:00:00"/>
    <s v="PAID"/>
    <s v="N"/>
    <m/>
    <n v="2331984"/>
    <n v="1"/>
    <n v="2331984"/>
    <n v="0"/>
    <n v="0"/>
    <n v="-7"/>
    <x v="0"/>
  </r>
  <r>
    <x v="2270"/>
    <s v="C0080"/>
    <x v="4"/>
    <d v="2024-12-18T00:00:00"/>
    <d v="2025-02-16T00:00:00"/>
    <s v="INR"/>
    <n v="8750073"/>
    <d v="2025-02-17T00:00:00"/>
    <s v="PAID"/>
    <s v="N"/>
    <m/>
    <n v="8750073"/>
    <n v="1"/>
    <n v="8750073"/>
    <n v="0"/>
    <n v="0"/>
    <n v="1"/>
    <x v="0"/>
  </r>
  <r>
    <x v="2271"/>
    <s v="C0111"/>
    <x v="3"/>
    <d v="2024-12-18T00:00:00"/>
    <d v="2025-03-18T00:00:00"/>
    <s v="EUR"/>
    <n v="65012.31"/>
    <m/>
    <s v="OPEN"/>
    <s v="N"/>
    <m/>
    <n v="0"/>
    <n v="88.934200000000004"/>
    <n v="5781817.7800019998"/>
    <n v="5781817.7800019998"/>
    <n v="13"/>
    <s v=""/>
    <x v="4"/>
  </r>
  <r>
    <x v="2272"/>
    <s v="C0115"/>
    <x v="1"/>
    <d v="2024-12-18T00:00:00"/>
    <d v="2025-02-16T00:00:00"/>
    <s v="EUR"/>
    <n v="138689.60999999999"/>
    <m/>
    <s v="OPEN"/>
    <s v="N"/>
    <m/>
    <n v="0"/>
    <n v="88.934200000000004"/>
    <n v="12334249.513661999"/>
    <n v="12334249.513661999"/>
    <n v="43"/>
    <s v=""/>
    <x v="3"/>
  </r>
  <r>
    <x v="2273"/>
    <s v="C0198"/>
    <x v="3"/>
    <d v="2024-12-18T00:00:00"/>
    <d v="2025-02-01T00:00:00"/>
    <s v="USD"/>
    <n v="319540.68"/>
    <d v="2024-11-22T00:00:00"/>
    <s v="PAID"/>
    <s v="N"/>
    <m/>
    <n v="319540.68"/>
    <n v="84.95"/>
    <n v="27144980.765999999"/>
    <n v="0"/>
    <n v="0"/>
    <m/>
    <x v="0"/>
  </r>
  <r>
    <x v="2274"/>
    <s v="C0011"/>
    <x v="0"/>
    <d v="2024-12-19T00:00:00"/>
    <d v="2025-02-02T00:00:00"/>
    <s v="INR"/>
    <n v="4341289"/>
    <d v="2025-02-23T00:00:00"/>
    <s v="PAID"/>
    <s v="N"/>
    <m/>
    <n v="4341289"/>
    <n v="1"/>
    <n v="4341289"/>
    <n v="0"/>
    <n v="0"/>
    <n v="21"/>
    <x v="0"/>
  </r>
  <r>
    <x v="2275"/>
    <s v="C0081"/>
    <x v="0"/>
    <d v="2024-12-19T00:00:00"/>
    <d v="2025-01-18T00:00:00"/>
    <s v="INR"/>
    <n v="3150909"/>
    <d v="2025-02-27T00:00:00"/>
    <s v="PAID"/>
    <s v="N"/>
    <m/>
    <n v="3150909"/>
    <n v="1"/>
    <n v="3150909"/>
    <n v="0"/>
    <n v="0"/>
    <n v="40"/>
    <x v="0"/>
  </r>
  <r>
    <x v="2276"/>
    <s v="C0218"/>
    <x v="3"/>
    <d v="2024-12-19T00:00:00"/>
    <d v="2025-02-02T00:00:00"/>
    <s v="INR"/>
    <n v="7699673"/>
    <d v="2025-02-14T00:00:00"/>
    <s v="PAID"/>
    <s v="N"/>
    <m/>
    <n v="7699673"/>
    <n v="1"/>
    <n v="7699673"/>
    <n v="0"/>
    <n v="0"/>
    <n v="12"/>
    <x v="0"/>
  </r>
  <r>
    <x v="2277"/>
    <s v="C0016"/>
    <x v="1"/>
    <d v="2024-12-20T00:00:00"/>
    <d v="2025-01-19T00:00:00"/>
    <s v="INR"/>
    <n v="2213435"/>
    <d v="2025-01-31T00:00:00"/>
    <s v="PAID"/>
    <s v="N"/>
    <m/>
    <n v="2213435"/>
    <n v="1"/>
    <n v="2213435"/>
    <n v="0"/>
    <n v="0"/>
    <n v="12"/>
    <x v="0"/>
  </r>
  <r>
    <x v="2278"/>
    <s v="C0052"/>
    <x v="0"/>
    <d v="2024-12-20T00:00:00"/>
    <d v="2025-01-19T00:00:00"/>
    <s v="INR"/>
    <n v="8136474"/>
    <d v="2025-02-02T00:00:00"/>
    <s v="PAID"/>
    <s v="N"/>
    <m/>
    <n v="8136474"/>
    <n v="1"/>
    <n v="8136474"/>
    <n v="0"/>
    <n v="0"/>
    <n v="14"/>
    <x v="0"/>
  </r>
  <r>
    <x v="2279"/>
    <s v="C0055"/>
    <x v="1"/>
    <d v="2024-12-20T00:00:00"/>
    <d v="2025-02-03T00:00:00"/>
    <s v="INR"/>
    <n v="5577138"/>
    <d v="2025-02-02T00:00:00"/>
    <s v="PAID"/>
    <s v="N"/>
    <m/>
    <n v="5577138"/>
    <n v="1"/>
    <n v="5577138"/>
    <n v="0"/>
    <n v="0"/>
    <n v="-1"/>
    <x v="0"/>
  </r>
  <r>
    <x v="2280"/>
    <s v="C0066"/>
    <x v="3"/>
    <d v="2024-12-20T00:00:00"/>
    <d v="2025-01-19T00:00:00"/>
    <s v="INR"/>
    <n v="7047314"/>
    <d v="2025-01-22T00:00:00"/>
    <s v="PAID"/>
    <s v="N"/>
    <m/>
    <n v="7047314"/>
    <n v="1"/>
    <n v="7047314"/>
    <n v="0"/>
    <n v="0"/>
    <n v="3"/>
    <x v="0"/>
  </r>
  <r>
    <x v="2281"/>
    <s v="C0073"/>
    <x v="1"/>
    <d v="2024-12-20T00:00:00"/>
    <d v="2025-01-19T00:00:00"/>
    <s v="USD"/>
    <n v="58831.44"/>
    <d v="2025-02-14T00:00:00"/>
    <s v="PAID"/>
    <s v="Y"/>
    <n v="85.161699999999996"/>
    <n v="58831.44"/>
    <n v="85.02"/>
    <n v="5001849.0287999995"/>
    <n v="0"/>
    <n v="0"/>
    <n v="26"/>
    <x v="0"/>
  </r>
  <r>
    <x v="2282"/>
    <s v="C0119"/>
    <x v="3"/>
    <d v="2024-12-20T00:00:00"/>
    <d v="2025-02-18T00:00:00"/>
    <s v="INR"/>
    <n v="2228795"/>
    <d v="2025-02-21T00:00:00"/>
    <s v="PAID"/>
    <s v="N"/>
    <m/>
    <n v="2228795"/>
    <n v="1"/>
    <n v="2228795"/>
    <n v="0"/>
    <n v="0"/>
    <n v="3"/>
    <x v="0"/>
  </r>
  <r>
    <x v="2283"/>
    <s v="C0125"/>
    <x v="3"/>
    <d v="2024-12-20T00:00:00"/>
    <d v="2025-02-03T00:00:00"/>
    <s v="INR"/>
    <n v="19214577"/>
    <d v="2025-02-08T00:00:00"/>
    <s v="PAID"/>
    <s v="N"/>
    <m/>
    <n v="19214577"/>
    <n v="1"/>
    <n v="19214577"/>
    <n v="0"/>
    <n v="0"/>
    <n v="5"/>
    <x v="0"/>
  </r>
  <r>
    <x v="2284"/>
    <s v="C0135"/>
    <x v="0"/>
    <d v="2024-12-20T00:00:00"/>
    <d v="2025-02-18T00:00:00"/>
    <s v="EUR"/>
    <n v="96157.71"/>
    <d v="2025-03-03T00:00:00"/>
    <s v="PAID"/>
    <s v="Y"/>
    <n v="88.853300000000004"/>
    <n v="96157.71"/>
    <n v="88.675899999999999"/>
    <n v="8526871.4761890005"/>
    <n v="0"/>
    <n v="0"/>
    <n v="13"/>
    <x v="0"/>
  </r>
  <r>
    <x v="2285"/>
    <s v="C0151"/>
    <x v="2"/>
    <d v="2024-12-20T00:00:00"/>
    <d v="2025-01-19T00:00:00"/>
    <s v="INR"/>
    <n v="9359660"/>
    <d v="2025-01-29T00:00:00"/>
    <s v="PAID"/>
    <s v="N"/>
    <m/>
    <n v="9359660"/>
    <n v="1"/>
    <n v="9359660"/>
    <n v="0"/>
    <n v="0"/>
    <n v="10"/>
    <x v="0"/>
  </r>
  <r>
    <x v="2286"/>
    <s v="C0248"/>
    <x v="4"/>
    <d v="2024-12-20T00:00:00"/>
    <d v="2025-01-19T00:00:00"/>
    <s v="USD"/>
    <n v="115064.08"/>
    <d v="2025-02-05T00:00:00"/>
    <s v="PAID"/>
    <s v="N"/>
    <m/>
    <n v="115064.08"/>
    <n v="85.02"/>
    <n v="9782748.0815999992"/>
    <n v="0"/>
    <n v="0"/>
    <n v="17"/>
    <x v="0"/>
  </r>
  <r>
    <x v="2287"/>
    <s v="C0042"/>
    <x v="3"/>
    <d v="2024-12-21T00:00:00"/>
    <d v="2025-02-19T00:00:00"/>
    <s v="EUR"/>
    <n v="23917.759999999998"/>
    <m/>
    <s v="OPEN"/>
    <s v="Y"/>
    <n v="88.853300000000004"/>
    <n v="0"/>
    <n v="88.675899999999999"/>
    <n v="2120928.8939839997"/>
    <n v="2120928.8939839997"/>
    <n v="40"/>
    <s v=""/>
    <x v="3"/>
  </r>
  <r>
    <x v="2288"/>
    <s v="C0083"/>
    <x v="3"/>
    <d v="2024-12-21T00:00:00"/>
    <d v="2025-02-04T00:00:00"/>
    <s v="INR"/>
    <n v="6003922"/>
    <d v="2025-02-14T00:00:00"/>
    <s v="PAID"/>
    <s v="N"/>
    <m/>
    <n v="6003922"/>
    <n v="1"/>
    <n v="6003922"/>
    <n v="0"/>
    <n v="0"/>
    <n v="10"/>
    <x v="0"/>
  </r>
  <r>
    <x v="2289"/>
    <s v="C0173"/>
    <x v="4"/>
    <d v="2024-12-21T00:00:00"/>
    <d v="2025-02-19T00:00:00"/>
    <s v="EUR"/>
    <n v="54799.51"/>
    <d v="2025-03-13T00:00:00"/>
    <s v="PAID"/>
    <s v="N"/>
    <m/>
    <n v="54799.51"/>
    <n v="88.675899999999999"/>
    <n v="4859395.8688089997"/>
    <n v="0"/>
    <n v="0"/>
    <n v="22"/>
    <x v="0"/>
  </r>
  <r>
    <x v="2290"/>
    <s v="C0212"/>
    <x v="2"/>
    <d v="2024-12-21T00:00:00"/>
    <d v="2025-03-21T00:00:00"/>
    <s v="INR"/>
    <n v="13064317"/>
    <d v="2025-03-16T00:00:00"/>
    <s v="PAID"/>
    <s v="N"/>
    <m/>
    <n v="13064317"/>
    <n v="1"/>
    <n v="13064317"/>
    <n v="0"/>
    <n v="0"/>
    <n v="-5"/>
    <x v="0"/>
  </r>
  <r>
    <x v="2291"/>
    <s v="C0214"/>
    <x v="0"/>
    <d v="2024-12-21T00:00:00"/>
    <d v="2025-01-20T00:00:00"/>
    <s v="INR"/>
    <n v="6608113"/>
    <d v="2025-01-18T00:00:00"/>
    <s v="PAID"/>
    <s v="N"/>
    <m/>
    <n v="6608113"/>
    <n v="1"/>
    <n v="6608113"/>
    <n v="0"/>
    <n v="0"/>
    <n v="-2"/>
    <x v="0"/>
  </r>
  <r>
    <x v="2292"/>
    <s v="C0221"/>
    <x v="1"/>
    <d v="2024-12-21T00:00:00"/>
    <d v="2025-02-19T00:00:00"/>
    <s v="INR"/>
    <n v="10182609"/>
    <d v="2025-03-08T00:00:00"/>
    <s v="PAID"/>
    <s v="N"/>
    <m/>
    <n v="10182609"/>
    <n v="1"/>
    <n v="10182609"/>
    <n v="0"/>
    <n v="0"/>
    <n v="17"/>
    <x v="0"/>
  </r>
  <r>
    <x v="2293"/>
    <s v="C0228"/>
    <x v="0"/>
    <d v="2024-12-21T00:00:00"/>
    <d v="2025-02-04T00:00:00"/>
    <s v="INR"/>
    <n v="6334457"/>
    <d v="2025-02-17T00:00:00"/>
    <s v="PAID"/>
    <s v="N"/>
    <m/>
    <n v="6334457"/>
    <n v="1"/>
    <n v="6334457"/>
    <n v="0"/>
    <n v="0"/>
    <n v="13"/>
    <x v="0"/>
  </r>
  <r>
    <x v="2294"/>
    <s v="C0238"/>
    <x v="2"/>
    <d v="2024-12-21T00:00:00"/>
    <d v="2025-02-19T00:00:00"/>
    <s v="INR"/>
    <n v="2380883"/>
    <d v="2025-02-21T00:00:00"/>
    <s v="PAID"/>
    <s v="N"/>
    <m/>
    <n v="2380883"/>
    <n v="1"/>
    <n v="2380883"/>
    <n v="0"/>
    <n v="0"/>
    <n v="2"/>
    <x v="0"/>
  </r>
  <r>
    <x v="2295"/>
    <s v="C0049"/>
    <x v="3"/>
    <d v="2024-12-23T00:00:00"/>
    <d v="2025-01-22T00:00:00"/>
    <s v="INR"/>
    <n v="7859238"/>
    <d v="2025-01-21T00:00:00"/>
    <s v="PAID"/>
    <s v="N"/>
    <m/>
    <n v="7859238"/>
    <n v="1"/>
    <n v="7859238"/>
    <n v="0"/>
    <n v="0"/>
    <n v="-1"/>
    <x v="0"/>
  </r>
  <r>
    <x v="2296"/>
    <s v="C0004"/>
    <x v="0"/>
    <d v="2024-12-24T00:00:00"/>
    <d v="2025-02-07T00:00:00"/>
    <s v="INR"/>
    <n v="9809090"/>
    <d v="2025-02-26T00:00:00"/>
    <s v="PAID"/>
    <s v="N"/>
    <m/>
    <n v="9809090"/>
    <n v="1"/>
    <n v="9809090"/>
    <n v="0"/>
    <n v="0"/>
    <n v="19"/>
    <x v="0"/>
  </r>
  <r>
    <x v="2297"/>
    <s v="C0036"/>
    <x v="1"/>
    <d v="2024-12-24T00:00:00"/>
    <d v="2025-02-07T00:00:00"/>
    <s v="INR"/>
    <n v="31385409"/>
    <d v="2025-02-12T00:00:00"/>
    <s v="PAID"/>
    <s v="N"/>
    <m/>
    <n v="31385409"/>
    <n v="1"/>
    <n v="31385409"/>
    <n v="0"/>
    <n v="0"/>
    <n v="5"/>
    <x v="0"/>
  </r>
  <r>
    <x v="2298"/>
    <s v="C0057"/>
    <x v="3"/>
    <d v="2024-12-24T00:00:00"/>
    <d v="2025-01-23T00:00:00"/>
    <s v="INR"/>
    <n v="18219539"/>
    <d v="2025-01-24T00:00:00"/>
    <s v="PAID"/>
    <s v="N"/>
    <m/>
    <n v="18219539"/>
    <n v="1"/>
    <n v="18219539"/>
    <n v="0"/>
    <n v="0"/>
    <n v="1"/>
    <x v="0"/>
  </r>
  <r>
    <x v="2299"/>
    <s v="C0073"/>
    <x v="1"/>
    <d v="2024-12-24T00:00:00"/>
    <d v="2025-01-23T00:00:00"/>
    <s v="USD"/>
    <n v="40780.07"/>
    <d v="2025-02-27T00:00:00"/>
    <s v="PAID"/>
    <s v="N"/>
    <m/>
    <n v="40780.07"/>
    <n v="85.14"/>
    <n v="3472015.1598"/>
    <n v="0"/>
    <n v="0"/>
    <n v="35"/>
    <x v="0"/>
  </r>
  <r>
    <x v="2300"/>
    <s v="C0111"/>
    <x v="3"/>
    <d v="2024-12-24T00:00:00"/>
    <d v="2025-03-24T00:00:00"/>
    <s v="EUR"/>
    <n v="121279.9"/>
    <d v="2025-03-27T00:00:00"/>
    <s v="PAID"/>
    <s v="Y"/>
    <n v="88.708699999999993"/>
    <n v="121279.9"/>
    <n v="88.443399999999997"/>
    <n v="10726406.707659999"/>
    <n v="0"/>
    <n v="0"/>
    <n v="3"/>
    <x v="0"/>
  </r>
  <r>
    <x v="2301"/>
    <s v="C0221"/>
    <x v="1"/>
    <d v="2024-12-24T00:00:00"/>
    <d v="2025-02-22T00:00:00"/>
    <s v="INR"/>
    <n v="2650381"/>
    <d v="2025-03-09T00:00:00"/>
    <s v="PAID"/>
    <s v="N"/>
    <m/>
    <n v="2650381"/>
    <n v="1"/>
    <n v="2650381"/>
    <n v="0"/>
    <n v="0"/>
    <n v="15"/>
    <x v="0"/>
  </r>
  <r>
    <x v="2302"/>
    <s v="C0025"/>
    <x v="3"/>
    <d v="2024-12-25T00:00:00"/>
    <d v="2025-02-08T00:00:00"/>
    <s v="USD"/>
    <n v="310695.86"/>
    <d v="2025-03-01T00:00:00"/>
    <s v="PAID"/>
    <s v="N"/>
    <m/>
    <n v="310695.86"/>
    <n v="85.14"/>
    <n v="26452645.520399999"/>
    <n v="0"/>
    <n v="0"/>
    <n v="21"/>
    <x v="0"/>
  </r>
  <r>
    <x v="2303"/>
    <s v="C0047"/>
    <x v="4"/>
    <d v="2024-12-25T00:00:00"/>
    <d v="2025-03-25T00:00:00"/>
    <s v="USD"/>
    <n v="235142"/>
    <d v="2025-03-30T00:00:00"/>
    <s v="PAID"/>
    <s v="Y"/>
    <n v="85.565700000000007"/>
    <n v="235142"/>
    <n v="85.14"/>
    <n v="20019989.879999999"/>
    <n v="0"/>
    <n v="0"/>
    <n v="5"/>
    <x v="0"/>
  </r>
  <r>
    <x v="2304"/>
    <s v="C0057"/>
    <x v="3"/>
    <d v="2024-12-25T00:00:00"/>
    <d v="2025-01-24T00:00:00"/>
    <s v="INR"/>
    <n v="16688396"/>
    <d v="2025-01-27T00:00:00"/>
    <s v="PAID"/>
    <s v="N"/>
    <m/>
    <n v="16688396"/>
    <n v="1"/>
    <n v="16688396"/>
    <n v="0"/>
    <n v="0"/>
    <n v="3"/>
    <x v="0"/>
  </r>
  <r>
    <x v="2305"/>
    <s v="C0069"/>
    <x v="2"/>
    <d v="2024-12-25T00:00:00"/>
    <d v="2025-01-24T00:00:00"/>
    <s v="INR"/>
    <n v="1709988"/>
    <d v="2025-03-11T00:00:00"/>
    <s v="PAID"/>
    <s v="N"/>
    <m/>
    <n v="1709988"/>
    <n v="1"/>
    <n v="1709988"/>
    <n v="0"/>
    <n v="0"/>
    <n v="46"/>
    <x v="0"/>
  </r>
  <r>
    <x v="2306"/>
    <s v="C0071"/>
    <x v="1"/>
    <d v="2024-12-25T00:00:00"/>
    <d v="2025-02-23T00:00:00"/>
    <s v="USD"/>
    <n v="42935.33"/>
    <m/>
    <s v="OPEN"/>
    <s v="Y"/>
    <n v="85.4238"/>
    <n v="0"/>
    <n v="85.14"/>
    <n v="3655513.9962000004"/>
    <n v="3655513.9962000004"/>
    <n v="36"/>
    <s v=""/>
    <x v="3"/>
  </r>
  <r>
    <x v="2307"/>
    <s v="C0212"/>
    <x v="2"/>
    <d v="2024-12-25T00:00:00"/>
    <d v="2025-03-25T00:00:00"/>
    <s v="INR"/>
    <n v="9895943"/>
    <d v="2025-03-24T00:00:00"/>
    <s v="PAID"/>
    <s v="N"/>
    <m/>
    <n v="9895943"/>
    <n v="1"/>
    <n v="9895943"/>
    <n v="0"/>
    <n v="0"/>
    <n v="-1"/>
    <x v="0"/>
  </r>
  <r>
    <x v="2308"/>
    <s v="C0225"/>
    <x v="2"/>
    <d v="2024-12-25T00:00:00"/>
    <d v="2025-02-08T00:00:00"/>
    <s v="USD"/>
    <n v="52379"/>
    <d v="2025-02-18T00:00:00"/>
    <s v="PAID"/>
    <s v="N"/>
    <m/>
    <n v="52379"/>
    <n v="85.14"/>
    <n v="4459548.0599999996"/>
    <n v="0"/>
    <n v="0"/>
    <n v="10"/>
    <x v="0"/>
  </r>
  <r>
    <x v="2309"/>
    <s v="C0213"/>
    <x v="2"/>
    <d v="2024-12-26T00:00:00"/>
    <d v="2025-02-24T00:00:00"/>
    <s v="EUR"/>
    <n v="113837.38"/>
    <d v="2025-02-26T00:00:00"/>
    <s v="PAID"/>
    <s v="N"/>
    <m/>
    <n v="113837.38"/>
    <n v="88.856099999999998"/>
    <n v="10115145.621018"/>
    <n v="0"/>
    <n v="0"/>
    <n v="2"/>
    <x v="0"/>
  </r>
  <r>
    <x v="2310"/>
    <s v="C0073"/>
    <x v="1"/>
    <d v="2024-12-27T00:00:00"/>
    <d v="2025-01-26T00:00:00"/>
    <s v="USD"/>
    <n v="332624.40999999997"/>
    <d v="2025-02-15T00:00:00"/>
    <s v="PAID"/>
    <s v="N"/>
    <m/>
    <n v="332624.40999999997"/>
    <n v="85.53"/>
    <n v="28449365.787299998"/>
    <n v="0"/>
    <n v="0"/>
    <n v="20"/>
    <x v="0"/>
  </r>
  <r>
    <x v="2311"/>
    <s v="C0080"/>
    <x v="0"/>
    <d v="2024-12-27T00:00:00"/>
    <d v="2025-02-25T00:00:00"/>
    <s v="INR"/>
    <n v="4115304"/>
    <d v="2025-03-05T00:00:00"/>
    <s v="PAID"/>
    <s v="N"/>
    <m/>
    <n v="4115304"/>
    <n v="1"/>
    <n v="4115304"/>
    <n v="0"/>
    <n v="0"/>
    <n v="8"/>
    <x v="0"/>
  </r>
  <r>
    <x v="2312"/>
    <s v="C0025"/>
    <x v="3"/>
    <d v="2024-12-28T00:00:00"/>
    <d v="2025-02-11T00:00:00"/>
    <s v="USD"/>
    <n v="226509.31"/>
    <d v="2025-02-27T00:00:00"/>
    <s v="PAID"/>
    <s v="Y"/>
    <n v="85.743799999999993"/>
    <n v="226509.31"/>
    <n v="85.53"/>
    <n v="19373341.284299999"/>
    <n v="0"/>
    <n v="0"/>
    <n v="16"/>
    <x v="0"/>
  </r>
  <r>
    <x v="2313"/>
    <s v="C0054"/>
    <x v="4"/>
    <d v="2024-12-28T00:00:00"/>
    <d v="2025-02-26T00:00:00"/>
    <s v="EUR"/>
    <n v="48651.71"/>
    <d v="2025-03-05T00:00:00"/>
    <s v="PAID"/>
    <s v="N"/>
    <m/>
    <n v="48651.71"/>
    <n v="89.147900000000007"/>
    <n v="4337197.7779090004"/>
    <n v="0"/>
    <n v="0"/>
    <n v="7"/>
    <x v="0"/>
  </r>
  <r>
    <x v="2314"/>
    <s v="C0091"/>
    <x v="2"/>
    <d v="2024-12-28T00:00:00"/>
    <d v="2025-02-26T00:00:00"/>
    <s v="USD"/>
    <n v="61231.45"/>
    <d v="2025-03-15T00:00:00"/>
    <s v="PAID"/>
    <s v="N"/>
    <m/>
    <n v="61231.45"/>
    <n v="85.53"/>
    <n v="5237125.9184999997"/>
    <n v="0"/>
    <n v="0"/>
    <n v="17"/>
    <x v="0"/>
  </r>
  <r>
    <x v="2315"/>
    <s v="C0111"/>
    <x v="3"/>
    <d v="2024-12-28T00:00:00"/>
    <d v="2025-03-28T00:00:00"/>
    <s v="EUR"/>
    <n v="53704.57"/>
    <m/>
    <s v="OPEN"/>
    <s v="Y"/>
    <n v="89.415300000000002"/>
    <n v="0"/>
    <n v="89.147900000000007"/>
    <n v="4787649.6359029999"/>
    <n v="4787649.6359029999"/>
    <n v="3"/>
    <s v=""/>
    <x v="4"/>
  </r>
  <r>
    <x v="2316"/>
    <s v="C0042"/>
    <x v="3"/>
    <d v="2024-12-30T00:00:00"/>
    <d v="2025-02-28T00:00:00"/>
    <s v="EUR"/>
    <n v="238488.21"/>
    <d v="2025-03-27T00:00:00"/>
    <s v="PAID"/>
    <s v="Y"/>
    <n v="88.946600000000004"/>
    <n v="238488.21"/>
    <n v="88.769099999999995"/>
    <n v="21170383.762310997"/>
    <n v="0"/>
    <n v="0"/>
    <n v="27"/>
    <x v="0"/>
  </r>
  <r>
    <x v="2317"/>
    <s v="C0057"/>
    <x v="3"/>
    <d v="2024-12-30T00:00:00"/>
    <d v="2025-01-29T00:00:00"/>
    <s v="INR"/>
    <n v="11997765"/>
    <d v="2025-01-30T00:00:00"/>
    <s v="PAID"/>
    <s v="N"/>
    <m/>
    <n v="11997765"/>
    <n v="1"/>
    <n v="11997765"/>
    <n v="0"/>
    <n v="0"/>
    <n v="1"/>
    <x v="0"/>
  </r>
  <r>
    <x v="2318"/>
    <s v="C0202"/>
    <x v="3"/>
    <d v="2024-12-30T00:00:00"/>
    <d v="2025-02-13T00:00:00"/>
    <s v="USD"/>
    <n v="36594.86"/>
    <d v="2025-02-14T00:00:00"/>
    <s v="PAID"/>
    <s v="Y"/>
    <n v="85.683700000000002"/>
    <n v="36594.86"/>
    <n v="85.47"/>
    <n v="3127762.6842"/>
    <n v="0"/>
    <n v="0"/>
    <n v="1"/>
    <x v="0"/>
  </r>
  <r>
    <x v="2319"/>
    <s v="C0111"/>
    <x v="3"/>
    <d v="2024-12-31T00:00:00"/>
    <d v="2025-03-31T00:00:00"/>
    <s v="EUR"/>
    <n v="62910.27"/>
    <m/>
    <s v="OPEN"/>
    <s v="Y"/>
    <n v="88.8185"/>
    <n v="0"/>
    <n v="88.552800000000005"/>
    <n v="5570880.5572560001"/>
    <n v="5570880.5572560001"/>
    <n v="0"/>
    <s v=""/>
    <x v="5"/>
  </r>
  <r>
    <x v="2320"/>
    <s v="C0133"/>
    <x v="2"/>
    <d v="2024-12-31T00:00:00"/>
    <d v="2025-03-31T00:00:00"/>
    <s v="USD"/>
    <n v="52077.47"/>
    <m/>
    <s v="OPEN"/>
    <s v="Y"/>
    <n v="85.977699999999999"/>
    <n v="0"/>
    <n v="85.55"/>
    <n v="4455227.5585000003"/>
    <n v="4455227.5585000003"/>
    <n v="0"/>
    <s v=""/>
    <x v="5"/>
  </r>
  <r>
    <x v="2321"/>
    <s v="C0193"/>
    <x v="3"/>
    <d v="2024-12-31T00:00:00"/>
    <d v="2025-02-14T00:00:00"/>
    <s v="EUR"/>
    <n v="33397.97"/>
    <d v="2025-03-07T00:00:00"/>
    <s v="PARTIALLY PAID"/>
    <s v="Y"/>
    <n v="88.685599999999994"/>
    <n v="22110.6"/>
    <n v="88.552800000000005"/>
    <n v="2957483.7578160004"/>
    <n v="999528.21813600033"/>
    <n v="45"/>
    <n v="21"/>
    <x v="3"/>
  </r>
  <r>
    <x v="2322"/>
    <s v="C0225"/>
    <x v="2"/>
    <d v="2024-12-31T00:00:00"/>
    <d v="2025-02-14T00:00:00"/>
    <s v="USD"/>
    <n v="200685.8"/>
    <d v="2025-02-13T00:00:00"/>
    <s v="PAID"/>
    <s v="Y"/>
    <n v="85.763900000000007"/>
    <n v="200685.8"/>
    <n v="85.55"/>
    <n v="17168670.189999998"/>
    <n v="0"/>
    <n v="0"/>
    <n v="-1"/>
    <x v="0"/>
  </r>
  <r>
    <x v="2323"/>
    <s v="C0153"/>
    <x v="4"/>
    <d v="2025-01-01T00:00:00"/>
    <d v="2025-04-01T00:00:00"/>
    <s v="INR"/>
    <n v="24438240"/>
    <m/>
    <s v="OPEN"/>
    <s v="N"/>
    <m/>
    <n v="0"/>
    <n v="1"/>
    <n v="24438240"/>
    <n v="24438240"/>
    <n v="0"/>
    <s v=""/>
    <x v="5"/>
  </r>
  <r>
    <x v="2324"/>
    <s v="C0177"/>
    <x v="4"/>
    <d v="2025-01-01T00:00:00"/>
    <d v="2025-03-02T00:00:00"/>
    <s v="EUR"/>
    <n v="45476.63"/>
    <d v="2025-03-17T00:00:00"/>
    <s v="PAID"/>
    <s v="N"/>
    <m/>
    <n v="45476.63"/>
    <n v="88.552800000000005"/>
    <n v="4027082.9210640001"/>
    <n v="0"/>
    <n v="0"/>
    <n v="15"/>
    <x v="0"/>
  </r>
  <r>
    <x v="2325"/>
    <s v="C0198"/>
    <x v="3"/>
    <d v="2025-01-01T00:00:00"/>
    <d v="2025-02-15T00:00:00"/>
    <s v="USD"/>
    <n v="139374.88"/>
    <m/>
    <s v="OPEN"/>
    <s v="Y"/>
    <n v="85.763900000000007"/>
    <n v="0"/>
    <n v="85.55"/>
    <n v="11923520.983999999"/>
    <n v="11923520.983999999"/>
    <n v="44"/>
    <s v=""/>
    <x v="3"/>
  </r>
  <r>
    <x v="2326"/>
    <s v="C0221"/>
    <x v="1"/>
    <d v="2025-01-01T00:00:00"/>
    <d v="2025-03-02T00:00:00"/>
    <s v="INR"/>
    <n v="4143867"/>
    <d v="2025-03-16T00:00:00"/>
    <s v="PAID"/>
    <s v="N"/>
    <m/>
    <n v="4143867"/>
    <n v="1"/>
    <n v="4143867"/>
    <n v="0"/>
    <n v="0"/>
    <n v="14"/>
    <x v="0"/>
  </r>
  <r>
    <x v="2327"/>
    <s v="C0024"/>
    <x v="3"/>
    <d v="2025-01-02T00:00:00"/>
    <d v="2025-02-01T00:00:00"/>
    <s v="INR"/>
    <n v="4185603"/>
    <d v="2025-01-26T00:00:00"/>
    <s v="PAID"/>
    <s v="N"/>
    <m/>
    <n v="4185603"/>
    <n v="1"/>
    <n v="4185603"/>
    <n v="0"/>
    <n v="0"/>
    <n v="-6"/>
    <x v="0"/>
  </r>
  <r>
    <x v="2328"/>
    <s v="C0045"/>
    <x v="0"/>
    <d v="2025-01-02T00:00:00"/>
    <d v="2025-02-16T00:00:00"/>
    <s v="INR"/>
    <n v="7123141"/>
    <d v="2025-02-14T00:00:00"/>
    <s v="PAID"/>
    <s v="N"/>
    <m/>
    <n v="7123141"/>
    <n v="1"/>
    <n v="7123141"/>
    <n v="0"/>
    <n v="0"/>
    <n v="-2"/>
    <x v="0"/>
  </r>
  <r>
    <x v="2329"/>
    <s v="C0057"/>
    <x v="3"/>
    <d v="2025-01-02T00:00:00"/>
    <d v="2025-02-01T00:00:00"/>
    <s v="INR"/>
    <n v="10800328"/>
    <d v="2025-02-02T00:00:00"/>
    <s v="PAID"/>
    <s v="N"/>
    <m/>
    <n v="10800328"/>
    <n v="1"/>
    <n v="10800328"/>
    <n v="0"/>
    <n v="0"/>
    <n v="1"/>
    <x v="0"/>
  </r>
  <r>
    <x v="2330"/>
    <s v="C0114"/>
    <x v="3"/>
    <d v="2025-01-02T00:00:00"/>
    <d v="2025-03-03T00:00:00"/>
    <s v="INR"/>
    <n v="4186254"/>
    <d v="2025-03-22T00:00:00"/>
    <s v="PAID"/>
    <s v="N"/>
    <m/>
    <n v="4186254"/>
    <n v="1"/>
    <n v="4186254"/>
    <n v="0"/>
    <n v="0"/>
    <n v="19"/>
    <x v="0"/>
  </r>
  <r>
    <x v="2331"/>
    <s v="C0137"/>
    <x v="1"/>
    <d v="2025-01-02T00:00:00"/>
    <d v="2025-03-03T00:00:00"/>
    <s v="USD"/>
    <n v="86751.6"/>
    <m/>
    <s v="OPEN"/>
    <s v="N"/>
    <m/>
    <n v="0"/>
    <n v="85.75"/>
    <n v="7438949.7000000002"/>
    <n v="7438949.7000000002"/>
    <n v="28"/>
    <s v=""/>
    <x v="4"/>
  </r>
  <r>
    <x v="2332"/>
    <s v="C0227"/>
    <x v="2"/>
    <d v="2025-01-02T00:00:00"/>
    <d v="2025-02-16T00:00:00"/>
    <s v="INR"/>
    <n v="1104791"/>
    <d v="2025-03-01T00:00:00"/>
    <s v="PAID"/>
    <s v="N"/>
    <m/>
    <n v="1104791"/>
    <n v="1"/>
    <n v="1104791"/>
    <n v="0"/>
    <n v="0"/>
    <n v="13"/>
    <x v="0"/>
  </r>
  <r>
    <x v="2333"/>
    <s v="C0236"/>
    <x v="3"/>
    <d v="2025-01-02T00:00:00"/>
    <d v="2025-03-03T00:00:00"/>
    <s v="EUR"/>
    <n v="236219.66"/>
    <m/>
    <s v="OPEN"/>
    <s v="Y"/>
    <n v="88.164100000000005"/>
    <n v="0"/>
    <n v="87.988100000000003"/>
    <n v="20784519.066046"/>
    <n v="20784519.066046"/>
    <n v="28"/>
    <s v=""/>
    <x v="4"/>
  </r>
  <r>
    <x v="2334"/>
    <s v="C0248"/>
    <x v="4"/>
    <d v="2025-01-02T00:00:00"/>
    <d v="2025-02-01T00:00:00"/>
    <s v="USD"/>
    <n v="215617.29"/>
    <d v="2025-02-02T00:00:00"/>
    <s v="PAID"/>
    <s v="Y"/>
    <n v="85.892899999999997"/>
    <n v="215617.29"/>
    <n v="85.75"/>
    <n v="18489182.6175"/>
    <n v="0"/>
    <n v="0"/>
    <n v="1"/>
    <x v="0"/>
  </r>
  <r>
    <x v="2335"/>
    <s v="C0019"/>
    <x v="2"/>
    <d v="2025-01-03T00:00:00"/>
    <d v="2025-04-03T00:00:00"/>
    <s v="EUR"/>
    <n v="47460.32"/>
    <m/>
    <s v="OPEN"/>
    <s v="N"/>
    <m/>
    <n v="0"/>
    <n v="88.253900000000002"/>
    <n v="4188558.335248"/>
    <n v="4188558.335248"/>
    <n v="0"/>
    <s v=""/>
    <x v="5"/>
  </r>
  <r>
    <x v="2336"/>
    <s v="C0025"/>
    <x v="3"/>
    <d v="2025-01-03T00:00:00"/>
    <d v="2025-02-17T00:00:00"/>
    <s v="USD"/>
    <n v="90777.600000000006"/>
    <d v="2025-03-09T00:00:00"/>
    <s v="PAID"/>
    <s v="Y"/>
    <n v="85.964399999999998"/>
    <n v="90777.600000000006"/>
    <n v="85.75"/>
    <n v="7784179.2000000002"/>
    <n v="0"/>
    <n v="0"/>
    <n v="20"/>
    <x v="0"/>
  </r>
  <r>
    <x v="2337"/>
    <s v="C0177"/>
    <x v="4"/>
    <d v="2025-01-03T00:00:00"/>
    <d v="2025-03-04T00:00:00"/>
    <s v="EUR"/>
    <n v="175901.16"/>
    <d v="2025-03-21T00:00:00"/>
    <s v="PAID"/>
    <s v="Y"/>
    <n v="88.430400000000006"/>
    <n v="175901.16"/>
    <n v="88.253900000000002"/>
    <n v="15523963.384524001"/>
    <n v="0"/>
    <n v="0"/>
    <n v="17"/>
    <x v="0"/>
  </r>
  <r>
    <x v="2338"/>
    <s v="C0007"/>
    <x v="3"/>
    <d v="2025-01-04T00:00:00"/>
    <d v="2025-02-03T00:00:00"/>
    <s v="USD"/>
    <n v="126493.71"/>
    <d v="2025-02-17T00:00:00"/>
    <s v="PAID"/>
    <s v="Y"/>
    <n v="85.892899999999997"/>
    <n v="126493.71"/>
    <n v="85.75"/>
    <n v="10846835.6325"/>
    <n v="0"/>
    <n v="0"/>
    <n v="14"/>
    <x v="0"/>
  </r>
  <r>
    <x v="2339"/>
    <s v="C0123"/>
    <x v="1"/>
    <d v="2025-01-04T00:00:00"/>
    <d v="2025-03-05T00:00:00"/>
    <s v="USD"/>
    <n v="139969.54"/>
    <d v="2025-03-10T00:00:00"/>
    <s v="PAID"/>
    <s v="N"/>
    <m/>
    <n v="139969.54"/>
    <n v="85.75"/>
    <n v="12002388.055000002"/>
    <n v="0"/>
    <n v="0"/>
    <n v="5"/>
    <x v="0"/>
  </r>
  <r>
    <x v="2340"/>
    <s v="C0141"/>
    <x v="1"/>
    <d v="2025-01-04T00:00:00"/>
    <d v="2025-03-05T00:00:00"/>
    <s v="INR"/>
    <n v="7444450"/>
    <d v="2025-03-08T00:00:00"/>
    <s v="PAID"/>
    <s v="N"/>
    <m/>
    <n v="7444450"/>
    <n v="1"/>
    <n v="7444450"/>
    <n v="0"/>
    <n v="0"/>
    <n v="3"/>
    <x v="0"/>
  </r>
  <r>
    <x v="2341"/>
    <s v="C0153"/>
    <x v="4"/>
    <d v="2025-01-04T00:00:00"/>
    <d v="2025-04-04T00:00:00"/>
    <s v="INR"/>
    <n v="2439696"/>
    <m/>
    <s v="OPEN"/>
    <s v="N"/>
    <m/>
    <n v="0"/>
    <n v="1"/>
    <n v="2439696"/>
    <n v="2439696"/>
    <n v="0"/>
    <s v=""/>
    <x v="5"/>
  </r>
  <r>
    <x v="2342"/>
    <s v="C0236"/>
    <x v="1"/>
    <d v="2025-01-04T00:00:00"/>
    <d v="2025-03-05T00:00:00"/>
    <s v="EUR"/>
    <n v="242682.17"/>
    <m/>
    <s v="OPEN"/>
    <s v="N"/>
    <m/>
    <n v="0"/>
    <n v="88.253900000000002"/>
    <n v="21417647.962963"/>
    <n v="21417647.962963"/>
    <n v="26"/>
    <s v=""/>
    <x v="4"/>
  </r>
  <r>
    <x v="2343"/>
    <s v="C0073"/>
    <x v="1"/>
    <d v="2025-01-06T00:00:00"/>
    <d v="2025-02-05T00:00:00"/>
    <s v="USD"/>
    <n v="23463.57"/>
    <d v="2025-03-25T00:00:00"/>
    <s v="PAID"/>
    <s v="N"/>
    <m/>
    <n v="23463.57"/>
    <n v="85.7"/>
    <n v="2010827.949"/>
    <n v="0"/>
    <n v="0"/>
    <n v="48"/>
    <x v="0"/>
  </r>
  <r>
    <x v="2344"/>
    <s v="C0218"/>
    <x v="3"/>
    <d v="2025-01-06T00:00:00"/>
    <d v="2025-02-20T00:00:00"/>
    <s v="INR"/>
    <n v="6033719"/>
    <d v="2025-03-10T00:00:00"/>
    <s v="PAID"/>
    <s v="N"/>
    <m/>
    <n v="6033719"/>
    <n v="1"/>
    <n v="6033719"/>
    <n v="0"/>
    <n v="0"/>
    <n v="18"/>
    <x v="0"/>
  </r>
  <r>
    <x v="2345"/>
    <s v="C0011"/>
    <x v="0"/>
    <d v="2025-01-07T00:00:00"/>
    <d v="2025-02-21T00:00:00"/>
    <s v="INR"/>
    <n v="1199017"/>
    <d v="2025-03-08T00:00:00"/>
    <s v="PAID"/>
    <s v="N"/>
    <m/>
    <n v="1199017"/>
    <n v="1"/>
    <n v="1199017"/>
    <n v="0"/>
    <n v="0"/>
    <n v="15"/>
    <x v="0"/>
  </r>
  <r>
    <x v="2346"/>
    <s v="C0071"/>
    <x v="1"/>
    <d v="2025-01-07T00:00:00"/>
    <d v="2025-03-08T00:00:00"/>
    <s v="USD"/>
    <n v="28078.58"/>
    <m/>
    <s v="OPEN"/>
    <s v="N"/>
    <m/>
    <n v="0"/>
    <n v="85.74"/>
    <n v="2407457.4492000001"/>
    <n v="2407457.4492000001"/>
    <n v="23"/>
    <s v=""/>
    <x v="4"/>
  </r>
  <r>
    <x v="2347"/>
    <s v="C0107"/>
    <x v="1"/>
    <d v="2025-01-07T00:00:00"/>
    <d v="2025-02-06T00:00:00"/>
    <s v="INR"/>
    <n v="12314780"/>
    <m/>
    <s v="OPEN"/>
    <s v="N"/>
    <m/>
    <n v="0"/>
    <n v="1"/>
    <n v="12314780"/>
    <n v="12314780"/>
    <n v="53"/>
    <s v=""/>
    <x v="3"/>
  </r>
  <r>
    <x v="2348"/>
    <s v="C0111"/>
    <x v="3"/>
    <d v="2025-01-07T00:00:00"/>
    <d v="2025-04-07T00:00:00"/>
    <s v="EUR"/>
    <n v="86891.83"/>
    <m/>
    <s v="OPEN"/>
    <s v="Y"/>
    <n v="89.170500000000004"/>
    <n v="0"/>
    <n v="88.903800000000004"/>
    <n v="7725013.8759540003"/>
    <n v="7725013.8759540003"/>
    <n v="0"/>
    <s v=""/>
    <x v="5"/>
  </r>
  <r>
    <x v="2349"/>
    <s v="C0056"/>
    <x v="1"/>
    <d v="2025-01-08T00:00:00"/>
    <d v="2025-03-09T00:00:00"/>
    <s v="INR"/>
    <n v="3254970"/>
    <d v="2025-03-17T00:00:00"/>
    <s v="PAID"/>
    <s v="N"/>
    <m/>
    <n v="3254970"/>
    <n v="1"/>
    <n v="3254970"/>
    <n v="0"/>
    <n v="0"/>
    <n v="8"/>
    <x v="0"/>
  </r>
  <r>
    <x v="2350"/>
    <s v="C0089"/>
    <x v="3"/>
    <d v="2025-01-08T00:00:00"/>
    <d v="2025-04-08T00:00:00"/>
    <s v="USD"/>
    <n v="13389.03"/>
    <m/>
    <s v="OPEN"/>
    <s v="Y"/>
    <n v="86.319400000000002"/>
    <n v="0"/>
    <n v="85.89"/>
    <n v="1149983.7867000001"/>
    <n v="1149983.7867000001"/>
    <n v="0"/>
    <s v=""/>
    <x v="5"/>
  </r>
  <r>
    <x v="2351"/>
    <s v="C0091"/>
    <x v="2"/>
    <d v="2025-01-08T00:00:00"/>
    <d v="2025-03-09T00:00:00"/>
    <s v="USD"/>
    <n v="125159.95"/>
    <d v="2025-03-28T00:00:00"/>
    <s v="PAID"/>
    <s v="N"/>
    <m/>
    <n v="125159.95"/>
    <n v="85.89"/>
    <n v="10749988.1055"/>
    <n v="0"/>
    <n v="0"/>
    <n v="19"/>
    <x v="0"/>
  </r>
  <r>
    <x v="2352"/>
    <s v="C0212"/>
    <x v="2"/>
    <d v="2025-01-08T00:00:00"/>
    <d v="2025-04-08T00:00:00"/>
    <s v="INR"/>
    <n v="24031583"/>
    <m/>
    <s v="OPEN"/>
    <s v="N"/>
    <m/>
    <n v="0"/>
    <n v="1"/>
    <n v="24031583"/>
    <n v="24031583"/>
    <n v="0"/>
    <s v=""/>
    <x v="5"/>
  </r>
  <r>
    <x v="2353"/>
    <s v="C0219"/>
    <x v="2"/>
    <d v="2025-01-08T00:00:00"/>
    <d v="2025-02-07T00:00:00"/>
    <s v="INR"/>
    <n v="2419668"/>
    <d v="2025-02-15T00:00:00"/>
    <s v="PAID"/>
    <s v="N"/>
    <m/>
    <n v="2419668"/>
    <n v="1"/>
    <n v="2419668"/>
    <n v="0"/>
    <n v="0"/>
    <n v="8"/>
    <x v="0"/>
  </r>
  <r>
    <x v="2354"/>
    <s v="C0005"/>
    <x v="2"/>
    <d v="2025-01-09T00:00:00"/>
    <d v="2025-02-08T00:00:00"/>
    <s v="INR"/>
    <n v="8001852"/>
    <d v="2025-03-05T00:00:00"/>
    <s v="PAID"/>
    <s v="N"/>
    <m/>
    <n v="8001852"/>
    <n v="1"/>
    <n v="8001852"/>
    <n v="0"/>
    <n v="0"/>
    <n v="25"/>
    <x v="0"/>
  </r>
  <r>
    <x v="2355"/>
    <s v="C0019"/>
    <x v="0"/>
    <d v="2025-01-09T00:00:00"/>
    <d v="2025-04-09T00:00:00"/>
    <s v="EUR"/>
    <n v="61029.38"/>
    <m/>
    <s v="OPEN"/>
    <s v="Y"/>
    <n v="88.694199999999995"/>
    <n v="0"/>
    <n v="88.428899999999999"/>
    <n v="5396760.9410819998"/>
    <n v="5396760.9410819998"/>
    <n v="0"/>
    <s v=""/>
    <x v="5"/>
  </r>
  <r>
    <x v="2356"/>
    <s v="C0060"/>
    <x v="0"/>
    <d v="2025-01-09T00:00:00"/>
    <d v="2025-02-23T00:00:00"/>
    <s v="INR"/>
    <n v="6699114"/>
    <d v="2025-02-24T00:00:00"/>
    <s v="PAID"/>
    <s v="N"/>
    <m/>
    <n v="6699114"/>
    <n v="1"/>
    <n v="6699114"/>
    <n v="0"/>
    <n v="0"/>
    <n v="1"/>
    <x v="0"/>
  </r>
  <r>
    <x v="2357"/>
    <s v="C0083"/>
    <x v="3"/>
    <d v="2025-01-09T00:00:00"/>
    <d v="2025-02-23T00:00:00"/>
    <s v="INR"/>
    <n v="3314463"/>
    <d v="2025-03-19T00:00:00"/>
    <s v="PAID"/>
    <s v="N"/>
    <m/>
    <n v="3314463"/>
    <n v="1"/>
    <n v="3314463"/>
    <n v="0"/>
    <n v="0"/>
    <n v="24"/>
    <x v="0"/>
  </r>
  <r>
    <x v="2358"/>
    <s v="C0111"/>
    <x v="3"/>
    <d v="2025-01-09T00:00:00"/>
    <d v="2025-04-09T00:00:00"/>
    <s v="EUR"/>
    <n v="358641.79"/>
    <m/>
    <s v="OPEN"/>
    <s v="Y"/>
    <n v="88.694199999999995"/>
    <n v="0"/>
    <n v="88.428899999999999"/>
    <n v="31714298.983730998"/>
    <n v="31714298.983730998"/>
    <n v="0"/>
    <s v=""/>
    <x v="5"/>
  </r>
  <r>
    <x v="2359"/>
    <s v="C0181"/>
    <x v="1"/>
    <d v="2025-01-09T00:00:00"/>
    <d v="2025-03-10T00:00:00"/>
    <s v="INR"/>
    <n v="14744297"/>
    <d v="2025-03-16T00:00:00"/>
    <s v="PAID"/>
    <s v="N"/>
    <m/>
    <n v="14744297"/>
    <n v="1"/>
    <n v="14744297"/>
    <n v="0"/>
    <n v="0"/>
    <n v="6"/>
    <x v="0"/>
  </r>
  <r>
    <x v="2360"/>
    <s v="C0183"/>
    <x v="0"/>
    <d v="2025-01-09T00:00:00"/>
    <d v="2025-04-09T00:00:00"/>
    <s v="INR"/>
    <n v="1424984"/>
    <m/>
    <s v="OPEN"/>
    <s v="N"/>
    <m/>
    <n v="0"/>
    <n v="1"/>
    <n v="1424984"/>
    <n v="1424984"/>
    <n v="0"/>
    <s v=""/>
    <x v="5"/>
  </r>
  <r>
    <x v="2361"/>
    <s v="C0213"/>
    <x v="1"/>
    <d v="2025-01-09T00:00:00"/>
    <d v="2025-03-10T00:00:00"/>
    <s v="EUR"/>
    <n v="101276.56"/>
    <d v="2025-03-20T00:00:00"/>
    <s v="PAID"/>
    <s v="N"/>
    <m/>
    <n v="101276.56"/>
    <n v="88.428899999999999"/>
    <n v="8955774.7965839989"/>
    <n v="0"/>
    <n v="0"/>
    <n v="10"/>
    <x v="0"/>
  </r>
  <r>
    <x v="2362"/>
    <s v="C0236"/>
    <x v="3"/>
    <d v="2025-01-09T00:00:00"/>
    <d v="2025-03-10T00:00:00"/>
    <s v="EUR"/>
    <n v="113184.58"/>
    <m/>
    <s v="OPEN"/>
    <s v="Y"/>
    <n v="88.605800000000002"/>
    <n v="0"/>
    <n v="88.428899999999999"/>
    <n v="10008787.906362001"/>
    <n v="10008787.906362001"/>
    <n v="21"/>
    <s v=""/>
    <x v="4"/>
  </r>
  <r>
    <x v="2363"/>
    <s v="C0021"/>
    <x v="1"/>
    <d v="2025-01-10T00:00:00"/>
    <d v="2025-04-10T00:00:00"/>
    <s v="USD"/>
    <n v="61529.17"/>
    <m/>
    <s v="OPEN"/>
    <s v="N"/>
    <m/>
    <n v="0"/>
    <n v="85.96"/>
    <n v="5289047.4531999994"/>
    <n v="5289047.4531999994"/>
    <n v="0"/>
    <s v=""/>
    <x v="5"/>
  </r>
  <r>
    <x v="2364"/>
    <s v="C0060"/>
    <x v="0"/>
    <d v="2025-01-10T00:00:00"/>
    <d v="2025-02-24T00:00:00"/>
    <s v="INR"/>
    <n v="6175892"/>
    <d v="2025-02-25T00:00:00"/>
    <s v="PAID"/>
    <s v="N"/>
    <m/>
    <n v="6175892"/>
    <n v="1"/>
    <n v="6175892"/>
    <n v="0"/>
    <n v="0"/>
    <n v="1"/>
    <x v="0"/>
  </r>
  <r>
    <x v="2365"/>
    <s v="C0072"/>
    <x v="4"/>
    <d v="2025-01-10T00:00:00"/>
    <d v="2025-04-10T00:00:00"/>
    <s v="EUR"/>
    <n v="46746.17"/>
    <m/>
    <s v="OPEN"/>
    <s v="Y"/>
    <n v="88.269800000000004"/>
    <n v="0"/>
    <n v="88.005799999999994"/>
    <n v="4113934.0877859998"/>
    <n v="4113934.0877859998"/>
    <n v="0"/>
    <s v=""/>
    <x v="5"/>
  </r>
  <r>
    <x v="2366"/>
    <s v="C0148"/>
    <x v="0"/>
    <d v="2025-01-10T00:00:00"/>
    <d v="2025-02-09T00:00:00"/>
    <s v="INR"/>
    <n v="2277917"/>
    <d v="2025-02-15T00:00:00"/>
    <s v="PAID"/>
    <s v="N"/>
    <m/>
    <n v="2277917"/>
    <n v="1"/>
    <n v="2277917"/>
    <n v="0"/>
    <n v="0"/>
    <n v="6"/>
    <x v="0"/>
  </r>
  <r>
    <x v="2367"/>
    <s v="C0161"/>
    <x v="4"/>
    <d v="2025-01-10T00:00:00"/>
    <d v="2025-04-10T00:00:00"/>
    <s v="USD"/>
    <n v="431946.95"/>
    <m/>
    <s v="OPEN"/>
    <s v="N"/>
    <m/>
    <n v="0"/>
    <n v="85.96"/>
    <n v="37130159.821999997"/>
    <n v="37130159.821999997"/>
    <n v="0"/>
    <s v=""/>
    <x v="5"/>
  </r>
  <r>
    <x v="2368"/>
    <s v="C0187"/>
    <x v="3"/>
    <d v="2025-01-10T00:00:00"/>
    <d v="2025-02-24T00:00:00"/>
    <s v="INR"/>
    <n v="3617061"/>
    <d v="2025-03-01T00:00:00"/>
    <s v="PAID"/>
    <s v="N"/>
    <m/>
    <n v="3617061"/>
    <n v="1"/>
    <n v="3617061"/>
    <n v="0"/>
    <n v="0"/>
    <n v="5"/>
    <x v="0"/>
  </r>
  <r>
    <x v="2369"/>
    <s v="C0006"/>
    <x v="3"/>
    <d v="2025-01-11T00:00:00"/>
    <d v="2025-02-10T00:00:00"/>
    <s v="EUR"/>
    <n v="47282.99"/>
    <d v="2025-03-06T00:00:00"/>
    <s v="PAID"/>
    <s v="Y"/>
    <n v="88.093800000000002"/>
    <n v="47282.99"/>
    <n v="88.005799999999994"/>
    <n v="4161177.3613419994"/>
    <n v="0"/>
    <n v="0"/>
    <n v="24"/>
    <x v="0"/>
  </r>
  <r>
    <x v="2370"/>
    <s v="C0019"/>
    <x v="0"/>
    <d v="2025-01-11T00:00:00"/>
    <d v="2025-04-11T00:00:00"/>
    <s v="EUR"/>
    <n v="81839.91"/>
    <m/>
    <s v="OPEN"/>
    <s v="N"/>
    <m/>
    <n v="0"/>
    <n v="88.005799999999994"/>
    <n v="7202386.7514779996"/>
    <n v="7202386.7514779996"/>
    <n v="0"/>
    <s v=""/>
    <x v="5"/>
  </r>
  <r>
    <x v="2371"/>
    <s v="C0058"/>
    <x v="3"/>
    <d v="2025-01-11T00:00:00"/>
    <d v="2025-02-10T00:00:00"/>
    <s v="INR"/>
    <n v="1189566"/>
    <d v="2025-03-04T00:00:00"/>
    <s v="PAID"/>
    <s v="N"/>
    <m/>
    <n v="1189566"/>
    <n v="1"/>
    <n v="1189566"/>
    <n v="0"/>
    <n v="0"/>
    <n v="22"/>
    <x v="0"/>
  </r>
  <r>
    <x v="2372"/>
    <s v="C0109"/>
    <x v="1"/>
    <d v="2025-01-11T00:00:00"/>
    <d v="2025-02-25T00:00:00"/>
    <s v="INR"/>
    <n v="28497242"/>
    <d v="2025-03-05T00:00:00"/>
    <s v="PAID"/>
    <s v="N"/>
    <m/>
    <n v="28497242"/>
    <n v="1"/>
    <n v="28497242"/>
    <n v="0"/>
    <n v="0"/>
    <n v="8"/>
    <x v="0"/>
  </r>
  <r>
    <x v="2373"/>
    <s v="C0166"/>
    <x v="4"/>
    <d v="2025-01-11T00:00:00"/>
    <d v="2025-04-11T00:00:00"/>
    <s v="INR"/>
    <n v="5919351"/>
    <m/>
    <s v="OPEN"/>
    <s v="N"/>
    <m/>
    <n v="0"/>
    <n v="1"/>
    <n v="5919351"/>
    <n v="5919351"/>
    <n v="0"/>
    <s v=""/>
    <x v="5"/>
  </r>
  <r>
    <x v="2374"/>
    <s v="C0183"/>
    <x v="0"/>
    <d v="2025-01-11T00:00:00"/>
    <d v="2025-04-11T00:00:00"/>
    <s v="INR"/>
    <n v="5663824"/>
    <m/>
    <s v="OPEN"/>
    <s v="N"/>
    <m/>
    <n v="0"/>
    <n v="1"/>
    <n v="5663824"/>
    <n v="5663824"/>
    <n v="0"/>
    <s v=""/>
    <x v="5"/>
  </r>
  <r>
    <x v="2375"/>
    <s v="C0198"/>
    <x v="3"/>
    <d v="2025-01-11T00:00:00"/>
    <d v="2025-02-25T00:00:00"/>
    <s v="USD"/>
    <n v="114093.55"/>
    <m/>
    <s v="OPEN"/>
    <s v="Y"/>
    <n v="86.174899999999994"/>
    <n v="0"/>
    <n v="85.96"/>
    <n v="9807481.5580000002"/>
    <n v="9807481.5580000002"/>
    <n v="34"/>
    <s v=""/>
    <x v="3"/>
  </r>
  <r>
    <x v="2376"/>
    <s v="C0207"/>
    <x v="4"/>
    <d v="2025-01-11T00:00:00"/>
    <d v="2025-03-12T00:00:00"/>
    <s v="INR"/>
    <n v="5786232"/>
    <d v="2025-03-15T00:00:00"/>
    <s v="PAID"/>
    <s v="N"/>
    <m/>
    <n v="5786232"/>
    <n v="1"/>
    <n v="5786232"/>
    <n v="0"/>
    <n v="0"/>
    <n v="3"/>
    <x v="0"/>
  </r>
  <r>
    <x v="2377"/>
    <s v="C0238"/>
    <x v="2"/>
    <d v="2025-01-11T00:00:00"/>
    <d v="2025-03-12T00:00:00"/>
    <s v="INR"/>
    <n v="4707513"/>
    <d v="2025-03-18T00:00:00"/>
    <s v="PAID"/>
    <s v="N"/>
    <m/>
    <n v="4707513"/>
    <n v="1"/>
    <n v="4707513"/>
    <n v="0"/>
    <n v="0"/>
    <n v="6"/>
    <x v="0"/>
  </r>
  <r>
    <x v="2378"/>
    <s v="C0007"/>
    <x v="3"/>
    <d v="2025-01-13T00:00:00"/>
    <d v="2025-02-12T00:00:00"/>
    <s v="USD"/>
    <n v="30231.35"/>
    <d v="2025-03-25T00:00:00"/>
    <s v="PAID"/>
    <s v="Y"/>
    <n v="86.834500000000006"/>
    <n v="30231.35"/>
    <n v="86.69"/>
    <n v="2620755.7314999998"/>
    <n v="0"/>
    <n v="0"/>
    <n v="41"/>
    <x v="0"/>
  </r>
  <r>
    <x v="2379"/>
    <s v="C0020"/>
    <x v="3"/>
    <d v="2025-01-13T00:00:00"/>
    <d v="2025-04-13T00:00:00"/>
    <s v="USD"/>
    <n v="46767.85"/>
    <m/>
    <s v="OPEN"/>
    <s v="Y"/>
    <n v="87.123400000000004"/>
    <n v="0"/>
    <n v="86.69"/>
    <n v="4054304.9164999998"/>
    <n v="4054304.9164999998"/>
    <n v="0"/>
    <s v=""/>
    <x v="5"/>
  </r>
  <r>
    <x v="2380"/>
    <s v="C0048"/>
    <x v="3"/>
    <d v="2025-01-13T00:00:00"/>
    <d v="2025-02-27T00:00:00"/>
    <s v="INR"/>
    <n v="6776005"/>
    <m/>
    <s v="OPEN"/>
    <s v="N"/>
    <m/>
    <n v="0"/>
    <n v="1"/>
    <n v="6776005"/>
    <n v="6776005"/>
    <n v="32"/>
    <s v=""/>
    <x v="3"/>
  </r>
  <r>
    <x v="2381"/>
    <s v="C0057"/>
    <x v="3"/>
    <d v="2025-01-13T00:00:00"/>
    <d v="2025-02-12T00:00:00"/>
    <s v="INR"/>
    <n v="10922740"/>
    <d v="2025-02-07T00:00:00"/>
    <s v="PAID"/>
    <s v="N"/>
    <m/>
    <n v="10922740"/>
    <n v="1"/>
    <n v="10922740"/>
    <n v="0"/>
    <n v="0"/>
    <n v="-5"/>
    <x v="0"/>
  </r>
  <r>
    <x v="2382"/>
    <s v="C0075"/>
    <x v="1"/>
    <d v="2025-01-13T00:00:00"/>
    <d v="2025-02-12T00:00:00"/>
    <s v="INR"/>
    <n v="6437576"/>
    <m/>
    <s v="OPEN"/>
    <s v="N"/>
    <m/>
    <n v="0"/>
    <n v="1"/>
    <n v="6437576"/>
    <n v="6437576"/>
    <n v="47"/>
    <s v=""/>
    <x v="3"/>
  </r>
  <r>
    <x v="2383"/>
    <s v="C0183"/>
    <x v="0"/>
    <d v="2025-01-13T00:00:00"/>
    <d v="2025-04-13T00:00:00"/>
    <s v="INR"/>
    <n v="2756743"/>
    <m/>
    <s v="OPEN"/>
    <s v="N"/>
    <m/>
    <n v="0"/>
    <n v="1"/>
    <n v="2756743"/>
    <n v="2756743"/>
    <n v="0"/>
    <s v=""/>
    <x v="5"/>
  </r>
  <r>
    <x v="2384"/>
    <s v="C0189"/>
    <x v="1"/>
    <d v="2025-01-13T00:00:00"/>
    <d v="2025-02-27T00:00:00"/>
    <s v="INR"/>
    <n v="1064296"/>
    <m/>
    <s v="OPEN"/>
    <s v="N"/>
    <m/>
    <n v="0"/>
    <n v="1"/>
    <n v="1064296"/>
    <n v="1064296"/>
    <n v="32"/>
    <s v=""/>
    <x v="3"/>
  </r>
  <r>
    <x v="2385"/>
    <s v="C0218"/>
    <x v="3"/>
    <d v="2025-01-13T00:00:00"/>
    <d v="2025-02-27T00:00:00"/>
    <s v="INR"/>
    <n v="7916136"/>
    <d v="2025-03-22T00:00:00"/>
    <s v="PAID"/>
    <s v="N"/>
    <m/>
    <n v="7916136"/>
    <n v="1"/>
    <n v="7916136"/>
    <n v="0"/>
    <n v="0"/>
    <n v="23"/>
    <x v="0"/>
  </r>
  <r>
    <x v="2386"/>
    <s v="C0113"/>
    <x v="0"/>
    <d v="2025-01-14T00:00:00"/>
    <d v="2025-04-14T00:00:00"/>
    <s v="INR"/>
    <n v="8324695"/>
    <m/>
    <s v="OPEN"/>
    <s v="N"/>
    <m/>
    <n v="0"/>
    <n v="1"/>
    <n v="8324695"/>
    <n v="8324695"/>
    <n v="0"/>
    <s v=""/>
    <x v="5"/>
  </r>
  <r>
    <x v="2387"/>
    <s v="C0130"/>
    <x v="3"/>
    <d v="2025-01-15T00:00:00"/>
    <d v="2025-02-14T00:00:00"/>
    <s v="INR"/>
    <n v="1211755"/>
    <d v="2025-02-08T00:00:00"/>
    <s v="PAID"/>
    <s v="N"/>
    <m/>
    <n v="1211755"/>
    <n v="1"/>
    <n v="1211755"/>
    <n v="0"/>
    <n v="0"/>
    <n v="-6"/>
    <x v="0"/>
  </r>
  <r>
    <x v="2388"/>
    <s v="C0134"/>
    <x v="0"/>
    <d v="2025-01-15T00:00:00"/>
    <d v="2025-04-15T00:00:00"/>
    <s v="INR"/>
    <n v="1646261"/>
    <m/>
    <s v="OPEN"/>
    <s v="N"/>
    <m/>
    <n v="0"/>
    <n v="1"/>
    <n v="1646261"/>
    <n v="1646261"/>
    <n v="0"/>
    <s v=""/>
    <x v="5"/>
  </r>
  <r>
    <x v="2389"/>
    <s v="C0144"/>
    <x v="2"/>
    <d v="2025-01-15T00:00:00"/>
    <d v="2025-03-01T00:00:00"/>
    <s v="INR"/>
    <n v="10713303"/>
    <d v="2025-02-24T00:00:00"/>
    <s v="PAID"/>
    <s v="N"/>
    <m/>
    <n v="10713303"/>
    <n v="1"/>
    <n v="10713303"/>
    <n v="0"/>
    <n v="0"/>
    <n v="-5"/>
    <x v="0"/>
  </r>
  <r>
    <x v="2390"/>
    <s v="C0166"/>
    <x v="4"/>
    <d v="2025-01-15T00:00:00"/>
    <d v="2025-04-15T00:00:00"/>
    <s v="INR"/>
    <n v="19644052"/>
    <m/>
    <s v="OPEN"/>
    <s v="N"/>
    <m/>
    <n v="0"/>
    <n v="1"/>
    <n v="19644052"/>
    <n v="19644052"/>
    <n v="0"/>
    <s v=""/>
    <x v="5"/>
  </r>
  <r>
    <x v="2391"/>
    <s v="C0019"/>
    <x v="2"/>
    <d v="2025-01-16T00:00:00"/>
    <d v="2025-04-16T00:00:00"/>
    <s v="EUR"/>
    <n v="45118.28"/>
    <m/>
    <s v="OPEN"/>
    <s v="N"/>
    <m/>
    <n v="0"/>
    <n v="89.193100000000001"/>
    <n v="4024239.2598680002"/>
    <n v="4024239.2598680002"/>
    <n v="0"/>
    <s v=""/>
    <x v="5"/>
  </r>
  <r>
    <x v="2392"/>
    <s v="C0057"/>
    <x v="3"/>
    <d v="2025-01-16T00:00:00"/>
    <d v="2025-02-15T00:00:00"/>
    <s v="INR"/>
    <n v="12859042"/>
    <d v="2025-02-20T00:00:00"/>
    <s v="PAID"/>
    <s v="N"/>
    <m/>
    <n v="12859042"/>
    <n v="1"/>
    <n v="12859042"/>
    <n v="0"/>
    <n v="0"/>
    <n v="5"/>
    <x v="0"/>
  </r>
  <r>
    <x v="2393"/>
    <s v="C0169"/>
    <x v="3"/>
    <d v="2025-01-16T00:00:00"/>
    <d v="2025-03-02T00:00:00"/>
    <s v="EUR"/>
    <n v="94150.93"/>
    <d v="2025-03-02T00:00:00"/>
    <s v="PAID"/>
    <s v="Y"/>
    <n v="89.326899999999995"/>
    <n v="94150.93"/>
    <n v="89.193100000000001"/>
    <n v="8397613.3145829998"/>
    <n v="0"/>
    <n v="0"/>
    <n v="0"/>
    <x v="0"/>
  </r>
  <r>
    <x v="2394"/>
    <s v="C0042"/>
    <x v="4"/>
    <d v="2025-01-17T00:00:00"/>
    <d v="2025-03-18T00:00:00"/>
    <s v="EUR"/>
    <n v="36339.769999999997"/>
    <m/>
    <s v="OPEN"/>
    <s v="Y"/>
    <n v="89.212100000000007"/>
    <n v="0"/>
    <n v="89.034000000000006"/>
    <n v="3235475.0821799999"/>
    <n v="3235475.0821799999"/>
    <n v="13"/>
    <s v=""/>
    <x v="4"/>
  </r>
  <r>
    <x v="2395"/>
    <s v="C0073"/>
    <x v="1"/>
    <d v="2025-01-17T00:00:00"/>
    <d v="2025-02-16T00:00:00"/>
    <s v="USD"/>
    <n v="72482.52"/>
    <m/>
    <s v="OPEN"/>
    <s v="Y"/>
    <n v="86.694199999999995"/>
    <n v="0"/>
    <n v="86.55"/>
    <n v="6273362.1060000006"/>
    <n v="6273362.1060000006"/>
    <n v="43"/>
    <s v=""/>
    <x v="3"/>
  </r>
  <r>
    <x v="2396"/>
    <s v="C0080"/>
    <x v="0"/>
    <d v="2025-01-17T00:00:00"/>
    <d v="2025-03-18T00:00:00"/>
    <s v="INR"/>
    <n v="4703458"/>
    <d v="2025-03-20T00:00:00"/>
    <s v="PAID"/>
    <s v="N"/>
    <m/>
    <n v="4703458"/>
    <n v="1"/>
    <n v="4703458"/>
    <n v="0"/>
    <n v="0"/>
    <n v="2"/>
    <x v="0"/>
  </r>
  <r>
    <x v="2397"/>
    <s v="C0154"/>
    <x v="0"/>
    <d v="2025-01-17T00:00:00"/>
    <d v="2025-03-03T00:00:00"/>
    <s v="INR"/>
    <n v="927121"/>
    <m/>
    <s v="OPEN"/>
    <s v="N"/>
    <m/>
    <n v="0"/>
    <n v="1"/>
    <n v="927121"/>
    <n v="927121"/>
    <n v="28"/>
    <s v=""/>
    <x v="4"/>
  </r>
  <r>
    <x v="2398"/>
    <s v="C0201"/>
    <x v="4"/>
    <d v="2025-01-17T00:00:00"/>
    <d v="2025-03-18T00:00:00"/>
    <s v="INR"/>
    <n v="7615107"/>
    <m/>
    <s v="OPEN"/>
    <s v="N"/>
    <m/>
    <n v="0"/>
    <n v="1"/>
    <n v="7615107"/>
    <n v="7615107"/>
    <n v="13"/>
    <s v=""/>
    <x v="4"/>
  </r>
  <r>
    <x v="2399"/>
    <s v="C0223"/>
    <x v="0"/>
    <d v="2025-01-17T00:00:00"/>
    <d v="2025-03-03T00:00:00"/>
    <s v="INR"/>
    <n v="3847939"/>
    <m/>
    <s v="OPEN"/>
    <s v="N"/>
    <m/>
    <n v="0"/>
    <n v="1"/>
    <n v="3847939"/>
    <n v="3847939"/>
    <n v="28"/>
    <s v=""/>
    <x v="4"/>
  </r>
  <r>
    <x v="2400"/>
    <s v="C0050"/>
    <x v="0"/>
    <d v="2025-01-18T00:00:00"/>
    <d v="2025-03-19T00:00:00"/>
    <s v="INR"/>
    <n v="4440000"/>
    <d v="2025-03-17T00:00:00"/>
    <s v="PAID"/>
    <s v="N"/>
    <m/>
    <n v="4440000"/>
    <n v="1"/>
    <n v="4440000"/>
    <n v="0"/>
    <n v="0"/>
    <n v="-2"/>
    <x v="0"/>
  </r>
  <r>
    <x v="2401"/>
    <s v="C0063"/>
    <x v="2"/>
    <d v="2025-01-18T00:00:00"/>
    <d v="2025-03-19T00:00:00"/>
    <s v="INR"/>
    <n v="8473795"/>
    <d v="2025-03-24T00:00:00"/>
    <s v="PAID"/>
    <s v="N"/>
    <m/>
    <n v="8473795"/>
    <n v="1"/>
    <n v="8473795"/>
    <n v="0"/>
    <n v="0"/>
    <n v="5"/>
    <x v="0"/>
  </r>
  <r>
    <x v="2402"/>
    <s v="C0073"/>
    <x v="1"/>
    <d v="2025-01-18T00:00:00"/>
    <d v="2025-02-17T00:00:00"/>
    <s v="USD"/>
    <n v="106176.48"/>
    <d v="2025-03-03T00:00:00"/>
    <s v="PAID"/>
    <s v="N"/>
    <m/>
    <n v="106176.48"/>
    <n v="86.55"/>
    <n v="9189574.3439999986"/>
    <n v="0"/>
    <n v="0"/>
    <n v="14"/>
    <x v="0"/>
  </r>
  <r>
    <x v="2403"/>
    <s v="C0228"/>
    <x v="0"/>
    <d v="2025-01-18T00:00:00"/>
    <d v="2025-03-04T00:00:00"/>
    <s v="INR"/>
    <n v="1907858"/>
    <d v="2025-03-08T00:00:00"/>
    <s v="PAID"/>
    <s v="N"/>
    <m/>
    <n v="1907858"/>
    <n v="1"/>
    <n v="1907858"/>
    <n v="0"/>
    <n v="0"/>
    <n v="4"/>
    <x v="0"/>
  </r>
  <r>
    <x v="2404"/>
    <s v="C0138"/>
    <x v="4"/>
    <d v="2025-01-20T00:00:00"/>
    <d v="2025-02-19T00:00:00"/>
    <s v="INR"/>
    <n v="6110101"/>
    <d v="2025-02-17T00:00:00"/>
    <s v="PAID"/>
    <s v="N"/>
    <m/>
    <n v="6110101"/>
    <n v="1"/>
    <n v="6110101"/>
    <n v="0"/>
    <n v="0"/>
    <n v="-2"/>
    <x v="0"/>
  </r>
  <r>
    <x v="2405"/>
    <s v="C0213"/>
    <x v="1"/>
    <d v="2025-01-20T00:00:00"/>
    <d v="2025-03-21T00:00:00"/>
    <s v="EUR"/>
    <n v="87364.94"/>
    <d v="2025-03-25T00:00:00"/>
    <s v="PARTIALLY PAID"/>
    <s v="N"/>
    <m/>
    <n v="52882.48"/>
    <n v="89.034000000000006"/>
    <n v="7778450.0679600006"/>
    <n v="3070111.3436400001"/>
    <n v="10"/>
    <n v="4"/>
    <x v="4"/>
  </r>
  <r>
    <x v="2406"/>
    <s v="C0056"/>
    <x v="1"/>
    <d v="2025-01-21T00:00:00"/>
    <d v="2025-03-22T00:00:00"/>
    <s v="INR"/>
    <n v="18481351"/>
    <m/>
    <s v="OPEN"/>
    <s v="N"/>
    <m/>
    <n v="0"/>
    <n v="1"/>
    <n v="18481351"/>
    <n v="18481351"/>
    <n v="9"/>
    <s v=""/>
    <x v="4"/>
  </r>
  <r>
    <x v="2407"/>
    <s v="C0057"/>
    <x v="3"/>
    <d v="2025-01-21T00:00:00"/>
    <d v="2025-02-20T00:00:00"/>
    <s v="INR"/>
    <n v="3144893"/>
    <d v="2025-02-23T00:00:00"/>
    <s v="PAID"/>
    <s v="N"/>
    <m/>
    <n v="3144893"/>
    <n v="1"/>
    <n v="3144893"/>
    <n v="0"/>
    <n v="0"/>
    <n v="3"/>
    <x v="0"/>
  </r>
  <r>
    <x v="2408"/>
    <s v="C0071"/>
    <x v="1"/>
    <d v="2025-01-22T00:00:00"/>
    <d v="2025-03-23T00:00:00"/>
    <s v="USD"/>
    <n v="89179.61"/>
    <m/>
    <s v="OPEN"/>
    <s v="N"/>
    <m/>
    <n v="0"/>
    <n v="86.34"/>
    <n v="7699767.5274"/>
    <n v="7699767.5274"/>
    <n v="8"/>
    <s v=""/>
    <x v="4"/>
  </r>
  <r>
    <x v="2409"/>
    <s v="C0198"/>
    <x v="3"/>
    <d v="2025-01-22T00:00:00"/>
    <d v="2025-03-08T00:00:00"/>
    <s v="USD"/>
    <n v="49264.53"/>
    <m/>
    <s v="PAID"/>
    <s v="Y"/>
    <n v="86.555800000000005"/>
    <n v="49264.53"/>
    <n v="86.34"/>
    <n v="4253499.5202000001"/>
    <n v="0"/>
    <n v="0"/>
    <s v=""/>
    <x v="0"/>
  </r>
  <r>
    <x v="2410"/>
    <s v="C0010"/>
    <x v="1"/>
    <d v="2025-01-23T00:00:00"/>
    <d v="2025-03-24T00:00:00"/>
    <s v="USD"/>
    <n v="45563.46"/>
    <m/>
    <s v="OPEN"/>
    <s v="N"/>
    <m/>
    <n v="0"/>
    <n v="86.42"/>
    <n v="3937594.2132000001"/>
    <n v="3937594.2132000001"/>
    <n v="7"/>
    <s v=""/>
    <x v="4"/>
  </r>
  <r>
    <x v="2411"/>
    <s v="C0058"/>
    <x v="3"/>
    <d v="2025-01-23T00:00:00"/>
    <d v="2025-02-22T00:00:00"/>
    <s v="INR"/>
    <n v="2679373"/>
    <d v="2025-02-26T00:00:00"/>
    <s v="PAID"/>
    <s v="N"/>
    <m/>
    <n v="2679373"/>
    <n v="1"/>
    <n v="2679373"/>
    <n v="0"/>
    <n v="0"/>
    <n v="4"/>
    <x v="0"/>
  </r>
  <r>
    <x v="2412"/>
    <s v="C0066"/>
    <x v="3"/>
    <d v="2025-01-23T00:00:00"/>
    <d v="2025-02-22T00:00:00"/>
    <s v="INR"/>
    <n v="4369347"/>
    <d v="2025-03-01T00:00:00"/>
    <s v="PAID"/>
    <s v="N"/>
    <m/>
    <n v="4369347"/>
    <n v="1"/>
    <n v="4369347"/>
    <n v="0"/>
    <n v="0"/>
    <n v="7"/>
    <x v="0"/>
  </r>
  <r>
    <x v="2413"/>
    <s v="C0166"/>
    <x v="2"/>
    <d v="2025-01-23T00:00:00"/>
    <d v="2025-04-23T00:00:00"/>
    <s v="INR"/>
    <n v="3108881"/>
    <m/>
    <s v="OPEN"/>
    <s v="N"/>
    <m/>
    <n v="0"/>
    <n v="1"/>
    <n v="3108881"/>
    <n v="3108881"/>
    <n v="0"/>
    <s v=""/>
    <x v="5"/>
  </r>
  <r>
    <x v="2414"/>
    <s v="C0038"/>
    <x v="0"/>
    <d v="2025-01-24T00:00:00"/>
    <d v="2025-03-25T00:00:00"/>
    <s v="INR"/>
    <n v="1839454"/>
    <m/>
    <s v="OPEN"/>
    <s v="N"/>
    <m/>
    <n v="0"/>
    <n v="1"/>
    <n v="1839454"/>
    <n v="1839454"/>
    <n v="6"/>
    <s v=""/>
    <x v="4"/>
  </r>
  <r>
    <x v="2415"/>
    <s v="C0075"/>
    <x v="1"/>
    <d v="2025-01-24T00:00:00"/>
    <d v="2025-02-23T00:00:00"/>
    <s v="INR"/>
    <n v="8217081"/>
    <d v="2025-03-05T00:00:00"/>
    <s v="PAID"/>
    <s v="N"/>
    <m/>
    <n v="8217081"/>
    <n v="1"/>
    <n v="8217081"/>
    <n v="0"/>
    <n v="0"/>
    <n v="10"/>
    <x v="0"/>
  </r>
  <r>
    <x v="2416"/>
    <s v="C0080"/>
    <x v="0"/>
    <d v="2025-01-24T00:00:00"/>
    <d v="2025-03-25T00:00:00"/>
    <s v="INR"/>
    <n v="4580020"/>
    <d v="2025-03-20T00:00:00"/>
    <s v="PAID"/>
    <s v="N"/>
    <m/>
    <n v="4580020"/>
    <n v="1"/>
    <n v="4580020"/>
    <n v="0"/>
    <n v="0"/>
    <n v="-5"/>
    <x v="0"/>
  </r>
  <r>
    <x v="2417"/>
    <s v="C0142"/>
    <x v="4"/>
    <d v="2025-01-24T00:00:00"/>
    <d v="2025-03-25T00:00:00"/>
    <s v="EUR"/>
    <n v="49415.08"/>
    <m/>
    <s v="OPEN"/>
    <s v="Y"/>
    <n v="90.820599999999999"/>
    <n v="0"/>
    <n v="90.639300000000006"/>
    <n v="4478948.260644"/>
    <n v="4478948.260644"/>
    <n v="6"/>
    <s v=""/>
    <x v="4"/>
  </r>
  <r>
    <x v="2418"/>
    <s v="C0213"/>
    <x v="1"/>
    <d v="2025-01-24T00:00:00"/>
    <d v="2025-03-25T00:00:00"/>
    <s v="EUR"/>
    <n v="51842.75"/>
    <d v="2025-03-25T00:00:00"/>
    <s v="PAID"/>
    <s v="N"/>
    <m/>
    <n v="51842.75"/>
    <n v="90.639300000000006"/>
    <n v="4698990.5700750006"/>
    <n v="0"/>
    <n v="0"/>
    <n v="0"/>
    <x v="0"/>
  </r>
  <r>
    <x v="2419"/>
    <s v="C0231"/>
    <x v="0"/>
    <d v="2025-01-24T00:00:00"/>
    <d v="2025-02-23T00:00:00"/>
    <s v="INR"/>
    <n v="9920798"/>
    <d v="2025-03-05T00:00:00"/>
    <s v="PAID"/>
    <s v="N"/>
    <m/>
    <n v="9920798"/>
    <n v="1"/>
    <n v="9920798"/>
    <n v="0"/>
    <n v="0"/>
    <n v="10"/>
    <x v="0"/>
  </r>
  <r>
    <x v="2420"/>
    <s v="C0025"/>
    <x v="3"/>
    <d v="2025-01-25T00:00:00"/>
    <d v="2025-03-11T00:00:00"/>
    <s v="USD"/>
    <n v="242633.4"/>
    <d v="2025-03-25T00:00:00"/>
    <s v="PAID"/>
    <s v="N"/>
    <m/>
    <n v="242633.4"/>
    <n v="86.2"/>
    <n v="20914999.080000002"/>
    <n v="0"/>
    <n v="0"/>
    <n v="14"/>
    <x v="0"/>
  </r>
  <r>
    <x v="2421"/>
    <s v="C0049"/>
    <x v="3"/>
    <d v="2025-01-25T00:00:00"/>
    <d v="2025-02-24T00:00:00"/>
    <s v="INR"/>
    <n v="26211259"/>
    <d v="2025-02-21T00:00:00"/>
    <s v="PAID"/>
    <s v="N"/>
    <m/>
    <n v="26211259"/>
    <n v="1"/>
    <n v="26211259"/>
    <n v="0"/>
    <n v="0"/>
    <n v="-3"/>
    <x v="0"/>
  </r>
  <r>
    <x v="2422"/>
    <s v="C0067"/>
    <x v="2"/>
    <d v="2025-01-25T00:00:00"/>
    <d v="2025-03-11T00:00:00"/>
    <s v="EUR"/>
    <n v="55254.45"/>
    <m/>
    <s v="OPEN"/>
    <s v="N"/>
    <m/>
    <n v="0"/>
    <n v="90.639300000000006"/>
    <n v="5008224.6698850002"/>
    <n v="5008224.6698850002"/>
    <n v="20"/>
    <s v=""/>
    <x v="4"/>
  </r>
  <r>
    <x v="2423"/>
    <s v="C0177"/>
    <x v="3"/>
    <d v="2025-01-25T00:00:00"/>
    <d v="2025-03-26T00:00:00"/>
    <s v="EUR"/>
    <n v="153596.16"/>
    <d v="2025-03-28T00:00:00"/>
    <s v="PAID"/>
    <s v="Y"/>
    <n v="90.820599999999999"/>
    <n v="153596.16"/>
    <n v="90.639300000000006"/>
    <n v="13921848.425088001"/>
    <n v="0"/>
    <n v="0"/>
    <n v="2"/>
    <x v="0"/>
  </r>
  <r>
    <x v="2424"/>
    <s v="C0183"/>
    <x v="0"/>
    <d v="2025-01-25T00:00:00"/>
    <d v="2025-04-25T00:00:00"/>
    <s v="INR"/>
    <n v="5208838"/>
    <m/>
    <s v="OPEN"/>
    <s v="N"/>
    <m/>
    <n v="0"/>
    <n v="1"/>
    <n v="5208838"/>
    <n v="5208838"/>
    <n v="0"/>
    <s v=""/>
    <x v="5"/>
  </r>
  <r>
    <x v="2425"/>
    <s v="C0213"/>
    <x v="2"/>
    <d v="2025-01-25T00:00:00"/>
    <d v="2025-03-26T00:00:00"/>
    <s v="EUR"/>
    <n v="197162.43"/>
    <d v="2025-03-28T00:00:00"/>
    <s v="PAID"/>
    <s v="Y"/>
    <n v="90.820599999999999"/>
    <n v="197162.43"/>
    <n v="90.639300000000006"/>
    <n v="17870664.641499002"/>
    <n v="0"/>
    <n v="0"/>
    <n v="2"/>
    <x v="0"/>
  </r>
  <r>
    <x v="2426"/>
    <s v="C0236"/>
    <x v="1"/>
    <d v="2025-01-25T00:00:00"/>
    <d v="2025-03-26T00:00:00"/>
    <s v="EUR"/>
    <n v="39682.769999999997"/>
    <m/>
    <s v="OPEN"/>
    <s v="N"/>
    <m/>
    <n v="0"/>
    <n v="90.639300000000006"/>
    <n v="3596818.4948609998"/>
    <n v="3596818.4948609998"/>
    <n v="5"/>
    <s v=""/>
    <x v="4"/>
  </r>
  <r>
    <x v="2427"/>
    <s v="C0238"/>
    <x v="2"/>
    <d v="2025-01-25T00:00:00"/>
    <d v="2025-03-26T00:00:00"/>
    <s v="INR"/>
    <n v="8948870"/>
    <d v="2025-03-29T00:00:00"/>
    <s v="PAID"/>
    <s v="N"/>
    <m/>
    <n v="8948870"/>
    <n v="1"/>
    <n v="8948870"/>
    <n v="0"/>
    <n v="0"/>
    <n v="3"/>
    <x v="0"/>
  </r>
  <r>
    <x v="2428"/>
    <s v="C0014"/>
    <x v="3"/>
    <d v="2025-01-27T00:00:00"/>
    <d v="2025-03-13T00:00:00"/>
    <s v="EUR"/>
    <n v="121267.3"/>
    <d v="2025-03-16T00:00:00"/>
    <s v="PAID"/>
    <s v="Y"/>
    <n v="90.723799999999997"/>
    <n v="121267.3"/>
    <n v="90.587900000000005"/>
    <n v="10985350.045670001"/>
    <n v="0"/>
    <n v="0"/>
    <n v="3"/>
    <x v="0"/>
  </r>
  <r>
    <x v="2429"/>
    <s v="C0036"/>
    <x v="1"/>
    <d v="2025-01-27T00:00:00"/>
    <d v="2025-03-13T00:00:00"/>
    <s v="INR"/>
    <n v="3212807"/>
    <d v="2025-03-18T00:00:00"/>
    <s v="PAID"/>
    <s v="N"/>
    <m/>
    <n v="3212807"/>
    <n v="1"/>
    <n v="3212807"/>
    <n v="0"/>
    <n v="0"/>
    <n v="5"/>
    <x v="0"/>
  </r>
  <r>
    <x v="2430"/>
    <s v="C0049"/>
    <x v="3"/>
    <d v="2025-01-27T00:00:00"/>
    <d v="2025-02-26T00:00:00"/>
    <s v="INR"/>
    <n v="3670210"/>
    <d v="2025-02-27T00:00:00"/>
    <s v="PAID"/>
    <s v="N"/>
    <m/>
    <n v="3670210"/>
    <n v="1"/>
    <n v="3670210"/>
    <n v="0"/>
    <n v="0"/>
    <n v="1"/>
    <x v="0"/>
  </r>
  <r>
    <x v="2431"/>
    <s v="C0057"/>
    <x v="3"/>
    <d v="2025-01-27T00:00:00"/>
    <d v="2025-02-26T00:00:00"/>
    <s v="INR"/>
    <n v="22026910"/>
    <d v="2025-02-25T00:00:00"/>
    <s v="PAID"/>
    <s v="N"/>
    <m/>
    <n v="22026910"/>
    <n v="1"/>
    <n v="22026910"/>
    <n v="0"/>
    <n v="0"/>
    <n v="-1"/>
    <x v="0"/>
  </r>
  <r>
    <x v="2432"/>
    <s v="C0057"/>
    <x v="3"/>
    <d v="2025-01-27T00:00:00"/>
    <d v="2025-02-26T00:00:00"/>
    <s v="INR"/>
    <n v="18673351"/>
    <d v="2025-02-28T00:00:00"/>
    <s v="PAID"/>
    <s v="N"/>
    <m/>
    <n v="18673351"/>
    <n v="1"/>
    <n v="18673351"/>
    <n v="0"/>
    <n v="0"/>
    <n v="2"/>
    <x v="0"/>
  </r>
  <r>
    <x v="2433"/>
    <s v="C0099"/>
    <x v="3"/>
    <d v="2025-01-27T00:00:00"/>
    <d v="2025-03-28T00:00:00"/>
    <s v="EUR"/>
    <n v="48925.43"/>
    <m/>
    <s v="OPEN"/>
    <s v="Y"/>
    <n v="90.769099999999995"/>
    <n v="0"/>
    <n v="90.587900000000005"/>
    <n v="4432051.9602970006"/>
    <n v="4432051.9602970006"/>
    <n v="3"/>
    <s v=""/>
    <x v="4"/>
  </r>
  <r>
    <x v="2434"/>
    <s v="C0198"/>
    <x v="3"/>
    <d v="2025-01-27T00:00:00"/>
    <d v="2025-03-13T00:00:00"/>
    <s v="USD"/>
    <n v="262232.01"/>
    <m/>
    <s v="OPEN"/>
    <s v="Y"/>
    <n v="86.555800000000005"/>
    <n v="0"/>
    <n v="86.34"/>
    <n v="22641111.7434"/>
    <n v="22641111.7434"/>
    <n v="18"/>
    <s v=""/>
    <x v="4"/>
  </r>
  <r>
    <x v="2435"/>
    <s v="C0213"/>
    <x v="1"/>
    <d v="2025-01-27T00:00:00"/>
    <d v="2025-03-28T00:00:00"/>
    <s v="EUR"/>
    <n v="138867.88"/>
    <d v="2025-03-26T00:00:00"/>
    <s v="PAID"/>
    <s v="N"/>
    <m/>
    <n v="138867.88"/>
    <n v="90.587900000000005"/>
    <n v="12579749.626652"/>
    <n v="0"/>
    <n v="0"/>
    <n v="-2"/>
    <x v="0"/>
  </r>
  <r>
    <x v="2436"/>
    <s v="C0037"/>
    <x v="0"/>
    <d v="2025-01-28T00:00:00"/>
    <d v="2025-02-27T00:00:00"/>
    <s v="INR"/>
    <n v="2925569"/>
    <d v="2025-02-28T00:00:00"/>
    <s v="PAID"/>
    <s v="N"/>
    <m/>
    <n v="2925569"/>
    <n v="1"/>
    <n v="2925569"/>
    <n v="0"/>
    <n v="0"/>
    <n v="1"/>
    <x v="0"/>
  </r>
  <r>
    <x v="2437"/>
    <s v="C0137"/>
    <x v="1"/>
    <d v="2025-01-28T00:00:00"/>
    <d v="2025-03-29T00:00:00"/>
    <s v="USD"/>
    <n v="31242.17"/>
    <m/>
    <s v="OPEN"/>
    <s v="N"/>
    <m/>
    <n v="0"/>
    <n v="86.52"/>
    <n v="2703072.5483999997"/>
    <n v="2703072.5483999997"/>
    <n v="2"/>
    <s v=""/>
    <x v="4"/>
  </r>
  <r>
    <x v="2438"/>
    <s v="C0189"/>
    <x v="1"/>
    <d v="2025-01-28T00:00:00"/>
    <d v="2025-03-14T00:00:00"/>
    <s v="INR"/>
    <n v="3446005"/>
    <d v="2025-03-26T00:00:00"/>
    <s v="PAID"/>
    <s v="N"/>
    <m/>
    <n v="3446005"/>
    <n v="1"/>
    <n v="3446005"/>
    <n v="0"/>
    <n v="0"/>
    <n v="12"/>
    <x v="0"/>
  </r>
  <r>
    <x v="2439"/>
    <s v="C0194"/>
    <x v="3"/>
    <d v="2025-01-28T00:00:00"/>
    <d v="2025-03-29T00:00:00"/>
    <s v="INR"/>
    <n v="1604367"/>
    <m/>
    <s v="OPEN"/>
    <s v="N"/>
    <m/>
    <n v="0"/>
    <n v="1"/>
    <n v="1604367"/>
    <n v="1604367"/>
    <n v="2"/>
    <s v=""/>
    <x v="4"/>
  </r>
  <r>
    <x v="2440"/>
    <s v="C0099"/>
    <x v="3"/>
    <d v="2025-01-30T00:00:00"/>
    <d v="2025-03-31T00:00:00"/>
    <s v="EUR"/>
    <n v="119738.97"/>
    <m/>
    <s v="OPEN"/>
    <s v="N"/>
    <m/>
    <n v="0"/>
    <n v="90.185100000000006"/>
    <n v="10798670.983347001"/>
    <n v="10798670.983347001"/>
    <n v="0"/>
    <s v=""/>
    <x v="5"/>
  </r>
  <r>
    <x v="2441"/>
    <s v="C0039"/>
    <x v="0"/>
    <d v="2025-01-31T00:00:00"/>
    <d v="2025-04-01T00:00:00"/>
    <s v="INR"/>
    <n v="3911384"/>
    <m/>
    <s v="OPEN"/>
    <s v="N"/>
    <m/>
    <n v="0"/>
    <n v="1"/>
    <n v="3911384"/>
    <n v="3911384"/>
    <n v="0"/>
    <s v=""/>
    <x v="5"/>
  </r>
  <r>
    <x v="2442"/>
    <s v="C0111"/>
    <x v="3"/>
    <d v="2025-01-31T00:00:00"/>
    <d v="2025-05-01T00:00:00"/>
    <s v="EUR"/>
    <n v="52667.65"/>
    <m/>
    <s v="OPEN"/>
    <s v="Y"/>
    <n v="90.271600000000007"/>
    <n v="0"/>
    <n v="90.001599999999996"/>
    <n v="4740172.7682400001"/>
    <n v="4740172.7682400001"/>
    <n v="0"/>
    <s v=""/>
    <x v="5"/>
  </r>
  <r>
    <x v="2443"/>
    <s v="C0244"/>
    <x v="3"/>
    <d v="2025-01-31T00:00:00"/>
    <d v="2025-04-01T00:00:00"/>
    <s v="INR"/>
    <n v="6506797"/>
    <m/>
    <s v="OPEN"/>
    <s v="N"/>
    <m/>
    <n v="0"/>
    <n v="1"/>
    <n v="6506797"/>
    <n v="6506797"/>
    <n v="0"/>
    <s v=""/>
    <x v="5"/>
  </r>
  <r>
    <x v="2444"/>
    <s v="C0024"/>
    <x v="3"/>
    <d v="2025-02-01T00:00:00"/>
    <d v="2025-03-03T00:00:00"/>
    <s v="INR"/>
    <n v="7513574"/>
    <d v="2025-03-04T00:00:00"/>
    <s v="PAID"/>
    <s v="N"/>
    <m/>
    <n v="7513574"/>
    <n v="1"/>
    <n v="7513574"/>
    <n v="0"/>
    <n v="0"/>
    <n v="1"/>
    <x v="0"/>
  </r>
  <r>
    <x v="2445"/>
    <s v="C0039"/>
    <x v="0"/>
    <d v="2025-02-01T00:00:00"/>
    <d v="2025-04-02T00:00:00"/>
    <s v="INR"/>
    <n v="3414100"/>
    <m/>
    <s v="OPEN"/>
    <s v="N"/>
    <m/>
    <n v="0"/>
    <n v="1"/>
    <n v="3414100"/>
    <n v="3414100"/>
    <n v="0"/>
    <s v=""/>
    <x v="5"/>
  </r>
  <r>
    <x v="2446"/>
    <s v="C0039"/>
    <x v="0"/>
    <d v="2025-02-01T00:00:00"/>
    <d v="2025-04-02T00:00:00"/>
    <s v="INR"/>
    <n v="3025206"/>
    <m/>
    <s v="OPEN"/>
    <s v="N"/>
    <m/>
    <n v="0"/>
    <n v="1"/>
    <n v="3025206"/>
    <n v="3025206"/>
    <n v="0"/>
    <s v=""/>
    <x v="5"/>
  </r>
  <r>
    <x v="2447"/>
    <s v="C0110"/>
    <x v="1"/>
    <d v="2025-02-01T00:00:00"/>
    <d v="2025-04-02T00:00:00"/>
    <s v="USD"/>
    <n v="60072.39"/>
    <m/>
    <s v="OPEN"/>
    <s v="N"/>
    <m/>
    <n v="0"/>
    <n v="86.54"/>
    <n v="5198664.6306000007"/>
    <n v="5198664.6306000007"/>
    <n v="0"/>
    <s v=""/>
    <x v="5"/>
  </r>
  <r>
    <x v="2448"/>
    <s v="C0228"/>
    <x v="0"/>
    <d v="2025-02-01T00:00:00"/>
    <d v="2025-03-18T00:00:00"/>
    <s v="INR"/>
    <n v="6725367"/>
    <d v="2025-03-28T00:00:00"/>
    <s v="PAID"/>
    <s v="N"/>
    <m/>
    <n v="6725367"/>
    <n v="1"/>
    <n v="6725367"/>
    <n v="0"/>
    <n v="0"/>
    <n v="10"/>
    <x v="0"/>
  </r>
  <r>
    <x v="2449"/>
    <s v="C0248"/>
    <x v="4"/>
    <d v="2025-02-01T00:00:00"/>
    <d v="2025-03-03T00:00:00"/>
    <s v="USD"/>
    <n v="56283.98"/>
    <d v="2025-03-09T00:00:00"/>
    <s v="PAID"/>
    <s v="N"/>
    <m/>
    <n v="56283.98"/>
    <n v="86.54"/>
    <n v="4870815.6292000003"/>
    <n v="0"/>
    <n v="0"/>
    <n v="6"/>
    <x v="0"/>
  </r>
  <r>
    <x v="2450"/>
    <s v="C0250"/>
    <x v="0"/>
    <d v="2025-02-01T00:00:00"/>
    <d v="2025-04-02T00:00:00"/>
    <s v="INR"/>
    <n v="3591769"/>
    <m/>
    <s v="OPEN"/>
    <s v="N"/>
    <m/>
    <n v="0"/>
    <n v="1"/>
    <n v="3591769"/>
    <n v="3591769"/>
    <n v="0"/>
    <s v=""/>
    <x v="5"/>
  </r>
  <r>
    <x v="2451"/>
    <s v="C0069"/>
    <x v="2"/>
    <d v="2025-02-03T00:00:00"/>
    <d v="2025-03-05T00:00:00"/>
    <s v="INR"/>
    <n v="4117692"/>
    <d v="2025-03-16T00:00:00"/>
    <s v="PAID"/>
    <s v="N"/>
    <m/>
    <n v="4117692"/>
    <n v="1"/>
    <n v="4117692"/>
    <n v="0"/>
    <n v="0"/>
    <n v="11"/>
    <x v="0"/>
  </r>
  <r>
    <x v="2452"/>
    <s v="C0084"/>
    <x v="3"/>
    <d v="2025-02-03T00:00:00"/>
    <d v="2025-03-20T00:00:00"/>
    <s v="INR"/>
    <n v="6852138"/>
    <d v="2025-03-23T00:00:00"/>
    <s v="PAID"/>
    <s v="N"/>
    <m/>
    <n v="6852138"/>
    <n v="1"/>
    <n v="6852138"/>
    <n v="0"/>
    <n v="0"/>
    <n v="3"/>
    <x v="0"/>
  </r>
  <r>
    <x v="2453"/>
    <s v="C0111"/>
    <x v="3"/>
    <d v="2025-02-03T00:00:00"/>
    <d v="2025-05-04T00:00:00"/>
    <s v="EUR"/>
    <n v="131624.31"/>
    <m/>
    <s v="OPEN"/>
    <s v="Y"/>
    <n v="89.873999999999995"/>
    <n v="0"/>
    <n v="89.605199999999996"/>
    <n v="11794222.622412"/>
    <n v="11794222.622412"/>
    <n v="0"/>
    <s v=""/>
    <x v="5"/>
  </r>
  <r>
    <x v="2454"/>
    <s v="C0141"/>
    <x v="3"/>
    <d v="2025-02-03T00:00:00"/>
    <d v="2025-04-04T00:00:00"/>
    <s v="INR"/>
    <n v="1485130"/>
    <m/>
    <s v="OPEN"/>
    <s v="N"/>
    <m/>
    <n v="0"/>
    <n v="1"/>
    <n v="1485130"/>
    <n v="1485130"/>
    <n v="0"/>
    <s v=""/>
    <x v="5"/>
  </r>
  <r>
    <x v="2455"/>
    <s v="C0173"/>
    <x v="4"/>
    <d v="2025-02-03T00:00:00"/>
    <d v="2025-04-04T00:00:00"/>
    <s v="EUR"/>
    <n v="139484.45000000001"/>
    <m/>
    <s v="OPEN"/>
    <s v="Y"/>
    <n v="89.784400000000005"/>
    <n v="0"/>
    <n v="89.605199999999996"/>
    <n v="12498532.039140001"/>
    <n v="12498532.039140001"/>
    <n v="0"/>
    <s v=""/>
    <x v="5"/>
  </r>
  <r>
    <x v="2456"/>
    <s v="C0197"/>
    <x v="0"/>
    <d v="2025-02-03T00:00:00"/>
    <d v="2025-03-20T00:00:00"/>
    <s v="INR"/>
    <n v="3066237"/>
    <d v="2025-03-19T00:00:00"/>
    <s v="PAID"/>
    <s v="N"/>
    <m/>
    <n v="3066237"/>
    <n v="1"/>
    <n v="3066237"/>
    <n v="0"/>
    <n v="0"/>
    <n v="-1"/>
    <x v="0"/>
  </r>
  <r>
    <x v="2457"/>
    <s v="C0107"/>
    <x v="1"/>
    <d v="2025-02-04T00:00:00"/>
    <d v="2025-03-06T00:00:00"/>
    <s v="INR"/>
    <n v="7445096"/>
    <m/>
    <s v="OPEN"/>
    <s v="N"/>
    <m/>
    <n v="0"/>
    <n v="1"/>
    <n v="7445096"/>
    <n v="7445096"/>
    <n v="25"/>
    <s v=""/>
    <x v="4"/>
  </r>
  <r>
    <x v="2458"/>
    <s v="C0166"/>
    <x v="2"/>
    <d v="2025-02-04T00:00:00"/>
    <d v="2025-05-05T00:00:00"/>
    <s v="INR"/>
    <n v="16989427"/>
    <m/>
    <s v="OPEN"/>
    <s v="N"/>
    <m/>
    <n v="0"/>
    <n v="1"/>
    <n v="16989427"/>
    <n v="16989427"/>
    <n v="0"/>
    <s v=""/>
    <x v="5"/>
  </r>
  <r>
    <x v="2459"/>
    <s v="C0211"/>
    <x v="3"/>
    <d v="2025-02-04T00:00:00"/>
    <d v="2025-03-21T00:00:00"/>
    <s v="INR"/>
    <n v="4824373"/>
    <m/>
    <s v="OPEN"/>
    <s v="N"/>
    <m/>
    <n v="0"/>
    <n v="1"/>
    <n v="4824373"/>
    <n v="4824373"/>
    <n v="10"/>
    <s v=""/>
    <x v="4"/>
  </r>
  <r>
    <x v="2460"/>
    <s v="C0057"/>
    <x v="3"/>
    <d v="2025-02-05T00:00:00"/>
    <d v="2025-03-07T00:00:00"/>
    <s v="INR"/>
    <n v="14802471"/>
    <d v="2025-03-15T00:00:00"/>
    <s v="PAID"/>
    <s v="N"/>
    <m/>
    <n v="14802471"/>
    <n v="1"/>
    <n v="14802471"/>
    <n v="0"/>
    <n v="0"/>
    <n v="8"/>
    <x v="0"/>
  </r>
  <r>
    <x v="2461"/>
    <s v="C0071"/>
    <x v="1"/>
    <d v="2025-02-05T00:00:00"/>
    <d v="2025-04-06T00:00:00"/>
    <s v="USD"/>
    <n v="217524.13"/>
    <m/>
    <s v="OPEN"/>
    <s v="N"/>
    <m/>
    <n v="0"/>
    <n v="87.08"/>
    <n v="18942001.240400001"/>
    <n v="18942001.240400001"/>
    <n v="0"/>
    <s v=""/>
    <x v="5"/>
  </r>
  <r>
    <x v="2462"/>
    <s v="C0073"/>
    <x v="1"/>
    <d v="2025-02-05T00:00:00"/>
    <d v="2025-03-07T00:00:00"/>
    <s v="USD"/>
    <n v="149073.01"/>
    <m/>
    <s v="OPEN"/>
    <s v="N"/>
    <m/>
    <n v="0"/>
    <n v="87.08"/>
    <n v="12981277.710800001"/>
    <n v="12981277.710800001"/>
    <n v="24"/>
    <s v=""/>
    <x v="4"/>
  </r>
  <r>
    <x v="2463"/>
    <s v="C0111"/>
    <x v="3"/>
    <d v="2025-02-05T00:00:00"/>
    <d v="2025-05-06T00:00:00"/>
    <s v="EUR"/>
    <n v="77797.77"/>
    <m/>
    <s v="OPEN"/>
    <s v="Y"/>
    <n v="91.000900000000001"/>
    <n v="0"/>
    <n v="90.728700000000003"/>
    <n v="7058490.5349990008"/>
    <n v="7058490.5349990008"/>
    <n v="0"/>
    <s v=""/>
    <x v="5"/>
  </r>
  <r>
    <x v="2464"/>
    <s v="C0189"/>
    <x v="1"/>
    <d v="2025-02-05T00:00:00"/>
    <d v="2025-03-22T00:00:00"/>
    <s v="INR"/>
    <n v="4384919"/>
    <m/>
    <s v="OPEN"/>
    <s v="N"/>
    <m/>
    <n v="0"/>
    <n v="1"/>
    <n v="4384919"/>
    <n v="4384919"/>
    <n v="9"/>
    <s v=""/>
    <x v="4"/>
  </r>
  <r>
    <x v="2465"/>
    <s v="C0207"/>
    <x v="4"/>
    <d v="2025-02-05T00:00:00"/>
    <d v="2025-04-06T00:00:00"/>
    <s v="INR"/>
    <n v="5101513"/>
    <m/>
    <s v="OPEN"/>
    <s v="N"/>
    <m/>
    <n v="0"/>
    <n v="1"/>
    <n v="5101513"/>
    <n v="5101513"/>
    <n v="0"/>
    <s v=""/>
    <x v="5"/>
  </r>
  <r>
    <x v="2466"/>
    <s v="C0029"/>
    <x v="1"/>
    <d v="2025-02-06T00:00:00"/>
    <d v="2025-05-07T00:00:00"/>
    <s v="INR"/>
    <n v="3457864"/>
    <m/>
    <s v="OPEN"/>
    <s v="N"/>
    <m/>
    <n v="0"/>
    <n v="1"/>
    <n v="3457864"/>
    <n v="3457864"/>
    <n v="0"/>
    <s v=""/>
    <x v="5"/>
  </r>
  <r>
    <x v="2467"/>
    <s v="C0042"/>
    <x v="3"/>
    <d v="2025-02-06T00:00:00"/>
    <d v="2025-04-07T00:00:00"/>
    <s v="EUR"/>
    <n v="22625.98"/>
    <m/>
    <s v="OPEN"/>
    <s v="N"/>
    <m/>
    <n v="0"/>
    <n v="90.792599999999993"/>
    <n v="2054271.5517479999"/>
    <n v="2054271.5517479999"/>
    <n v="0"/>
    <s v=""/>
    <x v="5"/>
  </r>
  <r>
    <x v="2468"/>
    <s v="C0057"/>
    <x v="3"/>
    <d v="2025-02-06T00:00:00"/>
    <d v="2025-03-08T00:00:00"/>
    <s v="INR"/>
    <n v="17636290"/>
    <d v="2025-03-15T00:00:00"/>
    <s v="PAID"/>
    <s v="N"/>
    <m/>
    <n v="17636290"/>
    <n v="1"/>
    <n v="17636290"/>
    <n v="0"/>
    <n v="0"/>
    <n v="7"/>
    <x v="0"/>
  </r>
  <r>
    <x v="2469"/>
    <s v="C0103"/>
    <x v="0"/>
    <d v="2025-02-06T00:00:00"/>
    <d v="2025-04-07T00:00:00"/>
    <s v="INR"/>
    <n v="18249855"/>
    <m/>
    <s v="OPEN"/>
    <s v="N"/>
    <m/>
    <n v="0"/>
    <n v="1"/>
    <n v="18249855"/>
    <n v="18249855"/>
    <n v="0"/>
    <s v=""/>
    <x v="5"/>
  </r>
  <r>
    <x v="2470"/>
    <s v="C0107"/>
    <x v="1"/>
    <d v="2025-02-06T00:00:00"/>
    <d v="2025-03-08T00:00:00"/>
    <s v="INR"/>
    <n v="12293686"/>
    <m/>
    <s v="OPEN"/>
    <s v="N"/>
    <m/>
    <n v="0"/>
    <n v="1"/>
    <n v="12293686"/>
    <n v="12293686"/>
    <n v="23"/>
    <s v=""/>
    <x v="4"/>
  </r>
  <r>
    <x v="2471"/>
    <s v="C0138"/>
    <x v="4"/>
    <d v="2025-02-06T00:00:00"/>
    <d v="2025-03-08T00:00:00"/>
    <s v="INR"/>
    <n v="7489370"/>
    <d v="2025-03-17T00:00:00"/>
    <s v="PAID"/>
    <s v="N"/>
    <m/>
    <n v="7489370"/>
    <n v="1"/>
    <n v="7489370"/>
    <n v="0"/>
    <n v="0"/>
    <n v="9"/>
    <x v="0"/>
  </r>
  <r>
    <x v="2472"/>
    <s v="C0187"/>
    <x v="3"/>
    <d v="2025-02-06T00:00:00"/>
    <d v="2025-03-23T00:00:00"/>
    <s v="INR"/>
    <n v="7146001"/>
    <m/>
    <s v="OPEN"/>
    <s v="N"/>
    <m/>
    <n v="0"/>
    <n v="1"/>
    <n v="7146001"/>
    <n v="7146001"/>
    <n v="8"/>
    <s v=""/>
    <x v="4"/>
  </r>
  <r>
    <x v="2473"/>
    <s v="C0207"/>
    <x v="4"/>
    <d v="2025-02-06T00:00:00"/>
    <d v="2025-04-07T00:00:00"/>
    <s v="INR"/>
    <n v="6829937"/>
    <m/>
    <s v="OPEN"/>
    <s v="N"/>
    <m/>
    <n v="0"/>
    <n v="1"/>
    <n v="6829937"/>
    <n v="6829937"/>
    <n v="0"/>
    <s v=""/>
    <x v="5"/>
  </r>
  <r>
    <x v="2474"/>
    <s v="C0004"/>
    <x v="0"/>
    <d v="2025-02-07T00:00:00"/>
    <d v="2025-03-24T00:00:00"/>
    <s v="INR"/>
    <n v="6495802"/>
    <m/>
    <s v="OPEN"/>
    <s v="N"/>
    <m/>
    <n v="0"/>
    <n v="1"/>
    <n v="6495802"/>
    <n v="6495802"/>
    <n v="7"/>
    <s v=""/>
    <x v="4"/>
  </r>
  <r>
    <x v="2475"/>
    <s v="C0029"/>
    <x v="1"/>
    <d v="2025-02-07T00:00:00"/>
    <d v="2025-05-08T00:00:00"/>
    <s v="INR"/>
    <n v="8725255"/>
    <m/>
    <s v="OPEN"/>
    <s v="N"/>
    <m/>
    <n v="0"/>
    <n v="1"/>
    <n v="8725255"/>
    <n v="8725255"/>
    <n v="0"/>
    <s v=""/>
    <x v="5"/>
  </r>
  <r>
    <x v="2476"/>
    <s v="C0238"/>
    <x v="2"/>
    <d v="2025-02-07T00:00:00"/>
    <d v="2025-04-08T00:00:00"/>
    <s v="INR"/>
    <n v="5041397"/>
    <m/>
    <s v="OPEN"/>
    <s v="N"/>
    <m/>
    <n v="0"/>
    <n v="1"/>
    <n v="5041397"/>
    <n v="5041397"/>
    <n v="0"/>
    <s v=""/>
    <x v="5"/>
  </r>
  <r>
    <x v="2477"/>
    <s v="C0039"/>
    <x v="0"/>
    <d v="2025-02-08T00:00:00"/>
    <d v="2025-04-09T00:00:00"/>
    <s v="INR"/>
    <n v="5568151"/>
    <m/>
    <s v="OPEN"/>
    <s v="N"/>
    <m/>
    <n v="0"/>
    <n v="1"/>
    <n v="5568151"/>
    <n v="5568151"/>
    <n v="0"/>
    <s v=""/>
    <x v="5"/>
  </r>
  <r>
    <x v="2478"/>
    <s v="C0042"/>
    <x v="3"/>
    <d v="2025-02-08T00:00:00"/>
    <d v="2025-04-09T00:00:00"/>
    <s v="EUR"/>
    <n v="105993.68"/>
    <m/>
    <s v="OPEN"/>
    <s v="Y"/>
    <n v="90.486999999999995"/>
    <n v="0"/>
    <n v="90.306399999999996"/>
    <n v="9571907.6635519993"/>
    <n v="9571907.6635519993"/>
    <n v="0"/>
    <s v=""/>
    <x v="5"/>
  </r>
  <r>
    <x v="2479"/>
    <s v="C0198"/>
    <x v="3"/>
    <d v="2025-02-08T00:00:00"/>
    <d v="2025-03-25T00:00:00"/>
    <s v="USD"/>
    <n v="33509.19"/>
    <m/>
    <s v="OPEN"/>
    <s v="Y"/>
    <n v="87.648600000000002"/>
    <n v="0"/>
    <n v="87.43"/>
    <n v="2929708.4817000004"/>
    <n v="2929708.4817000004"/>
    <n v="6"/>
    <s v=""/>
    <x v="4"/>
  </r>
  <r>
    <x v="2480"/>
    <s v="C0046"/>
    <x v="0"/>
    <d v="2025-02-10T00:00:00"/>
    <d v="2025-03-12T00:00:00"/>
    <s v="INR"/>
    <n v="600000"/>
    <d v="2025-03-16T00:00:00"/>
    <s v="PAID"/>
    <s v="N"/>
    <m/>
    <n v="600000"/>
    <n v="1"/>
    <n v="600000"/>
    <n v="0"/>
    <n v="0"/>
    <n v="4"/>
    <x v="0"/>
  </r>
  <r>
    <x v="2481"/>
    <s v="C0090"/>
    <x v="2"/>
    <d v="2025-02-10T00:00:00"/>
    <d v="2025-05-11T00:00:00"/>
    <s v="EUR"/>
    <n v="63586.97"/>
    <m/>
    <s v="OPEN"/>
    <s v="N"/>
    <m/>
    <n v="0"/>
    <n v="90.178399999999996"/>
    <n v="5734171.2154479995"/>
    <n v="5734171.2154479995"/>
    <n v="0"/>
    <s v=""/>
    <x v="5"/>
  </r>
  <r>
    <x v="2482"/>
    <s v="C0122"/>
    <x v="3"/>
    <d v="2025-02-10T00:00:00"/>
    <d v="2025-03-27T00:00:00"/>
    <s v="EUR"/>
    <n v="32540.07"/>
    <m/>
    <s v="OPEN"/>
    <s v="Y"/>
    <n v="90.313699999999997"/>
    <n v="0"/>
    <n v="90.178399999999996"/>
    <n v="2934411.4484879998"/>
    <n v="2934411.4484879998"/>
    <n v="4"/>
    <s v=""/>
    <x v="4"/>
  </r>
  <r>
    <x v="2483"/>
    <s v="C0145"/>
    <x v="3"/>
    <d v="2025-02-10T00:00:00"/>
    <d v="2025-04-11T00:00:00"/>
    <s v="EUR"/>
    <n v="16730.28"/>
    <m/>
    <s v="OPEN"/>
    <s v="Y"/>
    <n v="90.358800000000002"/>
    <n v="0"/>
    <n v="90.178399999999996"/>
    <n v="1508709.8819519999"/>
    <n v="1508709.8819519999"/>
    <n v="0"/>
    <s v=""/>
    <x v="5"/>
  </r>
  <r>
    <x v="2484"/>
    <s v="C0214"/>
    <x v="0"/>
    <d v="2025-02-10T00:00:00"/>
    <d v="2025-03-12T00:00:00"/>
    <s v="INR"/>
    <n v="9676017"/>
    <d v="2025-03-14T00:00:00"/>
    <s v="PAID"/>
    <s v="N"/>
    <m/>
    <n v="9676017"/>
    <n v="1"/>
    <n v="9676017"/>
    <n v="0"/>
    <n v="0"/>
    <n v="2"/>
    <x v="0"/>
  </r>
  <r>
    <x v="2485"/>
    <s v="C0226"/>
    <x v="3"/>
    <d v="2025-02-10T00:00:00"/>
    <d v="2025-03-27T00:00:00"/>
    <s v="INR"/>
    <n v="7066179"/>
    <m/>
    <s v="OPEN"/>
    <s v="N"/>
    <m/>
    <n v="0"/>
    <n v="1"/>
    <n v="7066179"/>
    <n v="7066179"/>
    <n v="4"/>
    <s v=""/>
    <x v="4"/>
  </r>
  <r>
    <x v="2486"/>
    <s v="C0228"/>
    <x v="0"/>
    <d v="2025-02-10T00:00:00"/>
    <d v="2025-03-27T00:00:00"/>
    <s v="INR"/>
    <n v="10612860"/>
    <d v="2025-03-31T00:00:00"/>
    <s v="PAID"/>
    <s v="N"/>
    <m/>
    <n v="10612860"/>
    <n v="1"/>
    <n v="10612860"/>
    <n v="0"/>
    <n v="0"/>
    <n v="4"/>
    <x v="0"/>
  </r>
  <r>
    <x v="2487"/>
    <s v="C0248"/>
    <x v="4"/>
    <d v="2025-02-10T00:00:00"/>
    <d v="2025-03-12T00:00:00"/>
    <s v="USD"/>
    <n v="27000.82"/>
    <d v="2025-03-11T00:00:00"/>
    <s v="PAID"/>
    <s v="N"/>
    <m/>
    <n v="27000.82"/>
    <n v="87.45"/>
    <n v="2361221.7090000003"/>
    <n v="0"/>
    <n v="0"/>
    <n v="-1"/>
    <x v="0"/>
  </r>
  <r>
    <x v="2488"/>
    <s v="C0138"/>
    <x v="4"/>
    <d v="2025-02-11T00:00:00"/>
    <d v="2025-03-13T00:00:00"/>
    <s v="INR"/>
    <n v="6741095"/>
    <d v="2025-03-26T00:00:00"/>
    <s v="PAID"/>
    <s v="N"/>
    <m/>
    <n v="6741095"/>
    <n v="1"/>
    <n v="6741095"/>
    <n v="0"/>
    <n v="0"/>
    <n v="13"/>
    <x v="0"/>
  </r>
  <r>
    <x v="2489"/>
    <s v="C0189"/>
    <x v="1"/>
    <d v="2025-02-11T00:00:00"/>
    <d v="2025-03-28T00:00:00"/>
    <s v="INR"/>
    <n v="2934735"/>
    <m/>
    <s v="OPEN"/>
    <s v="N"/>
    <m/>
    <n v="0"/>
    <n v="1"/>
    <n v="2934735"/>
    <n v="2934735"/>
    <n v="3"/>
    <s v=""/>
    <x v="4"/>
  </r>
  <r>
    <x v="2490"/>
    <s v="C0203"/>
    <x v="0"/>
    <d v="2025-02-11T00:00:00"/>
    <d v="2025-03-28T00:00:00"/>
    <s v="INR"/>
    <n v="4982468"/>
    <m/>
    <s v="OPEN"/>
    <s v="N"/>
    <m/>
    <n v="0"/>
    <n v="1"/>
    <n v="4982468"/>
    <n v="4982468"/>
    <n v="3"/>
    <s v=""/>
    <x v="4"/>
  </r>
  <r>
    <x v="2491"/>
    <s v="C0146"/>
    <x v="3"/>
    <d v="2025-02-12T00:00:00"/>
    <d v="2025-04-13T00:00:00"/>
    <s v="USD"/>
    <n v="199230.33"/>
    <m/>
    <s v="OPEN"/>
    <s v="Y"/>
    <n v="87.189700000000002"/>
    <n v="0"/>
    <n v="86.9"/>
    <n v="17313115.677000001"/>
    <n v="17313115.677000001"/>
    <n v="0"/>
    <s v=""/>
    <x v="5"/>
  </r>
  <r>
    <x v="2492"/>
    <s v="C0228"/>
    <x v="0"/>
    <d v="2025-02-12T00:00:00"/>
    <d v="2025-03-29T00:00:00"/>
    <s v="INR"/>
    <n v="2387881"/>
    <d v="2025-03-27T00:00:00"/>
    <s v="PAID"/>
    <s v="N"/>
    <m/>
    <n v="2387881"/>
    <n v="1"/>
    <n v="2387881"/>
    <n v="0"/>
    <n v="0"/>
    <n v="-2"/>
    <x v="0"/>
  </r>
  <r>
    <x v="2493"/>
    <s v="C0022"/>
    <x v="3"/>
    <d v="2025-02-13T00:00:00"/>
    <d v="2025-03-15T00:00:00"/>
    <s v="INR"/>
    <n v="3147991"/>
    <d v="2025-03-15T00:00:00"/>
    <s v="PAID"/>
    <s v="N"/>
    <m/>
    <n v="3147991"/>
    <n v="1"/>
    <n v="3147991"/>
    <n v="0"/>
    <n v="0"/>
    <n v="0"/>
    <x v="0"/>
  </r>
  <r>
    <x v="2494"/>
    <s v="C0103"/>
    <x v="0"/>
    <d v="2025-02-13T00:00:00"/>
    <d v="2025-04-14T00:00:00"/>
    <s v="INR"/>
    <n v="2383084"/>
    <m/>
    <s v="OPEN"/>
    <s v="N"/>
    <m/>
    <n v="0"/>
    <n v="1"/>
    <n v="2383084"/>
    <n v="2383084"/>
    <n v="0"/>
    <s v=""/>
    <x v="5"/>
  </r>
  <r>
    <x v="2495"/>
    <s v="C0112"/>
    <x v="1"/>
    <d v="2025-02-13T00:00:00"/>
    <d v="2025-03-30T00:00:00"/>
    <s v="INR"/>
    <n v="10055994"/>
    <m/>
    <s v="OPEN"/>
    <s v="N"/>
    <m/>
    <n v="0"/>
    <n v="1"/>
    <n v="10055994"/>
    <n v="10055994"/>
    <n v="1"/>
    <s v=""/>
    <x v="4"/>
  </r>
  <r>
    <x v="2496"/>
    <s v="C0141"/>
    <x v="3"/>
    <d v="2025-02-13T00:00:00"/>
    <d v="2025-04-14T00:00:00"/>
    <s v="INR"/>
    <n v="23523276"/>
    <m/>
    <s v="OPEN"/>
    <s v="N"/>
    <m/>
    <n v="0"/>
    <n v="1"/>
    <n v="23523276"/>
    <n v="23523276"/>
    <n v="0"/>
    <s v=""/>
    <x v="5"/>
  </r>
  <r>
    <x v="2497"/>
    <s v="C0160"/>
    <x v="3"/>
    <d v="2025-02-13T00:00:00"/>
    <d v="2025-03-30T00:00:00"/>
    <s v="INR"/>
    <n v="3091431"/>
    <m/>
    <s v="OPEN"/>
    <s v="N"/>
    <m/>
    <n v="0"/>
    <n v="1"/>
    <n v="3091431"/>
    <n v="3091431"/>
    <n v="1"/>
    <s v=""/>
    <x v="4"/>
  </r>
  <r>
    <x v="2498"/>
    <s v="C0166"/>
    <x v="2"/>
    <d v="2025-02-13T00:00:00"/>
    <d v="2025-05-14T00:00:00"/>
    <s v="INR"/>
    <n v="29692974"/>
    <m/>
    <s v="OPEN"/>
    <s v="N"/>
    <m/>
    <n v="0"/>
    <n v="1"/>
    <n v="29692974"/>
    <n v="29692974"/>
    <n v="0"/>
    <s v=""/>
    <x v="5"/>
  </r>
  <r>
    <x v="2499"/>
    <s v="C0198"/>
    <x v="3"/>
    <d v="2025-02-13T00:00:00"/>
    <d v="2025-03-30T00:00:00"/>
    <s v="USD"/>
    <n v="33123.58"/>
    <m/>
    <s v="OPEN"/>
    <s v="Y"/>
    <n v="87.107200000000006"/>
    <n v="0"/>
    <n v="86.89"/>
    <n v="2878107.8662"/>
    <n v="2878107.8662"/>
    <n v="1"/>
    <s v=""/>
    <x v="4"/>
  </r>
  <r>
    <x v="2500"/>
    <s v="C0229"/>
    <x v="3"/>
    <d v="2025-02-13T00:00:00"/>
    <d v="2025-05-14T00:00:00"/>
    <s v="USD"/>
    <n v="42392.83"/>
    <m/>
    <s v="OPEN"/>
    <s v="Y"/>
    <n v="87.324399999999997"/>
    <n v="0"/>
    <n v="86.89"/>
    <n v="3683512.9987000003"/>
    <n v="3683512.9987000003"/>
    <n v="0"/>
    <s v=""/>
    <x v="5"/>
  </r>
  <r>
    <x v="2501"/>
    <s v="C0236"/>
    <x v="3"/>
    <d v="2025-02-13T00:00:00"/>
    <d v="2025-04-14T00:00:00"/>
    <s v="EUR"/>
    <n v="61654.87"/>
    <m/>
    <s v="OPEN"/>
    <s v="Y"/>
    <n v="90.790099999999995"/>
    <n v="0"/>
    <n v="90.608900000000006"/>
    <n v="5586479.9503430007"/>
    <n v="5586479.9503430007"/>
    <n v="0"/>
    <s v=""/>
    <x v="5"/>
  </r>
  <r>
    <x v="2502"/>
    <s v="C0238"/>
    <x v="2"/>
    <d v="2025-02-13T00:00:00"/>
    <d v="2025-04-14T00:00:00"/>
    <s v="INR"/>
    <n v="10521766"/>
    <m/>
    <s v="OPEN"/>
    <s v="N"/>
    <m/>
    <n v="0"/>
    <n v="1"/>
    <n v="10521766"/>
    <n v="10521766"/>
    <n v="0"/>
    <s v=""/>
    <x v="5"/>
  </r>
  <r>
    <x v="2503"/>
    <s v="C0060"/>
    <x v="0"/>
    <d v="2025-02-14T00:00:00"/>
    <d v="2025-03-31T00:00:00"/>
    <s v="INR"/>
    <n v="5180630"/>
    <m/>
    <s v="OPEN"/>
    <s v="N"/>
    <m/>
    <n v="0"/>
    <n v="1"/>
    <n v="5180630"/>
    <n v="5180630"/>
    <n v="0"/>
    <s v=""/>
    <x v="5"/>
  </r>
  <r>
    <x v="2504"/>
    <s v="C0069"/>
    <x v="2"/>
    <d v="2025-02-14T00:00:00"/>
    <d v="2025-03-16T00:00:00"/>
    <s v="INR"/>
    <n v="9557076"/>
    <d v="2025-03-21T00:00:00"/>
    <s v="PAID"/>
    <s v="N"/>
    <m/>
    <n v="9557076"/>
    <n v="1"/>
    <n v="9557076"/>
    <n v="0"/>
    <n v="0"/>
    <n v="5"/>
    <x v="0"/>
  </r>
  <r>
    <x v="2505"/>
    <s v="C0102"/>
    <x v="4"/>
    <d v="2025-02-14T00:00:00"/>
    <d v="2025-04-15T00:00:00"/>
    <s v="USD"/>
    <n v="186557.27"/>
    <m/>
    <s v="OPEN"/>
    <s v="N"/>
    <m/>
    <n v="0"/>
    <n v="86.82"/>
    <n v="16196902.181399997"/>
    <n v="16196902.181399997"/>
    <n v="0"/>
    <s v=""/>
    <x v="5"/>
  </r>
  <r>
    <x v="2506"/>
    <s v="C0109"/>
    <x v="1"/>
    <d v="2025-02-14T00:00:00"/>
    <d v="2025-03-31T00:00:00"/>
    <s v="INR"/>
    <n v="2834137"/>
    <m/>
    <s v="OPEN"/>
    <s v="N"/>
    <m/>
    <n v="0"/>
    <n v="1"/>
    <n v="2834137"/>
    <n v="2834137"/>
    <n v="0"/>
    <s v=""/>
    <x v="5"/>
  </r>
  <r>
    <x v="2507"/>
    <s v="C0123"/>
    <x v="1"/>
    <d v="2025-02-14T00:00:00"/>
    <d v="2025-04-15T00:00:00"/>
    <s v="USD"/>
    <n v="26348.720000000001"/>
    <m/>
    <s v="OPEN"/>
    <s v="N"/>
    <m/>
    <n v="0"/>
    <n v="86.82"/>
    <n v="2287595.8703999999"/>
    <n v="2287595.8703999999"/>
    <n v="0"/>
    <s v=""/>
    <x v="5"/>
  </r>
  <r>
    <x v="2508"/>
    <s v="C0223"/>
    <x v="0"/>
    <d v="2025-02-14T00:00:00"/>
    <d v="2025-03-31T00:00:00"/>
    <s v="INR"/>
    <n v="2837155"/>
    <m/>
    <s v="OPEN"/>
    <s v="N"/>
    <m/>
    <n v="0"/>
    <n v="1"/>
    <n v="2837155"/>
    <n v="2837155"/>
    <n v="0"/>
    <s v=""/>
    <x v="5"/>
  </r>
  <r>
    <x v="2509"/>
    <s v="C0244"/>
    <x v="3"/>
    <d v="2025-02-14T00:00:00"/>
    <d v="2025-04-15T00:00:00"/>
    <s v="INR"/>
    <n v="2716650"/>
    <m/>
    <s v="OPEN"/>
    <s v="N"/>
    <m/>
    <n v="0"/>
    <n v="1"/>
    <n v="2716650"/>
    <n v="2716650"/>
    <n v="0"/>
    <s v=""/>
    <x v="5"/>
  </r>
  <r>
    <x v="2510"/>
    <s v="C0001"/>
    <x v="4"/>
    <d v="2025-02-15T00:00:00"/>
    <d v="2025-04-01T00:00:00"/>
    <s v="INR"/>
    <n v="6198317"/>
    <m/>
    <s v="OPEN"/>
    <s v="N"/>
    <m/>
    <n v="0"/>
    <n v="1"/>
    <n v="6198317"/>
    <n v="6198317"/>
    <n v="0"/>
    <s v=""/>
    <x v="5"/>
  </r>
  <r>
    <x v="2511"/>
    <s v="C0031"/>
    <x v="3"/>
    <d v="2025-02-15T00:00:00"/>
    <d v="2025-05-16T00:00:00"/>
    <s v="INR"/>
    <n v="6880060"/>
    <m/>
    <s v="OPEN"/>
    <s v="N"/>
    <m/>
    <n v="0"/>
    <n v="1"/>
    <n v="6880060"/>
    <n v="6880060"/>
    <n v="0"/>
    <s v=""/>
    <x v="5"/>
  </r>
  <r>
    <x v="2512"/>
    <s v="C0057"/>
    <x v="3"/>
    <d v="2025-02-15T00:00:00"/>
    <d v="2025-03-17T00:00:00"/>
    <s v="INR"/>
    <n v="3747844"/>
    <d v="2025-03-16T00:00:00"/>
    <s v="PAID"/>
    <s v="N"/>
    <m/>
    <n v="3747844"/>
    <n v="1"/>
    <n v="3747844"/>
    <n v="0"/>
    <n v="0"/>
    <n v="-1"/>
    <x v="0"/>
  </r>
  <r>
    <x v="2513"/>
    <s v="C0078"/>
    <x v="0"/>
    <d v="2025-02-15T00:00:00"/>
    <d v="2025-04-01T00:00:00"/>
    <s v="INR"/>
    <n v="7728608"/>
    <d v="2025-03-29T00:00:00"/>
    <s v="PAID"/>
    <s v="N"/>
    <m/>
    <n v="7728608"/>
    <n v="1"/>
    <n v="7728608"/>
    <n v="0"/>
    <n v="0"/>
    <n v="-3"/>
    <x v="0"/>
  </r>
  <r>
    <x v="2514"/>
    <s v="C0202"/>
    <x v="4"/>
    <d v="2025-02-15T00:00:00"/>
    <d v="2025-04-01T00:00:00"/>
    <s v="USD"/>
    <n v="30149.49"/>
    <m/>
    <s v="OPEN"/>
    <s v="Y"/>
    <n v="87.037000000000006"/>
    <n v="0"/>
    <n v="86.82"/>
    <n v="2617578.7217999999"/>
    <n v="2617578.7217999999"/>
    <n v="0"/>
    <s v=""/>
    <x v="5"/>
  </r>
  <r>
    <x v="2515"/>
    <s v="C0207"/>
    <x v="4"/>
    <d v="2025-02-15T00:00:00"/>
    <d v="2025-04-16T00:00:00"/>
    <s v="INR"/>
    <n v="10160101"/>
    <m/>
    <s v="OPEN"/>
    <s v="N"/>
    <m/>
    <n v="0"/>
    <n v="1"/>
    <n v="10160101"/>
    <n v="10160101"/>
    <n v="0"/>
    <s v=""/>
    <x v="5"/>
  </r>
  <r>
    <x v="2516"/>
    <s v="C0207"/>
    <x v="4"/>
    <d v="2025-02-15T00:00:00"/>
    <d v="2025-04-16T00:00:00"/>
    <s v="INR"/>
    <n v="12349448"/>
    <m/>
    <s v="OPEN"/>
    <s v="N"/>
    <m/>
    <n v="0"/>
    <n v="1"/>
    <n v="12349448"/>
    <n v="12349448"/>
    <n v="0"/>
    <s v=""/>
    <x v="5"/>
  </r>
  <r>
    <x v="2517"/>
    <s v="C0234"/>
    <x v="0"/>
    <d v="2025-02-15T00:00:00"/>
    <d v="2025-04-16T00:00:00"/>
    <s v="INR"/>
    <n v="4728775"/>
    <m/>
    <s v="OPEN"/>
    <s v="N"/>
    <m/>
    <n v="0"/>
    <n v="1"/>
    <n v="4728775"/>
    <n v="4728775"/>
    <n v="0"/>
    <s v=""/>
    <x v="5"/>
  </r>
  <r>
    <x v="2518"/>
    <s v="C0238"/>
    <x v="2"/>
    <d v="2025-02-15T00:00:00"/>
    <d v="2025-04-16T00:00:00"/>
    <s v="INR"/>
    <n v="18690785"/>
    <m/>
    <s v="OPEN"/>
    <s v="N"/>
    <m/>
    <n v="0"/>
    <n v="1"/>
    <n v="18690785"/>
    <n v="18690785"/>
    <n v="0"/>
    <s v=""/>
    <x v="5"/>
  </r>
  <r>
    <x v="2519"/>
    <s v="C0007"/>
    <x v="3"/>
    <d v="2025-02-17T00:00:00"/>
    <d v="2025-03-19T00:00:00"/>
    <s v="USD"/>
    <n v="24957.52"/>
    <m/>
    <s v="OPEN"/>
    <s v="Y"/>
    <n v="86.964699999999993"/>
    <n v="0"/>
    <n v="86.82"/>
    <n v="2166811.8863999997"/>
    <n v="2166811.8863999997"/>
    <n v="12"/>
    <s v=""/>
    <x v="4"/>
  </r>
  <r>
    <x v="2520"/>
    <s v="C0039"/>
    <x v="0"/>
    <d v="2025-02-17T00:00:00"/>
    <d v="2025-04-18T00:00:00"/>
    <s v="INR"/>
    <n v="1233605"/>
    <m/>
    <s v="OPEN"/>
    <s v="N"/>
    <m/>
    <n v="0"/>
    <n v="1"/>
    <n v="1233605"/>
    <n v="1233605"/>
    <n v="0"/>
    <s v=""/>
    <x v="5"/>
  </r>
  <r>
    <x v="2521"/>
    <s v="C0073"/>
    <x v="1"/>
    <d v="2025-02-17T00:00:00"/>
    <d v="2025-03-19T00:00:00"/>
    <s v="USD"/>
    <n v="86972.61"/>
    <m/>
    <s v="OPEN"/>
    <s v="N"/>
    <m/>
    <n v="0"/>
    <n v="86.82"/>
    <n v="7550962.0001999997"/>
    <n v="7550962.0001999997"/>
    <n v="12"/>
    <s v=""/>
    <x v="4"/>
  </r>
  <r>
    <x v="2522"/>
    <s v="C0076"/>
    <x v="0"/>
    <d v="2025-02-17T00:00:00"/>
    <d v="2025-04-18T00:00:00"/>
    <s v="INR"/>
    <n v="12075062"/>
    <m/>
    <s v="OPEN"/>
    <s v="N"/>
    <m/>
    <n v="0"/>
    <n v="1"/>
    <n v="12075062"/>
    <n v="12075062"/>
    <n v="0"/>
    <s v=""/>
    <x v="5"/>
  </r>
  <r>
    <x v="2523"/>
    <s v="C0213"/>
    <x v="1"/>
    <d v="2025-02-17T00:00:00"/>
    <d v="2025-04-18T00:00:00"/>
    <s v="EUR"/>
    <n v="64360.53"/>
    <m/>
    <s v="OPEN"/>
    <s v="Y"/>
    <n v="91.325900000000004"/>
    <n v="0"/>
    <n v="91.143600000000006"/>
    <n v="5866050.4021080006"/>
    <n v="5866050.4021080006"/>
    <n v="0"/>
    <s v=""/>
    <x v="5"/>
  </r>
  <r>
    <x v="2524"/>
    <s v="C0094"/>
    <x v="0"/>
    <d v="2025-02-18T00:00:00"/>
    <d v="2025-04-04T00:00:00"/>
    <s v="INR"/>
    <n v="600000"/>
    <m/>
    <s v="OPEN"/>
    <s v="N"/>
    <m/>
    <n v="0"/>
    <n v="1"/>
    <n v="600000"/>
    <n v="600000"/>
    <n v="0"/>
    <s v=""/>
    <x v="5"/>
  </r>
  <r>
    <x v="2525"/>
    <s v="C0241"/>
    <x v="3"/>
    <d v="2025-02-18T00:00:00"/>
    <d v="2025-04-19T00:00:00"/>
    <s v="EUR"/>
    <n v="52532.88"/>
    <m/>
    <s v="OPEN"/>
    <s v="Y"/>
    <n v="91.116"/>
    <n v="0"/>
    <n v="90.934100000000001"/>
    <n v="4777030.1632079994"/>
    <n v="4777030.1632079994"/>
    <n v="0"/>
    <s v=""/>
    <x v="5"/>
  </r>
  <r>
    <x v="2526"/>
    <s v="C0041"/>
    <x v="0"/>
    <d v="2025-02-19T00:00:00"/>
    <d v="2025-04-05T00:00:00"/>
    <s v="INR"/>
    <n v="4559748"/>
    <m/>
    <s v="OPEN"/>
    <s v="N"/>
    <m/>
    <n v="0"/>
    <n v="1"/>
    <n v="4559748"/>
    <n v="4559748"/>
    <n v="0"/>
    <s v=""/>
    <x v="5"/>
  </r>
  <r>
    <x v="2527"/>
    <s v="C0130"/>
    <x v="0"/>
    <d v="2025-02-19T00:00:00"/>
    <d v="2025-03-21T00:00:00"/>
    <s v="INR"/>
    <n v="1157189"/>
    <d v="2025-03-15T00:00:00"/>
    <s v="PAID"/>
    <s v="N"/>
    <m/>
    <n v="1157189"/>
    <n v="1"/>
    <n v="1157189"/>
    <n v="0"/>
    <n v="0"/>
    <n v="-6"/>
    <x v="0"/>
  </r>
  <r>
    <x v="2528"/>
    <s v="C0158"/>
    <x v="0"/>
    <d v="2025-02-19T00:00:00"/>
    <d v="2025-04-20T00:00:00"/>
    <s v="INR"/>
    <n v="4159481"/>
    <m/>
    <s v="OPEN"/>
    <s v="N"/>
    <m/>
    <n v="0"/>
    <n v="1"/>
    <n v="4159481"/>
    <n v="4159481"/>
    <n v="0"/>
    <s v=""/>
    <x v="5"/>
  </r>
  <r>
    <x v="2529"/>
    <s v="C0177"/>
    <x v="4"/>
    <d v="2025-02-19T00:00:00"/>
    <d v="2025-04-20T00:00:00"/>
    <s v="EUR"/>
    <n v="61424.35"/>
    <m/>
    <s v="OPEN"/>
    <s v="N"/>
    <m/>
    <n v="0"/>
    <n v="90.490600000000001"/>
    <n v="5558326.2861099998"/>
    <n v="5558326.2861099998"/>
    <n v="0"/>
    <s v=""/>
    <x v="5"/>
  </r>
  <r>
    <x v="2530"/>
    <s v="C0227"/>
    <x v="2"/>
    <d v="2025-02-19T00:00:00"/>
    <d v="2025-04-05T00:00:00"/>
    <s v="INR"/>
    <n v="6514827"/>
    <m/>
    <s v="OPEN"/>
    <s v="N"/>
    <m/>
    <n v="0"/>
    <n v="1"/>
    <n v="6514827"/>
    <n v="6514827"/>
    <n v="0"/>
    <s v=""/>
    <x v="5"/>
  </r>
  <r>
    <x v="2531"/>
    <s v="C0228"/>
    <x v="0"/>
    <d v="2025-02-19T00:00:00"/>
    <d v="2025-04-05T00:00:00"/>
    <s v="INR"/>
    <n v="19154675"/>
    <m/>
    <s v="OPEN"/>
    <s v="N"/>
    <m/>
    <n v="0"/>
    <n v="1"/>
    <n v="19154675"/>
    <n v="19154675"/>
    <n v="0"/>
    <s v=""/>
    <x v="5"/>
  </r>
  <r>
    <x v="2532"/>
    <s v="C0099"/>
    <x v="3"/>
    <d v="2025-02-20T00:00:00"/>
    <d v="2025-04-21T00:00:00"/>
    <s v="EUR"/>
    <n v="19784.09"/>
    <m/>
    <s v="OPEN"/>
    <s v="Y"/>
    <n v="90.947400000000002"/>
    <n v="0"/>
    <n v="90.765900000000002"/>
    <n v="1795720.734531"/>
    <n v="1795720.734531"/>
    <n v="0"/>
    <s v=""/>
    <x v="5"/>
  </r>
  <r>
    <x v="2533"/>
    <s v="C0020"/>
    <x v="3"/>
    <d v="2025-02-21T00:00:00"/>
    <d v="2025-05-22T00:00:00"/>
    <s v="USD"/>
    <n v="25195.17"/>
    <m/>
    <s v="OPEN"/>
    <s v="N"/>
    <m/>
    <n v="0"/>
    <n v="86.7"/>
    <n v="2184421.2390000001"/>
    <n v="2184421.2390000001"/>
    <n v="0"/>
    <s v=""/>
    <x v="5"/>
  </r>
  <r>
    <x v="2534"/>
    <s v="C0214"/>
    <x v="0"/>
    <d v="2025-02-21T00:00:00"/>
    <d v="2025-03-23T00:00:00"/>
    <s v="INR"/>
    <n v="7541073"/>
    <d v="2025-03-22T00:00:00"/>
    <s v="PAID"/>
    <s v="N"/>
    <m/>
    <n v="7541073"/>
    <n v="1"/>
    <n v="7541073"/>
    <n v="0"/>
    <n v="0"/>
    <n v="-1"/>
    <x v="0"/>
  </r>
  <r>
    <x v="2535"/>
    <s v="C0236"/>
    <x v="3"/>
    <d v="2025-02-21T00:00:00"/>
    <d v="2025-04-22T00:00:00"/>
    <s v="EUR"/>
    <n v="33717"/>
    <m/>
    <s v="OPEN"/>
    <s v="Y"/>
    <n v="90.826099999999997"/>
    <n v="0"/>
    <n v="90.644800000000004"/>
    <n v="3056270.7216000003"/>
    <n v="3056270.7216000003"/>
    <n v="0"/>
    <s v=""/>
    <x v="5"/>
  </r>
  <r>
    <x v="2536"/>
    <s v="C0019"/>
    <x v="2"/>
    <d v="2025-02-22T00:00:00"/>
    <d v="2025-05-23T00:00:00"/>
    <s v="EUR"/>
    <n v="29047.26"/>
    <m/>
    <s v="OPEN"/>
    <s v="N"/>
    <m/>
    <n v="0"/>
    <n v="90.644800000000004"/>
    <n v="2632983.0732479999"/>
    <n v="2632983.0732479999"/>
    <n v="0"/>
    <s v=""/>
    <x v="5"/>
  </r>
  <r>
    <x v="2537"/>
    <s v="C0033"/>
    <x v="2"/>
    <d v="2025-02-22T00:00:00"/>
    <d v="2025-05-23T00:00:00"/>
    <s v="USD"/>
    <n v="104117.25"/>
    <m/>
    <s v="OPEN"/>
    <s v="Y"/>
    <n v="87.133499999999998"/>
    <n v="0"/>
    <n v="86.7"/>
    <n v="9026965.5750000011"/>
    <n v="9026965.5750000011"/>
    <n v="0"/>
    <s v=""/>
    <x v="5"/>
  </r>
  <r>
    <x v="2538"/>
    <s v="C0056"/>
    <x v="1"/>
    <d v="2025-02-22T00:00:00"/>
    <d v="2025-04-23T00:00:00"/>
    <s v="INR"/>
    <n v="10014966"/>
    <m/>
    <s v="OPEN"/>
    <s v="N"/>
    <m/>
    <n v="0"/>
    <n v="1"/>
    <n v="10014966"/>
    <n v="10014966"/>
    <n v="0"/>
    <s v=""/>
    <x v="5"/>
  </r>
  <r>
    <x v="2539"/>
    <s v="C0066"/>
    <x v="3"/>
    <d v="2025-02-22T00:00:00"/>
    <d v="2025-03-24T00:00:00"/>
    <s v="INR"/>
    <n v="1718651"/>
    <d v="2025-03-25T00:00:00"/>
    <s v="PAID"/>
    <s v="N"/>
    <m/>
    <n v="1718651"/>
    <n v="1"/>
    <n v="1718651"/>
    <n v="0"/>
    <n v="0"/>
    <n v="1"/>
    <x v="0"/>
  </r>
  <r>
    <x v="2540"/>
    <s v="C0099"/>
    <x v="3"/>
    <d v="2025-02-22T00:00:00"/>
    <d v="2025-04-23T00:00:00"/>
    <s v="EUR"/>
    <n v="140482.35"/>
    <m/>
    <s v="OPEN"/>
    <s v="N"/>
    <m/>
    <n v="0"/>
    <n v="90.644800000000004"/>
    <n v="12733994.519280002"/>
    <n v="12733994.519280002"/>
    <n v="0"/>
    <s v=""/>
    <x v="5"/>
  </r>
  <r>
    <x v="2541"/>
    <s v="C0102"/>
    <x v="4"/>
    <d v="2025-02-22T00:00:00"/>
    <d v="2025-04-23T00:00:00"/>
    <s v="USD"/>
    <n v="94395.26"/>
    <m/>
    <s v="OPEN"/>
    <s v="Y"/>
    <n v="86.989000000000004"/>
    <n v="0"/>
    <n v="86.7"/>
    <n v="8184069.0419999994"/>
    <n v="8184069.0419999994"/>
    <n v="0"/>
    <s v=""/>
    <x v="5"/>
  </r>
  <r>
    <x v="2542"/>
    <s v="C0111"/>
    <x v="3"/>
    <d v="2025-02-22T00:00:00"/>
    <d v="2025-05-23T00:00:00"/>
    <s v="EUR"/>
    <n v="218730.33"/>
    <m/>
    <s v="OPEN"/>
    <s v="Y"/>
    <n v="90.916700000000006"/>
    <n v="0"/>
    <n v="90.644800000000004"/>
    <n v="19826767.016784001"/>
    <n v="19826767.016784001"/>
    <n v="0"/>
    <s v=""/>
    <x v="5"/>
  </r>
  <r>
    <x v="2543"/>
    <s v="C0166"/>
    <x v="2"/>
    <d v="2025-02-22T00:00:00"/>
    <d v="2025-05-23T00:00:00"/>
    <s v="INR"/>
    <n v="3353603"/>
    <m/>
    <s v="OPEN"/>
    <s v="N"/>
    <m/>
    <n v="0"/>
    <n v="1"/>
    <n v="3353603"/>
    <n v="3353603"/>
    <n v="0"/>
    <s v=""/>
    <x v="5"/>
  </r>
  <r>
    <x v="2544"/>
    <s v="C0224"/>
    <x v="1"/>
    <d v="2025-02-22T00:00:00"/>
    <d v="2025-03-24T00:00:00"/>
    <s v="EUR"/>
    <n v="291923.03999999998"/>
    <m/>
    <s v="OPEN"/>
    <s v="N"/>
    <m/>
    <n v="0"/>
    <n v="90.644800000000004"/>
    <n v="26461305.576191999"/>
    <n v="26461305.576191999"/>
    <n v="7"/>
    <s v=""/>
    <x v="4"/>
  </r>
  <r>
    <x v="2545"/>
    <s v="C0099"/>
    <x v="3"/>
    <d v="2025-02-24T00:00:00"/>
    <d v="2025-04-25T00:00:00"/>
    <s v="EUR"/>
    <n v="74447.28"/>
    <m/>
    <s v="OPEN"/>
    <s v="N"/>
    <m/>
    <n v="0"/>
    <n v="90.865200000000002"/>
    <n v="6764666.9866559999"/>
    <n v="6764666.9866559999"/>
    <n v="0"/>
    <s v=""/>
    <x v="5"/>
  </r>
  <r>
    <x v="2546"/>
    <s v="C0228"/>
    <x v="0"/>
    <d v="2025-02-24T00:00:00"/>
    <d v="2025-04-10T00:00:00"/>
    <s v="INR"/>
    <n v="6480074"/>
    <m/>
    <s v="OPEN"/>
    <s v="N"/>
    <m/>
    <n v="0"/>
    <n v="1"/>
    <n v="6480074"/>
    <n v="6480074"/>
    <n v="0"/>
    <s v=""/>
    <x v="5"/>
  </r>
  <r>
    <x v="2547"/>
    <s v="C0025"/>
    <x v="3"/>
    <d v="2025-02-25T00:00:00"/>
    <d v="2025-04-11T00:00:00"/>
    <s v="USD"/>
    <n v="78843.38"/>
    <m/>
    <s v="OPEN"/>
    <s v="N"/>
    <m/>
    <n v="0"/>
    <n v="87.2"/>
    <n v="6875142.7360000005"/>
    <n v="6875142.7360000005"/>
    <n v="0"/>
    <s v=""/>
    <x v="5"/>
  </r>
  <r>
    <x v="2548"/>
    <s v="C0080"/>
    <x v="4"/>
    <d v="2025-02-26T00:00:00"/>
    <d v="2025-04-27T00:00:00"/>
    <s v="INR"/>
    <n v="5950357"/>
    <m/>
    <s v="OPEN"/>
    <s v="N"/>
    <m/>
    <n v="0"/>
    <n v="1"/>
    <n v="5950357"/>
    <n v="5950357"/>
    <n v="0"/>
    <s v=""/>
    <x v="5"/>
  </r>
  <r>
    <x v="2549"/>
    <s v="C0138"/>
    <x v="4"/>
    <d v="2025-02-27T00:00:00"/>
    <d v="2025-03-29T00:00:00"/>
    <s v="INR"/>
    <n v="5380822"/>
    <m/>
    <s v="OPEN"/>
    <s v="N"/>
    <m/>
    <n v="0"/>
    <n v="1"/>
    <n v="5380822"/>
    <n v="5380822"/>
    <n v="2"/>
    <s v=""/>
    <x v="4"/>
  </r>
  <r>
    <x v="2550"/>
    <s v="C0166"/>
    <x v="4"/>
    <d v="2025-02-27T00:00:00"/>
    <d v="2025-05-28T00:00:00"/>
    <s v="INR"/>
    <n v="14985083"/>
    <m/>
    <s v="OPEN"/>
    <s v="N"/>
    <m/>
    <n v="0"/>
    <n v="1"/>
    <n v="14985083"/>
    <n v="14985083"/>
    <n v="0"/>
    <s v=""/>
    <x v="5"/>
  </r>
  <r>
    <x v="2551"/>
    <s v="C0170"/>
    <x v="2"/>
    <d v="2025-02-27T00:00:00"/>
    <d v="2025-04-28T00:00:00"/>
    <s v="INR"/>
    <n v="3733491"/>
    <m/>
    <s v="OPEN"/>
    <s v="N"/>
    <m/>
    <n v="0"/>
    <n v="1"/>
    <n v="3733491"/>
    <n v="3733491"/>
    <n v="0"/>
    <s v=""/>
    <x v="5"/>
  </r>
  <r>
    <x v="2552"/>
    <s v="C0216"/>
    <x v="1"/>
    <d v="2025-02-27T00:00:00"/>
    <d v="2025-04-28T00:00:00"/>
    <s v="USD"/>
    <n v="145463.12"/>
    <m/>
    <s v="OPEN"/>
    <s v="N"/>
    <m/>
    <n v="0"/>
    <n v="87.17"/>
    <n v="12680020.170399999"/>
    <n v="12680020.170399999"/>
    <n v="0"/>
    <s v=""/>
    <x v="5"/>
  </r>
  <r>
    <x v="2553"/>
    <s v="C0099"/>
    <x v="3"/>
    <d v="2025-02-28T00:00:00"/>
    <d v="2025-04-29T00:00:00"/>
    <s v="EUR"/>
    <n v="52978.12"/>
    <m/>
    <s v="OPEN"/>
    <s v="Y"/>
    <n v="91.1995"/>
    <n v="0"/>
    <n v="91.017499999999998"/>
    <n v="4821936.0371000003"/>
    <n v="4821936.0371000003"/>
    <n v="0"/>
    <s v=""/>
    <x v="5"/>
  </r>
  <r>
    <x v="2554"/>
    <s v="C0109"/>
    <x v="1"/>
    <d v="2025-02-28T00:00:00"/>
    <d v="2025-04-14T00:00:00"/>
    <s v="INR"/>
    <n v="2708032"/>
    <m/>
    <s v="OPEN"/>
    <s v="N"/>
    <m/>
    <n v="0"/>
    <n v="1"/>
    <n v="2708032"/>
    <n v="2708032"/>
    <n v="0"/>
    <s v=""/>
    <x v="5"/>
  </r>
  <r>
    <x v="2555"/>
    <s v="C0197"/>
    <x v="0"/>
    <d v="2025-02-28T00:00:00"/>
    <d v="2025-04-14T00:00:00"/>
    <s v="INR"/>
    <n v="9705572"/>
    <m/>
    <s v="OPEN"/>
    <s v="N"/>
    <m/>
    <n v="0"/>
    <n v="1"/>
    <n v="9705572"/>
    <n v="9705572"/>
    <n v="0"/>
    <s v=""/>
    <x v="5"/>
  </r>
  <r>
    <x v="2556"/>
    <s v="C0007"/>
    <x v="3"/>
    <d v="2025-03-01T00:00:00"/>
    <d v="2025-03-31T00:00:00"/>
    <s v="USD"/>
    <n v="86001.72"/>
    <m/>
    <s v="OPEN"/>
    <s v="Y"/>
    <n v="87.645799999999994"/>
    <n v="0"/>
    <n v="87.5"/>
    <n v="7525150.5"/>
    <n v="7525150.5"/>
    <n v="0"/>
    <s v=""/>
    <x v="5"/>
  </r>
  <r>
    <x v="2557"/>
    <s v="C0057"/>
    <x v="3"/>
    <d v="2025-03-01T00:00:00"/>
    <d v="2025-03-31T00:00:00"/>
    <s v="INR"/>
    <n v="17812807"/>
    <d v="2025-03-30T00:00:00"/>
    <s v="PAID"/>
    <s v="N"/>
    <m/>
    <n v="17812807"/>
    <n v="1"/>
    <n v="17812807"/>
    <n v="0"/>
    <n v="0"/>
    <n v="-1"/>
    <x v="0"/>
  </r>
  <r>
    <x v="2558"/>
    <s v="C0063"/>
    <x v="2"/>
    <d v="2025-03-01T00:00:00"/>
    <d v="2025-04-30T00:00:00"/>
    <s v="INR"/>
    <n v="14140436"/>
    <m/>
    <s v="OPEN"/>
    <s v="N"/>
    <m/>
    <n v="0"/>
    <n v="1"/>
    <n v="14140436"/>
    <n v="14140436"/>
    <n v="0"/>
    <s v=""/>
    <x v="5"/>
  </r>
  <r>
    <x v="2559"/>
    <s v="C0146"/>
    <x v="3"/>
    <d v="2025-03-01T00:00:00"/>
    <d v="2025-04-30T00:00:00"/>
    <s v="USD"/>
    <n v="289490.53000000003"/>
    <m/>
    <s v="OPEN"/>
    <s v="Y"/>
    <n v="87.791700000000006"/>
    <n v="0"/>
    <n v="87.5"/>
    <n v="25330421.375000004"/>
    <n v="25330421.375000004"/>
    <n v="0"/>
    <s v=""/>
    <x v="5"/>
  </r>
  <r>
    <x v="2560"/>
    <s v="C0220"/>
    <x v="1"/>
    <d v="2025-03-01T00:00:00"/>
    <d v="2025-03-31T00:00:00"/>
    <s v="INR"/>
    <n v="1230759"/>
    <m/>
    <s v="OPEN"/>
    <s v="N"/>
    <m/>
    <n v="0"/>
    <n v="1"/>
    <n v="1230759"/>
    <n v="1230759"/>
    <n v="0"/>
    <s v=""/>
    <x v="5"/>
  </r>
  <r>
    <x v="2561"/>
    <s v="C0222"/>
    <x v="2"/>
    <d v="2025-03-01T00:00:00"/>
    <d v="2025-04-30T00:00:00"/>
    <s v="EUR"/>
    <n v="74589.37"/>
    <m/>
    <s v="OPEN"/>
    <s v="N"/>
    <m/>
    <n v="0"/>
    <n v="91.017499999999998"/>
    <n v="6788937.9839749997"/>
    <n v="6788937.9839749997"/>
    <n v="0"/>
    <s v=""/>
    <x v="5"/>
  </r>
  <r>
    <x v="2562"/>
    <s v="C0093"/>
    <x v="3"/>
    <d v="2025-03-03T00:00:00"/>
    <d v="2025-05-02T00:00:00"/>
    <s v="USD"/>
    <n v="15410.71"/>
    <m/>
    <s v="OPEN"/>
    <s v="Y"/>
    <n v="87.641199999999998"/>
    <n v="0"/>
    <n v="87.35"/>
    <n v="1346125.5184999998"/>
    <n v="1346125.5184999998"/>
    <n v="0"/>
    <s v=""/>
    <x v="5"/>
  </r>
  <r>
    <x v="2563"/>
    <s v="C0111"/>
    <x v="3"/>
    <d v="2025-03-03T00:00:00"/>
    <d v="2025-06-01T00:00:00"/>
    <s v="EUR"/>
    <n v="84973.35"/>
    <m/>
    <s v="OPEN"/>
    <s v="N"/>
    <m/>
    <n v="0"/>
    <n v="91.682599999999994"/>
    <n v="7790577.6587100001"/>
    <n v="7790577.6587100001"/>
    <n v="0"/>
    <s v=""/>
    <x v="5"/>
  </r>
  <r>
    <x v="2564"/>
    <s v="C0126"/>
    <x v="3"/>
    <d v="2025-03-03T00:00:00"/>
    <d v="2025-05-02T00:00:00"/>
    <s v="EUR"/>
    <n v="24765.08"/>
    <m/>
    <s v="OPEN"/>
    <s v="Y"/>
    <n v="91.866"/>
    <n v="0"/>
    <n v="91.682599999999994"/>
    <n v="2270526.9236079999"/>
    <n v="2270526.9236079999"/>
    <n v="0"/>
    <s v=""/>
    <x v="5"/>
  </r>
  <r>
    <x v="2565"/>
    <s v="C0166"/>
    <x v="4"/>
    <d v="2025-03-03T00:00:00"/>
    <d v="2025-06-01T00:00:00"/>
    <s v="INR"/>
    <n v="3889776"/>
    <m/>
    <s v="OPEN"/>
    <s v="N"/>
    <m/>
    <n v="0"/>
    <n v="1"/>
    <n v="3889776"/>
    <n v="3889776"/>
    <n v="0"/>
    <s v=""/>
    <x v="5"/>
  </r>
  <r>
    <x v="2566"/>
    <s v="C0176"/>
    <x v="0"/>
    <d v="2025-03-03T00:00:00"/>
    <d v="2025-04-02T00:00:00"/>
    <s v="INR"/>
    <n v="2369451"/>
    <m/>
    <s v="OPEN"/>
    <s v="N"/>
    <m/>
    <n v="0"/>
    <n v="1"/>
    <n v="2369451"/>
    <n v="2369451"/>
    <n v="0"/>
    <s v=""/>
    <x v="5"/>
  </r>
  <r>
    <x v="2567"/>
    <s v="C0177"/>
    <x v="4"/>
    <d v="2025-03-03T00:00:00"/>
    <d v="2025-05-02T00:00:00"/>
    <s v="EUR"/>
    <n v="55308.34"/>
    <m/>
    <s v="OPEN"/>
    <s v="Y"/>
    <n v="91.866"/>
    <n v="0"/>
    <n v="91.682599999999994"/>
    <n v="5070812.4128839998"/>
    <n v="5070812.4128839998"/>
    <n v="0"/>
    <s v=""/>
    <x v="5"/>
  </r>
  <r>
    <x v="2568"/>
    <s v="C0102"/>
    <x v="4"/>
    <d v="2025-03-04T00:00:00"/>
    <d v="2025-05-03T00:00:00"/>
    <s v="USD"/>
    <n v="32698.12"/>
    <m/>
    <s v="OPEN"/>
    <s v="Y"/>
    <n v="87.550899999999999"/>
    <n v="0"/>
    <n v="87.26"/>
    <n v="2853237.9512"/>
    <n v="2853237.9512"/>
    <n v="0"/>
    <s v=""/>
    <x v="5"/>
  </r>
  <r>
    <x v="2569"/>
    <s v="C0118"/>
    <x v="1"/>
    <d v="2025-03-04T00:00:00"/>
    <d v="2025-05-03T00:00:00"/>
    <s v="INR"/>
    <n v="11780041"/>
    <m/>
    <s v="OPEN"/>
    <s v="N"/>
    <m/>
    <n v="0"/>
    <n v="1"/>
    <n v="11780041"/>
    <n v="11780041"/>
    <n v="0"/>
    <s v=""/>
    <x v="5"/>
  </r>
  <r>
    <x v="2570"/>
    <s v="C0118"/>
    <x v="1"/>
    <d v="2025-03-04T00:00:00"/>
    <d v="2025-05-03T00:00:00"/>
    <s v="INR"/>
    <n v="1781444"/>
    <m/>
    <s v="OPEN"/>
    <s v="N"/>
    <m/>
    <n v="0"/>
    <n v="1"/>
    <n v="1781444"/>
    <n v="1781444"/>
    <n v="0"/>
    <s v=""/>
    <x v="5"/>
  </r>
  <r>
    <x v="2571"/>
    <s v="C0151"/>
    <x v="2"/>
    <d v="2025-03-04T00:00:00"/>
    <d v="2025-04-03T00:00:00"/>
    <s v="INR"/>
    <n v="3527465"/>
    <m/>
    <s v="OPEN"/>
    <s v="N"/>
    <m/>
    <n v="0"/>
    <n v="1"/>
    <n v="3527465"/>
    <n v="3527465"/>
    <n v="0"/>
    <s v=""/>
    <x v="5"/>
  </r>
  <r>
    <x v="2572"/>
    <s v="C0211"/>
    <x v="3"/>
    <d v="2025-03-04T00:00:00"/>
    <d v="2025-04-18T00:00:00"/>
    <s v="INR"/>
    <n v="27466762"/>
    <m/>
    <s v="OPEN"/>
    <s v="N"/>
    <m/>
    <n v="0"/>
    <n v="1"/>
    <n v="27466762"/>
    <n v="27466762"/>
    <n v="0"/>
    <s v=""/>
    <x v="5"/>
  </r>
  <r>
    <x v="2573"/>
    <s v="C0019"/>
    <x v="2"/>
    <d v="2025-03-05T00:00:00"/>
    <d v="2025-06-03T00:00:00"/>
    <s v="EUR"/>
    <n v="497215.46"/>
    <m/>
    <s v="OPEN"/>
    <s v="N"/>
    <m/>
    <n v="0"/>
    <n v="93.627799999999993"/>
    <n v="46553189.645787999"/>
    <n v="46553189.645787999"/>
    <n v="0"/>
    <s v=""/>
    <x v="5"/>
  </r>
  <r>
    <x v="2574"/>
    <s v="C0029"/>
    <x v="1"/>
    <d v="2025-03-05T00:00:00"/>
    <d v="2025-06-03T00:00:00"/>
    <s v="INR"/>
    <n v="7453358"/>
    <m/>
    <s v="OPEN"/>
    <s v="N"/>
    <m/>
    <n v="0"/>
    <n v="1"/>
    <n v="7453358"/>
    <n v="7453358"/>
    <n v="0"/>
    <s v=""/>
    <x v="5"/>
  </r>
  <r>
    <x v="2575"/>
    <s v="C0057"/>
    <x v="3"/>
    <d v="2025-03-05T00:00:00"/>
    <d v="2025-04-04T00:00:00"/>
    <s v="INR"/>
    <n v="11946647"/>
    <m/>
    <s v="OPEN"/>
    <s v="N"/>
    <m/>
    <n v="0"/>
    <n v="1"/>
    <n v="11946647"/>
    <n v="11946647"/>
    <n v="0"/>
    <s v=""/>
    <x v="5"/>
  </r>
  <r>
    <x v="2576"/>
    <s v="C0166"/>
    <x v="4"/>
    <d v="2025-03-05T00:00:00"/>
    <d v="2025-06-03T00:00:00"/>
    <s v="INR"/>
    <n v="13461092"/>
    <m/>
    <s v="OPEN"/>
    <s v="N"/>
    <m/>
    <n v="0"/>
    <n v="1"/>
    <n v="13461092"/>
    <n v="13461092"/>
    <n v="0"/>
    <s v=""/>
    <x v="5"/>
  </r>
  <r>
    <x v="2577"/>
    <s v="C0009"/>
    <x v="3"/>
    <d v="2025-03-06T00:00:00"/>
    <d v="2025-05-05T00:00:00"/>
    <s v="INR"/>
    <n v="3135214"/>
    <m/>
    <s v="OPEN"/>
    <s v="N"/>
    <m/>
    <n v="0"/>
    <n v="1"/>
    <n v="3135214"/>
    <n v="3135214"/>
    <n v="0"/>
    <s v=""/>
    <x v="5"/>
  </r>
  <r>
    <x v="2578"/>
    <s v="C0057"/>
    <x v="3"/>
    <d v="2025-03-06T00:00:00"/>
    <d v="2025-04-05T00:00:00"/>
    <s v="INR"/>
    <n v="5130998"/>
    <m/>
    <s v="OPEN"/>
    <s v="N"/>
    <m/>
    <n v="0"/>
    <n v="1"/>
    <n v="5130998"/>
    <n v="5130998"/>
    <n v="0"/>
    <s v=""/>
    <x v="5"/>
  </r>
  <r>
    <x v="2579"/>
    <s v="C0112"/>
    <x v="4"/>
    <d v="2025-03-06T00:00:00"/>
    <d v="2025-04-20T00:00:00"/>
    <s v="INR"/>
    <n v="16167557"/>
    <m/>
    <s v="OPEN"/>
    <s v="N"/>
    <m/>
    <n v="0"/>
    <n v="1"/>
    <n v="16167557"/>
    <n v="16167557"/>
    <n v="0"/>
    <s v=""/>
    <x v="5"/>
  </r>
  <r>
    <x v="2580"/>
    <s v="C0143"/>
    <x v="0"/>
    <d v="2025-03-06T00:00:00"/>
    <d v="2025-04-05T00:00:00"/>
    <s v="INR"/>
    <n v="11966989"/>
    <m/>
    <s v="OPEN"/>
    <s v="N"/>
    <m/>
    <n v="0"/>
    <n v="1"/>
    <n v="11966989"/>
    <n v="11966989"/>
    <n v="0"/>
    <s v=""/>
    <x v="5"/>
  </r>
  <r>
    <x v="2581"/>
    <s v="C0236"/>
    <x v="3"/>
    <d v="2025-03-06T00:00:00"/>
    <d v="2025-05-05T00:00:00"/>
    <s v="EUR"/>
    <n v="80646.22"/>
    <m/>
    <s v="OPEN"/>
    <s v="Y"/>
    <n v="94.424099999999996"/>
    <n v="0"/>
    <n v="94.235600000000005"/>
    <n v="7599744.929432001"/>
    <n v="7599744.929432001"/>
    <n v="0"/>
    <s v=""/>
    <x v="5"/>
  </r>
  <r>
    <x v="2582"/>
    <s v="C0039"/>
    <x v="0"/>
    <d v="2025-03-07T00:00:00"/>
    <d v="2025-05-06T00:00:00"/>
    <s v="INR"/>
    <n v="5515229"/>
    <m/>
    <s v="OPEN"/>
    <s v="N"/>
    <m/>
    <n v="0"/>
    <n v="1"/>
    <n v="5515229"/>
    <n v="5515229"/>
    <n v="0"/>
    <s v=""/>
    <x v="5"/>
  </r>
  <r>
    <x v="2583"/>
    <s v="C0171"/>
    <x v="3"/>
    <d v="2025-03-07T00:00:00"/>
    <d v="2025-06-05T00:00:00"/>
    <s v="USD"/>
    <n v="155196.03"/>
    <m/>
    <s v="OPEN"/>
    <s v="Y"/>
    <n v="87.314400000000006"/>
    <n v="0"/>
    <n v="86.88"/>
    <n v="13483431.086399999"/>
    <n v="13483431.086399999"/>
    <n v="0"/>
    <s v=""/>
    <x v="5"/>
  </r>
  <r>
    <x v="2584"/>
    <s v="C0198"/>
    <x v="3"/>
    <d v="2025-03-07T00:00:00"/>
    <d v="2025-04-21T00:00:00"/>
    <s v="USD"/>
    <n v="102176.31"/>
    <m/>
    <s v="OPEN"/>
    <s v="Y"/>
    <n v="87.097200000000001"/>
    <n v="0"/>
    <n v="86.88"/>
    <n v="8877077.8127999995"/>
    <n v="8877077.8127999995"/>
    <n v="0"/>
    <s v=""/>
    <x v="5"/>
  </r>
  <r>
    <x v="2585"/>
    <s v="C0207"/>
    <x v="4"/>
    <d v="2025-03-07T00:00:00"/>
    <d v="2025-05-06T00:00:00"/>
    <s v="INR"/>
    <n v="5142988"/>
    <m/>
    <s v="OPEN"/>
    <s v="N"/>
    <m/>
    <n v="0"/>
    <n v="1"/>
    <n v="5142988"/>
    <n v="5142988"/>
    <n v="0"/>
    <s v=""/>
    <x v="5"/>
  </r>
  <r>
    <x v="2586"/>
    <s v="C0009"/>
    <x v="3"/>
    <d v="2025-03-08T00:00:00"/>
    <d v="2025-05-07T00:00:00"/>
    <s v="INR"/>
    <n v="7319018"/>
    <m/>
    <s v="OPEN"/>
    <s v="N"/>
    <m/>
    <n v="0"/>
    <n v="1"/>
    <n v="7319018"/>
    <n v="7319018"/>
    <n v="0"/>
    <s v=""/>
    <x v="5"/>
  </r>
  <r>
    <x v="2587"/>
    <s v="C0052"/>
    <x v="0"/>
    <d v="2025-03-08T00:00:00"/>
    <d v="2025-04-07T00:00:00"/>
    <s v="INR"/>
    <n v="7468131"/>
    <m/>
    <s v="OPEN"/>
    <s v="N"/>
    <m/>
    <n v="0"/>
    <n v="1"/>
    <n v="7468131"/>
    <n v="7468131"/>
    <n v="0"/>
    <s v=""/>
    <x v="5"/>
  </r>
  <r>
    <x v="2588"/>
    <s v="C0060"/>
    <x v="1"/>
    <d v="2025-03-08T00:00:00"/>
    <d v="2025-04-22T00:00:00"/>
    <s v="INR"/>
    <n v="20457785"/>
    <m/>
    <s v="OPEN"/>
    <s v="N"/>
    <m/>
    <n v="0"/>
    <n v="1"/>
    <n v="20457785"/>
    <n v="20457785"/>
    <n v="0"/>
    <s v=""/>
    <x v="5"/>
  </r>
  <r>
    <x v="2589"/>
    <s v="C0103"/>
    <x v="0"/>
    <d v="2025-03-08T00:00:00"/>
    <d v="2025-05-07T00:00:00"/>
    <s v="INR"/>
    <n v="4532821"/>
    <m/>
    <s v="OPEN"/>
    <s v="N"/>
    <m/>
    <n v="0"/>
    <n v="1"/>
    <n v="4532821"/>
    <n v="4532821"/>
    <n v="0"/>
    <s v=""/>
    <x v="5"/>
  </r>
  <r>
    <x v="2590"/>
    <s v="C0111"/>
    <x v="3"/>
    <d v="2025-03-08T00:00:00"/>
    <d v="2025-06-06T00:00:00"/>
    <s v="EUR"/>
    <n v="137648.45000000001"/>
    <m/>
    <s v="OPEN"/>
    <s v="N"/>
    <m/>
    <n v="0"/>
    <n v="94.343000000000004"/>
    <n v="12986167.718350001"/>
    <n v="12986167.718350001"/>
    <n v="0"/>
    <s v=""/>
    <x v="5"/>
  </r>
  <r>
    <x v="2591"/>
    <s v="C0131"/>
    <x v="1"/>
    <d v="2025-03-08T00:00:00"/>
    <d v="2025-06-06T00:00:00"/>
    <s v="INR"/>
    <n v="1158414"/>
    <m/>
    <s v="OPEN"/>
    <s v="N"/>
    <m/>
    <n v="0"/>
    <n v="1"/>
    <n v="1158414"/>
    <n v="1158414"/>
    <n v="0"/>
    <s v=""/>
    <x v="5"/>
  </r>
  <r>
    <x v="2592"/>
    <s v="C0010"/>
    <x v="1"/>
    <d v="2025-03-10T00:00:00"/>
    <d v="2025-05-09T00:00:00"/>
    <s v="USD"/>
    <n v="12905.68"/>
    <m/>
    <s v="OPEN"/>
    <s v="N"/>
    <m/>
    <n v="0"/>
    <n v="87.27"/>
    <n v="1126278.6935999999"/>
    <n v="1126278.6935999999"/>
    <n v="0"/>
    <s v=""/>
    <x v="5"/>
  </r>
  <r>
    <x v="2593"/>
    <s v="C0036"/>
    <x v="1"/>
    <d v="2025-03-10T00:00:00"/>
    <d v="2025-04-24T00:00:00"/>
    <s v="INR"/>
    <n v="1900134"/>
    <m/>
    <s v="OPEN"/>
    <s v="N"/>
    <m/>
    <n v="0"/>
    <n v="1"/>
    <n v="1900134"/>
    <n v="1900134"/>
    <n v="0"/>
    <s v=""/>
    <x v="5"/>
  </r>
  <r>
    <x v="2594"/>
    <s v="C0039"/>
    <x v="0"/>
    <d v="2025-03-10T00:00:00"/>
    <d v="2025-05-09T00:00:00"/>
    <s v="INR"/>
    <n v="17905495"/>
    <m/>
    <s v="OPEN"/>
    <s v="N"/>
    <m/>
    <n v="0"/>
    <n v="1"/>
    <n v="17905495"/>
    <n v="17905495"/>
    <n v="0"/>
    <s v=""/>
    <x v="5"/>
  </r>
  <r>
    <x v="2595"/>
    <s v="C0050"/>
    <x v="0"/>
    <d v="2025-03-10T00:00:00"/>
    <d v="2025-05-09T00:00:00"/>
    <s v="INR"/>
    <n v="10240098"/>
    <m/>
    <s v="OPEN"/>
    <s v="N"/>
    <m/>
    <n v="0"/>
    <n v="1"/>
    <n v="10240098"/>
    <n v="10240098"/>
    <n v="0"/>
    <s v=""/>
    <x v="5"/>
  </r>
  <r>
    <x v="2596"/>
    <s v="C0039"/>
    <x v="0"/>
    <d v="2025-03-11T00:00:00"/>
    <d v="2025-05-10T00:00:00"/>
    <s v="INR"/>
    <n v="36730540"/>
    <m/>
    <s v="OPEN"/>
    <s v="N"/>
    <m/>
    <n v="0"/>
    <n v="1"/>
    <n v="36730540"/>
    <n v="36730540"/>
    <n v="0"/>
    <s v=""/>
    <x v="5"/>
  </r>
  <r>
    <x v="2597"/>
    <s v="C0057"/>
    <x v="3"/>
    <d v="2025-03-11T00:00:00"/>
    <d v="2025-04-10T00:00:00"/>
    <s v="INR"/>
    <n v="11107252"/>
    <m/>
    <s v="OPEN"/>
    <s v="N"/>
    <m/>
    <n v="0"/>
    <n v="1"/>
    <n v="11107252"/>
    <n v="11107252"/>
    <n v="0"/>
    <s v=""/>
    <x v="5"/>
  </r>
  <r>
    <x v="2598"/>
    <s v="C0065"/>
    <x v="1"/>
    <d v="2025-03-11T00:00:00"/>
    <d v="2025-04-10T00:00:00"/>
    <s v="INR"/>
    <n v="6893230"/>
    <m/>
    <s v="OPEN"/>
    <s v="N"/>
    <m/>
    <n v="0"/>
    <n v="1"/>
    <n v="6893230"/>
    <n v="6893230"/>
    <n v="0"/>
    <s v=""/>
    <x v="5"/>
  </r>
  <r>
    <x v="2599"/>
    <s v="C0073"/>
    <x v="1"/>
    <d v="2025-03-11T00:00:00"/>
    <d v="2025-04-10T00:00:00"/>
    <s v="USD"/>
    <n v="173838.35"/>
    <m/>
    <s v="OPEN"/>
    <s v="N"/>
    <m/>
    <n v="0"/>
    <n v="87.16"/>
    <n v="15151750.585999999"/>
    <n v="15151750.585999999"/>
    <n v="0"/>
    <s v=""/>
    <x v="5"/>
  </r>
  <r>
    <x v="2600"/>
    <s v="C0078"/>
    <x v="0"/>
    <d v="2025-03-11T00:00:00"/>
    <d v="2025-04-25T00:00:00"/>
    <s v="INR"/>
    <n v="4102456"/>
    <m/>
    <s v="OPEN"/>
    <s v="N"/>
    <m/>
    <n v="0"/>
    <n v="1"/>
    <n v="4102456"/>
    <n v="4102456"/>
    <n v="0"/>
    <s v=""/>
    <x v="5"/>
  </r>
  <r>
    <x v="2601"/>
    <s v="C0196"/>
    <x v="2"/>
    <d v="2025-03-11T00:00:00"/>
    <d v="2025-06-09T00:00:00"/>
    <s v="USD"/>
    <n v="95081.44"/>
    <m/>
    <s v="OPEN"/>
    <s v="N"/>
    <m/>
    <n v="0"/>
    <n v="87.16"/>
    <n v="8287298.3103999998"/>
    <n v="8287298.3103999998"/>
    <n v="0"/>
    <s v=""/>
    <x v="5"/>
  </r>
  <r>
    <x v="2602"/>
    <s v="C0198"/>
    <x v="3"/>
    <d v="2025-03-11T00:00:00"/>
    <d v="2025-04-25T00:00:00"/>
    <s v="USD"/>
    <n v="266232.61"/>
    <m/>
    <s v="OPEN"/>
    <s v="Y"/>
    <n v="87.377899999999997"/>
    <n v="0"/>
    <n v="87.16"/>
    <n v="23204834.287599999"/>
    <n v="23204834.287599999"/>
    <n v="0"/>
    <s v=""/>
    <x v="5"/>
  </r>
  <r>
    <x v="2603"/>
    <s v="C0201"/>
    <x v="4"/>
    <d v="2025-03-11T00:00:00"/>
    <d v="2025-05-10T00:00:00"/>
    <s v="INR"/>
    <n v="1849581"/>
    <m/>
    <s v="OPEN"/>
    <s v="N"/>
    <m/>
    <n v="0"/>
    <n v="1"/>
    <n v="1849581"/>
    <n v="1849581"/>
    <n v="0"/>
    <s v=""/>
    <x v="5"/>
  </r>
  <r>
    <x v="2604"/>
    <s v="C0138"/>
    <x v="4"/>
    <d v="2025-03-12T00:00:00"/>
    <d v="2025-04-11T00:00:00"/>
    <s v="INR"/>
    <n v="30751759"/>
    <m/>
    <s v="OPEN"/>
    <s v="N"/>
    <m/>
    <n v="0"/>
    <n v="1"/>
    <n v="30751759"/>
    <n v="30751759"/>
    <n v="0"/>
    <s v=""/>
    <x v="5"/>
  </r>
  <r>
    <x v="2605"/>
    <s v="C0146"/>
    <x v="3"/>
    <d v="2025-03-12T00:00:00"/>
    <d v="2025-05-11T00:00:00"/>
    <s v="USD"/>
    <n v="102488.34"/>
    <m/>
    <s v="OPEN"/>
    <s v="N"/>
    <m/>
    <n v="0"/>
    <n v="87.16"/>
    <n v="8932883.714399999"/>
    <n v="8932883.714399999"/>
    <n v="0"/>
    <s v=""/>
    <x v="5"/>
  </r>
  <r>
    <x v="2606"/>
    <s v="C0220"/>
    <x v="1"/>
    <d v="2025-03-12T00:00:00"/>
    <d v="2025-04-11T00:00:00"/>
    <s v="INR"/>
    <n v="2957814"/>
    <m/>
    <s v="OPEN"/>
    <s v="N"/>
    <m/>
    <n v="0"/>
    <n v="1"/>
    <n v="2957814"/>
    <n v="2957814"/>
    <n v="0"/>
    <s v=""/>
    <x v="5"/>
  </r>
  <r>
    <x v="2607"/>
    <s v="C0231"/>
    <x v="0"/>
    <d v="2025-03-12T00:00:00"/>
    <d v="2025-04-11T00:00:00"/>
    <s v="INR"/>
    <n v="2592661"/>
    <m/>
    <s v="OPEN"/>
    <s v="N"/>
    <m/>
    <n v="0"/>
    <n v="1"/>
    <n v="2592661"/>
    <n v="2592661"/>
    <n v="0"/>
    <s v=""/>
    <x v="5"/>
  </r>
  <r>
    <x v="2608"/>
    <s v="C0060"/>
    <x v="0"/>
    <d v="2025-03-13T00:00:00"/>
    <d v="2025-04-27T00:00:00"/>
    <s v="INR"/>
    <n v="5797793"/>
    <m/>
    <s v="OPEN"/>
    <s v="N"/>
    <m/>
    <n v="0"/>
    <n v="1"/>
    <n v="5797793"/>
    <n v="5797793"/>
    <n v="0"/>
    <s v=""/>
    <x v="5"/>
  </r>
  <r>
    <x v="2609"/>
    <s v="C0238"/>
    <x v="2"/>
    <d v="2025-03-13T00:00:00"/>
    <d v="2025-05-12T00:00:00"/>
    <s v="INR"/>
    <n v="8056573"/>
    <m/>
    <s v="OPEN"/>
    <s v="N"/>
    <m/>
    <n v="0"/>
    <n v="1"/>
    <n v="8056573"/>
    <n v="8056573"/>
    <n v="0"/>
    <s v=""/>
    <x v="5"/>
  </r>
  <r>
    <x v="2610"/>
    <s v="C0072"/>
    <x v="4"/>
    <d v="2025-03-14T00:00:00"/>
    <d v="2025-06-12T00:00:00"/>
    <s v="EUR"/>
    <n v="97209.45"/>
    <m/>
    <s v="OPEN"/>
    <s v="Y"/>
    <n v="94.870199999999997"/>
    <n v="0"/>
    <n v="94.586399999999998"/>
    <n v="9194691.92148"/>
    <n v="9194691.92148"/>
    <n v="0"/>
    <s v=""/>
    <x v="5"/>
  </r>
  <r>
    <x v="2611"/>
    <s v="C0099"/>
    <x v="3"/>
    <d v="2025-03-14T00:00:00"/>
    <d v="2025-05-13T00:00:00"/>
    <s v="EUR"/>
    <n v="152864.47"/>
    <m/>
    <s v="OPEN"/>
    <s v="Y"/>
    <n v="94.775599999999997"/>
    <n v="0"/>
    <n v="94.586399999999998"/>
    <n v="14458899.905207999"/>
    <n v="14458899.905207999"/>
    <n v="0"/>
    <s v=""/>
    <x v="5"/>
  </r>
  <r>
    <x v="2612"/>
    <s v="C0183"/>
    <x v="0"/>
    <d v="2025-03-14T00:00:00"/>
    <d v="2025-06-12T00:00:00"/>
    <s v="INR"/>
    <n v="15158950"/>
    <m/>
    <s v="OPEN"/>
    <s v="N"/>
    <m/>
    <n v="0"/>
    <n v="1"/>
    <n v="15158950"/>
    <n v="15158950"/>
    <n v="0"/>
    <s v=""/>
    <x v="5"/>
  </r>
  <r>
    <x v="2613"/>
    <s v="C0225"/>
    <x v="2"/>
    <d v="2025-03-14T00:00:00"/>
    <d v="2025-04-28T00:00:00"/>
    <s v="USD"/>
    <n v="52338.87"/>
    <m/>
    <s v="OPEN"/>
    <s v="Y"/>
    <n v="87.217500000000001"/>
    <n v="0"/>
    <n v="87"/>
    <n v="4553481.6900000004"/>
    <n v="4553481.6900000004"/>
    <n v="0"/>
    <s v=""/>
    <x v="5"/>
  </r>
  <r>
    <x v="2614"/>
    <s v="C0236"/>
    <x v="3"/>
    <d v="2025-03-14T00:00:00"/>
    <d v="2025-05-13T00:00:00"/>
    <s v="EUR"/>
    <n v="250227.09"/>
    <m/>
    <s v="OPEN"/>
    <s v="Y"/>
    <n v="94.775599999999997"/>
    <n v="0"/>
    <n v="94.586399999999998"/>
    <n v="23668079.625576001"/>
    <n v="23668079.625576001"/>
    <n v="0"/>
    <s v=""/>
    <x v="5"/>
  </r>
  <r>
    <x v="2615"/>
    <s v="C0029"/>
    <x v="1"/>
    <d v="2025-03-15T00:00:00"/>
    <d v="2025-06-13T00:00:00"/>
    <s v="INR"/>
    <n v="28920720"/>
    <m/>
    <s v="OPEN"/>
    <s v="N"/>
    <m/>
    <n v="0"/>
    <n v="1"/>
    <n v="28920720"/>
    <n v="28920720"/>
    <n v="0"/>
    <s v=""/>
    <x v="5"/>
  </r>
  <r>
    <x v="2616"/>
    <s v="C0031"/>
    <x v="3"/>
    <d v="2025-03-15T00:00:00"/>
    <d v="2025-06-13T00:00:00"/>
    <s v="INR"/>
    <n v="5098082"/>
    <m/>
    <s v="OPEN"/>
    <s v="N"/>
    <m/>
    <n v="0"/>
    <n v="1"/>
    <n v="5098082"/>
    <n v="5098082"/>
    <n v="0"/>
    <s v=""/>
    <x v="5"/>
  </r>
  <r>
    <x v="2617"/>
    <s v="C0050"/>
    <x v="0"/>
    <d v="2025-03-15T00:00:00"/>
    <d v="2025-05-14T00:00:00"/>
    <s v="INR"/>
    <n v="2307544"/>
    <m/>
    <s v="OPEN"/>
    <s v="N"/>
    <m/>
    <n v="0"/>
    <n v="1"/>
    <n v="2307544"/>
    <n v="2307544"/>
    <n v="0"/>
    <s v=""/>
    <x v="5"/>
  </r>
  <r>
    <x v="2618"/>
    <s v="C0057"/>
    <x v="3"/>
    <d v="2025-03-15T00:00:00"/>
    <d v="2025-04-14T00:00:00"/>
    <s v="INR"/>
    <n v="9044576"/>
    <m/>
    <s v="OPEN"/>
    <s v="N"/>
    <m/>
    <n v="0"/>
    <n v="1"/>
    <n v="9044576"/>
    <n v="9044576"/>
    <n v="0"/>
    <s v=""/>
    <x v="5"/>
  </r>
  <r>
    <x v="2619"/>
    <s v="C0107"/>
    <x v="1"/>
    <d v="2025-03-15T00:00:00"/>
    <d v="2025-04-14T00:00:00"/>
    <s v="INR"/>
    <n v="5910294"/>
    <m/>
    <s v="OPEN"/>
    <s v="N"/>
    <m/>
    <n v="0"/>
    <n v="1"/>
    <n v="5910294"/>
    <n v="5910294"/>
    <n v="0"/>
    <s v=""/>
    <x v="5"/>
  </r>
  <r>
    <x v="2620"/>
    <s v="C0111"/>
    <x v="3"/>
    <d v="2025-03-15T00:00:00"/>
    <d v="2025-06-13T00:00:00"/>
    <s v="EUR"/>
    <n v="71246.13"/>
    <m/>
    <s v="OPEN"/>
    <s v="Y"/>
    <n v="94.870199999999997"/>
    <n v="0"/>
    <n v="94.586399999999998"/>
    <n v="6738914.9506320003"/>
    <n v="6738914.9506320003"/>
    <n v="0"/>
    <s v=""/>
    <x v="5"/>
  </r>
  <r>
    <x v="2621"/>
    <s v="C0118"/>
    <x v="1"/>
    <d v="2025-03-15T00:00:00"/>
    <d v="2025-05-14T00:00:00"/>
    <s v="INR"/>
    <n v="6459989"/>
    <m/>
    <s v="OPEN"/>
    <s v="N"/>
    <m/>
    <n v="0"/>
    <n v="1"/>
    <n v="6459989"/>
    <n v="6459989"/>
    <n v="0"/>
    <s v=""/>
    <x v="5"/>
  </r>
  <r>
    <x v="2622"/>
    <s v="C0128"/>
    <x v="0"/>
    <d v="2025-03-15T00:00:00"/>
    <d v="2025-04-14T00:00:00"/>
    <s v="INR"/>
    <n v="12781394"/>
    <m/>
    <s v="OPEN"/>
    <s v="N"/>
    <m/>
    <n v="0"/>
    <n v="1"/>
    <n v="12781394"/>
    <n v="12781394"/>
    <n v="0"/>
    <s v=""/>
    <x v="5"/>
  </r>
  <r>
    <x v="2623"/>
    <s v="C0163"/>
    <x v="4"/>
    <d v="2025-03-15T00:00:00"/>
    <d v="2025-05-14T00:00:00"/>
    <s v="EUR"/>
    <n v="6343.41"/>
    <m/>
    <s v="OPEN"/>
    <s v="Y"/>
    <n v="94.775599999999997"/>
    <n v="0"/>
    <n v="94.586399999999998"/>
    <n v="600000.31562399992"/>
    <n v="600000.31562399992"/>
    <n v="0"/>
    <s v=""/>
    <x v="5"/>
  </r>
  <r>
    <x v="2624"/>
    <s v="C0183"/>
    <x v="0"/>
    <d v="2025-03-15T00:00:00"/>
    <d v="2025-06-13T00:00:00"/>
    <s v="INR"/>
    <n v="3757162"/>
    <m/>
    <s v="OPEN"/>
    <s v="N"/>
    <m/>
    <n v="0"/>
    <n v="1"/>
    <n v="3757162"/>
    <n v="3757162"/>
    <n v="0"/>
    <s v=""/>
    <x v="5"/>
  </r>
  <r>
    <x v="2625"/>
    <s v="C0183"/>
    <x v="0"/>
    <d v="2025-03-15T00:00:00"/>
    <d v="2025-06-13T00:00:00"/>
    <s v="INR"/>
    <n v="1615959"/>
    <m/>
    <s v="OPEN"/>
    <s v="N"/>
    <m/>
    <n v="0"/>
    <n v="1"/>
    <n v="1615959"/>
    <n v="1615959"/>
    <n v="0"/>
    <s v=""/>
    <x v="5"/>
  </r>
  <r>
    <x v="2626"/>
    <s v="C0223"/>
    <x v="0"/>
    <d v="2025-03-15T00:00:00"/>
    <d v="2025-04-29T00:00:00"/>
    <s v="INR"/>
    <n v="3606443"/>
    <m/>
    <s v="OPEN"/>
    <s v="N"/>
    <m/>
    <n v="0"/>
    <n v="1"/>
    <n v="3606443"/>
    <n v="3606443"/>
    <n v="0"/>
    <s v=""/>
    <x v="5"/>
  </r>
  <r>
    <x v="2627"/>
    <s v="C0232"/>
    <x v="2"/>
    <d v="2025-03-15T00:00:00"/>
    <d v="2025-06-13T00:00:00"/>
    <s v="EUR"/>
    <n v="28126.45"/>
    <m/>
    <s v="OPEN"/>
    <s v="Y"/>
    <n v="94.870199999999997"/>
    <n v="0"/>
    <n v="94.586399999999998"/>
    <n v="2660379.6502800002"/>
    <n v="2660379.6502800002"/>
    <n v="0"/>
    <s v=""/>
    <x v="5"/>
  </r>
  <r>
    <x v="2628"/>
    <s v="C0049"/>
    <x v="3"/>
    <d v="2025-03-17T00:00:00"/>
    <d v="2025-04-16T00:00:00"/>
    <s v="INR"/>
    <n v="6153844"/>
    <m/>
    <s v="OPEN"/>
    <s v="N"/>
    <m/>
    <n v="0"/>
    <n v="1"/>
    <n v="6153844"/>
    <n v="6153844"/>
    <n v="0"/>
    <s v=""/>
    <x v="5"/>
  </r>
  <r>
    <x v="2629"/>
    <s v="C0059"/>
    <x v="3"/>
    <d v="2025-03-17T00:00:00"/>
    <d v="2025-04-16T00:00:00"/>
    <s v="INR"/>
    <n v="12371795"/>
    <m/>
    <s v="OPEN"/>
    <s v="N"/>
    <m/>
    <n v="0"/>
    <n v="1"/>
    <n v="12371795"/>
    <n v="12371795"/>
    <n v="0"/>
    <s v=""/>
    <x v="5"/>
  </r>
  <r>
    <x v="2630"/>
    <s v="C0069"/>
    <x v="2"/>
    <d v="2025-03-17T00:00:00"/>
    <d v="2025-04-16T00:00:00"/>
    <s v="INR"/>
    <n v="9069380"/>
    <m/>
    <s v="OPEN"/>
    <s v="N"/>
    <m/>
    <n v="0"/>
    <n v="1"/>
    <n v="9069380"/>
    <n v="9069380"/>
    <n v="0"/>
    <s v=""/>
    <x v="5"/>
  </r>
  <r>
    <x v="2631"/>
    <s v="C0005"/>
    <x v="2"/>
    <d v="2025-03-18T00:00:00"/>
    <d v="2025-04-17T00:00:00"/>
    <s v="INR"/>
    <n v="24397292"/>
    <m/>
    <s v="OPEN"/>
    <s v="N"/>
    <m/>
    <n v="0"/>
    <n v="1"/>
    <n v="24397292"/>
    <n v="24397292"/>
    <n v="0"/>
    <s v=""/>
    <x v="5"/>
  </r>
  <r>
    <x v="2632"/>
    <s v="C0050"/>
    <x v="0"/>
    <d v="2025-03-18T00:00:00"/>
    <d v="2025-05-17T00:00:00"/>
    <s v="INR"/>
    <n v="2050595"/>
    <m/>
    <s v="OPEN"/>
    <s v="N"/>
    <m/>
    <n v="0"/>
    <n v="1"/>
    <n v="2050595"/>
    <n v="2050595"/>
    <n v="0"/>
    <s v=""/>
    <x v="5"/>
  </r>
  <r>
    <x v="2633"/>
    <s v="C0071"/>
    <x v="1"/>
    <d v="2025-03-18T00:00:00"/>
    <d v="2025-05-17T00:00:00"/>
    <s v="USD"/>
    <n v="107904.77"/>
    <m/>
    <s v="OPEN"/>
    <s v="Y"/>
    <n v="86.788300000000007"/>
    <n v="0"/>
    <n v="86.5"/>
    <n v="9333762.6050000004"/>
    <n v="9333762.6050000004"/>
    <n v="0"/>
    <s v=""/>
    <x v="5"/>
  </r>
  <r>
    <x v="2634"/>
    <s v="C0181"/>
    <x v="1"/>
    <d v="2025-03-18T00:00:00"/>
    <d v="2025-05-17T00:00:00"/>
    <s v="INR"/>
    <n v="8838850"/>
    <m/>
    <s v="OPEN"/>
    <s v="N"/>
    <m/>
    <n v="0"/>
    <n v="1"/>
    <n v="8838850"/>
    <n v="8838850"/>
    <n v="0"/>
    <s v=""/>
    <x v="5"/>
  </r>
  <r>
    <x v="2635"/>
    <s v="C0032"/>
    <x v="0"/>
    <d v="2025-03-19T00:00:00"/>
    <d v="2025-05-18T00:00:00"/>
    <s v="INR"/>
    <n v="4807063"/>
    <m/>
    <s v="OPEN"/>
    <s v="N"/>
    <m/>
    <n v="0"/>
    <n v="1"/>
    <n v="4807063"/>
    <n v="4807063"/>
    <n v="0"/>
    <s v=""/>
    <x v="5"/>
  </r>
  <r>
    <x v="2636"/>
    <s v="C0050"/>
    <x v="0"/>
    <d v="2025-03-19T00:00:00"/>
    <d v="2025-05-18T00:00:00"/>
    <s v="INR"/>
    <n v="5602316"/>
    <m/>
    <s v="OPEN"/>
    <s v="N"/>
    <m/>
    <n v="0"/>
    <n v="1"/>
    <n v="5602316"/>
    <n v="5602316"/>
    <n v="0"/>
    <s v=""/>
    <x v="5"/>
  </r>
  <r>
    <x v="2637"/>
    <s v="C0163"/>
    <x v="4"/>
    <d v="2025-03-19T00:00:00"/>
    <d v="2025-05-18T00:00:00"/>
    <s v="EUR"/>
    <n v="21714.1"/>
    <m/>
    <s v="OPEN"/>
    <s v="N"/>
    <m/>
    <n v="0"/>
    <n v="94.009900000000002"/>
    <n v="2041340.36959"/>
    <n v="2041340.36959"/>
    <n v="0"/>
    <s v=""/>
    <x v="5"/>
  </r>
  <r>
    <x v="2638"/>
    <s v="C0033"/>
    <x v="2"/>
    <d v="2025-03-20T00:00:00"/>
    <d v="2025-06-18T00:00:00"/>
    <s v="USD"/>
    <n v="52651.61"/>
    <m/>
    <s v="OPEN"/>
    <s v="N"/>
    <m/>
    <n v="0"/>
    <n v="86.31"/>
    <n v="4544360.4591000006"/>
    <n v="4544360.4591000006"/>
    <n v="0"/>
    <s v=""/>
    <x v="5"/>
  </r>
  <r>
    <x v="2639"/>
    <s v="C0070"/>
    <x v="1"/>
    <d v="2025-03-20T00:00:00"/>
    <d v="2025-05-04T00:00:00"/>
    <s v="INR"/>
    <n v="6791654"/>
    <m/>
    <s v="OPEN"/>
    <s v="N"/>
    <m/>
    <n v="0"/>
    <n v="1"/>
    <n v="6791654"/>
    <n v="6791654"/>
    <n v="0"/>
    <s v=""/>
    <x v="5"/>
  </r>
  <r>
    <x v="2640"/>
    <s v="C0097"/>
    <x v="3"/>
    <d v="2025-03-20T00:00:00"/>
    <d v="2025-05-04T00:00:00"/>
    <s v="INR"/>
    <n v="8673525"/>
    <m/>
    <s v="OPEN"/>
    <s v="N"/>
    <m/>
    <n v="0"/>
    <n v="1"/>
    <n v="8673525"/>
    <n v="8673525"/>
    <n v="0"/>
    <s v=""/>
    <x v="5"/>
  </r>
  <r>
    <x v="2641"/>
    <s v="C0218"/>
    <x v="3"/>
    <d v="2025-03-20T00:00:00"/>
    <d v="2025-05-04T00:00:00"/>
    <s v="INR"/>
    <n v="5220060"/>
    <m/>
    <s v="OPEN"/>
    <s v="N"/>
    <m/>
    <n v="0"/>
    <n v="1"/>
    <n v="5220060"/>
    <n v="5220060"/>
    <n v="0"/>
    <s v=""/>
    <x v="5"/>
  </r>
  <r>
    <x v="2642"/>
    <s v="C0004"/>
    <x v="0"/>
    <d v="2025-03-21T00:00:00"/>
    <d v="2025-05-05T00:00:00"/>
    <s v="INR"/>
    <n v="8584954"/>
    <m/>
    <s v="OPEN"/>
    <s v="N"/>
    <m/>
    <n v="0"/>
    <n v="1"/>
    <n v="8584954"/>
    <n v="8584954"/>
    <n v="0"/>
    <s v=""/>
    <x v="5"/>
  </r>
  <r>
    <x v="2643"/>
    <s v="C0009"/>
    <x v="3"/>
    <d v="2025-03-21T00:00:00"/>
    <d v="2025-05-20T00:00:00"/>
    <s v="INR"/>
    <n v="8612074"/>
    <m/>
    <s v="OPEN"/>
    <s v="N"/>
    <m/>
    <n v="0"/>
    <n v="1"/>
    <n v="8612074"/>
    <n v="8612074"/>
    <n v="0"/>
    <s v=""/>
    <x v="5"/>
  </r>
  <r>
    <x v="2644"/>
    <s v="C0171"/>
    <x v="3"/>
    <d v="2025-03-21T00:00:00"/>
    <d v="2025-06-19T00:00:00"/>
    <s v="USD"/>
    <n v="58591.15"/>
    <m/>
    <s v="OPEN"/>
    <s v="Y"/>
    <n v="86.44"/>
    <n v="0"/>
    <n v="86.01"/>
    <n v="5039424.8115000008"/>
    <n v="5039424.8115000008"/>
    <n v="0"/>
    <s v=""/>
    <x v="5"/>
  </r>
  <r>
    <x v="2645"/>
    <s v="C0049"/>
    <x v="3"/>
    <d v="2025-03-22T00:00:00"/>
    <d v="2025-04-21T00:00:00"/>
    <s v="INR"/>
    <n v="18886440"/>
    <m/>
    <s v="OPEN"/>
    <s v="N"/>
    <m/>
    <n v="0"/>
    <n v="1"/>
    <n v="18886440"/>
    <n v="18886440"/>
    <n v="0"/>
    <s v=""/>
    <x v="5"/>
  </r>
  <r>
    <x v="2646"/>
    <s v="C0049"/>
    <x v="3"/>
    <d v="2025-03-22T00:00:00"/>
    <d v="2025-04-21T00:00:00"/>
    <s v="INR"/>
    <n v="44151066"/>
    <m/>
    <s v="OPEN"/>
    <s v="N"/>
    <m/>
    <n v="0"/>
    <n v="1"/>
    <n v="44151066"/>
    <n v="44151066"/>
    <n v="0"/>
    <s v=""/>
    <x v="5"/>
  </r>
  <r>
    <x v="2647"/>
    <s v="C0070"/>
    <x v="1"/>
    <d v="2025-03-22T00:00:00"/>
    <d v="2025-05-06T00:00:00"/>
    <s v="INR"/>
    <n v="6540200"/>
    <m/>
    <s v="OPEN"/>
    <s v="N"/>
    <m/>
    <n v="0"/>
    <n v="1"/>
    <n v="6540200"/>
    <n v="6540200"/>
    <n v="0"/>
    <s v=""/>
    <x v="5"/>
  </r>
  <r>
    <x v="2648"/>
    <s v="C0084"/>
    <x v="3"/>
    <d v="2025-03-22T00:00:00"/>
    <d v="2025-05-06T00:00:00"/>
    <s v="INR"/>
    <n v="4384540"/>
    <m/>
    <s v="OPEN"/>
    <s v="N"/>
    <m/>
    <n v="0"/>
    <n v="1"/>
    <n v="4384540"/>
    <n v="4384540"/>
    <n v="0"/>
    <s v=""/>
    <x v="5"/>
  </r>
  <r>
    <x v="2649"/>
    <s v="C0111"/>
    <x v="3"/>
    <d v="2025-03-22T00:00:00"/>
    <d v="2025-06-20T00:00:00"/>
    <s v="EUR"/>
    <n v="66225.789999999994"/>
    <m/>
    <s v="OPEN"/>
    <s v="Y"/>
    <n v="93.221199999999996"/>
    <n v="0"/>
    <n v="92.942400000000006"/>
    <n v="6155183.8644960001"/>
    <n v="6155183.8644960001"/>
    <n v="0"/>
    <s v=""/>
    <x v="5"/>
  </r>
  <r>
    <x v="2650"/>
    <s v="C0138"/>
    <x v="4"/>
    <d v="2025-03-22T00:00:00"/>
    <d v="2025-04-21T00:00:00"/>
    <s v="INR"/>
    <n v="18108442"/>
    <m/>
    <s v="OPEN"/>
    <s v="N"/>
    <m/>
    <n v="0"/>
    <n v="1"/>
    <n v="18108442"/>
    <n v="18108442"/>
    <n v="0"/>
    <s v=""/>
    <x v="5"/>
  </r>
  <r>
    <x v="2651"/>
    <s v="C0195"/>
    <x v="4"/>
    <d v="2025-03-22T00:00:00"/>
    <d v="2025-05-21T00:00:00"/>
    <s v="EUR"/>
    <n v="10670.8"/>
    <m/>
    <s v="OPEN"/>
    <s v="Y"/>
    <n v="93.128299999999996"/>
    <n v="0"/>
    <n v="92.942400000000006"/>
    <n v="991769.76191999996"/>
    <n v="991769.76191999996"/>
    <n v="0"/>
    <s v=""/>
    <x v="5"/>
  </r>
  <r>
    <x v="2652"/>
    <s v="C0212"/>
    <x v="2"/>
    <d v="2025-03-22T00:00:00"/>
    <d v="2025-06-20T00:00:00"/>
    <s v="INR"/>
    <n v="4379839"/>
    <m/>
    <s v="OPEN"/>
    <s v="N"/>
    <m/>
    <n v="0"/>
    <n v="1"/>
    <n v="4379839"/>
    <n v="4379839"/>
    <n v="0"/>
    <s v=""/>
    <x v="5"/>
  </r>
  <r>
    <x v="2653"/>
    <s v="C0213"/>
    <x v="2"/>
    <d v="2025-03-22T00:00:00"/>
    <d v="2025-05-21T00:00:00"/>
    <s v="EUR"/>
    <n v="81067.12"/>
    <m/>
    <s v="OPEN"/>
    <s v="Y"/>
    <n v="93.128299999999996"/>
    <n v="0"/>
    <n v="92.942400000000006"/>
    <n v="7534572.6938880002"/>
    <n v="7534572.6938880002"/>
    <n v="0"/>
    <s v=""/>
    <x v="5"/>
  </r>
  <r>
    <x v="2654"/>
    <s v="C0228"/>
    <x v="3"/>
    <d v="2025-03-22T00:00:00"/>
    <d v="2025-05-06T00:00:00"/>
    <s v="INR"/>
    <n v="4385828"/>
    <m/>
    <s v="OPEN"/>
    <s v="N"/>
    <m/>
    <n v="0"/>
    <n v="1"/>
    <n v="4385828"/>
    <n v="4385828"/>
    <n v="0"/>
    <s v=""/>
    <x v="5"/>
  </r>
  <r>
    <x v="2655"/>
    <s v="C0244"/>
    <x v="3"/>
    <d v="2025-03-22T00:00:00"/>
    <d v="2025-05-21T00:00:00"/>
    <s v="INR"/>
    <n v="3252536"/>
    <m/>
    <s v="OPEN"/>
    <s v="N"/>
    <m/>
    <n v="0"/>
    <n v="1"/>
    <n v="3252536"/>
    <n v="3252536"/>
    <n v="0"/>
    <s v=""/>
    <x v="5"/>
  </r>
  <r>
    <x v="2656"/>
    <s v="C0029"/>
    <x v="1"/>
    <d v="2025-03-24T00:00:00"/>
    <d v="2025-06-22T00:00:00"/>
    <s v="INR"/>
    <n v="19264703"/>
    <m/>
    <s v="OPEN"/>
    <s v="N"/>
    <m/>
    <n v="0"/>
    <n v="1"/>
    <n v="19264703"/>
    <n v="19264703"/>
    <n v="0"/>
    <s v=""/>
    <x v="5"/>
  </r>
  <r>
    <x v="2657"/>
    <s v="C0114"/>
    <x v="3"/>
    <d v="2025-03-24T00:00:00"/>
    <d v="2025-05-23T00:00:00"/>
    <s v="INR"/>
    <n v="2594662"/>
    <m/>
    <s v="OPEN"/>
    <s v="N"/>
    <m/>
    <n v="0"/>
    <n v="1"/>
    <n v="2594662"/>
    <n v="2594662"/>
    <n v="0"/>
    <s v=""/>
    <x v="5"/>
  </r>
  <r>
    <x v="2658"/>
    <s v="C0123"/>
    <x v="1"/>
    <d v="2025-03-24T00:00:00"/>
    <d v="2025-05-23T00:00:00"/>
    <s v="USD"/>
    <n v="54517.91"/>
    <m/>
    <s v="OPEN"/>
    <s v="Y"/>
    <n v="85.845200000000006"/>
    <n v="0"/>
    <n v="85.56"/>
    <n v="4664552.3796000006"/>
    <n v="4664552.3796000006"/>
    <n v="0"/>
    <s v=""/>
    <x v="5"/>
  </r>
  <r>
    <x v="2659"/>
    <s v="C0144"/>
    <x v="2"/>
    <d v="2025-03-24T00:00:00"/>
    <d v="2025-05-08T00:00:00"/>
    <s v="INR"/>
    <n v="13196134"/>
    <m/>
    <s v="OPEN"/>
    <s v="N"/>
    <m/>
    <n v="0"/>
    <n v="1"/>
    <n v="13196134"/>
    <n v="13196134"/>
    <n v="0"/>
    <s v=""/>
    <x v="5"/>
  </r>
  <r>
    <x v="2660"/>
    <s v="C0213"/>
    <x v="1"/>
    <d v="2025-03-24T00:00:00"/>
    <d v="2025-05-23T00:00:00"/>
    <s v="EUR"/>
    <n v="111413.55"/>
    <m/>
    <s v="OPEN"/>
    <s v="N"/>
    <m/>
    <n v="0"/>
    <n v="92.353499999999997"/>
    <n v="10289431.289925"/>
    <n v="10289431.289925"/>
    <n v="0"/>
    <s v=""/>
    <x v="5"/>
  </r>
  <r>
    <x v="2661"/>
    <s v="C0244"/>
    <x v="3"/>
    <d v="2025-03-24T00:00:00"/>
    <d v="2025-05-23T00:00:00"/>
    <s v="INR"/>
    <n v="10617955"/>
    <m/>
    <s v="OPEN"/>
    <s v="N"/>
    <m/>
    <n v="0"/>
    <n v="1"/>
    <n v="10617955"/>
    <n v="10617955"/>
    <n v="0"/>
    <s v=""/>
    <x v="5"/>
  </r>
  <r>
    <x v="2662"/>
    <s v="C0029"/>
    <x v="1"/>
    <d v="2025-03-25T00:00:00"/>
    <d v="2025-06-23T00:00:00"/>
    <s v="INR"/>
    <n v="2900535"/>
    <m/>
    <s v="OPEN"/>
    <s v="N"/>
    <m/>
    <n v="0"/>
    <n v="1"/>
    <n v="2900535"/>
    <n v="2900535"/>
    <n v="0"/>
    <s v=""/>
    <x v="5"/>
  </r>
  <r>
    <x v="2663"/>
    <s v="C0050"/>
    <x v="0"/>
    <d v="2025-03-25T00:00:00"/>
    <d v="2025-05-24T00:00:00"/>
    <s v="INR"/>
    <n v="1718744"/>
    <m/>
    <s v="OPEN"/>
    <s v="N"/>
    <m/>
    <n v="0"/>
    <n v="1"/>
    <n v="1718744"/>
    <n v="1718744"/>
    <n v="0"/>
    <s v=""/>
    <x v="5"/>
  </r>
  <r>
    <x v="2664"/>
    <s v="C0141"/>
    <x v="1"/>
    <d v="2025-03-25T00:00:00"/>
    <d v="2025-05-24T00:00:00"/>
    <s v="INR"/>
    <n v="8270924"/>
    <m/>
    <s v="OPEN"/>
    <s v="N"/>
    <m/>
    <n v="0"/>
    <n v="1"/>
    <n v="8270924"/>
    <n v="8270924"/>
    <n v="0"/>
    <s v=""/>
    <x v="5"/>
  </r>
  <r>
    <x v="2665"/>
    <s v="C0182"/>
    <x v="0"/>
    <d v="2025-03-25T00:00:00"/>
    <d v="2025-05-24T00:00:00"/>
    <s v="INR"/>
    <n v="5013496"/>
    <m/>
    <s v="OPEN"/>
    <s v="N"/>
    <m/>
    <n v="0"/>
    <n v="1"/>
    <n v="5013496"/>
    <n v="5013496"/>
    <n v="0"/>
    <s v=""/>
    <x v="5"/>
  </r>
  <r>
    <x v="2666"/>
    <s v="C0197"/>
    <x v="0"/>
    <d v="2025-03-25T00:00:00"/>
    <d v="2025-05-09T00:00:00"/>
    <s v="INR"/>
    <n v="2490463"/>
    <m/>
    <s v="OPEN"/>
    <s v="N"/>
    <m/>
    <n v="0"/>
    <n v="1"/>
    <n v="2490463"/>
    <n v="2490463"/>
    <n v="0"/>
    <s v=""/>
    <x v="5"/>
  </r>
  <r>
    <x v="2667"/>
    <s v="C0198"/>
    <x v="3"/>
    <d v="2025-03-25T00:00:00"/>
    <d v="2025-05-09T00:00:00"/>
    <s v="USD"/>
    <n v="122313.13"/>
    <m/>
    <s v="OPEN"/>
    <s v="Y"/>
    <n v="85.984399999999994"/>
    <n v="0"/>
    <n v="85.77"/>
    <n v="10490797.1601"/>
    <n v="10490797.1601"/>
    <n v="0"/>
    <s v=""/>
    <x v="5"/>
  </r>
  <r>
    <x v="2668"/>
    <s v="C0114"/>
    <x v="3"/>
    <d v="2025-03-26T00:00:00"/>
    <d v="2025-05-25T00:00:00"/>
    <s v="INR"/>
    <n v="3242758"/>
    <m/>
    <s v="OPEN"/>
    <s v="N"/>
    <m/>
    <n v="0"/>
    <n v="1"/>
    <n v="3242758"/>
    <n v="3242758"/>
    <n v="0"/>
    <s v=""/>
    <x v="5"/>
  </r>
  <r>
    <x v="2669"/>
    <s v="C0123"/>
    <x v="1"/>
    <d v="2025-03-26T00:00:00"/>
    <d v="2025-05-25T00:00:00"/>
    <s v="USD"/>
    <n v="24965.16"/>
    <m/>
    <s v="OPEN"/>
    <s v="N"/>
    <m/>
    <n v="0"/>
    <n v="85.71"/>
    <n v="2139763.8635999998"/>
    <n v="2139763.8635999998"/>
    <n v="0"/>
    <s v=""/>
    <x v="5"/>
  </r>
  <r>
    <x v="2670"/>
    <s v="C0166"/>
    <x v="4"/>
    <d v="2025-03-26T00:00:00"/>
    <d v="2025-06-24T00:00:00"/>
    <s v="INR"/>
    <n v="3624254"/>
    <m/>
    <s v="OPEN"/>
    <s v="N"/>
    <m/>
    <n v="0"/>
    <n v="1"/>
    <n v="3624254"/>
    <n v="3624254"/>
    <n v="0"/>
    <s v=""/>
    <x v="5"/>
  </r>
  <r>
    <x v="2671"/>
    <s v="C0007"/>
    <x v="3"/>
    <d v="2025-03-27T00:00:00"/>
    <d v="2025-04-26T00:00:00"/>
    <s v="USD"/>
    <n v="98116.73"/>
    <m/>
    <s v="OPEN"/>
    <s v="N"/>
    <m/>
    <n v="0"/>
    <n v="85.79"/>
    <n v="8417434.2666999996"/>
    <n v="8417434.2666999996"/>
    <n v="0"/>
    <s v=""/>
    <x v="5"/>
  </r>
  <r>
    <x v="2672"/>
    <s v="C0149"/>
    <x v="3"/>
    <d v="2025-03-27T00:00:00"/>
    <d v="2025-05-11T00:00:00"/>
    <s v="INR"/>
    <n v="2184740"/>
    <m/>
    <s v="OPEN"/>
    <s v="N"/>
    <m/>
    <n v="0"/>
    <n v="1"/>
    <n v="2184740"/>
    <n v="2184740"/>
    <n v="0"/>
    <s v=""/>
    <x v="5"/>
  </r>
  <r>
    <x v="2673"/>
    <s v="C0228"/>
    <x v="0"/>
    <d v="2025-03-27T00:00:00"/>
    <d v="2025-05-11T00:00:00"/>
    <s v="INR"/>
    <n v="2798382"/>
    <m/>
    <s v="OPEN"/>
    <s v="N"/>
    <m/>
    <n v="0"/>
    <n v="1"/>
    <n v="2798382"/>
    <n v="2798382"/>
    <n v="0"/>
    <s v=""/>
    <x v="5"/>
  </r>
  <r>
    <x v="2674"/>
    <s v="C0061"/>
    <x v="1"/>
    <d v="2025-03-28T00:00:00"/>
    <d v="2025-06-26T00:00:00"/>
    <s v="INR"/>
    <n v="17390108"/>
    <m/>
    <s v="OPEN"/>
    <s v="N"/>
    <m/>
    <n v="0"/>
    <n v="1"/>
    <n v="17390108"/>
    <n v="17390108"/>
    <n v="0"/>
    <s v=""/>
    <x v="5"/>
  </r>
  <r>
    <x v="2675"/>
    <s v="C0111"/>
    <x v="3"/>
    <d v="2025-03-28T00:00:00"/>
    <d v="2025-06-26T00:00:00"/>
    <s v="EUR"/>
    <n v="89262.73"/>
    <m/>
    <s v="OPEN"/>
    <s v="N"/>
    <m/>
    <n v="0"/>
    <n v="92.573099999999997"/>
    <n v="8263327.6305629993"/>
    <n v="8263327.6305629993"/>
    <n v="0"/>
    <s v=""/>
    <x v="5"/>
  </r>
  <r>
    <x v="2676"/>
    <s v="C0118"/>
    <x v="1"/>
    <d v="2025-03-28T00:00:00"/>
    <d v="2025-05-27T00:00:00"/>
    <s v="INR"/>
    <n v="1435998"/>
    <m/>
    <s v="OPEN"/>
    <s v="N"/>
    <m/>
    <n v="0"/>
    <n v="1"/>
    <n v="1435998"/>
    <n v="1435998"/>
    <n v="0"/>
    <s v=""/>
    <x v="5"/>
  </r>
  <r>
    <x v="2677"/>
    <s v="C0128"/>
    <x v="1"/>
    <d v="2025-03-28T00:00:00"/>
    <d v="2025-04-27T00:00:00"/>
    <s v="INR"/>
    <n v="6180250"/>
    <m/>
    <s v="OPEN"/>
    <s v="N"/>
    <m/>
    <n v="0"/>
    <n v="1"/>
    <n v="6180250"/>
    <n v="6180250"/>
    <n v="0"/>
    <s v=""/>
    <x v="5"/>
  </r>
  <r>
    <x v="2678"/>
    <s v="C0004"/>
    <x v="0"/>
    <d v="2025-03-29T00:00:00"/>
    <d v="2025-05-13T00:00:00"/>
    <s v="INR"/>
    <n v="3685128"/>
    <m/>
    <s v="OPEN"/>
    <s v="N"/>
    <m/>
    <n v="0"/>
    <n v="1"/>
    <n v="3685128"/>
    <n v="3685128"/>
    <n v="0"/>
    <s v=""/>
    <x v="5"/>
  </r>
  <r>
    <x v="2679"/>
    <s v="C0029"/>
    <x v="1"/>
    <d v="2025-03-29T00:00:00"/>
    <d v="2025-06-27T00:00:00"/>
    <s v="INR"/>
    <n v="6191251"/>
    <m/>
    <s v="OPEN"/>
    <s v="N"/>
    <m/>
    <n v="0"/>
    <n v="1"/>
    <n v="6191251"/>
    <n v="6191251"/>
    <n v="0"/>
    <s v=""/>
    <x v="5"/>
  </r>
  <r>
    <x v="2680"/>
    <s v="C0123"/>
    <x v="1"/>
    <d v="2025-03-29T00:00:00"/>
    <d v="2025-05-28T00:00:00"/>
    <s v="USD"/>
    <n v="50217.58"/>
    <m/>
    <s v="OPEN"/>
    <s v="N"/>
    <m/>
    <n v="0"/>
    <n v="85.51"/>
    <n v="4294105.2658000002"/>
    <n v="4294105.2658000002"/>
    <n v="0"/>
    <s v=""/>
    <x v="5"/>
  </r>
  <r>
    <x v="2681"/>
    <s v="C0134"/>
    <x v="0"/>
    <d v="2025-03-29T00:00:00"/>
    <d v="2025-06-27T00:00:00"/>
    <s v="INR"/>
    <n v="11495262"/>
    <m/>
    <s v="OPEN"/>
    <s v="N"/>
    <m/>
    <n v="0"/>
    <n v="1"/>
    <n v="11495262"/>
    <n v="11495262"/>
    <n v="0"/>
    <s v=""/>
    <x v="5"/>
  </r>
  <r>
    <x v="2682"/>
    <s v="C0148"/>
    <x v="0"/>
    <d v="2025-03-29T00:00:00"/>
    <d v="2025-04-28T00:00:00"/>
    <s v="INR"/>
    <n v="1977957"/>
    <m/>
    <s v="OPEN"/>
    <s v="N"/>
    <m/>
    <n v="0"/>
    <n v="1"/>
    <n v="1977957"/>
    <n v="1977957"/>
    <n v="0"/>
    <s v=""/>
    <x v="5"/>
  </r>
  <r>
    <x v="2683"/>
    <s v="C0228"/>
    <x v="0"/>
    <d v="2025-03-29T00:00:00"/>
    <d v="2025-05-13T00:00:00"/>
    <s v="INR"/>
    <n v="2003539"/>
    <m/>
    <s v="OPEN"/>
    <s v="N"/>
    <m/>
    <n v="0"/>
    <n v="1"/>
    <n v="2003539"/>
    <n v="2003539"/>
    <n v="0"/>
    <s v=""/>
    <x v="5"/>
  </r>
  <r>
    <x v="2684"/>
    <s v="C0228"/>
    <x v="3"/>
    <d v="2025-03-29T00:00:00"/>
    <d v="2025-05-13T00:00:00"/>
    <s v="INR"/>
    <n v="9806641"/>
    <m/>
    <s v="OPEN"/>
    <s v="N"/>
    <m/>
    <n v="0"/>
    <n v="1"/>
    <n v="9806641"/>
    <n v="9806641"/>
    <n v="0"/>
    <s v=""/>
    <x v="5"/>
  </r>
  <r>
    <x v="2685"/>
    <s v="C0020"/>
    <x v="2"/>
    <d v="2025-03-31T00:00:00"/>
    <d v="2025-06-29T00:00:00"/>
    <s v="USD"/>
    <n v="56824.14"/>
    <m/>
    <s v="OPEN"/>
    <s v="N"/>
    <m/>
    <n v="0"/>
    <n v="85.43"/>
    <n v="4854486.2801999999"/>
    <n v="4854486.2801999999"/>
    <n v="0"/>
    <s v=""/>
    <x v="5"/>
  </r>
  <r>
    <x v="2686"/>
    <s v="C0149"/>
    <x v="3"/>
    <d v="2025-03-31T00:00:00"/>
    <d v="2025-05-15T00:00:00"/>
    <s v="INR"/>
    <n v="4069568"/>
    <m/>
    <s v="OPEN"/>
    <s v="N"/>
    <m/>
    <n v="0"/>
    <n v="1"/>
    <n v="4069568"/>
    <n v="4069568"/>
    <n v="0"/>
    <s v=""/>
    <x v="5"/>
  </r>
  <r>
    <x v="2687"/>
    <s v="C0161"/>
    <x v="4"/>
    <d v="2025-03-31T00:00:00"/>
    <d v="2025-06-29T00:00:00"/>
    <s v="USD"/>
    <n v="57828.63"/>
    <m/>
    <s v="OPEN"/>
    <s v="Y"/>
    <n v="85.857200000000006"/>
    <n v="0"/>
    <n v="85.43"/>
    <n v="4940299.8608999997"/>
    <n v="4940299.8608999997"/>
    <n v="0"/>
    <s v="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A0F54-F83D-45F8-8A3F-D67D464361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ging Group">
  <location ref="B2:D8" firstHeaderRow="0" firstDataRow="1" firstDataCol="1"/>
  <pivotFields count="19">
    <pivotField dataField="1" showAll="0">
      <items count="26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t="default"/>
      </items>
    </pivotField>
    <pivotField showAll="0"/>
    <pivotField showAll="0">
      <items count="6">
        <item x="3"/>
        <item x="1"/>
        <item x="4"/>
        <item x="0"/>
        <item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1"/>
        <item h="1" x="0"/>
        <item x="5"/>
        <item t="default"/>
      </items>
    </pivotField>
    <pivotField dataField="1" dragToRow="0" dragToCol="0" dragToPage="0" showAll="0" defaultSubtotal="0"/>
  </pivotFields>
  <rowFields count="1">
    <field x="17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voice" fld="0" subtotal="count" baseField="0" baseItem="0"/>
    <dataField name="Open Balance in Cr." fld="18" baseField="0" baseItem="0" numFmtId="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5184655-2C74-4D08-8FA3-DFCCABA4711A}" autoFormatId="16" applyNumberFormats="0" applyBorderFormats="0" applyFontFormats="0" applyPatternFormats="0" applyAlignmentFormats="0" applyWidthHeightFormats="0">
  <queryTableRefresh nextId="7">
    <queryTableFields count="6">
      <queryTableField id="1" name="bu_id" tableColumnId="1"/>
      <queryTableField id="2" name="bu_name" tableColumnId="2"/>
      <queryTableField id="3" name="primary_product" tableColumnId="3"/>
      <queryTableField id="4" name="target_hedge_ratio" tableColumnId="4"/>
      <queryTableField id="5" name="hedging_policy" tableColumnId="5"/>
      <queryTableField id="6" name="sanctioned_credit_line_in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D9E74D41-0741-4B75-9F7A-20D7EFE91F34}" autoFormatId="16" applyNumberFormats="0" applyBorderFormats="0" applyFontFormats="0" applyPatternFormats="0" applyAlignmentFormats="0" applyWidthHeightFormats="0">
  <queryTableRefresh nextId="15">
    <queryTableFields count="14">
      <queryTableField id="1" name="treasury_id" tableColumnId="1"/>
      <queryTableField id="2" name="bu_id" tableColumnId="2"/>
      <queryTableField id="3" name="month_end" tableColumnId="3"/>
      <queryTableField id="4" name="opening_cash" tableColumnId="4"/>
      <queryTableField id="5" name="cash_inflows" tableColumnId="5"/>
      <queryTableField id="6" name="cash_outflows" tableColumnId="6"/>
      <queryTableField id="7" name="net_borrowing" tableColumnId="7"/>
      <queryTableField id="8" name="inventory" tableColumnId="8"/>
      <queryTableField id="9" name="trade_receivables" tableColumnId="9"/>
      <queryTableField id="10" name="current_assets" tableColumnId="10"/>
      <queryTableField id="11" name="current_liabilities" tableColumnId="11"/>
      <queryTableField id="12" name="short_term_debt_due_30d" tableColumnId="12"/>
      <queryTableField id="13" name="undrawn_credit_line" tableColumnId="13"/>
      <queryTableField id="14" name="closing_cash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3D921F-405B-4466-9276-7BC8633C6334}" autoFormatId="16" applyNumberFormats="0" applyBorderFormats="0" applyFontFormats="0" applyPatternFormats="0" applyAlignmentFormats="0" applyWidthHeightFormats="0">
  <queryTableRefresh nextId="23" unboundColumnsRight="6">
    <queryTableFields count="18">
      <queryTableField id="1" name="invoice_id" tableColumnId="1"/>
      <queryTableField id="2" name="customer_id" tableColumnId="2"/>
      <queryTableField id="3" name="bu_id" tableColumnId="3"/>
      <queryTableField id="4" name="invoice_date" tableColumnId="4"/>
      <queryTableField id="5" name="due_date" tableColumnId="5"/>
      <queryTableField id="6" name="currency" tableColumnId="6"/>
      <queryTableField id="7" name="invoice_amount" tableColumnId="7"/>
      <queryTableField id="9" name="paid_date" tableColumnId="9"/>
      <queryTableField id="10" name="status" tableColumnId="10"/>
      <queryTableField id="11" name="hedged_flag" tableColumnId="11"/>
      <queryTableField id="12" name="hedge_rate" tableColumnId="12"/>
      <queryTableField id="8" name="amount_paid" tableColumnId="8"/>
      <queryTableField id="17" dataBound="0" tableColumnId="13"/>
      <queryTableField id="18" dataBound="0" tableColumnId="14"/>
      <queryTableField id="19" dataBound="0" tableColumnId="15"/>
      <queryTableField id="20" dataBound="0" tableColumnId="16"/>
      <queryTableField id="21" dataBound="0" tableColumnId="17"/>
      <queryTableField id="22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CC7960-66E1-40E4-8442-CEA56D47970F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customer_name" tableColumnId="2"/>
      <queryTableField id="3" name="country" tableColumnId="3"/>
      <queryTableField id="4" name="billing_currency" tableColumnId="4"/>
      <queryTableField id="5" name="industry" tableColumnId="5"/>
      <queryTableField id="6" name="credit_rating" tableColumnId="6"/>
      <queryTableField id="7" name="credit_limit_inr" tableColumnId="7"/>
      <queryTableField id="8" name="onboarding_date" tableColumnId="8"/>
      <queryTableField id="9" name="limit_flag" tableColumnId="9"/>
      <queryTableField id="10" name="payment_terms_days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15A6A1C-E2DC-4501-997E-65F7AFB55F5A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purchase_id" tableColumnId="1"/>
      <queryTableField id="2" name="purchase_date" tableColumnId="2"/>
      <queryTableField id="3" name="bu_id" tableColumnId="3"/>
      <queryTableField id="4" name="currency" tableColumnId="4"/>
      <queryTableField id="5" name="quantity" tableColumnId="5"/>
      <queryTableField id="6" name="unit" tableColumnId="6"/>
      <queryTableField id="7" name="total_amount" tableColumnId="7"/>
      <queryTableField id="8" name="hedged_flag" tableColumnId="8"/>
      <queryTableField id="9" name="hedge_price" tableColumnId="9"/>
      <queryTableField id="10" name="material" tableColumnId="10"/>
      <queryTableField id="11" name="unit_price" tableColumnId="11"/>
      <queryTableField id="12" name="payment_date" tableColumnId="12"/>
      <queryTableField id="13" dataBound="0" tableColumnId="13"/>
      <queryTableField id="15" dataBound="0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D913246E-9175-4D5D-B68E-B9926DF8EE23}" autoFormatId="16" applyNumberFormats="0" applyBorderFormats="0" applyFontFormats="0" applyPatternFormats="0" applyAlignmentFormats="0" applyWidthHeightFormats="0">
  <queryTableRefresh nextId="9">
    <queryTableFields count="8">
      <queryTableField id="1" name="price_id" tableColumnId="1"/>
      <queryTableField id="2" name="date" tableColumnId="2"/>
      <queryTableField id="3" name="asset" tableColumnId="3"/>
      <queryTableField id="4" name="asset_class" tableColumnId="4"/>
      <queryTableField id="5" name="price" tableColumnId="5"/>
      <queryTableField id="6" name="unit" tableColumnId="6"/>
      <queryTableField id="7" name="source" tableColumnId="7"/>
      <queryTableField id="8" name="carried_forwa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A16DA2-E33A-42C3-9702-63BC9F3EFCC0}" name="business_units" displayName="business_units" ref="A1:F6" tableType="queryTable" totalsRowShown="0">
  <autoFilter ref="A1:F6" xr:uid="{F2A16DA2-E33A-42C3-9702-63BC9F3EFCC0}"/>
  <tableColumns count="6">
    <tableColumn id="1" xr3:uid="{10F951AA-DE9C-4382-930F-1C40148CC387}" uniqueName="1" name="bu_id" queryTableFieldId="1" dataDxfId="69"/>
    <tableColumn id="2" xr3:uid="{129C0896-2D5E-44D7-A54A-19E0A61FDD6D}" uniqueName="2" name="bu_name" queryTableFieldId="2" dataDxfId="68"/>
    <tableColumn id="3" xr3:uid="{83B207D2-D4EE-4B69-93F4-8F32B1B85594}" uniqueName="3" name="primary_product" queryTableFieldId="3" dataDxfId="67"/>
    <tableColumn id="4" xr3:uid="{90063D5D-F2E2-4D4C-8347-0DE0CEAA449F}" uniqueName="4" name="target_hedge_ratio" queryTableFieldId="4"/>
    <tableColumn id="5" xr3:uid="{7980E878-3B7D-4516-BEA4-8E497EF63234}" uniqueName="5" name="hedging_policy" queryTableFieldId="5" dataDxfId="66"/>
    <tableColumn id="6" xr3:uid="{BDB63145-C986-4716-8629-600B48DAF296}" uniqueName="6" name="sanctioned_credit_line_in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7A60FA-BE36-4C9A-876C-F3E7D704D420}" name="treasury_monthly" displayName="treasury_monthly" ref="A1:N120" tableType="queryTable" totalsRowShown="0">
  <autoFilter ref="A1:N120" xr:uid="{817A60FA-BE36-4C9A-876C-F3E7D704D420}"/>
  <tableColumns count="14">
    <tableColumn id="1" xr3:uid="{E04DC478-22B1-4D06-B612-13D30E624708}" uniqueName="1" name="treasury_id" queryTableFieldId="1" dataDxfId="65"/>
    <tableColumn id="2" xr3:uid="{0841721B-8796-4CF9-8696-8393A639DBAA}" uniqueName="2" name="bu_id" queryTableFieldId="2" dataDxfId="64"/>
    <tableColumn id="3" xr3:uid="{51596C60-1B86-43AE-A7BA-E0D940D7DBC0}" uniqueName="3" name="month_end" queryTableFieldId="3" dataDxfId="63"/>
    <tableColumn id="4" xr3:uid="{0258D45F-4D92-4B46-9C7D-CBDF5BE5738A}" uniqueName="4" name="opening_cash" queryTableFieldId="4"/>
    <tableColumn id="5" xr3:uid="{E119B60E-6936-4391-8D2E-89E94740C8B4}" uniqueName="5" name="cash_inflows" queryTableFieldId="5"/>
    <tableColumn id="6" xr3:uid="{C4C4381C-F0D5-40C9-8597-4250EC869CB0}" uniqueName="6" name="cash_outflows" queryTableFieldId="6"/>
    <tableColumn id="7" xr3:uid="{D275C1D7-0036-42BF-80B3-519615A064D1}" uniqueName="7" name="net_borrowing" queryTableFieldId="7"/>
    <tableColumn id="8" xr3:uid="{85DC7531-F0BE-4D30-957E-AD66A9986D99}" uniqueName="8" name="inventory" queryTableFieldId="8"/>
    <tableColumn id="9" xr3:uid="{DE9CC6EC-7FD7-4B41-B707-90D5625070C2}" uniqueName="9" name="trade_receivables" queryTableFieldId="9"/>
    <tableColumn id="10" xr3:uid="{7F90AA56-16AA-4194-800D-96C6A90BA197}" uniqueName="10" name="current_assets" queryTableFieldId="10"/>
    <tableColumn id="11" xr3:uid="{D01F2879-4FD5-4400-97B0-746A60680C5E}" uniqueName="11" name="current_liabilities" queryTableFieldId="11"/>
    <tableColumn id="12" xr3:uid="{20B74011-82FC-4FBA-B0A0-4629BE25D94C}" uniqueName="12" name="short_term_debt_due_30d" queryTableFieldId="12"/>
    <tableColumn id="13" xr3:uid="{65A99FC5-E924-438A-AD30-7106F08D8C82}" uniqueName="13" name="undrawn_credit_line" queryTableFieldId="13"/>
    <tableColumn id="14" xr3:uid="{55A68B74-B631-468D-87E2-47664E82D81A}" uniqueName="14" name="closing_cash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6FD524-239C-42D6-A92F-AA98F80A3D9C}" name="invoices" displayName="invoices" ref="A1:R2690" tableType="queryTable" totalsRowCount="1">
  <autoFilter ref="A1:R2689" xr:uid="{F56FD524-239C-42D6-A92F-AA98F80A3D9C}"/>
  <sortState xmlns:xlrd2="http://schemas.microsoft.com/office/spreadsheetml/2017/richdata2" ref="A2:R2689">
    <sortCondition descending="1" ref="O1:O2689"/>
  </sortState>
  <tableColumns count="18">
    <tableColumn id="1" xr3:uid="{0EF47585-8838-4DBF-99FA-8D51B02739C8}" uniqueName="1" name="invoice_id" queryTableFieldId="1" dataDxfId="62" totalsRowDxfId="61"/>
    <tableColumn id="2" xr3:uid="{D37D8D47-463F-40A5-ACF8-222537589A3C}" uniqueName="2" name="customer_id" queryTableFieldId="2" dataDxfId="60" totalsRowDxfId="59"/>
    <tableColumn id="3" xr3:uid="{53DAC8CB-CD5B-430B-BC79-4265121C7D5E}" uniqueName="3" name="bu_id" queryTableFieldId="3" dataDxfId="58" totalsRowDxfId="57"/>
    <tableColumn id="4" xr3:uid="{A36A5D8F-E11E-4E72-BD19-B3976974D3A4}" uniqueName="4" name="invoice_date" queryTableFieldId="4" dataDxfId="56" totalsRowDxfId="55"/>
    <tableColumn id="5" xr3:uid="{A2CA1F7E-7439-40DE-9EF7-99D1FE1055E5}" uniqueName="5" name="due_date" queryTableFieldId="5" dataDxfId="54" totalsRowDxfId="53"/>
    <tableColumn id="6" xr3:uid="{38BDEF89-B02F-46FB-9E7E-7F93E4B8B3A7}" uniqueName="6" name="currency" queryTableFieldId="6" dataDxfId="52" totalsRowDxfId="51"/>
    <tableColumn id="7" xr3:uid="{F088821E-5AE1-47C9-9B63-D420B44EEF68}" uniqueName="7" name="invoice_amount" queryTableFieldId="7"/>
    <tableColumn id="9" xr3:uid="{8EF4687B-B2F1-471A-912D-4F16FBC6553F}" uniqueName="9" name="paid_date" queryTableFieldId="9" dataDxfId="50" totalsRowDxfId="49"/>
    <tableColumn id="10" xr3:uid="{A028AB7E-4DC1-454F-B1B8-2DF7C129D033}" uniqueName="10" name="status" queryTableFieldId="10" dataDxfId="48" totalsRowDxfId="47"/>
    <tableColumn id="11" xr3:uid="{E848FC63-3F44-4E13-9D7A-E3FF788211A6}" uniqueName="11" name="hedged_flag" queryTableFieldId="11" dataDxfId="46" totalsRowDxfId="45"/>
    <tableColumn id="12" xr3:uid="{81531FBC-0AF0-42F8-BBE9-9CA6B954C8A2}" uniqueName="12" name="hedge_rate" queryTableFieldId="12"/>
    <tableColumn id="8" xr3:uid="{5249A675-9326-4D7C-8B62-ABED28733DFC}" uniqueName="8" name="amount_paid" queryTableFieldId="8" dataDxfId="44" totalsRowDxfId="43"/>
    <tableColumn id="13" xr3:uid="{53955430-E2CD-4064-BDC3-3179C91AA01E}" uniqueName="13" name="fx_rate_inv" queryTableFieldId="17" dataDxfId="42" totalsRowDxfId="41">
      <calculatedColumnFormula>IF(F2="INR",1,INDEX('rates'!$B$2:$C$522,MATCH(D2,'rates'!$A$2:$A$522,1),MATCH(F2&amp;"/INR",'rates'!$B$1:$C$1,0)))</calculatedColumnFormula>
    </tableColumn>
    <tableColumn id="14" xr3:uid="{5254F63D-2855-48EF-A637-BBC8D3F51908}" uniqueName="14" name="invoice_amount_inr" queryTableFieldId="18" dataDxfId="40" totalsRowDxfId="39">
      <calculatedColumnFormula>G2*M2</calculatedColumnFormula>
    </tableColumn>
    <tableColumn id="15" xr3:uid="{957154CA-3805-4DA2-8616-D50A88ECC8EE}" uniqueName="15" name="open_balance_inr" queryTableFieldId="19" dataDxfId="38" totalsRowDxfId="37">
      <calculatedColumnFormula>IF(OR(I2="OPEN",I2="PARTIALLY PAID"),(G2-L2)*M2,0)</calculatedColumnFormula>
    </tableColumn>
    <tableColumn id="16" xr3:uid="{7A5C2756-14BD-426D-8664-76BD0DC47D7A}" uniqueName="16" name="days_overdue" queryTableFieldId="20" dataDxfId="36" totalsRowDxfId="35">
      <calculatedColumnFormula>IF(O2&gt;0,MAX(0,DATE(2025,3,31)-E2),0)</calculatedColumnFormula>
    </tableColumn>
    <tableColumn id="17" xr3:uid="{0E089F7A-70B1-4F4C-9237-2DB4F50B507D}" uniqueName="17" name="days_late" queryTableFieldId="21" dataDxfId="34" totalsRowDxfId="33">
      <calculatedColumnFormula>IF(H2="","",H2-E2)</calculatedColumnFormula>
    </tableColumn>
    <tableColumn id="18" xr3:uid="{3A6516B3-B2A5-40FE-B6BB-548D57310735}" uniqueName="18" name="aging" queryTableFieldId="22" dataDxfId="32" totalsRowDxfId="31">
      <calculatedColumnFormula>IF(O2=0,"Not open",IF(P2=0,"Not yet due",IF(P2&lt;=30,"1-30",IF(P2&lt;=60,"31-60",IF(P2&lt;=90,"61-90","90+")))))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9A1A1-5135-44A1-BF51-0BB9F6A40348}" name="customers" displayName="customers" ref="A1:J251" tableType="queryTable" totalsRowShown="0">
  <autoFilter ref="A1:J251" xr:uid="{7369A1A1-5135-44A1-BF51-0BB9F6A40348}"/>
  <tableColumns count="10">
    <tableColumn id="1" xr3:uid="{E196E3DB-4A06-4B87-9EF3-1B12B81FA52A}" uniqueName="1" name="customer_id" queryTableFieldId="1" dataDxfId="30"/>
    <tableColumn id="2" xr3:uid="{38CA4EE1-CB2B-402D-B839-BDB57B87F437}" uniqueName="2" name="customer_name" queryTableFieldId="2" dataDxfId="29"/>
    <tableColumn id="3" xr3:uid="{43B50FFD-3485-4706-91A7-394F19AB603A}" uniqueName="3" name="country" queryTableFieldId="3" dataDxfId="28"/>
    <tableColumn id="4" xr3:uid="{F7E7B0BE-8179-4805-A0DD-0770056436B7}" uniqueName="4" name="billing_currency" queryTableFieldId="4" dataDxfId="27"/>
    <tableColumn id="5" xr3:uid="{46918C8A-7005-4F5C-8406-F9E92BD8D002}" uniqueName="5" name="industry" queryTableFieldId="5" dataDxfId="26"/>
    <tableColumn id="6" xr3:uid="{D11EC425-3A30-421E-A9C7-9C3B13B85AF9}" uniqueName="6" name="credit_rating" queryTableFieldId="6" dataDxfId="25"/>
    <tableColumn id="7" xr3:uid="{89D0ADE0-C16F-4FCF-B9EE-1FBC36CC7FFC}" uniqueName="7" name="credit_limit_inr" queryTableFieldId="7"/>
    <tableColumn id="8" xr3:uid="{025BBE40-71CA-43DD-AA7D-4ADCADB15AFE}" uniqueName="8" name="onboarding_date" queryTableFieldId="8" dataDxfId="24"/>
    <tableColumn id="9" xr3:uid="{8B841F4F-EA6F-4637-88F0-ECA76E788020}" uniqueName="9" name="limit_flag" queryTableFieldId="9"/>
    <tableColumn id="10" xr3:uid="{40AAF000-8B8B-4019-8150-84C79D59AE1F}" uniqueName="10" name="payment_terms_days" queryTableFieldId="10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97ED3A-3E7D-4898-81F2-D19E04922298}" name="purchases" displayName="purchases" ref="A1:N1502" tableType="queryTable" totalsRowCount="1">
  <autoFilter ref="A1:N1501" xr:uid="{6B97ED3A-3E7D-4898-81F2-D19E04922298}"/>
  <tableColumns count="14">
    <tableColumn id="1" xr3:uid="{962B8307-FB40-41D7-84B3-BFB48D801583}" uniqueName="1" name="purchase_id" queryTableFieldId="1" dataDxfId="89" totalsRowDxfId="88"/>
    <tableColumn id="2" xr3:uid="{72E69C2F-8B16-4924-A243-EEB54148DB7E}" uniqueName="2" name="purchase_date" queryTableFieldId="2" dataDxfId="87" totalsRowDxfId="86"/>
    <tableColumn id="3" xr3:uid="{8EADBC11-C34B-44A0-8EF7-6CC6E27EB1C8}" uniqueName="3" name="bu_id" queryTableFieldId="3" dataDxfId="85" totalsRowDxfId="84"/>
    <tableColumn id="4" xr3:uid="{89E14796-E390-410F-951F-3845E7C133D2}" uniqueName="4" name="currency" queryTableFieldId="4" dataDxfId="83" totalsRowDxfId="82"/>
    <tableColumn id="5" xr3:uid="{A59D8215-5E98-4934-9FDF-3D0D2902FE8D}" uniqueName="5" name="quantity" queryTableFieldId="5"/>
    <tableColumn id="6" xr3:uid="{1F049446-30EC-4DB1-BB55-44BBF39379B6}" uniqueName="6" name="unit" queryTableFieldId="6" dataDxfId="81" totalsRowDxfId="80"/>
    <tableColumn id="7" xr3:uid="{A0EDB7EF-BEC3-49D2-A05A-A2F595FF9975}" uniqueName="7" name="total_amount" queryTableFieldId="7"/>
    <tableColumn id="8" xr3:uid="{45745E0B-17E4-4EA6-B7A8-A9099DD8BA9D}" uniqueName="8" name="hedged_flag" queryTableFieldId="8" dataDxfId="79" totalsRowDxfId="78"/>
    <tableColumn id="9" xr3:uid="{50A76554-0EE0-47B5-A548-50A2448F6387}" uniqueName="9" name="hedge_price" queryTableFieldId="9"/>
    <tableColumn id="10" xr3:uid="{723A8F86-91BA-4162-9641-2B85DD0F422E}" uniqueName="10" name="material" queryTableFieldId="10"/>
    <tableColumn id="11" xr3:uid="{D21958B5-EA2D-41B1-AA5F-EFAD91B66E8A}" uniqueName="11" name="unit_price" queryTableFieldId="11" dataDxfId="77" totalsRowDxfId="76"/>
    <tableColumn id="12" xr3:uid="{DE54ED71-C067-4D33-B31B-134D1C7A8FC6}" uniqueName="12" name="payment_date" queryTableFieldId="12" dataDxfId="75" totalsRowDxfId="74"/>
    <tableColumn id="13" xr3:uid="{EA9AAB30-BE9E-4A82-92AB-7E479C2EE320}" uniqueName="13" name="total_amount_INR" queryTableFieldId="13" dataDxfId="73" totalsRowDxfId="72">
      <calculatedColumnFormula>G2*IF(D2="INR",1,INDEX('rates'!$B$2:$B$522,MATCH(B2,'rates'!$A$2:$A$522,1)))</calculatedColumnFormula>
    </tableColumn>
    <tableColumn id="15" xr3:uid="{C0C470AE-A93E-4646-A37F-B60F18533FD3}" uniqueName="15" name="days_to_pay_supplier" queryTableFieldId="15" dataDxfId="71" totalsRowDxfId="70">
      <calculatedColumnFormula>IF(L2="","",L2-B2)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C702DE-3864-44F7-80A0-50AB2C20BC39}" name="market_prices" displayName="market_prices" ref="A1:H1564" tableType="queryTable" totalsRowShown="0">
  <autoFilter ref="A1:H1564" xr:uid="{4CC702DE-3864-44F7-80A0-50AB2C20BC39}"/>
  <tableColumns count="8">
    <tableColumn id="1" xr3:uid="{BF46983B-00E9-40CA-9E48-F242E696C6C4}" uniqueName="1" name="price_id" queryTableFieldId="1" dataDxfId="23"/>
    <tableColumn id="2" xr3:uid="{EF8480F1-41A9-4C71-99EE-455C98CD33C8}" uniqueName="2" name="date" queryTableFieldId="2" dataDxfId="22"/>
    <tableColumn id="3" xr3:uid="{E1DBF019-2355-407F-B53C-22014D2D2E90}" uniqueName="3" name="asset" queryTableFieldId="3" dataDxfId="21"/>
    <tableColumn id="4" xr3:uid="{75FB5617-CD23-4D90-9831-0C4C054A95BA}" uniqueName="4" name="asset_class" queryTableFieldId="4" dataDxfId="20"/>
    <tableColumn id="5" xr3:uid="{021AA99B-6A36-47A2-9B23-3F2E105ADFC9}" uniqueName="5" name="price" queryTableFieldId="5"/>
    <tableColumn id="6" xr3:uid="{C3C18450-CC09-4C4F-A1D7-C5648CB6B1BF}" uniqueName="6" name="unit" queryTableFieldId="6" dataDxfId="19"/>
    <tableColumn id="7" xr3:uid="{7DF7D52C-1DC2-40B2-AABE-9D0ED8ECDC11}" uniqueName="7" name="source" queryTableFieldId="7" dataDxfId="18"/>
    <tableColumn id="8" xr3:uid="{07E9EE3B-42F8-4D62-8E0B-8CDDF4A51649}" uniqueName="8" name="carried_forward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1F6827-D7AE-4626-B319-FF140A4255FE}" name="rates" displayName="rates" ref="A1:G522" totalsRowShown="0">
  <autoFilter ref="A1:G522" xr:uid="{7F1F6827-D7AE-4626-B319-FF140A4255FE}"/>
  <tableColumns count="7">
    <tableColumn id="1" xr3:uid="{790A60A1-C7BF-4AD3-AB4F-E3AB8B4D5950}" name="date" dataDxfId="17"/>
    <tableColumn id="2" xr3:uid="{4BFF2848-4504-4418-AD66-87D7AA6AC26E}" name="USD/INR">
      <calculatedColumnFormula xml:space="preserve"> SUMIFS(market_prices!$E:$E,market_prices!$B:$B,$A2,market_prices!$C:$C,B$1)</calculatedColumnFormula>
    </tableColumn>
    <tableColumn id="3" xr3:uid="{BA087D9C-4A98-4E57-BD18-2710165F65D1}" name="EUR/INR">
      <calculatedColumnFormula xml:space="preserve"> SUMIFS(market_prices!$E:$E,market_prices!$B:$B,$A2,market_prices!$C:$C,C$1)</calculatedColumnFormula>
    </tableColumn>
    <tableColumn id="4" xr3:uid="{2104AE84-2EAA-4D49-B6FB-E8F2CF8A4A2C}" name="WTI Crude">
      <calculatedColumnFormula xml:space="preserve"> SUMIFS(market_prices!$E:$E,market_prices!$B:$B,$A2,market_prices!$C:$C,D$1)</calculatedColumnFormula>
    </tableColumn>
    <tableColumn id="8" xr3:uid="{C2AE7FF8-2C27-4CF1-BC6A-9157B266B8B0}" name="USD/INR return" dataDxfId="16">
      <calculatedColumnFormula>B2/B1-1</calculatedColumnFormula>
    </tableColumn>
    <tableColumn id="9" xr3:uid="{C3C41BD0-0123-44B1-8E7D-35C32A411065}" name="EUR/INR return" dataDxfId="15"/>
    <tableColumn id="10" xr3:uid="{E21D7DDA-71DF-42AF-AB1F-9C513BAA632B}" name="WTI return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B5A543-2498-4468-A32C-6F66F1B9CBBD}" name="market_risk" displayName="market_risk" ref="B2:E6" totalsRowShown="0" headerRowDxfId="13">
  <autoFilter ref="B2:E6" xr:uid="{E1B5A543-2498-4468-A32C-6F66F1B9CBBD}"/>
  <tableColumns count="4">
    <tableColumn id="1" xr3:uid="{B9AC01C5-4B04-4CB9-9768-90C9C8778D1A}" name="Metric"/>
    <tableColumn id="2" xr3:uid="{CB93E441-7F4D-4BD9-BD93-A01FFFFD6AF7}" name="USD/INR" dataDxfId="12"/>
    <tableColumn id="3" xr3:uid="{15ECCC54-5EBE-4DDE-96B0-8ADF60FB980F}" name="EUR/INR" dataDxfId="11"/>
    <tableColumn id="4" xr3:uid="{27B34531-5425-4D03-932D-06F5D4E71943}" name="WTI Crude" dataDxfId="1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3EE569-ECE9-4C55-90ED-9EDF04A27F5A}" name="working_capital" displayName="working_capital" ref="B2:J7" totalsRowShown="0" headerRowDxfId="9">
  <autoFilter ref="B2:J7" xr:uid="{333EE569-ECE9-4C55-90ED-9EDF04A27F5A}"/>
  <tableColumns count="9">
    <tableColumn id="1" xr3:uid="{A33F4CAA-A355-4CDB-AAA8-76F2F89538A0}" name="Business Units" dataDxfId="8"/>
    <tableColumn id="2" xr3:uid="{CB4F3A0F-3AAC-43ED-BD15-8BCB10AE519D}" name="Avg Receivables" dataDxfId="7">
      <calculatedColumnFormula>AVERAGEIFS(treasury_monthly!$I:$I,treasury_monthly!$B:$B,$B3)</calculatedColumnFormula>
    </tableColumn>
    <tableColumn id="3" xr3:uid="{4010834F-AB67-4361-B80D-8CD5B1F480FF}" name="Revenue" dataDxfId="6">
      <calculatedColumnFormula>SUMIFS(invoices!$N:$N,invoices!$C:$C,$B3)</calculatedColumnFormula>
    </tableColumn>
    <tableColumn id="4" xr3:uid="{D2014763-4896-4AE6-A36C-676EC3827BB8}" name="Avg inventory" dataDxfId="5">
      <calculatedColumnFormula>AVERAGEIFS(treasury_monthly!$H:$H,treasury_monthly!$B:$B,$B3)</calculatedColumnFormula>
    </tableColumn>
    <tableColumn id="5" xr3:uid="{79DAAAA0-AAF7-4904-A421-FD5D9D4E49CE}" name="Purchases" dataDxfId="4">
      <calculatedColumnFormula>SUMIFS(purchases!$M:$M,purchases!$C:$C,$B3)</calculatedColumnFormula>
    </tableColumn>
    <tableColumn id="6" xr3:uid="{B738D1DB-2927-4041-888F-7F7B1185549F}" name="DSO" dataDxfId="3">
      <calculatedColumnFormula>C3/D3*$C$8</calculatedColumnFormula>
    </tableColumn>
    <tableColumn id="7" xr3:uid="{0BBD50C6-FEC0-40E3-A9B2-465CA14305A6}" name="DIO" dataDxfId="2">
      <calculatedColumnFormula>E3/F3*$C$8</calculatedColumnFormula>
    </tableColumn>
    <tableColumn id="8" xr3:uid="{C9A8B794-8E50-4FD9-BBC3-68099132B14F}" name="DPO" dataDxfId="1">
      <calculatedColumnFormula>AVERAGEIFS(purchases!$N:$N,purchases!$C:$C,$B3)</calculatedColumnFormula>
    </tableColumn>
    <tableColumn id="9" xr3:uid="{B3DD8428-B90C-461C-B242-ADCD41913BB2}" name="CCC" dataDxfId="0">
      <calculatedColumnFormula>G3+H3-I3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28E1-3E2A-451D-B3CD-27BDDAC13941}">
  <dimension ref="A1:F6"/>
  <sheetViews>
    <sheetView workbookViewId="0">
      <selection activeCell="C6" sqref="C6"/>
    </sheetView>
  </sheetViews>
  <sheetFormatPr defaultRowHeight="14.4" x14ac:dyDescent="0.3"/>
  <cols>
    <col min="1" max="1" width="7.77734375" bestFit="1" customWidth="1"/>
    <col min="2" max="2" width="20.5546875" bestFit="1" customWidth="1"/>
    <col min="3" max="3" width="26.88671875" bestFit="1" customWidth="1"/>
    <col min="4" max="4" width="18.6640625" bestFit="1" customWidth="1"/>
    <col min="5" max="5" width="51.77734375" bestFit="1" customWidth="1"/>
    <col min="6" max="6" width="25.44140625" bestFit="1" customWidth="1"/>
  </cols>
  <sheetData>
    <row r="1" spans="1:6" x14ac:dyDescent="0.3">
      <c r="A1" t="s">
        <v>543</v>
      </c>
      <c r="B1" t="s">
        <v>4897</v>
      </c>
      <c r="C1" t="s">
        <v>4898</v>
      </c>
      <c r="D1" t="s">
        <v>4899</v>
      </c>
      <c r="E1" t="s">
        <v>4900</v>
      </c>
      <c r="F1" t="s">
        <v>4901</v>
      </c>
    </row>
    <row r="2" spans="1:6" x14ac:dyDescent="0.3">
      <c r="A2" t="s">
        <v>566</v>
      </c>
      <c r="B2" t="s">
        <v>4902</v>
      </c>
      <c r="C2" t="s">
        <v>4903</v>
      </c>
      <c r="D2">
        <v>0.7</v>
      </c>
      <c r="E2" t="s">
        <v>4904</v>
      </c>
      <c r="F2">
        <v>1365200000</v>
      </c>
    </row>
    <row r="3" spans="1:6" x14ac:dyDescent="0.3">
      <c r="A3" t="s">
        <v>558</v>
      </c>
      <c r="B3" t="s">
        <v>4905</v>
      </c>
      <c r="C3" t="s">
        <v>4906</v>
      </c>
      <c r="D3">
        <v>0.2</v>
      </c>
      <c r="E3" t="s">
        <v>4907</v>
      </c>
      <c r="F3">
        <v>415500000</v>
      </c>
    </row>
    <row r="4" spans="1:6" x14ac:dyDescent="0.3">
      <c r="A4" t="s">
        <v>575</v>
      </c>
      <c r="B4" t="s">
        <v>4908</v>
      </c>
      <c r="C4" t="s">
        <v>4909</v>
      </c>
      <c r="D4">
        <v>0.5</v>
      </c>
      <c r="E4" t="s">
        <v>4910</v>
      </c>
      <c r="F4">
        <v>490600000</v>
      </c>
    </row>
    <row r="5" spans="1:6" x14ac:dyDescent="0.3">
      <c r="A5" t="s">
        <v>554</v>
      </c>
      <c r="B5" t="s">
        <v>4911</v>
      </c>
      <c r="C5" t="s">
        <v>4912</v>
      </c>
      <c r="D5">
        <v>0.5</v>
      </c>
      <c r="E5" t="s">
        <v>4913</v>
      </c>
      <c r="F5">
        <v>617700000</v>
      </c>
    </row>
    <row r="6" spans="1:6" x14ac:dyDescent="0.3">
      <c r="A6" t="s">
        <v>560</v>
      </c>
      <c r="B6" t="s">
        <v>4914</v>
      </c>
      <c r="C6" t="s">
        <v>4915</v>
      </c>
      <c r="D6">
        <v>0.35</v>
      </c>
      <c r="E6" t="s">
        <v>4916</v>
      </c>
      <c r="F6">
        <v>423500000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11F3-34D6-469C-96E3-7D1B0B9C092F}">
  <dimension ref="A1:N120"/>
  <sheetViews>
    <sheetView workbookViewId="0">
      <selection activeCell="I10" sqref="I10"/>
    </sheetView>
  </sheetViews>
  <sheetFormatPr defaultRowHeight="14.4" x14ac:dyDescent="0.3"/>
  <cols>
    <col min="1" max="1" width="12.44140625" bestFit="1" customWidth="1"/>
    <col min="2" max="2" width="7.77734375" bestFit="1" customWidth="1"/>
    <col min="3" max="3" width="12.44140625" bestFit="1" customWidth="1"/>
    <col min="4" max="4" width="14.44140625" bestFit="1" customWidth="1"/>
    <col min="5" max="5" width="13.77734375" bestFit="1" customWidth="1"/>
    <col min="6" max="7" width="14.88671875" bestFit="1" customWidth="1"/>
    <col min="8" max="8" width="10.88671875" bestFit="1" customWidth="1"/>
    <col min="9" max="9" width="18.21875" bestFit="1" customWidth="1"/>
    <col min="10" max="10" width="15.44140625" bestFit="1" customWidth="1"/>
    <col min="11" max="11" width="18.109375" bestFit="1" customWidth="1"/>
    <col min="12" max="12" width="25" bestFit="1" customWidth="1"/>
    <col min="13" max="13" width="20.21875" bestFit="1" customWidth="1"/>
    <col min="14" max="14" width="13.77734375" bestFit="1" customWidth="1"/>
  </cols>
  <sheetData>
    <row r="1" spans="1:14" x14ac:dyDescent="0.3">
      <c r="A1" t="s">
        <v>4765</v>
      </c>
      <c r="B1" t="s">
        <v>543</v>
      </c>
      <c r="C1" t="s">
        <v>4766</v>
      </c>
      <c r="D1" t="s">
        <v>4767</v>
      </c>
      <c r="E1" t="s">
        <v>4768</v>
      </c>
      <c r="F1" t="s">
        <v>4769</v>
      </c>
      <c r="G1" t="s">
        <v>4770</v>
      </c>
      <c r="H1" t="s">
        <v>4771</v>
      </c>
      <c r="I1" t="s">
        <v>4772</v>
      </c>
      <c r="J1" t="s">
        <v>4773</v>
      </c>
      <c r="K1" t="s">
        <v>4774</v>
      </c>
      <c r="L1" t="s">
        <v>4775</v>
      </c>
      <c r="M1" t="s">
        <v>4776</v>
      </c>
      <c r="N1" t="s">
        <v>4777</v>
      </c>
    </row>
    <row r="2" spans="1:14" x14ac:dyDescent="0.3">
      <c r="A2" t="s">
        <v>4778</v>
      </c>
      <c r="B2" t="s">
        <v>566</v>
      </c>
      <c r="C2" s="1">
        <v>45046</v>
      </c>
      <c r="D2">
        <v>182032291</v>
      </c>
      <c r="E2">
        <v>238643650</v>
      </c>
      <c r="F2">
        <v>170652359</v>
      </c>
      <c r="G2">
        <v>-36066175</v>
      </c>
      <c r="H2">
        <v>84227738</v>
      </c>
      <c r="I2">
        <v>378518564</v>
      </c>
      <c r="J2">
        <v>676703709</v>
      </c>
      <c r="K2">
        <v>445917720</v>
      </c>
      <c r="L2">
        <v>288734020</v>
      </c>
      <c r="M2">
        <v>1279953499</v>
      </c>
      <c r="N2">
        <v>213957407</v>
      </c>
    </row>
    <row r="3" spans="1:14" x14ac:dyDescent="0.3">
      <c r="A3" t="s">
        <v>4779</v>
      </c>
      <c r="B3" t="s">
        <v>566</v>
      </c>
      <c r="C3" s="1">
        <v>45077</v>
      </c>
      <c r="D3">
        <v>213957407</v>
      </c>
      <c r="E3">
        <v>185489721</v>
      </c>
      <c r="F3">
        <v>161087598</v>
      </c>
      <c r="G3">
        <v>0</v>
      </c>
      <c r="H3">
        <v>231339937</v>
      </c>
      <c r="I3">
        <v>491629258</v>
      </c>
      <c r="J3">
        <v>961328725</v>
      </c>
      <c r="K3">
        <v>514388812</v>
      </c>
      <c r="L3">
        <v>288760805</v>
      </c>
      <c r="M3">
        <v>1279953499</v>
      </c>
      <c r="N3">
        <v>238359530</v>
      </c>
    </row>
    <row r="4" spans="1:14" x14ac:dyDescent="0.3">
      <c r="A4" t="s">
        <v>4780</v>
      </c>
      <c r="B4" t="s">
        <v>566</v>
      </c>
      <c r="C4" s="1">
        <v>45107</v>
      </c>
      <c r="D4">
        <v>238359530</v>
      </c>
      <c r="E4">
        <v>200846909</v>
      </c>
      <c r="F4">
        <v>284933671</v>
      </c>
      <c r="G4">
        <v>0</v>
      </c>
      <c r="H4">
        <v>215563578</v>
      </c>
      <c r="I4">
        <v>634911689</v>
      </c>
      <c r="J4">
        <v>1004748035</v>
      </c>
      <c r="K4">
        <v>434572250</v>
      </c>
      <c r="L4">
        <v>283318475</v>
      </c>
      <c r="M4">
        <v>1279953499</v>
      </c>
      <c r="N4">
        <v>154272768</v>
      </c>
    </row>
    <row r="5" spans="1:14" x14ac:dyDescent="0.3">
      <c r="A5" t="s">
        <v>4781</v>
      </c>
      <c r="B5" t="s">
        <v>566</v>
      </c>
      <c r="C5" s="1">
        <v>45138</v>
      </c>
      <c r="D5">
        <v>154272767</v>
      </c>
      <c r="E5">
        <v>360628017</v>
      </c>
      <c r="F5">
        <v>204497681</v>
      </c>
      <c r="G5">
        <v>-58501607</v>
      </c>
      <c r="H5">
        <v>205132507</v>
      </c>
      <c r="I5">
        <v>542033922</v>
      </c>
      <c r="J5">
        <v>999067925</v>
      </c>
      <c r="K5">
        <v>466334652</v>
      </c>
      <c r="L5">
        <v>268045049</v>
      </c>
      <c r="M5">
        <v>1338455106</v>
      </c>
      <c r="N5">
        <v>251901496</v>
      </c>
    </row>
    <row r="6" spans="1:14" x14ac:dyDescent="0.3">
      <c r="A6" t="s">
        <v>4782</v>
      </c>
      <c r="B6" t="s">
        <v>566</v>
      </c>
      <c r="C6" s="1">
        <v>45169</v>
      </c>
      <c r="D6">
        <v>251901496</v>
      </c>
      <c r="E6">
        <v>274644386</v>
      </c>
      <c r="F6">
        <v>270867867</v>
      </c>
      <c r="G6">
        <v>-26787079</v>
      </c>
      <c r="H6">
        <v>188177282</v>
      </c>
      <c r="I6">
        <v>538222910</v>
      </c>
      <c r="J6">
        <v>955291127</v>
      </c>
      <c r="K6">
        <v>443487246</v>
      </c>
      <c r="L6">
        <v>262533701</v>
      </c>
      <c r="M6">
        <v>1365242185</v>
      </c>
      <c r="N6">
        <v>228890936</v>
      </c>
    </row>
    <row r="7" spans="1:14" x14ac:dyDescent="0.3">
      <c r="A7" t="s">
        <v>4783</v>
      </c>
      <c r="B7" t="s">
        <v>566</v>
      </c>
      <c r="C7" s="1">
        <v>45199</v>
      </c>
      <c r="D7">
        <v>228890935</v>
      </c>
      <c r="E7">
        <v>271117290</v>
      </c>
      <c r="F7">
        <v>294679437</v>
      </c>
      <c r="G7">
        <v>0</v>
      </c>
      <c r="H7">
        <v>247800017</v>
      </c>
      <c r="I7">
        <v>664459943</v>
      </c>
      <c r="J7">
        <v>1117588747</v>
      </c>
      <c r="K7">
        <v>443487246</v>
      </c>
      <c r="L7">
        <v>270586020</v>
      </c>
      <c r="M7">
        <v>1365242185</v>
      </c>
      <c r="N7">
        <v>205328788</v>
      </c>
    </row>
    <row r="8" spans="1:14" x14ac:dyDescent="0.3">
      <c r="A8" t="s">
        <v>4784</v>
      </c>
      <c r="B8" t="s">
        <v>566</v>
      </c>
      <c r="C8" s="1">
        <v>45230</v>
      </c>
      <c r="D8">
        <v>205328788</v>
      </c>
      <c r="E8">
        <v>246902321</v>
      </c>
      <c r="F8">
        <v>269308254</v>
      </c>
      <c r="G8">
        <v>0</v>
      </c>
      <c r="H8">
        <v>335048380</v>
      </c>
      <c r="I8">
        <v>836023271</v>
      </c>
      <c r="J8">
        <v>1353994507</v>
      </c>
      <c r="K8">
        <v>528666336</v>
      </c>
      <c r="L8">
        <v>278172810</v>
      </c>
      <c r="M8">
        <v>1365242185</v>
      </c>
      <c r="N8">
        <v>182922855</v>
      </c>
    </row>
    <row r="9" spans="1:14" x14ac:dyDescent="0.3">
      <c r="A9" t="s">
        <v>4785</v>
      </c>
      <c r="B9" t="s">
        <v>566</v>
      </c>
      <c r="C9" s="1">
        <v>45260</v>
      </c>
      <c r="D9">
        <v>182922856</v>
      </c>
      <c r="E9">
        <v>462805637</v>
      </c>
      <c r="F9">
        <v>324941577</v>
      </c>
      <c r="G9">
        <v>0</v>
      </c>
      <c r="H9">
        <v>316793730</v>
      </c>
      <c r="I9">
        <v>815137342</v>
      </c>
      <c r="J9">
        <v>1452717989</v>
      </c>
      <c r="K9">
        <v>498479231</v>
      </c>
      <c r="L9">
        <v>251706801</v>
      </c>
      <c r="M9">
        <v>1365242185</v>
      </c>
      <c r="N9">
        <v>320786916</v>
      </c>
    </row>
    <row r="10" spans="1:14" x14ac:dyDescent="0.3">
      <c r="A10" t="s">
        <v>4786</v>
      </c>
      <c r="B10" t="s">
        <v>566</v>
      </c>
      <c r="C10" s="1">
        <v>45291</v>
      </c>
      <c r="D10">
        <v>320786916</v>
      </c>
      <c r="E10">
        <v>455156070</v>
      </c>
      <c r="F10">
        <v>346519095</v>
      </c>
      <c r="G10">
        <v>0</v>
      </c>
      <c r="H10">
        <v>312042736</v>
      </c>
      <c r="I10">
        <v>830479857</v>
      </c>
      <c r="J10">
        <v>1571946484</v>
      </c>
      <c r="K10">
        <v>515698065</v>
      </c>
      <c r="L10">
        <v>265310450</v>
      </c>
      <c r="M10">
        <v>1365242185</v>
      </c>
      <c r="N10">
        <v>429423891</v>
      </c>
    </row>
    <row r="11" spans="1:14" x14ac:dyDescent="0.3">
      <c r="A11" t="s">
        <v>4787</v>
      </c>
      <c r="B11" t="s">
        <v>566</v>
      </c>
      <c r="C11" s="1">
        <v>45322</v>
      </c>
      <c r="D11">
        <v>429423891</v>
      </c>
      <c r="E11">
        <v>240600243</v>
      </c>
      <c r="F11">
        <v>327635934</v>
      </c>
      <c r="G11">
        <v>0</v>
      </c>
      <c r="H11">
        <v>309616686</v>
      </c>
      <c r="I11">
        <v>835631745</v>
      </c>
      <c r="J11">
        <v>1487636632</v>
      </c>
      <c r="K11">
        <v>515698065</v>
      </c>
      <c r="L11">
        <v>308850927</v>
      </c>
      <c r="M11">
        <v>1365242185</v>
      </c>
      <c r="N11">
        <v>342388200</v>
      </c>
    </row>
    <row r="12" spans="1:14" x14ac:dyDescent="0.3">
      <c r="A12" t="s">
        <v>4788</v>
      </c>
      <c r="B12" t="s">
        <v>566</v>
      </c>
      <c r="C12" s="1">
        <v>45351</v>
      </c>
      <c r="D12">
        <v>342388200</v>
      </c>
      <c r="E12">
        <v>331910708</v>
      </c>
      <c r="F12">
        <v>336108391</v>
      </c>
      <c r="G12">
        <v>0</v>
      </c>
      <c r="H12">
        <v>304121503</v>
      </c>
      <c r="I12">
        <v>1049972322</v>
      </c>
      <c r="J12">
        <v>1692284343</v>
      </c>
      <c r="K12">
        <v>481283712</v>
      </c>
      <c r="L12">
        <v>270939498</v>
      </c>
      <c r="M12">
        <v>1365242185</v>
      </c>
      <c r="N12">
        <v>338190517</v>
      </c>
    </row>
    <row r="13" spans="1:14" x14ac:dyDescent="0.3">
      <c r="A13" t="s">
        <v>4789</v>
      </c>
      <c r="B13" t="s">
        <v>566</v>
      </c>
      <c r="C13" s="1">
        <v>45382</v>
      </c>
      <c r="D13">
        <v>338190517</v>
      </c>
      <c r="E13">
        <v>344175936</v>
      </c>
      <c r="F13">
        <v>383157775</v>
      </c>
      <c r="G13">
        <v>0</v>
      </c>
      <c r="H13">
        <v>282207782</v>
      </c>
      <c r="I13">
        <v>1215148322</v>
      </c>
      <c r="J13">
        <v>1796564782</v>
      </c>
      <c r="K13">
        <v>629308980</v>
      </c>
      <c r="L13">
        <v>395728390</v>
      </c>
      <c r="M13">
        <v>1365242185</v>
      </c>
      <c r="N13">
        <v>299208678</v>
      </c>
    </row>
    <row r="14" spans="1:14" x14ac:dyDescent="0.3">
      <c r="A14" t="s">
        <v>4790</v>
      </c>
      <c r="B14" t="s">
        <v>566</v>
      </c>
      <c r="C14" s="1">
        <v>45412</v>
      </c>
      <c r="D14">
        <v>299208678</v>
      </c>
      <c r="E14">
        <v>443133391</v>
      </c>
      <c r="F14">
        <v>316708819</v>
      </c>
      <c r="G14">
        <v>0</v>
      </c>
      <c r="H14">
        <v>330034250</v>
      </c>
      <c r="I14">
        <v>1046223122</v>
      </c>
      <c r="J14">
        <v>1801890622</v>
      </c>
      <c r="K14">
        <v>569951617</v>
      </c>
      <c r="L14">
        <v>283764798</v>
      </c>
      <c r="M14">
        <v>1365242185</v>
      </c>
      <c r="N14">
        <v>425633250</v>
      </c>
    </row>
    <row r="15" spans="1:14" x14ac:dyDescent="0.3">
      <c r="A15" t="s">
        <v>4791</v>
      </c>
      <c r="B15" t="s">
        <v>566</v>
      </c>
      <c r="C15" s="1">
        <v>45443</v>
      </c>
      <c r="D15">
        <v>425633250</v>
      </c>
      <c r="E15">
        <v>478278560</v>
      </c>
      <c r="F15">
        <v>323464876</v>
      </c>
      <c r="G15">
        <v>0</v>
      </c>
      <c r="H15">
        <v>322009024</v>
      </c>
      <c r="I15">
        <v>928074648</v>
      </c>
      <c r="J15">
        <v>1830530606</v>
      </c>
      <c r="K15">
        <v>591122984</v>
      </c>
      <c r="L15">
        <v>285784116</v>
      </c>
      <c r="M15">
        <v>1365242185</v>
      </c>
      <c r="N15">
        <v>580446934</v>
      </c>
    </row>
    <row r="16" spans="1:14" x14ac:dyDescent="0.3">
      <c r="A16" t="s">
        <v>4792</v>
      </c>
      <c r="B16" t="s">
        <v>566</v>
      </c>
      <c r="C16" s="1">
        <v>45473</v>
      </c>
      <c r="D16">
        <v>580446934</v>
      </c>
      <c r="E16">
        <v>398976360</v>
      </c>
      <c r="F16">
        <v>387091406</v>
      </c>
      <c r="G16">
        <v>0</v>
      </c>
      <c r="H16">
        <v>217731580</v>
      </c>
      <c r="I16">
        <v>883539950</v>
      </c>
      <c r="J16">
        <v>1693603416</v>
      </c>
      <c r="K16">
        <v>591122984</v>
      </c>
      <c r="L16">
        <v>270852700</v>
      </c>
      <c r="M16">
        <v>1365242185</v>
      </c>
      <c r="N16">
        <v>592331888</v>
      </c>
    </row>
    <row r="17" spans="1:14" x14ac:dyDescent="0.3">
      <c r="A17" t="s">
        <v>4793</v>
      </c>
      <c r="B17" t="s">
        <v>566</v>
      </c>
      <c r="C17" s="1">
        <v>45504</v>
      </c>
      <c r="D17">
        <v>592331887</v>
      </c>
      <c r="E17">
        <v>257961711</v>
      </c>
      <c r="F17">
        <v>315264249</v>
      </c>
      <c r="G17">
        <v>0</v>
      </c>
      <c r="H17">
        <v>296169638</v>
      </c>
      <c r="I17">
        <v>946219031</v>
      </c>
      <c r="J17">
        <v>1777418018</v>
      </c>
      <c r="K17">
        <v>555547117</v>
      </c>
      <c r="L17">
        <v>257295215</v>
      </c>
      <c r="M17">
        <v>1365242185</v>
      </c>
      <c r="N17">
        <v>535029349</v>
      </c>
    </row>
    <row r="18" spans="1:14" x14ac:dyDescent="0.3">
      <c r="A18" t="s">
        <v>4794</v>
      </c>
      <c r="B18" t="s">
        <v>566</v>
      </c>
      <c r="C18" s="1">
        <v>45535</v>
      </c>
      <c r="D18">
        <v>535029350</v>
      </c>
      <c r="E18">
        <v>283343006</v>
      </c>
      <c r="F18">
        <v>359635327</v>
      </c>
      <c r="G18">
        <v>0</v>
      </c>
      <c r="H18">
        <v>285012624</v>
      </c>
      <c r="I18">
        <v>993325497</v>
      </c>
      <c r="J18">
        <v>1737075150</v>
      </c>
      <c r="K18">
        <v>474708770</v>
      </c>
      <c r="L18">
        <v>261857612</v>
      </c>
      <c r="M18">
        <v>1365242185</v>
      </c>
      <c r="N18">
        <v>458737029</v>
      </c>
    </row>
    <row r="19" spans="1:14" x14ac:dyDescent="0.3">
      <c r="A19" t="s">
        <v>4795</v>
      </c>
      <c r="B19" t="s">
        <v>566</v>
      </c>
      <c r="C19" s="1">
        <v>45565</v>
      </c>
      <c r="D19">
        <v>458737028</v>
      </c>
      <c r="E19">
        <v>400397009</v>
      </c>
      <c r="F19">
        <v>311592902</v>
      </c>
      <c r="G19">
        <v>0</v>
      </c>
      <c r="H19">
        <v>243762909</v>
      </c>
      <c r="I19">
        <v>913471125</v>
      </c>
      <c r="J19">
        <v>1704775169</v>
      </c>
      <c r="K19">
        <v>517145896</v>
      </c>
      <c r="L19">
        <v>290291912</v>
      </c>
      <c r="M19">
        <v>1365242185</v>
      </c>
      <c r="N19">
        <v>547541135</v>
      </c>
    </row>
    <row r="20" spans="1:14" x14ac:dyDescent="0.3">
      <c r="A20" t="s">
        <v>4796</v>
      </c>
      <c r="B20" t="s">
        <v>566</v>
      </c>
      <c r="C20" s="1">
        <v>45596</v>
      </c>
      <c r="D20">
        <v>547541135</v>
      </c>
      <c r="E20">
        <v>345310787</v>
      </c>
      <c r="F20">
        <v>282594742</v>
      </c>
      <c r="G20">
        <v>0</v>
      </c>
      <c r="H20">
        <v>258948776</v>
      </c>
      <c r="I20">
        <v>947938586</v>
      </c>
      <c r="J20">
        <v>1817144542</v>
      </c>
      <c r="K20">
        <v>498927819</v>
      </c>
      <c r="L20">
        <v>276237281</v>
      </c>
      <c r="M20">
        <v>1365242185</v>
      </c>
      <c r="N20">
        <v>610257180</v>
      </c>
    </row>
    <row r="21" spans="1:14" x14ac:dyDescent="0.3">
      <c r="A21" t="s">
        <v>4797</v>
      </c>
      <c r="B21" t="s">
        <v>566</v>
      </c>
      <c r="C21" s="1">
        <v>45626</v>
      </c>
      <c r="D21">
        <v>610257180</v>
      </c>
      <c r="E21">
        <v>302806080</v>
      </c>
      <c r="F21">
        <v>305634218</v>
      </c>
      <c r="G21">
        <v>0</v>
      </c>
      <c r="H21">
        <v>259793376</v>
      </c>
      <c r="I21">
        <v>973104892</v>
      </c>
      <c r="J21">
        <v>1840327311</v>
      </c>
      <c r="K21">
        <v>533589022</v>
      </c>
      <c r="L21">
        <v>274322363</v>
      </c>
      <c r="M21">
        <v>1365242185</v>
      </c>
      <c r="N21">
        <v>607429042</v>
      </c>
    </row>
    <row r="22" spans="1:14" x14ac:dyDescent="0.3">
      <c r="A22" t="s">
        <v>4798</v>
      </c>
      <c r="B22" t="s">
        <v>566</v>
      </c>
      <c r="C22" s="1">
        <v>45657</v>
      </c>
      <c r="D22">
        <v>607429043</v>
      </c>
      <c r="E22">
        <v>371798709</v>
      </c>
      <c r="F22">
        <v>345540705</v>
      </c>
      <c r="G22">
        <v>0</v>
      </c>
      <c r="H22">
        <v>323118947</v>
      </c>
      <c r="I22">
        <v>1046430998</v>
      </c>
      <c r="J22">
        <v>2003236990</v>
      </c>
      <c r="K22">
        <v>526128289</v>
      </c>
      <c r="L22">
        <v>258954616</v>
      </c>
      <c r="M22">
        <v>1365242185</v>
      </c>
      <c r="N22">
        <v>633687047</v>
      </c>
    </row>
    <row r="23" spans="1:14" x14ac:dyDescent="0.3">
      <c r="A23" t="s">
        <v>4799</v>
      </c>
      <c r="B23" t="s">
        <v>566</v>
      </c>
      <c r="C23" s="1">
        <v>45688</v>
      </c>
      <c r="D23">
        <v>633687046</v>
      </c>
      <c r="E23">
        <v>379159976</v>
      </c>
      <c r="F23">
        <v>357674505</v>
      </c>
      <c r="G23">
        <v>0</v>
      </c>
      <c r="H23">
        <v>275816994</v>
      </c>
      <c r="I23">
        <v>1064537772</v>
      </c>
      <c r="J23">
        <v>1995527282</v>
      </c>
      <c r="K23">
        <v>501170952</v>
      </c>
      <c r="L23">
        <v>274893627</v>
      </c>
      <c r="M23">
        <v>1365242185</v>
      </c>
      <c r="N23">
        <v>655172517</v>
      </c>
    </row>
    <row r="24" spans="1:14" x14ac:dyDescent="0.3">
      <c r="A24" t="s">
        <v>4800</v>
      </c>
      <c r="B24" t="s">
        <v>566</v>
      </c>
      <c r="C24" s="1">
        <v>45716</v>
      </c>
      <c r="D24">
        <v>655172517</v>
      </c>
      <c r="E24">
        <v>392572002</v>
      </c>
      <c r="F24">
        <v>279715997</v>
      </c>
      <c r="G24">
        <v>0</v>
      </c>
      <c r="H24">
        <v>277908986</v>
      </c>
      <c r="I24">
        <v>924651601</v>
      </c>
      <c r="J24">
        <v>1970589108</v>
      </c>
      <c r="K24">
        <v>552471588</v>
      </c>
      <c r="L24">
        <v>297380756</v>
      </c>
      <c r="M24">
        <v>1365242185</v>
      </c>
      <c r="N24">
        <v>768028522</v>
      </c>
    </row>
    <row r="25" spans="1:14" x14ac:dyDescent="0.3">
      <c r="A25" t="s">
        <v>4801</v>
      </c>
      <c r="B25" t="s">
        <v>566</v>
      </c>
      <c r="C25" s="1">
        <v>45747</v>
      </c>
      <c r="D25">
        <v>768028522</v>
      </c>
      <c r="E25">
        <v>401501341</v>
      </c>
      <c r="F25">
        <v>373946769</v>
      </c>
      <c r="G25">
        <v>0</v>
      </c>
      <c r="H25">
        <v>331926025</v>
      </c>
      <c r="I25">
        <v>972051452</v>
      </c>
      <c r="J25">
        <v>2099560572</v>
      </c>
      <c r="K25">
        <v>644552209</v>
      </c>
      <c r="L25">
        <v>376340206</v>
      </c>
      <c r="M25">
        <v>1365242185</v>
      </c>
      <c r="N25">
        <v>795583094</v>
      </c>
    </row>
    <row r="26" spans="1:14" x14ac:dyDescent="0.3">
      <c r="A26" t="s">
        <v>4802</v>
      </c>
      <c r="B26" t="s">
        <v>558</v>
      </c>
      <c r="C26" s="1">
        <v>45046</v>
      </c>
      <c r="D26">
        <v>95875147</v>
      </c>
      <c r="E26">
        <v>123847378</v>
      </c>
      <c r="F26">
        <v>93048066</v>
      </c>
      <c r="G26">
        <v>0</v>
      </c>
      <c r="H26">
        <v>180664462</v>
      </c>
      <c r="I26">
        <v>257287158</v>
      </c>
      <c r="J26">
        <v>564626079</v>
      </c>
      <c r="K26">
        <v>426611251</v>
      </c>
      <c r="L26">
        <v>207014166</v>
      </c>
      <c r="M26">
        <v>255667059</v>
      </c>
      <c r="N26">
        <v>126674459</v>
      </c>
    </row>
    <row r="27" spans="1:14" x14ac:dyDescent="0.3">
      <c r="A27" t="s">
        <v>4803</v>
      </c>
      <c r="B27" t="s">
        <v>558</v>
      </c>
      <c r="C27" s="1">
        <v>45077</v>
      </c>
      <c r="D27">
        <v>126674459</v>
      </c>
      <c r="E27">
        <v>81390675</v>
      </c>
      <c r="F27">
        <v>102246449</v>
      </c>
      <c r="G27">
        <v>0</v>
      </c>
      <c r="H27">
        <v>280260226</v>
      </c>
      <c r="I27">
        <v>329666622</v>
      </c>
      <c r="J27">
        <v>715745533</v>
      </c>
      <c r="K27">
        <v>432968221</v>
      </c>
      <c r="L27">
        <v>203627405</v>
      </c>
      <c r="M27">
        <v>255667059</v>
      </c>
      <c r="N27">
        <v>105818685</v>
      </c>
    </row>
    <row r="28" spans="1:14" x14ac:dyDescent="0.3">
      <c r="A28" t="s">
        <v>4804</v>
      </c>
      <c r="B28" t="s">
        <v>558</v>
      </c>
      <c r="C28" s="1">
        <v>45107</v>
      </c>
      <c r="D28">
        <v>105818685</v>
      </c>
      <c r="E28">
        <v>113258142</v>
      </c>
      <c r="F28">
        <v>226539117</v>
      </c>
      <c r="G28">
        <v>79789075</v>
      </c>
      <c r="H28">
        <v>225097410</v>
      </c>
      <c r="I28">
        <v>399773704</v>
      </c>
      <c r="J28">
        <v>697197898</v>
      </c>
      <c r="K28">
        <v>413369452</v>
      </c>
      <c r="L28">
        <v>229403244</v>
      </c>
      <c r="M28">
        <v>175877984</v>
      </c>
      <c r="N28">
        <v>72326785</v>
      </c>
    </row>
    <row r="29" spans="1:14" x14ac:dyDescent="0.3">
      <c r="A29" t="s">
        <v>4805</v>
      </c>
      <c r="B29" t="s">
        <v>558</v>
      </c>
      <c r="C29" s="1">
        <v>45138</v>
      </c>
      <c r="D29">
        <v>72326784</v>
      </c>
      <c r="E29">
        <v>119263976</v>
      </c>
      <c r="F29">
        <v>178456591</v>
      </c>
      <c r="G29">
        <v>68403920</v>
      </c>
      <c r="H29">
        <v>282982645</v>
      </c>
      <c r="I29">
        <v>417480522</v>
      </c>
      <c r="J29">
        <v>782001256</v>
      </c>
      <c r="K29">
        <v>417073750</v>
      </c>
      <c r="L29">
        <v>251440120</v>
      </c>
      <c r="M29">
        <v>107474065</v>
      </c>
      <c r="N29">
        <v>81538089</v>
      </c>
    </row>
    <row r="30" spans="1:14" x14ac:dyDescent="0.3">
      <c r="A30" t="s">
        <v>4806</v>
      </c>
      <c r="B30" t="s">
        <v>558</v>
      </c>
      <c r="C30" s="1">
        <v>45169</v>
      </c>
      <c r="D30">
        <v>81538089</v>
      </c>
      <c r="E30">
        <v>206014504</v>
      </c>
      <c r="F30">
        <v>130238438</v>
      </c>
      <c r="G30">
        <v>-35839498</v>
      </c>
      <c r="H30">
        <v>191819478</v>
      </c>
      <c r="I30">
        <v>392259047</v>
      </c>
      <c r="J30">
        <v>705553182</v>
      </c>
      <c r="K30">
        <v>420908541</v>
      </c>
      <c r="L30">
        <v>250409744</v>
      </c>
      <c r="M30">
        <v>143313563</v>
      </c>
      <c r="N30">
        <v>121474657</v>
      </c>
    </row>
    <row r="31" spans="1:14" x14ac:dyDescent="0.3">
      <c r="A31" t="s">
        <v>4807</v>
      </c>
      <c r="B31" t="s">
        <v>558</v>
      </c>
      <c r="C31" s="1">
        <v>45199</v>
      </c>
      <c r="D31">
        <v>121474657</v>
      </c>
      <c r="E31">
        <v>125010703</v>
      </c>
      <c r="F31">
        <v>195296609</v>
      </c>
      <c r="G31">
        <v>19532848</v>
      </c>
      <c r="H31">
        <v>183233435</v>
      </c>
      <c r="I31">
        <v>357489763</v>
      </c>
      <c r="J31">
        <v>611444796</v>
      </c>
      <c r="K31">
        <v>448103473</v>
      </c>
      <c r="L31">
        <v>328773875</v>
      </c>
      <c r="M31">
        <v>123780715</v>
      </c>
      <c r="N31">
        <v>70721599</v>
      </c>
    </row>
    <row r="32" spans="1:14" x14ac:dyDescent="0.3">
      <c r="A32" t="s">
        <v>4808</v>
      </c>
      <c r="B32" t="s">
        <v>558</v>
      </c>
      <c r="C32" s="1">
        <v>45230</v>
      </c>
      <c r="D32">
        <v>70721598</v>
      </c>
      <c r="E32">
        <v>177813400</v>
      </c>
      <c r="F32">
        <v>146317587</v>
      </c>
      <c r="G32">
        <v>-9270698</v>
      </c>
      <c r="H32">
        <v>265989895</v>
      </c>
      <c r="I32">
        <v>403253669</v>
      </c>
      <c r="J32">
        <v>762190277</v>
      </c>
      <c r="K32">
        <v>533235139</v>
      </c>
      <c r="L32">
        <v>332938195</v>
      </c>
      <c r="M32">
        <v>133051413</v>
      </c>
      <c r="N32">
        <v>92946713</v>
      </c>
    </row>
    <row r="33" spans="1:14" x14ac:dyDescent="0.3">
      <c r="A33" t="s">
        <v>4809</v>
      </c>
      <c r="B33" t="s">
        <v>558</v>
      </c>
      <c r="C33" s="1">
        <v>45260</v>
      </c>
      <c r="D33">
        <v>92946713</v>
      </c>
      <c r="E33">
        <v>114359704</v>
      </c>
      <c r="F33">
        <v>196499177</v>
      </c>
      <c r="G33">
        <v>66210546</v>
      </c>
      <c r="H33">
        <v>219104361</v>
      </c>
      <c r="I33">
        <v>512233277</v>
      </c>
      <c r="J33">
        <v>808355425</v>
      </c>
      <c r="K33">
        <v>378333699</v>
      </c>
      <c r="L33">
        <v>261390039</v>
      </c>
      <c r="M33">
        <v>66840868</v>
      </c>
      <c r="N33">
        <v>77017786</v>
      </c>
    </row>
    <row r="34" spans="1:14" x14ac:dyDescent="0.3">
      <c r="A34" t="s">
        <v>4810</v>
      </c>
      <c r="B34" t="s">
        <v>558</v>
      </c>
      <c r="C34" s="1">
        <v>45291</v>
      </c>
      <c r="D34">
        <v>77017786</v>
      </c>
      <c r="E34">
        <v>232408267</v>
      </c>
      <c r="F34">
        <v>108697784</v>
      </c>
      <c r="G34">
        <v>-80368162</v>
      </c>
      <c r="H34">
        <v>159482258</v>
      </c>
      <c r="I34">
        <v>485344037</v>
      </c>
      <c r="J34">
        <v>765186402</v>
      </c>
      <c r="K34">
        <v>390151058</v>
      </c>
      <c r="L34">
        <v>231306473</v>
      </c>
      <c r="M34">
        <v>147209030</v>
      </c>
      <c r="N34">
        <v>120360107</v>
      </c>
    </row>
    <row r="35" spans="1:14" x14ac:dyDescent="0.3">
      <c r="A35" t="s">
        <v>4811</v>
      </c>
      <c r="B35" t="s">
        <v>558</v>
      </c>
      <c r="C35" s="1">
        <v>45322</v>
      </c>
      <c r="D35">
        <v>120360107</v>
      </c>
      <c r="E35">
        <v>114383175</v>
      </c>
      <c r="F35">
        <v>136071551</v>
      </c>
      <c r="G35">
        <v>-2290008</v>
      </c>
      <c r="H35">
        <v>198231033</v>
      </c>
      <c r="I35">
        <v>578401920</v>
      </c>
      <c r="J35">
        <v>873014675</v>
      </c>
      <c r="K35">
        <v>413398296</v>
      </c>
      <c r="L35">
        <v>235407080</v>
      </c>
      <c r="M35">
        <v>149499038</v>
      </c>
      <c r="N35">
        <v>96381723</v>
      </c>
    </row>
    <row r="36" spans="1:14" x14ac:dyDescent="0.3">
      <c r="A36" t="s">
        <v>4812</v>
      </c>
      <c r="B36" t="s">
        <v>558</v>
      </c>
      <c r="C36" s="1">
        <v>45351</v>
      </c>
      <c r="D36">
        <v>96381723</v>
      </c>
      <c r="E36">
        <v>271056931</v>
      </c>
      <c r="F36">
        <v>170386163</v>
      </c>
      <c r="G36">
        <v>-83167107</v>
      </c>
      <c r="H36">
        <v>188131802</v>
      </c>
      <c r="I36">
        <v>424176095</v>
      </c>
      <c r="J36">
        <v>726193280</v>
      </c>
      <c r="K36">
        <v>357653775</v>
      </c>
      <c r="L36">
        <v>201268096</v>
      </c>
      <c r="M36">
        <v>232666146</v>
      </c>
      <c r="N36">
        <v>113885384</v>
      </c>
    </row>
    <row r="37" spans="1:14" x14ac:dyDescent="0.3">
      <c r="A37" t="s">
        <v>4813</v>
      </c>
      <c r="B37" t="s">
        <v>558</v>
      </c>
      <c r="C37" s="1">
        <v>45382</v>
      </c>
      <c r="D37">
        <v>113885383</v>
      </c>
      <c r="E37">
        <v>158574804</v>
      </c>
      <c r="F37">
        <v>178377203</v>
      </c>
      <c r="G37">
        <v>0</v>
      </c>
      <c r="H37">
        <v>200460604</v>
      </c>
      <c r="I37">
        <v>527074742</v>
      </c>
      <c r="J37">
        <v>821618330</v>
      </c>
      <c r="K37">
        <v>357302490</v>
      </c>
      <c r="L37">
        <v>214280523</v>
      </c>
      <c r="M37">
        <v>232666146</v>
      </c>
      <c r="N37">
        <v>94082984</v>
      </c>
    </row>
    <row r="38" spans="1:14" x14ac:dyDescent="0.3">
      <c r="A38" t="s">
        <v>4814</v>
      </c>
      <c r="B38" t="s">
        <v>558</v>
      </c>
      <c r="C38" s="1">
        <v>45412</v>
      </c>
      <c r="D38">
        <v>94082984</v>
      </c>
      <c r="E38">
        <v>103867811</v>
      </c>
      <c r="F38">
        <v>121668676</v>
      </c>
      <c r="G38">
        <v>0</v>
      </c>
      <c r="H38">
        <v>248842020</v>
      </c>
      <c r="I38">
        <v>588857200</v>
      </c>
      <c r="J38">
        <v>913981338</v>
      </c>
      <c r="K38">
        <v>427766714</v>
      </c>
      <c r="L38">
        <v>217823997</v>
      </c>
      <c r="M38">
        <v>232666146</v>
      </c>
      <c r="N38">
        <v>76282119</v>
      </c>
    </row>
    <row r="39" spans="1:14" x14ac:dyDescent="0.3">
      <c r="A39" t="s">
        <v>4815</v>
      </c>
      <c r="B39" t="s">
        <v>558</v>
      </c>
      <c r="C39" s="1">
        <v>45443</v>
      </c>
      <c r="D39">
        <v>76282118</v>
      </c>
      <c r="E39">
        <v>284822065</v>
      </c>
      <c r="F39">
        <v>175824840</v>
      </c>
      <c r="G39">
        <v>-93252424</v>
      </c>
      <c r="H39">
        <v>295141537</v>
      </c>
      <c r="I39">
        <v>503636198</v>
      </c>
      <c r="J39">
        <v>890804654</v>
      </c>
      <c r="K39">
        <v>414569839</v>
      </c>
      <c r="L39">
        <v>189669302</v>
      </c>
      <c r="M39">
        <v>325918570</v>
      </c>
      <c r="N39">
        <v>92026919</v>
      </c>
    </row>
    <row r="40" spans="1:14" x14ac:dyDescent="0.3">
      <c r="A40" t="s">
        <v>4816</v>
      </c>
      <c r="B40" t="s">
        <v>558</v>
      </c>
      <c r="C40" s="1">
        <v>45473</v>
      </c>
      <c r="D40">
        <v>92026919</v>
      </c>
      <c r="E40">
        <v>157790061</v>
      </c>
      <c r="F40">
        <v>194143048</v>
      </c>
      <c r="G40">
        <v>16591378</v>
      </c>
      <c r="H40">
        <v>280853009</v>
      </c>
      <c r="I40">
        <v>601936725</v>
      </c>
      <c r="J40">
        <v>955055043</v>
      </c>
      <c r="K40">
        <v>431497060</v>
      </c>
      <c r="L40">
        <v>197625673</v>
      </c>
      <c r="M40">
        <v>309327192</v>
      </c>
      <c r="N40">
        <v>72265310</v>
      </c>
    </row>
    <row r="41" spans="1:14" x14ac:dyDescent="0.3">
      <c r="A41" t="s">
        <v>4817</v>
      </c>
      <c r="B41" t="s">
        <v>558</v>
      </c>
      <c r="C41" s="1">
        <v>45504</v>
      </c>
      <c r="D41">
        <v>72265310</v>
      </c>
      <c r="E41">
        <v>190102180</v>
      </c>
      <c r="F41">
        <v>213602601</v>
      </c>
      <c r="G41">
        <v>31889573</v>
      </c>
      <c r="H41">
        <v>325493550</v>
      </c>
      <c r="I41">
        <v>608581533</v>
      </c>
      <c r="J41">
        <v>1014729545</v>
      </c>
      <c r="K41">
        <v>449439767</v>
      </c>
      <c r="L41">
        <v>202228876</v>
      </c>
      <c r="M41">
        <v>277437619</v>
      </c>
      <c r="N41">
        <v>80654462</v>
      </c>
    </row>
    <row r="42" spans="1:14" x14ac:dyDescent="0.3">
      <c r="A42" t="s">
        <v>4818</v>
      </c>
      <c r="B42" t="s">
        <v>558</v>
      </c>
      <c r="C42" s="1">
        <v>45535</v>
      </c>
      <c r="D42">
        <v>80654462</v>
      </c>
      <c r="E42">
        <v>223667164</v>
      </c>
      <c r="F42">
        <v>202391714</v>
      </c>
      <c r="G42">
        <v>0</v>
      </c>
      <c r="H42">
        <v>309685088</v>
      </c>
      <c r="I42">
        <v>590404852</v>
      </c>
      <c r="J42">
        <v>1002019852</v>
      </c>
      <c r="K42">
        <v>438958877</v>
      </c>
      <c r="L42">
        <v>213199265</v>
      </c>
      <c r="M42">
        <v>277437619</v>
      </c>
      <c r="N42">
        <v>101929912</v>
      </c>
    </row>
    <row r="43" spans="1:14" x14ac:dyDescent="0.3">
      <c r="A43" t="s">
        <v>4819</v>
      </c>
      <c r="B43" t="s">
        <v>558</v>
      </c>
      <c r="C43" s="1">
        <v>45565</v>
      </c>
      <c r="D43">
        <v>101929912</v>
      </c>
      <c r="E43">
        <v>178802785</v>
      </c>
      <c r="F43">
        <v>235047367</v>
      </c>
      <c r="G43">
        <v>31408506</v>
      </c>
      <c r="H43">
        <v>207037208</v>
      </c>
      <c r="I43">
        <v>551863347</v>
      </c>
      <c r="J43">
        <v>835994392</v>
      </c>
      <c r="K43">
        <v>324313232</v>
      </c>
      <c r="L43">
        <v>209653311</v>
      </c>
      <c r="M43">
        <v>246029113</v>
      </c>
      <c r="N43">
        <v>77093836</v>
      </c>
    </row>
    <row r="44" spans="1:14" x14ac:dyDescent="0.3">
      <c r="A44" t="s">
        <v>4820</v>
      </c>
      <c r="B44" t="s">
        <v>558</v>
      </c>
      <c r="C44" s="1">
        <v>45596</v>
      </c>
      <c r="D44">
        <v>77093837</v>
      </c>
      <c r="E44">
        <v>216225869</v>
      </c>
      <c r="F44">
        <v>120915657</v>
      </c>
      <c r="G44">
        <v>-70514905</v>
      </c>
      <c r="H44">
        <v>171751815</v>
      </c>
      <c r="I44">
        <v>574386379</v>
      </c>
      <c r="J44">
        <v>848027338</v>
      </c>
      <c r="K44">
        <v>367784557</v>
      </c>
      <c r="L44">
        <v>193390946</v>
      </c>
      <c r="M44">
        <v>316544018</v>
      </c>
      <c r="N44">
        <v>101889144</v>
      </c>
    </row>
    <row r="45" spans="1:14" x14ac:dyDescent="0.3">
      <c r="A45" t="s">
        <v>4821</v>
      </c>
      <c r="B45" t="s">
        <v>558</v>
      </c>
      <c r="C45" s="1">
        <v>45626</v>
      </c>
      <c r="D45">
        <v>101889144</v>
      </c>
      <c r="E45">
        <v>192773545</v>
      </c>
      <c r="F45">
        <v>164257160</v>
      </c>
      <c r="G45">
        <v>-29815090</v>
      </c>
      <c r="H45">
        <v>231545386</v>
      </c>
      <c r="I45">
        <v>573343455</v>
      </c>
      <c r="J45">
        <v>905479280</v>
      </c>
      <c r="K45">
        <v>337206206</v>
      </c>
      <c r="L45">
        <v>169775957</v>
      </c>
      <c r="M45">
        <v>346359108</v>
      </c>
      <c r="N45">
        <v>100590439</v>
      </c>
    </row>
    <row r="46" spans="1:14" x14ac:dyDescent="0.3">
      <c r="A46" t="s">
        <v>4822</v>
      </c>
      <c r="B46" t="s">
        <v>558</v>
      </c>
      <c r="C46" s="1">
        <v>45657</v>
      </c>
      <c r="D46">
        <v>100590439</v>
      </c>
      <c r="E46">
        <v>175655430</v>
      </c>
      <c r="F46">
        <v>167021882</v>
      </c>
      <c r="G46">
        <v>-4831157</v>
      </c>
      <c r="H46">
        <v>195372322</v>
      </c>
      <c r="I46">
        <v>607161681</v>
      </c>
      <c r="J46">
        <v>906926832</v>
      </c>
      <c r="K46">
        <v>342181850</v>
      </c>
      <c r="L46">
        <v>169355378</v>
      </c>
      <c r="M46">
        <v>351190265</v>
      </c>
      <c r="N46">
        <v>104392830</v>
      </c>
    </row>
    <row r="47" spans="1:14" x14ac:dyDescent="0.3">
      <c r="A47" t="s">
        <v>4823</v>
      </c>
      <c r="B47" t="s">
        <v>558</v>
      </c>
      <c r="C47" s="1">
        <v>45688</v>
      </c>
      <c r="D47">
        <v>104392830</v>
      </c>
      <c r="E47">
        <v>172095963</v>
      </c>
      <c r="F47">
        <v>173279853</v>
      </c>
      <c r="G47">
        <v>-694450</v>
      </c>
      <c r="H47">
        <v>209101549</v>
      </c>
      <c r="I47">
        <v>669862254</v>
      </c>
      <c r="J47">
        <v>981478294</v>
      </c>
      <c r="K47">
        <v>415999928</v>
      </c>
      <c r="L47">
        <v>271968188</v>
      </c>
      <c r="M47">
        <v>351884715</v>
      </c>
      <c r="N47">
        <v>102514490</v>
      </c>
    </row>
    <row r="48" spans="1:14" x14ac:dyDescent="0.3">
      <c r="A48" t="s">
        <v>4824</v>
      </c>
      <c r="B48" t="s">
        <v>558</v>
      </c>
      <c r="C48" s="1">
        <v>45716</v>
      </c>
      <c r="D48">
        <v>102514490</v>
      </c>
      <c r="E48">
        <v>187204380</v>
      </c>
      <c r="F48">
        <v>159840885</v>
      </c>
      <c r="G48">
        <v>-21085864</v>
      </c>
      <c r="H48">
        <v>258639006</v>
      </c>
      <c r="I48">
        <v>643465084</v>
      </c>
      <c r="J48">
        <v>1010896213</v>
      </c>
      <c r="K48">
        <v>486034797</v>
      </c>
      <c r="L48">
        <v>272422016</v>
      </c>
      <c r="M48">
        <v>372970579</v>
      </c>
      <c r="N48">
        <v>108792121</v>
      </c>
    </row>
    <row r="49" spans="1:14" x14ac:dyDescent="0.3">
      <c r="A49" t="s">
        <v>4825</v>
      </c>
      <c r="B49" t="s">
        <v>558</v>
      </c>
      <c r="C49" s="1">
        <v>45747</v>
      </c>
      <c r="D49">
        <v>108792122</v>
      </c>
      <c r="E49">
        <v>184133139</v>
      </c>
      <c r="F49">
        <v>188029862</v>
      </c>
      <c r="G49">
        <v>0</v>
      </c>
      <c r="H49">
        <v>288077706</v>
      </c>
      <c r="I49">
        <v>678947887</v>
      </c>
      <c r="J49">
        <v>1071920992</v>
      </c>
      <c r="K49">
        <v>481686315</v>
      </c>
      <c r="L49">
        <v>267607493</v>
      </c>
      <c r="M49">
        <v>372970579</v>
      </c>
      <c r="N49">
        <v>104895399</v>
      </c>
    </row>
    <row r="50" spans="1:14" x14ac:dyDescent="0.3">
      <c r="A50" t="s">
        <v>4826</v>
      </c>
      <c r="B50" t="s">
        <v>575</v>
      </c>
      <c r="C50" s="1">
        <v>45046</v>
      </c>
      <c r="D50">
        <v>65417010</v>
      </c>
      <c r="E50">
        <v>86546470</v>
      </c>
      <c r="F50">
        <v>63304406</v>
      </c>
      <c r="G50">
        <v>-13996806</v>
      </c>
      <c r="H50">
        <v>88249101</v>
      </c>
      <c r="I50">
        <v>127055880</v>
      </c>
      <c r="J50">
        <v>289967250</v>
      </c>
      <c r="K50">
        <v>216129762</v>
      </c>
      <c r="L50">
        <v>110516044</v>
      </c>
      <c r="M50">
        <v>461013041</v>
      </c>
      <c r="N50">
        <v>74662268</v>
      </c>
    </row>
    <row r="51" spans="1:14" x14ac:dyDescent="0.3">
      <c r="A51" t="s">
        <v>4827</v>
      </c>
      <c r="B51" t="s">
        <v>575</v>
      </c>
      <c r="C51" s="1">
        <v>45077</v>
      </c>
      <c r="D51">
        <v>74662268</v>
      </c>
      <c r="E51">
        <v>50551605</v>
      </c>
      <c r="F51">
        <v>86277580</v>
      </c>
      <c r="G51">
        <v>17314474</v>
      </c>
      <c r="H51">
        <v>145621347</v>
      </c>
      <c r="I51">
        <v>192438996</v>
      </c>
      <c r="J51">
        <v>394311110</v>
      </c>
      <c r="K51">
        <v>213246854</v>
      </c>
      <c r="L51">
        <v>109959783</v>
      </c>
      <c r="M51">
        <v>443698567</v>
      </c>
      <c r="N51">
        <v>56250767</v>
      </c>
    </row>
    <row r="52" spans="1:14" x14ac:dyDescent="0.3">
      <c r="A52" t="s">
        <v>4828</v>
      </c>
      <c r="B52" t="s">
        <v>575</v>
      </c>
      <c r="C52" s="1">
        <v>45107</v>
      </c>
      <c r="D52">
        <v>56250767</v>
      </c>
      <c r="E52">
        <v>46199621</v>
      </c>
      <c r="F52">
        <v>75093007</v>
      </c>
      <c r="G52">
        <v>28801878</v>
      </c>
      <c r="H52">
        <v>128816640</v>
      </c>
      <c r="I52">
        <v>287144186</v>
      </c>
      <c r="J52">
        <v>472120086</v>
      </c>
      <c r="K52">
        <v>223982503</v>
      </c>
      <c r="L52">
        <v>115917711</v>
      </c>
      <c r="M52">
        <v>414896689</v>
      </c>
      <c r="N52">
        <v>56159259</v>
      </c>
    </row>
    <row r="53" spans="1:14" x14ac:dyDescent="0.3">
      <c r="A53" t="s">
        <v>4829</v>
      </c>
      <c r="B53" t="s">
        <v>575</v>
      </c>
      <c r="C53" s="1">
        <v>45138</v>
      </c>
      <c r="D53">
        <v>56159259</v>
      </c>
      <c r="E53">
        <v>116851432</v>
      </c>
      <c r="F53">
        <v>114427127</v>
      </c>
      <c r="G53">
        <v>0</v>
      </c>
      <c r="H53">
        <v>96796617</v>
      </c>
      <c r="I53">
        <v>246864638</v>
      </c>
      <c r="J53">
        <v>402244818</v>
      </c>
      <c r="K53">
        <v>197857725</v>
      </c>
      <c r="L53">
        <v>116198080</v>
      </c>
      <c r="M53">
        <v>414896689</v>
      </c>
      <c r="N53">
        <v>58583564</v>
      </c>
    </row>
    <row r="54" spans="1:14" x14ac:dyDescent="0.3">
      <c r="A54" t="s">
        <v>4830</v>
      </c>
      <c r="B54" t="s">
        <v>575</v>
      </c>
      <c r="C54" s="1">
        <v>45169</v>
      </c>
      <c r="D54">
        <v>58583564</v>
      </c>
      <c r="E54">
        <v>128954520</v>
      </c>
      <c r="F54">
        <v>105258524</v>
      </c>
      <c r="G54">
        <v>-9333022</v>
      </c>
      <c r="H54">
        <v>95361682</v>
      </c>
      <c r="I54">
        <v>237439531</v>
      </c>
      <c r="J54">
        <v>405747751</v>
      </c>
      <c r="K54">
        <v>182166203</v>
      </c>
      <c r="L54">
        <v>119813959</v>
      </c>
      <c r="M54">
        <v>424229711</v>
      </c>
      <c r="N54">
        <v>72946538</v>
      </c>
    </row>
    <row r="55" spans="1:14" x14ac:dyDescent="0.3">
      <c r="A55" t="s">
        <v>4831</v>
      </c>
      <c r="B55" t="s">
        <v>575</v>
      </c>
      <c r="C55" s="1">
        <v>45199</v>
      </c>
      <c r="D55">
        <v>72946538</v>
      </c>
      <c r="E55">
        <v>82599824</v>
      </c>
      <c r="F55">
        <v>60731042</v>
      </c>
      <c r="G55">
        <v>-19274797</v>
      </c>
      <c r="H55">
        <v>118174735</v>
      </c>
      <c r="I55">
        <v>253041790</v>
      </c>
      <c r="J55">
        <v>446757047</v>
      </c>
      <c r="K55">
        <v>224916046</v>
      </c>
      <c r="L55">
        <v>114012204</v>
      </c>
      <c r="M55">
        <v>443504508</v>
      </c>
      <c r="N55">
        <v>75540523</v>
      </c>
    </row>
    <row r="56" spans="1:14" x14ac:dyDescent="0.3">
      <c r="A56" t="s">
        <v>4832</v>
      </c>
      <c r="B56" t="s">
        <v>575</v>
      </c>
      <c r="C56" s="1">
        <v>45230</v>
      </c>
      <c r="D56">
        <v>75540522</v>
      </c>
      <c r="E56">
        <v>113330153</v>
      </c>
      <c r="F56">
        <v>118369707</v>
      </c>
      <c r="G56">
        <v>0</v>
      </c>
      <c r="H56">
        <v>108349901</v>
      </c>
      <c r="I56">
        <v>222334025</v>
      </c>
      <c r="J56">
        <v>401184895</v>
      </c>
      <c r="K56">
        <v>190483460</v>
      </c>
      <c r="L56">
        <v>112978490</v>
      </c>
      <c r="M56">
        <v>443504508</v>
      </c>
      <c r="N56">
        <v>70500968</v>
      </c>
    </row>
    <row r="57" spans="1:14" x14ac:dyDescent="0.3">
      <c r="A57" t="s">
        <v>4833</v>
      </c>
      <c r="B57" t="s">
        <v>575</v>
      </c>
      <c r="C57" s="1">
        <v>45260</v>
      </c>
      <c r="D57">
        <v>70500968</v>
      </c>
      <c r="E57">
        <v>90145139</v>
      </c>
      <c r="F57">
        <v>89521210</v>
      </c>
      <c r="G57">
        <v>0</v>
      </c>
      <c r="H57">
        <v>101141645</v>
      </c>
      <c r="I57">
        <v>251738501</v>
      </c>
      <c r="J57">
        <v>424005044</v>
      </c>
      <c r="K57">
        <v>207350989</v>
      </c>
      <c r="L57">
        <v>114953409</v>
      </c>
      <c r="M57">
        <v>443504508</v>
      </c>
      <c r="N57">
        <v>71124897</v>
      </c>
    </row>
    <row r="58" spans="1:14" x14ac:dyDescent="0.3">
      <c r="A58" t="s">
        <v>4834</v>
      </c>
      <c r="B58" t="s">
        <v>575</v>
      </c>
      <c r="C58" s="1">
        <v>45291</v>
      </c>
      <c r="D58">
        <v>71124898</v>
      </c>
      <c r="E58">
        <v>67285850</v>
      </c>
      <c r="F58">
        <v>107983481</v>
      </c>
      <c r="G58">
        <v>19556681</v>
      </c>
      <c r="H58">
        <v>178063187</v>
      </c>
      <c r="I58">
        <v>343292584</v>
      </c>
      <c r="J58">
        <v>571339720</v>
      </c>
      <c r="K58">
        <v>234244331</v>
      </c>
      <c r="L58">
        <v>111516765</v>
      </c>
      <c r="M58">
        <v>423947827</v>
      </c>
      <c r="N58">
        <v>49983948</v>
      </c>
    </row>
    <row r="59" spans="1:14" x14ac:dyDescent="0.3">
      <c r="A59" t="s">
        <v>4835</v>
      </c>
      <c r="B59" t="s">
        <v>575</v>
      </c>
      <c r="C59" s="1">
        <v>45322</v>
      </c>
      <c r="D59">
        <v>49983949</v>
      </c>
      <c r="E59">
        <v>172131378</v>
      </c>
      <c r="F59">
        <v>118607468</v>
      </c>
      <c r="G59">
        <v>-19674596</v>
      </c>
      <c r="H59">
        <v>108047265</v>
      </c>
      <c r="I59">
        <v>296955290</v>
      </c>
      <c r="J59">
        <v>488835818</v>
      </c>
      <c r="K59">
        <v>202877125</v>
      </c>
      <c r="L59">
        <v>112261847</v>
      </c>
      <c r="M59">
        <v>443622423</v>
      </c>
      <c r="N59">
        <v>83833263</v>
      </c>
    </row>
    <row r="60" spans="1:14" x14ac:dyDescent="0.3">
      <c r="A60" t="s">
        <v>4836</v>
      </c>
      <c r="B60" t="s">
        <v>575</v>
      </c>
      <c r="C60" s="1">
        <v>45351</v>
      </c>
      <c r="D60">
        <v>83833262</v>
      </c>
      <c r="E60">
        <v>107644564</v>
      </c>
      <c r="F60">
        <v>115211052</v>
      </c>
      <c r="G60">
        <v>-3429357</v>
      </c>
      <c r="H60">
        <v>102698466</v>
      </c>
      <c r="I60">
        <v>294148249</v>
      </c>
      <c r="J60">
        <v>469684133</v>
      </c>
      <c r="K60">
        <v>203041837</v>
      </c>
      <c r="L60">
        <v>114602883</v>
      </c>
      <c r="M60">
        <v>447051779</v>
      </c>
      <c r="N60">
        <v>72837417</v>
      </c>
    </row>
    <row r="61" spans="1:14" x14ac:dyDescent="0.3">
      <c r="A61" t="s">
        <v>4837</v>
      </c>
      <c r="B61" t="s">
        <v>575</v>
      </c>
      <c r="C61" s="1">
        <v>45382</v>
      </c>
      <c r="D61">
        <v>72837418</v>
      </c>
      <c r="E61">
        <v>111807738</v>
      </c>
      <c r="F61">
        <v>84191643</v>
      </c>
      <c r="G61">
        <v>-36878630</v>
      </c>
      <c r="H61">
        <v>191689339</v>
      </c>
      <c r="I61">
        <v>383596615</v>
      </c>
      <c r="J61">
        <v>638860838</v>
      </c>
      <c r="K61">
        <v>262591282</v>
      </c>
      <c r="L61">
        <v>97695636</v>
      </c>
      <c r="M61">
        <v>483930410</v>
      </c>
      <c r="N61">
        <v>63574883</v>
      </c>
    </row>
    <row r="62" spans="1:14" x14ac:dyDescent="0.3">
      <c r="A62" t="s">
        <v>4838</v>
      </c>
      <c r="B62" t="s">
        <v>575</v>
      </c>
      <c r="C62" s="1">
        <v>45412</v>
      </c>
      <c r="D62">
        <v>63574883</v>
      </c>
      <c r="E62">
        <v>123646871</v>
      </c>
      <c r="F62">
        <v>119713417</v>
      </c>
      <c r="G62">
        <v>-3438774</v>
      </c>
      <c r="H62">
        <v>178582066</v>
      </c>
      <c r="I62">
        <v>371895854</v>
      </c>
      <c r="J62">
        <v>614547483</v>
      </c>
      <c r="K62">
        <v>250573482</v>
      </c>
      <c r="L62">
        <v>100442287</v>
      </c>
      <c r="M62">
        <v>487369184</v>
      </c>
      <c r="N62">
        <v>64069563</v>
      </c>
    </row>
    <row r="63" spans="1:14" x14ac:dyDescent="0.3">
      <c r="A63" t="s">
        <v>4839</v>
      </c>
      <c r="B63" t="s">
        <v>575</v>
      </c>
      <c r="C63" s="1">
        <v>45443</v>
      </c>
      <c r="D63">
        <v>64069563</v>
      </c>
      <c r="E63">
        <v>181813915</v>
      </c>
      <c r="F63">
        <v>163374596</v>
      </c>
      <c r="G63">
        <v>-3258391</v>
      </c>
      <c r="H63">
        <v>101509924</v>
      </c>
      <c r="I63">
        <v>243150703</v>
      </c>
      <c r="J63">
        <v>423911117</v>
      </c>
      <c r="K63">
        <v>186903263</v>
      </c>
      <c r="L63">
        <v>100962353</v>
      </c>
      <c r="M63">
        <v>490627575</v>
      </c>
      <c r="N63">
        <v>79250491</v>
      </c>
    </row>
    <row r="64" spans="1:14" x14ac:dyDescent="0.3">
      <c r="A64" t="s">
        <v>4840</v>
      </c>
      <c r="B64" t="s">
        <v>575</v>
      </c>
      <c r="C64" s="1">
        <v>45473</v>
      </c>
      <c r="D64">
        <v>79250491</v>
      </c>
      <c r="E64">
        <v>115845721</v>
      </c>
      <c r="F64">
        <v>87954196</v>
      </c>
      <c r="G64">
        <v>0</v>
      </c>
      <c r="H64">
        <v>84532919</v>
      </c>
      <c r="I64">
        <v>258958928</v>
      </c>
      <c r="J64">
        <v>450633862</v>
      </c>
      <c r="K64">
        <v>191428256</v>
      </c>
      <c r="L64">
        <v>102512935</v>
      </c>
      <c r="M64">
        <v>490627575</v>
      </c>
      <c r="N64">
        <v>107142016</v>
      </c>
    </row>
    <row r="65" spans="1:14" x14ac:dyDescent="0.3">
      <c r="A65" t="s">
        <v>4841</v>
      </c>
      <c r="B65" t="s">
        <v>575</v>
      </c>
      <c r="C65" s="1">
        <v>45504</v>
      </c>
      <c r="D65">
        <v>107142015</v>
      </c>
      <c r="E65">
        <v>127813276</v>
      </c>
      <c r="F65">
        <v>108681702</v>
      </c>
      <c r="G65">
        <v>0</v>
      </c>
      <c r="H65">
        <v>127457806</v>
      </c>
      <c r="I65">
        <v>255129410</v>
      </c>
      <c r="J65">
        <v>508860805</v>
      </c>
      <c r="K65">
        <v>204998130</v>
      </c>
      <c r="L65">
        <v>94831256</v>
      </c>
      <c r="M65">
        <v>490627575</v>
      </c>
      <c r="N65">
        <v>126273589</v>
      </c>
    </row>
    <row r="66" spans="1:14" x14ac:dyDescent="0.3">
      <c r="A66" t="s">
        <v>4842</v>
      </c>
      <c r="B66" t="s">
        <v>575</v>
      </c>
      <c r="C66" s="1">
        <v>45535</v>
      </c>
      <c r="D66">
        <v>126273590</v>
      </c>
      <c r="E66">
        <v>94863193</v>
      </c>
      <c r="F66">
        <v>109816246</v>
      </c>
      <c r="G66">
        <v>0</v>
      </c>
      <c r="H66">
        <v>155192467</v>
      </c>
      <c r="I66">
        <v>279753884</v>
      </c>
      <c r="J66">
        <v>546266888</v>
      </c>
      <c r="K66">
        <v>211655629</v>
      </c>
      <c r="L66">
        <v>94429827</v>
      </c>
      <c r="M66">
        <v>490627575</v>
      </c>
      <c r="N66">
        <v>111320537</v>
      </c>
    </row>
    <row r="67" spans="1:14" x14ac:dyDescent="0.3">
      <c r="A67" t="s">
        <v>4843</v>
      </c>
      <c r="B67" t="s">
        <v>575</v>
      </c>
      <c r="C67" s="1">
        <v>45565</v>
      </c>
      <c r="D67">
        <v>111320537</v>
      </c>
      <c r="E67">
        <v>80068028</v>
      </c>
      <c r="F67">
        <v>130126789</v>
      </c>
      <c r="G67">
        <v>0</v>
      </c>
      <c r="H67">
        <v>177835835</v>
      </c>
      <c r="I67">
        <v>285674644</v>
      </c>
      <c r="J67">
        <v>524772255</v>
      </c>
      <c r="K67">
        <v>240046750</v>
      </c>
      <c r="L67">
        <v>102436714</v>
      </c>
      <c r="M67">
        <v>490627575</v>
      </c>
      <c r="N67">
        <v>61261776</v>
      </c>
    </row>
    <row r="68" spans="1:14" x14ac:dyDescent="0.3">
      <c r="A68" t="s">
        <v>4844</v>
      </c>
      <c r="B68" t="s">
        <v>575</v>
      </c>
      <c r="C68" s="1">
        <v>45596</v>
      </c>
      <c r="D68">
        <v>61261776</v>
      </c>
      <c r="E68">
        <v>118247576</v>
      </c>
      <c r="F68">
        <v>80607017</v>
      </c>
      <c r="G68">
        <v>0</v>
      </c>
      <c r="H68">
        <v>230174215</v>
      </c>
      <c r="I68">
        <v>439197742</v>
      </c>
      <c r="J68">
        <v>768274292</v>
      </c>
      <c r="K68">
        <v>331545856</v>
      </c>
      <c r="L68">
        <v>99921110</v>
      </c>
      <c r="M68">
        <v>490627575</v>
      </c>
      <c r="N68">
        <v>98902335</v>
      </c>
    </row>
    <row r="69" spans="1:14" x14ac:dyDescent="0.3">
      <c r="A69" t="s">
        <v>4845</v>
      </c>
      <c r="B69" t="s">
        <v>575</v>
      </c>
      <c r="C69" s="1">
        <v>45626</v>
      </c>
      <c r="D69">
        <v>98902335</v>
      </c>
      <c r="E69">
        <v>95367415</v>
      </c>
      <c r="F69">
        <v>213652175</v>
      </c>
      <c r="G69">
        <v>66594148</v>
      </c>
      <c r="H69">
        <v>169012184</v>
      </c>
      <c r="I69">
        <v>617296559</v>
      </c>
      <c r="J69">
        <v>833520466</v>
      </c>
      <c r="K69">
        <v>225739112</v>
      </c>
      <c r="L69">
        <v>114709413</v>
      </c>
      <c r="M69">
        <v>424033427</v>
      </c>
      <c r="N69">
        <v>47211723</v>
      </c>
    </row>
    <row r="70" spans="1:14" x14ac:dyDescent="0.3">
      <c r="A70" t="s">
        <v>4846</v>
      </c>
      <c r="B70" t="s">
        <v>575</v>
      </c>
      <c r="C70" s="1">
        <v>45657</v>
      </c>
      <c r="D70">
        <v>47211723</v>
      </c>
      <c r="E70">
        <v>196128631</v>
      </c>
      <c r="F70">
        <v>140031697</v>
      </c>
      <c r="G70">
        <v>-37991005</v>
      </c>
      <c r="H70">
        <v>122220247</v>
      </c>
      <c r="I70">
        <v>577432860</v>
      </c>
      <c r="J70">
        <v>764970759</v>
      </c>
      <c r="K70">
        <v>198617987</v>
      </c>
      <c r="L70">
        <v>104362490</v>
      </c>
      <c r="M70">
        <v>462024432</v>
      </c>
      <c r="N70">
        <v>65317652</v>
      </c>
    </row>
    <row r="71" spans="1:14" x14ac:dyDescent="0.3">
      <c r="A71" t="s">
        <v>4847</v>
      </c>
      <c r="B71" t="s">
        <v>575</v>
      </c>
      <c r="C71" s="1">
        <v>45688</v>
      </c>
      <c r="D71">
        <v>65317653</v>
      </c>
      <c r="E71">
        <v>272733314</v>
      </c>
      <c r="F71">
        <v>118484765</v>
      </c>
      <c r="G71">
        <v>-28603143</v>
      </c>
      <c r="H71">
        <v>109706056</v>
      </c>
      <c r="I71">
        <v>469101081</v>
      </c>
      <c r="J71">
        <v>769770196</v>
      </c>
      <c r="K71">
        <v>177081719</v>
      </c>
      <c r="L71">
        <v>97608513</v>
      </c>
      <c r="M71">
        <v>490627575</v>
      </c>
      <c r="N71">
        <v>190963059</v>
      </c>
    </row>
    <row r="72" spans="1:14" x14ac:dyDescent="0.3">
      <c r="A72" t="s">
        <v>4848</v>
      </c>
      <c r="B72" t="s">
        <v>575</v>
      </c>
      <c r="C72" s="1">
        <v>45716</v>
      </c>
      <c r="D72">
        <v>190963058</v>
      </c>
      <c r="E72">
        <v>122718347</v>
      </c>
      <c r="F72">
        <v>118283437</v>
      </c>
      <c r="G72">
        <v>0</v>
      </c>
      <c r="H72">
        <v>112212761</v>
      </c>
      <c r="I72">
        <v>483256677</v>
      </c>
      <c r="J72">
        <v>790867405</v>
      </c>
      <c r="K72">
        <v>190925252</v>
      </c>
      <c r="L72">
        <v>96031103</v>
      </c>
      <c r="M72">
        <v>490627575</v>
      </c>
      <c r="N72">
        <v>195397968</v>
      </c>
    </row>
    <row r="73" spans="1:14" x14ac:dyDescent="0.3">
      <c r="A73" t="s">
        <v>4849</v>
      </c>
      <c r="B73" t="s">
        <v>575</v>
      </c>
      <c r="C73" s="1">
        <v>45747</v>
      </c>
      <c r="D73">
        <v>195397967</v>
      </c>
      <c r="E73">
        <v>198911692</v>
      </c>
      <c r="F73">
        <v>105218310</v>
      </c>
      <c r="G73">
        <v>0</v>
      </c>
      <c r="H73">
        <v>117030923</v>
      </c>
      <c r="I73">
        <v>404345200</v>
      </c>
      <c r="J73">
        <v>810467473</v>
      </c>
      <c r="K73">
        <v>185255840</v>
      </c>
      <c r="L73">
        <v>94599155</v>
      </c>
      <c r="M73">
        <v>490627575</v>
      </c>
      <c r="N73">
        <v>289091349</v>
      </c>
    </row>
    <row r="74" spans="1:14" x14ac:dyDescent="0.3">
      <c r="A74" t="s">
        <v>4850</v>
      </c>
      <c r="B74" t="s">
        <v>554</v>
      </c>
      <c r="C74" s="1">
        <v>45046</v>
      </c>
      <c r="D74">
        <v>92658015</v>
      </c>
      <c r="E74">
        <v>114148180</v>
      </c>
      <c r="F74">
        <v>90995393</v>
      </c>
      <c r="G74">
        <v>-12421135</v>
      </c>
      <c r="H74">
        <v>65898893</v>
      </c>
      <c r="I74">
        <v>223968657</v>
      </c>
      <c r="J74">
        <v>393257216</v>
      </c>
      <c r="K74">
        <v>250589176</v>
      </c>
      <c r="L74">
        <v>149337400</v>
      </c>
      <c r="M74">
        <v>568369224</v>
      </c>
      <c r="N74">
        <v>103389667</v>
      </c>
    </row>
    <row r="75" spans="1:14" x14ac:dyDescent="0.3">
      <c r="A75" t="s">
        <v>4851</v>
      </c>
      <c r="B75" t="s">
        <v>554</v>
      </c>
      <c r="C75" s="1">
        <v>45077</v>
      </c>
      <c r="D75">
        <v>103389666</v>
      </c>
      <c r="E75">
        <v>93367831</v>
      </c>
      <c r="F75">
        <v>112599810</v>
      </c>
      <c r="G75">
        <v>0</v>
      </c>
      <c r="H75">
        <v>114644178</v>
      </c>
      <c r="I75">
        <v>351646733</v>
      </c>
      <c r="J75">
        <v>550448598</v>
      </c>
      <c r="K75">
        <v>223839385</v>
      </c>
      <c r="L75">
        <v>142763124</v>
      </c>
      <c r="M75">
        <v>568369224</v>
      </c>
      <c r="N75">
        <v>84157687</v>
      </c>
    </row>
    <row r="76" spans="1:14" x14ac:dyDescent="0.3">
      <c r="A76" t="s">
        <v>4852</v>
      </c>
      <c r="B76" t="s">
        <v>554</v>
      </c>
      <c r="C76" s="1">
        <v>45107</v>
      </c>
      <c r="D76">
        <v>84157687</v>
      </c>
      <c r="E76">
        <v>112275348</v>
      </c>
      <c r="F76">
        <v>117404638</v>
      </c>
      <c r="G76">
        <v>0</v>
      </c>
      <c r="H76">
        <v>124373566</v>
      </c>
      <c r="I76">
        <v>424098846</v>
      </c>
      <c r="J76">
        <v>627500809</v>
      </c>
      <c r="K76">
        <v>248322868</v>
      </c>
      <c r="L76">
        <v>150701386</v>
      </c>
      <c r="M76">
        <v>568369224</v>
      </c>
      <c r="N76">
        <v>79028397</v>
      </c>
    </row>
    <row r="77" spans="1:14" x14ac:dyDescent="0.3">
      <c r="A77" t="s">
        <v>4853</v>
      </c>
      <c r="B77" t="s">
        <v>554</v>
      </c>
      <c r="C77" s="1">
        <v>45138</v>
      </c>
      <c r="D77">
        <v>79028397</v>
      </c>
      <c r="E77">
        <v>239758674</v>
      </c>
      <c r="F77">
        <v>101809131</v>
      </c>
      <c r="G77">
        <v>-49350874</v>
      </c>
      <c r="H77">
        <v>148974537</v>
      </c>
      <c r="I77">
        <v>361995695</v>
      </c>
      <c r="J77">
        <v>678597299</v>
      </c>
      <c r="K77">
        <v>281271485</v>
      </c>
      <c r="L77">
        <v>138882040</v>
      </c>
      <c r="M77">
        <v>617720099</v>
      </c>
      <c r="N77">
        <v>167627066</v>
      </c>
    </row>
    <row r="78" spans="1:14" x14ac:dyDescent="0.3">
      <c r="A78" t="s">
        <v>4854</v>
      </c>
      <c r="B78" t="s">
        <v>554</v>
      </c>
      <c r="C78" s="1">
        <v>45199</v>
      </c>
      <c r="D78">
        <v>164766616</v>
      </c>
      <c r="E78">
        <v>117327785</v>
      </c>
      <c r="F78">
        <v>192023579</v>
      </c>
      <c r="G78">
        <v>0</v>
      </c>
      <c r="H78">
        <v>233344004</v>
      </c>
      <c r="I78">
        <v>231255216</v>
      </c>
      <c r="J78">
        <v>554670042</v>
      </c>
      <c r="K78">
        <v>317420010</v>
      </c>
      <c r="L78">
        <v>188272607</v>
      </c>
      <c r="M78">
        <v>617720099</v>
      </c>
      <c r="N78">
        <v>90070822</v>
      </c>
    </row>
    <row r="79" spans="1:14" x14ac:dyDescent="0.3">
      <c r="A79" t="s">
        <v>4855</v>
      </c>
      <c r="B79" t="s">
        <v>554</v>
      </c>
      <c r="C79" s="1">
        <v>45230</v>
      </c>
      <c r="D79">
        <v>90070822</v>
      </c>
      <c r="E79">
        <v>85266786</v>
      </c>
      <c r="F79">
        <v>174001912</v>
      </c>
      <c r="G79">
        <v>67889460</v>
      </c>
      <c r="H79">
        <v>240890881</v>
      </c>
      <c r="I79">
        <v>300044356</v>
      </c>
      <c r="J79">
        <v>610160393</v>
      </c>
      <c r="K79">
        <v>398530998</v>
      </c>
      <c r="L79">
        <v>215489135</v>
      </c>
      <c r="M79">
        <v>549830639</v>
      </c>
      <c r="N79">
        <v>69225156</v>
      </c>
    </row>
    <row r="80" spans="1:14" x14ac:dyDescent="0.3">
      <c r="A80" t="s">
        <v>4856</v>
      </c>
      <c r="B80" t="s">
        <v>554</v>
      </c>
      <c r="C80" s="1">
        <v>45260</v>
      </c>
      <c r="D80">
        <v>69225156</v>
      </c>
      <c r="E80">
        <v>166305676</v>
      </c>
      <c r="F80">
        <v>177442894</v>
      </c>
      <c r="G80">
        <v>10848750</v>
      </c>
      <c r="H80">
        <v>193893699</v>
      </c>
      <c r="I80">
        <v>278428890</v>
      </c>
      <c r="J80">
        <v>541259277</v>
      </c>
      <c r="K80">
        <v>323025795</v>
      </c>
      <c r="L80">
        <v>169494392</v>
      </c>
      <c r="M80">
        <v>538981888</v>
      </c>
      <c r="N80">
        <v>68936688</v>
      </c>
    </row>
    <row r="81" spans="1:14" x14ac:dyDescent="0.3">
      <c r="A81" t="s">
        <v>4857</v>
      </c>
      <c r="B81" t="s">
        <v>554</v>
      </c>
      <c r="C81" s="1">
        <v>45291</v>
      </c>
      <c r="D81">
        <v>68936687</v>
      </c>
      <c r="E81">
        <v>93543211</v>
      </c>
      <c r="F81">
        <v>185015711</v>
      </c>
      <c r="G81">
        <v>100146954</v>
      </c>
      <c r="H81">
        <v>144105946</v>
      </c>
      <c r="I81">
        <v>406803386</v>
      </c>
      <c r="J81">
        <v>628520473</v>
      </c>
      <c r="K81">
        <v>306552826</v>
      </c>
      <c r="L81">
        <v>189092718</v>
      </c>
      <c r="M81">
        <v>438834935</v>
      </c>
      <c r="N81">
        <v>77611141</v>
      </c>
    </row>
    <row r="82" spans="1:14" x14ac:dyDescent="0.3">
      <c r="A82" t="s">
        <v>4858</v>
      </c>
      <c r="B82" t="s">
        <v>554</v>
      </c>
      <c r="C82" s="1">
        <v>45322</v>
      </c>
      <c r="D82">
        <v>77611141</v>
      </c>
      <c r="E82">
        <v>129794820</v>
      </c>
      <c r="F82">
        <v>141295189</v>
      </c>
      <c r="G82">
        <v>11587509</v>
      </c>
      <c r="H82">
        <v>91326047</v>
      </c>
      <c r="I82">
        <v>471285699</v>
      </c>
      <c r="J82">
        <v>640310027</v>
      </c>
      <c r="K82">
        <v>288866891</v>
      </c>
      <c r="L82">
        <v>191625010</v>
      </c>
      <c r="M82">
        <v>427247426</v>
      </c>
      <c r="N82">
        <v>77698281</v>
      </c>
    </row>
    <row r="83" spans="1:14" x14ac:dyDescent="0.3">
      <c r="A83" t="s">
        <v>4859</v>
      </c>
      <c r="B83" t="s">
        <v>554</v>
      </c>
      <c r="C83" s="1">
        <v>45351</v>
      </c>
      <c r="D83">
        <v>77698281</v>
      </c>
      <c r="E83">
        <v>280795186</v>
      </c>
      <c r="F83">
        <v>156226936</v>
      </c>
      <c r="G83">
        <v>-98058973</v>
      </c>
      <c r="H83">
        <v>114429417</v>
      </c>
      <c r="I83">
        <v>429477504</v>
      </c>
      <c r="J83">
        <v>648114478</v>
      </c>
      <c r="K83">
        <v>266732883</v>
      </c>
      <c r="L83">
        <v>161379592</v>
      </c>
      <c r="M83">
        <v>525306399</v>
      </c>
      <c r="N83">
        <v>104207558</v>
      </c>
    </row>
    <row r="84" spans="1:14" x14ac:dyDescent="0.3">
      <c r="A84" t="s">
        <v>4860</v>
      </c>
      <c r="B84" t="s">
        <v>554</v>
      </c>
      <c r="C84" s="1">
        <v>45382</v>
      </c>
      <c r="D84">
        <v>104207558</v>
      </c>
      <c r="E84">
        <v>170964307</v>
      </c>
      <c r="F84">
        <v>142937720</v>
      </c>
      <c r="G84">
        <v>-20621523</v>
      </c>
      <c r="H84">
        <v>139976772</v>
      </c>
      <c r="I84">
        <v>491230445</v>
      </c>
      <c r="J84">
        <v>742819838</v>
      </c>
      <c r="K84">
        <v>293522824</v>
      </c>
      <c r="L84">
        <v>167570596</v>
      </c>
      <c r="M84">
        <v>545927921</v>
      </c>
      <c r="N84">
        <v>111612622</v>
      </c>
    </row>
    <row r="85" spans="1:14" x14ac:dyDescent="0.3">
      <c r="A85" t="s">
        <v>4861</v>
      </c>
      <c r="B85" t="s">
        <v>554</v>
      </c>
      <c r="C85" s="1">
        <v>45412</v>
      </c>
      <c r="D85">
        <v>111612622</v>
      </c>
      <c r="E85">
        <v>153783014</v>
      </c>
      <c r="F85">
        <v>183803536</v>
      </c>
      <c r="G85">
        <v>0</v>
      </c>
      <c r="H85">
        <v>112202590</v>
      </c>
      <c r="I85">
        <v>515081335</v>
      </c>
      <c r="J85">
        <v>708876025</v>
      </c>
      <c r="K85">
        <v>256012597</v>
      </c>
      <c r="L85">
        <v>154887607</v>
      </c>
      <c r="M85">
        <v>545927921</v>
      </c>
      <c r="N85">
        <v>81592100</v>
      </c>
    </row>
    <row r="86" spans="1:14" x14ac:dyDescent="0.3">
      <c r="A86" t="s">
        <v>4862</v>
      </c>
      <c r="B86" t="s">
        <v>554</v>
      </c>
      <c r="C86" s="1">
        <v>45443</v>
      </c>
      <c r="D86">
        <v>81592100</v>
      </c>
      <c r="E86">
        <v>285840292</v>
      </c>
      <c r="F86">
        <v>148195088</v>
      </c>
      <c r="G86">
        <v>-71792178</v>
      </c>
      <c r="H86">
        <v>127611176</v>
      </c>
      <c r="I86">
        <v>341308748</v>
      </c>
      <c r="J86">
        <v>616365050</v>
      </c>
      <c r="K86">
        <v>269782056</v>
      </c>
      <c r="L86">
        <v>143963070</v>
      </c>
      <c r="M86">
        <v>617720099</v>
      </c>
      <c r="N86">
        <v>147445126</v>
      </c>
    </row>
    <row r="87" spans="1:14" x14ac:dyDescent="0.3">
      <c r="A87" t="s">
        <v>4863</v>
      </c>
      <c r="B87" t="s">
        <v>554</v>
      </c>
      <c r="C87" s="1">
        <v>45473</v>
      </c>
      <c r="D87">
        <v>147445126</v>
      </c>
      <c r="E87">
        <v>158246960</v>
      </c>
      <c r="F87">
        <v>193272676</v>
      </c>
      <c r="G87">
        <v>0</v>
      </c>
      <c r="H87">
        <v>157575887</v>
      </c>
      <c r="I87">
        <v>355629612</v>
      </c>
      <c r="J87">
        <v>625624910</v>
      </c>
      <c r="K87">
        <v>239825183</v>
      </c>
      <c r="L87">
        <v>135460667</v>
      </c>
      <c r="M87">
        <v>617720099</v>
      </c>
      <c r="N87">
        <v>112419410</v>
      </c>
    </row>
    <row r="88" spans="1:14" x14ac:dyDescent="0.3">
      <c r="A88" t="s">
        <v>4864</v>
      </c>
      <c r="B88" t="s">
        <v>554</v>
      </c>
      <c r="C88" s="1">
        <v>45504</v>
      </c>
      <c r="D88">
        <v>112419410</v>
      </c>
      <c r="E88">
        <v>151133848</v>
      </c>
      <c r="F88">
        <v>162437774</v>
      </c>
      <c r="G88">
        <v>0</v>
      </c>
      <c r="H88">
        <v>146605911</v>
      </c>
      <c r="I88">
        <v>384396233</v>
      </c>
      <c r="J88">
        <v>632117628</v>
      </c>
      <c r="K88">
        <v>255048057</v>
      </c>
      <c r="L88">
        <v>133426286</v>
      </c>
      <c r="M88">
        <v>617720099</v>
      </c>
      <c r="N88">
        <v>101115484</v>
      </c>
    </row>
    <row r="89" spans="1:14" x14ac:dyDescent="0.3">
      <c r="A89" t="s">
        <v>4865</v>
      </c>
      <c r="B89" t="s">
        <v>554</v>
      </c>
      <c r="C89" s="1">
        <v>45535</v>
      </c>
      <c r="D89">
        <v>101115484</v>
      </c>
      <c r="E89">
        <v>164341342</v>
      </c>
      <c r="F89">
        <v>182108869</v>
      </c>
      <c r="G89">
        <v>0</v>
      </c>
      <c r="H89">
        <v>182991937</v>
      </c>
      <c r="I89">
        <v>455006882</v>
      </c>
      <c r="J89">
        <v>721346776</v>
      </c>
      <c r="K89">
        <v>330261306</v>
      </c>
      <c r="L89">
        <v>186995898</v>
      </c>
      <c r="M89">
        <v>617720099</v>
      </c>
      <c r="N89">
        <v>83347957</v>
      </c>
    </row>
    <row r="90" spans="1:14" x14ac:dyDescent="0.3">
      <c r="A90" t="s">
        <v>4866</v>
      </c>
      <c r="B90" t="s">
        <v>554</v>
      </c>
      <c r="C90" s="1">
        <v>45565</v>
      </c>
      <c r="D90">
        <v>83347957</v>
      </c>
      <c r="E90">
        <v>162752441</v>
      </c>
      <c r="F90">
        <v>209791442</v>
      </c>
      <c r="G90">
        <v>36743987</v>
      </c>
      <c r="H90">
        <v>173029395</v>
      </c>
      <c r="I90">
        <v>523608330</v>
      </c>
      <c r="J90">
        <v>769690668</v>
      </c>
      <c r="K90">
        <v>304921667</v>
      </c>
      <c r="L90">
        <v>207316037</v>
      </c>
      <c r="M90">
        <v>580976112</v>
      </c>
      <c r="N90">
        <v>73052943</v>
      </c>
    </row>
    <row r="91" spans="1:14" x14ac:dyDescent="0.3">
      <c r="A91" t="s">
        <v>4867</v>
      </c>
      <c r="B91" t="s">
        <v>554</v>
      </c>
      <c r="C91" s="1">
        <v>45596</v>
      </c>
      <c r="D91">
        <v>73052943</v>
      </c>
      <c r="E91">
        <v>225413864</v>
      </c>
      <c r="F91">
        <v>189004765</v>
      </c>
      <c r="G91">
        <v>0</v>
      </c>
      <c r="H91">
        <v>165520078</v>
      </c>
      <c r="I91">
        <v>500130245</v>
      </c>
      <c r="J91">
        <v>775112365</v>
      </c>
      <c r="K91">
        <v>305956682</v>
      </c>
      <c r="L91">
        <v>204051255</v>
      </c>
      <c r="M91">
        <v>580976112</v>
      </c>
      <c r="N91">
        <v>109462042</v>
      </c>
    </row>
    <row r="92" spans="1:14" x14ac:dyDescent="0.3">
      <c r="A92" t="s">
        <v>4868</v>
      </c>
      <c r="B92" t="s">
        <v>554</v>
      </c>
      <c r="C92" s="1">
        <v>45626</v>
      </c>
      <c r="D92">
        <v>109462042</v>
      </c>
      <c r="E92">
        <v>299509153</v>
      </c>
      <c r="F92">
        <v>171008134</v>
      </c>
      <c r="G92">
        <v>-36743987</v>
      </c>
      <c r="H92">
        <v>118542256</v>
      </c>
      <c r="I92">
        <v>376864498</v>
      </c>
      <c r="J92">
        <v>696625827</v>
      </c>
      <c r="K92">
        <v>227335847</v>
      </c>
      <c r="L92">
        <v>136836085</v>
      </c>
      <c r="M92">
        <v>617720099</v>
      </c>
      <c r="N92">
        <v>201219074</v>
      </c>
    </row>
    <row r="93" spans="1:14" x14ac:dyDescent="0.3">
      <c r="A93" t="s">
        <v>4869</v>
      </c>
      <c r="B93" t="s">
        <v>554</v>
      </c>
      <c r="C93" s="1">
        <v>45657</v>
      </c>
      <c r="D93">
        <v>201219074</v>
      </c>
      <c r="E93">
        <v>146579953</v>
      </c>
      <c r="F93">
        <v>169619738</v>
      </c>
      <c r="G93">
        <v>0</v>
      </c>
      <c r="H93">
        <v>123483711</v>
      </c>
      <c r="I93">
        <v>440512823</v>
      </c>
      <c r="J93">
        <v>742175822</v>
      </c>
      <c r="K93">
        <v>239477927</v>
      </c>
      <c r="L93">
        <v>136992677</v>
      </c>
      <c r="M93">
        <v>617720099</v>
      </c>
      <c r="N93">
        <v>178179289</v>
      </c>
    </row>
    <row r="94" spans="1:14" x14ac:dyDescent="0.3">
      <c r="A94" t="s">
        <v>4870</v>
      </c>
      <c r="B94" t="s">
        <v>554</v>
      </c>
      <c r="C94" s="1">
        <v>45688</v>
      </c>
      <c r="D94">
        <v>178179288</v>
      </c>
      <c r="E94">
        <v>192327138</v>
      </c>
      <c r="F94">
        <v>148255300</v>
      </c>
      <c r="G94">
        <v>0</v>
      </c>
      <c r="H94">
        <v>121328221</v>
      </c>
      <c r="I94">
        <v>348992273</v>
      </c>
      <c r="J94">
        <v>692571620</v>
      </c>
      <c r="K94">
        <v>265784461</v>
      </c>
      <c r="L94">
        <v>145486236</v>
      </c>
      <c r="M94">
        <v>617720099</v>
      </c>
      <c r="N94">
        <v>222251126</v>
      </c>
    </row>
    <row r="95" spans="1:14" x14ac:dyDescent="0.3">
      <c r="A95" t="s">
        <v>4871</v>
      </c>
      <c r="B95" t="s">
        <v>554</v>
      </c>
      <c r="C95" s="1">
        <v>45716</v>
      </c>
      <c r="D95">
        <v>222251126</v>
      </c>
      <c r="E95">
        <v>162231770</v>
      </c>
      <c r="F95">
        <v>161882815</v>
      </c>
      <c r="G95">
        <v>0</v>
      </c>
      <c r="H95">
        <v>141920937</v>
      </c>
      <c r="I95">
        <v>355069542</v>
      </c>
      <c r="J95">
        <v>719590561</v>
      </c>
      <c r="K95">
        <v>265084772</v>
      </c>
      <c r="L95">
        <v>136121442</v>
      </c>
      <c r="M95">
        <v>617720099</v>
      </c>
      <c r="N95">
        <v>222600081</v>
      </c>
    </row>
    <row r="96" spans="1:14" x14ac:dyDescent="0.3">
      <c r="A96" t="s">
        <v>4872</v>
      </c>
      <c r="B96" t="s">
        <v>554</v>
      </c>
      <c r="C96" s="1">
        <v>45747</v>
      </c>
      <c r="D96">
        <v>222600082</v>
      </c>
      <c r="E96">
        <v>116075620</v>
      </c>
      <c r="F96">
        <v>161128413</v>
      </c>
      <c r="G96">
        <v>0</v>
      </c>
      <c r="H96">
        <v>138556039</v>
      </c>
      <c r="I96">
        <v>439683425</v>
      </c>
      <c r="J96">
        <v>755786752</v>
      </c>
      <c r="K96">
        <v>248296337</v>
      </c>
      <c r="L96">
        <v>135627333</v>
      </c>
      <c r="M96">
        <v>617720099</v>
      </c>
      <c r="N96">
        <v>177547289</v>
      </c>
    </row>
    <row r="97" spans="1:14" x14ac:dyDescent="0.3">
      <c r="A97" t="s">
        <v>4873</v>
      </c>
      <c r="B97" t="s">
        <v>560</v>
      </c>
      <c r="C97" s="1">
        <v>45046</v>
      </c>
      <c r="D97">
        <v>63517882</v>
      </c>
      <c r="E97">
        <v>74979607</v>
      </c>
      <c r="F97">
        <v>63145928</v>
      </c>
      <c r="G97">
        <v>-1543845</v>
      </c>
      <c r="H97">
        <v>87982393</v>
      </c>
      <c r="I97">
        <v>129352909</v>
      </c>
      <c r="J97">
        <v>291143017</v>
      </c>
      <c r="K97">
        <v>216282967</v>
      </c>
      <c r="L97">
        <v>106066048</v>
      </c>
      <c r="M97">
        <v>382651136</v>
      </c>
      <c r="N97">
        <v>73807716</v>
      </c>
    </row>
    <row r="98" spans="1:14" x14ac:dyDescent="0.3">
      <c r="A98" t="s">
        <v>4874</v>
      </c>
      <c r="B98" t="s">
        <v>560</v>
      </c>
      <c r="C98" s="1">
        <v>45077</v>
      </c>
      <c r="D98">
        <v>73807715</v>
      </c>
      <c r="E98">
        <v>77480664</v>
      </c>
      <c r="F98">
        <v>60306059</v>
      </c>
      <c r="G98">
        <v>-2284870</v>
      </c>
      <c r="H98">
        <v>146785868</v>
      </c>
      <c r="I98">
        <v>151562080</v>
      </c>
      <c r="J98">
        <v>387045398</v>
      </c>
      <c r="K98">
        <v>246149858</v>
      </c>
      <c r="L98">
        <v>108027531</v>
      </c>
      <c r="M98">
        <v>384936006</v>
      </c>
      <c r="N98">
        <v>88697450</v>
      </c>
    </row>
    <row r="99" spans="1:14" x14ac:dyDescent="0.3">
      <c r="A99" t="s">
        <v>4875</v>
      </c>
      <c r="B99" t="s">
        <v>560</v>
      </c>
      <c r="C99" s="1">
        <v>45107</v>
      </c>
      <c r="D99">
        <v>88697449</v>
      </c>
      <c r="E99">
        <v>24776366</v>
      </c>
      <c r="F99">
        <v>127701475</v>
      </c>
      <c r="G99">
        <v>69096689</v>
      </c>
      <c r="H99">
        <v>164036701</v>
      </c>
      <c r="I99">
        <v>223016493</v>
      </c>
      <c r="J99">
        <v>441922223</v>
      </c>
      <c r="K99">
        <v>243952733</v>
      </c>
      <c r="L99">
        <v>129561321</v>
      </c>
      <c r="M99">
        <v>315839317</v>
      </c>
      <c r="N99">
        <v>54869029</v>
      </c>
    </row>
    <row r="100" spans="1:14" x14ac:dyDescent="0.3">
      <c r="A100" t="s">
        <v>4876</v>
      </c>
      <c r="B100" t="s">
        <v>560</v>
      </c>
      <c r="C100" s="1">
        <v>45138</v>
      </c>
      <c r="D100">
        <v>54869029</v>
      </c>
      <c r="E100">
        <v>89085873</v>
      </c>
      <c r="F100">
        <v>90278717</v>
      </c>
      <c r="G100">
        <v>0</v>
      </c>
      <c r="H100">
        <v>239542952</v>
      </c>
      <c r="I100">
        <v>200387276</v>
      </c>
      <c r="J100">
        <v>493606414</v>
      </c>
      <c r="K100">
        <v>294687371</v>
      </c>
      <c r="L100">
        <v>123716944</v>
      </c>
      <c r="M100">
        <v>315839317</v>
      </c>
      <c r="N100">
        <v>53676185</v>
      </c>
    </row>
    <row r="101" spans="1:14" x14ac:dyDescent="0.3">
      <c r="A101" t="s">
        <v>4877</v>
      </c>
      <c r="B101" t="s">
        <v>560</v>
      </c>
      <c r="C101" s="1">
        <v>45169</v>
      </c>
      <c r="D101">
        <v>53676185</v>
      </c>
      <c r="E101">
        <v>57692742</v>
      </c>
      <c r="F101">
        <v>114644363</v>
      </c>
      <c r="G101">
        <v>53970264</v>
      </c>
      <c r="H101">
        <v>214973766</v>
      </c>
      <c r="I101">
        <v>233694883</v>
      </c>
      <c r="J101">
        <v>499363476</v>
      </c>
      <c r="K101">
        <v>283551565</v>
      </c>
      <c r="L101">
        <v>144500406</v>
      </c>
      <c r="M101">
        <v>261869053</v>
      </c>
      <c r="N101">
        <v>50694828</v>
      </c>
    </row>
    <row r="102" spans="1:14" x14ac:dyDescent="0.3">
      <c r="A102" t="s">
        <v>4878</v>
      </c>
      <c r="B102" t="s">
        <v>560</v>
      </c>
      <c r="C102" s="1">
        <v>45199</v>
      </c>
      <c r="D102">
        <v>50694828</v>
      </c>
      <c r="E102">
        <v>95085415</v>
      </c>
      <c r="F102">
        <v>100459412</v>
      </c>
      <c r="G102">
        <v>7955545</v>
      </c>
      <c r="H102">
        <v>119596057</v>
      </c>
      <c r="I102">
        <v>293612556</v>
      </c>
      <c r="J102">
        <v>466484989</v>
      </c>
      <c r="K102">
        <v>271915211</v>
      </c>
      <c r="L102">
        <v>153325729</v>
      </c>
      <c r="M102">
        <v>253913508</v>
      </c>
      <c r="N102">
        <v>53276376</v>
      </c>
    </row>
    <row r="103" spans="1:14" x14ac:dyDescent="0.3">
      <c r="A103" t="s">
        <v>4879</v>
      </c>
      <c r="B103" t="s">
        <v>560</v>
      </c>
      <c r="C103" s="1">
        <v>45230</v>
      </c>
      <c r="D103">
        <v>53276376</v>
      </c>
      <c r="E103">
        <v>69506466</v>
      </c>
      <c r="F103">
        <v>108996068</v>
      </c>
      <c r="G103">
        <v>32757175</v>
      </c>
      <c r="H103">
        <v>178939478</v>
      </c>
      <c r="I103">
        <v>398843532</v>
      </c>
      <c r="J103">
        <v>624326959</v>
      </c>
      <c r="K103">
        <v>323837816</v>
      </c>
      <c r="L103">
        <v>164158730</v>
      </c>
      <c r="M103">
        <v>221156333</v>
      </c>
      <c r="N103">
        <v>46543949</v>
      </c>
    </row>
    <row r="104" spans="1:14" x14ac:dyDescent="0.3">
      <c r="A104" t="s">
        <v>4880</v>
      </c>
      <c r="B104" t="s">
        <v>560</v>
      </c>
      <c r="C104" s="1">
        <v>45260</v>
      </c>
      <c r="D104">
        <v>46543949</v>
      </c>
      <c r="E104">
        <v>136571163</v>
      </c>
      <c r="F104">
        <v>106004386</v>
      </c>
      <c r="G104">
        <v>0</v>
      </c>
      <c r="H104">
        <v>184037333</v>
      </c>
      <c r="I104">
        <v>339713277</v>
      </c>
      <c r="J104">
        <v>600861337</v>
      </c>
      <c r="K104">
        <v>273784367</v>
      </c>
      <c r="L104">
        <v>150763993</v>
      </c>
      <c r="M104">
        <v>221156333</v>
      </c>
      <c r="N104">
        <v>77110726</v>
      </c>
    </row>
    <row r="105" spans="1:14" x14ac:dyDescent="0.3">
      <c r="A105" t="s">
        <v>4881</v>
      </c>
      <c r="B105" t="s">
        <v>560</v>
      </c>
      <c r="C105" s="1">
        <v>45291</v>
      </c>
      <c r="D105">
        <v>77110727</v>
      </c>
      <c r="E105">
        <v>95936633</v>
      </c>
      <c r="F105">
        <v>136941639</v>
      </c>
      <c r="G105">
        <v>18519822</v>
      </c>
      <c r="H105">
        <v>191290474</v>
      </c>
      <c r="I105">
        <v>341260973</v>
      </c>
      <c r="J105">
        <v>587176989</v>
      </c>
      <c r="K105">
        <v>306486257</v>
      </c>
      <c r="L105">
        <v>166231135</v>
      </c>
      <c r="M105">
        <v>202636510</v>
      </c>
      <c r="N105">
        <v>54625543</v>
      </c>
    </row>
    <row r="106" spans="1:14" x14ac:dyDescent="0.3">
      <c r="A106" t="s">
        <v>4882</v>
      </c>
      <c r="B106" t="s">
        <v>560</v>
      </c>
      <c r="C106" s="1">
        <v>45322</v>
      </c>
      <c r="D106">
        <v>54625543</v>
      </c>
      <c r="E106">
        <v>112787432</v>
      </c>
      <c r="F106">
        <v>143787867</v>
      </c>
      <c r="G106">
        <v>25755520</v>
      </c>
      <c r="H106">
        <v>194366588</v>
      </c>
      <c r="I106">
        <v>485140030</v>
      </c>
      <c r="J106">
        <v>728887245</v>
      </c>
      <c r="K106">
        <v>307884901</v>
      </c>
      <c r="L106">
        <v>161818416</v>
      </c>
      <c r="M106">
        <v>176880991</v>
      </c>
      <c r="N106">
        <v>49380628</v>
      </c>
    </row>
    <row r="107" spans="1:14" x14ac:dyDescent="0.3">
      <c r="A107" t="s">
        <v>4883</v>
      </c>
      <c r="B107" t="s">
        <v>560</v>
      </c>
      <c r="C107" s="1">
        <v>45351</v>
      </c>
      <c r="D107">
        <v>49380627</v>
      </c>
      <c r="E107">
        <v>68989653</v>
      </c>
      <c r="F107">
        <v>124342862</v>
      </c>
      <c r="G107">
        <v>57653781</v>
      </c>
      <c r="H107">
        <v>195082095</v>
      </c>
      <c r="I107">
        <v>497239683</v>
      </c>
      <c r="J107">
        <v>744002976</v>
      </c>
      <c r="K107">
        <v>291957148</v>
      </c>
      <c r="L107">
        <v>187968070</v>
      </c>
      <c r="M107">
        <v>119227210</v>
      </c>
      <c r="N107">
        <v>51681199</v>
      </c>
    </row>
    <row r="108" spans="1:14" x14ac:dyDescent="0.3">
      <c r="A108" t="s">
        <v>4884</v>
      </c>
      <c r="B108" t="s">
        <v>560</v>
      </c>
      <c r="C108" s="1">
        <v>45382</v>
      </c>
      <c r="D108">
        <v>51681199</v>
      </c>
      <c r="E108">
        <v>160083474</v>
      </c>
      <c r="F108">
        <v>103913612</v>
      </c>
      <c r="G108">
        <v>-33738936</v>
      </c>
      <c r="H108">
        <v>220234696</v>
      </c>
      <c r="I108">
        <v>392367223</v>
      </c>
      <c r="J108">
        <v>686714045</v>
      </c>
      <c r="K108">
        <v>343329707</v>
      </c>
      <c r="L108">
        <v>175578962</v>
      </c>
      <c r="M108">
        <v>152966145</v>
      </c>
      <c r="N108">
        <v>74112125</v>
      </c>
    </row>
    <row r="109" spans="1:14" x14ac:dyDescent="0.3">
      <c r="A109" t="s">
        <v>4885</v>
      </c>
      <c r="B109" t="s">
        <v>560</v>
      </c>
      <c r="C109" s="1">
        <v>45412</v>
      </c>
      <c r="D109">
        <v>74112125</v>
      </c>
      <c r="E109">
        <v>227601510</v>
      </c>
      <c r="F109">
        <v>115897387</v>
      </c>
      <c r="G109">
        <v>-113660442</v>
      </c>
      <c r="H109">
        <v>244706299</v>
      </c>
      <c r="I109">
        <v>220898541</v>
      </c>
      <c r="J109">
        <v>537760647</v>
      </c>
      <c r="K109">
        <v>355836830</v>
      </c>
      <c r="L109">
        <v>144392004</v>
      </c>
      <c r="M109">
        <v>266626587</v>
      </c>
      <c r="N109">
        <v>72155806</v>
      </c>
    </row>
    <row r="110" spans="1:14" x14ac:dyDescent="0.3">
      <c r="A110" t="s">
        <v>4886</v>
      </c>
      <c r="B110" t="s">
        <v>560</v>
      </c>
      <c r="C110" s="1">
        <v>45443</v>
      </c>
      <c r="D110">
        <v>72155807</v>
      </c>
      <c r="E110">
        <v>126111998</v>
      </c>
      <c r="F110">
        <v>144880007</v>
      </c>
      <c r="G110">
        <v>0</v>
      </c>
      <c r="H110">
        <v>226164096</v>
      </c>
      <c r="I110">
        <v>223695504</v>
      </c>
      <c r="J110">
        <v>503247398</v>
      </c>
      <c r="K110">
        <v>325691093</v>
      </c>
      <c r="L110">
        <v>141823749</v>
      </c>
      <c r="M110">
        <v>266626587</v>
      </c>
      <c r="N110">
        <v>53387798</v>
      </c>
    </row>
    <row r="111" spans="1:14" x14ac:dyDescent="0.3">
      <c r="A111" t="s">
        <v>4887</v>
      </c>
      <c r="B111" t="s">
        <v>560</v>
      </c>
      <c r="C111" s="1">
        <v>45473</v>
      </c>
      <c r="D111">
        <v>53387798</v>
      </c>
      <c r="E111">
        <v>42085186</v>
      </c>
      <c r="F111">
        <v>178207453</v>
      </c>
      <c r="G111">
        <v>137772787</v>
      </c>
      <c r="H111">
        <v>174849252</v>
      </c>
      <c r="I111">
        <v>412583228</v>
      </c>
      <c r="J111">
        <v>642470799</v>
      </c>
      <c r="K111">
        <v>287511268</v>
      </c>
      <c r="L111">
        <v>179035714</v>
      </c>
      <c r="M111">
        <v>128853801</v>
      </c>
      <c r="N111">
        <v>55038318</v>
      </c>
    </row>
    <row r="112" spans="1:14" x14ac:dyDescent="0.3">
      <c r="A112" t="s">
        <v>4888</v>
      </c>
      <c r="B112" t="s">
        <v>560</v>
      </c>
      <c r="C112" s="1">
        <v>45504</v>
      </c>
      <c r="D112">
        <v>55038318</v>
      </c>
      <c r="E112">
        <v>111014908</v>
      </c>
      <c r="F112">
        <v>85163574</v>
      </c>
      <c r="G112">
        <v>-8316458</v>
      </c>
      <c r="H112">
        <v>153203047</v>
      </c>
      <c r="I112">
        <v>431568999</v>
      </c>
      <c r="J112">
        <v>657345241</v>
      </c>
      <c r="K112">
        <v>296368247</v>
      </c>
      <c r="L112">
        <v>180486588</v>
      </c>
      <c r="M112">
        <v>137170258</v>
      </c>
      <c r="N112">
        <v>72573194</v>
      </c>
    </row>
    <row r="113" spans="1:14" x14ac:dyDescent="0.3">
      <c r="A113" t="s">
        <v>4889</v>
      </c>
      <c r="B113" t="s">
        <v>560</v>
      </c>
      <c r="C113" s="1">
        <v>45535</v>
      </c>
      <c r="D113">
        <v>72573195</v>
      </c>
      <c r="E113">
        <v>149166528</v>
      </c>
      <c r="F113">
        <v>78203001</v>
      </c>
      <c r="G113">
        <v>-71230347</v>
      </c>
      <c r="H113">
        <v>183795817</v>
      </c>
      <c r="I113">
        <v>371125535</v>
      </c>
      <c r="J113">
        <v>627227727</v>
      </c>
      <c r="K113">
        <v>320006509</v>
      </c>
      <c r="L113">
        <v>158841046</v>
      </c>
      <c r="M113">
        <v>208400606</v>
      </c>
      <c r="N113">
        <v>72306375</v>
      </c>
    </row>
    <row r="114" spans="1:14" x14ac:dyDescent="0.3">
      <c r="A114" t="s">
        <v>4890</v>
      </c>
      <c r="B114" t="s">
        <v>560</v>
      </c>
      <c r="C114" s="1">
        <v>45565</v>
      </c>
      <c r="D114">
        <v>72306375</v>
      </c>
      <c r="E114">
        <v>152275774</v>
      </c>
      <c r="F114">
        <v>114060385</v>
      </c>
      <c r="G114">
        <v>-25832673</v>
      </c>
      <c r="H114">
        <v>150276978</v>
      </c>
      <c r="I114">
        <v>366588983</v>
      </c>
      <c r="J114">
        <v>601555051</v>
      </c>
      <c r="K114">
        <v>277155671</v>
      </c>
      <c r="L114">
        <v>151343975</v>
      </c>
      <c r="M114">
        <v>234233279</v>
      </c>
      <c r="N114">
        <v>84689091</v>
      </c>
    </row>
    <row r="115" spans="1:14" x14ac:dyDescent="0.3">
      <c r="A115" t="s">
        <v>4891</v>
      </c>
      <c r="B115" t="s">
        <v>560</v>
      </c>
      <c r="C115" s="1">
        <v>45596</v>
      </c>
      <c r="D115">
        <v>84689090</v>
      </c>
      <c r="E115">
        <v>78149353</v>
      </c>
      <c r="F115">
        <v>122070528</v>
      </c>
      <c r="G115">
        <v>10948249</v>
      </c>
      <c r="H115">
        <v>120960293</v>
      </c>
      <c r="I115">
        <v>414494516</v>
      </c>
      <c r="J115">
        <v>587170973</v>
      </c>
      <c r="K115">
        <v>253164838</v>
      </c>
      <c r="L115">
        <v>155023488</v>
      </c>
      <c r="M115">
        <v>223285030</v>
      </c>
      <c r="N115">
        <v>51716164</v>
      </c>
    </row>
    <row r="116" spans="1:14" x14ac:dyDescent="0.3">
      <c r="A116" t="s">
        <v>4892</v>
      </c>
      <c r="B116" t="s">
        <v>560</v>
      </c>
      <c r="C116" s="1">
        <v>45626</v>
      </c>
      <c r="D116">
        <v>51716164</v>
      </c>
      <c r="E116">
        <v>115332048</v>
      </c>
      <c r="F116">
        <v>62360429</v>
      </c>
      <c r="G116">
        <v>-16772024</v>
      </c>
      <c r="H116">
        <v>89827413</v>
      </c>
      <c r="I116">
        <v>503028945</v>
      </c>
      <c r="J116">
        <v>680772116</v>
      </c>
      <c r="K116">
        <v>232602300</v>
      </c>
      <c r="L116">
        <v>148779843</v>
      </c>
      <c r="M116">
        <v>240057055</v>
      </c>
      <c r="N116">
        <v>87915759</v>
      </c>
    </row>
    <row r="117" spans="1:14" x14ac:dyDescent="0.3">
      <c r="A117" t="s">
        <v>4893</v>
      </c>
      <c r="B117" t="s">
        <v>560</v>
      </c>
      <c r="C117" s="1">
        <v>45657</v>
      </c>
      <c r="D117">
        <v>87915759</v>
      </c>
      <c r="E117">
        <v>196813987</v>
      </c>
      <c r="F117">
        <v>85453567</v>
      </c>
      <c r="G117">
        <v>-129958577</v>
      </c>
      <c r="H117">
        <v>95087601</v>
      </c>
      <c r="I117">
        <v>486331050</v>
      </c>
      <c r="J117">
        <v>650736254</v>
      </c>
      <c r="K117">
        <v>204328416</v>
      </c>
      <c r="L117">
        <v>101825151</v>
      </c>
      <c r="M117">
        <v>370015632</v>
      </c>
      <c r="N117">
        <v>69317602</v>
      </c>
    </row>
    <row r="118" spans="1:14" x14ac:dyDescent="0.3">
      <c r="A118" t="s">
        <v>4894</v>
      </c>
      <c r="B118" t="s">
        <v>560</v>
      </c>
      <c r="C118" s="1">
        <v>45688</v>
      </c>
      <c r="D118">
        <v>69317602</v>
      </c>
      <c r="E118">
        <v>174974726</v>
      </c>
      <c r="F118">
        <v>101902986</v>
      </c>
      <c r="G118">
        <v>-53436913</v>
      </c>
      <c r="H118">
        <v>137363593</v>
      </c>
      <c r="I118">
        <v>428280853</v>
      </c>
      <c r="J118">
        <v>654596874</v>
      </c>
      <c r="K118">
        <v>210195898</v>
      </c>
      <c r="L118">
        <v>98572169</v>
      </c>
      <c r="M118">
        <v>423452545</v>
      </c>
      <c r="N118">
        <v>88952429</v>
      </c>
    </row>
    <row r="119" spans="1:14" x14ac:dyDescent="0.3">
      <c r="A119" t="s">
        <v>4895</v>
      </c>
      <c r="B119" t="s">
        <v>560</v>
      </c>
      <c r="C119" s="1">
        <v>45716</v>
      </c>
      <c r="D119">
        <v>88952429</v>
      </c>
      <c r="E119">
        <v>206171529</v>
      </c>
      <c r="F119">
        <v>77746438</v>
      </c>
      <c r="G119">
        <v>0</v>
      </c>
      <c r="H119">
        <v>184743564</v>
      </c>
      <c r="I119">
        <v>349891904</v>
      </c>
      <c r="J119">
        <v>752012989</v>
      </c>
      <c r="K119">
        <v>244758622</v>
      </c>
      <c r="L119">
        <v>95441363</v>
      </c>
      <c r="M119">
        <v>423452545</v>
      </c>
      <c r="N119">
        <v>217377520</v>
      </c>
    </row>
    <row r="120" spans="1:14" x14ac:dyDescent="0.3">
      <c r="A120" t="s">
        <v>4896</v>
      </c>
      <c r="B120" t="s">
        <v>560</v>
      </c>
      <c r="C120" s="1">
        <v>45747</v>
      </c>
      <c r="D120">
        <v>217377521</v>
      </c>
      <c r="E120">
        <v>129668482</v>
      </c>
      <c r="F120">
        <v>142420879</v>
      </c>
      <c r="G120">
        <v>0</v>
      </c>
      <c r="H120">
        <v>168193379</v>
      </c>
      <c r="I120">
        <v>382008188</v>
      </c>
      <c r="J120">
        <v>754826690</v>
      </c>
      <c r="K120">
        <v>212376416</v>
      </c>
      <c r="L120">
        <v>97090778</v>
      </c>
      <c r="M120">
        <v>423452545</v>
      </c>
      <c r="N120">
        <v>204625124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A80B-BA41-467B-9463-90FFA34062FE}">
  <dimension ref="A1:R2690"/>
  <sheetViews>
    <sheetView workbookViewId="0">
      <selection activeCell="H2693" sqref="H2693"/>
    </sheetView>
  </sheetViews>
  <sheetFormatPr defaultRowHeight="14.4" x14ac:dyDescent="0.3"/>
  <cols>
    <col min="1" max="1" width="11.6640625" bestFit="1" customWidth="1"/>
    <col min="2" max="2" width="13.5546875" bestFit="1" customWidth="1"/>
    <col min="3" max="3" width="7.77734375" bestFit="1" customWidth="1"/>
    <col min="4" max="4" width="13.77734375" bestFit="1" customWidth="1"/>
    <col min="5" max="5" width="10.88671875" bestFit="1" customWidth="1"/>
    <col min="6" max="6" width="10.44140625" bestFit="1" customWidth="1"/>
    <col min="7" max="7" width="16.44140625" bestFit="1" customWidth="1"/>
    <col min="8" max="8" width="11.5546875" bestFit="1" customWidth="1"/>
    <col min="9" max="9" width="13.88671875" bestFit="1" customWidth="1"/>
    <col min="10" max="10" width="13.109375" bestFit="1" customWidth="1"/>
    <col min="11" max="11" width="12.33203125" bestFit="1" customWidth="1"/>
    <col min="12" max="12" width="14.109375" bestFit="1" customWidth="1"/>
    <col min="13" max="13" width="12.33203125" customWidth="1"/>
    <col min="14" max="14" width="21.44140625" customWidth="1"/>
    <col min="15" max="15" width="17.88671875" bestFit="1" customWidth="1"/>
    <col min="16" max="16" width="14.5546875" customWidth="1"/>
    <col min="17" max="17" width="15.109375" customWidth="1"/>
    <col min="18" max="18" width="14.21875" customWidth="1"/>
    <col min="19" max="19" width="15.44140625" customWidth="1"/>
  </cols>
  <sheetData>
    <row r="1" spans="1:18" x14ac:dyDescent="0.3">
      <c r="A1" t="s">
        <v>542</v>
      </c>
      <c r="B1" t="s">
        <v>0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549</v>
      </c>
      <c r="I1" t="s">
        <v>550</v>
      </c>
      <c r="J1" t="s">
        <v>551</v>
      </c>
      <c r="K1" t="s">
        <v>552</v>
      </c>
      <c r="L1" t="s">
        <v>548</v>
      </c>
      <c r="M1" t="s">
        <v>6500</v>
      </c>
      <c r="N1" t="s">
        <v>6501</v>
      </c>
      <c r="O1" t="s">
        <v>6502</v>
      </c>
      <c r="P1" t="s">
        <v>6503</v>
      </c>
      <c r="Q1" t="s">
        <v>6504</v>
      </c>
      <c r="R1" t="s">
        <v>6505</v>
      </c>
    </row>
    <row r="2" spans="1:18" x14ac:dyDescent="0.3">
      <c r="A2" t="s">
        <v>3137</v>
      </c>
      <c r="B2" t="s">
        <v>72</v>
      </c>
      <c r="C2" t="s">
        <v>560</v>
      </c>
      <c r="D2" s="1">
        <v>45721</v>
      </c>
      <c r="E2" s="1">
        <v>45811</v>
      </c>
      <c r="F2" t="s">
        <v>31</v>
      </c>
      <c r="G2">
        <v>497215.46</v>
      </c>
      <c r="H2" s="1"/>
      <c r="I2" t="s">
        <v>2206</v>
      </c>
      <c r="J2" t="s">
        <v>556</v>
      </c>
      <c r="L2">
        <v>0</v>
      </c>
      <c r="M2">
        <f>IF(F2="INR",1,INDEX('rates'!$B$2:$C$522,MATCH(D2,'rates'!$A$2:$A$522,1),MATCH(F2&amp;"/INR",'rates'!$B$1:$C$1,0)))</f>
        <v>93.627799999999993</v>
      </c>
      <c r="N2">
        <f t="shared" ref="N2:N65" si="0">G2*M2</f>
        <v>46553189.645787999</v>
      </c>
      <c r="O2">
        <f t="shared" ref="O2:O65" si="1">IF(OR(I2="OPEN",I2="PARTIALLY PAID"),(G2-L2)*M2,0)</f>
        <v>46553189.645787999</v>
      </c>
      <c r="P2">
        <f t="shared" ref="P2:P65" si="2">IF(O2&gt;0,MAX(0,DATE(2025,3,31)-E2),0)</f>
        <v>0</v>
      </c>
      <c r="Q2" t="str">
        <f t="shared" ref="Q2:Q65" si="3">IF(H2="","",H2-E2)</f>
        <v/>
      </c>
      <c r="R2" t="str">
        <f t="shared" ref="R2:R65" si="4">IF(O2=0,"Not open",IF(P2=0,"Not yet due",IF(P2&lt;=30,"1-30",IF(P2&lt;=60,"31-60",IF(P2&lt;=90,"61-90","90+")))))</f>
        <v>Not yet due</v>
      </c>
    </row>
    <row r="3" spans="1:18" x14ac:dyDescent="0.3">
      <c r="A3" t="s">
        <v>3210</v>
      </c>
      <c r="B3" t="s">
        <v>138</v>
      </c>
      <c r="C3" t="s">
        <v>566</v>
      </c>
      <c r="D3" s="1">
        <v>45738</v>
      </c>
      <c r="E3" s="1">
        <v>45768</v>
      </c>
      <c r="F3" t="s">
        <v>13</v>
      </c>
      <c r="G3">
        <v>44151066</v>
      </c>
      <c r="H3" s="1"/>
      <c r="I3" t="s">
        <v>2206</v>
      </c>
      <c r="J3" t="s">
        <v>556</v>
      </c>
      <c r="L3">
        <v>0</v>
      </c>
      <c r="M3">
        <f>IF(F3="INR",1,INDEX('rates'!$B$2:$C$522,MATCH(D3,'rates'!$A$2:$A$522,1),MATCH(F3&amp;"/INR",'rates'!$B$1:$C$1,0)))</f>
        <v>1</v>
      </c>
      <c r="N3">
        <f t="shared" si="0"/>
        <v>44151066</v>
      </c>
      <c r="O3">
        <f t="shared" si="1"/>
        <v>44151066</v>
      </c>
      <c r="P3">
        <f t="shared" si="2"/>
        <v>0</v>
      </c>
      <c r="Q3" t="str">
        <f t="shared" si="3"/>
        <v/>
      </c>
      <c r="R3" t="str">
        <f t="shared" si="4"/>
        <v>Not yet due</v>
      </c>
    </row>
    <row r="4" spans="1:18" x14ac:dyDescent="0.3">
      <c r="A4" t="s">
        <v>2931</v>
      </c>
      <c r="B4" t="s">
        <v>362</v>
      </c>
      <c r="C4" t="s">
        <v>575</v>
      </c>
      <c r="D4" s="1">
        <v>45667</v>
      </c>
      <c r="E4" s="1">
        <v>45757</v>
      </c>
      <c r="F4" t="s">
        <v>36</v>
      </c>
      <c r="G4">
        <v>431946.95</v>
      </c>
      <c r="H4" s="1"/>
      <c r="I4" t="s">
        <v>2206</v>
      </c>
      <c r="J4" t="s">
        <v>556</v>
      </c>
      <c r="L4">
        <v>0</v>
      </c>
      <c r="M4">
        <f>IF(F4="INR",1,INDEX('rates'!$B$2:$C$522,MATCH(D4,'rates'!$A$2:$A$522,1),MATCH(F4&amp;"/INR",'rates'!$B$1:$C$1,0)))</f>
        <v>85.96</v>
      </c>
      <c r="N4">
        <f t="shared" si="0"/>
        <v>37130159.821999997</v>
      </c>
      <c r="O4">
        <f t="shared" si="1"/>
        <v>37130159.821999997</v>
      </c>
      <c r="P4">
        <f t="shared" si="2"/>
        <v>0</v>
      </c>
      <c r="Q4" t="str">
        <f t="shared" si="3"/>
        <v/>
      </c>
      <c r="R4" t="str">
        <f t="shared" si="4"/>
        <v>Not yet due</v>
      </c>
    </row>
    <row r="5" spans="1:18" x14ac:dyDescent="0.3">
      <c r="A5" t="s">
        <v>3160</v>
      </c>
      <c r="B5" t="s">
        <v>117</v>
      </c>
      <c r="C5" t="s">
        <v>554</v>
      </c>
      <c r="D5" s="1">
        <v>45727</v>
      </c>
      <c r="E5" s="1">
        <v>45787</v>
      </c>
      <c r="F5" t="s">
        <v>13</v>
      </c>
      <c r="G5">
        <v>36730540</v>
      </c>
      <c r="H5" s="1"/>
      <c r="I5" t="s">
        <v>2206</v>
      </c>
      <c r="J5" t="s">
        <v>556</v>
      </c>
      <c r="L5">
        <v>0</v>
      </c>
      <c r="M5">
        <f>IF(F5="INR",1,INDEX('rates'!$B$2:$C$522,MATCH(D5,'rates'!$A$2:$A$522,1),MATCH(F5&amp;"/INR",'rates'!$B$1:$C$1,0)))</f>
        <v>1</v>
      </c>
      <c r="N5">
        <f t="shared" si="0"/>
        <v>36730540</v>
      </c>
      <c r="O5">
        <f t="shared" si="1"/>
        <v>36730540</v>
      </c>
      <c r="P5">
        <f t="shared" si="2"/>
        <v>0</v>
      </c>
      <c r="Q5" t="str">
        <f t="shared" si="3"/>
        <v/>
      </c>
      <c r="R5" t="str">
        <f t="shared" si="4"/>
        <v>Not yet due</v>
      </c>
    </row>
    <row r="6" spans="1:18" x14ac:dyDescent="0.3">
      <c r="A6" t="s">
        <v>2922</v>
      </c>
      <c r="B6" t="s">
        <v>262</v>
      </c>
      <c r="C6" t="s">
        <v>566</v>
      </c>
      <c r="D6" s="1">
        <v>45666</v>
      </c>
      <c r="E6" s="1">
        <v>45756</v>
      </c>
      <c r="F6" t="s">
        <v>31</v>
      </c>
      <c r="G6">
        <v>358641.79</v>
      </c>
      <c r="H6" s="1"/>
      <c r="I6" t="s">
        <v>2206</v>
      </c>
      <c r="J6" t="s">
        <v>573</v>
      </c>
      <c r="K6">
        <v>88.694199999999995</v>
      </c>
      <c r="L6">
        <v>0</v>
      </c>
      <c r="M6">
        <f>IF(F6="INR",1,INDEX('rates'!$B$2:$C$522,MATCH(D6,'rates'!$A$2:$A$522,1),MATCH(F6&amp;"/INR",'rates'!$B$1:$C$1,0)))</f>
        <v>88.428899999999999</v>
      </c>
      <c r="N6">
        <f t="shared" si="0"/>
        <v>31714298.983730998</v>
      </c>
      <c r="O6">
        <f t="shared" si="1"/>
        <v>31714298.983730998</v>
      </c>
      <c r="P6">
        <f t="shared" si="2"/>
        <v>0</v>
      </c>
      <c r="Q6" t="str">
        <f t="shared" si="3"/>
        <v/>
      </c>
      <c r="R6" t="str">
        <f t="shared" si="4"/>
        <v>Not yet due</v>
      </c>
    </row>
    <row r="7" spans="1:18" x14ac:dyDescent="0.3">
      <c r="A7" t="s">
        <v>3168</v>
      </c>
      <c r="B7" t="s">
        <v>316</v>
      </c>
      <c r="C7" t="s">
        <v>575</v>
      </c>
      <c r="D7" s="1">
        <v>45728</v>
      </c>
      <c r="E7" s="1">
        <v>45758</v>
      </c>
      <c r="F7" t="s">
        <v>13</v>
      </c>
      <c r="G7">
        <v>30751759</v>
      </c>
      <c r="H7" s="1"/>
      <c r="I7" t="s">
        <v>2206</v>
      </c>
      <c r="J7" t="s">
        <v>556</v>
      </c>
      <c r="L7">
        <v>0</v>
      </c>
      <c r="M7">
        <f>IF(F7="INR",1,INDEX('rates'!$B$2:$C$522,MATCH(D7,'rates'!$A$2:$A$522,1),MATCH(F7&amp;"/INR",'rates'!$B$1:$C$1,0)))</f>
        <v>1</v>
      </c>
      <c r="N7">
        <f t="shared" si="0"/>
        <v>30751759</v>
      </c>
      <c r="O7">
        <f t="shared" si="1"/>
        <v>30751759</v>
      </c>
      <c r="P7">
        <f t="shared" si="2"/>
        <v>0</v>
      </c>
      <c r="Q7" t="str">
        <f t="shared" si="3"/>
        <v/>
      </c>
      <c r="R7" t="str">
        <f t="shared" si="4"/>
        <v>Not yet due</v>
      </c>
    </row>
    <row r="8" spans="1:18" x14ac:dyDescent="0.3">
      <c r="A8" t="s">
        <v>3062</v>
      </c>
      <c r="B8" t="s">
        <v>372</v>
      </c>
      <c r="C8" t="s">
        <v>560</v>
      </c>
      <c r="D8" s="1">
        <v>45701</v>
      </c>
      <c r="E8" s="1">
        <v>45791</v>
      </c>
      <c r="F8" t="s">
        <v>13</v>
      </c>
      <c r="G8">
        <v>29692974</v>
      </c>
      <c r="H8" s="1"/>
      <c r="I8" t="s">
        <v>2206</v>
      </c>
      <c r="J8" t="s">
        <v>556</v>
      </c>
      <c r="L8">
        <v>0</v>
      </c>
      <c r="M8">
        <f>IF(F8="INR",1,INDEX('rates'!$B$2:$C$522,MATCH(D8,'rates'!$A$2:$A$522,1),MATCH(F8&amp;"/INR",'rates'!$B$1:$C$1,0)))</f>
        <v>1</v>
      </c>
      <c r="N8">
        <f t="shared" si="0"/>
        <v>29692974</v>
      </c>
      <c r="O8">
        <f t="shared" si="1"/>
        <v>29692974</v>
      </c>
      <c r="P8">
        <f t="shared" si="2"/>
        <v>0</v>
      </c>
      <c r="Q8" t="str">
        <f t="shared" si="3"/>
        <v/>
      </c>
      <c r="R8" t="str">
        <f t="shared" si="4"/>
        <v>Not yet due</v>
      </c>
    </row>
    <row r="9" spans="1:18" x14ac:dyDescent="0.3">
      <c r="A9" t="s">
        <v>3179</v>
      </c>
      <c r="B9" t="s">
        <v>96</v>
      </c>
      <c r="C9" t="s">
        <v>558</v>
      </c>
      <c r="D9" s="1">
        <v>45731</v>
      </c>
      <c r="E9" s="1">
        <v>45821</v>
      </c>
      <c r="F9" t="s">
        <v>13</v>
      </c>
      <c r="G9">
        <v>28920720</v>
      </c>
      <c r="H9" s="1"/>
      <c r="I9" t="s">
        <v>2206</v>
      </c>
      <c r="J9" t="s">
        <v>556</v>
      </c>
      <c r="L9">
        <v>0</v>
      </c>
      <c r="M9">
        <f>IF(F9="INR",1,INDEX('rates'!$B$2:$C$522,MATCH(D9,'rates'!$A$2:$A$522,1),MATCH(F9&amp;"/INR",'rates'!$B$1:$C$1,0)))</f>
        <v>1</v>
      </c>
      <c r="N9">
        <f t="shared" si="0"/>
        <v>28920720</v>
      </c>
      <c r="O9">
        <f t="shared" si="1"/>
        <v>28920720</v>
      </c>
      <c r="P9">
        <f t="shared" si="2"/>
        <v>0</v>
      </c>
      <c r="Q9" t="str">
        <f t="shared" si="3"/>
        <v/>
      </c>
      <c r="R9" t="str">
        <f t="shared" si="4"/>
        <v>Not yet due</v>
      </c>
    </row>
    <row r="10" spans="1:18" x14ac:dyDescent="0.3">
      <c r="A10" t="s">
        <v>3136</v>
      </c>
      <c r="B10" t="s">
        <v>462</v>
      </c>
      <c r="C10" t="s">
        <v>566</v>
      </c>
      <c r="D10" s="1">
        <v>45720</v>
      </c>
      <c r="E10" s="1">
        <v>45765</v>
      </c>
      <c r="F10" t="s">
        <v>13</v>
      </c>
      <c r="G10">
        <v>27466762</v>
      </c>
      <c r="H10" s="1"/>
      <c r="I10" t="s">
        <v>2206</v>
      </c>
      <c r="J10" t="s">
        <v>556</v>
      </c>
      <c r="L10">
        <v>0</v>
      </c>
      <c r="M10">
        <f>IF(F10="INR",1,INDEX('rates'!$B$2:$C$522,MATCH(D10,'rates'!$A$2:$A$522,1),MATCH(F10&amp;"/INR",'rates'!$B$1:$C$1,0)))</f>
        <v>1</v>
      </c>
      <c r="N10">
        <f t="shared" si="0"/>
        <v>27466762</v>
      </c>
      <c r="O10">
        <f t="shared" si="1"/>
        <v>27466762</v>
      </c>
      <c r="P10">
        <f t="shared" si="2"/>
        <v>0</v>
      </c>
      <c r="Q10" t="str">
        <f t="shared" si="3"/>
        <v/>
      </c>
      <c r="R10" t="str">
        <f t="shared" si="4"/>
        <v>Not yet due</v>
      </c>
    </row>
    <row r="11" spans="1:18" x14ac:dyDescent="0.3">
      <c r="A11" t="s">
        <v>3108</v>
      </c>
      <c r="B11" t="s">
        <v>488</v>
      </c>
      <c r="C11" t="s">
        <v>558</v>
      </c>
      <c r="D11" s="1">
        <v>45710</v>
      </c>
      <c r="E11" s="1">
        <v>45740</v>
      </c>
      <c r="F11" t="s">
        <v>31</v>
      </c>
      <c r="G11">
        <v>291923.03999999998</v>
      </c>
      <c r="H11" s="1"/>
      <c r="I11" t="s">
        <v>2206</v>
      </c>
      <c r="J11" t="s">
        <v>556</v>
      </c>
      <c r="L11">
        <v>0</v>
      </c>
      <c r="M11">
        <f>IF(F11="INR",1,INDEX('rates'!$B$2:$C$522,MATCH(D11,'rates'!$A$2:$A$522,1),MATCH(F11&amp;"/INR",'rates'!$B$1:$C$1,0)))</f>
        <v>90.644800000000004</v>
      </c>
      <c r="N11">
        <f t="shared" si="0"/>
        <v>26461305.576191999</v>
      </c>
      <c r="O11">
        <f t="shared" si="1"/>
        <v>26461305.576191999</v>
      </c>
      <c r="P11">
        <f t="shared" si="2"/>
        <v>7</v>
      </c>
      <c r="Q11" t="str">
        <f t="shared" si="3"/>
        <v/>
      </c>
      <c r="R11" t="str">
        <f t="shared" si="4"/>
        <v>1-30</v>
      </c>
    </row>
    <row r="12" spans="1:18" x14ac:dyDescent="0.3">
      <c r="A12" t="s">
        <v>3123</v>
      </c>
      <c r="B12" t="s">
        <v>332</v>
      </c>
      <c r="C12" t="s">
        <v>566</v>
      </c>
      <c r="D12" s="1">
        <v>45717</v>
      </c>
      <c r="E12" s="1">
        <v>45777</v>
      </c>
      <c r="F12" t="s">
        <v>36</v>
      </c>
      <c r="G12">
        <v>289490.53000000003</v>
      </c>
      <c r="H12" s="1"/>
      <c r="I12" t="s">
        <v>2206</v>
      </c>
      <c r="J12" t="s">
        <v>573</v>
      </c>
      <c r="K12">
        <v>87.791700000000006</v>
      </c>
      <c r="L12">
        <v>0</v>
      </c>
      <c r="M12">
        <f>IF(F12="INR",1,INDEX('rates'!$B$2:$C$522,MATCH(D12,'rates'!$A$2:$A$522,1),MATCH(F12&amp;"/INR",'rates'!$B$1:$C$1,0)))</f>
        <v>87.5</v>
      </c>
      <c r="N12">
        <f t="shared" si="0"/>
        <v>25330421.375000004</v>
      </c>
      <c r="O12">
        <f t="shared" si="1"/>
        <v>25330421.375000004</v>
      </c>
      <c r="P12">
        <f t="shared" si="2"/>
        <v>0</v>
      </c>
      <c r="Q12" t="str">
        <f t="shared" si="3"/>
        <v/>
      </c>
      <c r="R12" t="str">
        <f t="shared" si="4"/>
        <v>Not yet due</v>
      </c>
    </row>
    <row r="13" spans="1:18" x14ac:dyDescent="0.3">
      <c r="A13" t="s">
        <v>2887</v>
      </c>
      <c r="B13" t="s">
        <v>346</v>
      </c>
      <c r="C13" t="s">
        <v>575</v>
      </c>
      <c r="D13" s="1">
        <v>45658</v>
      </c>
      <c r="E13" s="1">
        <v>45748</v>
      </c>
      <c r="F13" t="s">
        <v>13</v>
      </c>
      <c r="G13">
        <v>24438240</v>
      </c>
      <c r="H13" s="1"/>
      <c r="I13" t="s">
        <v>2206</v>
      </c>
      <c r="J13" t="s">
        <v>556</v>
      </c>
      <c r="L13">
        <v>0</v>
      </c>
      <c r="M13">
        <f>IF(F13="INR",1,INDEX('rates'!$B$2:$C$522,MATCH(D13,'rates'!$A$2:$A$522,1),MATCH(F13&amp;"/INR",'rates'!$B$1:$C$1,0)))</f>
        <v>1</v>
      </c>
      <c r="N13">
        <f t="shared" si="0"/>
        <v>24438240</v>
      </c>
      <c r="O13">
        <f t="shared" si="1"/>
        <v>24438240</v>
      </c>
      <c r="P13">
        <f t="shared" si="2"/>
        <v>0</v>
      </c>
      <c r="Q13" t="str">
        <f t="shared" si="3"/>
        <v/>
      </c>
      <c r="R13" t="str">
        <f t="shared" si="4"/>
        <v>Not yet due</v>
      </c>
    </row>
    <row r="14" spans="1:18" x14ac:dyDescent="0.3">
      <c r="A14" t="s">
        <v>3195</v>
      </c>
      <c r="B14" t="s">
        <v>25</v>
      </c>
      <c r="C14" t="s">
        <v>560</v>
      </c>
      <c r="D14" s="1">
        <v>45734</v>
      </c>
      <c r="E14" s="1">
        <v>45764</v>
      </c>
      <c r="F14" t="s">
        <v>13</v>
      </c>
      <c r="G14">
        <v>24397292</v>
      </c>
      <c r="H14" s="1"/>
      <c r="I14" t="s">
        <v>2206</v>
      </c>
      <c r="J14" t="s">
        <v>556</v>
      </c>
      <c r="L14">
        <v>0</v>
      </c>
      <c r="M14">
        <f>IF(F14="INR",1,INDEX('rates'!$B$2:$C$522,MATCH(D14,'rates'!$A$2:$A$522,1),MATCH(F14&amp;"/INR",'rates'!$B$1:$C$1,0)))</f>
        <v>1</v>
      </c>
      <c r="N14">
        <f t="shared" si="0"/>
        <v>24397292</v>
      </c>
      <c r="O14">
        <f t="shared" si="1"/>
        <v>24397292</v>
      </c>
      <c r="P14">
        <f t="shared" si="2"/>
        <v>0</v>
      </c>
      <c r="Q14" t="str">
        <f t="shared" si="3"/>
        <v/>
      </c>
      <c r="R14" t="str">
        <f t="shared" si="4"/>
        <v>Not yet due</v>
      </c>
    </row>
    <row r="15" spans="1:18" x14ac:dyDescent="0.3">
      <c r="A15" t="s">
        <v>2916</v>
      </c>
      <c r="B15" t="s">
        <v>464</v>
      </c>
      <c r="C15" t="s">
        <v>560</v>
      </c>
      <c r="D15" s="1">
        <v>45665</v>
      </c>
      <c r="E15" s="1">
        <v>45755</v>
      </c>
      <c r="F15" t="s">
        <v>13</v>
      </c>
      <c r="G15">
        <v>24031583</v>
      </c>
      <c r="H15" s="1"/>
      <c r="I15" t="s">
        <v>2206</v>
      </c>
      <c r="J15" t="s">
        <v>556</v>
      </c>
      <c r="L15">
        <v>0</v>
      </c>
      <c r="M15">
        <f>IF(F15="INR",1,INDEX('rates'!$B$2:$C$522,MATCH(D15,'rates'!$A$2:$A$522,1),MATCH(F15&amp;"/INR",'rates'!$B$1:$C$1,0)))</f>
        <v>1</v>
      </c>
      <c r="N15">
        <f t="shared" si="0"/>
        <v>24031583</v>
      </c>
      <c r="O15">
        <f t="shared" si="1"/>
        <v>24031583</v>
      </c>
      <c r="P15">
        <f t="shared" si="2"/>
        <v>0</v>
      </c>
      <c r="Q15" t="str">
        <f t="shared" si="3"/>
        <v/>
      </c>
      <c r="R15" t="str">
        <f t="shared" si="4"/>
        <v>Not yet due</v>
      </c>
    </row>
    <row r="16" spans="1:18" x14ac:dyDescent="0.3">
      <c r="A16" t="s">
        <v>3178</v>
      </c>
      <c r="B16" t="s">
        <v>512</v>
      </c>
      <c r="C16" t="s">
        <v>566</v>
      </c>
      <c r="D16" s="1">
        <v>45730</v>
      </c>
      <c r="E16" s="1">
        <v>45790</v>
      </c>
      <c r="F16" t="s">
        <v>31</v>
      </c>
      <c r="G16">
        <v>250227.09</v>
      </c>
      <c r="H16" s="1"/>
      <c r="I16" t="s">
        <v>2206</v>
      </c>
      <c r="J16" t="s">
        <v>573</v>
      </c>
      <c r="K16">
        <v>94.775599999999997</v>
      </c>
      <c r="L16">
        <v>0</v>
      </c>
      <c r="M16">
        <f>IF(F16="INR",1,INDEX('rates'!$B$2:$C$522,MATCH(D16,'rates'!$A$2:$A$522,1),MATCH(F16&amp;"/INR",'rates'!$B$1:$C$1,0)))</f>
        <v>94.586399999999998</v>
      </c>
      <c r="N16">
        <f t="shared" si="0"/>
        <v>23668079.625576001</v>
      </c>
      <c r="O16">
        <f t="shared" si="1"/>
        <v>23668079.625576001</v>
      </c>
      <c r="P16">
        <f t="shared" si="2"/>
        <v>0</v>
      </c>
      <c r="Q16" t="str">
        <f t="shared" si="3"/>
        <v/>
      </c>
      <c r="R16" t="str">
        <f t="shared" si="4"/>
        <v>Not yet due</v>
      </c>
    </row>
    <row r="17" spans="1:18" x14ac:dyDescent="0.3">
      <c r="A17" t="s">
        <v>3060</v>
      </c>
      <c r="B17" t="s">
        <v>322</v>
      </c>
      <c r="C17" t="s">
        <v>566</v>
      </c>
      <c r="D17" s="1">
        <v>45701</v>
      </c>
      <c r="E17" s="1">
        <v>45761</v>
      </c>
      <c r="F17" t="s">
        <v>13</v>
      </c>
      <c r="G17">
        <v>23523276</v>
      </c>
      <c r="H17" s="1"/>
      <c r="I17" t="s">
        <v>2206</v>
      </c>
      <c r="J17" t="s">
        <v>556</v>
      </c>
      <c r="L17">
        <v>0</v>
      </c>
      <c r="M17">
        <f>IF(F17="INR",1,INDEX('rates'!$B$2:$C$522,MATCH(D17,'rates'!$A$2:$A$522,1),MATCH(F17&amp;"/INR",'rates'!$B$1:$C$1,0)))</f>
        <v>1</v>
      </c>
      <c r="N17">
        <f t="shared" si="0"/>
        <v>23523276</v>
      </c>
      <c r="O17">
        <f t="shared" si="1"/>
        <v>23523276</v>
      </c>
      <c r="P17">
        <f t="shared" si="2"/>
        <v>0</v>
      </c>
      <c r="Q17" t="str">
        <f t="shared" si="3"/>
        <v/>
      </c>
      <c r="R17" t="str">
        <f t="shared" si="4"/>
        <v>Not yet due</v>
      </c>
    </row>
    <row r="18" spans="1:18" x14ac:dyDescent="0.3">
      <c r="A18" t="s">
        <v>3166</v>
      </c>
      <c r="B18" t="s">
        <v>436</v>
      </c>
      <c r="C18" t="s">
        <v>566</v>
      </c>
      <c r="D18" s="1">
        <v>45727</v>
      </c>
      <c r="E18" s="1">
        <v>45772</v>
      </c>
      <c r="F18" t="s">
        <v>36</v>
      </c>
      <c r="G18">
        <v>266232.61</v>
      </c>
      <c r="H18" s="1"/>
      <c r="I18" t="s">
        <v>2206</v>
      </c>
      <c r="J18" t="s">
        <v>573</v>
      </c>
      <c r="K18">
        <v>87.377899999999997</v>
      </c>
      <c r="L18">
        <v>0</v>
      </c>
      <c r="M18">
        <f>IF(F18="INR",1,INDEX('rates'!$B$2:$C$522,MATCH(D18,'rates'!$A$2:$A$522,1),MATCH(F18&amp;"/INR",'rates'!$B$1:$C$1,0)))</f>
        <v>87.16</v>
      </c>
      <c r="N18">
        <f t="shared" si="0"/>
        <v>23204834.287599999</v>
      </c>
      <c r="O18">
        <f t="shared" si="1"/>
        <v>23204834.287599999</v>
      </c>
      <c r="P18">
        <f t="shared" si="2"/>
        <v>0</v>
      </c>
      <c r="Q18" t="str">
        <f t="shared" si="3"/>
        <v/>
      </c>
      <c r="R18" t="str">
        <f t="shared" si="4"/>
        <v>Not yet due</v>
      </c>
    </row>
    <row r="19" spans="1:18" x14ac:dyDescent="0.3">
      <c r="A19" t="s">
        <v>2998</v>
      </c>
      <c r="B19" t="s">
        <v>436</v>
      </c>
      <c r="C19" t="s">
        <v>566</v>
      </c>
      <c r="D19" s="1">
        <v>45684</v>
      </c>
      <c r="E19" s="1">
        <v>45729</v>
      </c>
      <c r="F19" t="s">
        <v>36</v>
      </c>
      <c r="G19">
        <v>262232.01</v>
      </c>
      <c r="H19" s="1"/>
      <c r="I19" t="s">
        <v>2206</v>
      </c>
      <c r="J19" t="s">
        <v>573</v>
      </c>
      <c r="K19">
        <v>86.555800000000005</v>
      </c>
      <c r="L19">
        <v>0</v>
      </c>
      <c r="M19">
        <f>IF(F19="INR",1,INDEX('rates'!$B$2:$C$522,MATCH(D19,'rates'!$A$2:$A$522,1),MATCH(F19&amp;"/INR",'rates'!$B$1:$C$1,0)))</f>
        <v>86.34</v>
      </c>
      <c r="N19">
        <f t="shared" si="0"/>
        <v>22641111.7434</v>
      </c>
      <c r="O19">
        <f t="shared" si="1"/>
        <v>22641111.7434</v>
      </c>
      <c r="P19">
        <f t="shared" si="2"/>
        <v>18</v>
      </c>
      <c r="Q19" t="str">
        <f t="shared" si="3"/>
        <v/>
      </c>
      <c r="R19" t="str">
        <f t="shared" si="4"/>
        <v>1-30</v>
      </c>
    </row>
    <row r="20" spans="1:18" x14ac:dyDescent="0.3">
      <c r="A20" t="s">
        <v>2906</v>
      </c>
      <c r="B20" t="s">
        <v>512</v>
      </c>
      <c r="C20" t="s">
        <v>558</v>
      </c>
      <c r="D20" s="1">
        <v>45661</v>
      </c>
      <c r="E20" s="1">
        <v>45721</v>
      </c>
      <c r="F20" t="s">
        <v>31</v>
      </c>
      <c r="G20">
        <v>242682.17</v>
      </c>
      <c r="H20" s="1"/>
      <c r="I20" t="s">
        <v>2206</v>
      </c>
      <c r="J20" t="s">
        <v>556</v>
      </c>
      <c r="L20">
        <v>0</v>
      </c>
      <c r="M20">
        <f>IF(F20="INR",1,INDEX('rates'!$B$2:$C$522,MATCH(D20,'rates'!$A$2:$A$522,1),MATCH(F20&amp;"/INR",'rates'!$B$1:$C$1,0)))</f>
        <v>88.253900000000002</v>
      </c>
      <c r="N20">
        <f t="shared" si="0"/>
        <v>21417647.962963</v>
      </c>
      <c r="O20">
        <f t="shared" si="1"/>
        <v>21417647.962963</v>
      </c>
      <c r="P20">
        <f t="shared" si="2"/>
        <v>26</v>
      </c>
      <c r="Q20" t="str">
        <f t="shared" si="3"/>
        <v/>
      </c>
      <c r="R20" t="str">
        <f t="shared" si="4"/>
        <v>1-30</v>
      </c>
    </row>
    <row r="21" spans="1:18" x14ac:dyDescent="0.3">
      <c r="A21" t="s">
        <v>2897</v>
      </c>
      <c r="B21" t="s">
        <v>512</v>
      </c>
      <c r="C21" t="s">
        <v>566</v>
      </c>
      <c r="D21" s="1">
        <v>45659</v>
      </c>
      <c r="E21" s="1">
        <v>45719</v>
      </c>
      <c r="F21" t="s">
        <v>31</v>
      </c>
      <c r="G21">
        <v>236219.66</v>
      </c>
      <c r="H21" s="1"/>
      <c r="I21" t="s">
        <v>2206</v>
      </c>
      <c r="J21" t="s">
        <v>573</v>
      </c>
      <c r="K21">
        <v>88.164100000000005</v>
      </c>
      <c r="L21">
        <v>0</v>
      </c>
      <c r="M21">
        <f>IF(F21="INR",1,INDEX('rates'!$B$2:$C$522,MATCH(D21,'rates'!$A$2:$A$522,1),MATCH(F21&amp;"/INR",'rates'!$B$1:$C$1,0)))</f>
        <v>87.988100000000003</v>
      </c>
      <c r="N21">
        <f t="shared" si="0"/>
        <v>20784519.066046</v>
      </c>
      <c r="O21">
        <f t="shared" si="1"/>
        <v>20784519.066046</v>
      </c>
      <c r="P21">
        <f t="shared" si="2"/>
        <v>28</v>
      </c>
      <c r="Q21" t="str">
        <f t="shared" si="3"/>
        <v/>
      </c>
      <c r="R21" t="str">
        <f t="shared" si="4"/>
        <v>1-30</v>
      </c>
    </row>
    <row r="22" spans="1:18" x14ac:dyDescent="0.3">
      <c r="A22" t="s">
        <v>3152</v>
      </c>
      <c r="B22" t="s">
        <v>160</v>
      </c>
      <c r="C22" t="s">
        <v>558</v>
      </c>
      <c r="D22" s="1">
        <v>45724</v>
      </c>
      <c r="E22" s="1">
        <v>45769</v>
      </c>
      <c r="F22" t="s">
        <v>13</v>
      </c>
      <c r="G22">
        <v>20457785</v>
      </c>
      <c r="H22" s="1"/>
      <c r="I22" t="s">
        <v>2206</v>
      </c>
      <c r="J22" t="s">
        <v>556</v>
      </c>
      <c r="L22">
        <v>0</v>
      </c>
      <c r="M22">
        <f>IF(F22="INR",1,INDEX('rates'!$B$2:$C$522,MATCH(D22,'rates'!$A$2:$A$522,1),MATCH(F22&amp;"/INR",'rates'!$B$1:$C$1,0)))</f>
        <v>1</v>
      </c>
      <c r="N22">
        <f t="shared" si="0"/>
        <v>20457785</v>
      </c>
      <c r="O22">
        <f t="shared" si="1"/>
        <v>20457785</v>
      </c>
      <c r="P22">
        <f t="shared" si="2"/>
        <v>0</v>
      </c>
      <c r="Q22" t="str">
        <f t="shared" si="3"/>
        <v/>
      </c>
      <c r="R22" t="str">
        <f t="shared" si="4"/>
        <v>Not yet due</v>
      </c>
    </row>
    <row r="23" spans="1:18" x14ac:dyDescent="0.3">
      <c r="A23" t="s">
        <v>3106</v>
      </c>
      <c r="B23" t="s">
        <v>262</v>
      </c>
      <c r="C23" t="s">
        <v>566</v>
      </c>
      <c r="D23" s="1">
        <v>45710</v>
      </c>
      <c r="E23" s="1">
        <v>45800</v>
      </c>
      <c r="F23" t="s">
        <v>31</v>
      </c>
      <c r="G23">
        <v>218730.33</v>
      </c>
      <c r="H23" s="1"/>
      <c r="I23" t="s">
        <v>2206</v>
      </c>
      <c r="J23" t="s">
        <v>573</v>
      </c>
      <c r="K23">
        <v>90.916700000000006</v>
      </c>
      <c r="L23">
        <v>0</v>
      </c>
      <c r="M23">
        <f>IF(F23="INR",1,INDEX('rates'!$B$2:$C$522,MATCH(D23,'rates'!$A$2:$A$522,1),MATCH(F23&amp;"/INR",'rates'!$B$1:$C$1,0)))</f>
        <v>90.644800000000004</v>
      </c>
      <c r="N23">
        <f t="shared" si="0"/>
        <v>19826767.016784001</v>
      </c>
      <c r="O23">
        <f t="shared" si="1"/>
        <v>19826767.016784001</v>
      </c>
      <c r="P23">
        <f t="shared" si="2"/>
        <v>0</v>
      </c>
      <c r="Q23" t="str">
        <f t="shared" si="3"/>
        <v/>
      </c>
      <c r="R23" t="str">
        <f t="shared" si="4"/>
        <v>Not yet due</v>
      </c>
    </row>
    <row r="24" spans="1:18" x14ac:dyDescent="0.3">
      <c r="A24" t="s">
        <v>2366</v>
      </c>
      <c r="B24" t="s">
        <v>320</v>
      </c>
      <c r="C24" t="s">
        <v>575</v>
      </c>
      <c r="D24" s="1">
        <v>45528</v>
      </c>
      <c r="E24" s="1">
        <v>45573</v>
      </c>
      <c r="F24" t="s">
        <v>13</v>
      </c>
      <c r="G24">
        <v>19790384</v>
      </c>
      <c r="H24" s="1"/>
      <c r="I24" t="s">
        <v>2206</v>
      </c>
      <c r="J24" t="s">
        <v>556</v>
      </c>
      <c r="L24">
        <v>0</v>
      </c>
      <c r="M24">
        <f>IF(F24="INR",1,INDEX('rates'!$B$2:$C$522,MATCH(D24,'rates'!$A$2:$A$522,1),MATCH(F24&amp;"/INR",'rates'!$B$1:$C$1,0)))</f>
        <v>1</v>
      </c>
      <c r="N24">
        <f t="shared" si="0"/>
        <v>19790384</v>
      </c>
      <c r="O24">
        <f t="shared" si="1"/>
        <v>19790384</v>
      </c>
      <c r="P24">
        <f t="shared" si="2"/>
        <v>174</v>
      </c>
      <c r="Q24" t="str">
        <f t="shared" si="3"/>
        <v/>
      </c>
      <c r="R24" t="str">
        <f t="shared" si="4"/>
        <v>90+</v>
      </c>
    </row>
    <row r="25" spans="1:18" x14ac:dyDescent="0.3">
      <c r="A25" t="s">
        <v>2954</v>
      </c>
      <c r="B25" t="s">
        <v>372</v>
      </c>
      <c r="C25" t="s">
        <v>575</v>
      </c>
      <c r="D25" s="1">
        <v>45672</v>
      </c>
      <c r="E25" s="1">
        <v>45762</v>
      </c>
      <c r="F25" t="s">
        <v>13</v>
      </c>
      <c r="G25">
        <v>19644052</v>
      </c>
      <c r="H25" s="1"/>
      <c r="I25" t="s">
        <v>2206</v>
      </c>
      <c r="J25" t="s">
        <v>556</v>
      </c>
      <c r="L25">
        <v>0</v>
      </c>
      <c r="M25">
        <f>IF(F25="INR",1,INDEX('rates'!$B$2:$C$522,MATCH(D25,'rates'!$A$2:$A$522,1),MATCH(F25&amp;"/INR",'rates'!$B$1:$C$1,0)))</f>
        <v>1</v>
      </c>
      <c r="N25">
        <f t="shared" si="0"/>
        <v>19644052</v>
      </c>
      <c r="O25">
        <f t="shared" si="1"/>
        <v>19644052</v>
      </c>
      <c r="P25">
        <f t="shared" si="2"/>
        <v>0</v>
      </c>
      <c r="Q25" t="str">
        <f t="shared" si="3"/>
        <v/>
      </c>
      <c r="R25" t="str">
        <f t="shared" si="4"/>
        <v>Not yet due</v>
      </c>
    </row>
    <row r="26" spans="1:18" x14ac:dyDescent="0.3">
      <c r="A26" t="s">
        <v>2542</v>
      </c>
      <c r="B26" t="s">
        <v>400</v>
      </c>
      <c r="C26" t="s">
        <v>558</v>
      </c>
      <c r="D26" s="1">
        <v>45572</v>
      </c>
      <c r="E26" s="1">
        <v>45617</v>
      </c>
      <c r="F26" t="s">
        <v>36</v>
      </c>
      <c r="G26">
        <v>233241.23</v>
      </c>
      <c r="H26" s="1"/>
      <c r="I26" t="s">
        <v>2206</v>
      </c>
      <c r="J26" t="s">
        <v>556</v>
      </c>
      <c r="L26">
        <v>0</v>
      </c>
      <c r="M26">
        <f>IF(F26="INR",1,INDEX('rates'!$B$2:$C$522,MATCH(D26,'rates'!$A$2:$A$522,1),MATCH(F26&amp;"/INR",'rates'!$B$1:$C$1,0)))</f>
        <v>83.96</v>
      </c>
      <c r="N26">
        <f t="shared" si="0"/>
        <v>19582933.6708</v>
      </c>
      <c r="O26">
        <f t="shared" si="1"/>
        <v>19582933.6708</v>
      </c>
      <c r="P26">
        <f t="shared" si="2"/>
        <v>130</v>
      </c>
      <c r="Q26" t="str">
        <f t="shared" si="3"/>
        <v/>
      </c>
      <c r="R26" t="str">
        <f t="shared" si="4"/>
        <v>90+</v>
      </c>
    </row>
    <row r="27" spans="1:18" x14ac:dyDescent="0.3">
      <c r="A27" t="s">
        <v>3220</v>
      </c>
      <c r="B27" t="s">
        <v>96</v>
      </c>
      <c r="C27" t="s">
        <v>558</v>
      </c>
      <c r="D27" s="1">
        <v>45740</v>
      </c>
      <c r="E27" s="1">
        <v>45830</v>
      </c>
      <c r="F27" t="s">
        <v>13</v>
      </c>
      <c r="G27">
        <v>19264703</v>
      </c>
      <c r="H27" s="1"/>
      <c r="I27" t="s">
        <v>2206</v>
      </c>
      <c r="J27" t="s">
        <v>556</v>
      </c>
      <c r="L27">
        <v>0</v>
      </c>
      <c r="M27">
        <f>IF(F27="INR",1,INDEX('rates'!$B$2:$C$522,MATCH(D27,'rates'!$A$2:$A$522,1),MATCH(F27&amp;"/INR",'rates'!$B$1:$C$1,0)))</f>
        <v>1</v>
      </c>
      <c r="N27">
        <f t="shared" si="0"/>
        <v>19264703</v>
      </c>
      <c r="O27">
        <f t="shared" si="1"/>
        <v>19264703</v>
      </c>
      <c r="P27">
        <f t="shared" si="2"/>
        <v>0</v>
      </c>
      <c r="Q27" t="str">
        <f t="shared" si="3"/>
        <v/>
      </c>
      <c r="R27" t="str">
        <f t="shared" si="4"/>
        <v>Not yet due</v>
      </c>
    </row>
    <row r="28" spans="1:18" x14ac:dyDescent="0.3">
      <c r="A28" t="s">
        <v>3095</v>
      </c>
      <c r="B28" t="s">
        <v>496</v>
      </c>
      <c r="C28" t="s">
        <v>554</v>
      </c>
      <c r="D28" s="1">
        <v>45707</v>
      </c>
      <c r="E28" s="1">
        <v>45752</v>
      </c>
      <c r="F28" t="s">
        <v>13</v>
      </c>
      <c r="G28">
        <v>19154675</v>
      </c>
      <c r="H28" s="1"/>
      <c r="I28" t="s">
        <v>2206</v>
      </c>
      <c r="J28" t="s">
        <v>556</v>
      </c>
      <c r="L28">
        <v>0</v>
      </c>
      <c r="M28">
        <f>IF(F28="INR",1,INDEX('rates'!$B$2:$C$522,MATCH(D28,'rates'!$A$2:$A$522,1),MATCH(F28&amp;"/INR",'rates'!$B$1:$C$1,0)))</f>
        <v>1</v>
      </c>
      <c r="N28">
        <f t="shared" si="0"/>
        <v>19154675</v>
      </c>
      <c r="O28">
        <f t="shared" si="1"/>
        <v>19154675</v>
      </c>
      <c r="P28">
        <f t="shared" si="2"/>
        <v>0</v>
      </c>
      <c r="Q28" t="str">
        <f t="shared" si="3"/>
        <v/>
      </c>
      <c r="R28" t="str">
        <f t="shared" si="4"/>
        <v>Not yet due</v>
      </c>
    </row>
    <row r="29" spans="1:18" x14ac:dyDescent="0.3">
      <c r="A29" t="s">
        <v>2816</v>
      </c>
      <c r="B29" t="s">
        <v>436</v>
      </c>
      <c r="C29" t="s">
        <v>566</v>
      </c>
      <c r="D29" s="1">
        <v>45638</v>
      </c>
      <c r="E29" s="1">
        <v>45683</v>
      </c>
      <c r="F29" t="s">
        <v>36</v>
      </c>
      <c r="G29">
        <v>225595.07</v>
      </c>
      <c r="H29" s="1"/>
      <c r="I29" t="s">
        <v>2206</v>
      </c>
      <c r="J29" t="s">
        <v>573</v>
      </c>
      <c r="K29">
        <v>85.052099999999996</v>
      </c>
      <c r="L29">
        <v>0</v>
      </c>
      <c r="M29">
        <f>IF(F29="INR",1,INDEX('rates'!$B$2:$C$522,MATCH(D29,'rates'!$A$2:$A$522,1),MATCH(F29&amp;"/INR",'rates'!$B$1:$C$1,0)))</f>
        <v>84.84</v>
      </c>
      <c r="N29">
        <f t="shared" si="0"/>
        <v>19139485.7388</v>
      </c>
      <c r="O29">
        <f t="shared" si="1"/>
        <v>19139485.7388</v>
      </c>
      <c r="P29">
        <f t="shared" si="2"/>
        <v>64</v>
      </c>
      <c r="Q29" t="str">
        <f t="shared" si="3"/>
        <v/>
      </c>
      <c r="R29" t="str">
        <f t="shared" si="4"/>
        <v>61-90</v>
      </c>
    </row>
    <row r="30" spans="1:18" x14ac:dyDescent="0.3">
      <c r="A30" t="s">
        <v>3025</v>
      </c>
      <c r="B30" t="s">
        <v>182</v>
      </c>
      <c r="C30" t="s">
        <v>558</v>
      </c>
      <c r="D30" s="1">
        <v>45693</v>
      </c>
      <c r="E30" s="1">
        <v>45753</v>
      </c>
      <c r="F30" t="s">
        <v>36</v>
      </c>
      <c r="G30">
        <v>217524.13</v>
      </c>
      <c r="H30" s="1"/>
      <c r="I30" t="s">
        <v>2206</v>
      </c>
      <c r="J30" t="s">
        <v>556</v>
      </c>
      <c r="L30">
        <v>0</v>
      </c>
      <c r="M30">
        <f>IF(F30="INR",1,INDEX('rates'!$B$2:$C$522,MATCH(D30,'rates'!$A$2:$A$522,1),MATCH(F30&amp;"/INR",'rates'!$B$1:$C$1,0)))</f>
        <v>87.08</v>
      </c>
      <c r="N30">
        <f t="shared" si="0"/>
        <v>18942001.240400001</v>
      </c>
      <c r="O30">
        <f t="shared" si="1"/>
        <v>18942001.240400001</v>
      </c>
      <c r="P30">
        <f t="shared" si="2"/>
        <v>0</v>
      </c>
      <c r="Q30" t="str">
        <f t="shared" si="3"/>
        <v/>
      </c>
      <c r="R30" t="str">
        <f t="shared" si="4"/>
        <v>Not yet due</v>
      </c>
    </row>
    <row r="31" spans="1:18" x14ac:dyDescent="0.3">
      <c r="A31" t="s">
        <v>3209</v>
      </c>
      <c r="B31" t="s">
        <v>138</v>
      </c>
      <c r="C31" t="s">
        <v>566</v>
      </c>
      <c r="D31" s="1">
        <v>45738</v>
      </c>
      <c r="E31" s="1">
        <v>45768</v>
      </c>
      <c r="F31" t="s">
        <v>13</v>
      </c>
      <c r="G31">
        <v>18886440</v>
      </c>
      <c r="H31" s="1"/>
      <c r="I31" t="s">
        <v>2206</v>
      </c>
      <c r="J31" t="s">
        <v>556</v>
      </c>
      <c r="L31">
        <v>0</v>
      </c>
      <c r="M31">
        <f>IF(F31="INR",1,INDEX('rates'!$B$2:$C$522,MATCH(D31,'rates'!$A$2:$A$522,1),MATCH(F31&amp;"/INR",'rates'!$B$1:$C$1,0)))</f>
        <v>1</v>
      </c>
      <c r="N31">
        <f t="shared" si="0"/>
        <v>18886440</v>
      </c>
      <c r="O31">
        <f t="shared" si="1"/>
        <v>18886440</v>
      </c>
      <c r="P31">
        <f t="shared" si="2"/>
        <v>0</v>
      </c>
      <c r="Q31" t="str">
        <f t="shared" si="3"/>
        <v/>
      </c>
      <c r="R31" t="str">
        <f t="shared" si="4"/>
        <v>Not yet due</v>
      </c>
    </row>
    <row r="32" spans="1:18" x14ac:dyDescent="0.3">
      <c r="A32" t="s">
        <v>3082</v>
      </c>
      <c r="B32" t="s">
        <v>516</v>
      </c>
      <c r="C32" t="s">
        <v>560</v>
      </c>
      <c r="D32" s="1">
        <v>45703</v>
      </c>
      <c r="E32" s="1">
        <v>45763</v>
      </c>
      <c r="F32" t="s">
        <v>13</v>
      </c>
      <c r="G32">
        <v>18690785</v>
      </c>
      <c r="H32" s="1"/>
      <c r="I32" t="s">
        <v>2206</v>
      </c>
      <c r="J32" t="s">
        <v>556</v>
      </c>
      <c r="L32">
        <v>0</v>
      </c>
      <c r="M32">
        <f>IF(F32="INR",1,INDEX('rates'!$B$2:$C$522,MATCH(D32,'rates'!$A$2:$A$522,1),MATCH(F32&amp;"/INR",'rates'!$B$1:$C$1,0)))</f>
        <v>1</v>
      </c>
      <c r="N32">
        <f t="shared" si="0"/>
        <v>18690785</v>
      </c>
      <c r="O32">
        <f t="shared" si="1"/>
        <v>18690785</v>
      </c>
      <c r="P32">
        <f t="shared" si="2"/>
        <v>0</v>
      </c>
      <c r="Q32" t="str">
        <f t="shared" si="3"/>
        <v/>
      </c>
      <c r="R32" t="str">
        <f t="shared" si="4"/>
        <v>Not yet due</v>
      </c>
    </row>
    <row r="33" spans="1:18" x14ac:dyDescent="0.3">
      <c r="A33" t="s">
        <v>2970</v>
      </c>
      <c r="B33" t="s">
        <v>152</v>
      </c>
      <c r="C33" t="s">
        <v>558</v>
      </c>
      <c r="D33" s="1">
        <v>45678</v>
      </c>
      <c r="E33" s="1">
        <v>45738</v>
      </c>
      <c r="F33" t="s">
        <v>13</v>
      </c>
      <c r="G33">
        <v>18481351</v>
      </c>
      <c r="H33" s="1"/>
      <c r="I33" t="s">
        <v>2206</v>
      </c>
      <c r="J33" t="s">
        <v>556</v>
      </c>
      <c r="L33">
        <v>0</v>
      </c>
      <c r="M33">
        <f>IF(F33="INR",1,INDEX('rates'!$B$2:$C$522,MATCH(D33,'rates'!$A$2:$A$522,1),MATCH(F33&amp;"/INR",'rates'!$B$1:$C$1,0)))</f>
        <v>1</v>
      </c>
      <c r="N33">
        <f t="shared" si="0"/>
        <v>18481351</v>
      </c>
      <c r="O33">
        <f t="shared" si="1"/>
        <v>18481351</v>
      </c>
      <c r="P33">
        <f t="shared" si="2"/>
        <v>9</v>
      </c>
      <c r="Q33" t="str">
        <f t="shared" si="3"/>
        <v/>
      </c>
      <c r="R33" t="str">
        <f t="shared" si="4"/>
        <v>1-30</v>
      </c>
    </row>
    <row r="34" spans="1:18" x14ac:dyDescent="0.3">
      <c r="A34" t="s">
        <v>3033</v>
      </c>
      <c r="B34" t="s">
        <v>246</v>
      </c>
      <c r="C34" t="s">
        <v>554</v>
      </c>
      <c r="D34" s="1">
        <v>45694</v>
      </c>
      <c r="E34" s="1">
        <v>45754</v>
      </c>
      <c r="F34" t="s">
        <v>13</v>
      </c>
      <c r="G34">
        <v>18249855</v>
      </c>
      <c r="H34" s="1"/>
      <c r="I34" t="s">
        <v>2206</v>
      </c>
      <c r="J34" t="s">
        <v>556</v>
      </c>
      <c r="L34">
        <v>0</v>
      </c>
      <c r="M34">
        <f>IF(F34="INR",1,INDEX('rates'!$B$2:$C$522,MATCH(D34,'rates'!$A$2:$A$522,1),MATCH(F34&amp;"/INR",'rates'!$B$1:$C$1,0)))</f>
        <v>1</v>
      </c>
      <c r="N34">
        <f t="shared" si="0"/>
        <v>18249855</v>
      </c>
      <c r="O34">
        <f t="shared" si="1"/>
        <v>18249855</v>
      </c>
      <c r="P34">
        <f t="shared" si="2"/>
        <v>0</v>
      </c>
      <c r="Q34" t="str">
        <f t="shared" si="3"/>
        <v/>
      </c>
      <c r="R34" t="str">
        <f t="shared" si="4"/>
        <v>Not yet due</v>
      </c>
    </row>
    <row r="35" spans="1:18" x14ac:dyDescent="0.3">
      <c r="A35" t="s">
        <v>3214</v>
      </c>
      <c r="B35" t="s">
        <v>316</v>
      </c>
      <c r="C35" t="s">
        <v>575</v>
      </c>
      <c r="D35" s="1">
        <v>45738</v>
      </c>
      <c r="E35" s="1">
        <v>45768</v>
      </c>
      <c r="F35" t="s">
        <v>13</v>
      </c>
      <c r="G35">
        <v>18108442</v>
      </c>
      <c r="H35" s="1"/>
      <c r="I35" t="s">
        <v>2206</v>
      </c>
      <c r="J35" t="s">
        <v>556</v>
      </c>
      <c r="L35">
        <v>0</v>
      </c>
      <c r="M35">
        <f>IF(F35="INR",1,INDEX('rates'!$B$2:$C$522,MATCH(D35,'rates'!$A$2:$A$522,1),MATCH(F35&amp;"/INR",'rates'!$B$1:$C$1,0)))</f>
        <v>1</v>
      </c>
      <c r="N35">
        <f t="shared" si="0"/>
        <v>18108442</v>
      </c>
      <c r="O35">
        <f t="shared" si="1"/>
        <v>18108442</v>
      </c>
      <c r="P35">
        <f t="shared" si="2"/>
        <v>0</v>
      </c>
      <c r="Q35" t="str">
        <f t="shared" si="3"/>
        <v/>
      </c>
      <c r="R35" t="str">
        <f t="shared" si="4"/>
        <v>Not yet due</v>
      </c>
    </row>
    <row r="36" spans="1:18" x14ac:dyDescent="0.3">
      <c r="A36" t="s">
        <v>3158</v>
      </c>
      <c r="B36" t="s">
        <v>117</v>
      </c>
      <c r="C36" t="s">
        <v>554</v>
      </c>
      <c r="D36" s="1">
        <v>45726</v>
      </c>
      <c r="E36" s="1">
        <v>45786</v>
      </c>
      <c r="F36" t="s">
        <v>13</v>
      </c>
      <c r="G36">
        <v>17905495</v>
      </c>
      <c r="H36" s="1"/>
      <c r="I36" t="s">
        <v>2206</v>
      </c>
      <c r="J36" t="s">
        <v>556</v>
      </c>
      <c r="L36">
        <v>0</v>
      </c>
      <c r="M36">
        <f>IF(F36="INR",1,INDEX('rates'!$B$2:$C$522,MATCH(D36,'rates'!$A$2:$A$522,1),MATCH(F36&amp;"/INR",'rates'!$B$1:$C$1,0)))</f>
        <v>1</v>
      </c>
      <c r="N36">
        <f t="shared" si="0"/>
        <v>17905495</v>
      </c>
      <c r="O36">
        <f t="shared" si="1"/>
        <v>17905495</v>
      </c>
      <c r="P36">
        <f t="shared" si="2"/>
        <v>0</v>
      </c>
      <c r="Q36" t="str">
        <f t="shared" si="3"/>
        <v/>
      </c>
      <c r="R36" t="str">
        <f t="shared" si="4"/>
        <v>Not yet due</v>
      </c>
    </row>
    <row r="37" spans="1:18" x14ac:dyDescent="0.3">
      <c r="A37" t="s">
        <v>3238</v>
      </c>
      <c r="B37" t="s">
        <v>162</v>
      </c>
      <c r="C37" t="s">
        <v>558</v>
      </c>
      <c r="D37" s="1">
        <v>45744</v>
      </c>
      <c r="E37" s="1">
        <v>45834</v>
      </c>
      <c r="F37" t="s">
        <v>13</v>
      </c>
      <c r="G37">
        <v>17390108</v>
      </c>
      <c r="H37" s="1"/>
      <c r="I37" t="s">
        <v>2206</v>
      </c>
      <c r="J37" t="s">
        <v>556</v>
      </c>
      <c r="L37">
        <v>0</v>
      </c>
      <c r="M37">
        <f>IF(F37="INR",1,INDEX('rates'!$B$2:$C$522,MATCH(D37,'rates'!$A$2:$A$522,1),MATCH(F37&amp;"/INR",'rates'!$B$1:$C$1,0)))</f>
        <v>1</v>
      </c>
      <c r="N37">
        <f t="shared" si="0"/>
        <v>17390108</v>
      </c>
      <c r="O37">
        <f t="shared" si="1"/>
        <v>17390108</v>
      </c>
      <c r="P37">
        <f t="shared" si="2"/>
        <v>0</v>
      </c>
      <c r="Q37" t="str">
        <f t="shared" si="3"/>
        <v/>
      </c>
      <c r="R37" t="str">
        <f t="shared" si="4"/>
        <v>Not yet due</v>
      </c>
    </row>
    <row r="38" spans="1:18" x14ac:dyDescent="0.3">
      <c r="A38" t="s">
        <v>3055</v>
      </c>
      <c r="B38" t="s">
        <v>332</v>
      </c>
      <c r="C38" t="s">
        <v>566</v>
      </c>
      <c r="D38" s="1">
        <v>45700</v>
      </c>
      <c r="E38" s="1">
        <v>45760</v>
      </c>
      <c r="F38" t="s">
        <v>36</v>
      </c>
      <c r="G38">
        <v>199230.33</v>
      </c>
      <c r="H38" s="1"/>
      <c r="I38" t="s">
        <v>2206</v>
      </c>
      <c r="J38" t="s">
        <v>573</v>
      </c>
      <c r="K38">
        <v>87.189700000000002</v>
      </c>
      <c r="L38">
        <v>0</v>
      </c>
      <c r="M38">
        <f>IF(F38="INR",1,INDEX('rates'!$B$2:$C$522,MATCH(D38,'rates'!$A$2:$A$522,1),MATCH(F38&amp;"/INR",'rates'!$B$1:$C$1,0)))</f>
        <v>86.9</v>
      </c>
      <c r="N38">
        <f t="shared" si="0"/>
        <v>17313115.677000001</v>
      </c>
      <c r="O38">
        <f t="shared" si="1"/>
        <v>17313115.677000001</v>
      </c>
      <c r="P38">
        <f t="shared" si="2"/>
        <v>0</v>
      </c>
      <c r="Q38" t="str">
        <f t="shared" si="3"/>
        <v/>
      </c>
      <c r="R38" t="str">
        <f t="shared" si="4"/>
        <v>Not yet due</v>
      </c>
    </row>
    <row r="39" spans="1:18" x14ac:dyDescent="0.3">
      <c r="A39" t="s">
        <v>3022</v>
      </c>
      <c r="B39" t="s">
        <v>372</v>
      </c>
      <c r="C39" t="s">
        <v>560</v>
      </c>
      <c r="D39" s="1">
        <v>45692</v>
      </c>
      <c r="E39" s="1">
        <v>45782</v>
      </c>
      <c r="F39" t="s">
        <v>13</v>
      </c>
      <c r="G39">
        <v>16989427</v>
      </c>
      <c r="H39" s="1"/>
      <c r="I39" t="s">
        <v>2206</v>
      </c>
      <c r="J39" t="s">
        <v>556</v>
      </c>
      <c r="L39">
        <v>0</v>
      </c>
      <c r="M39">
        <f>IF(F39="INR",1,INDEX('rates'!$B$2:$C$522,MATCH(D39,'rates'!$A$2:$A$522,1),MATCH(F39&amp;"/INR",'rates'!$B$1:$C$1,0)))</f>
        <v>1</v>
      </c>
      <c r="N39">
        <f t="shared" si="0"/>
        <v>16989427</v>
      </c>
      <c r="O39">
        <f t="shared" si="1"/>
        <v>16989427</v>
      </c>
      <c r="P39">
        <f t="shared" si="2"/>
        <v>0</v>
      </c>
      <c r="Q39" t="str">
        <f t="shared" si="3"/>
        <v/>
      </c>
      <c r="R39" t="str">
        <f t="shared" si="4"/>
        <v>Not yet due</v>
      </c>
    </row>
    <row r="40" spans="1:18" x14ac:dyDescent="0.3">
      <c r="A40" t="s">
        <v>3069</v>
      </c>
      <c r="B40" t="s">
        <v>244</v>
      </c>
      <c r="C40" t="s">
        <v>575</v>
      </c>
      <c r="D40" s="1">
        <v>45702</v>
      </c>
      <c r="E40" s="1">
        <v>45762</v>
      </c>
      <c r="F40" t="s">
        <v>36</v>
      </c>
      <c r="G40">
        <v>186557.27</v>
      </c>
      <c r="H40" s="1"/>
      <c r="I40" t="s">
        <v>2206</v>
      </c>
      <c r="J40" t="s">
        <v>556</v>
      </c>
      <c r="L40">
        <v>0</v>
      </c>
      <c r="M40">
        <f>IF(F40="INR",1,INDEX('rates'!$B$2:$C$522,MATCH(D40,'rates'!$A$2:$A$522,1),MATCH(F40&amp;"/INR",'rates'!$B$1:$C$1,0)))</f>
        <v>86.82</v>
      </c>
      <c r="N40">
        <f t="shared" si="0"/>
        <v>16196902.181399997</v>
      </c>
      <c r="O40">
        <f t="shared" si="1"/>
        <v>16196902.181399997</v>
      </c>
      <c r="P40">
        <f t="shared" si="2"/>
        <v>0</v>
      </c>
      <c r="Q40" t="str">
        <f t="shared" si="3"/>
        <v/>
      </c>
      <c r="R40" t="str">
        <f t="shared" si="4"/>
        <v>Not yet due</v>
      </c>
    </row>
    <row r="41" spans="1:18" x14ac:dyDescent="0.3">
      <c r="A41" t="s">
        <v>3143</v>
      </c>
      <c r="B41" t="s">
        <v>264</v>
      </c>
      <c r="C41" t="s">
        <v>575</v>
      </c>
      <c r="D41" s="1">
        <v>45722</v>
      </c>
      <c r="E41" s="1">
        <v>45767</v>
      </c>
      <c r="F41" t="s">
        <v>13</v>
      </c>
      <c r="G41">
        <v>16167557</v>
      </c>
      <c r="H41" s="1"/>
      <c r="I41" t="s">
        <v>2206</v>
      </c>
      <c r="J41" t="s">
        <v>556</v>
      </c>
      <c r="L41">
        <v>0</v>
      </c>
      <c r="M41">
        <f>IF(F41="INR",1,INDEX('rates'!$B$2:$C$522,MATCH(D41,'rates'!$A$2:$A$522,1),MATCH(F41&amp;"/INR",'rates'!$B$1:$C$1,0)))</f>
        <v>1</v>
      </c>
      <c r="N41">
        <f t="shared" si="0"/>
        <v>16167557</v>
      </c>
      <c r="O41">
        <f t="shared" si="1"/>
        <v>16167557</v>
      </c>
      <c r="P41">
        <f t="shared" si="2"/>
        <v>0</v>
      </c>
      <c r="Q41" t="str">
        <f t="shared" si="3"/>
        <v/>
      </c>
      <c r="R41" t="str">
        <f t="shared" si="4"/>
        <v>Not yet due</v>
      </c>
    </row>
    <row r="42" spans="1:18" x14ac:dyDescent="0.3">
      <c r="A42" t="s">
        <v>1322</v>
      </c>
      <c r="B42" t="s">
        <v>512</v>
      </c>
      <c r="C42" t="s">
        <v>558</v>
      </c>
      <c r="D42" s="1">
        <v>45248</v>
      </c>
      <c r="E42" s="1">
        <v>45308</v>
      </c>
      <c r="F42" t="s">
        <v>31</v>
      </c>
      <c r="G42">
        <v>390064.79</v>
      </c>
      <c r="H42" s="1">
        <v>45336</v>
      </c>
      <c r="I42" t="s">
        <v>567</v>
      </c>
      <c r="J42" t="s">
        <v>556</v>
      </c>
      <c r="L42">
        <v>213178.92</v>
      </c>
      <c r="M42">
        <f>IF(F42="INR",1,INDEX('rates'!$B$2:$C$522,MATCH(D42,'rates'!$A$2:$A$522,1),MATCH(F42&amp;"/INR",'rates'!$B$1:$C$1,0)))</f>
        <v>90.567700000000002</v>
      </c>
      <c r="N42">
        <f t="shared" si="0"/>
        <v>35327270.881283</v>
      </c>
      <c r="O42">
        <f t="shared" si="1"/>
        <v>16020146.408398997</v>
      </c>
      <c r="P42">
        <f t="shared" si="2"/>
        <v>439</v>
      </c>
      <c r="Q42">
        <f t="shared" si="3"/>
        <v>28</v>
      </c>
      <c r="R42" t="str">
        <f t="shared" si="4"/>
        <v>90+</v>
      </c>
    </row>
    <row r="43" spans="1:18" x14ac:dyDescent="0.3">
      <c r="A43" t="s">
        <v>2196</v>
      </c>
      <c r="B43" t="s">
        <v>96</v>
      </c>
      <c r="C43" t="s">
        <v>558</v>
      </c>
      <c r="D43" s="1">
        <v>45479</v>
      </c>
      <c r="E43" s="1">
        <v>45569</v>
      </c>
      <c r="F43" t="s">
        <v>13</v>
      </c>
      <c r="G43">
        <v>41067334</v>
      </c>
      <c r="H43" s="1">
        <v>45569</v>
      </c>
      <c r="I43" t="s">
        <v>567</v>
      </c>
      <c r="J43" t="s">
        <v>556</v>
      </c>
      <c r="L43">
        <v>25770993.649999999</v>
      </c>
      <c r="M43">
        <f>IF(F43="INR",1,INDEX('rates'!$B$2:$C$522,MATCH(D43,'rates'!$A$2:$A$522,1),MATCH(F43&amp;"/INR",'rates'!$B$1:$C$1,0)))</f>
        <v>1</v>
      </c>
      <c r="N43">
        <f t="shared" si="0"/>
        <v>41067334</v>
      </c>
      <c r="O43">
        <f t="shared" si="1"/>
        <v>15296340.350000001</v>
      </c>
      <c r="P43">
        <f t="shared" si="2"/>
        <v>178</v>
      </c>
      <c r="Q43">
        <f t="shared" si="3"/>
        <v>0</v>
      </c>
      <c r="R43" t="str">
        <f t="shared" si="4"/>
        <v>90+</v>
      </c>
    </row>
    <row r="44" spans="1:18" x14ac:dyDescent="0.3">
      <c r="A44" t="s">
        <v>3176</v>
      </c>
      <c r="B44" t="s">
        <v>406</v>
      </c>
      <c r="C44" t="s">
        <v>554</v>
      </c>
      <c r="D44" s="1">
        <v>45730</v>
      </c>
      <c r="E44" s="1">
        <v>45820</v>
      </c>
      <c r="F44" t="s">
        <v>13</v>
      </c>
      <c r="G44">
        <v>15158950</v>
      </c>
      <c r="H44" s="1"/>
      <c r="I44" t="s">
        <v>2206</v>
      </c>
      <c r="J44" t="s">
        <v>556</v>
      </c>
      <c r="L44">
        <v>0</v>
      </c>
      <c r="M44">
        <f>IF(F44="INR",1,INDEX('rates'!$B$2:$C$522,MATCH(D44,'rates'!$A$2:$A$522,1),MATCH(F44&amp;"/INR",'rates'!$B$1:$C$1,0)))</f>
        <v>1</v>
      </c>
      <c r="N44">
        <f t="shared" si="0"/>
        <v>15158950</v>
      </c>
      <c r="O44">
        <f t="shared" si="1"/>
        <v>15158950</v>
      </c>
      <c r="P44">
        <f t="shared" si="2"/>
        <v>0</v>
      </c>
      <c r="Q44" t="str">
        <f t="shared" si="3"/>
        <v/>
      </c>
      <c r="R44" t="str">
        <f t="shared" si="4"/>
        <v>Not yet due</v>
      </c>
    </row>
    <row r="45" spans="1:18" x14ac:dyDescent="0.3">
      <c r="A45" t="s">
        <v>3163</v>
      </c>
      <c r="B45" t="s">
        <v>186</v>
      </c>
      <c r="C45" t="s">
        <v>558</v>
      </c>
      <c r="D45" s="1">
        <v>45727</v>
      </c>
      <c r="E45" s="1">
        <v>45757</v>
      </c>
      <c r="F45" t="s">
        <v>36</v>
      </c>
      <c r="G45">
        <v>173838.35</v>
      </c>
      <c r="H45" s="1"/>
      <c r="I45" t="s">
        <v>2206</v>
      </c>
      <c r="J45" t="s">
        <v>556</v>
      </c>
      <c r="L45">
        <v>0</v>
      </c>
      <c r="M45">
        <f>IF(F45="INR",1,INDEX('rates'!$B$2:$C$522,MATCH(D45,'rates'!$A$2:$A$522,1),MATCH(F45&amp;"/INR",'rates'!$B$1:$C$1,0)))</f>
        <v>87.16</v>
      </c>
      <c r="N45">
        <f t="shared" si="0"/>
        <v>15151750.585999999</v>
      </c>
      <c r="O45">
        <f t="shared" si="1"/>
        <v>15151750.585999999</v>
      </c>
      <c r="P45">
        <f t="shared" si="2"/>
        <v>0</v>
      </c>
      <c r="Q45" t="str">
        <f t="shared" si="3"/>
        <v/>
      </c>
      <c r="R45" t="str">
        <f t="shared" si="4"/>
        <v>Not yet due</v>
      </c>
    </row>
    <row r="46" spans="1:18" x14ac:dyDescent="0.3">
      <c r="A46" t="s">
        <v>3114</v>
      </c>
      <c r="B46" t="s">
        <v>372</v>
      </c>
      <c r="C46" t="s">
        <v>575</v>
      </c>
      <c r="D46" s="1">
        <v>45715</v>
      </c>
      <c r="E46" s="1">
        <v>45805</v>
      </c>
      <c r="F46" t="s">
        <v>13</v>
      </c>
      <c r="G46">
        <v>14985083</v>
      </c>
      <c r="H46" s="1"/>
      <c r="I46" t="s">
        <v>2206</v>
      </c>
      <c r="J46" t="s">
        <v>556</v>
      </c>
      <c r="L46">
        <v>0</v>
      </c>
      <c r="M46">
        <f>IF(F46="INR",1,INDEX('rates'!$B$2:$C$522,MATCH(D46,'rates'!$A$2:$A$522,1),MATCH(F46&amp;"/INR",'rates'!$B$1:$C$1,0)))</f>
        <v>1</v>
      </c>
      <c r="N46">
        <f t="shared" si="0"/>
        <v>14985083</v>
      </c>
      <c r="O46">
        <f t="shared" si="1"/>
        <v>14985083</v>
      </c>
      <c r="P46">
        <f t="shared" si="2"/>
        <v>0</v>
      </c>
      <c r="Q46" t="str">
        <f t="shared" si="3"/>
        <v/>
      </c>
      <c r="R46" t="str">
        <f t="shared" si="4"/>
        <v>Not yet due</v>
      </c>
    </row>
    <row r="47" spans="1:18" x14ac:dyDescent="0.3">
      <c r="A47" t="s">
        <v>3175</v>
      </c>
      <c r="B47" t="s">
        <v>238</v>
      </c>
      <c r="C47" t="s">
        <v>566</v>
      </c>
      <c r="D47" s="1">
        <v>45730</v>
      </c>
      <c r="E47" s="1">
        <v>45790</v>
      </c>
      <c r="F47" t="s">
        <v>31</v>
      </c>
      <c r="G47">
        <v>152864.47</v>
      </c>
      <c r="H47" s="1"/>
      <c r="I47" t="s">
        <v>2206</v>
      </c>
      <c r="J47" t="s">
        <v>573</v>
      </c>
      <c r="K47">
        <v>94.775599999999997</v>
      </c>
      <c r="L47">
        <v>0</v>
      </c>
      <c r="M47">
        <f>IF(F47="INR",1,INDEX('rates'!$B$2:$C$522,MATCH(D47,'rates'!$A$2:$A$522,1),MATCH(F47&amp;"/INR",'rates'!$B$1:$C$1,0)))</f>
        <v>94.586399999999998</v>
      </c>
      <c r="N47">
        <f t="shared" si="0"/>
        <v>14458899.905207999</v>
      </c>
      <c r="O47">
        <f t="shared" si="1"/>
        <v>14458899.905207999</v>
      </c>
      <c r="P47">
        <f t="shared" si="2"/>
        <v>0</v>
      </c>
      <c r="Q47" t="str">
        <f t="shared" si="3"/>
        <v/>
      </c>
      <c r="R47" t="str">
        <f t="shared" si="4"/>
        <v>Not yet due</v>
      </c>
    </row>
    <row r="48" spans="1:18" x14ac:dyDescent="0.3">
      <c r="A48" t="s">
        <v>3122</v>
      </c>
      <c r="B48" t="s">
        <v>166</v>
      </c>
      <c r="C48" t="s">
        <v>560</v>
      </c>
      <c r="D48" s="1">
        <v>45717</v>
      </c>
      <c r="E48" s="1">
        <v>45777</v>
      </c>
      <c r="F48" t="s">
        <v>13</v>
      </c>
      <c r="G48">
        <v>14140436</v>
      </c>
      <c r="H48" s="1"/>
      <c r="I48" t="s">
        <v>2206</v>
      </c>
      <c r="J48" t="s">
        <v>556</v>
      </c>
      <c r="L48">
        <v>0</v>
      </c>
      <c r="M48">
        <f>IF(F48="INR",1,INDEX('rates'!$B$2:$C$522,MATCH(D48,'rates'!$A$2:$A$522,1),MATCH(F48&amp;"/INR",'rates'!$B$1:$C$1,0)))</f>
        <v>1</v>
      </c>
      <c r="N48">
        <f t="shared" si="0"/>
        <v>14140436</v>
      </c>
      <c r="O48">
        <f t="shared" si="1"/>
        <v>14140436</v>
      </c>
      <c r="P48">
        <f t="shared" si="2"/>
        <v>0</v>
      </c>
      <c r="Q48" t="str">
        <f t="shared" si="3"/>
        <v/>
      </c>
      <c r="R48" t="str">
        <f t="shared" si="4"/>
        <v>Not yet due</v>
      </c>
    </row>
    <row r="49" spans="1:18" x14ac:dyDescent="0.3">
      <c r="A49" t="s">
        <v>2829</v>
      </c>
      <c r="B49" t="s">
        <v>372</v>
      </c>
      <c r="C49" t="s">
        <v>575</v>
      </c>
      <c r="D49" s="1">
        <v>45643</v>
      </c>
      <c r="E49" s="1">
        <v>45733</v>
      </c>
      <c r="F49" t="s">
        <v>13</v>
      </c>
      <c r="G49">
        <v>13783437</v>
      </c>
      <c r="H49" s="1"/>
      <c r="I49" t="s">
        <v>2206</v>
      </c>
      <c r="J49" t="s">
        <v>556</v>
      </c>
      <c r="L49">
        <v>0</v>
      </c>
      <c r="M49">
        <f>IF(F49="INR",1,INDEX('rates'!$B$2:$C$522,MATCH(D49,'rates'!$A$2:$A$522,1),MATCH(F49&amp;"/INR",'rates'!$B$1:$C$1,0)))</f>
        <v>1</v>
      </c>
      <c r="N49">
        <f t="shared" si="0"/>
        <v>13783437</v>
      </c>
      <c r="O49">
        <f t="shared" si="1"/>
        <v>13783437</v>
      </c>
      <c r="P49">
        <f t="shared" si="2"/>
        <v>14</v>
      </c>
      <c r="Q49" t="str">
        <f t="shared" si="3"/>
        <v/>
      </c>
      <c r="R49" t="str">
        <f t="shared" si="4"/>
        <v>1-30</v>
      </c>
    </row>
    <row r="50" spans="1:18" x14ac:dyDescent="0.3">
      <c r="A50" t="s">
        <v>3147</v>
      </c>
      <c r="B50" t="s">
        <v>382</v>
      </c>
      <c r="C50" t="s">
        <v>566</v>
      </c>
      <c r="D50" s="1">
        <v>45723</v>
      </c>
      <c r="E50" s="1">
        <v>45813</v>
      </c>
      <c r="F50" t="s">
        <v>36</v>
      </c>
      <c r="G50">
        <v>155196.03</v>
      </c>
      <c r="H50" s="1"/>
      <c r="I50" t="s">
        <v>2206</v>
      </c>
      <c r="J50" t="s">
        <v>573</v>
      </c>
      <c r="K50">
        <v>87.314400000000006</v>
      </c>
      <c r="L50">
        <v>0</v>
      </c>
      <c r="M50">
        <f>IF(F50="INR",1,INDEX('rates'!$B$2:$C$522,MATCH(D50,'rates'!$A$2:$A$522,1),MATCH(F50&amp;"/INR",'rates'!$B$1:$C$1,0)))</f>
        <v>86.88</v>
      </c>
      <c r="N50">
        <f t="shared" si="0"/>
        <v>13483431.086399999</v>
      </c>
      <c r="O50">
        <f t="shared" si="1"/>
        <v>13483431.086399999</v>
      </c>
      <c r="P50">
        <f t="shared" si="2"/>
        <v>0</v>
      </c>
      <c r="Q50" t="str">
        <f t="shared" si="3"/>
        <v/>
      </c>
      <c r="R50" t="str">
        <f t="shared" si="4"/>
        <v>Not yet due</v>
      </c>
    </row>
    <row r="51" spans="1:18" x14ac:dyDescent="0.3">
      <c r="A51" t="s">
        <v>3140</v>
      </c>
      <c r="B51" t="s">
        <v>372</v>
      </c>
      <c r="C51" t="s">
        <v>575</v>
      </c>
      <c r="D51" s="1">
        <v>45721</v>
      </c>
      <c r="E51" s="1">
        <v>45811</v>
      </c>
      <c r="F51" t="s">
        <v>13</v>
      </c>
      <c r="G51">
        <v>13461092</v>
      </c>
      <c r="H51" s="1"/>
      <c r="I51" t="s">
        <v>2206</v>
      </c>
      <c r="J51" t="s">
        <v>556</v>
      </c>
      <c r="L51">
        <v>0</v>
      </c>
      <c r="M51">
        <f>IF(F51="INR",1,INDEX('rates'!$B$2:$C$522,MATCH(D51,'rates'!$A$2:$A$522,1),MATCH(F51&amp;"/INR",'rates'!$B$1:$C$1,0)))</f>
        <v>1</v>
      </c>
      <c r="N51">
        <f t="shared" si="0"/>
        <v>13461092</v>
      </c>
      <c r="O51">
        <f t="shared" si="1"/>
        <v>13461092</v>
      </c>
      <c r="P51">
        <f t="shared" si="2"/>
        <v>0</v>
      </c>
      <c r="Q51" t="str">
        <f t="shared" si="3"/>
        <v/>
      </c>
      <c r="R51" t="str">
        <f t="shared" si="4"/>
        <v>Not yet due</v>
      </c>
    </row>
    <row r="52" spans="1:18" x14ac:dyDescent="0.3">
      <c r="A52" t="s">
        <v>2462</v>
      </c>
      <c r="B52" t="s">
        <v>472</v>
      </c>
      <c r="C52" t="s">
        <v>558</v>
      </c>
      <c r="D52" s="1">
        <v>45556</v>
      </c>
      <c r="E52" s="1">
        <v>45616</v>
      </c>
      <c r="F52" t="s">
        <v>36</v>
      </c>
      <c r="G52">
        <v>159363.47</v>
      </c>
      <c r="H52" s="1"/>
      <c r="I52" t="s">
        <v>2206</v>
      </c>
      <c r="J52" t="s">
        <v>556</v>
      </c>
      <c r="L52">
        <v>0</v>
      </c>
      <c r="M52">
        <f>IF(F52="INR",1,INDEX('rates'!$B$2:$C$522,MATCH(D52,'rates'!$A$2:$A$522,1),MATCH(F52&amp;"/INR",'rates'!$B$1:$C$1,0)))</f>
        <v>83.57</v>
      </c>
      <c r="N52">
        <f t="shared" si="0"/>
        <v>13318005.187899999</v>
      </c>
      <c r="O52">
        <f t="shared" si="1"/>
        <v>13318005.187899999</v>
      </c>
      <c r="P52">
        <f t="shared" si="2"/>
        <v>131</v>
      </c>
      <c r="Q52" t="str">
        <f t="shared" si="3"/>
        <v/>
      </c>
      <c r="R52" t="str">
        <f t="shared" si="4"/>
        <v>90+</v>
      </c>
    </row>
    <row r="53" spans="1:18" x14ac:dyDescent="0.3">
      <c r="A53" t="s">
        <v>3223</v>
      </c>
      <c r="B53" t="s">
        <v>328</v>
      </c>
      <c r="C53" t="s">
        <v>560</v>
      </c>
      <c r="D53" s="1">
        <v>45740</v>
      </c>
      <c r="E53" s="1">
        <v>45785</v>
      </c>
      <c r="F53" t="s">
        <v>13</v>
      </c>
      <c r="G53">
        <v>13196134</v>
      </c>
      <c r="H53" s="1"/>
      <c r="I53" t="s">
        <v>2206</v>
      </c>
      <c r="J53" t="s">
        <v>556</v>
      </c>
      <c r="L53">
        <v>0</v>
      </c>
      <c r="M53">
        <f>IF(F53="INR",1,INDEX('rates'!$B$2:$C$522,MATCH(D53,'rates'!$A$2:$A$522,1),MATCH(F53&amp;"/INR",'rates'!$B$1:$C$1,0)))</f>
        <v>1</v>
      </c>
      <c r="N53">
        <f t="shared" si="0"/>
        <v>13196134</v>
      </c>
      <c r="O53">
        <f t="shared" si="1"/>
        <v>13196134</v>
      </c>
      <c r="P53">
        <f t="shared" si="2"/>
        <v>0</v>
      </c>
      <c r="Q53" t="str">
        <f t="shared" si="3"/>
        <v/>
      </c>
      <c r="R53" t="str">
        <f t="shared" si="4"/>
        <v>Not yet due</v>
      </c>
    </row>
    <row r="54" spans="1:18" x14ac:dyDescent="0.3">
      <c r="A54" t="s">
        <v>3154</v>
      </c>
      <c r="B54" t="s">
        <v>262</v>
      </c>
      <c r="C54" t="s">
        <v>566</v>
      </c>
      <c r="D54" s="1">
        <v>45724</v>
      </c>
      <c r="E54" s="1">
        <v>45814</v>
      </c>
      <c r="F54" t="s">
        <v>31</v>
      </c>
      <c r="G54">
        <v>137648.45000000001</v>
      </c>
      <c r="H54" s="1"/>
      <c r="I54" t="s">
        <v>2206</v>
      </c>
      <c r="J54" t="s">
        <v>556</v>
      </c>
      <c r="L54">
        <v>0</v>
      </c>
      <c r="M54">
        <f>IF(F54="INR",1,INDEX('rates'!$B$2:$C$522,MATCH(D54,'rates'!$A$2:$A$522,1),MATCH(F54&amp;"/INR",'rates'!$B$1:$C$1,0)))</f>
        <v>94.343000000000004</v>
      </c>
      <c r="N54">
        <f t="shared" si="0"/>
        <v>12986167.718350001</v>
      </c>
      <c r="O54">
        <f t="shared" si="1"/>
        <v>12986167.718350001</v>
      </c>
      <c r="P54">
        <f t="shared" si="2"/>
        <v>0</v>
      </c>
      <c r="Q54" t="str">
        <f t="shared" si="3"/>
        <v/>
      </c>
      <c r="R54" t="str">
        <f t="shared" si="4"/>
        <v>Not yet due</v>
      </c>
    </row>
    <row r="55" spans="1:18" x14ac:dyDescent="0.3">
      <c r="A55" t="s">
        <v>3026</v>
      </c>
      <c r="B55" t="s">
        <v>186</v>
      </c>
      <c r="C55" t="s">
        <v>558</v>
      </c>
      <c r="D55" s="1">
        <v>45693</v>
      </c>
      <c r="E55" s="1">
        <v>45723</v>
      </c>
      <c r="F55" t="s">
        <v>36</v>
      </c>
      <c r="G55">
        <v>149073.01</v>
      </c>
      <c r="H55" s="1"/>
      <c r="I55" t="s">
        <v>2206</v>
      </c>
      <c r="J55" t="s">
        <v>556</v>
      </c>
      <c r="L55">
        <v>0</v>
      </c>
      <c r="M55">
        <f>IF(F55="INR",1,INDEX('rates'!$B$2:$C$522,MATCH(D55,'rates'!$A$2:$A$522,1),MATCH(F55&amp;"/INR",'rates'!$B$1:$C$1,0)))</f>
        <v>87.08</v>
      </c>
      <c r="N55">
        <f t="shared" si="0"/>
        <v>12981277.710800001</v>
      </c>
      <c r="O55">
        <f t="shared" si="1"/>
        <v>12981277.710800001</v>
      </c>
      <c r="P55">
        <f t="shared" si="2"/>
        <v>24</v>
      </c>
      <c r="Q55" t="str">
        <f t="shared" si="3"/>
        <v/>
      </c>
      <c r="R55" t="str">
        <f t="shared" si="4"/>
        <v>1-30</v>
      </c>
    </row>
    <row r="56" spans="1:18" x14ac:dyDescent="0.3">
      <c r="A56" t="s">
        <v>3186</v>
      </c>
      <c r="B56" t="s">
        <v>296</v>
      </c>
      <c r="C56" t="s">
        <v>554</v>
      </c>
      <c r="D56" s="1">
        <v>45731</v>
      </c>
      <c r="E56" s="1">
        <v>45761</v>
      </c>
      <c r="F56" t="s">
        <v>13</v>
      </c>
      <c r="G56">
        <v>12781394</v>
      </c>
      <c r="H56" s="1"/>
      <c r="I56" t="s">
        <v>2206</v>
      </c>
      <c r="J56" t="s">
        <v>556</v>
      </c>
      <c r="L56">
        <v>0</v>
      </c>
      <c r="M56">
        <f>IF(F56="INR",1,INDEX('rates'!$B$2:$C$522,MATCH(D56,'rates'!$A$2:$A$522,1),MATCH(F56&amp;"/INR",'rates'!$B$1:$C$1,0)))</f>
        <v>1</v>
      </c>
      <c r="N56">
        <f t="shared" si="0"/>
        <v>12781394</v>
      </c>
      <c r="O56">
        <f t="shared" si="1"/>
        <v>12781394</v>
      </c>
      <c r="P56">
        <f t="shared" si="2"/>
        <v>0</v>
      </c>
      <c r="Q56" t="str">
        <f t="shared" si="3"/>
        <v/>
      </c>
      <c r="R56" t="str">
        <f t="shared" si="4"/>
        <v>Not yet due</v>
      </c>
    </row>
    <row r="57" spans="1:18" x14ac:dyDescent="0.3">
      <c r="A57" t="s">
        <v>3104</v>
      </c>
      <c r="B57" t="s">
        <v>238</v>
      </c>
      <c r="C57" t="s">
        <v>566</v>
      </c>
      <c r="D57" s="1">
        <v>45710</v>
      </c>
      <c r="E57" s="1">
        <v>45770</v>
      </c>
      <c r="F57" t="s">
        <v>31</v>
      </c>
      <c r="G57">
        <v>140482.35</v>
      </c>
      <c r="H57" s="1"/>
      <c r="I57" t="s">
        <v>2206</v>
      </c>
      <c r="J57" t="s">
        <v>556</v>
      </c>
      <c r="L57">
        <v>0</v>
      </c>
      <c r="M57">
        <f>IF(F57="INR",1,INDEX('rates'!$B$2:$C$522,MATCH(D57,'rates'!$A$2:$A$522,1),MATCH(F57&amp;"/INR",'rates'!$B$1:$C$1,0)))</f>
        <v>90.644800000000004</v>
      </c>
      <c r="N57">
        <f t="shared" si="0"/>
        <v>12733994.519280002</v>
      </c>
      <c r="O57">
        <f t="shared" si="1"/>
        <v>12733994.519280002</v>
      </c>
      <c r="P57">
        <f t="shared" si="2"/>
        <v>0</v>
      </c>
      <c r="Q57" t="str">
        <f t="shared" si="3"/>
        <v/>
      </c>
      <c r="R57" t="str">
        <f t="shared" si="4"/>
        <v>Not yet due</v>
      </c>
    </row>
    <row r="58" spans="1:18" x14ac:dyDescent="0.3">
      <c r="A58" t="s">
        <v>3116</v>
      </c>
      <c r="B58" t="s">
        <v>472</v>
      </c>
      <c r="C58" t="s">
        <v>558</v>
      </c>
      <c r="D58" s="1">
        <v>45715</v>
      </c>
      <c r="E58" s="1">
        <v>45775</v>
      </c>
      <c r="F58" t="s">
        <v>36</v>
      </c>
      <c r="G58">
        <v>145463.12</v>
      </c>
      <c r="H58" s="1"/>
      <c r="I58" t="s">
        <v>2206</v>
      </c>
      <c r="J58" t="s">
        <v>556</v>
      </c>
      <c r="L58">
        <v>0</v>
      </c>
      <c r="M58">
        <f>IF(F58="INR",1,INDEX('rates'!$B$2:$C$522,MATCH(D58,'rates'!$A$2:$A$522,1),MATCH(F58&amp;"/INR",'rates'!$B$1:$C$1,0)))</f>
        <v>87.17</v>
      </c>
      <c r="N58">
        <f t="shared" si="0"/>
        <v>12680020.170399999</v>
      </c>
      <c r="O58">
        <f t="shared" si="1"/>
        <v>12680020.170399999</v>
      </c>
      <c r="P58">
        <f t="shared" si="2"/>
        <v>0</v>
      </c>
      <c r="Q58" t="str">
        <f t="shared" si="3"/>
        <v/>
      </c>
      <c r="R58" t="str">
        <f t="shared" si="4"/>
        <v>Not yet due</v>
      </c>
    </row>
    <row r="59" spans="1:18" x14ac:dyDescent="0.3">
      <c r="A59" t="s">
        <v>3019</v>
      </c>
      <c r="B59" t="s">
        <v>386</v>
      </c>
      <c r="C59" t="s">
        <v>575</v>
      </c>
      <c r="D59" s="1">
        <v>45691</v>
      </c>
      <c r="E59" s="1">
        <v>45751</v>
      </c>
      <c r="F59" t="s">
        <v>31</v>
      </c>
      <c r="G59">
        <v>139484.45000000001</v>
      </c>
      <c r="H59" s="1"/>
      <c r="I59" t="s">
        <v>2206</v>
      </c>
      <c r="J59" t="s">
        <v>573</v>
      </c>
      <c r="K59">
        <v>89.784400000000005</v>
      </c>
      <c r="L59">
        <v>0</v>
      </c>
      <c r="M59">
        <f>IF(F59="INR",1,INDEX('rates'!$B$2:$C$522,MATCH(D59,'rates'!$A$2:$A$522,1),MATCH(F59&amp;"/INR",'rates'!$B$1:$C$1,0)))</f>
        <v>89.605199999999996</v>
      </c>
      <c r="N59">
        <f t="shared" si="0"/>
        <v>12498532.039140001</v>
      </c>
      <c r="O59">
        <f t="shared" si="1"/>
        <v>12498532.039140001</v>
      </c>
      <c r="P59">
        <f t="shared" si="2"/>
        <v>0</v>
      </c>
      <c r="Q59" t="str">
        <f t="shared" si="3"/>
        <v/>
      </c>
      <c r="R59" t="str">
        <f t="shared" si="4"/>
        <v>Not yet due</v>
      </c>
    </row>
    <row r="60" spans="1:18" x14ac:dyDescent="0.3">
      <c r="A60" t="s">
        <v>3193</v>
      </c>
      <c r="B60" t="s">
        <v>158</v>
      </c>
      <c r="C60" t="s">
        <v>566</v>
      </c>
      <c r="D60" s="1">
        <v>45733</v>
      </c>
      <c r="E60" s="1">
        <v>45763</v>
      </c>
      <c r="F60" t="s">
        <v>13</v>
      </c>
      <c r="G60">
        <v>12371795</v>
      </c>
      <c r="H60" s="1"/>
      <c r="I60" t="s">
        <v>2206</v>
      </c>
      <c r="J60" t="s">
        <v>556</v>
      </c>
      <c r="L60">
        <v>0</v>
      </c>
      <c r="M60">
        <f>IF(F60="INR",1,INDEX('rates'!$B$2:$C$522,MATCH(D60,'rates'!$A$2:$A$522,1),MATCH(F60&amp;"/INR",'rates'!$B$1:$C$1,0)))</f>
        <v>1</v>
      </c>
      <c r="N60">
        <f t="shared" si="0"/>
        <v>12371795</v>
      </c>
      <c r="O60">
        <f t="shared" si="1"/>
        <v>12371795</v>
      </c>
      <c r="P60">
        <f t="shared" si="2"/>
        <v>0</v>
      </c>
      <c r="Q60" t="str">
        <f t="shared" si="3"/>
        <v/>
      </c>
      <c r="R60" t="str">
        <f t="shared" si="4"/>
        <v>Not yet due</v>
      </c>
    </row>
    <row r="61" spans="1:18" x14ac:dyDescent="0.3">
      <c r="A61" t="s">
        <v>3080</v>
      </c>
      <c r="B61" t="s">
        <v>454</v>
      </c>
      <c r="C61" t="s">
        <v>575</v>
      </c>
      <c r="D61" s="1">
        <v>45703</v>
      </c>
      <c r="E61" s="1">
        <v>45763</v>
      </c>
      <c r="F61" t="s">
        <v>13</v>
      </c>
      <c r="G61">
        <v>12349448</v>
      </c>
      <c r="H61" s="1"/>
      <c r="I61" t="s">
        <v>2206</v>
      </c>
      <c r="J61" t="s">
        <v>556</v>
      </c>
      <c r="L61">
        <v>0</v>
      </c>
      <c r="M61">
        <f>IF(F61="INR",1,INDEX('rates'!$B$2:$C$522,MATCH(D61,'rates'!$A$2:$A$522,1),MATCH(F61&amp;"/INR",'rates'!$B$1:$C$1,0)))</f>
        <v>1</v>
      </c>
      <c r="N61">
        <f t="shared" si="0"/>
        <v>12349448</v>
      </c>
      <c r="O61">
        <f t="shared" si="1"/>
        <v>12349448</v>
      </c>
      <c r="P61">
        <f t="shared" si="2"/>
        <v>0</v>
      </c>
      <c r="Q61" t="str">
        <f t="shared" si="3"/>
        <v/>
      </c>
      <c r="R61" t="str">
        <f t="shared" si="4"/>
        <v>Not yet due</v>
      </c>
    </row>
    <row r="62" spans="1:18" x14ac:dyDescent="0.3">
      <c r="A62" t="s">
        <v>2836</v>
      </c>
      <c r="B62" t="s">
        <v>270</v>
      </c>
      <c r="C62" t="s">
        <v>558</v>
      </c>
      <c r="D62" s="1">
        <v>45644</v>
      </c>
      <c r="E62" s="1">
        <v>45704</v>
      </c>
      <c r="F62" t="s">
        <v>31</v>
      </c>
      <c r="G62">
        <v>138689.60999999999</v>
      </c>
      <c r="H62" s="1"/>
      <c r="I62" t="s">
        <v>2206</v>
      </c>
      <c r="J62" t="s">
        <v>556</v>
      </c>
      <c r="L62">
        <v>0</v>
      </c>
      <c r="M62">
        <f>IF(F62="INR",1,INDEX('rates'!$B$2:$C$522,MATCH(D62,'rates'!$A$2:$A$522,1),MATCH(F62&amp;"/INR",'rates'!$B$1:$C$1,0)))</f>
        <v>88.934200000000004</v>
      </c>
      <c r="N62">
        <f t="shared" si="0"/>
        <v>12334249.513661999</v>
      </c>
      <c r="O62">
        <f t="shared" si="1"/>
        <v>12334249.513661999</v>
      </c>
      <c r="P62">
        <f t="shared" si="2"/>
        <v>43</v>
      </c>
      <c r="Q62" t="str">
        <f t="shared" si="3"/>
        <v/>
      </c>
      <c r="R62" t="str">
        <f t="shared" si="4"/>
        <v>31-60</v>
      </c>
    </row>
    <row r="63" spans="1:18" x14ac:dyDescent="0.3">
      <c r="A63" t="s">
        <v>2911</v>
      </c>
      <c r="B63" t="s">
        <v>254</v>
      </c>
      <c r="C63" t="s">
        <v>558</v>
      </c>
      <c r="D63" s="1">
        <v>45664</v>
      </c>
      <c r="E63" s="1">
        <v>45694</v>
      </c>
      <c r="F63" t="s">
        <v>13</v>
      </c>
      <c r="G63">
        <v>12314780</v>
      </c>
      <c r="H63" s="1"/>
      <c r="I63" t="s">
        <v>2206</v>
      </c>
      <c r="J63" t="s">
        <v>556</v>
      </c>
      <c r="L63">
        <v>0</v>
      </c>
      <c r="M63">
        <f>IF(F63="INR",1,INDEX('rates'!$B$2:$C$522,MATCH(D63,'rates'!$A$2:$A$522,1),MATCH(F63&amp;"/INR",'rates'!$B$1:$C$1,0)))</f>
        <v>1</v>
      </c>
      <c r="N63">
        <f t="shared" si="0"/>
        <v>12314780</v>
      </c>
      <c r="O63">
        <f t="shared" si="1"/>
        <v>12314780</v>
      </c>
      <c r="P63">
        <f t="shared" si="2"/>
        <v>53</v>
      </c>
      <c r="Q63" t="str">
        <f t="shared" si="3"/>
        <v/>
      </c>
      <c r="R63" t="str">
        <f t="shared" si="4"/>
        <v>31-60</v>
      </c>
    </row>
    <row r="64" spans="1:18" x14ac:dyDescent="0.3">
      <c r="A64" t="s">
        <v>3034</v>
      </c>
      <c r="B64" t="s">
        <v>254</v>
      </c>
      <c r="C64" t="s">
        <v>558</v>
      </c>
      <c r="D64" s="1">
        <v>45694</v>
      </c>
      <c r="E64" s="1">
        <v>45724</v>
      </c>
      <c r="F64" t="s">
        <v>13</v>
      </c>
      <c r="G64">
        <v>12293686</v>
      </c>
      <c r="H64" s="1"/>
      <c r="I64" t="s">
        <v>2206</v>
      </c>
      <c r="J64" t="s">
        <v>556</v>
      </c>
      <c r="L64">
        <v>0</v>
      </c>
      <c r="M64">
        <f>IF(F64="INR",1,INDEX('rates'!$B$2:$C$522,MATCH(D64,'rates'!$A$2:$A$522,1),MATCH(F64&amp;"/INR",'rates'!$B$1:$C$1,0)))</f>
        <v>1</v>
      </c>
      <c r="N64">
        <f t="shared" si="0"/>
        <v>12293686</v>
      </c>
      <c r="O64">
        <f t="shared" si="1"/>
        <v>12293686</v>
      </c>
      <c r="P64">
        <f t="shared" si="2"/>
        <v>23</v>
      </c>
      <c r="Q64" t="str">
        <f t="shared" si="3"/>
        <v/>
      </c>
      <c r="R64" t="str">
        <f t="shared" si="4"/>
        <v>1-30</v>
      </c>
    </row>
    <row r="65" spans="1:18" x14ac:dyDescent="0.3">
      <c r="A65" t="s">
        <v>3086</v>
      </c>
      <c r="B65" t="s">
        <v>192</v>
      </c>
      <c r="C65" t="s">
        <v>554</v>
      </c>
      <c r="D65" s="1">
        <v>45705</v>
      </c>
      <c r="E65" s="1">
        <v>45765</v>
      </c>
      <c r="F65" t="s">
        <v>13</v>
      </c>
      <c r="G65">
        <v>12075062</v>
      </c>
      <c r="H65" s="1"/>
      <c r="I65" t="s">
        <v>2206</v>
      </c>
      <c r="J65" t="s">
        <v>556</v>
      </c>
      <c r="L65">
        <v>0</v>
      </c>
      <c r="M65">
        <f>IF(F65="INR",1,INDEX('rates'!$B$2:$C$522,MATCH(D65,'rates'!$A$2:$A$522,1),MATCH(F65&amp;"/INR",'rates'!$B$1:$C$1,0)))</f>
        <v>1</v>
      </c>
      <c r="N65">
        <f t="shared" si="0"/>
        <v>12075062</v>
      </c>
      <c r="O65">
        <f t="shared" si="1"/>
        <v>12075062</v>
      </c>
      <c r="P65">
        <f t="shared" si="2"/>
        <v>0</v>
      </c>
      <c r="Q65" t="str">
        <f t="shared" si="3"/>
        <v/>
      </c>
      <c r="R65" t="str">
        <f t="shared" si="4"/>
        <v>Not yet due</v>
      </c>
    </row>
    <row r="66" spans="1:18" x14ac:dyDescent="0.3">
      <c r="A66" t="s">
        <v>3144</v>
      </c>
      <c r="B66" t="s">
        <v>326</v>
      </c>
      <c r="C66" t="s">
        <v>554</v>
      </c>
      <c r="D66" s="1">
        <v>45722</v>
      </c>
      <c r="E66" s="1">
        <v>45752</v>
      </c>
      <c r="F66" t="s">
        <v>13</v>
      </c>
      <c r="G66">
        <v>11966989</v>
      </c>
      <c r="H66" s="1"/>
      <c r="I66" t="s">
        <v>2206</v>
      </c>
      <c r="J66" t="s">
        <v>556</v>
      </c>
      <c r="L66">
        <v>0</v>
      </c>
      <c r="M66">
        <f>IF(F66="INR",1,INDEX('rates'!$B$2:$C$522,MATCH(D66,'rates'!$A$2:$A$522,1),MATCH(F66&amp;"/INR",'rates'!$B$1:$C$1,0)))</f>
        <v>1</v>
      </c>
      <c r="N66">
        <f t="shared" ref="N66:N129" si="5">G66*M66</f>
        <v>11966989</v>
      </c>
      <c r="O66">
        <f t="shared" ref="O66:O129" si="6">IF(OR(I66="OPEN",I66="PARTIALLY PAID"),(G66-L66)*M66,0)</f>
        <v>11966989</v>
      </c>
      <c r="P66">
        <f t="shared" ref="P66:P129" si="7">IF(O66&gt;0,MAX(0,DATE(2025,3,31)-E66),0)</f>
        <v>0</v>
      </c>
      <c r="Q66" t="str">
        <f t="shared" ref="Q66:Q129" si="8">IF(H66="","",H66-E66)</f>
        <v/>
      </c>
      <c r="R66" t="str">
        <f t="shared" ref="R66:R129" si="9">IF(O66=0,"Not open",IF(P66=0,"Not yet due",IF(P66&lt;=30,"1-30",IF(P66&lt;=60,"31-60",IF(P66&lt;=90,"61-90","90+")))))</f>
        <v>Not yet due</v>
      </c>
    </row>
    <row r="67" spans="1:18" x14ac:dyDescent="0.3">
      <c r="A67" t="s">
        <v>3139</v>
      </c>
      <c r="B67" t="s">
        <v>154</v>
      </c>
      <c r="C67" t="s">
        <v>566</v>
      </c>
      <c r="D67" s="1">
        <v>45721</v>
      </c>
      <c r="E67" s="1">
        <v>45751</v>
      </c>
      <c r="F67" t="s">
        <v>13</v>
      </c>
      <c r="G67">
        <v>11946647</v>
      </c>
      <c r="H67" s="1"/>
      <c r="I67" t="s">
        <v>2206</v>
      </c>
      <c r="J67" t="s">
        <v>556</v>
      </c>
      <c r="L67">
        <v>0</v>
      </c>
      <c r="M67">
        <f>IF(F67="INR",1,INDEX('rates'!$B$2:$C$522,MATCH(D67,'rates'!$A$2:$A$522,1),MATCH(F67&amp;"/INR",'rates'!$B$1:$C$1,0)))</f>
        <v>1</v>
      </c>
      <c r="N67">
        <f t="shared" si="5"/>
        <v>11946647</v>
      </c>
      <c r="O67">
        <f t="shared" si="6"/>
        <v>11946647</v>
      </c>
      <c r="P67">
        <f t="shared" si="7"/>
        <v>0</v>
      </c>
      <c r="Q67" t="str">
        <f t="shared" si="8"/>
        <v/>
      </c>
      <c r="R67" t="str">
        <f t="shared" si="9"/>
        <v>Not yet due</v>
      </c>
    </row>
    <row r="68" spans="1:18" x14ac:dyDescent="0.3">
      <c r="A68" t="s">
        <v>2889</v>
      </c>
      <c r="B68" t="s">
        <v>436</v>
      </c>
      <c r="C68" t="s">
        <v>566</v>
      </c>
      <c r="D68" s="1">
        <v>45658</v>
      </c>
      <c r="E68" s="1">
        <v>45703</v>
      </c>
      <c r="F68" t="s">
        <v>36</v>
      </c>
      <c r="G68">
        <v>139374.88</v>
      </c>
      <c r="H68" s="1"/>
      <c r="I68" t="s">
        <v>2206</v>
      </c>
      <c r="J68" t="s">
        <v>573</v>
      </c>
      <c r="K68">
        <v>85.763900000000007</v>
      </c>
      <c r="L68">
        <v>0</v>
      </c>
      <c r="M68">
        <f>IF(F68="INR",1,INDEX('rates'!$B$2:$C$522,MATCH(D68,'rates'!$A$2:$A$522,1),MATCH(F68&amp;"/INR",'rates'!$B$1:$C$1,0)))</f>
        <v>85.55</v>
      </c>
      <c r="N68">
        <f t="shared" si="5"/>
        <v>11923520.983999999</v>
      </c>
      <c r="O68">
        <f t="shared" si="6"/>
        <v>11923520.983999999</v>
      </c>
      <c r="P68">
        <f t="shared" si="7"/>
        <v>44</v>
      </c>
      <c r="Q68" t="str">
        <f t="shared" si="8"/>
        <v/>
      </c>
      <c r="R68" t="str">
        <f t="shared" si="9"/>
        <v>31-60</v>
      </c>
    </row>
    <row r="69" spans="1:18" x14ac:dyDescent="0.3">
      <c r="A69" t="s">
        <v>3017</v>
      </c>
      <c r="B69" t="s">
        <v>262</v>
      </c>
      <c r="C69" t="s">
        <v>566</v>
      </c>
      <c r="D69" s="1">
        <v>45691</v>
      </c>
      <c r="E69" s="1">
        <v>45781</v>
      </c>
      <c r="F69" t="s">
        <v>31</v>
      </c>
      <c r="G69">
        <v>131624.31</v>
      </c>
      <c r="H69" s="1"/>
      <c r="I69" t="s">
        <v>2206</v>
      </c>
      <c r="J69" t="s">
        <v>573</v>
      </c>
      <c r="K69">
        <v>89.873999999999995</v>
      </c>
      <c r="L69">
        <v>0</v>
      </c>
      <c r="M69">
        <f>IF(F69="INR",1,INDEX('rates'!$B$2:$C$522,MATCH(D69,'rates'!$A$2:$A$522,1),MATCH(F69&amp;"/INR",'rates'!$B$1:$C$1,0)))</f>
        <v>89.605199999999996</v>
      </c>
      <c r="N69">
        <f t="shared" si="5"/>
        <v>11794222.622412</v>
      </c>
      <c r="O69">
        <f t="shared" si="6"/>
        <v>11794222.622412</v>
      </c>
      <c r="P69">
        <f t="shared" si="7"/>
        <v>0</v>
      </c>
      <c r="Q69" t="str">
        <f t="shared" si="8"/>
        <v/>
      </c>
      <c r="R69" t="str">
        <f t="shared" si="9"/>
        <v>Not yet due</v>
      </c>
    </row>
    <row r="70" spans="1:18" x14ac:dyDescent="0.3">
      <c r="A70" t="s">
        <v>3133</v>
      </c>
      <c r="B70" t="s">
        <v>276</v>
      </c>
      <c r="C70" t="s">
        <v>558</v>
      </c>
      <c r="D70" s="1">
        <v>45720</v>
      </c>
      <c r="E70" s="1">
        <v>45780</v>
      </c>
      <c r="F70" t="s">
        <v>13</v>
      </c>
      <c r="G70">
        <v>11780041</v>
      </c>
      <c r="H70" s="1"/>
      <c r="I70" t="s">
        <v>2206</v>
      </c>
      <c r="J70" t="s">
        <v>556</v>
      </c>
      <c r="L70">
        <v>0</v>
      </c>
      <c r="M70">
        <f>IF(F70="INR",1,INDEX('rates'!$B$2:$C$522,MATCH(D70,'rates'!$A$2:$A$522,1),MATCH(F70&amp;"/INR",'rates'!$B$1:$C$1,0)))</f>
        <v>1</v>
      </c>
      <c r="N70">
        <f t="shared" si="5"/>
        <v>11780041</v>
      </c>
      <c r="O70">
        <f t="shared" si="6"/>
        <v>11780041</v>
      </c>
      <c r="P70">
        <f t="shared" si="7"/>
        <v>0</v>
      </c>
      <c r="Q70" t="str">
        <f t="shared" si="8"/>
        <v/>
      </c>
      <c r="R70" t="str">
        <f t="shared" si="9"/>
        <v>Not yet due</v>
      </c>
    </row>
    <row r="71" spans="1:18" x14ac:dyDescent="0.3">
      <c r="A71" t="s">
        <v>3245</v>
      </c>
      <c r="B71" t="s">
        <v>308</v>
      </c>
      <c r="C71" t="s">
        <v>554</v>
      </c>
      <c r="D71" s="1">
        <v>45745</v>
      </c>
      <c r="E71" s="1">
        <v>45835</v>
      </c>
      <c r="F71" t="s">
        <v>13</v>
      </c>
      <c r="G71">
        <v>11495262</v>
      </c>
      <c r="H71" s="1"/>
      <c r="I71" t="s">
        <v>2206</v>
      </c>
      <c r="J71" t="s">
        <v>556</v>
      </c>
      <c r="L71">
        <v>0</v>
      </c>
      <c r="M71">
        <f>IF(F71="INR",1,INDEX('rates'!$B$2:$C$522,MATCH(D71,'rates'!$A$2:$A$522,1),MATCH(F71&amp;"/INR",'rates'!$B$1:$C$1,0)))</f>
        <v>1</v>
      </c>
      <c r="N71">
        <f t="shared" si="5"/>
        <v>11495262</v>
      </c>
      <c r="O71">
        <f t="shared" si="6"/>
        <v>11495262</v>
      </c>
      <c r="P71">
        <f t="shared" si="7"/>
        <v>0</v>
      </c>
      <c r="Q71" t="str">
        <f t="shared" si="8"/>
        <v/>
      </c>
      <c r="R71" t="str">
        <f t="shared" si="9"/>
        <v>Not yet due</v>
      </c>
    </row>
    <row r="72" spans="1:18" x14ac:dyDescent="0.3">
      <c r="A72" t="s">
        <v>1836</v>
      </c>
      <c r="B72" t="s">
        <v>394</v>
      </c>
      <c r="C72" t="s">
        <v>575</v>
      </c>
      <c r="D72" s="1">
        <v>45379</v>
      </c>
      <c r="E72" s="1">
        <v>45439</v>
      </c>
      <c r="F72" t="s">
        <v>31</v>
      </c>
      <c r="G72">
        <v>381431.82</v>
      </c>
      <c r="H72" s="1">
        <v>45448</v>
      </c>
      <c r="I72" t="s">
        <v>567</v>
      </c>
      <c r="J72" t="s">
        <v>556</v>
      </c>
      <c r="L72">
        <v>254308.25</v>
      </c>
      <c r="M72">
        <f>IF(F72="INR",1,INDEX('rates'!$B$2:$C$522,MATCH(D72,'rates'!$A$2:$A$522,1),MATCH(F72&amp;"/INR",'rates'!$B$1:$C$1,0)))</f>
        <v>90.026300000000006</v>
      </c>
      <c r="N72">
        <f t="shared" si="5"/>
        <v>34338895.456866004</v>
      </c>
      <c r="O72">
        <f t="shared" si="6"/>
        <v>11444464.649891002</v>
      </c>
      <c r="P72">
        <f t="shared" si="7"/>
        <v>308</v>
      </c>
      <c r="Q72">
        <f t="shared" si="8"/>
        <v>9</v>
      </c>
      <c r="R72" t="str">
        <f t="shared" si="9"/>
        <v>90+</v>
      </c>
    </row>
    <row r="73" spans="1:18" x14ac:dyDescent="0.3">
      <c r="A73" t="s">
        <v>3161</v>
      </c>
      <c r="B73" t="s">
        <v>154</v>
      </c>
      <c r="C73" t="s">
        <v>566</v>
      </c>
      <c r="D73" s="1">
        <v>45727</v>
      </c>
      <c r="E73" s="1">
        <v>45757</v>
      </c>
      <c r="F73" t="s">
        <v>13</v>
      </c>
      <c r="G73">
        <v>11107252</v>
      </c>
      <c r="H73" s="1"/>
      <c r="I73" t="s">
        <v>2206</v>
      </c>
      <c r="J73" t="s">
        <v>556</v>
      </c>
      <c r="L73">
        <v>0</v>
      </c>
      <c r="M73">
        <f>IF(F73="INR",1,INDEX('rates'!$B$2:$C$522,MATCH(D73,'rates'!$A$2:$A$522,1),MATCH(F73&amp;"/INR",'rates'!$B$1:$C$1,0)))</f>
        <v>1</v>
      </c>
      <c r="N73">
        <f t="shared" si="5"/>
        <v>11107252</v>
      </c>
      <c r="O73">
        <f t="shared" si="6"/>
        <v>11107252</v>
      </c>
      <c r="P73">
        <f t="shared" si="7"/>
        <v>0</v>
      </c>
      <c r="Q73" t="str">
        <f t="shared" si="8"/>
        <v/>
      </c>
      <c r="R73" t="str">
        <f t="shared" si="9"/>
        <v>Not yet due</v>
      </c>
    </row>
    <row r="74" spans="1:18" x14ac:dyDescent="0.3">
      <c r="A74" t="s">
        <v>3004</v>
      </c>
      <c r="B74" t="s">
        <v>238</v>
      </c>
      <c r="C74" t="s">
        <v>566</v>
      </c>
      <c r="D74" s="1">
        <v>45687</v>
      </c>
      <c r="E74" s="1">
        <v>45747</v>
      </c>
      <c r="F74" t="s">
        <v>31</v>
      </c>
      <c r="G74">
        <v>119738.97</v>
      </c>
      <c r="H74" s="1"/>
      <c r="I74" t="s">
        <v>2206</v>
      </c>
      <c r="J74" t="s">
        <v>556</v>
      </c>
      <c r="L74">
        <v>0</v>
      </c>
      <c r="M74">
        <f>IF(F74="INR",1,INDEX('rates'!$B$2:$C$522,MATCH(D74,'rates'!$A$2:$A$522,1),MATCH(F74&amp;"/INR",'rates'!$B$1:$C$1,0)))</f>
        <v>90.185100000000006</v>
      </c>
      <c r="N74">
        <f t="shared" si="5"/>
        <v>10798670.983347001</v>
      </c>
      <c r="O74">
        <f t="shared" si="6"/>
        <v>10798670.983347001</v>
      </c>
      <c r="P74">
        <f t="shared" si="7"/>
        <v>0</v>
      </c>
      <c r="Q74" t="str">
        <f t="shared" si="8"/>
        <v/>
      </c>
      <c r="R74" t="str">
        <f t="shared" si="9"/>
        <v>Not yet due</v>
      </c>
    </row>
    <row r="75" spans="1:18" x14ac:dyDescent="0.3">
      <c r="A75" t="s">
        <v>3225</v>
      </c>
      <c r="B75" t="s">
        <v>528</v>
      </c>
      <c r="C75" t="s">
        <v>566</v>
      </c>
      <c r="D75" s="1">
        <v>45740</v>
      </c>
      <c r="E75" s="1">
        <v>45800</v>
      </c>
      <c r="F75" t="s">
        <v>13</v>
      </c>
      <c r="G75">
        <v>10617955</v>
      </c>
      <c r="H75" s="1"/>
      <c r="I75" t="s">
        <v>2206</v>
      </c>
      <c r="J75" t="s">
        <v>556</v>
      </c>
      <c r="L75">
        <v>0</v>
      </c>
      <c r="M75">
        <f>IF(F75="INR",1,INDEX('rates'!$B$2:$C$522,MATCH(D75,'rates'!$A$2:$A$522,1),MATCH(F75&amp;"/INR",'rates'!$B$1:$C$1,0)))</f>
        <v>1</v>
      </c>
      <c r="N75">
        <f t="shared" si="5"/>
        <v>10617955</v>
      </c>
      <c r="O75">
        <f t="shared" si="6"/>
        <v>10617955</v>
      </c>
      <c r="P75">
        <f t="shared" si="7"/>
        <v>0</v>
      </c>
      <c r="Q75" t="str">
        <f t="shared" si="8"/>
        <v/>
      </c>
      <c r="R75" t="str">
        <f t="shared" si="9"/>
        <v>Not yet due</v>
      </c>
    </row>
    <row r="76" spans="1:18" x14ac:dyDescent="0.3">
      <c r="A76" t="s">
        <v>2327</v>
      </c>
      <c r="B76" t="s">
        <v>512</v>
      </c>
      <c r="C76" t="s">
        <v>566</v>
      </c>
      <c r="D76" s="1">
        <v>45514</v>
      </c>
      <c r="E76" s="1">
        <v>45574</v>
      </c>
      <c r="F76" t="s">
        <v>31</v>
      </c>
      <c r="G76">
        <v>115404.11</v>
      </c>
      <c r="H76" s="1"/>
      <c r="I76" t="s">
        <v>2206</v>
      </c>
      <c r="J76" t="s">
        <v>573</v>
      </c>
      <c r="K76">
        <v>91.866</v>
      </c>
      <c r="L76">
        <v>0</v>
      </c>
      <c r="M76">
        <f>IF(F76="INR",1,INDEX('rates'!$B$2:$C$522,MATCH(D76,'rates'!$A$2:$A$522,1),MATCH(F76&amp;"/INR",'rates'!$B$1:$C$1,0)))</f>
        <v>91.682599999999994</v>
      </c>
      <c r="N76">
        <f t="shared" si="5"/>
        <v>10580548.855486</v>
      </c>
      <c r="O76">
        <f t="shared" si="6"/>
        <v>10580548.855486</v>
      </c>
      <c r="P76">
        <f t="shared" si="7"/>
        <v>173</v>
      </c>
      <c r="Q76" t="str">
        <f t="shared" si="8"/>
        <v/>
      </c>
      <c r="R76" t="str">
        <f t="shared" si="9"/>
        <v>90+</v>
      </c>
    </row>
    <row r="77" spans="1:18" x14ac:dyDescent="0.3">
      <c r="A77" t="s">
        <v>1324</v>
      </c>
      <c r="B77" t="s">
        <v>528</v>
      </c>
      <c r="C77" t="s">
        <v>566</v>
      </c>
      <c r="D77" s="1">
        <v>45248</v>
      </c>
      <c r="E77" s="1">
        <v>45308</v>
      </c>
      <c r="F77" t="s">
        <v>13</v>
      </c>
      <c r="G77">
        <v>32464060</v>
      </c>
      <c r="H77" s="1">
        <v>45362</v>
      </c>
      <c r="I77" t="s">
        <v>567</v>
      </c>
      <c r="J77" t="s">
        <v>556</v>
      </c>
      <c r="L77">
        <v>21928674.699999999</v>
      </c>
      <c r="M77">
        <f>IF(F77="INR",1,INDEX('rates'!$B$2:$C$522,MATCH(D77,'rates'!$A$2:$A$522,1),MATCH(F77&amp;"/INR",'rates'!$B$1:$C$1,0)))</f>
        <v>1</v>
      </c>
      <c r="N77">
        <f t="shared" si="5"/>
        <v>32464060</v>
      </c>
      <c r="O77">
        <f t="shared" si="6"/>
        <v>10535385.300000001</v>
      </c>
      <c r="P77">
        <f t="shared" si="7"/>
        <v>439</v>
      </c>
      <c r="Q77">
        <f t="shared" si="8"/>
        <v>54</v>
      </c>
      <c r="R77" t="str">
        <f t="shared" si="9"/>
        <v>90+</v>
      </c>
    </row>
    <row r="78" spans="1:18" x14ac:dyDescent="0.3">
      <c r="A78" t="s">
        <v>3066</v>
      </c>
      <c r="B78" t="s">
        <v>516</v>
      </c>
      <c r="C78" t="s">
        <v>560</v>
      </c>
      <c r="D78" s="1">
        <v>45701</v>
      </c>
      <c r="E78" s="1">
        <v>45761</v>
      </c>
      <c r="F78" t="s">
        <v>13</v>
      </c>
      <c r="G78">
        <v>10521766</v>
      </c>
      <c r="H78" s="1"/>
      <c r="I78" t="s">
        <v>2206</v>
      </c>
      <c r="J78" t="s">
        <v>556</v>
      </c>
      <c r="L78">
        <v>0</v>
      </c>
      <c r="M78">
        <f>IF(F78="INR",1,INDEX('rates'!$B$2:$C$522,MATCH(D78,'rates'!$A$2:$A$522,1),MATCH(F78&amp;"/INR",'rates'!$B$1:$C$1,0)))</f>
        <v>1</v>
      </c>
      <c r="N78">
        <f t="shared" si="5"/>
        <v>10521766</v>
      </c>
      <c r="O78">
        <f t="shared" si="6"/>
        <v>10521766</v>
      </c>
      <c r="P78">
        <f t="shared" si="7"/>
        <v>0</v>
      </c>
      <c r="Q78" t="str">
        <f t="shared" si="8"/>
        <v/>
      </c>
      <c r="R78" t="str">
        <f t="shared" si="9"/>
        <v>Not yet due</v>
      </c>
    </row>
    <row r="79" spans="1:18" x14ac:dyDescent="0.3">
      <c r="A79" t="s">
        <v>3231</v>
      </c>
      <c r="B79" t="s">
        <v>436</v>
      </c>
      <c r="C79" t="s">
        <v>566</v>
      </c>
      <c r="D79" s="1">
        <v>45741</v>
      </c>
      <c r="E79" s="1">
        <v>45786</v>
      </c>
      <c r="F79" t="s">
        <v>36</v>
      </c>
      <c r="G79">
        <v>122313.13</v>
      </c>
      <c r="H79" s="1"/>
      <c r="I79" t="s">
        <v>2206</v>
      </c>
      <c r="J79" t="s">
        <v>573</v>
      </c>
      <c r="K79">
        <v>85.984399999999994</v>
      </c>
      <c r="L79">
        <v>0</v>
      </c>
      <c r="M79">
        <f>IF(F79="INR",1,INDEX('rates'!$B$2:$C$522,MATCH(D79,'rates'!$A$2:$A$522,1),MATCH(F79&amp;"/INR",'rates'!$B$1:$C$1,0)))</f>
        <v>85.77</v>
      </c>
      <c r="N79">
        <f t="shared" si="5"/>
        <v>10490797.1601</v>
      </c>
      <c r="O79">
        <f t="shared" si="6"/>
        <v>10490797.1601</v>
      </c>
      <c r="P79">
        <f t="shared" si="7"/>
        <v>0</v>
      </c>
      <c r="Q79" t="str">
        <f t="shared" si="8"/>
        <v/>
      </c>
      <c r="R79" t="str">
        <f t="shared" si="9"/>
        <v>Not yet due</v>
      </c>
    </row>
    <row r="80" spans="1:18" x14ac:dyDescent="0.3">
      <c r="A80" t="s">
        <v>3224</v>
      </c>
      <c r="B80" t="s">
        <v>466</v>
      </c>
      <c r="C80" t="s">
        <v>558</v>
      </c>
      <c r="D80" s="1">
        <v>45740</v>
      </c>
      <c r="E80" s="1">
        <v>45800</v>
      </c>
      <c r="F80" t="s">
        <v>31</v>
      </c>
      <c r="G80">
        <v>111413.55</v>
      </c>
      <c r="H80" s="1"/>
      <c r="I80" t="s">
        <v>2206</v>
      </c>
      <c r="J80" t="s">
        <v>556</v>
      </c>
      <c r="L80">
        <v>0</v>
      </c>
      <c r="M80">
        <f>IF(F80="INR",1,INDEX('rates'!$B$2:$C$522,MATCH(D80,'rates'!$A$2:$A$522,1),MATCH(F80&amp;"/INR",'rates'!$B$1:$C$1,0)))</f>
        <v>92.353499999999997</v>
      </c>
      <c r="N80">
        <f t="shared" si="5"/>
        <v>10289431.289925</v>
      </c>
      <c r="O80">
        <f t="shared" si="6"/>
        <v>10289431.289925</v>
      </c>
      <c r="P80">
        <f t="shared" si="7"/>
        <v>0</v>
      </c>
      <c r="Q80" t="str">
        <f t="shared" si="8"/>
        <v/>
      </c>
      <c r="R80" t="str">
        <f t="shared" si="9"/>
        <v>Not yet due</v>
      </c>
    </row>
    <row r="81" spans="1:18" x14ac:dyDescent="0.3">
      <c r="A81" t="s">
        <v>3159</v>
      </c>
      <c r="B81" t="s">
        <v>140</v>
      </c>
      <c r="C81" t="s">
        <v>554</v>
      </c>
      <c r="D81" s="1">
        <v>45726</v>
      </c>
      <c r="E81" s="1">
        <v>45786</v>
      </c>
      <c r="F81" t="s">
        <v>13</v>
      </c>
      <c r="G81">
        <v>10240098</v>
      </c>
      <c r="H81" s="1"/>
      <c r="I81" t="s">
        <v>2206</v>
      </c>
      <c r="J81" t="s">
        <v>556</v>
      </c>
      <c r="L81">
        <v>0</v>
      </c>
      <c r="M81">
        <f>IF(F81="INR",1,INDEX('rates'!$B$2:$C$522,MATCH(D81,'rates'!$A$2:$A$522,1),MATCH(F81&amp;"/INR",'rates'!$B$1:$C$1,0)))</f>
        <v>1</v>
      </c>
      <c r="N81">
        <f t="shared" si="5"/>
        <v>10240098</v>
      </c>
      <c r="O81">
        <f t="shared" si="6"/>
        <v>10240098</v>
      </c>
      <c r="P81">
        <f t="shared" si="7"/>
        <v>0</v>
      </c>
      <c r="Q81" t="str">
        <f t="shared" si="8"/>
        <v/>
      </c>
      <c r="R81" t="str">
        <f t="shared" si="9"/>
        <v>Not yet due</v>
      </c>
    </row>
    <row r="82" spans="1:18" x14ac:dyDescent="0.3">
      <c r="A82" t="s">
        <v>3079</v>
      </c>
      <c r="B82" t="s">
        <v>454</v>
      </c>
      <c r="C82" t="s">
        <v>575</v>
      </c>
      <c r="D82" s="1">
        <v>45703</v>
      </c>
      <c r="E82" s="1">
        <v>45763</v>
      </c>
      <c r="F82" t="s">
        <v>13</v>
      </c>
      <c r="G82">
        <v>10160101</v>
      </c>
      <c r="H82" s="1"/>
      <c r="I82" t="s">
        <v>2206</v>
      </c>
      <c r="J82" t="s">
        <v>556</v>
      </c>
      <c r="L82">
        <v>0</v>
      </c>
      <c r="M82">
        <f>IF(F82="INR",1,INDEX('rates'!$B$2:$C$522,MATCH(D82,'rates'!$A$2:$A$522,1),MATCH(F82&amp;"/INR",'rates'!$B$1:$C$1,0)))</f>
        <v>1</v>
      </c>
      <c r="N82">
        <f t="shared" si="5"/>
        <v>10160101</v>
      </c>
      <c r="O82">
        <f t="shared" si="6"/>
        <v>10160101</v>
      </c>
      <c r="P82">
        <f t="shared" si="7"/>
        <v>0</v>
      </c>
      <c r="Q82" t="str">
        <f t="shared" si="8"/>
        <v/>
      </c>
      <c r="R82" t="str">
        <f t="shared" si="9"/>
        <v>Not yet due</v>
      </c>
    </row>
    <row r="83" spans="1:18" x14ac:dyDescent="0.3">
      <c r="A83" t="s">
        <v>3059</v>
      </c>
      <c r="B83" t="s">
        <v>264</v>
      </c>
      <c r="C83" t="s">
        <v>558</v>
      </c>
      <c r="D83" s="1">
        <v>45701</v>
      </c>
      <c r="E83" s="1">
        <v>45746</v>
      </c>
      <c r="F83" t="s">
        <v>13</v>
      </c>
      <c r="G83">
        <v>10055994</v>
      </c>
      <c r="H83" s="1"/>
      <c r="I83" t="s">
        <v>2206</v>
      </c>
      <c r="J83" t="s">
        <v>556</v>
      </c>
      <c r="L83">
        <v>0</v>
      </c>
      <c r="M83">
        <f>IF(F83="INR",1,INDEX('rates'!$B$2:$C$522,MATCH(D83,'rates'!$A$2:$A$522,1),MATCH(F83&amp;"/INR",'rates'!$B$1:$C$1,0)))</f>
        <v>1</v>
      </c>
      <c r="N83">
        <f t="shared" si="5"/>
        <v>10055994</v>
      </c>
      <c r="O83">
        <f t="shared" si="6"/>
        <v>10055994</v>
      </c>
      <c r="P83">
        <f t="shared" si="7"/>
        <v>1</v>
      </c>
      <c r="Q83" t="str">
        <f t="shared" si="8"/>
        <v/>
      </c>
      <c r="R83" t="str">
        <f t="shared" si="9"/>
        <v>1-30</v>
      </c>
    </row>
    <row r="84" spans="1:18" x14ac:dyDescent="0.3">
      <c r="A84" t="s">
        <v>3102</v>
      </c>
      <c r="B84" t="s">
        <v>152</v>
      </c>
      <c r="C84" t="s">
        <v>558</v>
      </c>
      <c r="D84" s="1">
        <v>45710</v>
      </c>
      <c r="E84" s="1">
        <v>45770</v>
      </c>
      <c r="F84" t="s">
        <v>13</v>
      </c>
      <c r="G84">
        <v>10014966</v>
      </c>
      <c r="H84" s="1"/>
      <c r="I84" t="s">
        <v>2206</v>
      </c>
      <c r="J84" t="s">
        <v>556</v>
      </c>
      <c r="L84">
        <v>0</v>
      </c>
      <c r="M84">
        <f>IF(F84="INR",1,INDEX('rates'!$B$2:$C$522,MATCH(D84,'rates'!$A$2:$A$522,1),MATCH(F84&amp;"/INR",'rates'!$B$1:$C$1,0)))</f>
        <v>1</v>
      </c>
      <c r="N84">
        <f t="shared" si="5"/>
        <v>10014966</v>
      </c>
      <c r="O84">
        <f t="shared" si="6"/>
        <v>10014966</v>
      </c>
      <c r="P84">
        <f t="shared" si="7"/>
        <v>0</v>
      </c>
      <c r="Q84" t="str">
        <f t="shared" si="8"/>
        <v/>
      </c>
      <c r="R84" t="str">
        <f t="shared" si="9"/>
        <v>Not yet due</v>
      </c>
    </row>
    <row r="85" spans="1:18" x14ac:dyDescent="0.3">
      <c r="A85" t="s">
        <v>2926</v>
      </c>
      <c r="B85" t="s">
        <v>512</v>
      </c>
      <c r="C85" t="s">
        <v>566</v>
      </c>
      <c r="D85" s="1">
        <v>45666</v>
      </c>
      <c r="E85" s="1">
        <v>45726</v>
      </c>
      <c r="F85" t="s">
        <v>31</v>
      </c>
      <c r="G85">
        <v>113184.58</v>
      </c>
      <c r="H85" s="1"/>
      <c r="I85" t="s">
        <v>2206</v>
      </c>
      <c r="J85" t="s">
        <v>573</v>
      </c>
      <c r="K85">
        <v>88.605800000000002</v>
      </c>
      <c r="L85">
        <v>0</v>
      </c>
      <c r="M85">
        <f>IF(F85="INR",1,INDEX('rates'!$B$2:$C$522,MATCH(D85,'rates'!$A$2:$A$522,1),MATCH(F85&amp;"/INR",'rates'!$B$1:$C$1,0)))</f>
        <v>88.428899999999999</v>
      </c>
      <c r="N85">
        <f t="shared" si="5"/>
        <v>10008787.906362001</v>
      </c>
      <c r="O85">
        <f t="shared" si="6"/>
        <v>10008787.906362001</v>
      </c>
      <c r="P85">
        <f t="shared" si="7"/>
        <v>21</v>
      </c>
      <c r="Q85" t="str">
        <f t="shared" si="8"/>
        <v/>
      </c>
      <c r="R85" t="str">
        <f t="shared" si="9"/>
        <v>1-30</v>
      </c>
    </row>
    <row r="86" spans="1:18" x14ac:dyDescent="0.3">
      <c r="A86" t="s">
        <v>2623</v>
      </c>
      <c r="B86" t="s">
        <v>512</v>
      </c>
      <c r="C86" t="s">
        <v>558</v>
      </c>
      <c r="D86" s="1">
        <v>45591</v>
      </c>
      <c r="E86" s="1">
        <v>45651</v>
      </c>
      <c r="F86" t="s">
        <v>31</v>
      </c>
      <c r="G86">
        <v>108966.2</v>
      </c>
      <c r="H86" s="1"/>
      <c r="I86" t="s">
        <v>2206</v>
      </c>
      <c r="J86" t="s">
        <v>573</v>
      </c>
      <c r="K86">
        <v>91.075900000000004</v>
      </c>
      <c r="L86">
        <v>0</v>
      </c>
      <c r="M86">
        <f>IF(F86="INR",1,INDEX('rates'!$B$2:$C$522,MATCH(D86,'rates'!$A$2:$A$522,1),MATCH(F86&amp;"/INR",'rates'!$B$1:$C$1,0)))</f>
        <v>90.894099999999995</v>
      </c>
      <c r="N86">
        <f t="shared" si="5"/>
        <v>9904384.6794199999</v>
      </c>
      <c r="O86">
        <f t="shared" si="6"/>
        <v>9904384.6794199999</v>
      </c>
      <c r="P86">
        <f t="shared" si="7"/>
        <v>96</v>
      </c>
      <c r="Q86" t="str">
        <f t="shared" si="8"/>
        <v/>
      </c>
      <c r="R86" t="str">
        <f t="shared" si="9"/>
        <v>90+</v>
      </c>
    </row>
    <row r="87" spans="1:18" x14ac:dyDescent="0.3">
      <c r="A87" t="s">
        <v>997</v>
      </c>
      <c r="B87" t="s">
        <v>25</v>
      </c>
      <c r="C87" t="s">
        <v>560</v>
      </c>
      <c r="D87" s="1">
        <v>45160</v>
      </c>
      <c r="E87" s="1">
        <v>45190</v>
      </c>
      <c r="F87" t="s">
        <v>13</v>
      </c>
      <c r="G87">
        <v>20918941</v>
      </c>
      <c r="H87" s="1">
        <v>45193</v>
      </c>
      <c r="I87" t="s">
        <v>567</v>
      </c>
      <c r="J87" t="s">
        <v>556</v>
      </c>
      <c r="L87">
        <v>11048579.199999999</v>
      </c>
      <c r="M87">
        <f>IF(F87="INR",1,INDEX('rates'!$B$2:$C$522,MATCH(D87,'rates'!$A$2:$A$522,1),MATCH(F87&amp;"/INR",'rates'!$B$1:$C$1,0)))</f>
        <v>1</v>
      </c>
      <c r="N87">
        <f t="shared" si="5"/>
        <v>20918941</v>
      </c>
      <c r="O87">
        <f t="shared" si="6"/>
        <v>9870361.8000000007</v>
      </c>
      <c r="P87">
        <f t="shared" si="7"/>
        <v>557</v>
      </c>
      <c r="Q87">
        <f t="shared" si="8"/>
        <v>3</v>
      </c>
      <c r="R87" t="str">
        <f t="shared" si="9"/>
        <v>90+</v>
      </c>
    </row>
    <row r="88" spans="1:18" x14ac:dyDescent="0.3">
      <c r="A88" t="s">
        <v>2939</v>
      </c>
      <c r="B88" t="s">
        <v>436</v>
      </c>
      <c r="C88" t="s">
        <v>566</v>
      </c>
      <c r="D88" s="1">
        <v>45668</v>
      </c>
      <c r="E88" s="1">
        <v>45713</v>
      </c>
      <c r="F88" t="s">
        <v>36</v>
      </c>
      <c r="G88">
        <v>114093.55</v>
      </c>
      <c r="H88" s="1"/>
      <c r="I88" t="s">
        <v>2206</v>
      </c>
      <c r="J88" t="s">
        <v>573</v>
      </c>
      <c r="K88">
        <v>86.174899999999994</v>
      </c>
      <c r="L88">
        <v>0</v>
      </c>
      <c r="M88">
        <f>IF(F88="INR",1,INDEX('rates'!$B$2:$C$522,MATCH(D88,'rates'!$A$2:$A$522,1),MATCH(F88&amp;"/INR",'rates'!$B$1:$C$1,0)))</f>
        <v>85.96</v>
      </c>
      <c r="N88">
        <f t="shared" si="5"/>
        <v>9807481.5580000002</v>
      </c>
      <c r="O88">
        <f t="shared" si="6"/>
        <v>9807481.5580000002</v>
      </c>
      <c r="P88">
        <f t="shared" si="7"/>
        <v>34</v>
      </c>
      <c r="Q88" t="str">
        <f t="shared" si="8"/>
        <v/>
      </c>
      <c r="R88" t="str">
        <f t="shared" si="9"/>
        <v>31-60</v>
      </c>
    </row>
    <row r="89" spans="1:18" x14ac:dyDescent="0.3">
      <c r="A89" t="s">
        <v>3248</v>
      </c>
      <c r="B89" t="s">
        <v>496</v>
      </c>
      <c r="C89" t="s">
        <v>566</v>
      </c>
      <c r="D89" s="1">
        <v>45745</v>
      </c>
      <c r="E89" s="1">
        <v>45790</v>
      </c>
      <c r="F89" t="s">
        <v>13</v>
      </c>
      <c r="G89">
        <v>9806641</v>
      </c>
      <c r="H89" s="1"/>
      <c r="I89" t="s">
        <v>2206</v>
      </c>
      <c r="J89" t="s">
        <v>556</v>
      </c>
      <c r="L89">
        <v>0</v>
      </c>
      <c r="M89">
        <f>IF(F89="INR",1,INDEX('rates'!$B$2:$C$522,MATCH(D89,'rates'!$A$2:$A$522,1),MATCH(F89&amp;"/INR",'rates'!$B$1:$C$1,0)))</f>
        <v>1</v>
      </c>
      <c r="N89">
        <f t="shared" si="5"/>
        <v>9806641</v>
      </c>
      <c r="O89">
        <f t="shared" si="6"/>
        <v>9806641</v>
      </c>
      <c r="P89">
        <f t="shared" si="7"/>
        <v>0</v>
      </c>
      <c r="Q89" t="str">
        <f t="shared" si="8"/>
        <v/>
      </c>
      <c r="R89" t="str">
        <f t="shared" si="9"/>
        <v>Not yet due</v>
      </c>
    </row>
    <row r="90" spans="1:18" x14ac:dyDescent="0.3">
      <c r="A90" t="s">
        <v>3119</v>
      </c>
      <c r="B90" t="s">
        <v>434</v>
      </c>
      <c r="C90" t="s">
        <v>554</v>
      </c>
      <c r="D90" s="1">
        <v>45716</v>
      </c>
      <c r="E90" s="1">
        <v>45761</v>
      </c>
      <c r="F90" t="s">
        <v>13</v>
      </c>
      <c r="G90">
        <v>9705572</v>
      </c>
      <c r="H90" s="1"/>
      <c r="I90" t="s">
        <v>2206</v>
      </c>
      <c r="J90" t="s">
        <v>556</v>
      </c>
      <c r="L90">
        <v>0</v>
      </c>
      <c r="M90">
        <f>IF(F90="INR",1,INDEX('rates'!$B$2:$C$522,MATCH(D90,'rates'!$A$2:$A$522,1),MATCH(F90&amp;"/INR",'rates'!$B$1:$C$1,0)))</f>
        <v>1</v>
      </c>
      <c r="N90">
        <f t="shared" si="5"/>
        <v>9705572</v>
      </c>
      <c r="O90">
        <f t="shared" si="6"/>
        <v>9705572</v>
      </c>
      <c r="P90">
        <f t="shared" si="7"/>
        <v>0</v>
      </c>
      <c r="Q90" t="str">
        <f t="shared" si="8"/>
        <v/>
      </c>
      <c r="R90" t="str">
        <f t="shared" si="9"/>
        <v>Not yet due</v>
      </c>
    </row>
    <row r="91" spans="1:18" x14ac:dyDescent="0.3">
      <c r="A91" t="s">
        <v>2480</v>
      </c>
      <c r="B91" t="s">
        <v>258</v>
      </c>
      <c r="C91" t="s">
        <v>558</v>
      </c>
      <c r="D91" s="1">
        <v>45561</v>
      </c>
      <c r="E91" s="1">
        <v>45606</v>
      </c>
      <c r="F91" t="s">
        <v>13</v>
      </c>
      <c r="G91">
        <v>26432704</v>
      </c>
      <c r="H91" s="1">
        <v>45621</v>
      </c>
      <c r="I91" t="s">
        <v>567</v>
      </c>
      <c r="J91" t="s">
        <v>556</v>
      </c>
      <c r="L91">
        <v>16759491.869999999</v>
      </c>
      <c r="M91">
        <f>IF(F91="INR",1,INDEX('rates'!$B$2:$C$522,MATCH(D91,'rates'!$A$2:$A$522,1),MATCH(F91&amp;"/INR",'rates'!$B$1:$C$1,0)))</f>
        <v>1</v>
      </c>
      <c r="N91">
        <f t="shared" si="5"/>
        <v>26432704</v>
      </c>
      <c r="O91">
        <f t="shared" si="6"/>
        <v>9673212.1300000008</v>
      </c>
      <c r="P91">
        <f t="shared" si="7"/>
        <v>141</v>
      </c>
      <c r="Q91">
        <f t="shared" si="8"/>
        <v>15</v>
      </c>
      <c r="R91" t="str">
        <f t="shared" si="9"/>
        <v>90+</v>
      </c>
    </row>
    <row r="92" spans="1:18" x14ac:dyDescent="0.3">
      <c r="A92" t="s">
        <v>3042</v>
      </c>
      <c r="B92" t="s">
        <v>124</v>
      </c>
      <c r="C92" t="s">
        <v>566</v>
      </c>
      <c r="D92" s="1">
        <v>45696</v>
      </c>
      <c r="E92" s="1">
        <v>45756</v>
      </c>
      <c r="F92" t="s">
        <v>31</v>
      </c>
      <c r="G92">
        <v>105993.68</v>
      </c>
      <c r="H92" s="1"/>
      <c r="I92" t="s">
        <v>2206</v>
      </c>
      <c r="J92" t="s">
        <v>573</v>
      </c>
      <c r="K92">
        <v>90.486999999999995</v>
      </c>
      <c r="L92">
        <v>0</v>
      </c>
      <c r="M92">
        <f>IF(F92="INR",1,INDEX('rates'!$B$2:$C$522,MATCH(D92,'rates'!$A$2:$A$522,1),MATCH(F92&amp;"/INR",'rates'!$B$1:$C$1,0)))</f>
        <v>90.306399999999996</v>
      </c>
      <c r="N92">
        <f t="shared" si="5"/>
        <v>9571907.6635519993</v>
      </c>
      <c r="O92">
        <f t="shared" si="6"/>
        <v>9571907.6635519993</v>
      </c>
      <c r="P92">
        <f t="shared" si="7"/>
        <v>0</v>
      </c>
      <c r="Q92" t="str">
        <f t="shared" si="8"/>
        <v/>
      </c>
      <c r="R92" t="str">
        <f t="shared" si="9"/>
        <v>Not yet due</v>
      </c>
    </row>
    <row r="93" spans="1:18" x14ac:dyDescent="0.3">
      <c r="A93" t="s">
        <v>1437</v>
      </c>
      <c r="B93" t="s">
        <v>262</v>
      </c>
      <c r="C93" t="s">
        <v>566</v>
      </c>
      <c r="D93" s="1">
        <v>45279</v>
      </c>
      <c r="E93" s="1">
        <v>45369</v>
      </c>
      <c r="F93" t="s">
        <v>31</v>
      </c>
      <c r="G93">
        <v>206606.18</v>
      </c>
      <c r="H93" s="1">
        <v>45383</v>
      </c>
      <c r="I93" t="s">
        <v>567</v>
      </c>
      <c r="J93" t="s">
        <v>573</v>
      </c>
      <c r="K93">
        <v>91.580600000000004</v>
      </c>
      <c r="L93">
        <v>103364.91</v>
      </c>
      <c r="M93">
        <f>IF(F93="INR",1,INDEX('rates'!$B$2:$C$522,MATCH(D93,'rates'!$A$2:$A$522,1),MATCH(F93&amp;"/INR",'rates'!$B$1:$C$1,0)))</f>
        <v>91.306700000000006</v>
      </c>
      <c r="N93">
        <f t="shared" si="5"/>
        <v>18864528.495406002</v>
      </c>
      <c r="O93">
        <f t="shared" si="6"/>
        <v>9426619.6675089989</v>
      </c>
      <c r="P93">
        <f t="shared" si="7"/>
        <v>378</v>
      </c>
      <c r="Q93">
        <f t="shared" si="8"/>
        <v>14</v>
      </c>
      <c r="R93" t="str">
        <f t="shared" si="9"/>
        <v>90+</v>
      </c>
    </row>
    <row r="94" spans="1:18" x14ac:dyDescent="0.3">
      <c r="A94" t="s">
        <v>3197</v>
      </c>
      <c r="B94" t="s">
        <v>182</v>
      </c>
      <c r="C94" t="s">
        <v>558</v>
      </c>
      <c r="D94" s="1">
        <v>45734</v>
      </c>
      <c r="E94" s="1">
        <v>45794</v>
      </c>
      <c r="F94" t="s">
        <v>36</v>
      </c>
      <c r="G94">
        <v>107904.77</v>
      </c>
      <c r="H94" s="1"/>
      <c r="I94" t="s">
        <v>2206</v>
      </c>
      <c r="J94" t="s">
        <v>573</v>
      </c>
      <c r="K94">
        <v>86.788300000000007</v>
      </c>
      <c r="L94">
        <v>0</v>
      </c>
      <c r="M94">
        <f>IF(F94="INR",1,INDEX('rates'!$B$2:$C$522,MATCH(D94,'rates'!$A$2:$A$522,1),MATCH(F94&amp;"/INR",'rates'!$B$1:$C$1,0)))</f>
        <v>86.5</v>
      </c>
      <c r="N94">
        <f t="shared" si="5"/>
        <v>9333762.6050000004</v>
      </c>
      <c r="O94">
        <f t="shared" si="6"/>
        <v>9333762.6050000004</v>
      </c>
      <c r="P94">
        <f t="shared" si="7"/>
        <v>0</v>
      </c>
      <c r="Q94" t="str">
        <f t="shared" si="8"/>
        <v/>
      </c>
      <c r="R94" t="str">
        <f t="shared" si="9"/>
        <v>Not yet due</v>
      </c>
    </row>
    <row r="95" spans="1:18" x14ac:dyDescent="0.3">
      <c r="A95" t="s">
        <v>2779</v>
      </c>
      <c r="B95" t="s">
        <v>72</v>
      </c>
      <c r="C95" t="s">
        <v>560</v>
      </c>
      <c r="D95" s="1">
        <v>45633</v>
      </c>
      <c r="E95" s="1">
        <v>45723</v>
      </c>
      <c r="F95" t="s">
        <v>31</v>
      </c>
      <c r="G95">
        <v>103874.64</v>
      </c>
      <c r="H95" s="1"/>
      <c r="I95" t="s">
        <v>2206</v>
      </c>
      <c r="J95" t="s">
        <v>556</v>
      </c>
      <c r="L95">
        <v>0</v>
      </c>
      <c r="M95">
        <f>IF(F95="INR",1,INDEX('rates'!$B$2:$C$522,MATCH(D95,'rates'!$A$2:$A$522,1),MATCH(F95&amp;"/INR",'rates'!$B$1:$C$1,0)))</f>
        <v>89.436899999999994</v>
      </c>
      <c r="N95">
        <f t="shared" si="5"/>
        <v>9290225.7902159989</v>
      </c>
      <c r="O95">
        <f t="shared" si="6"/>
        <v>9290225.7902159989</v>
      </c>
      <c r="P95">
        <f t="shared" si="7"/>
        <v>24</v>
      </c>
      <c r="Q95" t="str">
        <f t="shared" si="8"/>
        <v/>
      </c>
      <c r="R95" t="str">
        <f t="shared" si="9"/>
        <v>1-30</v>
      </c>
    </row>
    <row r="96" spans="1:18" x14ac:dyDescent="0.3">
      <c r="A96" t="s">
        <v>3174</v>
      </c>
      <c r="B96" t="s">
        <v>184</v>
      </c>
      <c r="C96" t="s">
        <v>575</v>
      </c>
      <c r="D96" s="1">
        <v>45730</v>
      </c>
      <c r="E96" s="1">
        <v>45820</v>
      </c>
      <c r="F96" t="s">
        <v>31</v>
      </c>
      <c r="G96">
        <v>97209.45</v>
      </c>
      <c r="H96" s="1"/>
      <c r="I96" t="s">
        <v>2206</v>
      </c>
      <c r="J96" t="s">
        <v>573</v>
      </c>
      <c r="K96">
        <v>94.870199999999997</v>
      </c>
      <c r="L96">
        <v>0</v>
      </c>
      <c r="M96">
        <f>IF(F96="INR",1,INDEX('rates'!$B$2:$C$522,MATCH(D96,'rates'!$A$2:$A$522,1),MATCH(F96&amp;"/INR",'rates'!$B$1:$C$1,0)))</f>
        <v>94.586399999999998</v>
      </c>
      <c r="N96">
        <f t="shared" si="5"/>
        <v>9194691.92148</v>
      </c>
      <c r="O96">
        <f t="shared" si="6"/>
        <v>9194691.92148</v>
      </c>
      <c r="P96">
        <f t="shared" si="7"/>
        <v>0</v>
      </c>
      <c r="Q96" t="str">
        <f t="shared" si="8"/>
        <v/>
      </c>
      <c r="R96" t="str">
        <f t="shared" si="9"/>
        <v>Not yet due</v>
      </c>
    </row>
    <row r="97" spans="1:18" x14ac:dyDescent="0.3">
      <c r="A97" t="s">
        <v>2583</v>
      </c>
      <c r="B97" t="s">
        <v>75</v>
      </c>
      <c r="C97" t="s">
        <v>566</v>
      </c>
      <c r="D97" s="1">
        <v>45584</v>
      </c>
      <c r="E97" s="1">
        <v>45674</v>
      </c>
      <c r="F97" t="s">
        <v>36</v>
      </c>
      <c r="G97">
        <v>108451.73</v>
      </c>
      <c r="H97" s="1"/>
      <c r="I97" t="s">
        <v>2206</v>
      </c>
      <c r="J97" t="s">
        <v>556</v>
      </c>
      <c r="L97">
        <v>0</v>
      </c>
      <c r="M97">
        <f>IF(F97="INR",1,INDEX('rates'!$B$2:$C$522,MATCH(D97,'rates'!$A$2:$A$522,1),MATCH(F97&amp;"/INR",'rates'!$B$1:$C$1,0)))</f>
        <v>84.03</v>
      </c>
      <c r="N97">
        <f t="shared" si="5"/>
        <v>9113198.8718999997</v>
      </c>
      <c r="O97">
        <f t="shared" si="6"/>
        <v>9113198.8718999997</v>
      </c>
      <c r="P97">
        <f t="shared" si="7"/>
        <v>73</v>
      </c>
      <c r="Q97" t="str">
        <f t="shared" si="8"/>
        <v/>
      </c>
      <c r="R97" t="str">
        <f t="shared" si="9"/>
        <v>61-90</v>
      </c>
    </row>
    <row r="98" spans="1:18" x14ac:dyDescent="0.3">
      <c r="A98" t="s">
        <v>3194</v>
      </c>
      <c r="B98" t="s">
        <v>178</v>
      </c>
      <c r="C98" t="s">
        <v>560</v>
      </c>
      <c r="D98" s="1">
        <v>45733</v>
      </c>
      <c r="E98" s="1">
        <v>45763</v>
      </c>
      <c r="F98" t="s">
        <v>13</v>
      </c>
      <c r="G98">
        <v>9069380</v>
      </c>
      <c r="H98" s="1"/>
      <c r="I98" t="s">
        <v>2206</v>
      </c>
      <c r="J98" t="s">
        <v>556</v>
      </c>
      <c r="L98">
        <v>0</v>
      </c>
      <c r="M98">
        <f>IF(F98="INR",1,INDEX('rates'!$B$2:$C$522,MATCH(D98,'rates'!$A$2:$A$522,1),MATCH(F98&amp;"/INR",'rates'!$B$1:$C$1,0)))</f>
        <v>1</v>
      </c>
      <c r="N98">
        <f t="shared" si="5"/>
        <v>9069380</v>
      </c>
      <c r="O98">
        <f t="shared" si="6"/>
        <v>9069380</v>
      </c>
      <c r="P98">
        <f t="shared" si="7"/>
        <v>0</v>
      </c>
      <c r="Q98" t="str">
        <f t="shared" si="8"/>
        <v/>
      </c>
      <c r="R98" t="str">
        <f t="shared" si="9"/>
        <v>Not yet due</v>
      </c>
    </row>
    <row r="99" spans="1:18" x14ac:dyDescent="0.3">
      <c r="A99" t="s">
        <v>3182</v>
      </c>
      <c r="B99" t="s">
        <v>154</v>
      </c>
      <c r="C99" t="s">
        <v>566</v>
      </c>
      <c r="D99" s="1">
        <v>45731</v>
      </c>
      <c r="E99" s="1">
        <v>45761</v>
      </c>
      <c r="F99" t="s">
        <v>13</v>
      </c>
      <c r="G99">
        <v>9044576</v>
      </c>
      <c r="H99" s="1"/>
      <c r="I99" t="s">
        <v>2206</v>
      </c>
      <c r="J99" t="s">
        <v>556</v>
      </c>
      <c r="L99">
        <v>0</v>
      </c>
      <c r="M99">
        <f>IF(F99="INR",1,INDEX('rates'!$B$2:$C$522,MATCH(D99,'rates'!$A$2:$A$522,1),MATCH(F99&amp;"/INR",'rates'!$B$1:$C$1,0)))</f>
        <v>1</v>
      </c>
      <c r="N99">
        <f t="shared" si="5"/>
        <v>9044576</v>
      </c>
      <c r="O99">
        <f t="shared" si="6"/>
        <v>9044576</v>
      </c>
      <c r="P99">
        <f t="shared" si="7"/>
        <v>0</v>
      </c>
      <c r="Q99" t="str">
        <f t="shared" si="8"/>
        <v/>
      </c>
      <c r="R99" t="str">
        <f t="shared" si="9"/>
        <v>Not yet due</v>
      </c>
    </row>
    <row r="100" spans="1:18" x14ac:dyDescent="0.3">
      <c r="A100" t="s">
        <v>3101</v>
      </c>
      <c r="B100" t="s">
        <v>105</v>
      </c>
      <c r="C100" t="s">
        <v>560</v>
      </c>
      <c r="D100" s="1">
        <v>45710</v>
      </c>
      <c r="E100" s="1">
        <v>45800</v>
      </c>
      <c r="F100" t="s">
        <v>36</v>
      </c>
      <c r="G100">
        <v>104117.25</v>
      </c>
      <c r="H100" s="1"/>
      <c r="I100" t="s">
        <v>2206</v>
      </c>
      <c r="J100" t="s">
        <v>573</v>
      </c>
      <c r="K100">
        <v>87.133499999999998</v>
      </c>
      <c r="L100">
        <v>0</v>
      </c>
      <c r="M100">
        <f>IF(F100="INR",1,INDEX('rates'!$B$2:$C$522,MATCH(D100,'rates'!$A$2:$A$522,1),MATCH(F100&amp;"/INR",'rates'!$B$1:$C$1,0)))</f>
        <v>86.7</v>
      </c>
      <c r="N100">
        <f t="shared" si="5"/>
        <v>9026965.5750000011</v>
      </c>
      <c r="O100">
        <f t="shared" si="6"/>
        <v>9026965.5750000011</v>
      </c>
      <c r="P100">
        <f t="shared" si="7"/>
        <v>0</v>
      </c>
      <c r="Q100" t="str">
        <f t="shared" si="8"/>
        <v/>
      </c>
      <c r="R100" t="str">
        <f t="shared" si="9"/>
        <v>Not yet due</v>
      </c>
    </row>
    <row r="101" spans="1:18" x14ac:dyDescent="0.3">
      <c r="A101" t="s">
        <v>3169</v>
      </c>
      <c r="B101" t="s">
        <v>332</v>
      </c>
      <c r="C101" t="s">
        <v>566</v>
      </c>
      <c r="D101" s="1">
        <v>45728</v>
      </c>
      <c r="E101" s="1">
        <v>45788</v>
      </c>
      <c r="F101" t="s">
        <v>36</v>
      </c>
      <c r="G101">
        <v>102488.34</v>
      </c>
      <c r="H101" s="1"/>
      <c r="I101" t="s">
        <v>2206</v>
      </c>
      <c r="J101" t="s">
        <v>556</v>
      </c>
      <c r="L101">
        <v>0</v>
      </c>
      <c r="M101">
        <f>IF(F101="INR",1,INDEX('rates'!$B$2:$C$522,MATCH(D101,'rates'!$A$2:$A$522,1),MATCH(F101&amp;"/INR",'rates'!$B$1:$C$1,0)))</f>
        <v>87.16</v>
      </c>
      <c r="N101">
        <f t="shared" si="5"/>
        <v>8932883.714399999</v>
      </c>
      <c r="O101">
        <f t="shared" si="6"/>
        <v>8932883.714399999</v>
      </c>
      <c r="P101">
        <f t="shared" si="7"/>
        <v>0</v>
      </c>
      <c r="Q101" t="str">
        <f t="shared" si="8"/>
        <v/>
      </c>
      <c r="R101" t="str">
        <f t="shared" si="9"/>
        <v>Not yet due</v>
      </c>
    </row>
    <row r="102" spans="1:18" x14ac:dyDescent="0.3">
      <c r="A102" t="s">
        <v>3148</v>
      </c>
      <c r="B102" t="s">
        <v>436</v>
      </c>
      <c r="C102" t="s">
        <v>566</v>
      </c>
      <c r="D102" s="1">
        <v>45723</v>
      </c>
      <c r="E102" s="1">
        <v>45768</v>
      </c>
      <c r="F102" t="s">
        <v>36</v>
      </c>
      <c r="G102">
        <v>102176.31</v>
      </c>
      <c r="H102" s="1"/>
      <c r="I102" t="s">
        <v>2206</v>
      </c>
      <c r="J102" t="s">
        <v>573</v>
      </c>
      <c r="K102">
        <v>87.097200000000001</v>
      </c>
      <c r="L102">
        <v>0</v>
      </c>
      <c r="M102">
        <f>IF(F102="INR",1,INDEX('rates'!$B$2:$C$522,MATCH(D102,'rates'!$A$2:$A$522,1),MATCH(F102&amp;"/INR",'rates'!$B$1:$C$1,0)))</f>
        <v>86.88</v>
      </c>
      <c r="N102">
        <f t="shared" si="5"/>
        <v>8877077.8127999995</v>
      </c>
      <c r="O102">
        <f t="shared" si="6"/>
        <v>8877077.8127999995</v>
      </c>
      <c r="P102">
        <f t="shared" si="7"/>
        <v>0</v>
      </c>
      <c r="Q102" t="str">
        <f t="shared" si="8"/>
        <v/>
      </c>
      <c r="R102" t="str">
        <f t="shared" si="9"/>
        <v>Not yet due</v>
      </c>
    </row>
    <row r="103" spans="1:18" x14ac:dyDescent="0.3">
      <c r="A103" t="s">
        <v>3198</v>
      </c>
      <c r="B103" t="s">
        <v>402</v>
      </c>
      <c r="C103" t="s">
        <v>558</v>
      </c>
      <c r="D103" s="1">
        <v>45734</v>
      </c>
      <c r="E103" s="1">
        <v>45794</v>
      </c>
      <c r="F103" t="s">
        <v>13</v>
      </c>
      <c r="G103">
        <v>8838850</v>
      </c>
      <c r="H103" s="1"/>
      <c r="I103" t="s">
        <v>2206</v>
      </c>
      <c r="J103" t="s">
        <v>556</v>
      </c>
      <c r="L103">
        <v>0</v>
      </c>
      <c r="M103">
        <f>IF(F103="INR",1,INDEX('rates'!$B$2:$C$522,MATCH(D103,'rates'!$A$2:$A$522,1),MATCH(F103&amp;"/INR",'rates'!$B$1:$C$1,0)))</f>
        <v>1</v>
      </c>
      <c r="N103">
        <f t="shared" si="5"/>
        <v>8838850</v>
      </c>
      <c r="O103">
        <f t="shared" si="6"/>
        <v>8838850</v>
      </c>
      <c r="P103">
        <f t="shared" si="7"/>
        <v>0</v>
      </c>
      <c r="Q103" t="str">
        <f t="shared" si="8"/>
        <v/>
      </c>
      <c r="R103" t="str">
        <f t="shared" si="9"/>
        <v>Not yet due</v>
      </c>
    </row>
    <row r="104" spans="1:18" x14ac:dyDescent="0.3">
      <c r="A104" t="s">
        <v>3039</v>
      </c>
      <c r="B104" t="s">
        <v>96</v>
      </c>
      <c r="C104" t="s">
        <v>558</v>
      </c>
      <c r="D104" s="1">
        <v>45695</v>
      </c>
      <c r="E104" s="1">
        <v>45785</v>
      </c>
      <c r="F104" t="s">
        <v>13</v>
      </c>
      <c r="G104">
        <v>8725255</v>
      </c>
      <c r="H104" s="1"/>
      <c r="I104" t="s">
        <v>2206</v>
      </c>
      <c r="J104" t="s">
        <v>556</v>
      </c>
      <c r="L104">
        <v>0</v>
      </c>
      <c r="M104">
        <f>IF(F104="INR",1,INDEX('rates'!$B$2:$C$522,MATCH(D104,'rates'!$A$2:$A$522,1),MATCH(F104&amp;"/INR",'rates'!$B$1:$C$1,0)))</f>
        <v>1</v>
      </c>
      <c r="N104">
        <f t="shared" si="5"/>
        <v>8725255</v>
      </c>
      <c r="O104">
        <f t="shared" si="6"/>
        <v>8725255</v>
      </c>
      <c r="P104">
        <f t="shared" si="7"/>
        <v>0</v>
      </c>
      <c r="Q104" t="str">
        <f t="shared" si="8"/>
        <v/>
      </c>
      <c r="R104" t="str">
        <f t="shared" si="9"/>
        <v>Not yet due</v>
      </c>
    </row>
    <row r="105" spans="1:18" x14ac:dyDescent="0.3">
      <c r="A105" t="s">
        <v>3204</v>
      </c>
      <c r="B105" t="s">
        <v>234</v>
      </c>
      <c r="C105" t="s">
        <v>566</v>
      </c>
      <c r="D105" s="1">
        <v>45736</v>
      </c>
      <c r="E105" s="1">
        <v>45781</v>
      </c>
      <c r="F105" t="s">
        <v>13</v>
      </c>
      <c r="G105">
        <v>8673525</v>
      </c>
      <c r="H105" s="1"/>
      <c r="I105" t="s">
        <v>2206</v>
      </c>
      <c r="J105" t="s">
        <v>556</v>
      </c>
      <c r="L105">
        <v>0</v>
      </c>
      <c r="M105">
        <f>IF(F105="INR",1,INDEX('rates'!$B$2:$C$522,MATCH(D105,'rates'!$A$2:$A$522,1),MATCH(F105&amp;"/INR",'rates'!$B$1:$C$1,0)))</f>
        <v>1</v>
      </c>
      <c r="N105">
        <f t="shared" si="5"/>
        <v>8673525</v>
      </c>
      <c r="O105">
        <f t="shared" si="6"/>
        <v>8673525</v>
      </c>
      <c r="P105">
        <f t="shared" si="7"/>
        <v>0</v>
      </c>
      <c r="Q105" t="str">
        <f t="shared" si="8"/>
        <v/>
      </c>
      <c r="R105" t="str">
        <f t="shared" si="9"/>
        <v>Not yet due</v>
      </c>
    </row>
    <row r="106" spans="1:18" x14ac:dyDescent="0.3">
      <c r="A106" t="s">
        <v>3207</v>
      </c>
      <c r="B106" t="s">
        <v>42</v>
      </c>
      <c r="C106" t="s">
        <v>566</v>
      </c>
      <c r="D106" s="1">
        <v>45737</v>
      </c>
      <c r="E106" s="1">
        <v>45797</v>
      </c>
      <c r="F106" t="s">
        <v>13</v>
      </c>
      <c r="G106">
        <v>8612074</v>
      </c>
      <c r="H106" s="1"/>
      <c r="I106" t="s">
        <v>2206</v>
      </c>
      <c r="J106" t="s">
        <v>556</v>
      </c>
      <c r="L106">
        <v>0</v>
      </c>
      <c r="M106">
        <f>IF(F106="INR",1,INDEX('rates'!$B$2:$C$522,MATCH(D106,'rates'!$A$2:$A$522,1),MATCH(F106&amp;"/INR",'rates'!$B$1:$C$1,0)))</f>
        <v>1</v>
      </c>
      <c r="N106">
        <f t="shared" si="5"/>
        <v>8612074</v>
      </c>
      <c r="O106">
        <f t="shared" si="6"/>
        <v>8612074</v>
      </c>
      <c r="P106">
        <f t="shared" si="7"/>
        <v>0</v>
      </c>
      <c r="Q106" t="str">
        <f t="shared" si="8"/>
        <v/>
      </c>
      <c r="R106" t="str">
        <f t="shared" si="9"/>
        <v>Not yet due</v>
      </c>
    </row>
    <row r="107" spans="1:18" x14ac:dyDescent="0.3">
      <c r="A107" t="s">
        <v>3206</v>
      </c>
      <c r="B107" t="s">
        <v>22</v>
      </c>
      <c r="C107" t="s">
        <v>554</v>
      </c>
      <c r="D107" s="1">
        <v>45737</v>
      </c>
      <c r="E107" s="1">
        <v>45782</v>
      </c>
      <c r="F107" t="s">
        <v>13</v>
      </c>
      <c r="G107">
        <v>8584954</v>
      </c>
      <c r="H107" s="1"/>
      <c r="I107" t="s">
        <v>2206</v>
      </c>
      <c r="J107" t="s">
        <v>556</v>
      </c>
      <c r="L107">
        <v>0</v>
      </c>
      <c r="M107">
        <f>IF(F107="INR",1,INDEX('rates'!$B$2:$C$522,MATCH(D107,'rates'!$A$2:$A$522,1),MATCH(F107&amp;"/INR",'rates'!$B$1:$C$1,0)))</f>
        <v>1</v>
      </c>
      <c r="N107">
        <f t="shared" si="5"/>
        <v>8584954</v>
      </c>
      <c r="O107">
        <f t="shared" si="6"/>
        <v>8584954</v>
      </c>
      <c r="P107">
        <f t="shared" si="7"/>
        <v>0</v>
      </c>
      <c r="Q107" t="str">
        <f t="shared" si="8"/>
        <v/>
      </c>
      <c r="R107" t="str">
        <f t="shared" si="9"/>
        <v>Not yet due</v>
      </c>
    </row>
    <row r="108" spans="1:18" x14ac:dyDescent="0.3">
      <c r="A108" t="s">
        <v>1315</v>
      </c>
      <c r="B108" t="s">
        <v>314</v>
      </c>
      <c r="C108" t="s">
        <v>558</v>
      </c>
      <c r="D108" s="1">
        <v>45248</v>
      </c>
      <c r="E108" s="1">
        <v>45308</v>
      </c>
      <c r="F108" t="s">
        <v>36</v>
      </c>
      <c r="G108">
        <v>218706.86</v>
      </c>
      <c r="H108" s="1">
        <v>45332</v>
      </c>
      <c r="I108" t="s">
        <v>567</v>
      </c>
      <c r="J108" t="s">
        <v>556</v>
      </c>
      <c r="L108">
        <v>117183.34</v>
      </c>
      <c r="M108">
        <f>IF(F108="INR",1,INDEX('rates'!$B$2:$C$522,MATCH(D108,'rates'!$A$2:$A$522,1),MATCH(F108&amp;"/INR",'rates'!$B$1:$C$1,0)))</f>
        <v>83.25</v>
      </c>
      <c r="N108">
        <f t="shared" si="5"/>
        <v>18207346.094999999</v>
      </c>
      <c r="O108">
        <f t="shared" si="6"/>
        <v>8451833.0399999991</v>
      </c>
      <c r="P108">
        <f t="shared" si="7"/>
        <v>439</v>
      </c>
      <c r="Q108">
        <f t="shared" si="8"/>
        <v>24</v>
      </c>
      <c r="R108" t="str">
        <f t="shared" si="9"/>
        <v>90+</v>
      </c>
    </row>
    <row r="109" spans="1:18" x14ac:dyDescent="0.3">
      <c r="A109" t="s">
        <v>3235</v>
      </c>
      <c r="B109" t="s">
        <v>33</v>
      </c>
      <c r="C109" t="s">
        <v>566</v>
      </c>
      <c r="D109" s="1">
        <v>45743</v>
      </c>
      <c r="E109" s="1">
        <v>45773</v>
      </c>
      <c r="F109" t="s">
        <v>36</v>
      </c>
      <c r="G109">
        <v>98116.73</v>
      </c>
      <c r="H109" s="1"/>
      <c r="I109" t="s">
        <v>2206</v>
      </c>
      <c r="J109" t="s">
        <v>556</v>
      </c>
      <c r="L109">
        <v>0</v>
      </c>
      <c r="M109">
        <f>IF(F109="INR",1,INDEX('rates'!$B$2:$C$522,MATCH(D109,'rates'!$A$2:$A$522,1),MATCH(F109&amp;"/INR",'rates'!$B$1:$C$1,0)))</f>
        <v>85.79</v>
      </c>
      <c r="N109">
        <f t="shared" si="5"/>
        <v>8417434.2666999996</v>
      </c>
      <c r="O109">
        <f t="shared" si="6"/>
        <v>8417434.2666999996</v>
      </c>
      <c r="P109">
        <f t="shared" si="7"/>
        <v>0</v>
      </c>
      <c r="Q109" t="str">
        <f t="shared" si="8"/>
        <v/>
      </c>
      <c r="R109" t="str">
        <f t="shared" si="9"/>
        <v>Not yet due</v>
      </c>
    </row>
    <row r="110" spans="1:18" x14ac:dyDescent="0.3">
      <c r="A110" t="s">
        <v>1071</v>
      </c>
      <c r="B110" t="s">
        <v>154</v>
      </c>
      <c r="C110" t="s">
        <v>566</v>
      </c>
      <c r="D110" s="1">
        <v>45185</v>
      </c>
      <c r="E110" s="1">
        <v>45215</v>
      </c>
      <c r="F110" t="s">
        <v>13</v>
      </c>
      <c r="G110">
        <v>22611671</v>
      </c>
      <c r="H110" s="1">
        <v>45219</v>
      </c>
      <c r="I110" t="s">
        <v>567</v>
      </c>
      <c r="J110" t="s">
        <v>556</v>
      </c>
      <c r="L110">
        <v>14195824.789999999</v>
      </c>
      <c r="M110">
        <f>IF(F110="INR",1,INDEX('rates'!$B$2:$C$522,MATCH(D110,'rates'!$A$2:$A$522,1),MATCH(F110&amp;"/INR",'rates'!$B$1:$C$1,0)))</f>
        <v>1</v>
      </c>
      <c r="N110">
        <f t="shared" si="5"/>
        <v>22611671</v>
      </c>
      <c r="O110">
        <f t="shared" si="6"/>
        <v>8415846.2100000009</v>
      </c>
      <c r="P110">
        <f t="shared" si="7"/>
        <v>532</v>
      </c>
      <c r="Q110">
        <f t="shared" si="8"/>
        <v>4</v>
      </c>
      <c r="R110" t="str">
        <f t="shared" si="9"/>
        <v>90+</v>
      </c>
    </row>
    <row r="111" spans="1:18" x14ac:dyDescent="0.3">
      <c r="A111" t="s">
        <v>2950</v>
      </c>
      <c r="B111" t="s">
        <v>266</v>
      </c>
      <c r="C111" t="s">
        <v>554</v>
      </c>
      <c r="D111" s="1">
        <v>45671</v>
      </c>
      <c r="E111" s="1">
        <v>45761</v>
      </c>
      <c r="F111" t="s">
        <v>13</v>
      </c>
      <c r="G111">
        <v>8324695</v>
      </c>
      <c r="H111" s="1"/>
      <c r="I111" t="s">
        <v>2206</v>
      </c>
      <c r="J111" t="s">
        <v>556</v>
      </c>
      <c r="L111">
        <v>0</v>
      </c>
      <c r="M111">
        <f>IF(F111="INR",1,INDEX('rates'!$B$2:$C$522,MATCH(D111,'rates'!$A$2:$A$522,1),MATCH(F111&amp;"/INR",'rates'!$B$1:$C$1,0)))</f>
        <v>1</v>
      </c>
      <c r="N111">
        <f t="shared" si="5"/>
        <v>8324695</v>
      </c>
      <c r="O111">
        <f t="shared" si="6"/>
        <v>8324695</v>
      </c>
      <c r="P111">
        <f t="shared" si="7"/>
        <v>0</v>
      </c>
      <c r="Q111" t="str">
        <f t="shared" si="8"/>
        <v/>
      </c>
      <c r="R111" t="str">
        <f t="shared" si="9"/>
        <v>Not yet due</v>
      </c>
    </row>
    <row r="112" spans="1:18" x14ac:dyDescent="0.3">
      <c r="A112" t="s">
        <v>3165</v>
      </c>
      <c r="B112" t="s">
        <v>432</v>
      </c>
      <c r="C112" t="s">
        <v>560</v>
      </c>
      <c r="D112" s="1">
        <v>45727</v>
      </c>
      <c r="E112" s="1">
        <v>45817</v>
      </c>
      <c r="F112" t="s">
        <v>36</v>
      </c>
      <c r="G112">
        <v>95081.44</v>
      </c>
      <c r="H112" s="1"/>
      <c r="I112" t="s">
        <v>2206</v>
      </c>
      <c r="J112" t="s">
        <v>556</v>
      </c>
      <c r="L112">
        <v>0</v>
      </c>
      <c r="M112">
        <f>IF(F112="INR",1,INDEX('rates'!$B$2:$C$522,MATCH(D112,'rates'!$A$2:$A$522,1),MATCH(F112&amp;"/INR",'rates'!$B$1:$C$1,0)))</f>
        <v>87.16</v>
      </c>
      <c r="N112">
        <f t="shared" si="5"/>
        <v>8287298.3103999998</v>
      </c>
      <c r="O112">
        <f t="shared" si="6"/>
        <v>8287298.3103999998</v>
      </c>
      <c r="P112">
        <f t="shared" si="7"/>
        <v>0</v>
      </c>
      <c r="Q112" t="str">
        <f t="shared" si="8"/>
        <v/>
      </c>
      <c r="R112" t="str">
        <f t="shared" si="9"/>
        <v>Not yet due</v>
      </c>
    </row>
    <row r="113" spans="1:18" x14ac:dyDescent="0.3">
      <c r="A113" t="s">
        <v>3228</v>
      </c>
      <c r="B113" t="s">
        <v>322</v>
      </c>
      <c r="C113" t="s">
        <v>558</v>
      </c>
      <c r="D113" s="1">
        <v>45741</v>
      </c>
      <c r="E113" s="1">
        <v>45801</v>
      </c>
      <c r="F113" t="s">
        <v>13</v>
      </c>
      <c r="G113">
        <v>8270924</v>
      </c>
      <c r="H113" s="1"/>
      <c r="I113" t="s">
        <v>2206</v>
      </c>
      <c r="J113" t="s">
        <v>556</v>
      </c>
      <c r="L113">
        <v>0</v>
      </c>
      <c r="M113">
        <f>IF(F113="INR",1,INDEX('rates'!$B$2:$C$522,MATCH(D113,'rates'!$A$2:$A$522,1),MATCH(F113&amp;"/INR",'rates'!$B$1:$C$1,0)))</f>
        <v>1</v>
      </c>
      <c r="N113">
        <f t="shared" si="5"/>
        <v>8270924</v>
      </c>
      <c r="O113">
        <f t="shared" si="6"/>
        <v>8270924</v>
      </c>
      <c r="P113">
        <f t="shared" si="7"/>
        <v>0</v>
      </c>
      <c r="Q113" t="str">
        <f t="shared" si="8"/>
        <v/>
      </c>
      <c r="R113" t="str">
        <f t="shared" si="9"/>
        <v>Not yet due</v>
      </c>
    </row>
    <row r="114" spans="1:18" x14ac:dyDescent="0.3">
      <c r="A114" t="s">
        <v>3239</v>
      </c>
      <c r="B114" t="s">
        <v>262</v>
      </c>
      <c r="C114" t="s">
        <v>566</v>
      </c>
      <c r="D114" s="1">
        <v>45744</v>
      </c>
      <c r="E114" s="1">
        <v>45834</v>
      </c>
      <c r="F114" t="s">
        <v>31</v>
      </c>
      <c r="G114">
        <v>89262.73</v>
      </c>
      <c r="H114" s="1"/>
      <c r="I114" t="s">
        <v>2206</v>
      </c>
      <c r="J114" t="s">
        <v>556</v>
      </c>
      <c r="L114">
        <v>0</v>
      </c>
      <c r="M114">
        <f>IF(F114="INR",1,INDEX('rates'!$B$2:$C$522,MATCH(D114,'rates'!$A$2:$A$522,1),MATCH(F114&amp;"/INR",'rates'!$B$1:$C$1,0)))</f>
        <v>92.573099999999997</v>
      </c>
      <c r="N114">
        <f t="shared" si="5"/>
        <v>8263327.6305629993</v>
      </c>
      <c r="O114">
        <f t="shared" si="6"/>
        <v>8263327.6305629993</v>
      </c>
      <c r="P114">
        <f t="shared" si="7"/>
        <v>0</v>
      </c>
      <c r="Q114" t="str">
        <f t="shared" si="8"/>
        <v/>
      </c>
      <c r="R114" t="str">
        <f t="shared" si="9"/>
        <v>Not yet due</v>
      </c>
    </row>
    <row r="115" spans="1:18" x14ac:dyDescent="0.3">
      <c r="A115" t="s">
        <v>3105</v>
      </c>
      <c r="B115" t="s">
        <v>244</v>
      </c>
      <c r="C115" t="s">
        <v>575</v>
      </c>
      <c r="D115" s="1">
        <v>45710</v>
      </c>
      <c r="E115" s="1">
        <v>45770</v>
      </c>
      <c r="F115" t="s">
        <v>36</v>
      </c>
      <c r="G115">
        <v>94395.26</v>
      </c>
      <c r="H115" s="1"/>
      <c r="I115" t="s">
        <v>2206</v>
      </c>
      <c r="J115" t="s">
        <v>573</v>
      </c>
      <c r="K115">
        <v>86.989000000000004</v>
      </c>
      <c r="L115">
        <v>0</v>
      </c>
      <c r="M115">
        <f>IF(F115="INR",1,INDEX('rates'!$B$2:$C$522,MATCH(D115,'rates'!$A$2:$A$522,1),MATCH(F115&amp;"/INR",'rates'!$B$1:$C$1,0)))</f>
        <v>86.7</v>
      </c>
      <c r="N115">
        <f t="shared" si="5"/>
        <v>8184069.0419999994</v>
      </c>
      <c r="O115">
        <f t="shared" si="6"/>
        <v>8184069.0419999994</v>
      </c>
      <c r="P115">
        <f t="shared" si="7"/>
        <v>0</v>
      </c>
      <c r="Q115" t="str">
        <f t="shared" si="8"/>
        <v/>
      </c>
      <c r="R115" t="str">
        <f t="shared" si="9"/>
        <v>Not yet due</v>
      </c>
    </row>
    <row r="116" spans="1:18" x14ac:dyDescent="0.3">
      <c r="A116" t="s">
        <v>3173</v>
      </c>
      <c r="B116" t="s">
        <v>516</v>
      </c>
      <c r="C116" t="s">
        <v>560</v>
      </c>
      <c r="D116" s="1">
        <v>45729</v>
      </c>
      <c r="E116" s="1">
        <v>45789</v>
      </c>
      <c r="F116" t="s">
        <v>13</v>
      </c>
      <c r="G116">
        <v>8056573</v>
      </c>
      <c r="H116" s="1"/>
      <c r="I116" t="s">
        <v>2206</v>
      </c>
      <c r="J116" t="s">
        <v>556</v>
      </c>
      <c r="L116">
        <v>0</v>
      </c>
      <c r="M116">
        <f>IF(F116="INR",1,INDEX('rates'!$B$2:$C$522,MATCH(D116,'rates'!$A$2:$A$522,1),MATCH(F116&amp;"/INR",'rates'!$B$1:$C$1,0)))</f>
        <v>1</v>
      </c>
      <c r="N116">
        <f t="shared" si="5"/>
        <v>8056573</v>
      </c>
      <c r="O116">
        <f t="shared" si="6"/>
        <v>8056573</v>
      </c>
      <c r="P116">
        <f t="shared" si="7"/>
        <v>0</v>
      </c>
      <c r="Q116" t="str">
        <f t="shared" si="8"/>
        <v/>
      </c>
      <c r="R116" t="str">
        <f t="shared" si="9"/>
        <v>Not yet due</v>
      </c>
    </row>
    <row r="117" spans="1:18" x14ac:dyDescent="0.3">
      <c r="A117" t="s">
        <v>1319</v>
      </c>
      <c r="B117" t="s">
        <v>496</v>
      </c>
      <c r="C117" t="s">
        <v>554</v>
      </c>
      <c r="D117" s="1">
        <v>45248</v>
      </c>
      <c r="E117" s="1">
        <v>45293</v>
      </c>
      <c r="F117" t="s">
        <v>13</v>
      </c>
      <c r="G117">
        <v>21760916</v>
      </c>
      <c r="H117" s="1">
        <v>45298</v>
      </c>
      <c r="I117" t="s">
        <v>567</v>
      </c>
      <c r="J117" t="s">
        <v>556</v>
      </c>
      <c r="L117">
        <v>13817478.720000001</v>
      </c>
      <c r="M117">
        <f>IF(F117="INR",1,INDEX('rates'!$B$2:$C$522,MATCH(D117,'rates'!$A$2:$A$522,1),MATCH(F117&amp;"/INR",'rates'!$B$1:$C$1,0)))</f>
        <v>1</v>
      </c>
      <c r="N117">
        <f t="shared" si="5"/>
        <v>21760916</v>
      </c>
      <c r="O117">
        <f t="shared" si="6"/>
        <v>7943437.2799999993</v>
      </c>
      <c r="P117">
        <f t="shared" si="7"/>
        <v>454</v>
      </c>
      <c r="Q117">
        <f t="shared" si="8"/>
        <v>5</v>
      </c>
      <c r="R117" t="str">
        <f t="shared" si="9"/>
        <v>90+</v>
      </c>
    </row>
    <row r="118" spans="1:18" x14ac:dyDescent="0.3">
      <c r="A118" t="s">
        <v>2131</v>
      </c>
      <c r="B118" t="s">
        <v>496</v>
      </c>
      <c r="C118" t="s">
        <v>554</v>
      </c>
      <c r="D118" s="1">
        <v>45460</v>
      </c>
      <c r="E118" s="1">
        <v>45505</v>
      </c>
      <c r="F118" t="s">
        <v>13</v>
      </c>
      <c r="G118">
        <v>21392656</v>
      </c>
      <c r="H118" s="1">
        <v>45511</v>
      </c>
      <c r="I118" t="s">
        <v>567</v>
      </c>
      <c r="J118" t="s">
        <v>556</v>
      </c>
      <c r="L118">
        <v>13519382.65</v>
      </c>
      <c r="M118">
        <f>IF(F118="INR",1,INDEX('rates'!$B$2:$C$522,MATCH(D118,'rates'!$A$2:$A$522,1),MATCH(F118&amp;"/INR",'rates'!$B$1:$C$1,0)))</f>
        <v>1</v>
      </c>
      <c r="N118">
        <f t="shared" si="5"/>
        <v>21392656</v>
      </c>
      <c r="O118">
        <f t="shared" si="6"/>
        <v>7873273.3499999996</v>
      </c>
      <c r="P118">
        <f t="shared" si="7"/>
        <v>242</v>
      </c>
      <c r="Q118">
        <f t="shared" si="8"/>
        <v>6</v>
      </c>
      <c r="R118" t="str">
        <f t="shared" si="9"/>
        <v>90+</v>
      </c>
    </row>
    <row r="119" spans="1:18" x14ac:dyDescent="0.3">
      <c r="A119" t="s">
        <v>2752</v>
      </c>
      <c r="B119" t="s">
        <v>72</v>
      </c>
      <c r="C119" t="s">
        <v>560</v>
      </c>
      <c r="D119" s="1">
        <v>45626</v>
      </c>
      <c r="E119" s="1">
        <v>45716</v>
      </c>
      <c r="F119" t="s">
        <v>31</v>
      </c>
      <c r="G119">
        <v>87993.96</v>
      </c>
      <c r="H119" s="1"/>
      <c r="I119" t="s">
        <v>2206</v>
      </c>
      <c r="J119" t="s">
        <v>556</v>
      </c>
      <c r="L119">
        <v>0</v>
      </c>
      <c r="M119">
        <f>IF(F119="INR",1,INDEX('rates'!$B$2:$C$522,MATCH(D119,'rates'!$A$2:$A$522,1),MATCH(F119&amp;"/INR",'rates'!$B$1:$C$1,0)))</f>
        <v>89.101100000000002</v>
      </c>
      <c r="N119">
        <f t="shared" si="5"/>
        <v>7840358.6293560006</v>
      </c>
      <c r="O119">
        <f t="shared" si="6"/>
        <v>7840358.6293560006</v>
      </c>
      <c r="P119">
        <f t="shared" si="7"/>
        <v>31</v>
      </c>
      <c r="Q119" t="str">
        <f t="shared" si="8"/>
        <v/>
      </c>
      <c r="R119" t="str">
        <f t="shared" si="9"/>
        <v>31-60</v>
      </c>
    </row>
    <row r="120" spans="1:18" x14ac:dyDescent="0.3">
      <c r="A120" t="s">
        <v>3127</v>
      </c>
      <c r="B120" t="s">
        <v>262</v>
      </c>
      <c r="C120" t="s">
        <v>566</v>
      </c>
      <c r="D120" s="1">
        <v>45719</v>
      </c>
      <c r="E120" s="1">
        <v>45809</v>
      </c>
      <c r="F120" t="s">
        <v>31</v>
      </c>
      <c r="G120">
        <v>84973.35</v>
      </c>
      <c r="H120" s="1"/>
      <c r="I120" t="s">
        <v>2206</v>
      </c>
      <c r="J120" t="s">
        <v>556</v>
      </c>
      <c r="L120">
        <v>0</v>
      </c>
      <c r="M120">
        <f>IF(F120="INR",1,INDEX('rates'!$B$2:$C$522,MATCH(D120,'rates'!$A$2:$A$522,1),MATCH(F120&amp;"/INR",'rates'!$B$1:$C$1,0)))</f>
        <v>91.682599999999994</v>
      </c>
      <c r="N120">
        <f t="shared" si="5"/>
        <v>7790577.6587100001</v>
      </c>
      <c r="O120">
        <f t="shared" si="6"/>
        <v>7790577.6587100001</v>
      </c>
      <c r="P120">
        <f t="shared" si="7"/>
        <v>0</v>
      </c>
      <c r="Q120" t="str">
        <f t="shared" si="8"/>
        <v/>
      </c>
      <c r="R120" t="str">
        <f t="shared" si="9"/>
        <v>Not yet due</v>
      </c>
    </row>
    <row r="121" spans="1:18" x14ac:dyDescent="0.3">
      <c r="A121" t="s">
        <v>2912</v>
      </c>
      <c r="B121" t="s">
        <v>262</v>
      </c>
      <c r="C121" t="s">
        <v>566</v>
      </c>
      <c r="D121" s="1">
        <v>45664</v>
      </c>
      <c r="E121" s="1">
        <v>45754</v>
      </c>
      <c r="F121" t="s">
        <v>31</v>
      </c>
      <c r="G121">
        <v>86891.83</v>
      </c>
      <c r="H121" s="1"/>
      <c r="I121" t="s">
        <v>2206</v>
      </c>
      <c r="J121" t="s">
        <v>573</v>
      </c>
      <c r="K121">
        <v>89.170500000000004</v>
      </c>
      <c r="L121">
        <v>0</v>
      </c>
      <c r="M121">
        <f>IF(F121="INR",1,INDEX('rates'!$B$2:$C$522,MATCH(D121,'rates'!$A$2:$A$522,1),MATCH(F121&amp;"/INR",'rates'!$B$1:$C$1,0)))</f>
        <v>88.903800000000004</v>
      </c>
      <c r="N121">
        <f t="shared" si="5"/>
        <v>7725013.8759540003</v>
      </c>
      <c r="O121">
        <f t="shared" si="6"/>
        <v>7725013.8759540003</v>
      </c>
      <c r="P121">
        <f t="shared" si="7"/>
        <v>0</v>
      </c>
      <c r="Q121" t="str">
        <f t="shared" si="8"/>
        <v/>
      </c>
      <c r="R121" t="str">
        <f t="shared" si="9"/>
        <v>Not yet due</v>
      </c>
    </row>
    <row r="122" spans="1:18" x14ac:dyDescent="0.3">
      <c r="A122" t="s">
        <v>2972</v>
      </c>
      <c r="B122" t="s">
        <v>182</v>
      </c>
      <c r="C122" t="s">
        <v>558</v>
      </c>
      <c r="D122" s="1">
        <v>45679</v>
      </c>
      <c r="E122" s="1">
        <v>45739</v>
      </c>
      <c r="F122" t="s">
        <v>36</v>
      </c>
      <c r="G122">
        <v>89179.61</v>
      </c>
      <c r="H122" s="1"/>
      <c r="I122" t="s">
        <v>2206</v>
      </c>
      <c r="J122" t="s">
        <v>556</v>
      </c>
      <c r="L122">
        <v>0</v>
      </c>
      <c r="M122">
        <f>IF(F122="INR",1,INDEX('rates'!$B$2:$C$522,MATCH(D122,'rates'!$A$2:$A$522,1),MATCH(F122&amp;"/INR",'rates'!$B$1:$C$1,0)))</f>
        <v>86.34</v>
      </c>
      <c r="N122">
        <f t="shared" si="5"/>
        <v>7699767.5274</v>
      </c>
      <c r="O122">
        <f t="shared" si="6"/>
        <v>7699767.5274</v>
      </c>
      <c r="P122">
        <f t="shared" si="7"/>
        <v>8</v>
      </c>
      <c r="Q122" t="str">
        <f t="shared" si="8"/>
        <v/>
      </c>
      <c r="R122" t="str">
        <f t="shared" si="9"/>
        <v>1-30</v>
      </c>
    </row>
    <row r="123" spans="1:18" x14ac:dyDescent="0.3">
      <c r="A123" t="s">
        <v>2962</v>
      </c>
      <c r="B123" t="s">
        <v>442</v>
      </c>
      <c r="C123" t="s">
        <v>575</v>
      </c>
      <c r="D123" s="1">
        <v>45674</v>
      </c>
      <c r="E123" s="1">
        <v>45734</v>
      </c>
      <c r="F123" t="s">
        <v>13</v>
      </c>
      <c r="G123">
        <v>7615107</v>
      </c>
      <c r="H123" s="1"/>
      <c r="I123" t="s">
        <v>2206</v>
      </c>
      <c r="J123" t="s">
        <v>556</v>
      </c>
      <c r="L123">
        <v>0</v>
      </c>
      <c r="M123">
        <f>IF(F123="INR",1,INDEX('rates'!$B$2:$C$522,MATCH(D123,'rates'!$A$2:$A$522,1),MATCH(F123&amp;"/INR",'rates'!$B$1:$C$1,0)))</f>
        <v>1</v>
      </c>
      <c r="N123">
        <f t="shared" si="5"/>
        <v>7615107</v>
      </c>
      <c r="O123">
        <f t="shared" si="6"/>
        <v>7615107</v>
      </c>
      <c r="P123">
        <f t="shared" si="7"/>
        <v>13</v>
      </c>
      <c r="Q123" t="str">
        <f t="shared" si="8"/>
        <v/>
      </c>
      <c r="R123" t="str">
        <f t="shared" si="9"/>
        <v>1-30</v>
      </c>
    </row>
    <row r="124" spans="1:18" x14ac:dyDescent="0.3">
      <c r="A124" t="s">
        <v>3145</v>
      </c>
      <c r="B124" t="s">
        <v>512</v>
      </c>
      <c r="C124" t="s">
        <v>566</v>
      </c>
      <c r="D124" s="1">
        <v>45722</v>
      </c>
      <c r="E124" s="1">
        <v>45782</v>
      </c>
      <c r="F124" t="s">
        <v>31</v>
      </c>
      <c r="G124">
        <v>80646.22</v>
      </c>
      <c r="H124" s="1"/>
      <c r="I124" t="s">
        <v>2206</v>
      </c>
      <c r="J124" t="s">
        <v>573</v>
      </c>
      <c r="K124">
        <v>94.424099999999996</v>
      </c>
      <c r="L124">
        <v>0</v>
      </c>
      <c r="M124">
        <f>IF(F124="INR",1,INDEX('rates'!$B$2:$C$522,MATCH(D124,'rates'!$A$2:$A$522,1),MATCH(F124&amp;"/INR",'rates'!$B$1:$C$1,0)))</f>
        <v>94.235600000000005</v>
      </c>
      <c r="N124">
        <f t="shared" si="5"/>
        <v>7599744.929432001</v>
      </c>
      <c r="O124">
        <f t="shared" si="6"/>
        <v>7599744.929432001</v>
      </c>
      <c r="P124">
        <f t="shared" si="7"/>
        <v>0</v>
      </c>
      <c r="Q124" t="str">
        <f t="shared" si="8"/>
        <v/>
      </c>
      <c r="R124" t="str">
        <f t="shared" si="9"/>
        <v>Not yet due</v>
      </c>
    </row>
    <row r="125" spans="1:18" x14ac:dyDescent="0.3">
      <c r="A125" t="s">
        <v>3085</v>
      </c>
      <c r="B125" t="s">
        <v>186</v>
      </c>
      <c r="C125" t="s">
        <v>558</v>
      </c>
      <c r="D125" s="1">
        <v>45705</v>
      </c>
      <c r="E125" s="1">
        <v>45735</v>
      </c>
      <c r="F125" t="s">
        <v>36</v>
      </c>
      <c r="G125">
        <v>86972.61</v>
      </c>
      <c r="H125" s="1"/>
      <c r="I125" t="s">
        <v>2206</v>
      </c>
      <c r="J125" t="s">
        <v>556</v>
      </c>
      <c r="L125">
        <v>0</v>
      </c>
      <c r="M125">
        <f>IF(F125="INR",1,INDEX('rates'!$B$2:$C$522,MATCH(D125,'rates'!$A$2:$A$522,1),MATCH(F125&amp;"/INR",'rates'!$B$1:$C$1,0)))</f>
        <v>86.82</v>
      </c>
      <c r="N125">
        <f t="shared" si="5"/>
        <v>7550962.0001999997</v>
      </c>
      <c r="O125">
        <f t="shared" si="6"/>
        <v>7550962.0001999997</v>
      </c>
      <c r="P125">
        <f t="shared" si="7"/>
        <v>12</v>
      </c>
      <c r="Q125" t="str">
        <f t="shared" si="8"/>
        <v/>
      </c>
      <c r="R125" t="str">
        <f t="shared" si="9"/>
        <v>1-30</v>
      </c>
    </row>
    <row r="126" spans="1:18" x14ac:dyDescent="0.3">
      <c r="A126" t="s">
        <v>3217</v>
      </c>
      <c r="B126" t="s">
        <v>466</v>
      </c>
      <c r="C126" t="s">
        <v>560</v>
      </c>
      <c r="D126" s="1">
        <v>45738</v>
      </c>
      <c r="E126" s="1">
        <v>45798</v>
      </c>
      <c r="F126" t="s">
        <v>31</v>
      </c>
      <c r="G126">
        <v>81067.12</v>
      </c>
      <c r="H126" s="1"/>
      <c r="I126" t="s">
        <v>2206</v>
      </c>
      <c r="J126" t="s">
        <v>573</v>
      </c>
      <c r="K126">
        <v>93.128299999999996</v>
      </c>
      <c r="L126">
        <v>0</v>
      </c>
      <c r="M126">
        <f>IF(F126="INR",1,INDEX('rates'!$B$2:$C$522,MATCH(D126,'rates'!$A$2:$A$522,1),MATCH(F126&amp;"/INR",'rates'!$B$1:$C$1,0)))</f>
        <v>92.942400000000006</v>
      </c>
      <c r="N126">
        <f t="shared" si="5"/>
        <v>7534572.6938880002</v>
      </c>
      <c r="O126">
        <f t="shared" si="6"/>
        <v>7534572.6938880002</v>
      </c>
      <c r="P126">
        <f t="shared" si="7"/>
        <v>0</v>
      </c>
      <c r="Q126" t="str">
        <f t="shared" si="8"/>
        <v/>
      </c>
      <c r="R126" t="str">
        <f t="shared" si="9"/>
        <v>Not yet due</v>
      </c>
    </row>
    <row r="127" spans="1:18" x14ac:dyDescent="0.3">
      <c r="A127" t="s">
        <v>3120</v>
      </c>
      <c r="B127" t="s">
        <v>33</v>
      </c>
      <c r="C127" t="s">
        <v>566</v>
      </c>
      <c r="D127" s="1">
        <v>45717</v>
      </c>
      <c r="E127" s="1">
        <v>45747</v>
      </c>
      <c r="F127" t="s">
        <v>36</v>
      </c>
      <c r="G127">
        <v>86001.72</v>
      </c>
      <c r="H127" s="1"/>
      <c r="I127" t="s">
        <v>2206</v>
      </c>
      <c r="J127" t="s">
        <v>573</v>
      </c>
      <c r="K127">
        <v>87.645799999999994</v>
      </c>
      <c r="L127">
        <v>0</v>
      </c>
      <c r="M127">
        <f>IF(F127="INR",1,INDEX('rates'!$B$2:$C$522,MATCH(D127,'rates'!$A$2:$A$522,1),MATCH(F127&amp;"/INR",'rates'!$B$1:$C$1,0)))</f>
        <v>87.5</v>
      </c>
      <c r="N127">
        <f t="shared" si="5"/>
        <v>7525150.5</v>
      </c>
      <c r="O127">
        <f t="shared" si="6"/>
        <v>7525150.5</v>
      </c>
      <c r="P127">
        <f t="shared" si="7"/>
        <v>0</v>
      </c>
      <c r="Q127" t="str">
        <f t="shared" si="8"/>
        <v/>
      </c>
      <c r="R127" t="str">
        <f t="shared" si="9"/>
        <v>Not yet due</v>
      </c>
    </row>
    <row r="128" spans="1:18" x14ac:dyDescent="0.3">
      <c r="A128" t="s">
        <v>2012</v>
      </c>
      <c r="B128" t="s">
        <v>19</v>
      </c>
      <c r="C128" t="s">
        <v>554</v>
      </c>
      <c r="D128" s="1">
        <v>45430</v>
      </c>
      <c r="E128" s="1">
        <v>45475</v>
      </c>
      <c r="F128" t="s">
        <v>13</v>
      </c>
      <c r="G128">
        <v>19806411</v>
      </c>
      <c r="H128" s="1">
        <v>45538</v>
      </c>
      <c r="I128" t="s">
        <v>567</v>
      </c>
      <c r="J128" t="s">
        <v>556</v>
      </c>
      <c r="L128">
        <v>12295738</v>
      </c>
      <c r="M128">
        <f>IF(F128="INR",1,INDEX('rates'!$B$2:$C$522,MATCH(D128,'rates'!$A$2:$A$522,1),MATCH(F128&amp;"/INR",'rates'!$B$1:$C$1,0)))</f>
        <v>1</v>
      </c>
      <c r="N128">
        <f t="shared" si="5"/>
        <v>19806411</v>
      </c>
      <c r="O128">
        <f t="shared" si="6"/>
        <v>7510673</v>
      </c>
      <c r="P128">
        <f t="shared" si="7"/>
        <v>272</v>
      </c>
      <c r="Q128">
        <f t="shared" si="8"/>
        <v>63</v>
      </c>
      <c r="R128" t="str">
        <f t="shared" si="9"/>
        <v>90+</v>
      </c>
    </row>
    <row r="129" spans="1:18" x14ac:dyDescent="0.3">
      <c r="A129" t="s">
        <v>3151</v>
      </c>
      <c r="B129" t="s">
        <v>144</v>
      </c>
      <c r="C129" t="s">
        <v>554</v>
      </c>
      <c r="D129" s="1">
        <v>45724</v>
      </c>
      <c r="E129" s="1">
        <v>45754</v>
      </c>
      <c r="F129" t="s">
        <v>13</v>
      </c>
      <c r="G129">
        <v>7468131</v>
      </c>
      <c r="H129" s="1"/>
      <c r="I129" t="s">
        <v>2206</v>
      </c>
      <c r="J129" t="s">
        <v>556</v>
      </c>
      <c r="L129">
        <v>0</v>
      </c>
      <c r="M129">
        <f>IF(F129="INR",1,INDEX('rates'!$B$2:$C$522,MATCH(D129,'rates'!$A$2:$A$522,1),MATCH(F129&amp;"/INR",'rates'!$B$1:$C$1,0)))</f>
        <v>1</v>
      </c>
      <c r="N129">
        <f t="shared" si="5"/>
        <v>7468131</v>
      </c>
      <c r="O129">
        <f t="shared" si="6"/>
        <v>7468131</v>
      </c>
      <c r="P129">
        <f t="shared" si="7"/>
        <v>0</v>
      </c>
      <c r="Q129" t="str">
        <f t="shared" si="8"/>
        <v/>
      </c>
      <c r="R129" t="str">
        <f t="shared" si="9"/>
        <v>Not yet due</v>
      </c>
    </row>
    <row r="130" spans="1:18" x14ac:dyDescent="0.3">
      <c r="A130" t="s">
        <v>2277</v>
      </c>
      <c r="B130" t="s">
        <v>75</v>
      </c>
      <c r="C130" t="s">
        <v>566</v>
      </c>
      <c r="D130" s="1">
        <v>45503</v>
      </c>
      <c r="E130" s="1">
        <v>45593</v>
      </c>
      <c r="F130" t="s">
        <v>36</v>
      </c>
      <c r="G130">
        <v>89157.43</v>
      </c>
      <c r="H130" s="1"/>
      <c r="I130" t="s">
        <v>2206</v>
      </c>
      <c r="J130" t="s">
        <v>573</v>
      </c>
      <c r="K130">
        <v>84.118499999999997</v>
      </c>
      <c r="L130">
        <v>0</v>
      </c>
      <c r="M130">
        <f>IF(F130="INR",1,INDEX('rates'!$B$2:$C$522,MATCH(D130,'rates'!$A$2:$A$522,1),MATCH(F130&amp;"/INR",'rates'!$B$1:$C$1,0)))</f>
        <v>83.7</v>
      </c>
      <c r="N130">
        <f t="shared" ref="N130:N193" si="10">G130*M130</f>
        <v>7462476.8909999998</v>
      </c>
      <c r="O130">
        <f t="shared" ref="O130:O193" si="11">IF(OR(I130="OPEN",I130="PARTIALLY PAID"),(G130-L130)*M130,0)</f>
        <v>7462476.8909999998</v>
      </c>
      <c r="P130">
        <f t="shared" ref="P130:P193" si="12">IF(O130&gt;0,MAX(0,DATE(2025,3,31)-E130),0)</f>
        <v>154</v>
      </c>
      <c r="Q130" t="str">
        <f t="shared" ref="Q130:Q193" si="13">IF(H130="","",H130-E130)</f>
        <v/>
      </c>
      <c r="R130" t="str">
        <f t="shared" ref="R130:R193" si="14">IF(O130=0,"Not open",IF(P130=0,"Not yet due",IF(P130&lt;=30,"1-30",IF(P130&lt;=60,"31-60",IF(P130&lt;=90,"61-90","90+")))))</f>
        <v>90+</v>
      </c>
    </row>
    <row r="131" spans="1:18" x14ac:dyDescent="0.3">
      <c r="A131" t="s">
        <v>3138</v>
      </c>
      <c r="B131" t="s">
        <v>96</v>
      </c>
      <c r="C131" t="s">
        <v>558</v>
      </c>
      <c r="D131" s="1">
        <v>45721</v>
      </c>
      <c r="E131" s="1">
        <v>45811</v>
      </c>
      <c r="F131" t="s">
        <v>13</v>
      </c>
      <c r="G131">
        <v>7453358</v>
      </c>
      <c r="H131" s="1"/>
      <c r="I131" t="s">
        <v>2206</v>
      </c>
      <c r="J131" t="s">
        <v>556</v>
      </c>
      <c r="L131">
        <v>0</v>
      </c>
      <c r="M131">
        <f>IF(F131="INR",1,INDEX('rates'!$B$2:$C$522,MATCH(D131,'rates'!$A$2:$A$522,1),MATCH(F131&amp;"/INR",'rates'!$B$1:$C$1,0)))</f>
        <v>1</v>
      </c>
      <c r="N131">
        <f t="shared" si="10"/>
        <v>7453358</v>
      </c>
      <c r="O131">
        <f t="shared" si="11"/>
        <v>7453358</v>
      </c>
      <c r="P131">
        <f t="shared" si="12"/>
        <v>0</v>
      </c>
      <c r="Q131" t="str">
        <f t="shared" si="13"/>
        <v/>
      </c>
      <c r="R131" t="str">
        <f t="shared" si="14"/>
        <v>Not yet due</v>
      </c>
    </row>
    <row r="132" spans="1:18" x14ac:dyDescent="0.3">
      <c r="A132" t="s">
        <v>2795</v>
      </c>
      <c r="B132" t="s">
        <v>264</v>
      </c>
      <c r="C132" t="s">
        <v>558</v>
      </c>
      <c r="D132" s="1">
        <v>45635</v>
      </c>
      <c r="E132" s="1">
        <v>45680</v>
      </c>
      <c r="F132" t="s">
        <v>13</v>
      </c>
      <c r="G132">
        <v>7445251</v>
      </c>
      <c r="H132" s="1"/>
      <c r="I132" t="s">
        <v>2206</v>
      </c>
      <c r="J132" t="s">
        <v>556</v>
      </c>
      <c r="L132">
        <v>0</v>
      </c>
      <c r="M132">
        <f>IF(F132="INR",1,INDEX('rates'!$B$2:$C$522,MATCH(D132,'rates'!$A$2:$A$522,1),MATCH(F132&amp;"/INR",'rates'!$B$1:$C$1,0)))</f>
        <v>1</v>
      </c>
      <c r="N132">
        <f t="shared" si="10"/>
        <v>7445251</v>
      </c>
      <c r="O132">
        <f t="shared" si="11"/>
        <v>7445251</v>
      </c>
      <c r="P132">
        <f t="shared" si="12"/>
        <v>67</v>
      </c>
      <c r="Q132" t="str">
        <f t="shared" si="13"/>
        <v/>
      </c>
      <c r="R132" t="str">
        <f t="shared" si="14"/>
        <v>61-90</v>
      </c>
    </row>
    <row r="133" spans="1:18" x14ac:dyDescent="0.3">
      <c r="A133" t="s">
        <v>3021</v>
      </c>
      <c r="B133" t="s">
        <v>254</v>
      </c>
      <c r="C133" t="s">
        <v>558</v>
      </c>
      <c r="D133" s="1">
        <v>45692</v>
      </c>
      <c r="E133" s="1">
        <v>45722</v>
      </c>
      <c r="F133" t="s">
        <v>13</v>
      </c>
      <c r="G133">
        <v>7445096</v>
      </c>
      <c r="H133" s="1"/>
      <c r="I133" t="s">
        <v>2206</v>
      </c>
      <c r="J133" t="s">
        <v>556</v>
      </c>
      <c r="L133">
        <v>0</v>
      </c>
      <c r="M133">
        <f>IF(F133="INR",1,INDEX('rates'!$B$2:$C$522,MATCH(D133,'rates'!$A$2:$A$522,1),MATCH(F133&amp;"/INR",'rates'!$B$1:$C$1,0)))</f>
        <v>1</v>
      </c>
      <c r="N133">
        <f t="shared" si="10"/>
        <v>7445096</v>
      </c>
      <c r="O133">
        <f t="shared" si="11"/>
        <v>7445096</v>
      </c>
      <c r="P133">
        <f t="shared" si="12"/>
        <v>25</v>
      </c>
      <c r="Q133" t="str">
        <f t="shared" si="13"/>
        <v/>
      </c>
      <c r="R133" t="str">
        <f t="shared" si="14"/>
        <v>1-30</v>
      </c>
    </row>
    <row r="134" spans="1:18" x14ac:dyDescent="0.3">
      <c r="A134" t="s">
        <v>2895</v>
      </c>
      <c r="B134" t="s">
        <v>314</v>
      </c>
      <c r="C134" t="s">
        <v>558</v>
      </c>
      <c r="D134" s="1">
        <v>45659</v>
      </c>
      <c r="E134" s="1">
        <v>45719</v>
      </c>
      <c r="F134" t="s">
        <v>36</v>
      </c>
      <c r="G134">
        <v>86751.6</v>
      </c>
      <c r="H134" s="1"/>
      <c r="I134" t="s">
        <v>2206</v>
      </c>
      <c r="J134" t="s">
        <v>556</v>
      </c>
      <c r="L134">
        <v>0</v>
      </c>
      <c r="M134">
        <f>IF(F134="INR",1,INDEX('rates'!$B$2:$C$522,MATCH(D134,'rates'!$A$2:$A$522,1),MATCH(F134&amp;"/INR",'rates'!$B$1:$C$1,0)))</f>
        <v>85.75</v>
      </c>
      <c r="N134">
        <f t="shared" si="10"/>
        <v>7438949.7000000002</v>
      </c>
      <c r="O134">
        <f t="shared" si="11"/>
        <v>7438949.7000000002</v>
      </c>
      <c r="P134">
        <f t="shared" si="12"/>
        <v>28</v>
      </c>
      <c r="Q134" t="str">
        <f t="shared" si="13"/>
        <v/>
      </c>
      <c r="R134" t="str">
        <f t="shared" si="14"/>
        <v>1-30</v>
      </c>
    </row>
    <row r="135" spans="1:18" x14ac:dyDescent="0.3">
      <c r="A135" t="s">
        <v>3150</v>
      </c>
      <c r="B135" t="s">
        <v>42</v>
      </c>
      <c r="C135" t="s">
        <v>566</v>
      </c>
      <c r="D135" s="1">
        <v>45724</v>
      </c>
      <c r="E135" s="1">
        <v>45784</v>
      </c>
      <c r="F135" t="s">
        <v>13</v>
      </c>
      <c r="G135">
        <v>7319018</v>
      </c>
      <c r="H135" s="1"/>
      <c r="I135" t="s">
        <v>2206</v>
      </c>
      <c r="J135" t="s">
        <v>556</v>
      </c>
      <c r="L135">
        <v>0</v>
      </c>
      <c r="M135">
        <f>IF(F135="INR",1,INDEX('rates'!$B$2:$C$522,MATCH(D135,'rates'!$A$2:$A$522,1),MATCH(F135&amp;"/INR",'rates'!$B$1:$C$1,0)))</f>
        <v>1</v>
      </c>
      <c r="N135">
        <f t="shared" si="10"/>
        <v>7319018</v>
      </c>
      <c r="O135">
        <f t="shared" si="11"/>
        <v>7319018</v>
      </c>
      <c r="P135">
        <f t="shared" si="12"/>
        <v>0</v>
      </c>
      <c r="Q135" t="str">
        <f t="shared" si="13"/>
        <v/>
      </c>
      <c r="R135" t="str">
        <f t="shared" si="14"/>
        <v>Not yet due</v>
      </c>
    </row>
    <row r="136" spans="1:18" x14ac:dyDescent="0.3">
      <c r="A136" t="s">
        <v>2934</v>
      </c>
      <c r="B136" t="s">
        <v>72</v>
      </c>
      <c r="C136" t="s">
        <v>554</v>
      </c>
      <c r="D136" s="1">
        <v>45668</v>
      </c>
      <c r="E136" s="1">
        <v>45758</v>
      </c>
      <c r="F136" t="s">
        <v>31</v>
      </c>
      <c r="G136">
        <v>81839.91</v>
      </c>
      <c r="H136" s="1"/>
      <c r="I136" t="s">
        <v>2206</v>
      </c>
      <c r="J136" t="s">
        <v>556</v>
      </c>
      <c r="L136">
        <v>0</v>
      </c>
      <c r="M136">
        <f>IF(F136="INR",1,INDEX('rates'!$B$2:$C$522,MATCH(D136,'rates'!$A$2:$A$522,1),MATCH(F136&amp;"/INR",'rates'!$B$1:$C$1,0)))</f>
        <v>88.005799999999994</v>
      </c>
      <c r="N136">
        <f t="shared" si="10"/>
        <v>7202386.7514779996</v>
      </c>
      <c r="O136">
        <f t="shared" si="11"/>
        <v>7202386.7514779996</v>
      </c>
      <c r="P136">
        <f t="shared" si="12"/>
        <v>0</v>
      </c>
      <c r="Q136" t="str">
        <f t="shared" si="13"/>
        <v/>
      </c>
      <c r="R136" t="str">
        <f t="shared" si="14"/>
        <v>Not yet due</v>
      </c>
    </row>
    <row r="137" spans="1:18" x14ac:dyDescent="0.3">
      <c r="A137" t="s">
        <v>2793</v>
      </c>
      <c r="B137" t="s">
        <v>186</v>
      </c>
      <c r="C137" t="s">
        <v>558</v>
      </c>
      <c r="D137" s="1">
        <v>45635</v>
      </c>
      <c r="E137" s="1">
        <v>45665</v>
      </c>
      <c r="F137" t="s">
        <v>36</v>
      </c>
      <c r="G137">
        <v>84756.01</v>
      </c>
      <c r="H137" s="1"/>
      <c r="I137" t="s">
        <v>2206</v>
      </c>
      <c r="J137" t="s">
        <v>573</v>
      </c>
      <c r="K137">
        <v>84.861199999999997</v>
      </c>
      <c r="L137">
        <v>0</v>
      </c>
      <c r="M137">
        <f>IF(F137="INR",1,INDEX('rates'!$B$2:$C$522,MATCH(D137,'rates'!$A$2:$A$522,1),MATCH(F137&amp;"/INR",'rates'!$B$1:$C$1,0)))</f>
        <v>84.72</v>
      </c>
      <c r="N137">
        <f t="shared" si="10"/>
        <v>7180529.1671999991</v>
      </c>
      <c r="O137">
        <f t="shared" si="11"/>
        <v>7180529.1671999991</v>
      </c>
      <c r="P137">
        <f t="shared" si="12"/>
        <v>82</v>
      </c>
      <c r="Q137" t="str">
        <f t="shared" si="13"/>
        <v/>
      </c>
      <c r="R137" t="str">
        <f t="shared" si="14"/>
        <v>61-90</v>
      </c>
    </row>
    <row r="138" spans="1:18" x14ac:dyDescent="0.3">
      <c r="A138" t="s">
        <v>3036</v>
      </c>
      <c r="B138" t="s">
        <v>414</v>
      </c>
      <c r="C138" t="s">
        <v>566</v>
      </c>
      <c r="D138" s="1">
        <v>45694</v>
      </c>
      <c r="E138" s="1">
        <v>45739</v>
      </c>
      <c r="F138" t="s">
        <v>13</v>
      </c>
      <c r="G138">
        <v>7146001</v>
      </c>
      <c r="H138" s="1"/>
      <c r="I138" t="s">
        <v>2206</v>
      </c>
      <c r="J138" t="s">
        <v>556</v>
      </c>
      <c r="L138">
        <v>0</v>
      </c>
      <c r="M138">
        <f>IF(F138="INR",1,INDEX('rates'!$B$2:$C$522,MATCH(D138,'rates'!$A$2:$A$522,1),MATCH(F138&amp;"/INR",'rates'!$B$1:$C$1,0)))</f>
        <v>1</v>
      </c>
      <c r="N138">
        <f t="shared" si="10"/>
        <v>7146001</v>
      </c>
      <c r="O138">
        <f t="shared" si="11"/>
        <v>7146001</v>
      </c>
      <c r="P138">
        <f t="shared" si="12"/>
        <v>8</v>
      </c>
      <c r="Q138" t="str">
        <f t="shared" si="13"/>
        <v/>
      </c>
      <c r="R138" t="str">
        <f t="shared" si="14"/>
        <v>1-30</v>
      </c>
    </row>
    <row r="139" spans="1:18" x14ac:dyDescent="0.3">
      <c r="A139" t="s">
        <v>965</v>
      </c>
      <c r="B139" t="s">
        <v>28</v>
      </c>
      <c r="C139" t="s">
        <v>566</v>
      </c>
      <c r="D139" s="1">
        <v>45149</v>
      </c>
      <c r="E139" s="1">
        <v>45179</v>
      </c>
      <c r="F139" t="s">
        <v>31</v>
      </c>
      <c r="G139">
        <v>264902.21000000002</v>
      </c>
      <c r="H139" s="1">
        <v>45198</v>
      </c>
      <c r="I139" t="s">
        <v>567</v>
      </c>
      <c r="J139" t="s">
        <v>556</v>
      </c>
      <c r="L139">
        <v>187045.85</v>
      </c>
      <c r="M139">
        <f>IF(F139="INR",1,INDEX('rates'!$B$2:$C$522,MATCH(D139,'rates'!$A$2:$A$522,1),MATCH(F139&amp;"/INR",'rates'!$B$1:$C$1,0)))</f>
        <v>90.800700000000006</v>
      </c>
      <c r="N139">
        <f t="shared" si="10"/>
        <v>24053306.099547002</v>
      </c>
      <c r="O139">
        <f t="shared" si="11"/>
        <v>7069411.9874520022</v>
      </c>
      <c r="P139">
        <f t="shared" si="12"/>
        <v>568</v>
      </c>
      <c r="Q139">
        <f t="shared" si="13"/>
        <v>19</v>
      </c>
      <c r="R139" t="str">
        <f t="shared" si="14"/>
        <v>90+</v>
      </c>
    </row>
    <row r="140" spans="1:18" x14ac:dyDescent="0.3">
      <c r="A140" t="s">
        <v>3049</v>
      </c>
      <c r="B140" t="s">
        <v>492</v>
      </c>
      <c r="C140" t="s">
        <v>566</v>
      </c>
      <c r="D140" s="1">
        <v>45698</v>
      </c>
      <c r="E140" s="1">
        <v>45743</v>
      </c>
      <c r="F140" t="s">
        <v>13</v>
      </c>
      <c r="G140">
        <v>7066179</v>
      </c>
      <c r="H140" s="1"/>
      <c r="I140" t="s">
        <v>2206</v>
      </c>
      <c r="J140" t="s">
        <v>556</v>
      </c>
      <c r="L140">
        <v>0</v>
      </c>
      <c r="M140">
        <f>IF(F140="INR",1,INDEX('rates'!$B$2:$C$522,MATCH(D140,'rates'!$A$2:$A$522,1),MATCH(F140&amp;"/INR",'rates'!$B$1:$C$1,0)))</f>
        <v>1</v>
      </c>
      <c r="N140">
        <f t="shared" si="10"/>
        <v>7066179</v>
      </c>
      <c r="O140">
        <f t="shared" si="11"/>
        <v>7066179</v>
      </c>
      <c r="P140">
        <f t="shared" si="12"/>
        <v>4</v>
      </c>
      <c r="Q140" t="str">
        <f t="shared" si="13"/>
        <v/>
      </c>
      <c r="R140" t="str">
        <f t="shared" si="14"/>
        <v>1-30</v>
      </c>
    </row>
    <row r="141" spans="1:18" x14ac:dyDescent="0.3">
      <c r="A141" t="s">
        <v>3027</v>
      </c>
      <c r="B141" t="s">
        <v>262</v>
      </c>
      <c r="C141" t="s">
        <v>566</v>
      </c>
      <c r="D141" s="1">
        <v>45693</v>
      </c>
      <c r="E141" s="1">
        <v>45783</v>
      </c>
      <c r="F141" t="s">
        <v>31</v>
      </c>
      <c r="G141">
        <v>77797.77</v>
      </c>
      <c r="H141" s="1"/>
      <c r="I141" t="s">
        <v>2206</v>
      </c>
      <c r="J141" t="s">
        <v>573</v>
      </c>
      <c r="K141">
        <v>91.000900000000001</v>
      </c>
      <c r="L141">
        <v>0</v>
      </c>
      <c r="M141">
        <f>IF(F141="INR",1,INDEX('rates'!$B$2:$C$522,MATCH(D141,'rates'!$A$2:$A$522,1),MATCH(F141&amp;"/INR",'rates'!$B$1:$C$1,0)))</f>
        <v>90.728700000000003</v>
      </c>
      <c r="N141">
        <f t="shared" si="10"/>
        <v>7058490.5349990008</v>
      </c>
      <c r="O141">
        <f t="shared" si="11"/>
        <v>7058490.5349990008</v>
      </c>
      <c r="P141">
        <f t="shared" si="12"/>
        <v>0</v>
      </c>
      <c r="Q141" t="str">
        <f t="shared" si="13"/>
        <v/>
      </c>
      <c r="R141" t="str">
        <f t="shared" si="14"/>
        <v>Not yet due</v>
      </c>
    </row>
    <row r="142" spans="1:18" x14ac:dyDescent="0.3">
      <c r="A142" t="s">
        <v>2205</v>
      </c>
      <c r="B142" t="s">
        <v>75</v>
      </c>
      <c r="C142" t="s">
        <v>566</v>
      </c>
      <c r="D142" s="1">
        <v>45482</v>
      </c>
      <c r="E142" s="1">
        <v>45572</v>
      </c>
      <c r="F142" t="s">
        <v>36</v>
      </c>
      <c r="G142">
        <v>84548.56</v>
      </c>
      <c r="H142" s="1"/>
      <c r="I142" t="s">
        <v>2206</v>
      </c>
      <c r="J142" t="s">
        <v>573</v>
      </c>
      <c r="K142">
        <v>83.887299999999996</v>
      </c>
      <c r="L142">
        <v>0</v>
      </c>
      <c r="M142">
        <f>IF(F142="INR",1,INDEX('rates'!$B$2:$C$522,MATCH(D142,'rates'!$A$2:$A$522,1),MATCH(F142&amp;"/INR",'rates'!$B$1:$C$1,0)))</f>
        <v>83.47</v>
      </c>
      <c r="N142">
        <f t="shared" si="10"/>
        <v>7057268.3032</v>
      </c>
      <c r="O142">
        <f t="shared" si="11"/>
        <v>7057268.3032</v>
      </c>
      <c r="P142">
        <f t="shared" si="12"/>
        <v>175</v>
      </c>
      <c r="Q142" t="str">
        <f t="shared" si="13"/>
        <v/>
      </c>
      <c r="R142" t="str">
        <f t="shared" si="14"/>
        <v>90+</v>
      </c>
    </row>
    <row r="143" spans="1:18" x14ac:dyDescent="0.3">
      <c r="A143" t="s">
        <v>3162</v>
      </c>
      <c r="B143" t="s">
        <v>170</v>
      </c>
      <c r="C143" t="s">
        <v>558</v>
      </c>
      <c r="D143" s="1">
        <v>45727</v>
      </c>
      <c r="E143" s="1">
        <v>45757</v>
      </c>
      <c r="F143" t="s">
        <v>13</v>
      </c>
      <c r="G143">
        <v>6893230</v>
      </c>
      <c r="H143" s="1"/>
      <c r="I143" t="s">
        <v>2206</v>
      </c>
      <c r="J143" t="s">
        <v>556</v>
      </c>
      <c r="L143">
        <v>0</v>
      </c>
      <c r="M143">
        <f>IF(F143="INR",1,INDEX('rates'!$B$2:$C$522,MATCH(D143,'rates'!$A$2:$A$522,1),MATCH(F143&amp;"/INR",'rates'!$B$1:$C$1,0)))</f>
        <v>1</v>
      </c>
      <c r="N143">
        <f t="shared" si="10"/>
        <v>6893230</v>
      </c>
      <c r="O143">
        <f t="shared" si="11"/>
        <v>6893230</v>
      </c>
      <c r="P143">
        <f t="shared" si="12"/>
        <v>0</v>
      </c>
      <c r="Q143" t="str">
        <f t="shared" si="13"/>
        <v/>
      </c>
      <c r="R143" t="str">
        <f t="shared" si="14"/>
        <v>Not yet due</v>
      </c>
    </row>
    <row r="144" spans="1:18" x14ac:dyDescent="0.3">
      <c r="A144" t="s">
        <v>3075</v>
      </c>
      <c r="B144" t="s">
        <v>100</v>
      </c>
      <c r="C144" t="s">
        <v>566</v>
      </c>
      <c r="D144" s="1">
        <v>45703</v>
      </c>
      <c r="E144" s="1">
        <v>45793</v>
      </c>
      <c r="F144" t="s">
        <v>13</v>
      </c>
      <c r="G144">
        <v>6880060</v>
      </c>
      <c r="H144" s="1"/>
      <c r="I144" t="s">
        <v>2206</v>
      </c>
      <c r="J144" t="s">
        <v>556</v>
      </c>
      <c r="L144">
        <v>0</v>
      </c>
      <c r="M144">
        <f>IF(F144="INR",1,INDEX('rates'!$B$2:$C$522,MATCH(D144,'rates'!$A$2:$A$522,1),MATCH(F144&amp;"/INR",'rates'!$B$1:$C$1,0)))</f>
        <v>1</v>
      </c>
      <c r="N144">
        <f t="shared" si="10"/>
        <v>6880060</v>
      </c>
      <c r="O144">
        <f t="shared" si="11"/>
        <v>6880060</v>
      </c>
      <c r="P144">
        <f t="shared" si="12"/>
        <v>0</v>
      </c>
      <c r="Q144" t="str">
        <f t="shared" si="13"/>
        <v/>
      </c>
      <c r="R144" t="str">
        <f t="shared" si="14"/>
        <v>Not yet due</v>
      </c>
    </row>
    <row r="145" spans="1:18" x14ac:dyDescent="0.3">
      <c r="A145" t="s">
        <v>3111</v>
      </c>
      <c r="B145" t="s">
        <v>87</v>
      </c>
      <c r="C145" t="s">
        <v>566</v>
      </c>
      <c r="D145" s="1">
        <v>45713</v>
      </c>
      <c r="E145" s="1">
        <v>45758</v>
      </c>
      <c r="F145" t="s">
        <v>36</v>
      </c>
      <c r="G145">
        <v>78843.38</v>
      </c>
      <c r="H145" s="1"/>
      <c r="I145" t="s">
        <v>2206</v>
      </c>
      <c r="J145" t="s">
        <v>556</v>
      </c>
      <c r="L145">
        <v>0</v>
      </c>
      <c r="M145">
        <f>IF(F145="INR",1,INDEX('rates'!$B$2:$C$522,MATCH(D145,'rates'!$A$2:$A$522,1),MATCH(F145&amp;"/INR",'rates'!$B$1:$C$1,0)))</f>
        <v>87.2</v>
      </c>
      <c r="N145">
        <f t="shared" si="10"/>
        <v>6875142.7360000005</v>
      </c>
      <c r="O145">
        <f t="shared" si="11"/>
        <v>6875142.7360000005</v>
      </c>
      <c r="P145">
        <f t="shared" si="12"/>
        <v>0</v>
      </c>
      <c r="Q145" t="str">
        <f t="shared" si="13"/>
        <v/>
      </c>
      <c r="R145" t="str">
        <f t="shared" si="14"/>
        <v>Not yet due</v>
      </c>
    </row>
    <row r="146" spans="1:18" x14ac:dyDescent="0.3">
      <c r="A146" t="s">
        <v>3037</v>
      </c>
      <c r="B146" t="s">
        <v>454</v>
      </c>
      <c r="C146" t="s">
        <v>575</v>
      </c>
      <c r="D146" s="1">
        <v>45694</v>
      </c>
      <c r="E146" s="1">
        <v>45754</v>
      </c>
      <c r="F146" t="s">
        <v>13</v>
      </c>
      <c r="G146">
        <v>6829937</v>
      </c>
      <c r="H146" s="1"/>
      <c r="I146" t="s">
        <v>2206</v>
      </c>
      <c r="J146" t="s">
        <v>556</v>
      </c>
      <c r="L146">
        <v>0</v>
      </c>
      <c r="M146">
        <f>IF(F146="INR",1,INDEX('rates'!$B$2:$C$522,MATCH(D146,'rates'!$A$2:$A$522,1),MATCH(F146&amp;"/INR",'rates'!$B$1:$C$1,0)))</f>
        <v>1</v>
      </c>
      <c r="N146">
        <f t="shared" si="10"/>
        <v>6829937</v>
      </c>
      <c r="O146">
        <f t="shared" si="11"/>
        <v>6829937</v>
      </c>
      <c r="P146">
        <f t="shared" si="12"/>
        <v>0</v>
      </c>
      <c r="Q146" t="str">
        <f t="shared" si="13"/>
        <v/>
      </c>
      <c r="R146" t="str">
        <f t="shared" si="14"/>
        <v>Not yet due</v>
      </c>
    </row>
    <row r="147" spans="1:18" x14ac:dyDescent="0.3">
      <c r="A147" t="s">
        <v>3203</v>
      </c>
      <c r="B147" t="s">
        <v>180</v>
      </c>
      <c r="C147" t="s">
        <v>558</v>
      </c>
      <c r="D147" s="1">
        <v>45736</v>
      </c>
      <c r="E147" s="1">
        <v>45781</v>
      </c>
      <c r="F147" t="s">
        <v>13</v>
      </c>
      <c r="G147">
        <v>6791654</v>
      </c>
      <c r="H147" s="1"/>
      <c r="I147" t="s">
        <v>2206</v>
      </c>
      <c r="J147" t="s">
        <v>556</v>
      </c>
      <c r="L147">
        <v>0</v>
      </c>
      <c r="M147">
        <f>IF(F147="INR",1,INDEX('rates'!$B$2:$C$522,MATCH(D147,'rates'!$A$2:$A$522,1),MATCH(F147&amp;"/INR",'rates'!$B$1:$C$1,0)))</f>
        <v>1</v>
      </c>
      <c r="N147">
        <f t="shared" si="10"/>
        <v>6791654</v>
      </c>
      <c r="O147">
        <f t="shared" si="11"/>
        <v>6791654</v>
      </c>
      <c r="P147">
        <f t="shared" si="12"/>
        <v>0</v>
      </c>
      <c r="Q147" t="str">
        <f t="shared" si="13"/>
        <v/>
      </c>
      <c r="R147" t="str">
        <f t="shared" si="14"/>
        <v>Not yet due</v>
      </c>
    </row>
    <row r="148" spans="1:18" x14ac:dyDescent="0.3">
      <c r="A148" t="s">
        <v>3125</v>
      </c>
      <c r="B148" t="s">
        <v>484</v>
      </c>
      <c r="C148" t="s">
        <v>560</v>
      </c>
      <c r="D148" s="1">
        <v>45717</v>
      </c>
      <c r="E148" s="1">
        <v>45777</v>
      </c>
      <c r="F148" t="s">
        <v>31</v>
      </c>
      <c r="G148">
        <v>74589.37</v>
      </c>
      <c r="H148" s="1"/>
      <c r="I148" t="s">
        <v>2206</v>
      </c>
      <c r="J148" t="s">
        <v>556</v>
      </c>
      <c r="L148">
        <v>0</v>
      </c>
      <c r="M148">
        <f>IF(F148="INR",1,INDEX('rates'!$B$2:$C$522,MATCH(D148,'rates'!$A$2:$A$522,1),MATCH(F148&amp;"/INR",'rates'!$B$1:$C$1,0)))</f>
        <v>91.017499999999998</v>
      </c>
      <c r="N148">
        <f t="shared" si="10"/>
        <v>6788937.9839749997</v>
      </c>
      <c r="O148">
        <f t="shared" si="11"/>
        <v>6788937.9839749997</v>
      </c>
      <c r="P148">
        <f t="shared" si="12"/>
        <v>0</v>
      </c>
      <c r="Q148" t="str">
        <f t="shared" si="13"/>
        <v/>
      </c>
      <c r="R148" t="str">
        <f t="shared" si="14"/>
        <v>Not yet due</v>
      </c>
    </row>
    <row r="149" spans="1:18" x14ac:dyDescent="0.3">
      <c r="A149" t="s">
        <v>2944</v>
      </c>
      <c r="B149" t="s">
        <v>136</v>
      </c>
      <c r="C149" t="s">
        <v>566</v>
      </c>
      <c r="D149" s="1">
        <v>45670</v>
      </c>
      <c r="E149" s="1">
        <v>45715</v>
      </c>
      <c r="F149" t="s">
        <v>13</v>
      </c>
      <c r="G149">
        <v>6776005</v>
      </c>
      <c r="H149" s="1"/>
      <c r="I149" t="s">
        <v>2206</v>
      </c>
      <c r="J149" t="s">
        <v>556</v>
      </c>
      <c r="L149">
        <v>0</v>
      </c>
      <c r="M149">
        <f>IF(F149="INR",1,INDEX('rates'!$B$2:$C$522,MATCH(D149,'rates'!$A$2:$A$522,1),MATCH(F149&amp;"/INR",'rates'!$B$1:$C$1,0)))</f>
        <v>1</v>
      </c>
      <c r="N149">
        <f t="shared" si="10"/>
        <v>6776005</v>
      </c>
      <c r="O149">
        <f t="shared" si="11"/>
        <v>6776005</v>
      </c>
      <c r="P149">
        <f t="shared" si="12"/>
        <v>32</v>
      </c>
      <c r="Q149" t="str">
        <f t="shared" si="13"/>
        <v/>
      </c>
      <c r="R149" t="str">
        <f t="shared" si="14"/>
        <v>31-60</v>
      </c>
    </row>
    <row r="150" spans="1:18" x14ac:dyDescent="0.3">
      <c r="A150" t="s">
        <v>3109</v>
      </c>
      <c r="B150" t="s">
        <v>238</v>
      </c>
      <c r="C150" t="s">
        <v>566</v>
      </c>
      <c r="D150" s="1">
        <v>45712</v>
      </c>
      <c r="E150" s="1">
        <v>45772</v>
      </c>
      <c r="F150" t="s">
        <v>31</v>
      </c>
      <c r="G150">
        <v>74447.28</v>
      </c>
      <c r="H150" s="1"/>
      <c r="I150" t="s">
        <v>2206</v>
      </c>
      <c r="J150" t="s">
        <v>556</v>
      </c>
      <c r="L150">
        <v>0</v>
      </c>
      <c r="M150">
        <f>IF(F150="INR",1,INDEX('rates'!$B$2:$C$522,MATCH(D150,'rates'!$A$2:$A$522,1),MATCH(F150&amp;"/INR",'rates'!$B$1:$C$1,0)))</f>
        <v>90.865200000000002</v>
      </c>
      <c r="N150">
        <f t="shared" si="10"/>
        <v>6764666.9866559999</v>
      </c>
      <c r="O150">
        <f t="shared" si="11"/>
        <v>6764666.9866559999</v>
      </c>
      <c r="P150">
        <f t="shared" si="12"/>
        <v>0</v>
      </c>
      <c r="Q150" t="str">
        <f t="shared" si="13"/>
        <v/>
      </c>
      <c r="R150" t="str">
        <f t="shared" si="14"/>
        <v>Not yet due</v>
      </c>
    </row>
    <row r="151" spans="1:18" x14ac:dyDescent="0.3">
      <c r="A151" t="s">
        <v>3184</v>
      </c>
      <c r="B151" t="s">
        <v>262</v>
      </c>
      <c r="C151" t="s">
        <v>566</v>
      </c>
      <c r="D151" s="1">
        <v>45731</v>
      </c>
      <c r="E151" s="1">
        <v>45821</v>
      </c>
      <c r="F151" t="s">
        <v>31</v>
      </c>
      <c r="G151">
        <v>71246.13</v>
      </c>
      <c r="H151" s="1"/>
      <c r="I151" t="s">
        <v>2206</v>
      </c>
      <c r="J151" t="s">
        <v>573</v>
      </c>
      <c r="K151">
        <v>94.870199999999997</v>
      </c>
      <c r="L151">
        <v>0</v>
      </c>
      <c r="M151">
        <f>IF(F151="INR",1,INDEX('rates'!$B$2:$C$522,MATCH(D151,'rates'!$A$2:$A$522,1),MATCH(F151&amp;"/INR",'rates'!$B$1:$C$1,0)))</f>
        <v>94.586399999999998</v>
      </c>
      <c r="N151">
        <f t="shared" si="10"/>
        <v>6738914.9506320003</v>
      </c>
      <c r="O151">
        <f t="shared" si="11"/>
        <v>6738914.9506320003</v>
      </c>
      <c r="P151">
        <f t="shared" si="12"/>
        <v>0</v>
      </c>
      <c r="Q151" t="str">
        <f t="shared" si="13"/>
        <v/>
      </c>
      <c r="R151" t="str">
        <f t="shared" si="14"/>
        <v>Not yet due</v>
      </c>
    </row>
    <row r="152" spans="1:18" x14ac:dyDescent="0.3">
      <c r="A152" t="s">
        <v>2484</v>
      </c>
      <c r="B152" t="s">
        <v>119</v>
      </c>
      <c r="C152" t="s">
        <v>560</v>
      </c>
      <c r="D152" s="1">
        <v>45562</v>
      </c>
      <c r="E152" s="1">
        <v>45592</v>
      </c>
      <c r="F152" t="s">
        <v>31</v>
      </c>
      <c r="G152">
        <v>70893.919999999998</v>
      </c>
      <c r="H152" s="1"/>
      <c r="I152" t="s">
        <v>2206</v>
      </c>
      <c r="J152" t="s">
        <v>573</v>
      </c>
      <c r="K152">
        <v>93.471900000000005</v>
      </c>
      <c r="L152">
        <v>0</v>
      </c>
      <c r="M152">
        <f>IF(F152="INR",1,INDEX('rates'!$B$2:$C$522,MATCH(D152,'rates'!$A$2:$A$522,1),MATCH(F152&amp;"/INR",'rates'!$B$1:$C$1,0)))</f>
        <v>93.378500000000003</v>
      </c>
      <c r="N152">
        <f t="shared" si="10"/>
        <v>6619967.9087199997</v>
      </c>
      <c r="O152">
        <f t="shared" si="11"/>
        <v>6619967.9087199997</v>
      </c>
      <c r="P152">
        <f t="shared" si="12"/>
        <v>155</v>
      </c>
      <c r="Q152" t="str">
        <f t="shared" si="13"/>
        <v/>
      </c>
      <c r="R152" t="str">
        <f t="shared" si="14"/>
        <v>90+</v>
      </c>
    </row>
    <row r="153" spans="1:18" x14ac:dyDescent="0.3">
      <c r="A153" t="s">
        <v>2826</v>
      </c>
      <c r="B153" t="s">
        <v>262</v>
      </c>
      <c r="C153" t="s">
        <v>566</v>
      </c>
      <c r="D153" s="1">
        <v>45642</v>
      </c>
      <c r="E153" s="1">
        <v>45732</v>
      </c>
      <c r="F153" t="s">
        <v>31</v>
      </c>
      <c r="G153">
        <v>74080.28</v>
      </c>
      <c r="H153" s="1"/>
      <c r="I153" t="s">
        <v>2206</v>
      </c>
      <c r="J153" t="s">
        <v>573</v>
      </c>
      <c r="K153">
        <v>89.504099999999994</v>
      </c>
      <c r="L153">
        <v>0</v>
      </c>
      <c r="M153">
        <f>IF(F153="INR",1,INDEX('rates'!$B$2:$C$522,MATCH(D153,'rates'!$A$2:$A$522,1),MATCH(F153&amp;"/INR",'rates'!$B$1:$C$1,0)))</f>
        <v>89.236400000000003</v>
      </c>
      <c r="N153">
        <f t="shared" si="10"/>
        <v>6610657.4981920002</v>
      </c>
      <c r="O153">
        <f t="shared" si="11"/>
        <v>6610657.4981920002</v>
      </c>
      <c r="P153">
        <f t="shared" si="12"/>
        <v>15</v>
      </c>
      <c r="Q153" t="str">
        <f t="shared" si="13"/>
        <v/>
      </c>
      <c r="R153" t="str">
        <f t="shared" si="14"/>
        <v>1-30</v>
      </c>
    </row>
    <row r="154" spans="1:18" x14ac:dyDescent="0.3">
      <c r="A154" t="s">
        <v>3211</v>
      </c>
      <c r="B154" t="s">
        <v>180</v>
      </c>
      <c r="C154" t="s">
        <v>558</v>
      </c>
      <c r="D154" s="1">
        <v>45738</v>
      </c>
      <c r="E154" s="1">
        <v>45783</v>
      </c>
      <c r="F154" t="s">
        <v>13</v>
      </c>
      <c r="G154">
        <v>6540200</v>
      </c>
      <c r="H154" s="1"/>
      <c r="I154" t="s">
        <v>2206</v>
      </c>
      <c r="J154" t="s">
        <v>556</v>
      </c>
      <c r="L154">
        <v>0</v>
      </c>
      <c r="M154">
        <f>IF(F154="INR",1,INDEX('rates'!$B$2:$C$522,MATCH(D154,'rates'!$A$2:$A$522,1),MATCH(F154&amp;"/INR",'rates'!$B$1:$C$1,0)))</f>
        <v>1</v>
      </c>
      <c r="N154">
        <f t="shared" si="10"/>
        <v>6540200</v>
      </c>
      <c r="O154">
        <f t="shared" si="11"/>
        <v>6540200</v>
      </c>
      <c r="P154">
        <f t="shared" si="12"/>
        <v>0</v>
      </c>
      <c r="Q154" t="str">
        <f t="shared" si="13"/>
        <v/>
      </c>
      <c r="R154" t="str">
        <f t="shared" si="14"/>
        <v>Not yet due</v>
      </c>
    </row>
    <row r="155" spans="1:18" x14ac:dyDescent="0.3">
      <c r="A155" t="s">
        <v>3094</v>
      </c>
      <c r="B155" t="s">
        <v>494</v>
      </c>
      <c r="C155" t="s">
        <v>560</v>
      </c>
      <c r="D155" s="1">
        <v>45707</v>
      </c>
      <c r="E155" s="1">
        <v>45752</v>
      </c>
      <c r="F155" t="s">
        <v>13</v>
      </c>
      <c r="G155">
        <v>6514827</v>
      </c>
      <c r="H155" s="1"/>
      <c r="I155" t="s">
        <v>2206</v>
      </c>
      <c r="J155" t="s">
        <v>556</v>
      </c>
      <c r="L155">
        <v>0</v>
      </c>
      <c r="M155">
        <f>IF(F155="INR",1,INDEX('rates'!$B$2:$C$522,MATCH(D155,'rates'!$A$2:$A$522,1),MATCH(F155&amp;"/INR",'rates'!$B$1:$C$1,0)))</f>
        <v>1</v>
      </c>
      <c r="N155">
        <f t="shared" si="10"/>
        <v>6514827</v>
      </c>
      <c r="O155">
        <f t="shared" si="11"/>
        <v>6514827</v>
      </c>
      <c r="P155">
        <f t="shared" si="12"/>
        <v>0</v>
      </c>
      <c r="Q155" t="str">
        <f t="shared" si="13"/>
        <v/>
      </c>
      <c r="R155" t="str">
        <f t="shared" si="14"/>
        <v>Not yet due</v>
      </c>
    </row>
    <row r="156" spans="1:18" x14ac:dyDescent="0.3">
      <c r="A156" t="s">
        <v>3007</v>
      </c>
      <c r="B156" t="s">
        <v>528</v>
      </c>
      <c r="C156" t="s">
        <v>566</v>
      </c>
      <c r="D156" s="1">
        <v>45688</v>
      </c>
      <c r="E156" s="1">
        <v>45748</v>
      </c>
      <c r="F156" t="s">
        <v>13</v>
      </c>
      <c r="G156">
        <v>6506797</v>
      </c>
      <c r="H156" s="1"/>
      <c r="I156" t="s">
        <v>2206</v>
      </c>
      <c r="J156" t="s">
        <v>556</v>
      </c>
      <c r="L156">
        <v>0</v>
      </c>
      <c r="M156">
        <f>IF(F156="INR",1,INDEX('rates'!$B$2:$C$522,MATCH(D156,'rates'!$A$2:$A$522,1),MATCH(F156&amp;"/INR",'rates'!$B$1:$C$1,0)))</f>
        <v>1</v>
      </c>
      <c r="N156">
        <f t="shared" si="10"/>
        <v>6506797</v>
      </c>
      <c r="O156">
        <f t="shared" si="11"/>
        <v>6506797</v>
      </c>
      <c r="P156">
        <f t="shared" si="12"/>
        <v>0</v>
      </c>
      <c r="Q156" t="str">
        <f t="shared" si="13"/>
        <v/>
      </c>
      <c r="R156" t="str">
        <f t="shared" si="14"/>
        <v>Not yet due</v>
      </c>
    </row>
    <row r="157" spans="1:18" x14ac:dyDescent="0.3">
      <c r="A157" t="s">
        <v>3038</v>
      </c>
      <c r="B157" t="s">
        <v>22</v>
      </c>
      <c r="C157" t="s">
        <v>554</v>
      </c>
      <c r="D157" s="1">
        <v>45695</v>
      </c>
      <c r="E157" s="1">
        <v>45740</v>
      </c>
      <c r="F157" t="s">
        <v>13</v>
      </c>
      <c r="G157">
        <v>6495802</v>
      </c>
      <c r="H157" s="1"/>
      <c r="I157" t="s">
        <v>2206</v>
      </c>
      <c r="J157" t="s">
        <v>556</v>
      </c>
      <c r="L157">
        <v>0</v>
      </c>
      <c r="M157">
        <f>IF(F157="INR",1,INDEX('rates'!$B$2:$C$522,MATCH(D157,'rates'!$A$2:$A$522,1),MATCH(F157&amp;"/INR",'rates'!$B$1:$C$1,0)))</f>
        <v>1</v>
      </c>
      <c r="N157">
        <f t="shared" si="10"/>
        <v>6495802</v>
      </c>
      <c r="O157">
        <f t="shared" si="11"/>
        <v>6495802</v>
      </c>
      <c r="P157">
        <f t="shared" si="12"/>
        <v>7</v>
      </c>
      <c r="Q157" t="str">
        <f t="shared" si="13"/>
        <v/>
      </c>
      <c r="R157" t="str">
        <f t="shared" si="14"/>
        <v>1-30</v>
      </c>
    </row>
    <row r="158" spans="1:18" x14ac:dyDescent="0.3">
      <c r="A158" t="s">
        <v>3110</v>
      </c>
      <c r="B158" t="s">
        <v>496</v>
      </c>
      <c r="C158" t="s">
        <v>554</v>
      </c>
      <c r="D158" s="1">
        <v>45712</v>
      </c>
      <c r="E158" s="1">
        <v>45757</v>
      </c>
      <c r="F158" t="s">
        <v>13</v>
      </c>
      <c r="G158">
        <v>6480074</v>
      </c>
      <c r="H158" s="1"/>
      <c r="I158" t="s">
        <v>2206</v>
      </c>
      <c r="J158" t="s">
        <v>556</v>
      </c>
      <c r="L158">
        <v>0</v>
      </c>
      <c r="M158">
        <f>IF(F158="INR",1,INDEX('rates'!$B$2:$C$522,MATCH(D158,'rates'!$A$2:$A$522,1),MATCH(F158&amp;"/INR",'rates'!$B$1:$C$1,0)))</f>
        <v>1</v>
      </c>
      <c r="N158">
        <f t="shared" si="10"/>
        <v>6480074</v>
      </c>
      <c r="O158">
        <f t="shared" si="11"/>
        <v>6480074</v>
      </c>
      <c r="P158">
        <f t="shared" si="12"/>
        <v>0</v>
      </c>
      <c r="Q158" t="str">
        <f t="shared" si="13"/>
        <v/>
      </c>
      <c r="R158" t="str">
        <f t="shared" si="14"/>
        <v>Not yet due</v>
      </c>
    </row>
    <row r="159" spans="1:18" x14ac:dyDescent="0.3">
      <c r="A159" t="s">
        <v>3185</v>
      </c>
      <c r="B159" t="s">
        <v>276</v>
      </c>
      <c r="C159" t="s">
        <v>558</v>
      </c>
      <c r="D159" s="1">
        <v>45731</v>
      </c>
      <c r="E159" s="1">
        <v>45791</v>
      </c>
      <c r="F159" t="s">
        <v>13</v>
      </c>
      <c r="G159">
        <v>6459989</v>
      </c>
      <c r="H159" s="1"/>
      <c r="I159" t="s">
        <v>2206</v>
      </c>
      <c r="J159" t="s">
        <v>556</v>
      </c>
      <c r="L159">
        <v>0</v>
      </c>
      <c r="M159">
        <f>IF(F159="INR",1,INDEX('rates'!$B$2:$C$522,MATCH(D159,'rates'!$A$2:$A$522,1),MATCH(F159&amp;"/INR",'rates'!$B$1:$C$1,0)))</f>
        <v>1</v>
      </c>
      <c r="N159">
        <f t="shared" si="10"/>
        <v>6459989</v>
      </c>
      <c r="O159">
        <f t="shared" si="11"/>
        <v>6459989</v>
      </c>
      <c r="P159">
        <f t="shared" si="12"/>
        <v>0</v>
      </c>
      <c r="Q159" t="str">
        <f t="shared" si="13"/>
        <v/>
      </c>
      <c r="R159" t="str">
        <f t="shared" si="14"/>
        <v>Not yet due</v>
      </c>
    </row>
    <row r="160" spans="1:18" x14ac:dyDescent="0.3">
      <c r="A160" t="s">
        <v>2946</v>
      </c>
      <c r="B160" t="s">
        <v>190</v>
      </c>
      <c r="C160" t="s">
        <v>558</v>
      </c>
      <c r="D160" s="1">
        <v>45670</v>
      </c>
      <c r="E160" s="1">
        <v>45700</v>
      </c>
      <c r="F160" t="s">
        <v>13</v>
      </c>
      <c r="G160">
        <v>6437576</v>
      </c>
      <c r="H160" s="1"/>
      <c r="I160" t="s">
        <v>2206</v>
      </c>
      <c r="J160" t="s">
        <v>556</v>
      </c>
      <c r="L160">
        <v>0</v>
      </c>
      <c r="M160">
        <f>IF(F160="INR",1,INDEX('rates'!$B$2:$C$522,MATCH(D160,'rates'!$A$2:$A$522,1),MATCH(F160&amp;"/INR",'rates'!$B$1:$C$1,0)))</f>
        <v>1</v>
      </c>
      <c r="N160">
        <f t="shared" si="10"/>
        <v>6437576</v>
      </c>
      <c r="O160">
        <f t="shared" si="11"/>
        <v>6437576</v>
      </c>
      <c r="P160">
        <f t="shared" si="12"/>
        <v>47</v>
      </c>
      <c r="Q160" t="str">
        <f t="shared" si="13"/>
        <v/>
      </c>
      <c r="R160" t="str">
        <f t="shared" si="14"/>
        <v>31-60</v>
      </c>
    </row>
    <row r="161" spans="1:18" x14ac:dyDescent="0.3">
      <c r="A161" t="s">
        <v>2959</v>
      </c>
      <c r="B161" t="s">
        <v>186</v>
      </c>
      <c r="C161" t="s">
        <v>558</v>
      </c>
      <c r="D161" s="1">
        <v>45674</v>
      </c>
      <c r="E161" s="1">
        <v>45704</v>
      </c>
      <c r="F161" t="s">
        <v>36</v>
      </c>
      <c r="G161">
        <v>72482.52</v>
      </c>
      <c r="H161" s="1"/>
      <c r="I161" t="s">
        <v>2206</v>
      </c>
      <c r="J161" t="s">
        <v>573</v>
      </c>
      <c r="K161">
        <v>86.694199999999995</v>
      </c>
      <c r="L161">
        <v>0</v>
      </c>
      <c r="M161">
        <f>IF(F161="INR",1,INDEX('rates'!$B$2:$C$522,MATCH(D161,'rates'!$A$2:$A$522,1),MATCH(F161&amp;"/INR",'rates'!$B$1:$C$1,0)))</f>
        <v>86.55</v>
      </c>
      <c r="N161">
        <f t="shared" si="10"/>
        <v>6273362.1060000006</v>
      </c>
      <c r="O161">
        <f t="shared" si="11"/>
        <v>6273362.1060000006</v>
      </c>
      <c r="P161">
        <f t="shared" si="12"/>
        <v>43</v>
      </c>
      <c r="Q161" t="str">
        <f t="shared" si="13"/>
        <v/>
      </c>
      <c r="R161" t="str">
        <f t="shared" si="14"/>
        <v>31-60</v>
      </c>
    </row>
    <row r="162" spans="1:18" x14ac:dyDescent="0.3">
      <c r="A162" t="s">
        <v>3074</v>
      </c>
      <c r="B162" t="s">
        <v>10</v>
      </c>
      <c r="C162" t="s">
        <v>575</v>
      </c>
      <c r="D162" s="1">
        <v>45703</v>
      </c>
      <c r="E162" s="1">
        <v>45748</v>
      </c>
      <c r="F162" t="s">
        <v>13</v>
      </c>
      <c r="G162">
        <v>6198317</v>
      </c>
      <c r="H162" s="1"/>
      <c r="I162" t="s">
        <v>2206</v>
      </c>
      <c r="J162" t="s">
        <v>556</v>
      </c>
      <c r="L162">
        <v>0</v>
      </c>
      <c r="M162">
        <f>IF(F162="INR",1,INDEX('rates'!$B$2:$C$522,MATCH(D162,'rates'!$A$2:$A$522,1),MATCH(F162&amp;"/INR",'rates'!$B$1:$C$1,0)))</f>
        <v>1</v>
      </c>
      <c r="N162">
        <f t="shared" si="10"/>
        <v>6198317</v>
      </c>
      <c r="O162">
        <f t="shared" si="11"/>
        <v>6198317</v>
      </c>
      <c r="P162">
        <f t="shared" si="12"/>
        <v>0</v>
      </c>
      <c r="Q162" t="str">
        <f t="shared" si="13"/>
        <v/>
      </c>
      <c r="R162" t="str">
        <f t="shared" si="14"/>
        <v>Not yet due</v>
      </c>
    </row>
    <row r="163" spans="1:18" x14ac:dyDescent="0.3">
      <c r="A163" t="s">
        <v>3243</v>
      </c>
      <c r="B163" t="s">
        <v>96</v>
      </c>
      <c r="C163" t="s">
        <v>558</v>
      </c>
      <c r="D163" s="1">
        <v>45745</v>
      </c>
      <c r="E163" s="1">
        <v>45835</v>
      </c>
      <c r="F163" t="s">
        <v>13</v>
      </c>
      <c r="G163">
        <v>6191251</v>
      </c>
      <c r="H163" s="1"/>
      <c r="I163" t="s">
        <v>2206</v>
      </c>
      <c r="J163" t="s">
        <v>556</v>
      </c>
      <c r="L163">
        <v>0</v>
      </c>
      <c r="M163">
        <f>IF(F163="INR",1,INDEX('rates'!$B$2:$C$522,MATCH(D163,'rates'!$A$2:$A$522,1),MATCH(F163&amp;"/INR",'rates'!$B$1:$C$1,0)))</f>
        <v>1</v>
      </c>
      <c r="N163">
        <f t="shared" si="10"/>
        <v>6191251</v>
      </c>
      <c r="O163">
        <f t="shared" si="11"/>
        <v>6191251</v>
      </c>
      <c r="P163">
        <f t="shared" si="12"/>
        <v>0</v>
      </c>
      <c r="Q163" t="str">
        <f t="shared" si="13"/>
        <v/>
      </c>
      <c r="R163" t="str">
        <f t="shared" si="14"/>
        <v>Not yet due</v>
      </c>
    </row>
    <row r="164" spans="1:18" x14ac:dyDescent="0.3">
      <c r="A164" t="s">
        <v>2598</v>
      </c>
      <c r="B164" t="s">
        <v>322</v>
      </c>
      <c r="C164" t="s">
        <v>558</v>
      </c>
      <c r="D164" s="1">
        <v>45587</v>
      </c>
      <c r="E164" s="1">
        <v>45647</v>
      </c>
      <c r="F164" t="s">
        <v>13</v>
      </c>
      <c r="G164">
        <v>6183008</v>
      </c>
      <c r="H164" s="1"/>
      <c r="I164" t="s">
        <v>2206</v>
      </c>
      <c r="J164" t="s">
        <v>556</v>
      </c>
      <c r="L164">
        <v>0</v>
      </c>
      <c r="M164">
        <f>IF(F164="INR",1,INDEX('rates'!$B$2:$C$522,MATCH(D164,'rates'!$A$2:$A$522,1),MATCH(F164&amp;"/INR",'rates'!$B$1:$C$1,0)))</f>
        <v>1</v>
      </c>
      <c r="N164">
        <f t="shared" si="10"/>
        <v>6183008</v>
      </c>
      <c r="O164">
        <f t="shared" si="11"/>
        <v>6183008</v>
      </c>
      <c r="P164">
        <f t="shared" si="12"/>
        <v>100</v>
      </c>
      <c r="Q164" t="str">
        <f t="shared" si="13"/>
        <v/>
      </c>
      <c r="R164" t="str">
        <f t="shared" si="14"/>
        <v>90+</v>
      </c>
    </row>
    <row r="165" spans="1:18" x14ac:dyDescent="0.3">
      <c r="A165" t="s">
        <v>3241</v>
      </c>
      <c r="B165" t="s">
        <v>296</v>
      </c>
      <c r="C165" t="s">
        <v>558</v>
      </c>
      <c r="D165" s="1">
        <v>45744</v>
      </c>
      <c r="E165" s="1">
        <v>45774</v>
      </c>
      <c r="F165" t="s">
        <v>13</v>
      </c>
      <c r="G165">
        <v>6180250</v>
      </c>
      <c r="H165" s="1"/>
      <c r="I165" t="s">
        <v>2206</v>
      </c>
      <c r="J165" t="s">
        <v>556</v>
      </c>
      <c r="L165">
        <v>0</v>
      </c>
      <c r="M165">
        <f>IF(F165="INR",1,INDEX('rates'!$B$2:$C$522,MATCH(D165,'rates'!$A$2:$A$522,1),MATCH(F165&amp;"/INR",'rates'!$B$1:$C$1,0)))</f>
        <v>1</v>
      </c>
      <c r="N165">
        <f t="shared" si="10"/>
        <v>6180250</v>
      </c>
      <c r="O165">
        <f t="shared" si="11"/>
        <v>6180250</v>
      </c>
      <c r="P165">
        <f t="shared" si="12"/>
        <v>0</v>
      </c>
      <c r="Q165" t="str">
        <f t="shared" si="13"/>
        <v/>
      </c>
      <c r="R165" t="str">
        <f t="shared" si="14"/>
        <v>Not yet due</v>
      </c>
    </row>
    <row r="166" spans="1:18" x14ac:dyDescent="0.3">
      <c r="A166" t="s">
        <v>3213</v>
      </c>
      <c r="B166" t="s">
        <v>262</v>
      </c>
      <c r="C166" t="s">
        <v>566</v>
      </c>
      <c r="D166" s="1">
        <v>45738</v>
      </c>
      <c r="E166" s="1">
        <v>45828</v>
      </c>
      <c r="F166" t="s">
        <v>31</v>
      </c>
      <c r="G166">
        <v>66225.789999999994</v>
      </c>
      <c r="H166" s="1"/>
      <c r="I166" t="s">
        <v>2206</v>
      </c>
      <c r="J166" t="s">
        <v>573</v>
      </c>
      <c r="K166">
        <v>93.221199999999996</v>
      </c>
      <c r="L166">
        <v>0</v>
      </c>
      <c r="M166">
        <f>IF(F166="INR",1,INDEX('rates'!$B$2:$C$522,MATCH(D166,'rates'!$A$2:$A$522,1),MATCH(F166&amp;"/INR",'rates'!$B$1:$C$1,0)))</f>
        <v>92.942400000000006</v>
      </c>
      <c r="N166">
        <f t="shared" si="10"/>
        <v>6155183.8644960001</v>
      </c>
      <c r="O166">
        <f t="shared" si="11"/>
        <v>6155183.8644960001</v>
      </c>
      <c r="P166">
        <f t="shared" si="12"/>
        <v>0</v>
      </c>
      <c r="Q166" t="str">
        <f t="shared" si="13"/>
        <v/>
      </c>
      <c r="R166" t="str">
        <f t="shared" si="14"/>
        <v>Not yet due</v>
      </c>
    </row>
    <row r="167" spans="1:18" x14ac:dyDescent="0.3">
      <c r="A167" t="s">
        <v>3192</v>
      </c>
      <c r="B167" t="s">
        <v>138</v>
      </c>
      <c r="C167" t="s">
        <v>566</v>
      </c>
      <c r="D167" s="1">
        <v>45733</v>
      </c>
      <c r="E167" s="1">
        <v>45763</v>
      </c>
      <c r="F167" t="s">
        <v>13</v>
      </c>
      <c r="G167">
        <v>6153844</v>
      </c>
      <c r="H167" s="1"/>
      <c r="I167" t="s">
        <v>2206</v>
      </c>
      <c r="J167" t="s">
        <v>556</v>
      </c>
      <c r="L167">
        <v>0</v>
      </c>
      <c r="M167">
        <f>IF(F167="INR",1,INDEX('rates'!$B$2:$C$522,MATCH(D167,'rates'!$A$2:$A$522,1),MATCH(F167&amp;"/INR",'rates'!$B$1:$C$1,0)))</f>
        <v>1</v>
      </c>
      <c r="N167">
        <f t="shared" si="10"/>
        <v>6153844</v>
      </c>
      <c r="O167">
        <f t="shared" si="11"/>
        <v>6153844</v>
      </c>
      <c r="P167">
        <f t="shared" si="12"/>
        <v>0</v>
      </c>
      <c r="Q167" t="str">
        <f t="shared" si="13"/>
        <v/>
      </c>
      <c r="R167" t="str">
        <f t="shared" si="14"/>
        <v>Not yet due</v>
      </c>
    </row>
    <row r="168" spans="1:18" x14ac:dyDescent="0.3">
      <c r="A168" t="s">
        <v>830</v>
      </c>
      <c r="B168" t="s">
        <v>262</v>
      </c>
      <c r="C168" t="s">
        <v>566</v>
      </c>
      <c r="D168" s="1">
        <v>45105</v>
      </c>
      <c r="E168" s="1">
        <v>45195</v>
      </c>
      <c r="F168" t="s">
        <v>31</v>
      </c>
      <c r="G168">
        <v>171342.25</v>
      </c>
      <c r="H168" s="1">
        <v>45209</v>
      </c>
      <c r="I168" t="s">
        <v>567</v>
      </c>
      <c r="J168" t="s">
        <v>573</v>
      </c>
      <c r="K168">
        <v>89.680999999999997</v>
      </c>
      <c r="L168">
        <v>104089.11</v>
      </c>
      <c r="M168">
        <f>IF(F168="INR",1,INDEX('rates'!$B$2:$C$522,MATCH(D168,'rates'!$A$2:$A$522,1),MATCH(F168&amp;"/INR",'rates'!$B$1:$C$1,0)))</f>
        <v>89.412800000000004</v>
      </c>
      <c r="N168">
        <f t="shared" si="10"/>
        <v>15320190.330800001</v>
      </c>
      <c r="O168">
        <f t="shared" si="11"/>
        <v>6013291.5561920004</v>
      </c>
      <c r="P168">
        <f t="shared" si="12"/>
        <v>552</v>
      </c>
      <c r="Q168">
        <f t="shared" si="13"/>
        <v>14</v>
      </c>
      <c r="R168" t="str">
        <f t="shared" si="14"/>
        <v>90+</v>
      </c>
    </row>
    <row r="169" spans="1:18" x14ac:dyDescent="0.3">
      <c r="A169" t="s">
        <v>3112</v>
      </c>
      <c r="B169" t="s">
        <v>200</v>
      </c>
      <c r="C169" t="s">
        <v>575</v>
      </c>
      <c r="D169" s="1">
        <v>45714</v>
      </c>
      <c r="E169" s="1">
        <v>45774</v>
      </c>
      <c r="F169" t="s">
        <v>13</v>
      </c>
      <c r="G169">
        <v>5950357</v>
      </c>
      <c r="H169" s="1"/>
      <c r="I169" t="s">
        <v>2206</v>
      </c>
      <c r="J169" t="s">
        <v>556</v>
      </c>
      <c r="L169">
        <v>0</v>
      </c>
      <c r="M169">
        <f>IF(F169="INR",1,INDEX('rates'!$B$2:$C$522,MATCH(D169,'rates'!$A$2:$A$522,1),MATCH(F169&amp;"/INR",'rates'!$B$1:$C$1,0)))</f>
        <v>1</v>
      </c>
      <c r="N169">
        <f t="shared" si="10"/>
        <v>5950357</v>
      </c>
      <c r="O169">
        <f t="shared" si="11"/>
        <v>5950357</v>
      </c>
      <c r="P169">
        <f t="shared" si="12"/>
        <v>0</v>
      </c>
      <c r="Q169" t="str">
        <f t="shared" si="13"/>
        <v/>
      </c>
      <c r="R169" t="str">
        <f t="shared" si="14"/>
        <v>Not yet due</v>
      </c>
    </row>
    <row r="170" spans="1:18" x14ac:dyDescent="0.3">
      <c r="A170" t="s">
        <v>2937</v>
      </c>
      <c r="B170" t="s">
        <v>372</v>
      </c>
      <c r="C170" t="s">
        <v>575</v>
      </c>
      <c r="D170" s="1">
        <v>45668</v>
      </c>
      <c r="E170" s="1">
        <v>45758</v>
      </c>
      <c r="F170" t="s">
        <v>13</v>
      </c>
      <c r="G170">
        <v>5919351</v>
      </c>
      <c r="H170" s="1"/>
      <c r="I170" t="s">
        <v>2206</v>
      </c>
      <c r="J170" t="s">
        <v>556</v>
      </c>
      <c r="L170">
        <v>0</v>
      </c>
      <c r="M170">
        <f>IF(F170="INR",1,INDEX('rates'!$B$2:$C$522,MATCH(D170,'rates'!$A$2:$A$522,1),MATCH(F170&amp;"/INR",'rates'!$B$1:$C$1,0)))</f>
        <v>1</v>
      </c>
      <c r="N170">
        <f t="shared" si="10"/>
        <v>5919351</v>
      </c>
      <c r="O170">
        <f t="shared" si="11"/>
        <v>5919351</v>
      </c>
      <c r="P170">
        <f t="shared" si="12"/>
        <v>0</v>
      </c>
      <c r="Q170" t="str">
        <f t="shared" si="13"/>
        <v/>
      </c>
      <c r="R170" t="str">
        <f t="shared" si="14"/>
        <v>Not yet due</v>
      </c>
    </row>
    <row r="171" spans="1:18" x14ac:dyDescent="0.3">
      <c r="A171" t="s">
        <v>3183</v>
      </c>
      <c r="B171" t="s">
        <v>254</v>
      </c>
      <c r="C171" t="s">
        <v>558</v>
      </c>
      <c r="D171" s="1">
        <v>45731</v>
      </c>
      <c r="E171" s="1">
        <v>45761</v>
      </c>
      <c r="F171" t="s">
        <v>13</v>
      </c>
      <c r="G171">
        <v>5910294</v>
      </c>
      <c r="H171" s="1"/>
      <c r="I171" t="s">
        <v>2206</v>
      </c>
      <c r="J171" t="s">
        <v>556</v>
      </c>
      <c r="L171">
        <v>0</v>
      </c>
      <c r="M171">
        <f>IF(F171="INR",1,INDEX('rates'!$B$2:$C$522,MATCH(D171,'rates'!$A$2:$A$522,1),MATCH(F171&amp;"/INR",'rates'!$B$1:$C$1,0)))</f>
        <v>1</v>
      </c>
      <c r="N171">
        <f t="shared" si="10"/>
        <v>5910294</v>
      </c>
      <c r="O171">
        <f t="shared" si="11"/>
        <v>5910294</v>
      </c>
      <c r="P171">
        <f t="shared" si="12"/>
        <v>0</v>
      </c>
      <c r="Q171" t="str">
        <f t="shared" si="13"/>
        <v/>
      </c>
      <c r="R171" t="str">
        <f t="shared" si="14"/>
        <v>Not yet due</v>
      </c>
    </row>
    <row r="172" spans="1:18" x14ac:dyDescent="0.3">
      <c r="A172" t="s">
        <v>3087</v>
      </c>
      <c r="B172" t="s">
        <v>466</v>
      </c>
      <c r="C172" t="s">
        <v>558</v>
      </c>
      <c r="D172" s="1">
        <v>45705</v>
      </c>
      <c r="E172" s="1">
        <v>45765</v>
      </c>
      <c r="F172" t="s">
        <v>31</v>
      </c>
      <c r="G172">
        <v>64360.53</v>
      </c>
      <c r="H172" s="1"/>
      <c r="I172" t="s">
        <v>2206</v>
      </c>
      <c r="J172" t="s">
        <v>573</v>
      </c>
      <c r="K172">
        <v>91.325900000000004</v>
      </c>
      <c r="L172">
        <v>0</v>
      </c>
      <c r="M172">
        <f>IF(F172="INR",1,INDEX('rates'!$B$2:$C$522,MATCH(D172,'rates'!$A$2:$A$522,1),MATCH(F172&amp;"/INR",'rates'!$B$1:$C$1,0)))</f>
        <v>91.143600000000006</v>
      </c>
      <c r="N172">
        <f t="shared" si="10"/>
        <v>5866050.4021080006</v>
      </c>
      <c r="O172">
        <f t="shared" si="11"/>
        <v>5866050.4021080006</v>
      </c>
      <c r="P172">
        <f t="shared" si="12"/>
        <v>0</v>
      </c>
      <c r="Q172" t="str">
        <f t="shared" si="13"/>
        <v/>
      </c>
      <c r="R172" t="str">
        <f t="shared" si="14"/>
        <v>Not yet due</v>
      </c>
    </row>
    <row r="173" spans="1:18" x14ac:dyDescent="0.3">
      <c r="A173" t="s">
        <v>3172</v>
      </c>
      <c r="B173" t="s">
        <v>160</v>
      </c>
      <c r="C173" t="s">
        <v>554</v>
      </c>
      <c r="D173" s="1">
        <v>45729</v>
      </c>
      <c r="E173" s="1">
        <v>45774</v>
      </c>
      <c r="F173" t="s">
        <v>13</v>
      </c>
      <c r="G173">
        <v>5797793</v>
      </c>
      <c r="H173" s="1"/>
      <c r="I173" t="s">
        <v>2206</v>
      </c>
      <c r="J173" t="s">
        <v>556</v>
      </c>
      <c r="L173">
        <v>0</v>
      </c>
      <c r="M173">
        <f>IF(F173="INR",1,INDEX('rates'!$B$2:$C$522,MATCH(D173,'rates'!$A$2:$A$522,1),MATCH(F173&amp;"/INR",'rates'!$B$1:$C$1,0)))</f>
        <v>1</v>
      </c>
      <c r="N173">
        <f t="shared" si="10"/>
        <v>5797793</v>
      </c>
      <c r="O173">
        <f t="shared" si="11"/>
        <v>5797793</v>
      </c>
      <c r="P173">
        <f t="shared" si="12"/>
        <v>0</v>
      </c>
      <c r="Q173" t="str">
        <f t="shared" si="13"/>
        <v/>
      </c>
      <c r="R173" t="str">
        <f t="shared" si="14"/>
        <v>Not yet due</v>
      </c>
    </row>
    <row r="174" spans="1:18" x14ac:dyDescent="0.3">
      <c r="A174" t="s">
        <v>2835</v>
      </c>
      <c r="B174" t="s">
        <v>262</v>
      </c>
      <c r="C174" t="s">
        <v>566</v>
      </c>
      <c r="D174" s="1">
        <v>45644</v>
      </c>
      <c r="E174" s="1">
        <v>45734</v>
      </c>
      <c r="F174" t="s">
        <v>31</v>
      </c>
      <c r="G174">
        <v>65012.31</v>
      </c>
      <c r="H174" s="1"/>
      <c r="I174" t="s">
        <v>2206</v>
      </c>
      <c r="J174" t="s">
        <v>556</v>
      </c>
      <c r="L174">
        <v>0</v>
      </c>
      <c r="M174">
        <f>IF(F174="INR",1,INDEX('rates'!$B$2:$C$522,MATCH(D174,'rates'!$A$2:$A$522,1),MATCH(F174&amp;"/INR",'rates'!$B$1:$C$1,0)))</f>
        <v>88.934200000000004</v>
      </c>
      <c r="N174">
        <f t="shared" si="10"/>
        <v>5781817.7800019998</v>
      </c>
      <c r="O174">
        <f t="shared" si="11"/>
        <v>5781817.7800019998</v>
      </c>
      <c r="P174">
        <f t="shared" si="12"/>
        <v>13</v>
      </c>
      <c r="Q174" t="str">
        <f t="shared" si="13"/>
        <v/>
      </c>
      <c r="R174" t="str">
        <f t="shared" si="14"/>
        <v>1-30</v>
      </c>
    </row>
    <row r="175" spans="1:18" x14ac:dyDescent="0.3">
      <c r="A175" t="s">
        <v>3045</v>
      </c>
      <c r="B175" t="s">
        <v>220</v>
      </c>
      <c r="C175" t="s">
        <v>560</v>
      </c>
      <c r="D175" s="1">
        <v>45698</v>
      </c>
      <c r="E175" s="1">
        <v>45788</v>
      </c>
      <c r="F175" t="s">
        <v>31</v>
      </c>
      <c r="G175">
        <v>63586.97</v>
      </c>
      <c r="H175" s="1"/>
      <c r="I175" t="s">
        <v>2206</v>
      </c>
      <c r="J175" t="s">
        <v>556</v>
      </c>
      <c r="L175">
        <v>0</v>
      </c>
      <c r="M175">
        <f>IF(F175="INR",1,INDEX('rates'!$B$2:$C$522,MATCH(D175,'rates'!$A$2:$A$522,1),MATCH(F175&amp;"/INR",'rates'!$B$1:$C$1,0)))</f>
        <v>90.178399999999996</v>
      </c>
      <c r="N175">
        <f t="shared" si="10"/>
        <v>5734171.2154479995</v>
      </c>
      <c r="O175">
        <f t="shared" si="11"/>
        <v>5734171.2154479995</v>
      </c>
      <c r="P175">
        <f t="shared" si="12"/>
        <v>0</v>
      </c>
      <c r="Q175" t="str">
        <f t="shared" si="13"/>
        <v/>
      </c>
      <c r="R175" t="str">
        <f t="shared" si="14"/>
        <v>Not yet due</v>
      </c>
    </row>
    <row r="176" spans="1:18" x14ac:dyDescent="0.3">
      <c r="A176" t="s">
        <v>2938</v>
      </c>
      <c r="B176" t="s">
        <v>406</v>
      </c>
      <c r="C176" t="s">
        <v>554</v>
      </c>
      <c r="D176" s="1">
        <v>45668</v>
      </c>
      <c r="E176" s="1">
        <v>45758</v>
      </c>
      <c r="F176" t="s">
        <v>13</v>
      </c>
      <c r="G176">
        <v>5663824</v>
      </c>
      <c r="H176" s="1"/>
      <c r="I176" t="s">
        <v>2206</v>
      </c>
      <c r="J176" t="s">
        <v>556</v>
      </c>
      <c r="L176">
        <v>0</v>
      </c>
      <c r="M176">
        <f>IF(F176="INR",1,INDEX('rates'!$B$2:$C$522,MATCH(D176,'rates'!$A$2:$A$522,1),MATCH(F176&amp;"/INR",'rates'!$B$1:$C$1,0)))</f>
        <v>1</v>
      </c>
      <c r="N176">
        <f t="shared" si="10"/>
        <v>5663824</v>
      </c>
      <c r="O176">
        <f t="shared" si="11"/>
        <v>5663824</v>
      </c>
      <c r="P176">
        <f t="shared" si="12"/>
        <v>0</v>
      </c>
      <c r="Q176" t="str">
        <f t="shared" si="13"/>
        <v/>
      </c>
      <c r="R176" t="str">
        <f t="shared" si="14"/>
        <v>Not yet due</v>
      </c>
    </row>
    <row r="177" spans="1:18" x14ac:dyDescent="0.3">
      <c r="A177" t="s">
        <v>2502</v>
      </c>
      <c r="B177" t="s">
        <v>464</v>
      </c>
      <c r="C177" t="s">
        <v>560</v>
      </c>
      <c r="D177" s="1">
        <v>45565</v>
      </c>
      <c r="E177" s="1">
        <v>45655</v>
      </c>
      <c r="F177" t="s">
        <v>13</v>
      </c>
      <c r="G177">
        <v>30515115</v>
      </c>
      <c r="H177" s="1">
        <v>45653</v>
      </c>
      <c r="I177" t="s">
        <v>567</v>
      </c>
      <c r="J177" t="s">
        <v>556</v>
      </c>
      <c r="L177">
        <v>24852522.91</v>
      </c>
      <c r="M177">
        <f>IF(F177="INR",1,INDEX('rates'!$B$2:$C$522,MATCH(D177,'rates'!$A$2:$A$522,1),MATCH(F177&amp;"/INR",'rates'!$B$1:$C$1,0)))</f>
        <v>1</v>
      </c>
      <c r="N177">
        <f t="shared" si="10"/>
        <v>30515115</v>
      </c>
      <c r="O177">
        <f t="shared" si="11"/>
        <v>5662592.0899999999</v>
      </c>
      <c r="P177">
        <f t="shared" si="12"/>
        <v>92</v>
      </c>
      <c r="Q177">
        <f t="shared" si="13"/>
        <v>-2</v>
      </c>
      <c r="R177" t="str">
        <f t="shared" si="14"/>
        <v>90+</v>
      </c>
    </row>
    <row r="178" spans="1:18" x14ac:dyDescent="0.3">
      <c r="A178" t="s">
        <v>2729</v>
      </c>
      <c r="B178" t="s">
        <v>124</v>
      </c>
      <c r="C178" t="s">
        <v>566</v>
      </c>
      <c r="D178" s="1">
        <v>45619</v>
      </c>
      <c r="E178" s="1">
        <v>45679</v>
      </c>
      <c r="F178" t="s">
        <v>31</v>
      </c>
      <c r="G178">
        <v>64299.66</v>
      </c>
      <c r="H178" s="1"/>
      <c r="I178" t="s">
        <v>2206</v>
      </c>
      <c r="J178" t="s">
        <v>573</v>
      </c>
      <c r="K178">
        <v>87.984800000000007</v>
      </c>
      <c r="L178">
        <v>0</v>
      </c>
      <c r="M178">
        <f>IF(F178="INR",1,INDEX('rates'!$B$2:$C$522,MATCH(D178,'rates'!$A$2:$A$522,1),MATCH(F178&amp;"/INR",'rates'!$B$1:$C$1,0)))</f>
        <v>87.809200000000004</v>
      </c>
      <c r="N178">
        <f t="shared" si="10"/>
        <v>5646101.704872001</v>
      </c>
      <c r="O178">
        <f t="shared" si="11"/>
        <v>5646101.704872001</v>
      </c>
      <c r="P178">
        <f t="shared" si="12"/>
        <v>68</v>
      </c>
      <c r="Q178" t="str">
        <f t="shared" si="13"/>
        <v/>
      </c>
      <c r="R178" t="str">
        <f t="shared" si="14"/>
        <v>61-90</v>
      </c>
    </row>
    <row r="179" spans="1:18" x14ac:dyDescent="0.3">
      <c r="A179" t="s">
        <v>3200</v>
      </c>
      <c r="B179" t="s">
        <v>140</v>
      </c>
      <c r="C179" t="s">
        <v>554</v>
      </c>
      <c r="D179" s="1">
        <v>45735</v>
      </c>
      <c r="E179" s="1">
        <v>45795</v>
      </c>
      <c r="F179" t="s">
        <v>13</v>
      </c>
      <c r="G179">
        <v>5602316</v>
      </c>
      <c r="H179" s="1"/>
      <c r="I179" t="s">
        <v>2206</v>
      </c>
      <c r="J179" t="s">
        <v>556</v>
      </c>
      <c r="L179">
        <v>0</v>
      </c>
      <c r="M179">
        <f>IF(F179="INR",1,INDEX('rates'!$B$2:$C$522,MATCH(D179,'rates'!$A$2:$A$522,1),MATCH(F179&amp;"/INR",'rates'!$B$1:$C$1,0)))</f>
        <v>1</v>
      </c>
      <c r="N179">
        <f t="shared" si="10"/>
        <v>5602316</v>
      </c>
      <c r="O179">
        <f t="shared" si="11"/>
        <v>5602316</v>
      </c>
      <c r="P179">
        <f t="shared" si="12"/>
        <v>0</v>
      </c>
      <c r="Q179" t="str">
        <f t="shared" si="13"/>
        <v/>
      </c>
      <c r="R179" t="str">
        <f t="shared" si="14"/>
        <v>Not yet due</v>
      </c>
    </row>
    <row r="180" spans="1:18" x14ac:dyDescent="0.3">
      <c r="A180" t="s">
        <v>3065</v>
      </c>
      <c r="B180" t="s">
        <v>512</v>
      </c>
      <c r="C180" t="s">
        <v>566</v>
      </c>
      <c r="D180" s="1">
        <v>45701</v>
      </c>
      <c r="E180" s="1">
        <v>45761</v>
      </c>
      <c r="F180" t="s">
        <v>31</v>
      </c>
      <c r="G180">
        <v>61654.87</v>
      </c>
      <c r="H180" s="1"/>
      <c r="I180" t="s">
        <v>2206</v>
      </c>
      <c r="J180" t="s">
        <v>573</v>
      </c>
      <c r="K180">
        <v>90.790099999999995</v>
      </c>
      <c r="L180">
        <v>0</v>
      </c>
      <c r="M180">
        <f>IF(F180="INR",1,INDEX('rates'!$B$2:$C$522,MATCH(D180,'rates'!$A$2:$A$522,1),MATCH(F180&amp;"/INR",'rates'!$B$1:$C$1,0)))</f>
        <v>90.608900000000006</v>
      </c>
      <c r="N180">
        <f t="shared" si="10"/>
        <v>5586479.9503430007</v>
      </c>
      <c r="O180">
        <f t="shared" si="11"/>
        <v>5586479.9503430007</v>
      </c>
      <c r="P180">
        <f t="shared" si="12"/>
        <v>0</v>
      </c>
      <c r="Q180" t="str">
        <f t="shared" si="13"/>
        <v/>
      </c>
      <c r="R180" t="str">
        <f t="shared" si="14"/>
        <v>Not yet due</v>
      </c>
    </row>
    <row r="181" spans="1:18" x14ac:dyDescent="0.3">
      <c r="A181" t="s">
        <v>2883</v>
      </c>
      <c r="B181" t="s">
        <v>262</v>
      </c>
      <c r="C181" t="s">
        <v>566</v>
      </c>
      <c r="D181" s="1">
        <v>45657</v>
      </c>
      <c r="E181" s="1">
        <v>45747</v>
      </c>
      <c r="F181" t="s">
        <v>31</v>
      </c>
      <c r="G181">
        <v>62910.27</v>
      </c>
      <c r="H181" s="1"/>
      <c r="I181" t="s">
        <v>2206</v>
      </c>
      <c r="J181" t="s">
        <v>573</v>
      </c>
      <c r="K181">
        <v>88.8185</v>
      </c>
      <c r="L181">
        <v>0</v>
      </c>
      <c r="M181">
        <f>IF(F181="INR",1,INDEX('rates'!$B$2:$C$522,MATCH(D181,'rates'!$A$2:$A$522,1),MATCH(F181&amp;"/INR",'rates'!$B$1:$C$1,0)))</f>
        <v>88.552800000000005</v>
      </c>
      <c r="N181">
        <f t="shared" si="10"/>
        <v>5570880.5572560001</v>
      </c>
      <c r="O181">
        <f t="shared" si="11"/>
        <v>5570880.5572560001</v>
      </c>
      <c r="P181">
        <f t="shared" si="12"/>
        <v>0</v>
      </c>
      <c r="Q181" t="str">
        <f t="shared" si="13"/>
        <v/>
      </c>
      <c r="R181" t="str">
        <f t="shared" si="14"/>
        <v>Not yet due</v>
      </c>
    </row>
    <row r="182" spans="1:18" x14ac:dyDescent="0.3">
      <c r="A182" t="s">
        <v>3041</v>
      </c>
      <c r="B182" t="s">
        <v>117</v>
      </c>
      <c r="C182" t="s">
        <v>554</v>
      </c>
      <c r="D182" s="1">
        <v>45696</v>
      </c>
      <c r="E182" s="1">
        <v>45756</v>
      </c>
      <c r="F182" t="s">
        <v>13</v>
      </c>
      <c r="G182">
        <v>5568151</v>
      </c>
      <c r="H182" s="1"/>
      <c r="I182" t="s">
        <v>2206</v>
      </c>
      <c r="J182" t="s">
        <v>556</v>
      </c>
      <c r="L182">
        <v>0</v>
      </c>
      <c r="M182">
        <f>IF(F182="INR",1,INDEX('rates'!$B$2:$C$522,MATCH(D182,'rates'!$A$2:$A$522,1),MATCH(F182&amp;"/INR",'rates'!$B$1:$C$1,0)))</f>
        <v>1</v>
      </c>
      <c r="N182">
        <f t="shared" si="10"/>
        <v>5568151</v>
      </c>
      <c r="O182">
        <f t="shared" si="11"/>
        <v>5568151</v>
      </c>
      <c r="P182">
        <f t="shared" si="12"/>
        <v>0</v>
      </c>
      <c r="Q182" t="str">
        <f t="shared" si="13"/>
        <v/>
      </c>
      <c r="R182" t="str">
        <f t="shared" si="14"/>
        <v>Not yet due</v>
      </c>
    </row>
    <row r="183" spans="1:18" x14ac:dyDescent="0.3">
      <c r="A183" t="s">
        <v>3093</v>
      </c>
      <c r="B183" t="s">
        <v>394</v>
      </c>
      <c r="C183" t="s">
        <v>575</v>
      </c>
      <c r="D183" s="1">
        <v>45707</v>
      </c>
      <c r="E183" s="1">
        <v>45767</v>
      </c>
      <c r="F183" t="s">
        <v>31</v>
      </c>
      <c r="G183">
        <v>61424.35</v>
      </c>
      <c r="H183" s="1"/>
      <c r="I183" t="s">
        <v>2206</v>
      </c>
      <c r="J183" t="s">
        <v>556</v>
      </c>
      <c r="L183">
        <v>0</v>
      </c>
      <c r="M183">
        <f>IF(F183="INR",1,INDEX('rates'!$B$2:$C$522,MATCH(D183,'rates'!$A$2:$A$522,1),MATCH(F183&amp;"/INR",'rates'!$B$1:$C$1,0)))</f>
        <v>90.490600000000001</v>
      </c>
      <c r="N183">
        <f t="shared" si="10"/>
        <v>5558326.2861099998</v>
      </c>
      <c r="O183">
        <f t="shared" si="11"/>
        <v>5558326.2861099998</v>
      </c>
      <c r="P183">
        <f t="shared" si="12"/>
        <v>0</v>
      </c>
      <c r="Q183" t="str">
        <f t="shared" si="13"/>
        <v/>
      </c>
      <c r="R183" t="str">
        <f t="shared" si="14"/>
        <v>Not yet due</v>
      </c>
    </row>
    <row r="184" spans="1:18" x14ac:dyDescent="0.3">
      <c r="A184" t="s">
        <v>1384</v>
      </c>
      <c r="B184" t="s">
        <v>504</v>
      </c>
      <c r="C184" t="s">
        <v>560</v>
      </c>
      <c r="D184" s="1">
        <v>45264</v>
      </c>
      <c r="E184" s="1">
        <v>45354</v>
      </c>
      <c r="F184" t="s">
        <v>31</v>
      </c>
      <c r="G184">
        <v>142959.48000000001</v>
      </c>
      <c r="H184" s="1">
        <v>45376</v>
      </c>
      <c r="I184" t="s">
        <v>567</v>
      </c>
      <c r="J184" t="s">
        <v>556</v>
      </c>
      <c r="L184">
        <v>81596.23</v>
      </c>
      <c r="M184">
        <f>IF(F184="INR",1,INDEX('rates'!$B$2:$C$522,MATCH(D184,'rates'!$A$2:$A$522,1),MATCH(F184&amp;"/INR",'rates'!$B$1:$C$1,0)))</f>
        <v>90.272199999999998</v>
      </c>
      <c r="N184">
        <f t="shared" si="10"/>
        <v>12905266.770456001</v>
      </c>
      <c r="O184">
        <f t="shared" si="11"/>
        <v>5539395.5766500011</v>
      </c>
      <c r="P184">
        <f t="shared" si="12"/>
        <v>393</v>
      </c>
      <c r="Q184">
        <f t="shared" si="13"/>
        <v>22</v>
      </c>
      <c r="R184" t="str">
        <f t="shared" si="14"/>
        <v>90+</v>
      </c>
    </row>
    <row r="185" spans="1:18" x14ac:dyDescent="0.3">
      <c r="A185" t="s">
        <v>3146</v>
      </c>
      <c r="B185" t="s">
        <v>117</v>
      </c>
      <c r="C185" t="s">
        <v>554</v>
      </c>
      <c r="D185" s="1">
        <v>45723</v>
      </c>
      <c r="E185" s="1">
        <v>45783</v>
      </c>
      <c r="F185" t="s">
        <v>13</v>
      </c>
      <c r="G185">
        <v>5515229</v>
      </c>
      <c r="H185" s="1"/>
      <c r="I185" t="s">
        <v>2206</v>
      </c>
      <c r="J185" t="s">
        <v>556</v>
      </c>
      <c r="L185">
        <v>0</v>
      </c>
      <c r="M185">
        <f>IF(F185="INR",1,INDEX('rates'!$B$2:$C$522,MATCH(D185,'rates'!$A$2:$A$522,1),MATCH(F185&amp;"/INR",'rates'!$B$1:$C$1,0)))</f>
        <v>1</v>
      </c>
      <c r="N185">
        <f t="shared" si="10"/>
        <v>5515229</v>
      </c>
      <c r="O185">
        <f t="shared" si="11"/>
        <v>5515229</v>
      </c>
      <c r="P185">
        <f t="shared" si="12"/>
        <v>0</v>
      </c>
      <c r="Q185" t="str">
        <f t="shared" si="13"/>
        <v/>
      </c>
      <c r="R185" t="str">
        <f t="shared" si="14"/>
        <v>Not yet due</v>
      </c>
    </row>
    <row r="186" spans="1:18" x14ac:dyDescent="0.3">
      <c r="A186" t="s">
        <v>893</v>
      </c>
      <c r="B186" t="s">
        <v>154</v>
      </c>
      <c r="C186" t="s">
        <v>566</v>
      </c>
      <c r="D186" s="1">
        <v>45125</v>
      </c>
      <c r="E186" s="1">
        <v>45155</v>
      </c>
      <c r="F186" t="s">
        <v>13</v>
      </c>
      <c r="G186">
        <v>18327862</v>
      </c>
      <c r="H186" s="1">
        <v>45160</v>
      </c>
      <c r="I186" t="s">
        <v>567</v>
      </c>
      <c r="J186" t="s">
        <v>556</v>
      </c>
      <c r="L186">
        <v>12911598.66</v>
      </c>
      <c r="M186">
        <f>IF(F186="INR",1,INDEX('rates'!$B$2:$C$522,MATCH(D186,'rates'!$A$2:$A$522,1),MATCH(F186&amp;"/INR",'rates'!$B$1:$C$1,0)))</f>
        <v>1</v>
      </c>
      <c r="N186">
        <f t="shared" si="10"/>
        <v>18327862</v>
      </c>
      <c r="O186">
        <f t="shared" si="11"/>
        <v>5416263.3399999999</v>
      </c>
      <c r="P186">
        <f t="shared" si="12"/>
        <v>592</v>
      </c>
      <c r="Q186">
        <f t="shared" si="13"/>
        <v>5</v>
      </c>
      <c r="R186" t="str">
        <f t="shared" si="14"/>
        <v>90+</v>
      </c>
    </row>
    <row r="187" spans="1:18" x14ac:dyDescent="0.3">
      <c r="A187" t="s">
        <v>2919</v>
      </c>
      <c r="B187" t="s">
        <v>72</v>
      </c>
      <c r="C187" t="s">
        <v>554</v>
      </c>
      <c r="D187" s="1">
        <v>45666</v>
      </c>
      <c r="E187" s="1">
        <v>45756</v>
      </c>
      <c r="F187" t="s">
        <v>31</v>
      </c>
      <c r="G187">
        <v>61029.38</v>
      </c>
      <c r="H187" s="1"/>
      <c r="I187" t="s">
        <v>2206</v>
      </c>
      <c r="J187" t="s">
        <v>573</v>
      </c>
      <c r="K187">
        <v>88.694199999999995</v>
      </c>
      <c r="L187">
        <v>0</v>
      </c>
      <c r="M187">
        <f>IF(F187="INR",1,INDEX('rates'!$B$2:$C$522,MATCH(D187,'rates'!$A$2:$A$522,1),MATCH(F187&amp;"/INR",'rates'!$B$1:$C$1,0)))</f>
        <v>88.428899999999999</v>
      </c>
      <c r="N187">
        <f t="shared" si="10"/>
        <v>5396760.9410819998</v>
      </c>
      <c r="O187">
        <f t="shared" si="11"/>
        <v>5396760.9410819998</v>
      </c>
      <c r="P187">
        <f t="shared" si="12"/>
        <v>0</v>
      </c>
      <c r="Q187" t="str">
        <f t="shared" si="13"/>
        <v/>
      </c>
      <c r="R187" t="str">
        <f t="shared" si="14"/>
        <v>Not yet due</v>
      </c>
    </row>
    <row r="188" spans="1:18" x14ac:dyDescent="0.3">
      <c r="A188" t="s">
        <v>3113</v>
      </c>
      <c r="B188" t="s">
        <v>316</v>
      </c>
      <c r="C188" t="s">
        <v>575</v>
      </c>
      <c r="D188" s="1">
        <v>45715</v>
      </c>
      <c r="E188" s="1">
        <v>45745</v>
      </c>
      <c r="F188" t="s">
        <v>13</v>
      </c>
      <c r="G188">
        <v>5380822</v>
      </c>
      <c r="H188" s="1"/>
      <c r="I188" t="s">
        <v>2206</v>
      </c>
      <c r="J188" t="s">
        <v>556</v>
      </c>
      <c r="L188">
        <v>0</v>
      </c>
      <c r="M188">
        <f>IF(F188="INR",1,INDEX('rates'!$B$2:$C$522,MATCH(D188,'rates'!$A$2:$A$522,1),MATCH(F188&amp;"/INR",'rates'!$B$1:$C$1,0)))</f>
        <v>1</v>
      </c>
      <c r="N188">
        <f t="shared" si="10"/>
        <v>5380822</v>
      </c>
      <c r="O188">
        <f t="shared" si="11"/>
        <v>5380822</v>
      </c>
      <c r="P188">
        <f t="shared" si="12"/>
        <v>2</v>
      </c>
      <c r="Q188" t="str">
        <f t="shared" si="13"/>
        <v/>
      </c>
      <c r="R188" t="str">
        <f t="shared" si="14"/>
        <v>1-30</v>
      </c>
    </row>
    <row r="189" spans="1:18" x14ac:dyDescent="0.3">
      <c r="A189" t="s">
        <v>2384</v>
      </c>
      <c r="B189" t="s">
        <v>512</v>
      </c>
      <c r="C189" t="s">
        <v>558</v>
      </c>
      <c r="D189" s="1">
        <v>45533</v>
      </c>
      <c r="E189" s="1">
        <v>45593</v>
      </c>
      <c r="F189" t="s">
        <v>31</v>
      </c>
      <c r="G189">
        <v>57116.97</v>
      </c>
      <c r="H189" s="1"/>
      <c r="I189" t="s">
        <v>2206</v>
      </c>
      <c r="J189" t="s">
        <v>556</v>
      </c>
      <c r="L189">
        <v>0</v>
      </c>
      <c r="M189">
        <f>IF(F189="INR",1,INDEX('rates'!$B$2:$C$522,MATCH(D189,'rates'!$A$2:$A$522,1),MATCH(F189&amp;"/INR",'rates'!$B$1:$C$1,0)))</f>
        <v>92.944999999999993</v>
      </c>
      <c r="N189">
        <f t="shared" si="10"/>
        <v>5308736.7766499994</v>
      </c>
      <c r="O189">
        <f t="shared" si="11"/>
        <v>5308736.7766499994</v>
      </c>
      <c r="P189">
        <f t="shared" si="12"/>
        <v>154</v>
      </c>
      <c r="Q189" t="str">
        <f t="shared" si="13"/>
        <v/>
      </c>
      <c r="R189" t="str">
        <f t="shared" si="14"/>
        <v>90+</v>
      </c>
    </row>
    <row r="190" spans="1:18" x14ac:dyDescent="0.3">
      <c r="A190" t="s">
        <v>2692</v>
      </c>
      <c r="B190" t="s">
        <v>522</v>
      </c>
      <c r="C190" t="s">
        <v>566</v>
      </c>
      <c r="D190" s="1">
        <v>45608</v>
      </c>
      <c r="E190" s="1">
        <v>45668</v>
      </c>
      <c r="F190" t="s">
        <v>31</v>
      </c>
      <c r="G190">
        <v>136463.16</v>
      </c>
      <c r="H190" s="1">
        <v>45711</v>
      </c>
      <c r="I190" t="s">
        <v>567</v>
      </c>
      <c r="J190" t="s">
        <v>573</v>
      </c>
      <c r="K190">
        <v>89.604799999999997</v>
      </c>
      <c r="L190">
        <v>77301.7</v>
      </c>
      <c r="M190">
        <f>IF(F190="INR",1,INDEX('rates'!$B$2:$C$522,MATCH(D190,'rates'!$A$2:$A$522,1),MATCH(F190&amp;"/INR",'rates'!$B$1:$C$1,0)))</f>
        <v>89.425899999999999</v>
      </c>
      <c r="N190">
        <f t="shared" si="10"/>
        <v>12203340.899844</v>
      </c>
      <c r="O190">
        <f t="shared" si="11"/>
        <v>5290566.8058140008</v>
      </c>
      <c r="P190">
        <f t="shared" si="12"/>
        <v>79</v>
      </c>
      <c r="Q190">
        <f t="shared" si="13"/>
        <v>43</v>
      </c>
      <c r="R190" t="str">
        <f t="shared" si="14"/>
        <v>61-90</v>
      </c>
    </row>
    <row r="191" spans="1:18" x14ac:dyDescent="0.3">
      <c r="A191" t="s">
        <v>2927</v>
      </c>
      <c r="B191" t="s">
        <v>78</v>
      </c>
      <c r="C191" t="s">
        <v>558</v>
      </c>
      <c r="D191" s="1">
        <v>45667</v>
      </c>
      <c r="E191" s="1">
        <v>45757</v>
      </c>
      <c r="F191" t="s">
        <v>36</v>
      </c>
      <c r="G191">
        <v>61529.17</v>
      </c>
      <c r="H191" s="1"/>
      <c r="I191" t="s">
        <v>2206</v>
      </c>
      <c r="J191" t="s">
        <v>556</v>
      </c>
      <c r="L191">
        <v>0</v>
      </c>
      <c r="M191">
        <f>IF(F191="INR",1,INDEX('rates'!$B$2:$C$522,MATCH(D191,'rates'!$A$2:$A$522,1),MATCH(F191&amp;"/INR",'rates'!$B$1:$C$1,0)))</f>
        <v>85.96</v>
      </c>
      <c r="N191">
        <f t="shared" si="10"/>
        <v>5289047.4531999994</v>
      </c>
      <c r="O191">
        <f t="shared" si="11"/>
        <v>5289047.4531999994</v>
      </c>
      <c r="P191">
        <f t="shared" si="12"/>
        <v>0</v>
      </c>
      <c r="Q191" t="str">
        <f t="shared" si="13"/>
        <v/>
      </c>
      <c r="R191" t="str">
        <f t="shared" si="14"/>
        <v>Not yet due</v>
      </c>
    </row>
    <row r="192" spans="1:18" x14ac:dyDescent="0.3">
      <c r="A192" t="s">
        <v>3205</v>
      </c>
      <c r="B192" t="s">
        <v>476</v>
      </c>
      <c r="C192" t="s">
        <v>566</v>
      </c>
      <c r="D192" s="1">
        <v>45736</v>
      </c>
      <c r="E192" s="1">
        <v>45781</v>
      </c>
      <c r="F192" t="s">
        <v>13</v>
      </c>
      <c r="G192">
        <v>5220060</v>
      </c>
      <c r="H192" s="1"/>
      <c r="I192" t="s">
        <v>2206</v>
      </c>
      <c r="J192" t="s">
        <v>556</v>
      </c>
      <c r="L192">
        <v>0</v>
      </c>
      <c r="M192">
        <f>IF(F192="INR",1,INDEX('rates'!$B$2:$C$522,MATCH(D192,'rates'!$A$2:$A$522,1),MATCH(F192&amp;"/INR",'rates'!$B$1:$C$1,0)))</f>
        <v>1</v>
      </c>
      <c r="N192">
        <f t="shared" si="10"/>
        <v>5220060</v>
      </c>
      <c r="O192">
        <f t="shared" si="11"/>
        <v>5220060</v>
      </c>
      <c r="P192">
        <f t="shared" si="12"/>
        <v>0</v>
      </c>
      <c r="Q192" t="str">
        <f t="shared" si="13"/>
        <v/>
      </c>
      <c r="R192" t="str">
        <f t="shared" si="14"/>
        <v>Not yet due</v>
      </c>
    </row>
    <row r="193" spans="1:18" x14ac:dyDescent="0.3">
      <c r="A193" t="s">
        <v>2988</v>
      </c>
      <c r="B193" t="s">
        <v>406</v>
      </c>
      <c r="C193" t="s">
        <v>554</v>
      </c>
      <c r="D193" s="1">
        <v>45682</v>
      </c>
      <c r="E193" s="1">
        <v>45772</v>
      </c>
      <c r="F193" t="s">
        <v>13</v>
      </c>
      <c r="G193">
        <v>5208838</v>
      </c>
      <c r="H193" s="1"/>
      <c r="I193" t="s">
        <v>2206</v>
      </c>
      <c r="J193" t="s">
        <v>556</v>
      </c>
      <c r="L193">
        <v>0</v>
      </c>
      <c r="M193">
        <f>IF(F193="INR",1,INDEX('rates'!$B$2:$C$522,MATCH(D193,'rates'!$A$2:$A$522,1),MATCH(F193&amp;"/INR",'rates'!$B$1:$C$1,0)))</f>
        <v>1</v>
      </c>
      <c r="N193">
        <f t="shared" si="10"/>
        <v>5208838</v>
      </c>
      <c r="O193">
        <f t="shared" si="11"/>
        <v>5208838</v>
      </c>
      <c r="P193">
        <f t="shared" si="12"/>
        <v>0</v>
      </c>
      <c r="Q193" t="str">
        <f t="shared" si="13"/>
        <v/>
      </c>
      <c r="R193" t="str">
        <f t="shared" si="14"/>
        <v>Not yet due</v>
      </c>
    </row>
    <row r="194" spans="1:18" x14ac:dyDescent="0.3">
      <c r="A194" t="s">
        <v>3011</v>
      </c>
      <c r="B194" t="s">
        <v>260</v>
      </c>
      <c r="C194" t="s">
        <v>558</v>
      </c>
      <c r="D194" s="1">
        <v>45689</v>
      </c>
      <c r="E194" s="1">
        <v>45749</v>
      </c>
      <c r="F194" t="s">
        <v>36</v>
      </c>
      <c r="G194">
        <v>60072.39</v>
      </c>
      <c r="H194" s="1"/>
      <c r="I194" t="s">
        <v>2206</v>
      </c>
      <c r="J194" t="s">
        <v>556</v>
      </c>
      <c r="L194">
        <v>0</v>
      </c>
      <c r="M194">
        <f>IF(F194="INR",1,INDEX('rates'!$B$2:$C$522,MATCH(D194,'rates'!$A$2:$A$522,1),MATCH(F194&amp;"/INR",'rates'!$B$1:$C$1,0)))</f>
        <v>86.54</v>
      </c>
      <c r="N194">
        <f t="shared" ref="N194:N257" si="15">G194*M194</f>
        <v>5198664.6306000007</v>
      </c>
      <c r="O194">
        <f t="shared" ref="O194:O257" si="16">IF(OR(I194="OPEN",I194="PARTIALLY PAID"),(G194-L194)*M194,0)</f>
        <v>5198664.6306000007</v>
      </c>
      <c r="P194">
        <f t="shared" ref="P194:P257" si="17">IF(O194&gt;0,MAX(0,DATE(2025,3,31)-E194),0)</f>
        <v>0</v>
      </c>
      <c r="Q194" t="str">
        <f t="shared" ref="Q194:Q257" si="18">IF(H194="","",H194-E194)</f>
        <v/>
      </c>
      <c r="R194" t="str">
        <f t="shared" ref="R194:R257" si="19">IF(O194=0,"Not open",IF(P194=0,"Not yet due",IF(P194&lt;=30,"1-30",IF(P194&lt;=60,"31-60",IF(P194&lt;=90,"61-90","90+")))))</f>
        <v>Not yet due</v>
      </c>
    </row>
    <row r="195" spans="1:18" x14ac:dyDescent="0.3">
      <c r="A195" t="s">
        <v>3067</v>
      </c>
      <c r="B195" t="s">
        <v>160</v>
      </c>
      <c r="C195" t="s">
        <v>554</v>
      </c>
      <c r="D195" s="1">
        <v>45702</v>
      </c>
      <c r="E195" s="1">
        <v>45747</v>
      </c>
      <c r="F195" t="s">
        <v>13</v>
      </c>
      <c r="G195">
        <v>5180630</v>
      </c>
      <c r="H195" s="1"/>
      <c r="I195" t="s">
        <v>2206</v>
      </c>
      <c r="J195" t="s">
        <v>556</v>
      </c>
      <c r="L195">
        <v>0</v>
      </c>
      <c r="M195">
        <f>IF(F195="INR",1,INDEX('rates'!$B$2:$C$522,MATCH(D195,'rates'!$A$2:$A$522,1),MATCH(F195&amp;"/INR",'rates'!$B$1:$C$1,0)))</f>
        <v>1</v>
      </c>
      <c r="N195">
        <f t="shared" si="15"/>
        <v>5180630</v>
      </c>
      <c r="O195">
        <f t="shared" si="16"/>
        <v>5180630</v>
      </c>
      <c r="P195">
        <f t="shared" si="17"/>
        <v>0</v>
      </c>
      <c r="Q195" t="str">
        <f t="shared" si="18"/>
        <v/>
      </c>
      <c r="R195" t="str">
        <f t="shared" si="19"/>
        <v>Not yet due</v>
      </c>
    </row>
    <row r="196" spans="1:18" x14ac:dyDescent="0.3">
      <c r="A196" t="s">
        <v>3149</v>
      </c>
      <c r="B196" t="s">
        <v>454</v>
      </c>
      <c r="C196" t="s">
        <v>575</v>
      </c>
      <c r="D196" s="1">
        <v>45723</v>
      </c>
      <c r="E196" s="1">
        <v>45783</v>
      </c>
      <c r="F196" t="s">
        <v>13</v>
      </c>
      <c r="G196">
        <v>5142988</v>
      </c>
      <c r="H196" s="1"/>
      <c r="I196" t="s">
        <v>2206</v>
      </c>
      <c r="J196" t="s">
        <v>556</v>
      </c>
      <c r="L196">
        <v>0</v>
      </c>
      <c r="M196">
        <f>IF(F196="INR",1,INDEX('rates'!$B$2:$C$522,MATCH(D196,'rates'!$A$2:$A$522,1),MATCH(F196&amp;"/INR",'rates'!$B$1:$C$1,0)))</f>
        <v>1</v>
      </c>
      <c r="N196">
        <f t="shared" si="15"/>
        <v>5142988</v>
      </c>
      <c r="O196">
        <f t="shared" si="16"/>
        <v>5142988</v>
      </c>
      <c r="P196">
        <f t="shared" si="17"/>
        <v>0</v>
      </c>
      <c r="Q196" t="str">
        <f t="shared" si="18"/>
        <v/>
      </c>
      <c r="R196" t="str">
        <f t="shared" si="19"/>
        <v>Not yet due</v>
      </c>
    </row>
    <row r="197" spans="1:18" x14ac:dyDescent="0.3">
      <c r="A197" t="s">
        <v>3142</v>
      </c>
      <c r="B197" t="s">
        <v>154</v>
      </c>
      <c r="C197" t="s">
        <v>566</v>
      </c>
      <c r="D197" s="1">
        <v>45722</v>
      </c>
      <c r="E197" s="1">
        <v>45752</v>
      </c>
      <c r="F197" t="s">
        <v>13</v>
      </c>
      <c r="G197">
        <v>5130998</v>
      </c>
      <c r="H197" s="1"/>
      <c r="I197" t="s">
        <v>2206</v>
      </c>
      <c r="J197" t="s">
        <v>556</v>
      </c>
      <c r="L197">
        <v>0</v>
      </c>
      <c r="M197">
        <f>IF(F197="INR",1,INDEX('rates'!$B$2:$C$522,MATCH(D197,'rates'!$A$2:$A$522,1),MATCH(F197&amp;"/INR",'rates'!$B$1:$C$1,0)))</f>
        <v>1</v>
      </c>
      <c r="N197">
        <f t="shared" si="15"/>
        <v>5130998</v>
      </c>
      <c r="O197">
        <f t="shared" si="16"/>
        <v>5130998</v>
      </c>
      <c r="P197">
        <f t="shared" si="17"/>
        <v>0</v>
      </c>
      <c r="Q197" t="str">
        <f t="shared" si="18"/>
        <v/>
      </c>
      <c r="R197" t="str">
        <f t="shared" si="19"/>
        <v>Not yet due</v>
      </c>
    </row>
    <row r="198" spans="1:18" x14ac:dyDescent="0.3">
      <c r="A198" t="s">
        <v>3029</v>
      </c>
      <c r="B198" t="s">
        <v>454</v>
      </c>
      <c r="C198" t="s">
        <v>575</v>
      </c>
      <c r="D198" s="1">
        <v>45693</v>
      </c>
      <c r="E198" s="1">
        <v>45753</v>
      </c>
      <c r="F198" t="s">
        <v>13</v>
      </c>
      <c r="G198">
        <v>5101513</v>
      </c>
      <c r="H198" s="1"/>
      <c r="I198" t="s">
        <v>2206</v>
      </c>
      <c r="J198" t="s">
        <v>556</v>
      </c>
      <c r="L198">
        <v>0</v>
      </c>
      <c r="M198">
        <f>IF(F198="INR",1,INDEX('rates'!$B$2:$C$522,MATCH(D198,'rates'!$A$2:$A$522,1),MATCH(F198&amp;"/INR",'rates'!$B$1:$C$1,0)))</f>
        <v>1</v>
      </c>
      <c r="N198">
        <f t="shared" si="15"/>
        <v>5101513</v>
      </c>
      <c r="O198">
        <f t="shared" si="16"/>
        <v>5101513</v>
      </c>
      <c r="P198">
        <f t="shared" si="17"/>
        <v>0</v>
      </c>
      <c r="Q198" t="str">
        <f t="shared" si="18"/>
        <v/>
      </c>
      <c r="R198" t="str">
        <f t="shared" si="19"/>
        <v>Not yet due</v>
      </c>
    </row>
    <row r="199" spans="1:18" x14ac:dyDescent="0.3">
      <c r="A199" t="s">
        <v>3180</v>
      </c>
      <c r="B199" t="s">
        <v>100</v>
      </c>
      <c r="C199" t="s">
        <v>566</v>
      </c>
      <c r="D199" s="1">
        <v>45731</v>
      </c>
      <c r="E199" s="1">
        <v>45821</v>
      </c>
      <c r="F199" t="s">
        <v>13</v>
      </c>
      <c r="G199">
        <v>5098082</v>
      </c>
      <c r="H199" s="1"/>
      <c r="I199" t="s">
        <v>2206</v>
      </c>
      <c r="J199" t="s">
        <v>556</v>
      </c>
      <c r="L199">
        <v>0</v>
      </c>
      <c r="M199">
        <f>IF(F199="INR",1,INDEX('rates'!$B$2:$C$522,MATCH(D199,'rates'!$A$2:$A$522,1),MATCH(F199&amp;"/INR",'rates'!$B$1:$C$1,0)))</f>
        <v>1</v>
      </c>
      <c r="N199">
        <f t="shared" si="15"/>
        <v>5098082</v>
      </c>
      <c r="O199">
        <f t="shared" si="16"/>
        <v>5098082</v>
      </c>
      <c r="P199">
        <f t="shared" si="17"/>
        <v>0</v>
      </c>
      <c r="Q199" t="str">
        <f t="shared" si="18"/>
        <v/>
      </c>
      <c r="R199" t="str">
        <f t="shared" si="19"/>
        <v>Not yet due</v>
      </c>
    </row>
    <row r="200" spans="1:18" x14ac:dyDescent="0.3">
      <c r="A200" t="s">
        <v>3131</v>
      </c>
      <c r="B200" t="s">
        <v>394</v>
      </c>
      <c r="C200" t="s">
        <v>575</v>
      </c>
      <c r="D200" s="1">
        <v>45719</v>
      </c>
      <c r="E200" s="1">
        <v>45779</v>
      </c>
      <c r="F200" t="s">
        <v>31</v>
      </c>
      <c r="G200">
        <v>55308.34</v>
      </c>
      <c r="H200" s="1"/>
      <c r="I200" t="s">
        <v>2206</v>
      </c>
      <c r="J200" t="s">
        <v>573</v>
      </c>
      <c r="K200">
        <v>91.866</v>
      </c>
      <c r="L200">
        <v>0</v>
      </c>
      <c r="M200">
        <f>IF(F200="INR",1,INDEX('rates'!$B$2:$C$522,MATCH(D200,'rates'!$A$2:$A$522,1),MATCH(F200&amp;"/INR",'rates'!$B$1:$C$1,0)))</f>
        <v>91.682599999999994</v>
      </c>
      <c r="N200">
        <f t="shared" si="15"/>
        <v>5070812.4128839998</v>
      </c>
      <c r="O200">
        <f t="shared" si="16"/>
        <v>5070812.4128839998</v>
      </c>
      <c r="P200">
        <f t="shared" si="17"/>
        <v>0</v>
      </c>
      <c r="Q200" t="str">
        <f t="shared" si="18"/>
        <v/>
      </c>
      <c r="R200" t="str">
        <f t="shared" si="19"/>
        <v>Not yet due</v>
      </c>
    </row>
    <row r="201" spans="1:18" x14ac:dyDescent="0.3">
      <c r="A201" t="s">
        <v>2558</v>
      </c>
      <c r="B201" t="s">
        <v>186</v>
      </c>
      <c r="C201" t="s">
        <v>558</v>
      </c>
      <c r="D201" s="1">
        <v>45576</v>
      </c>
      <c r="E201" s="1">
        <v>45606</v>
      </c>
      <c r="F201" t="s">
        <v>36</v>
      </c>
      <c r="G201">
        <v>123239.32</v>
      </c>
      <c r="H201" s="1">
        <v>45624</v>
      </c>
      <c r="I201" t="s">
        <v>567</v>
      </c>
      <c r="J201" t="s">
        <v>556</v>
      </c>
      <c r="L201">
        <v>63181.54</v>
      </c>
      <c r="M201">
        <f>IF(F201="INR",1,INDEX('rates'!$B$2:$C$522,MATCH(D201,'rates'!$A$2:$A$522,1),MATCH(F201&amp;"/INR",'rates'!$B$1:$C$1,0)))</f>
        <v>84.08</v>
      </c>
      <c r="N201">
        <f t="shared" si="15"/>
        <v>10361962.025600001</v>
      </c>
      <c r="O201">
        <f t="shared" si="16"/>
        <v>5049658.1424000002</v>
      </c>
      <c r="P201">
        <f t="shared" si="17"/>
        <v>141</v>
      </c>
      <c r="Q201">
        <f t="shared" si="18"/>
        <v>18</v>
      </c>
      <c r="R201" t="str">
        <f t="shared" si="19"/>
        <v>90+</v>
      </c>
    </row>
    <row r="202" spans="1:18" x14ac:dyDescent="0.3">
      <c r="A202" t="s">
        <v>3040</v>
      </c>
      <c r="B202" t="s">
        <v>516</v>
      </c>
      <c r="C202" t="s">
        <v>560</v>
      </c>
      <c r="D202" s="1">
        <v>45695</v>
      </c>
      <c r="E202" s="1">
        <v>45755</v>
      </c>
      <c r="F202" t="s">
        <v>13</v>
      </c>
      <c r="G202">
        <v>5041397</v>
      </c>
      <c r="H202" s="1"/>
      <c r="I202" t="s">
        <v>2206</v>
      </c>
      <c r="J202" t="s">
        <v>556</v>
      </c>
      <c r="L202">
        <v>0</v>
      </c>
      <c r="M202">
        <f>IF(F202="INR",1,INDEX('rates'!$B$2:$C$522,MATCH(D202,'rates'!$A$2:$A$522,1),MATCH(F202&amp;"/INR",'rates'!$B$1:$C$1,0)))</f>
        <v>1</v>
      </c>
      <c r="N202">
        <f t="shared" si="15"/>
        <v>5041397</v>
      </c>
      <c r="O202">
        <f t="shared" si="16"/>
        <v>5041397</v>
      </c>
      <c r="P202">
        <f t="shared" si="17"/>
        <v>0</v>
      </c>
      <c r="Q202" t="str">
        <f t="shared" si="18"/>
        <v/>
      </c>
      <c r="R202" t="str">
        <f t="shared" si="19"/>
        <v>Not yet due</v>
      </c>
    </row>
    <row r="203" spans="1:18" x14ac:dyDescent="0.3">
      <c r="A203" t="s">
        <v>3208</v>
      </c>
      <c r="B203" t="s">
        <v>382</v>
      </c>
      <c r="C203" t="s">
        <v>566</v>
      </c>
      <c r="D203" s="1">
        <v>45737</v>
      </c>
      <c r="E203" s="1">
        <v>45827</v>
      </c>
      <c r="F203" t="s">
        <v>36</v>
      </c>
      <c r="G203">
        <v>58591.15</v>
      </c>
      <c r="H203" s="1"/>
      <c r="I203" t="s">
        <v>2206</v>
      </c>
      <c r="J203" t="s">
        <v>573</v>
      </c>
      <c r="K203">
        <v>86.44</v>
      </c>
      <c r="L203">
        <v>0</v>
      </c>
      <c r="M203">
        <f>IF(F203="INR",1,INDEX('rates'!$B$2:$C$522,MATCH(D203,'rates'!$A$2:$A$522,1),MATCH(F203&amp;"/INR",'rates'!$B$1:$C$1,0)))</f>
        <v>86.01</v>
      </c>
      <c r="N203">
        <f t="shared" si="15"/>
        <v>5039424.8115000008</v>
      </c>
      <c r="O203">
        <f t="shared" si="16"/>
        <v>5039424.8115000008</v>
      </c>
      <c r="P203">
        <f t="shared" si="17"/>
        <v>0</v>
      </c>
      <c r="Q203" t="str">
        <f t="shared" si="18"/>
        <v/>
      </c>
      <c r="R203" t="str">
        <f t="shared" si="19"/>
        <v>Not yet due</v>
      </c>
    </row>
    <row r="204" spans="1:18" x14ac:dyDescent="0.3">
      <c r="A204" t="s">
        <v>3229</v>
      </c>
      <c r="B204" t="s">
        <v>404</v>
      </c>
      <c r="C204" t="s">
        <v>554</v>
      </c>
      <c r="D204" s="1">
        <v>45741</v>
      </c>
      <c r="E204" s="1">
        <v>45801</v>
      </c>
      <c r="F204" t="s">
        <v>13</v>
      </c>
      <c r="G204">
        <v>5013496</v>
      </c>
      <c r="H204" s="1"/>
      <c r="I204" t="s">
        <v>2206</v>
      </c>
      <c r="J204" t="s">
        <v>556</v>
      </c>
      <c r="L204">
        <v>0</v>
      </c>
      <c r="M204">
        <f>IF(F204="INR",1,INDEX('rates'!$B$2:$C$522,MATCH(D204,'rates'!$A$2:$A$522,1),MATCH(F204&amp;"/INR",'rates'!$B$1:$C$1,0)))</f>
        <v>1</v>
      </c>
      <c r="N204">
        <f t="shared" si="15"/>
        <v>5013496</v>
      </c>
      <c r="O204">
        <f t="shared" si="16"/>
        <v>5013496</v>
      </c>
      <c r="P204">
        <f t="shared" si="17"/>
        <v>0</v>
      </c>
      <c r="Q204" t="str">
        <f t="shared" si="18"/>
        <v/>
      </c>
      <c r="R204" t="str">
        <f t="shared" si="19"/>
        <v>Not yet due</v>
      </c>
    </row>
    <row r="205" spans="1:18" x14ac:dyDescent="0.3">
      <c r="A205" t="s">
        <v>2294</v>
      </c>
      <c r="B205" t="s">
        <v>400</v>
      </c>
      <c r="C205" t="s">
        <v>558</v>
      </c>
      <c r="D205" s="1">
        <v>45507</v>
      </c>
      <c r="E205" s="1">
        <v>45552</v>
      </c>
      <c r="F205" t="s">
        <v>36</v>
      </c>
      <c r="G205">
        <v>59820.76</v>
      </c>
      <c r="H205" s="1"/>
      <c r="I205" t="s">
        <v>2206</v>
      </c>
      <c r="J205" t="s">
        <v>573</v>
      </c>
      <c r="K205">
        <v>83.999499999999998</v>
      </c>
      <c r="L205">
        <v>0</v>
      </c>
      <c r="M205">
        <f>IF(F205="INR",1,INDEX('rates'!$B$2:$C$522,MATCH(D205,'rates'!$A$2:$A$522,1),MATCH(F205&amp;"/INR",'rates'!$B$1:$C$1,0)))</f>
        <v>83.79</v>
      </c>
      <c r="N205">
        <f t="shared" si="15"/>
        <v>5012381.4804000007</v>
      </c>
      <c r="O205">
        <f t="shared" si="16"/>
        <v>5012381.4804000007</v>
      </c>
      <c r="P205">
        <f t="shared" si="17"/>
        <v>195</v>
      </c>
      <c r="Q205" t="str">
        <f t="shared" si="18"/>
        <v/>
      </c>
      <c r="R205" t="str">
        <f t="shared" si="19"/>
        <v>90+</v>
      </c>
    </row>
    <row r="206" spans="1:18" x14ac:dyDescent="0.3">
      <c r="A206" t="s">
        <v>2986</v>
      </c>
      <c r="B206" t="s">
        <v>174</v>
      </c>
      <c r="C206" t="s">
        <v>560</v>
      </c>
      <c r="D206" s="1">
        <v>45682</v>
      </c>
      <c r="E206" s="1">
        <v>45727</v>
      </c>
      <c r="F206" t="s">
        <v>31</v>
      </c>
      <c r="G206">
        <v>55254.45</v>
      </c>
      <c r="H206" s="1"/>
      <c r="I206" t="s">
        <v>2206</v>
      </c>
      <c r="J206" t="s">
        <v>556</v>
      </c>
      <c r="L206">
        <v>0</v>
      </c>
      <c r="M206">
        <f>IF(F206="INR",1,INDEX('rates'!$B$2:$C$522,MATCH(D206,'rates'!$A$2:$A$522,1),MATCH(F206&amp;"/INR",'rates'!$B$1:$C$1,0)))</f>
        <v>90.639300000000006</v>
      </c>
      <c r="N206">
        <f t="shared" si="15"/>
        <v>5008224.6698850002</v>
      </c>
      <c r="O206">
        <f t="shared" si="16"/>
        <v>5008224.6698850002</v>
      </c>
      <c r="P206">
        <f t="shared" si="17"/>
        <v>20</v>
      </c>
      <c r="Q206" t="str">
        <f t="shared" si="18"/>
        <v/>
      </c>
      <c r="R206" t="str">
        <f t="shared" si="19"/>
        <v>1-30</v>
      </c>
    </row>
    <row r="207" spans="1:18" x14ac:dyDescent="0.3">
      <c r="A207" t="s">
        <v>2009</v>
      </c>
      <c r="B207" t="s">
        <v>512</v>
      </c>
      <c r="C207" t="s">
        <v>566</v>
      </c>
      <c r="D207" s="1">
        <v>45428</v>
      </c>
      <c r="E207" s="1">
        <v>45488</v>
      </c>
      <c r="F207" t="s">
        <v>31</v>
      </c>
      <c r="G207">
        <v>135529.04999999999</v>
      </c>
      <c r="H207" s="1">
        <v>45525</v>
      </c>
      <c r="I207" t="s">
        <v>567</v>
      </c>
      <c r="J207" t="s">
        <v>573</v>
      </c>
      <c r="K207">
        <v>90.944199999999995</v>
      </c>
      <c r="L207">
        <v>80618.16</v>
      </c>
      <c r="M207">
        <f>IF(F207="INR",1,INDEX('rates'!$B$2:$C$522,MATCH(D207,'rates'!$A$2:$A$522,1),MATCH(F207&amp;"/INR",'rates'!$B$1:$C$1,0)))</f>
        <v>90.762699999999995</v>
      </c>
      <c r="N207">
        <f t="shared" si="15"/>
        <v>12300982.506434998</v>
      </c>
      <c r="O207">
        <f t="shared" si="16"/>
        <v>4983860.6358029982</v>
      </c>
      <c r="P207">
        <f t="shared" si="17"/>
        <v>259</v>
      </c>
      <c r="Q207">
        <f t="shared" si="18"/>
        <v>37</v>
      </c>
      <c r="R207" t="str">
        <f t="shared" si="19"/>
        <v>90+</v>
      </c>
    </row>
    <row r="208" spans="1:18" x14ac:dyDescent="0.3">
      <c r="A208" t="s">
        <v>3054</v>
      </c>
      <c r="B208" t="s">
        <v>446</v>
      </c>
      <c r="C208" t="s">
        <v>554</v>
      </c>
      <c r="D208" s="1">
        <v>45699</v>
      </c>
      <c r="E208" s="1">
        <v>45744</v>
      </c>
      <c r="F208" t="s">
        <v>13</v>
      </c>
      <c r="G208">
        <v>4982468</v>
      </c>
      <c r="H208" s="1"/>
      <c r="I208" t="s">
        <v>2206</v>
      </c>
      <c r="J208" t="s">
        <v>556</v>
      </c>
      <c r="L208">
        <v>0</v>
      </c>
      <c r="M208">
        <f>IF(F208="INR",1,INDEX('rates'!$B$2:$C$522,MATCH(D208,'rates'!$A$2:$A$522,1),MATCH(F208&amp;"/INR",'rates'!$B$1:$C$1,0)))</f>
        <v>1</v>
      </c>
      <c r="N208">
        <f t="shared" si="15"/>
        <v>4982468</v>
      </c>
      <c r="O208">
        <f t="shared" si="16"/>
        <v>4982468</v>
      </c>
      <c r="P208">
        <f t="shared" si="17"/>
        <v>3</v>
      </c>
      <c r="Q208" t="str">
        <f t="shared" si="18"/>
        <v/>
      </c>
      <c r="R208" t="str">
        <f t="shared" si="19"/>
        <v>1-30</v>
      </c>
    </row>
    <row r="209" spans="1:18" x14ac:dyDescent="0.3">
      <c r="A209" t="s">
        <v>3251</v>
      </c>
      <c r="B209" t="s">
        <v>362</v>
      </c>
      <c r="C209" t="s">
        <v>575</v>
      </c>
      <c r="D209" s="1">
        <v>45747</v>
      </c>
      <c r="E209" s="1">
        <v>45837</v>
      </c>
      <c r="F209" t="s">
        <v>36</v>
      </c>
      <c r="G209">
        <v>57828.63</v>
      </c>
      <c r="H209" s="1"/>
      <c r="I209" t="s">
        <v>2206</v>
      </c>
      <c r="J209" t="s">
        <v>573</v>
      </c>
      <c r="K209">
        <v>85.857200000000006</v>
      </c>
      <c r="L209">
        <v>0</v>
      </c>
      <c r="M209">
        <f>IF(F209="INR",1,INDEX('rates'!$B$2:$C$522,MATCH(D209,'rates'!$A$2:$A$522,1),MATCH(F209&amp;"/INR",'rates'!$B$1:$C$1,0)))</f>
        <v>85.43</v>
      </c>
      <c r="N209">
        <f t="shared" si="15"/>
        <v>4940299.8608999997</v>
      </c>
      <c r="O209">
        <f t="shared" si="16"/>
        <v>4940299.8608999997</v>
      </c>
      <c r="P209">
        <f t="shared" si="17"/>
        <v>0</v>
      </c>
      <c r="Q209" t="str">
        <f t="shared" si="18"/>
        <v/>
      </c>
      <c r="R209" t="str">
        <f t="shared" si="19"/>
        <v>Not yet due</v>
      </c>
    </row>
    <row r="210" spans="1:18" x14ac:dyDescent="0.3">
      <c r="A210" t="s">
        <v>1985</v>
      </c>
      <c r="B210" t="s">
        <v>96</v>
      </c>
      <c r="C210" t="s">
        <v>558</v>
      </c>
      <c r="D210" s="1">
        <v>45421</v>
      </c>
      <c r="E210" s="1">
        <v>45511</v>
      </c>
      <c r="F210" t="s">
        <v>13</v>
      </c>
      <c r="G210">
        <v>14592182</v>
      </c>
      <c r="H210" s="1">
        <v>45514</v>
      </c>
      <c r="I210" t="s">
        <v>567</v>
      </c>
      <c r="J210" t="s">
        <v>556</v>
      </c>
      <c r="L210">
        <v>9673171.0299999993</v>
      </c>
      <c r="M210">
        <f>IF(F210="INR",1,INDEX('rates'!$B$2:$C$522,MATCH(D210,'rates'!$A$2:$A$522,1),MATCH(F210&amp;"/INR",'rates'!$B$1:$C$1,0)))</f>
        <v>1</v>
      </c>
      <c r="N210">
        <f t="shared" si="15"/>
        <v>14592182</v>
      </c>
      <c r="O210">
        <f t="shared" si="16"/>
        <v>4919010.9700000007</v>
      </c>
      <c r="P210">
        <f t="shared" si="17"/>
        <v>236</v>
      </c>
      <c r="Q210">
        <f t="shared" si="18"/>
        <v>3</v>
      </c>
      <c r="R210" t="str">
        <f t="shared" si="19"/>
        <v>90+</v>
      </c>
    </row>
    <row r="211" spans="1:18" x14ac:dyDescent="0.3">
      <c r="A211" t="s">
        <v>2535</v>
      </c>
      <c r="B211" t="s">
        <v>400</v>
      </c>
      <c r="C211" t="s">
        <v>554</v>
      </c>
      <c r="D211" s="1">
        <v>45570</v>
      </c>
      <c r="E211" s="1">
        <v>45615</v>
      </c>
      <c r="F211" t="s">
        <v>36</v>
      </c>
      <c r="G211">
        <v>58066.86</v>
      </c>
      <c r="H211" s="1"/>
      <c r="I211" t="s">
        <v>2206</v>
      </c>
      <c r="J211" t="s">
        <v>573</v>
      </c>
      <c r="K211">
        <v>84.2</v>
      </c>
      <c r="L211">
        <v>0</v>
      </c>
      <c r="M211">
        <f>IF(F211="INR",1,INDEX('rates'!$B$2:$C$522,MATCH(D211,'rates'!$A$2:$A$522,1),MATCH(F211&amp;"/INR",'rates'!$B$1:$C$1,0)))</f>
        <v>83.99</v>
      </c>
      <c r="N211">
        <f t="shared" si="15"/>
        <v>4877035.5713999998</v>
      </c>
      <c r="O211">
        <f t="shared" si="16"/>
        <v>4877035.5713999998</v>
      </c>
      <c r="P211">
        <f t="shared" si="17"/>
        <v>132</v>
      </c>
      <c r="Q211" t="str">
        <f t="shared" si="18"/>
        <v/>
      </c>
      <c r="R211" t="str">
        <f t="shared" si="19"/>
        <v>90+</v>
      </c>
    </row>
    <row r="212" spans="1:18" x14ac:dyDescent="0.3">
      <c r="A212" t="s">
        <v>3249</v>
      </c>
      <c r="B212" t="s">
        <v>75</v>
      </c>
      <c r="C212" t="s">
        <v>560</v>
      </c>
      <c r="D212" s="1">
        <v>45747</v>
      </c>
      <c r="E212" s="1">
        <v>45837</v>
      </c>
      <c r="F212" t="s">
        <v>36</v>
      </c>
      <c r="G212">
        <v>56824.14</v>
      </c>
      <c r="H212" s="1"/>
      <c r="I212" t="s">
        <v>2206</v>
      </c>
      <c r="J212" t="s">
        <v>556</v>
      </c>
      <c r="L212">
        <v>0</v>
      </c>
      <c r="M212">
        <f>IF(F212="INR",1,INDEX('rates'!$B$2:$C$522,MATCH(D212,'rates'!$A$2:$A$522,1),MATCH(F212&amp;"/INR",'rates'!$B$1:$C$1,0)))</f>
        <v>85.43</v>
      </c>
      <c r="N212">
        <f t="shared" si="15"/>
        <v>4854486.2801999999</v>
      </c>
      <c r="O212">
        <f t="shared" si="16"/>
        <v>4854486.2801999999</v>
      </c>
      <c r="P212">
        <f t="shared" si="17"/>
        <v>0</v>
      </c>
      <c r="Q212" t="str">
        <f t="shared" si="18"/>
        <v/>
      </c>
      <c r="R212" t="str">
        <f t="shared" si="19"/>
        <v>Not yet due</v>
      </c>
    </row>
    <row r="213" spans="1:18" x14ac:dyDescent="0.3">
      <c r="A213" t="s">
        <v>3023</v>
      </c>
      <c r="B213" t="s">
        <v>462</v>
      </c>
      <c r="C213" t="s">
        <v>566</v>
      </c>
      <c r="D213" s="1">
        <v>45692</v>
      </c>
      <c r="E213" s="1">
        <v>45737</v>
      </c>
      <c r="F213" t="s">
        <v>13</v>
      </c>
      <c r="G213">
        <v>4824373</v>
      </c>
      <c r="H213" s="1"/>
      <c r="I213" t="s">
        <v>2206</v>
      </c>
      <c r="J213" t="s">
        <v>556</v>
      </c>
      <c r="L213">
        <v>0</v>
      </c>
      <c r="M213">
        <f>IF(F213="INR",1,INDEX('rates'!$B$2:$C$522,MATCH(D213,'rates'!$A$2:$A$522,1),MATCH(F213&amp;"/INR",'rates'!$B$1:$C$1,0)))</f>
        <v>1</v>
      </c>
      <c r="N213">
        <f t="shared" si="15"/>
        <v>4824373</v>
      </c>
      <c r="O213">
        <f t="shared" si="16"/>
        <v>4824373</v>
      </c>
      <c r="P213">
        <f t="shared" si="17"/>
        <v>10</v>
      </c>
      <c r="Q213" t="str">
        <f t="shared" si="18"/>
        <v/>
      </c>
      <c r="R213" t="str">
        <f t="shared" si="19"/>
        <v>1-30</v>
      </c>
    </row>
    <row r="214" spans="1:18" x14ac:dyDescent="0.3">
      <c r="A214" t="s">
        <v>3117</v>
      </c>
      <c r="B214" t="s">
        <v>238</v>
      </c>
      <c r="C214" t="s">
        <v>566</v>
      </c>
      <c r="D214" s="1">
        <v>45716</v>
      </c>
      <c r="E214" s="1">
        <v>45776</v>
      </c>
      <c r="F214" t="s">
        <v>31</v>
      </c>
      <c r="G214">
        <v>52978.12</v>
      </c>
      <c r="H214" s="1"/>
      <c r="I214" t="s">
        <v>2206</v>
      </c>
      <c r="J214" t="s">
        <v>573</v>
      </c>
      <c r="K214">
        <v>91.1995</v>
      </c>
      <c r="L214">
        <v>0</v>
      </c>
      <c r="M214">
        <f>IF(F214="INR",1,INDEX('rates'!$B$2:$C$522,MATCH(D214,'rates'!$A$2:$A$522,1),MATCH(F214&amp;"/INR",'rates'!$B$1:$C$1,0)))</f>
        <v>91.017499999999998</v>
      </c>
      <c r="N214">
        <f t="shared" si="15"/>
        <v>4821936.0371000003</v>
      </c>
      <c r="O214">
        <f t="shared" si="16"/>
        <v>4821936.0371000003</v>
      </c>
      <c r="P214">
        <f t="shared" si="17"/>
        <v>0</v>
      </c>
      <c r="Q214" t="str">
        <f t="shared" si="18"/>
        <v/>
      </c>
      <c r="R214" t="str">
        <f t="shared" si="19"/>
        <v>Not yet due</v>
      </c>
    </row>
    <row r="215" spans="1:18" x14ac:dyDescent="0.3">
      <c r="A215" t="s">
        <v>3199</v>
      </c>
      <c r="B215" t="s">
        <v>103</v>
      </c>
      <c r="C215" t="s">
        <v>554</v>
      </c>
      <c r="D215" s="1">
        <v>45735</v>
      </c>
      <c r="E215" s="1">
        <v>45795</v>
      </c>
      <c r="F215" t="s">
        <v>13</v>
      </c>
      <c r="G215">
        <v>4807063</v>
      </c>
      <c r="H215" s="1"/>
      <c r="I215" t="s">
        <v>2206</v>
      </c>
      <c r="J215" t="s">
        <v>556</v>
      </c>
      <c r="L215">
        <v>0</v>
      </c>
      <c r="M215">
        <f>IF(F215="INR",1,INDEX('rates'!$B$2:$C$522,MATCH(D215,'rates'!$A$2:$A$522,1),MATCH(F215&amp;"/INR",'rates'!$B$1:$C$1,0)))</f>
        <v>1</v>
      </c>
      <c r="N215">
        <f t="shared" si="15"/>
        <v>4807063</v>
      </c>
      <c r="O215">
        <f t="shared" si="16"/>
        <v>4807063</v>
      </c>
      <c r="P215">
        <f t="shared" si="17"/>
        <v>0</v>
      </c>
      <c r="Q215" t="str">
        <f t="shared" si="18"/>
        <v/>
      </c>
      <c r="R215" t="str">
        <f t="shared" si="19"/>
        <v>Not yet due</v>
      </c>
    </row>
    <row r="216" spans="1:18" x14ac:dyDescent="0.3">
      <c r="A216" t="s">
        <v>2879</v>
      </c>
      <c r="B216" t="s">
        <v>262</v>
      </c>
      <c r="C216" t="s">
        <v>566</v>
      </c>
      <c r="D216" s="1">
        <v>45654</v>
      </c>
      <c r="E216" s="1">
        <v>45744</v>
      </c>
      <c r="F216" t="s">
        <v>31</v>
      </c>
      <c r="G216">
        <v>53704.57</v>
      </c>
      <c r="H216" s="1"/>
      <c r="I216" t="s">
        <v>2206</v>
      </c>
      <c r="J216" t="s">
        <v>573</v>
      </c>
      <c r="K216">
        <v>89.415300000000002</v>
      </c>
      <c r="L216">
        <v>0</v>
      </c>
      <c r="M216">
        <f>IF(F216="INR",1,INDEX('rates'!$B$2:$C$522,MATCH(D216,'rates'!$A$2:$A$522,1),MATCH(F216&amp;"/INR",'rates'!$B$1:$C$1,0)))</f>
        <v>89.147900000000007</v>
      </c>
      <c r="N216">
        <f t="shared" si="15"/>
        <v>4787649.6359029999</v>
      </c>
      <c r="O216">
        <f t="shared" si="16"/>
        <v>4787649.6359029999</v>
      </c>
      <c r="P216">
        <f t="shared" si="17"/>
        <v>3</v>
      </c>
      <c r="Q216" t="str">
        <f t="shared" si="18"/>
        <v/>
      </c>
      <c r="R216" t="str">
        <f t="shared" si="19"/>
        <v>1-30</v>
      </c>
    </row>
    <row r="217" spans="1:18" x14ac:dyDescent="0.3">
      <c r="A217" t="s">
        <v>3089</v>
      </c>
      <c r="B217" t="s">
        <v>522</v>
      </c>
      <c r="C217" t="s">
        <v>566</v>
      </c>
      <c r="D217" s="1">
        <v>45706</v>
      </c>
      <c r="E217" s="1">
        <v>45766</v>
      </c>
      <c r="F217" t="s">
        <v>31</v>
      </c>
      <c r="G217">
        <v>52532.88</v>
      </c>
      <c r="H217" s="1"/>
      <c r="I217" t="s">
        <v>2206</v>
      </c>
      <c r="J217" t="s">
        <v>573</v>
      </c>
      <c r="K217">
        <v>91.116</v>
      </c>
      <c r="L217">
        <v>0</v>
      </c>
      <c r="M217">
        <f>IF(F217="INR",1,INDEX('rates'!$B$2:$C$522,MATCH(D217,'rates'!$A$2:$A$522,1),MATCH(F217&amp;"/INR",'rates'!$B$1:$C$1,0)))</f>
        <v>90.934100000000001</v>
      </c>
      <c r="N217">
        <f t="shared" si="15"/>
        <v>4777030.1632079994</v>
      </c>
      <c r="O217">
        <f t="shared" si="16"/>
        <v>4777030.1632079994</v>
      </c>
      <c r="P217">
        <f t="shared" si="17"/>
        <v>0</v>
      </c>
      <c r="Q217" t="str">
        <f t="shared" si="18"/>
        <v/>
      </c>
      <c r="R217" t="str">
        <f t="shared" si="19"/>
        <v>Not yet due</v>
      </c>
    </row>
    <row r="218" spans="1:18" x14ac:dyDescent="0.3">
      <c r="A218" t="s">
        <v>3006</v>
      </c>
      <c r="B218" t="s">
        <v>262</v>
      </c>
      <c r="C218" t="s">
        <v>566</v>
      </c>
      <c r="D218" s="1">
        <v>45688</v>
      </c>
      <c r="E218" s="1">
        <v>45778</v>
      </c>
      <c r="F218" t="s">
        <v>31</v>
      </c>
      <c r="G218">
        <v>52667.65</v>
      </c>
      <c r="H218" s="1"/>
      <c r="I218" t="s">
        <v>2206</v>
      </c>
      <c r="J218" t="s">
        <v>573</v>
      </c>
      <c r="K218">
        <v>90.271600000000007</v>
      </c>
      <c r="L218">
        <v>0</v>
      </c>
      <c r="M218">
        <f>IF(F218="INR",1,INDEX('rates'!$B$2:$C$522,MATCH(D218,'rates'!$A$2:$A$522,1),MATCH(F218&amp;"/INR",'rates'!$B$1:$C$1,0)))</f>
        <v>90.001599999999996</v>
      </c>
      <c r="N218">
        <f t="shared" si="15"/>
        <v>4740172.7682400001</v>
      </c>
      <c r="O218">
        <f t="shared" si="16"/>
        <v>4740172.7682400001</v>
      </c>
      <c r="P218">
        <f t="shared" si="17"/>
        <v>0</v>
      </c>
      <c r="Q218" t="str">
        <f t="shared" si="18"/>
        <v/>
      </c>
      <c r="R218" t="str">
        <f t="shared" si="19"/>
        <v>Not yet due</v>
      </c>
    </row>
    <row r="219" spans="1:18" x14ac:dyDescent="0.3">
      <c r="A219" t="s">
        <v>3081</v>
      </c>
      <c r="B219" t="s">
        <v>508</v>
      </c>
      <c r="C219" t="s">
        <v>554</v>
      </c>
      <c r="D219" s="1">
        <v>45703</v>
      </c>
      <c r="E219" s="1">
        <v>45763</v>
      </c>
      <c r="F219" t="s">
        <v>13</v>
      </c>
      <c r="G219">
        <v>4728775</v>
      </c>
      <c r="H219" s="1"/>
      <c r="I219" t="s">
        <v>2206</v>
      </c>
      <c r="J219" t="s">
        <v>556</v>
      </c>
      <c r="L219">
        <v>0</v>
      </c>
      <c r="M219">
        <f>IF(F219="INR",1,INDEX('rates'!$B$2:$C$522,MATCH(D219,'rates'!$A$2:$A$522,1),MATCH(F219&amp;"/INR",'rates'!$B$1:$C$1,0)))</f>
        <v>1</v>
      </c>
      <c r="N219">
        <f t="shared" si="15"/>
        <v>4728775</v>
      </c>
      <c r="O219">
        <f t="shared" si="16"/>
        <v>4728775</v>
      </c>
      <c r="P219">
        <f t="shared" si="17"/>
        <v>0</v>
      </c>
      <c r="Q219" t="str">
        <f t="shared" si="18"/>
        <v/>
      </c>
      <c r="R219" t="str">
        <f t="shared" si="19"/>
        <v>Not yet due</v>
      </c>
    </row>
    <row r="220" spans="1:18" x14ac:dyDescent="0.3">
      <c r="A220" t="s">
        <v>3222</v>
      </c>
      <c r="B220" t="s">
        <v>286</v>
      </c>
      <c r="C220" t="s">
        <v>558</v>
      </c>
      <c r="D220" s="1">
        <v>45740</v>
      </c>
      <c r="E220" s="1">
        <v>45800</v>
      </c>
      <c r="F220" t="s">
        <v>36</v>
      </c>
      <c r="G220">
        <v>54517.91</v>
      </c>
      <c r="H220" s="1"/>
      <c r="I220" t="s">
        <v>2206</v>
      </c>
      <c r="J220" t="s">
        <v>573</v>
      </c>
      <c r="K220">
        <v>85.845200000000006</v>
      </c>
      <c r="L220">
        <v>0</v>
      </c>
      <c r="M220">
        <f>IF(F220="INR",1,INDEX('rates'!$B$2:$C$522,MATCH(D220,'rates'!$A$2:$A$522,1),MATCH(F220&amp;"/INR",'rates'!$B$1:$C$1,0)))</f>
        <v>85.56</v>
      </c>
      <c r="N220">
        <f t="shared" si="15"/>
        <v>4664552.3796000006</v>
      </c>
      <c r="O220">
        <f t="shared" si="16"/>
        <v>4664552.3796000006</v>
      </c>
      <c r="P220">
        <f t="shared" si="17"/>
        <v>0</v>
      </c>
      <c r="Q220" t="str">
        <f t="shared" si="18"/>
        <v/>
      </c>
      <c r="R220" t="str">
        <f t="shared" si="19"/>
        <v>Not yet due</v>
      </c>
    </row>
    <row r="221" spans="1:18" x14ac:dyDescent="0.3">
      <c r="A221" t="s">
        <v>2811</v>
      </c>
      <c r="B221" t="s">
        <v>192</v>
      </c>
      <c r="C221" t="s">
        <v>554</v>
      </c>
      <c r="D221" s="1">
        <v>45638</v>
      </c>
      <c r="E221" s="1">
        <v>45698</v>
      </c>
      <c r="F221" t="s">
        <v>13</v>
      </c>
      <c r="G221">
        <v>4619438</v>
      </c>
      <c r="H221" s="1"/>
      <c r="I221" t="s">
        <v>2206</v>
      </c>
      <c r="J221" t="s">
        <v>556</v>
      </c>
      <c r="L221">
        <v>0</v>
      </c>
      <c r="M221">
        <f>IF(F221="INR",1,INDEX('rates'!$B$2:$C$522,MATCH(D221,'rates'!$A$2:$A$522,1),MATCH(F221&amp;"/INR",'rates'!$B$1:$C$1,0)))</f>
        <v>1</v>
      </c>
      <c r="N221">
        <f t="shared" si="15"/>
        <v>4619438</v>
      </c>
      <c r="O221">
        <f t="shared" si="16"/>
        <v>4619438</v>
      </c>
      <c r="P221">
        <f t="shared" si="17"/>
        <v>49</v>
      </c>
      <c r="Q221" t="str">
        <f t="shared" si="18"/>
        <v/>
      </c>
      <c r="R221" t="str">
        <f t="shared" si="19"/>
        <v>31-60</v>
      </c>
    </row>
    <row r="222" spans="1:18" x14ac:dyDescent="0.3">
      <c r="A222" t="s">
        <v>3090</v>
      </c>
      <c r="B222" t="s">
        <v>122</v>
      </c>
      <c r="C222" t="s">
        <v>554</v>
      </c>
      <c r="D222" s="1">
        <v>45707</v>
      </c>
      <c r="E222" s="1">
        <v>45752</v>
      </c>
      <c r="F222" t="s">
        <v>13</v>
      </c>
      <c r="G222">
        <v>4559748</v>
      </c>
      <c r="H222" s="1"/>
      <c r="I222" t="s">
        <v>2206</v>
      </c>
      <c r="J222" t="s">
        <v>556</v>
      </c>
      <c r="L222">
        <v>0</v>
      </c>
      <c r="M222">
        <f>IF(F222="INR",1,INDEX('rates'!$B$2:$C$522,MATCH(D222,'rates'!$A$2:$A$522,1),MATCH(F222&amp;"/INR",'rates'!$B$1:$C$1,0)))</f>
        <v>1</v>
      </c>
      <c r="N222">
        <f t="shared" si="15"/>
        <v>4559748</v>
      </c>
      <c r="O222">
        <f t="shared" si="16"/>
        <v>4559748</v>
      </c>
      <c r="P222">
        <f t="shared" si="17"/>
        <v>0</v>
      </c>
      <c r="Q222" t="str">
        <f t="shared" si="18"/>
        <v/>
      </c>
      <c r="R222" t="str">
        <f t="shared" si="19"/>
        <v>Not yet due</v>
      </c>
    </row>
    <row r="223" spans="1:18" x14ac:dyDescent="0.3">
      <c r="A223" t="s">
        <v>3177</v>
      </c>
      <c r="B223" t="s">
        <v>490</v>
      </c>
      <c r="C223" t="s">
        <v>560</v>
      </c>
      <c r="D223" s="1">
        <v>45730</v>
      </c>
      <c r="E223" s="1">
        <v>45775</v>
      </c>
      <c r="F223" t="s">
        <v>36</v>
      </c>
      <c r="G223">
        <v>52338.87</v>
      </c>
      <c r="H223" s="1"/>
      <c r="I223" t="s">
        <v>2206</v>
      </c>
      <c r="J223" t="s">
        <v>573</v>
      </c>
      <c r="K223">
        <v>87.217500000000001</v>
      </c>
      <c r="L223">
        <v>0</v>
      </c>
      <c r="M223">
        <f>IF(F223="INR",1,INDEX('rates'!$B$2:$C$522,MATCH(D223,'rates'!$A$2:$A$522,1),MATCH(F223&amp;"/INR",'rates'!$B$1:$C$1,0)))</f>
        <v>87</v>
      </c>
      <c r="N223">
        <f t="shared" si="15"/>
        <v>4553481.6900000004</v>
      </c>
      <c r="O223">
        <f t="shared" si="16"/>
        <v>4553481.6900000004</v>
      </c>
      <c r="P223">
        <f t="shared" si="17"/>
        <v>0</v>
      </c>
      <c r="Q223" t="str">
        <f t="shared" si="18"/>
        <v/>
      </c>
      <c r="R223" t="str">
        <f t="shared" si="19"/>
        <v>Not yet due</v>
      </c>
    </row>
    <row r="224" spans="1:18" x14ac:dyDescent="0.3">
      <c r="A224" t="s">
        <v>3202</v>
      </c>
      <c r="B224" t="s">
        <v>105</v>
      </c>
      <c r="C224" t="s">
        <v>560</v>
      </c>
      <c r="D224" s="1">
        <v>45736</v>
      </c>
      <c r="E224" s="1">
        <v>45826</v>
      </c>
      <c r="F224" t="s">
        <v>36</v>
      </c>
      <c r="G224">
        <v>52651.61</v>
      </c>
      <c r="H224" s="1"/>
      <c r="I224" t="s">
        <v>2206</v>
      </c>
      <c r="J224" t="s">
        <v>556</v>
      </c>
      <c r="L224">
        <v>0</v>
      </c>
      <c r="M224">
        <f>IF(F224="INR",1,INDEX('rates'!$B$2:$C$522,MATCH(D224,'rates'!$A$2:$A$522,1),MATCH(F224&amp;"/INR",'rates'!$B$1:$C$1,0)))</f>
        <v>86.31</v>
      </c>
      <c r="N224">
        <f t="shared" si="15"/>
        <v>4544360.4591000006</v>
      </c>
      <c r="O224">
        <f t="shared" si="16"/>
        <v>4544360.4591000006</v>
      </c>
      <c r="P224">
        <f t="shared" si="17"/>
        <v>0</v>
      </c>
      <c r="Q224" t="str">
        <f t="shared" si="18"/>
        <v/>
      </c>
      <c r="R224" t="str">
        <f t="shared" si="19"/>
        <v>Not yet due</v>
      </c>
    </row>
    <row r="225" spans="1:18" x14ac:dyDescent="0.3">
      <c r="A225" t="s">
        <v>3153</v>
      </c>
      <c r="B225" t="s">
        <v>246</v>
      </c>
      <c r="C225" t="s">
        <v>554</v>
      </c>
      <c r="D225" s="1">
        <v>45724</v>
      </c>
      <c r="E225" s="1">
        <v>45784</v>
      </c>
      <c r="F225" t="s">
        <v>13</v>
      </c>
      <c r="G225">
        <v>4532821</v>
      </c>
      <c r="H225" s="1"/>
      <c r="I225" t="s">
        <v>2206</v>
      </c>
      <c r="J225" t="s">
        <v>556</v>
      </c>
      <c r="L225">
        <v>0</v>
      </c>
      <c r="M225">
        <f>IF(F225="INR",1,INDEX('rates'!$B$2:$C$522,MATCH(D225,'rates'!$A$2:$A$522,1),MATCH(F225&amp;"/INR",'rates'!$B$1:$C$1,0)))</f>
        <v>1</v>
      </c>
      <c r="N225">
        <f t="shared" si="15"/>
        <v>4532821</v>
      </c>
      <c r="O225">
        <f t="shared" si="16"/>
        <v>4532821</v>
      </c>
      <c r="P225">
        <f t="shared" si="17"/>
        <v>0</v>
      </c>
      <c r="Q225" t="str">
        <f t="shared" si="18"/>
        <v/>
      </c>
      <c r="R225" t="str">
        <f t="shared" si="19"/>
        <v>Not yet due</v>
      </c>
    </row>
    <row r="226" spans="1:18" x14ac:dyDescent="0.3">
      <c r="A226" t="s">
        <v>2981</v>
      </c>
      <c r="B226" t="s">
        <v>324</v>
      </c>
      <c r="C226" t="s">
        <v>575</v>
      </c>
      <c r="D226" s="1">
        <v>45681</v>
      </c>
      <c r="E226" s="1">
        <v>45741</v>
      </c>
      <c r="F226" t="s">
        <v>31</v>
      </c>
      <c r="G226">
        <v>49415.08</v>
      </c>
      <c r="H226" s="1"/>
      <c r="I226" t="s">
        <v>2206</v>
      </c>
      <c r="J226" t="s">
        <v>573</v>
      </c>
      <c r="K226">
        <v>90.820599999999999</v>
      </c>
      <c r="L226">
        <v>0</v>
      </c>
      <c r="M226">
        <f>IF(F226="INR",1,INDEX('rates'!$B$2:$C$522,MATCH(D226,'rates'!$A$2:$A$522,1),MATCH(F226&amp;"/INR",'rates'!$B$1:$C$1,0)))</f>
        <v>90.639300000000006</v>
      </c>
      <c r="N226">
        <f t="shared" si="15"/>
        <v>4478948.260644</v>
      </c>
      <c r="O226">
        <f t="shared" si="16"/>
        <v>4478948.260644</v>
      </c>
      <c r="P226">
        <f t="shared" si="17"/>
        <v>6</v>
      </c>
      <c r="Q226" t="str">
        <f t="shared" si="18"/>
        <v/>
      </c>
      <c r="R226" t="str">
        <f t="shared" si="19"/>
        <v>1-30</v>
      </c>
    </row>
    <row r="227" spans="1:18" x14ac:dyDescent="0.3">
      <c r="A227" t="s">
        <v>2884</v>
      </c>
      <c r="B227" t="s">
        <v>306</v>
      </c>
      <c r="C227" t="s">
        <v>560</v>
      </c>
      <c r="D227" s="1">
        <v>45657</v>
      </c>
      <c r="E227" s="1">
        <v>45747</v>
      </c>
      <c r="F227" t="s">
        <v>36</v>
      </c>
      <c r="G227">
        <v>52077.47</v>
      </c>
      <c r="H227" s="1"/>
      <c r="I227" t="s">
        <v>2206</v>
      </c>
      <c r="J227" t="s">
        <v>573</v>
      </c>
      <c r="K227">
        <v>85.977699999999999</v>
      </c>
      <c r="L227">
        <v>0</v>
      </c>
      <c r="M227">
        <f>IF(F227="INR",1,INDEX('rates'!$B$2:$C$522,MATCH(D227,'rates'!$A$2:$A$522,1),MATCH(F227&amp;"/INR",'rates'!$B$1:$C$1,0)))</f>
        <v>85.55</v>
      </c>
      <c r="N227">
        <f t="shared" si="15"/>
        <v>4455227.5585000003</v>
      </c>
      <c r="O227">
        <f t="shared" si="16"/>
        <v>4455227.5585000003</v>
      </c>
      <c r="P227">
        <f t="shared" si="17"/>
        <v>0</v>
      </c>
      <c r="Q227" t="str">
        <f t="shared" si="18"/>
        <v/>
      </c>
      <c r="R227" t="str">
        <f t="shared" si="19"/>
        <v>Not yet due</v>
      </c>
    </row>
    <row r="228" spans="1:18" x14ac:dyDescent="0.3">
      <c r="A228" t="s">
        <v>2511</v>
      </c>
      <c r="B228" t="s">
        <v>400</v>
      </c>
      <c r="C228" t="s">
        <v>558</v>
      </c>
      <c r="D228" s="1">
        <v>45567</v>
      </c>
      <c r="E228" s="1">
        <v>45612</v>
      </c>
      <c r="F228" t="s">
        <v>36</v>
      </c>
      <c r="G228">
        <v>52927.1</v>
      </c>
      <c r="H228" s="1"/>
      <c r="I228" t="s">
        <v>2206</v>
      </c>
      <c r="J228" t="s">
        <v>573</v>
      </c>
      <c r="K228">
        <v>84.019499999999994</v>
      </c>
      <c r="L228">
        <v>0</v>
      </c>
      <c r="M228">
        <f>IF(F228="INR",1,INDEX('rates'!$B$2:$C$522,MATCH(D228,'rates'!$A$2:$A$522,1),MATCH(F228&amp;"/INR",'rates'!$B$1:$C$1,0)))</f>
        <v>83.81</v>
      </c>
      <c r="N228">
        <f t="shared" si="15"/>
        <v>4435820.2510000002</v>
      </c>
      <c r="O228">
        <f t="shared" si="16"/>
        <v>4435820.2510000002</v>
      </c>
      <c r="P228">
        <f t="shared" si="17"/>
        <v>135</v>
      </c>
      <c r="Q228" t="str">
        <f t="shared" si="18"/>
        <v/>
      </c>
      <c r="R228" t="str">
        <f t="shared" si="19"/>
        <v>90+</v>
      </c>
    </row>
    <row r="229" spans="1:18" x14ac:dyDescent="0.3">
      <c r="A229" t="s">
        <v>2997</v>
      </c>
      <c r="B229" t="s">
        <v>238</v>
      </c>
      <c r="C229" t="s">
        <v>566</v>
      </c>
      <c r="D229" s="1">
        <v>45684</v>
      </c>
      <c r="E229" s="1">
        <v>45744</v>
      </c>
      <c r="F229" t="s">
        <v>31</v>
      </c>
      <c r="G229">
        <v>48925.43</v>
      </c>
      <c r="H229" s="1"/>
      <c r="I229" t="s">
        <v>2206</v>
      </c>
      <c r="J229" t="s">
        <v>573</v>
      </c>
      <c r="K229">
        <v>90.769099999999995</v>
      </c>
      <c r="L229">
        <v>0</v>
      </c>
      <c r="M229">
        <f>IF(F229="INR",1,INDEX('rates'!$B$2:$C$522,MATCH(D229,'rates'!$A$2:$A$522,1),MATCH(F229&amp;"/INR",'rates'!$B$1:$C$1,0)))</f>
        <v>90.587900000000005</v>
      </c>
      <c r="N229">
        <f t="shared" si="15"/>
        <v>4432051.9602970006</v>
      </c>
      <c r="O229">
        <f t="shared" si="16"/>
        <v>4432051.9602970006</v>
      </c>
      <c r="P229">
        <f t="shared" si="17"/>
        <v>3</v>
      </c>
      <c r="Q229" t="str">
        <f t="shared" si="18"/>
        <v/>
      </c>
      <c r="R229" t="str">
        <f t="shared" si="19"/>
        <v>1-30</v>
      </c>
    </row>
    <row r="230" spans="1:18" x14ac:dyDescent="0.3">
      <c r="A230" t="s">
        <v>2783</v>
      </c>
      <c r="B230" t="s">
        <v>222</v>
      </c>
      <c r="C230" t="s">
        <v>560</v>
      </c>
      <c r="D230" s="1">
        <v>45633</v>
      </c>
      <c r="E230" s="1">
        <v>45693</v>
      </c>
      <c r="F230" t="s">
        <v>36</v>
      </c>
      <c r="G230">
        <v>248237.33</v>
      </c>
      <c r="H230" s="1">
        <v>45696</v>
      </c>
      <c r="I230" t="s">
        <v>567</v>
      </c>
      <c r="J230" t="s">
        <v>573</v>
      </c>
      <c r="K230">
        <v>84.952200000000005</v>
      </c>
      <c r="L230">
        <v>196069.29</v>
      </c>
      <c r="M230">
        <f>IF(F230="INR",1,INDEX('rates'!$B$2:$C$522,MATCH(D230,'rates'!$A$2:$A$522,1),MATCH(F230&amp;"/INR",'rates'!$B$1:$C$1,0)))</f>
        <v>84.67</v>
      </c>
      <c r="N230">
        <f t="shared" si="15"/>
        <v>21018254.7311</v>
      </c>
      <c r="O230">
        <f t="shared" si="16"/>
        <v>4417067.9467999982</v>
      </c>
      <c r="P230">
        <f t="shared" si="17"/>
        <v>54</v>
      </c>
      <c r="Q230">
        <f t="shared" si="18"/>
        <v>3</v>
      </c>
      <c r="R230" t="str">
        <f t="shared" si="19"/>
        <v>31-60</v>
      </c>
    </row>
    <row r="231" spans="1:18" x14ac:dyDescent="0.3">
      <c r="A231" t="s">
        <v>3218</v>
      </c>
      <c r="B231" t="s">
        <v>496</v>
      </c>
      <c r="C231" t="s">
        <v>566</v>
      </c>
      <c r="D231" s="1">
        <v>45738</v>
      </c>
      <c r="E231" s="1">
        <v>45783</v>
      </c>
      <c r="F231" t="s">
        <v>13</v>
      </c>
      <c r="G231">
        <v>4385828</v>
      </c>
      <c r="H231" s="1"/>
      <c r="I231" t="s">
        <v>2206</v>
      </c>
      <c r="J231" t="s">
        <v>556</v>
      </c>
      <c r="L231">
        <v>0</v>
      </c>
      <c r="M231">
        <f>IF(F231="INR",1,INDEX('rates'!$B$2:$C$522,MATCH(D231,'rates'!$A$2:$A$522,1),MATCH(F231&amp;"/INR",'rates'!$B$1:$C$1,0)))</f>
        <v>1</v>
      </c>
      <c r="N231">
        <f t="shared" si="15"/>
        <v>4385828</v>
      </c>
      <c r="O231">
        <f t="shared" si="16"/>
        <v>4385828</v>
      </c>
      <c r="P231">
        <f t="shared" si="17"/>
        <v>0</v>
      </c>
      <c r="Q231" t="str">
        <f t="shared" si="18"/>
        <v/>
      </c>
      <c r="R231" t="str">
        <f t="shared" si="19"/>
        <v>Not yet due</v>
      </c>
    </row>
    <row r="232" spans="1:18" x14ac:dyDescent="0.3">
      <c r="A232" t="s">
        <v>3028</v>
      </c>
      <c r="B232" t="s">
        <v>418</v>
      </c>
      <c r="C232" t="s">
        <v>558</v>
      </c>
      <c r="D232" s="1">
        <v>45693</v>
      </c>
      <c r="E232" s="1">
        <v>45738</v>
      </c>
      <c r="F232" t="s">
        <v>13</v>
      </c>
      <c r="G232">
        <v>4384919</v>
      </c>
      <c r="H232" s="1"/>
      <c r="I232" t="s">
        <v>2206</v>
      </c>
      <c r="J232" t="s">
        <v>556</v>
      </c>
      <c r="L232">
        <v>0</v>
      </c>
      <c r="M232">
        <f>IF(F232="INR",1,INDEX('rates'!$B$2:$C$522,MATCH(D232,'rates'!$A$2:$A$522,1),MATCH(F232&amp;"/INR",'rates'!$B$1:$C$1,0)))</f>
        <v>1</v>
      </c>
      <c r="N232">
        <f t="shared" si="15"/>
        <v>4384919</v>
      </c>
      <c r="O232">
        <f t="shared" si="16"/>
        <v>4384919</v>
      </c>
      <c r="P232">
        <f t="shared" si="17"/>
        <v>9</v>
      </c>
      <c r="Q232" t="str">
        <f t="shared" si="18"/>
        <v/>
      </c>
      <c r="R232" t="str">
        <f t="shared" si="19"/>
        <v>1-30</v>
      </c>
    </row>
    <row r="233" spans="1:18" x14ac:dyDescent="0.3">
      <c r="A233" t="s">
        <v>3212</v>
      </c>
      <c r="B233" t="s">
        <v>208</v>
      </c>
      <c r="C233" t="s">
        <v>566</v>
      </c>
      <c r="D233" s="1">
        <v>45738</v>
      </c>
      <c r="E233" s="1">
        <v>45783</v>
      </c>
      <c r="F233" t="s">
        <v>13</v>
      </c>
      <c r="G233">
        <v>4384540</v>
      </c>
      <c r="H233" s="1"/>
      <c r="I233" t="s">
        <v>2206</v>
      </c>
      <c r="J233" t="s">
        <v>556</v>
      </c>
      <c r="L233">
        <v>0</v>
      </c>
      <c r="M233">
        <f>IF(F233="INR",1,INDEX('rates'!$B$2:$C$522,MATCH(D233,'rates'!$A$2:$A$522,1),MATCH(F233&amp;"/INR",'rates'!$B$1:$C$1,0)))</f>
        <v>1</v>
      </c>
      <c r="N233">
        <f t="shared" si="15"/>
        <v>4384540</v>
      </c>
      <c r="O233">
        <f t="shared" si="16"/>
        <v>4384540</v>
      </c>
      <c r="P233">
        <f t="shared" si="17"/>
        <v>0</v>
      </c>
      <c r="Q233" t="str">
        <f t="shared" si="18"/>
        <v/>
      </c>
      <c r="R233" t="str">
        <f t="shared" si="19"/>
        <v>Not yet due</v>
      </c>
    </row>
    <row r="234" spans="1:18" x14ac:dyDescent="0.3">
      <c r="A234" t="s">
        <v>3216</v>
      </c>
      <c r="B234" t="s">
        <v>464</v>
      </c>
      <c r="C234" t="s">
        <v>560</v>
      </c>
      <c r="D234" s="1">
        <v>45738</v>
      </c>
      <c r="E234" s="1">
        <v>45828</v>
      </c>
      <c r="F234" t="s">
        <v>13</v>
      </c>
      <c r="G234">
        <v>4379839</v>
      </c>
      <c r="H234" s="1"/>
      <c r="I234" t="s">
        <v>2206</v>
      </c>
      <c r="J234" t="s">
        <v>556</v>
      </c>
      <c r="L234">
        <v>0</v>
      </c>
      <c r="M234">
        <f>IF(F234="INR",1,INDEX('rates'!$B$2:$C$522,MATCH(D234,'rates'!$A$2:$A$522,1),MATCH(F234&amp;"/INR",'rates'!$B$1:$C$1,0)))</f>
        <v>1</v>
      </c>
      <c r="N234">
        <f t="shared" si="15"/>
        <v>4379839</v>
      </c>
      <c r="O234">
        <f t="shared" si="16"/>
        <v>4379839</v>
      </c>
      <c r="P234">
        <f t="shared" si="17"/>
        <v>0</v>
      </c>
      <c r="Q234" t="str">
        <f t="shared" si="18"/>
        <v/>
      </c>
      <c r="R234" t="str">
        <f t="shared" si="19"/>
        <v>Not yet due</v>
      </c>
    </row>
    <row r="235" spans="1:18" x14ac:dyDescent="0.3">
      <c r="A235" t="s">
        <v>3244</v>
      </c>
      <c r="B235" t="s">
        <v>286</v>
      </c>
      <c r="C235" t="s">
        <v>558</v>
      </c>
      <c r="D235" s="1">
        <v>45745</v>
      </c>
      <c r="E235" s="1">
        <v>45805</v>
      </c>
      <c r="F235" t="s">
        <v>36</v>
      </c>
      <c r="G235">
        <v>50217.58</v>
      </c>
      <c r="H235" s="1"/>
      <c r="I235" t="s">
        <v>2206</v>
      </c>
      <c r="J235" t="s">
        <v>556</v>
      </c>
      <c r="L235">
        <v>0</v>
      </c>
      <c r="M235">
        <f>IF(F235="INR",1,INDEX('rates'!$B$2:$C$522,MATCH(D235,'rates'!$A$2:$A$522,1),MATCH(F235&amp;"/INR",'rates'!$B$1:$C$1,0)))</f>
        <v>85.51</v>
      </c>
      <c r="N235">
        <f t="shared" si="15"/>
        <v>4294105.2658000002</v>
      </c>
      <c r="O235">
        <f t="shared" si="16"/>
        <v>4294105.2658000002</v>
      </c>
      <c r="P235">
        <f t="shared" si="17"/>
        <v>0</v>
      </c>
      <c r="Q235" t="str">
        <f t="shared" si="18"/>
        <v/>
      </c>
      <c r="R235" t="str">
        <f t="shared" si="19"/>
        <v>Not yet due</v>
      </c>
    </row>
    <row r="236" spans="1:18" x14ac:dyDescent="0.3">
      <c r="A236" t="s">
        <v>1577</v>
      </c>
      <c r="B236" t="s">
        <v>400</v>
      </c>
      <c r="C236" t="s">
        <v>554</v>
      </c>
      <c r="D236" s="1">
        <v>45315</v>
      </c>
      <c r="E236" s="1">
        <v>45360</v>
      </c>
      <c r="F236" t="s">
        <v>36</v>
      </c>
      <c r="G236">
        <v>180336.56</v>
      </c>
      <c r="H236" s="1">
        <v>45600</v>
      </c>
      <c r="I236" t="s">
        <v>567</v>
      </c>
      <c r="J236" t="s">
        <v>556</v>
      </c>
      <c r="L236">
        <v>128768.22</v>
      </c>
      <c r="M236">
        <f>IF(F236="INR",1,INDEX('rates'!$B$2:$C$522,MATCH(D236,'rates'!$A$2:$A$522,1),MATCH(F236&amp;"/INR",'rates'!$B$1:$C$1,0)))</f>
        <v>83.09</v>
      </c>
      <c r="N236">
        <f t="shared" si="15"/>
        <v>14984164.770400001</v>
      </c>
      <c r="O236">
        <f t="shared" si="16"/>
        <v>4284813.3706</v>
      </c>
      <c r="P236">
        <f t="shared" si="17"/>
        <v>387</v>
      </c>
      <c r="Q236">
        <f t="shared" si="18"/>
        <v>240</v>
      </c>
      <c r="R236" t="str">
        <f t="shared" si="19"/>
        <v>90+</v>
      </c>
    </row>
    <row r="237" spans="1:18" x14ac:dyDescent="0.3">
      <c r="A237" t="s">
        <v>685</v>
      </c>
      <c r="B237" t="s">
        <v>444</v>
      </c>
      <c r="C237" t="s">
        <v>566</v>
      </c>
      <c r="D237" s="1">
        <v>45057</v>
      </c>
      <c r="E237" s="1">
        <v>45102</v>
      </c>
      <c r="F237" t="s">
        <v>36</v>
      </c>
      <c r="G237">
        <v>333311.8</v>
      </c>
      <c r="H237" s="1">
        <v>45113</v>
      </c>
      <c r="I237" t="s">
        <v>567</v>
      </c>
      <c r="J237" t="s">
        <v>573</v>
      </c>
      <c r="K237">
        <v>82.335300000000004</v>
      </c>
      <c r="L237">
        <v>281975.71000000002</v>
      </c>
      <c r="M237">
        <f>IF(F237="INR",1,INDEX('rates'!$B$2:$C$522,MATCH(D237,'rates'!$A$2:$A$522,1),MATCH(F237&amp;"/INR",'rates'!$B$1:$C$1,0)))</f>
        <v>82.13</v>
      </c>
      <c r="N237">
        <f t="shared" si="15"/>
        <v>27374898.133999996</v>
      </c>
      <c r="O237">
        <f t="shared" si="16"/>
        <v>4216233.0716999974</v>
      </c>
      <c r="P237">
        <f t="shared" si="17"/>
        <v>645</v>
      </c>
      <c r="Q237">
        <f t="shared" si="18"/>
        <v>11</v>
      </c>
      <c r="R237" t="str">
        <f t="shared" si="19"/>
        <v>90+</v>
      </c>
    </row>
    <row r="238" spans="1:18" x14ac:dyDescent="0.3">
      <c r="A238" t="s">
        <v>2899</v>
      </c>
      <c r="B238" t="s">
        <v>72</v>
      </c>
      <c r="C238" t="s">
        <v>560</v>
      </c>
      <c r="D238" s="1">
        <v>45660</v>
      </c>
      <c r="E238" s="1">
        <v>45750</v>
      </c>
      <c r="F238" t="s">
        <v>31</v>
      </c>
      <c r="G238">
        <v>47460.32</v>
      </c>
      <c r="H238" s="1"/>
      <c r="I238" t="s">
        <v>2206</v>
      </c>
      <c r="J238" t="s">
        <v>556</v>
      </c>
      <c r="L238">
        <v>0</v>
      </c>
      <c r="M238">
        <f>IF(F238="INR",1,INDEX('rates'!$B$2:$C$522,MATCH(D238,'rates'!$A$2:$A$522,1),MATCH(F238&amp;"/INR",'rates'!$B$1:$C$1,0)))</f>
        <v>88.253900000000002</v>
      </c>
      <c r="N238">
        <f t="shared" si="15"/>
        <v>4188558.335248</v>
      </c>
      <c r="O238">
        <f t="shared" si="16"/>
        <v>4188558.335248</v>
      </c>
      <c r="P238">
        <f t="shared" si="17"/>
        <v>0</v>
      </c>
      <c r="Q238" t="str">
        <f t="shared" si="18"/>
        <v/>
      </c>
      <c r="R238" t="str">
        <f t="shared" si="19"/>
        <v>Not yet due</v>
      </c>
    </row>
    <row r="239" spans="1:18" x14ac:dyDescent="0.3">
      <c r="A239" t="s">
        <v>3092</v>
      </c>
      <c r="B239" t="s">
        <v>356</v>
      </c>
      <c r="C239" t="s">
        <v>554</v>
      </c>
      <c r="D239" s="1">
        <v>45707</v>
      </c>
      <c r="E239" s="1">
        <v>45767</v>
      </c>
      <c r="F239" t="s">
        <v>13</v>
      </c>
      <c r="G239">
        <v>4159481</v>
      </c>
      <c r="H239" s="1"/>
      <c r="I239" t="s">
        <v>2206</v>
      </c>
      <c r="J239" t="s">
        <v>556</v>
      </c>
      <c r="L239">
        <v>0</v>
      </c>
      <c r="M239">
        <f>IF(F239="INR",1,INDEX('rates'!$B$2:$C$522,MATCH(D239,'rates'!$A$2:$A$522,1),MATCH(F239&amp;"/INR",'rates'!$B$1:$C$1,0)))</f>
        <v>1</v>
      </c>
      <c r="N239">
        <f t="shared" si="15"/>
        <v>4159481</v>
      </c>
      <c r="O239">
        <f t="shared" si="16"/>
        <v>4159481</v>
      </c>
      <c r="P239">
        <f t="shared" si="17"/>
        <v>0</v>
      </c>
      <c r="Q239" t="str">
        <f t="shared" si="18"/>
        <v/>
      </c>
      <c r="R239" t="str">
        <f t="shared" si="19"/>
        <v>Not yet due</v>
      </c>
    </row>
    <row r="240" spans="1:18" x14ac:dyDescent="0.3">
      <c r="A240" t="s">
        <v>2929</v>
      </c>
      <c r="B240" t="s">
        <v>184</v>
      </c>
      <c r="C240" t="s">
        <v>575</v>
      </c>
      <c r="D240" s="1">
        <v>45667</v>
      </c>
      <c r="E240" s="1">
        <v>45757</v>
      </c>
      <c r="F240" t="s">
        <v>31</v>
      </c>
      <c r="G240">
        <v>46746.17</v>
      </c>
      <c r="H240" s="1"/>
      <c r="I240" t="s">
        <v>2206</v>
      </c>
      <c r="J240" t="s">
        <v>573</v>
      </c>
      <c r="K240">
        <v>88.269800000000004</v>
      </c>
      <c r="L240">
        <v>0</v>
      </c>
      <c r="M240">
        <f>IF(F240="INR",1,INDEX('rates'!$B$2:$C$522,MATCH(D240,'rates'!$A$2:$A$522,1),MATCH(F240&amp;"/INR",'rates'!$B$1:$C$1,0)))</f>
        <v>88.005799999999994</v>
      </c>
      <c r="N240">
        <f t="shared" si="15"/>
        <v>4113934.0877859998</v>
      </c>
      <c r="O240">
        <f t="shared" si="16"/>
        <v>4113934.0877859998</v>
      </c>
      <c r="P240">
        <f t="shared" si="17"/>
        <v>0</v>
      </c>
      <c r="Q240" t="str">
        <f t="shared" si="18"/>
        <v/>
      </c>
      <c r="R240" t="str">
        <f t="shared" si="19"/>
        <v>Not yet due</v>
      </c>
    </row>
    <row r="241" spans="1:18" x14ac:dyDescent="0.3">
      <c r="A241" t="s">
        <v>3164</v>
      </c>
      <c r="B241" t="s">
        <v>196</v>
      </c>
      <c r="C241" t="s">
        <v>554</v>
      </c>
      <c r="D241" s="1">
        <v>45727</v>
      </c>
      <c r="E241" s="1">
        <v>45772</v>
      </c>
      <c r="F241" t="s">
        <v>13</v>
      </c>
      <c r="G241">
        <v>4102456</v>
      </c>
      <c r="H241" s="1"/>
      <c r="I241" t="s">
        <v>2206</v>
      </c>
      <c r="J241" t="s">
        <v>556</v>
      </c>
      <c r="L241">
        <v>0</v>
      </c>
      <c r="M241">
        <f>IF(F241="INR",1,INDEX('rates'!$B$2:$C$522,MATCH(D241,'rates'!$A$2:$A$522,1),MATCH(F241&amp;"/INR",'rates'!$B$1:$C$1,0)))</f>
        <v>1</v>
      </c>
      <c r="N241">
        <f t="shared" si="15"/>
        <v>4102456</v>
      </c>
      <c r="O241">
        <f t="shared" si="16"/>
        <v>4102456</v>
      </c>
      <c r="P241">
        <f t="shared" si="17"/>
        <v>0</v>
      </c>
      <c r="Q241" t="str">
        <f t="shared" si="18"/>
        <v/>
      </c>
      <c r="R241" t="str">
        <f t="shared" si="19"/>
        <v>Not yet due</v>
      </c>
    </row>
    <row r="242" spans="1:18" x14ac:dyDescent="0.3">
      <c r="A242" t="s">
        <v>1714</v>
      </c>
      <c r="B242" t="s">
        <v>516</v>
      </c>
      <c r="C242" t="s">
        <v>560</v>
      </c>
      <c r="D242" s="1">
        <v>45349</v>
      </c>
      <c r="E242" s="1">
        <v>45409</v>
      </c>
      <c r="F242" t="s">
        <v>13</v>
      </c>
      <c r="G242">
        <v>9354401</v>
      </c>
      <c r="H242" s="1">
        <v>45413</v>
      </c>
      <c r="I242" t="s">
        <v>567</v>
      </c>
      <c r="J242" t="s">
        <v>556</v>
      </c>
      <c r="L242">
        <v>5260629.26</v>
      </c>
      <c r="M242">
        <f>IF(F242="INR",1,INDEX('rates'!$B$2:$C$522,MATCH(D242,'rates'!$A$2:$A$522,1),MATCH(F242&amp;"/INR",'rates'!$B$1:$C$1,0)))</f>
        <v>1</v>
      </c>
      <c r="N242">
        <f t="shared" si="15"/>
        <v>9354401</v>
      </c>
      <c r="O242">
        <f t="shared" si="16"/>
        <v>4093771.74</v>
      </c>
      <c r="P242">
        <f t="shared" si="17"/>
        <v>338</v>
      </c>
      <c r="Q242">
        <f t="shared" si="18"/>
        <v>4</v>
      </c>
      <c r="R242" t="str">
        <f t="shared" si="19"/>
        <v>90+</v>
      </c>
    </row>
    <row r="243" spans="1:18" x14ac:dyDescent="0.3">
      <c r="A243" t="s">
        <v>871</v>
      </c>
      <c r="B243" t="s">
        <v>362</v>
      </c>
      <c r="C243" t="s">
        <v>566</v>
      </c>
      <c r="D243" s="1">
        <v>45117</v>
      </c>
      <c r="E243" s="1">
        <v>45207</v>
      </c>
      <c r="F243" t="s">
        <v>36</v>
      </c>
      <c r="G243">
        <v>137054.91</v>
      </c>
      <c r="H243" s="1">
        <v>45219</v>
      </c>
      <c r="I243" t="s">
        <v>567</v>
      </c>
      <c r="J243" t="s">
        <v>573</v>
      </c>
      <c r="K243">
        <v>82.982799999999997</v>
      </c>
      <c r="L243">
        <v>87522.42</v>
      </c>
      <c r="M243">
        <f>IF(F243="INR",1,INDEX('rates'!$B$2:$C$522,MATCH(D243,'rates'!$A$2:$A$522,1),MATCH(F243&amp;"/INR",'rates'!$B$1:$C$1,0)))</f>
        <v>82.57</v>
      </c>
      <c r="N243">
        <f t="shared" si="15"/>
        <v>11316623.9187</v>
      </c>
      <c r="O243">
        <f t="shared" si="16"/>
        <v>4089897.6993</v>
      </c>
      <c r="P243">
        <f t="shared" si="17"/>
        <v>540</v>
      </c>
      <c r="Q243">
        <f t="shared" si="18"/>
        <v>12</v>
      </c>
      <c r="R243" t="str">
        <f t="shared" si="19"/>
        <v>90+</v>
      </c>
    </row>
    <row r="244" spans="1:18" x14ac:dyDescent="0.3">
      <c r="A244" t="s">
        <v>3250</v>
      </c>
      <c r="B244" t="s">
        <v>338</v>
      </c>
      <c r="C244" t="s">
        <v>566</v>
      </c>
      <c r="D244" s="1">
        <v>45747</v>
      </c>
      <c r="E244" s="1">
        <v>45792</v>
      </c>
      <c r="F244" t="s">
        <v>13</v>
      </c>
      <c r="G244">
        <v>4069568</v>
      </c>
      <c r="H244" s="1"/>
      <c r="I244" t="s">
        <v>2206</v>
      </c>
      <c r="J244" t="s">
        <v>556</v>
      </c>
      <c r="L244">
        <v>0</v>
      </c>
      <c r="M244">
        <f>IF(F244="INR",1,INDEX('rates'!$B$2:$C$522,MATCH(D244,'rates'!$A$2:$A$522,1),MATCH(F244&amp;"/INR",'rates'!$B$1:$C$1,0)))</f>
        <v>1</v>
      </c>
      <c r="N244">
        <f t="shared" si="15"/>
        <v>4069568</v>
      </c>
      <c r="O244">
        <f t="shared" si="16"/>
        <v>4069568</v>
      </c>
      <c r="P244">
        <f t="shared" si="17"/>
        <v>0</v>
      </c>
      <c r="Q244" t="str">
        <f t="shared" si="18"/>
        <v/>
      </c>
      <c r="R244" t="str">
        <f t="shared" si="19"/>
        <v>Not yet due</v>
      </c>
    </row>
    <row r="245" spans="1:18" x14ac:dyDescent="0.3">
      <c r="A245" t="s">
        <v>2943</v>
      </c>
      <c r="B245" t="s">
        <v>75</v>
      </c>
      <c r="C245" t="s">
        <v>566</v>
      </c>
      <c r="D245" s="1">
        <v>45670</v>
      </c>
      <c r="E245" s="1">
        <v>45760</v>
      </c>
      <c r="F245" t="s">
        <v>36</v>
      </c>
      <c r="G245">
        <v>46767.85</v>
      </c>
      <c r="H245" s="1"/>
      <c r="I245" t="s">
        <v>2206</v>
      </c>
      <c r="J245" t="s">
        <v>573</v>
      </c>
      <c r="K245">
        <v>87.123400000000004</v>
      </c>
      <c r="L245">
        <v>0</v>
      </c>
      <c r="M245">
        <f>IF(F245="INR",1,INDEX('rates'!$B$2:$C$522,MATCH(D245,'rates'!$A$2:$A$522,1),MATCH(F245&amp;"/INR",'rates'!$B$1:$C$1,0)))</f>
        <v>86.69</v>
      </c>
      <c r="N245">
        <f t="shared" si="15"/>
        <v>4054304.9164999998</v>
      </c>
      <c r="O245">
        <f t="shared" si="16"/>
        <v>4054304.9164999998</v>
      </c>
      <c r="P245">
        <f t="shared" si="17"/>
        <v>0</v>
      </c>
      <c r="Q245" t="str">
        <f t="shared" si="18"/>
        <v/>
      </c>
      <c r="R245" t="str">
        <f t="shared" si="19"/>
        <v>Not yet due</v>
      </c>
    </row>
    <row r="246" spans="1:18" x14ac:dyDescent="0.3">
      <c r="A246" t="s">
        <v>2955</v>
      </c>
      <c r="B246" t="s">
        <v>72</v>
      </c>
      <c r="C246" t="s">
        <v>560</v>
      </c>
      <c r="D246" s="1">
        <v>45673</v>
      </c>
      <c r="E246" s="1">
        <v>45763</v>
      </c>
      <c r="F246" t="s">
        <v>31</v>
      </c>
      <c r="G246">
        <v>45118.28</v>
      </c>
      <c r="H246" s="1"/>
      <c r="I246" t="s">
        <v>2206</v>
      </c>
      <c r="J246" t="s">
        <v>556</v>
      </c>
      <c r="L246">
        <v>0</v>
      </c>
      <c r="M246">
        <f>IF(F246="INR",1,INDEX('rates'!$B$2:$C$522,MATCH(D246,'rates'!$A$2:$A$522,1),MATCH(F246&amp;"/INR",'rates'!$B$1:$C$1,0)))</f>
        <v>89.193100000000001</v>
      </c>
      <c r="N246">
        <f t="shared" si="15"/>
        <v>4024239.2598680002</v>
      </c>
      <c r="O246">
        <f t="shared" si="16"/>
        <v>4024239.2598680002</v>
      </c>
      <c r="P246">
        <f t="shared" si="17"/>
        <v>0</v>
      </c>
      <c r="Q246" t="str">
        <f t="shared" si="18"/>
        <v/>
      </c>
      <c r="R246" t="str">
        <f t="shared" si="19"/>
        <v>Not yet due</v>
      </c>
    </row>
    <row r="247" spans="1:18" x14ac:dyDescent="0.3">
      <c r="A247" t="s">
        <v>2974</v>
      </c>
      <c r="B247" t="s">
        <v>46</v>
      </c>
      <c r="C247" t="s">
        <v>558</v>
      </c>
      <c r="D247" s="1">
        <v>45680</v>
      </c>
      <c r="E247" s="1">
        <v>45740</v>
      </c>
      <c r="F247" t="s">
        <v>36</v>
      </c>
      <c r="G247">
        <v>45563.46</v>
      </c>
      <c r="H247" s="1"/>
      <c r="I247" t="s">
        <v>2206</v>
      </c>
      <c r="J247" t="s">
        <v>556</v>
      </c>
      <c r="L247">
        <v>0</v>
      </c>
      <c r="M247">
        <f>IF(F247="INR",1,INDEX('rates'!$B$2:$C$522,MATCH(D247,'rates'!$A$2:$A$522,1),MATCH(F247&amp;"/INR",'rates'!$B$1:$C$1,0)))</f>
        <v>86.42</v>
      </c>
      <c r="N247">
        <f t="shared" si="15"/>
        <v>3937594.2132000001</v>
      </c>
      <c r="O247">
        <f t="shared" si="16"/>
        <v>3937594.2132000001</v>
      </c>
      <c r="P247">
        <f t="shared" si="17"/>
        <v>7</v>
      </c>
      <c r="Q247" t="str">
        <f t="shared" si="18"/>
        <v/>
      </c>
      <c r="R247" t="str">
        <f t="shared" si="19"/>
        <v>1-30</v>
      </c>
    </row>
    <row r="248" spans="1:18" x14ac:dyDescent="0.3">
      <c r="A248" t="s">
        <v>2500</v>
      </c>
      <c r="B248" t="s">
        <v>406</v>
      </c>
      <c r="C248" t="s">
        <v>554</v>
      </c>
      <c r="D248" s="1">
        <v>45565</v>
      </c>
      <c r="E248" s="1">
        <v>45655</v>
      </c>
      <c r="F248" t="s">
        <v>13</v>
      </c>
      <c r="G248">
        <v>9157207</v>
      </c>
      <c r="H248" s="1">
        <v>45666</v>
      </c>
      <c r="I248" t="s">
        <v>567</v>
      </c>
      <c r="J248" t="s">
        <v>556</v>
      </c>
      <c r="L248">
        <v>5221934.42</v>
      </c>
      <c r="M248">
        <f>IF(F248="INR",1,INDEX('rates'!$B$2:$C$522,MATCH(D248,'rates'!$A$2:$A$522,1),MATCH(F248&amp;"/INR",'rates'!$B$1:$C$1,0)))</f>
        <v>1</v>
      </c>
      <c r="N248">
        <f t="shared" si="15"/>
        <v>9157207</v>
      </c>
      <c r="O248">
        <f t="shared" si="16"/>
        <v>3935272.58</v>
      </c>
      <c r="P248">
        <f t="shared" si="17"/>
        <v>92</v>
      </c>
      <c r="Q248">
        <f t="shared" si="18"/>
        <v>11</v>
      </c>
      <c r="R248" t="str">
        <f t="shared" si="19"/>
        <v>90+</v>
      </c>
    </row>
    <row r="249" spans="1:18" x14ac:dyDescent="0.3">
      <c r="A249" t="s">
        <v>3005</v>
      </c>
      <c r="B249" t="s">
        <v>117</v>
      </c>
      <c r="C249" t="s">
        <v>554</v>
      </c>
      <c r="D249" s="1">
        <v>45688</v>
      </c>
      <c r="E249" s="1">
        <v>45748</v>
      </c>
      <c r="F249" t="s">
        <v>13</v>
      </c>
      <c r="G249">
        <v>3911384</v>
      </c>
      <c r="H249" s="1"/>
      <c r="I249" t="s">
        <v>2206</v>
      </c>
      <c r="J249" t="s">
        <v>556</v>
      </c>
      <c r="L249">
        <v>0</v>
      </c>
      <c r="M249">
        <f>IF(F249="INR",1,INDEX('rates'!$B$2:$C$522,MATCH(D249,'rates'!$A$2:$A$522,1),MATCH(F249&amp;"/INR",'rates'!$B$1:$C$1,0)))</f>
        <v>1</v>
      </c>
      <c r="N249">
        <f t="shared" si="15"/>
        <v>3911384</v>
      </c>
      <c r="O249">
        <f t="shared" si="16"/>
        <v>3911384</v>
      </c>
      <c r="P249">
        <f t="shared" si="17"/>
        <v>0</v>
      </c>
      <c r="Q249" t="str">
        <f t="shared" si="18"/>
        <v/>
      </c>
      <c r="R249" t="str">
        <f t="shared" si="19"/>
        <v>Not yet due</v>
      </c>
    </row>
    <row r="250" spans="1:18" x14ac:dyDescent="0.3">
      <c r="A250" t="s">
        <v>1470</v>
      </c>
      <c r="B250" t="s">
        <v>258</v>
      </c>
      <c r="C250" t="s">
        <v>558</v>
      </c>
      <c r="D250" s="1">
        <v>45288</v>
      </c>
      <c r="E250" s="1">
        <v>45333</v>
      </c>
      <c r="F250" t="s">
        <v>13</v>
      </c>
      <c r="G250">
        <v>12129695</v>
      </c>
      <c r="H250" s="1">
        <v>45347</v>
      </c>
      <c r="I250" t="s">
        <v>567</v>
      </c>
      <c r="J250" t="s">
        <v>556</v>
      </c>
      <c r="L250">
        <v>8222563.1799999997</v>
      </c>
      <c r="M250">
        <f>IF(F250="INR",1,INDEX('rates'!$B$2:$C$522,MATCH(D250,'rates'!$A$2:$A$522,1),MATCH(F250&amp;"/INR",'rates'!$B$1:$C$1,0)))</f>
        <v>1</v>
      </c>
      <c r="N250">
        <f t="shared" si="15"/>
        <v>12129695</v>
      </c>
      <c r="O250">
        <f t="shared" si="16"/>
        <v>3907131.8200000003</v>
      </c>
      <c r="P250">
        <f t="shared" si="17"/>
        <v>414</v>
      </c>
      <c r="Q250">
        <f t="shared" si="18"/>
        <v>14</v>
      </c>
      <c r="R250" t="str">
        <f t="shared" si="19"/>
        <v>90+</v>
      </c>
    </row>
    <row r="251" spans="1:18" x14ac:dyDescent="0.3">
      <c r="A251" t="s">
        <v>3129</v>
      </c>
      <c r="B251" t="s">
        <v>372</v>
      </c>
      <c r="C251" t="s">
        <v>575</v>
      </c>
      <c r="D251" s="1">
        <v>45719</v>
      </c>
      <c r="E251" s="1">
        <v>45809</v>
      </c>
      <c r="F251" t="s">
        <v>13</v>
      </c>
      <c r="G251">
        <v>3889776</v>
      </c>
      <c r="H251" s="1"/>
      <c r="I251" t="s">
        <v>2206</v>
      </c>
      <c r="J251" t="s">
        <v>556</v>
      </c>
      <c r="L251">
        <v>0</v>
      </c>
      <c r="M251">
        <f>IF(F251="INR",1,INDEX('rates'!$B$2:$C$522,MATCH(D251,'rates'!$A$2:$A$522,1),MATCH(F251&amp;"/INR",'rates'!$B$1:$C$1,0)))</f>
        <v>1</v>
      </c>
      <c r="N251">
        <f t="shared" si="15"/>
        <v>3889776</v>
      </c>
      <c r="O251">
        <f t="shared" si="16"/>
        <v>3889776</v>
      </c>
      <c r="P251">
        <f t="shared" si="17"/>
        <v>0</v>
      </c>
      <c r="Q251" t="str">
        <f t="shared" si="18"/>
        <v/>
      </c>
      <c r="R251" t="str">
        <f t="shared" si="19"/>
        <v>Not yet due</v>
      </c>
    </row>
    <row r="252" spans="1:18" x14ac:dyDescent="0.3">
      <c r="A252" t="s">
        <v>2679</v>
      </c>
      <c r="B252" t="s">
        <v>316</v>
      </c>
      <c r="C252" t="s">
        <v>575</v>
      </c>
      <c r="D252" s="1">
        <v>45604</v>
      </c>
      <c r="E252" s="1">
        <v>45634</v>
      </c>
      <c r="F252" t="s">
        <v>13</v>
      </c>
      <c r="G252">
        <v>3868896</v>
      </c>
      <c r="H252" s="1"/>
      <c r="I252" t="s">
        <v>2206</v>
      </c>
      <c r="J252" t="s">
        <v>556</v>
      </c>
      <c r="L252">
        <v>0</v>
      </c>
      <c r="M252">
        <f>IF(F252="INR",1,INDEX('rates'!$B$2:$C$522,MATCH(D252,'rates'!$A$2:$A$522,1),MATCH(F252&amp;"/INR",'rates'!$B$1:$C$1,0)))</f>
        <v>1</v>
      </c>
      <c r="N252">
        <f t="shared" si="15"/>
        <v>3868896</v>
      </c>
      <c r="O252">
        <f t="shared" si="16"/>
        <v>3868896</v>
      </c>
      <c r="P252">
        <f t="shared" si="17"/>
        <v>113</v>
      </c>
      <c r="Q252" t="str">
        <f t="shared" si="18"/>
        <v/>
      </c>
      <c r="R252" t="str">
        <f t="shared" si="19"/>
        <v>90+</v>
      </c>
    </row>
    <row r="253" spans="1:18" x14ac:dyDescent="0.3">
      <c r="A253" t="s">
        <v>1660</v>
      </c>
      <c r="B253" t="s">
        <v>404</v>
      </c>
      <c r="C253" t="s">
        <v>554</v>
      </c>
      <c r="D253" s="1">
        <v>45339</v>
      </c>
      <c r="E253" s="1">
        <v>45399</v>
      </c>
      <c r="F253" t="s">
        <v>13</v>
      </c>
      <c r="G253">
        <v>8889100</v>
      </c>
      <c r="H253" s="1">
        <v>45405</v>
      </c>
      <c r="I253" t="s">
        <v>567</v>
      </c>
      <c r="J253" t="s">
        <v>556</v>
      </c>
      <c r="L253">
        <v>5025725.7699999996</v>
      </c>
      <c r="M253">
        <f>IF(F253="INR",1,INDEX('rates'!$B$2:$C$522,MATCH(D253,'rates'!$A$2:$A$522,1),MATCH(F253&amp;"/INR",'rates'!$B$1:$C$1,0)))</f>
        <v>1</v>
      </c>
      <c r="N253">
        <f t="shared" si="15"/>
        <v>8889100</v>
      </c>
      <c r="O253">
        <f t="shared" si="16"/>
        <v>3863374.2300000004</v>
      </c>
      <c r="P253">
        <f t="shared" si="17"/>
        <v>348</v>
      </c>
      <c r="Q253">
        <f t="shared" si="18"/>
        <v>6</v>
      </c>
      <c r="R253" t="str">
        <f t="shared" si="19"/>
        <v>90+</v>
      </c>
    </row>
    <row r="254" spans="1:18" x14ac:dyDescent="0.3">
      <c r="A254" t="s">
        <v>2963</v>
      </c>
      <c r="B254" t="s">
        <v>486</v>
      </c>
      <c r="C254" t="s">
        <v>554</v>
      </c>
      <c r="D254" s="1">
        <v>45674</v>
      </c>
      <c r="E254" s="1">
        <v>45719</v>
      </c>
      <c r="F254" t="s">
        <v>13</v>
      </c>
      <c r="G254">
        <v>3847939</v>
      </c>
      <c r="H254" s="1"/>
      <c r="I254" t="s">
        <v>2206</v>
      </c>
      <c r="J254" t="s">
        <v>556</v>
      </c>
      <c r="L254">
        <v>0</v>
      </c>
      <c r="M254">
        <f>IF(F254="INR",1,INDEX('rates'!$B$2:$C$522,MATCH(D254,'rates'!$A$2:$A$522,1),MATCH(F254&amp;"/INR",'rates'!$B$1:$C$1,0)))</f>
        <v>1</v>
      </c>
      <c r="N254">
        <f t="shared" si="15"/>
        <v>3847939</v>
      </c>
      <c r="O254">
        <f t="shared" si="16"/>
        <v>3847939</v>
      </c>
      <c r="P254">
        <f t="shared" si="17"/>
        <v>28</v>
      </c>
      <c r="Q254" t="str">
        <f t="shared" si="18"/>
        <v/>
      </c>
      <c r="R254" t="str">
        <f t="shared" si="19"/>
        <v>1-30</v>
      </c>
    </row>
    <row r="255" spans="1:18" x14ac:dyDescent="0.3">
      <c r="A255" t="s">
        <v>890</v>
      </c>
      <c r="B255" t="s">
        <v>170</v>
      </c>
      <c r="C255" t="s">
        <v>558</v>
      </c>
      <c r="D255" s="1">
        <v>45124</v>
      </c>
      <c r="E255" s="1">
        <v>45154</v>
      </c>
      <c r="F255" t="s">
        <v>13</v>
      </c>
      <c r="G255">
        <v>8062429</v>
      </c>
      <c r="H255" s="1">
        <v>45155</v>
      </c>
      <c r="I255" t="s">
        <v>567</v>
      </c>
      <c r="J255" t="s">
        <v>556</v>
      </c>
      <c r="L255">
        <v>4269082.8099999996</v>
      </c>
      <c r="M255">
        <f>IF(F255="INR",1,INDEX('rates'!$B$2:$C$522,MATCH(D255,'rates'!$A$2:$A$522,1),MATCH(F255&amp;"/INR",'rates'!$B$1:$C$1,0)))</f>
        <v>1</v>
      </c>
      <c r="N255">
        <f t="shared" si="15"/>
        <v>8062429</v>
      </c>
      <c r="O255">
        <f t="shared" si="16"/>
        <v>3793346.1900000004</v>
      </c>
      <c r="P255">
        <f t="shared" si="17"/>
        <v>593</v>
      </c>
      <c r="Q255">
        <f t="shared" si="18"/>
        <v>1</v>
      </c>
      <c r="R255" t="str">
        <f t="shared" si="19"/>
        <v>90+</v>
      </c>
    </row>
    <row r="256" spans="1:18" x14ac:dyDescent="0.3">
      <c r="A256" t="s">
        <v>3188</v>
      </c>
      <c r="B256" t="s">
        <v>406</v>
      </c>
      <c r="C256" t="s">
        <v>554</v>
      </c>
      <c r="D256" s="1">
        <v>45731</v>
      </c>
      <c r="E256" s="1">
        <v>45821</v>
      </c>
      <c r="F256" t="s">
        <v>13</v>
      </c>
      <c r="G256">
        <v>3757162</v>
      </c>
      <c r="H256" s="1"/>
      <c r="I256" t="s">
        <v>2206</v>
      </c>
      <c r="J256" t="s">
        <v>556</v>
      </c>
      <c r="L256">
        <v>0</v>
      </c>
      <c r="M256">
        <f>IF(F256="INR",1,INDEX('rates'!$B$2:$C$522,MATCH(D256,'rates'!$A$2:$A$522,1),MATCH(F256&amp;"/INR",'rates'!$B$1:$C$1,0)))</f>
        <v>1</v>
      </c>
      <c r="N256">
        <f t="shared" si="15"/>
        <v>3757162</v>
      </c>
      <c r="O256">
        <f t="shared" si="16"/>
        <v>3757162</v>
      </c>
      <c r="P256">
        <f t="shared" si="17"/>
        <v>0</v>
      </c>
      <c r="Q256" t="str">
        <f t="shared" si="18"/>
        <v/>
      </c>
      <c r="R256" t="str">
        <f t="shared" si="19"/>
        <v>Not yet due</v>
      </c>
    </row>
    <row r="257" spans="1:18" x14ac:dyDescent="0.3">
      <c r="A257" t="s">
        <v>3115</v>
      </c>
      <c r="B257" t="s">
        <v>380</v>
      </c>
      <c r="C257" t="s">
        <v>560</v>
      </c>
      <c r="D257" s="1">
        <v>45715</v>
      </c>
      <c r="E257" s="1">
        <v>45775</v>
      </c>
      <c r="F257" t="s">
        <v>13</v>
      </c>
      <c r="G257">
        <v>3733491</v>
      </c>
      <c r="H257" s="1"/>
      <c r="I257" t="s">
        <v>2206</v>
      </c>
      <c r="J257" t="s">
        <v>556</v>
      </c>
      <c r="L257">
        <v>0</v>
      </c>
      <c r="M257">
        <f>IF(F257="INR",1,INDEX('rates'!$B$2:$C$522,MATCH(D257,'rates'!$A$2:$A$522,1),MATCH(F257&amp;"/INR",'rates'!$B$1:$C$1,0)))</f>
        <v>1</v>
      </c>
      <c r="N257">
        <f t="shared" si="15"/>
        <v>3733491</v>
      </c>
      <c r="O257">
        <f t="shared" si="16"/>
        <v>3733491</v>
      </c>
      <c r="P257">
        <f t="shared" si="17"/>
        <v>0</v>
      </c>
      <c r="Q257" t="str">
        <f t="shared" si="18"/>
        <v/>
      </c>
      <c r="R257" t="str">
        <f t="shared" si="19"/>
        <v>Not yet due</v>
      </c>
    </row>
    <row r="258" spans="1:18" x14ac:dyDescent="0.3">
      <c r="A258" t="s">
        <v>3242</v>
      </c>
      <c r="B258" t="s">
        <v>22</v>
      </c>
      <c r="C258" t="s">
        <v>554</v>
      </c>
      <c r="D258" s="1">
        <v>45745</v>
      </c>
      <c r="E258" s="1">
        <v>45790</v>
      </c>
      <c r="F258" t="s">
        <v>13</v>
      </c>
      <c r="G258">
        <v>3685128</v>
      </c>
      <c r="H258" s="1"/>
      <c r="I258" t="s">
        <v>2206</v>
      </c>
      <c r="J258" t="s">
        <v>556</v>
      </c>
      <c r="L258">
        <v>0</v>
      </c>
      <c r="M258">
        <f>IF(F258="INR",1,INDEX('rates'!$B$2:$C$522,MATCH(D258,'rates'!$A$2:$A$522,1),MATCH(F258&amp;"/INR",'rates'!$B$1:$C$1,0)))</f>
        <v>1</v>
      </c>
      <c r="N258">
        <f t="shared" ref="N258:N321" si="20">G258*M258</f>
        <v>3685128</v>
      </c>
      <c r="O258">
        <f t="shared" ref="O258:O321" si="21">IF(OR(I258="OPEN",I258="PARTIALLY PAID"),(G258-L258)*M258,0)</f>
        <v>3685128</v>
      </c>
      <c r="P258">
        <f t="shared" ref="P258:P321" si="22">IF(O258&gt;0,MAX(0,DATE(2025,3,31)-E258),0)</f>
        <v>0</v>
      </c>
      <c r="Q258" t="str">
        <f t="shared" ref="Q258:Q321" si="23">IF(H258="","",H258-E258)</f>
        <v/>
      </c>
      <c r="R258" t="str">
        <f t="shared" ref="R258:R321" si="24">IF(O258=0,"Not open",IF(P258=0,"Not yet due",IF(P258&lt;=30,"1-30",IF(P258&lt;=60,"31-60",IF(P258&lt;=90,"61-90","90+")))))</f>
        <v>Not yet due</v>
      </c>
    </row>
    <row r="259" spans="1:18" x14ac:dyDescent="0.3">
      <c r="A259" t="s">
        <v>3064</v>
      </c>
      <c r="B259" t="s">
        <v>498</v>
      </c>
      <c r="C259" t="s">
        <v>566</v>
      </c>
      <c r="D259" s="1">
        <v>45701</v>
      </c>
      <c r="E259" s="1">
        <v>45791</v>
      </c>
      <c r="F259" t="s">
        <v>36</v>
      </c>
      <c r="G259">
        <v>42392.83</v>
      </c>
      <c r="H259" s="1"/>
      <c r="I259" t="s">
        <v>2206</v>
      </c>
      <c r="J259" t="s">
        <v>573</v>
      </c>
      <c r="K259">
        <v>87.324399999999997</v>
      </c>
      <c r="L259">
        <v>0</v>
      </c>
      <c r="M259">
        <f>IF(F259="INR",1,INDEX('rates'!$B$2:$C$522,MATCH(D259,'rates'!$A$2:$A$522,1),MATCH(F259&amp;"/INR",'rates'!$B$1:$C$1,0)))</f>
        <v>86.89</v>
      </c>
      <c r="N259">
        <f t="shared" si="20"/>
        <v>3683512.9987000003</v>
      </c>
      <c r="O259">
        <f t="shared" si="21"/>
        <v>3683512.9987000003</v>
      </c>
      <c r="P259">
        <f t="shared" si="22"/>
        <v>0</v>
      </c>
      <c r="Q259" t="str">
        <f t="shared" si="23"/>
        <v/>
      </c>
      <c r="R259" t="str">
        <f t="shared" si="24"/>
        <v>Not yet due</v>
      </c>
    </row>
    <row r="260" spans="1:18" x14ac:dyDescent="0.3">
      <c r="A260" t="s">
        <v>2870</v>
      </c>
      <c r="B260" t="s">
        <v>182</v>
      </c>
      <c r="C260" t="s">
        <v>558</v>
      </c>
      <c r="D260" s="1">
        <v>45651</v>
      </c>
      <c r="E260" s="1">
        <v>45711</v>
      </c>
      <c r="F260" t="s">
        <v>36</v>
      </c>
      <c r="G260">
        <v>42935.33</v>
      </c>
      <c r="H260" s="1"/>
      <c r="I260" t="s">
        <v>2206</v>
      </c>
      <c r="J260" t="s">
        <v>573</v>
      </c>
      <c r="K260">
        <v>85.4238</v>
      </c>
      <c r="L260">
        <v>0</v>
      </c>
      <c r="M260">
        <f>IF(F260="INR",1,INDEX('rates'!$B$2:$C$522,MATCH(D260,'rates'!$A$2:$A$522,1),MATCH(F260&amp;"/INR",'rates'!$B$1:$C$1,0)))</f>
        <v>85.14</v>
      </c>
      <c r="N260">
        <f t="shared" si="20"/>
        <v>3655513.9962000004</v>
      </c>
      <c r="O260">
        <f t="shared" si="21"/>
        <v>3655513.9962000004</v>
      </c>
      <c r="P260">
        <f t="shared" si="22"/>
        <v>36</v>
      </c>
      <c r="Q260" t="str">
        <f t="shared" si="23"/>
        <v/>
      </c>
      <c r="R260" t="str">
        <f t="shared" si="24"/>
        <v>31-60</v>
      </c>
    </row>
    <row r="261" spans="1:18" x14ac:dyDescent="0.3">
      <c r="A261" t="s">
        <v>3234</v>
      </c>
      <c r="B261" t="s">
        <v>372</v>
      </c>
      <c r="C261" t="s">
        <v>575</v>
      </c>
      <c r="D261" s="1">
        <v>45742</v>
      </c>
      <c r="E261" s="1">
        <v>45832</v>
      </c>
      <c r="F261" t="s">
        <v>13</v>
      </c>
      <c r="G261">
        <v>3624254</v>
      </c>
      <c r="H261" s="1"/>
      <c r="I261" t="s">
        <v>2206</v>
      </c>
      <c r="J261" t="s">
        <v>556</v>
      </c>
      <c r="L261">
        <v>0</v>
      </c>
      <c r="M261">
        <f>IF(F261="INR",1,INDEX('rates'!$B$2:$C$522,MATCH(D261,'rates'!$A$2:$A$522,1),MATCH(F261&amp;"/INR",'rates'!$B$1:$C$1,0)))</f>
        <v>1</v>
      </c>
      <c r="N261">
        <f t="shared" si="20"/>
        <v>3624254</v>
      </c>
      <c r="O261">
        <f t="shared" si="21"/>
        <v>3624254</v>
      </c>
      <c r="P261">
        <f t="shared" si="22"/>
        <v>0</v>
      </c>
      <c r="Q261" t="str">
        <f t="shared" si="23"/>
        <v/>
      </c>
      <c r="R261" t="str">
        <f t="shared" si="24"/>
        <v>Not yet due</v>
      </c>
    </row>
    <row r="262" spans="1:18" x14ac:dyDescent="0.3">
      <c r="A262" t="s">
        <v>3190</v>
      </c>
      <c r="B262" t="s">
        <v>486</v>
      </c>
      <c r="C262" t="s">
        <v>554</v>
      </c>
      <c r="D262" s="1">
        <v>45731</v>
      </c>
      <c r="E262" s="1">
        <v>45776</v>
      </c>
      <c r="F262" t="s">
        <v>13</v>
      </c>
      <c r="G262">
        <v>3606443</v>
      </c>
      <c r="H262" s="1"/>
      <c r="I262" t="s">
        <v>2206</v>
      </c>
      <c r="J262" t="s">
        <v>556</v>
      </c>
      <c r="L262">
        <v>0</v>
      </c>
      <c r="M262">
        <f>IF(F262="INR",1,INDEX('rates'!$B$2:$C$522,MATCH(D262,'rates'!$A$2:$A$522,1),MATCH(F262&amp;"/INR",'rates'!$B$1:$C$1,0)))</f>
        <v>1</v>
      </c>
      <c r="N262">
        <f t="shared" si="20"/>
        <v>3606443</v>
      </c>
      <c r="O262">
        <f t="shared" si="21"/>
        <v>3606443</v>
      </c>
      <c r="P262">
        <f t="shared" si="22"/>
        <v>0</v>
      </c>
      <c r="Q262" t="str">
        <f t="shared" si="23"/>
        <v/>
      </c>
      <c r="R262" t="str">
        <f t="shared" si="24"/>
        <v>Not yet due</v>
      </c>
    </row>
    <row r="263" spans="1:18" x14ac:dyDescent="0.3">
      <c r="A263" t="s">
        <v>2990</v>
      </c>
      <c r="B263" t="s">
        <v>512</v>
      </c>
      <c r="C263" t="s">
        <v>558</v>
      </c>
      <c r="D263" s="1">
        <v>45682</v>
      </c>
      <c r="E263" s="1">
        <v>45742</v>
      </c>
      <c r="F263" t="s">
        <v>31</v>
      </c>
      <c r="G263">
        <v>39682.769999999997</v>
      </c>
      <c r="H263" s="1"/>
      <c r="I263" t="s">
        <v>2206</v>
      </c>
      <c r="J263" t="s">
        <v>556</v>
      </c>
      <c r="L263">
        <v>0</v>
      </c>
      <c r="M263">
        <f>IF(F263="INR",1,INDEX('rates'!$B$2:$C$522,MATCH(D263,'rates'!$A$2:$A$522,1),MATCH(F263&amp;"/INR",'rates'!$B$1:$C$1,0)))</f>
        <v>90.639300000000006</v>
      </c>
      <c r="N263">
        <f t="shared" si="20"/>
        <v>3596818.4948609998</v>
      </c>
      <c r="O263">
        <f t="shared" si="21"/>
        <v>3596818.4948609998</v>
      </c>
      <c r="P263">
        <f t="shared" si="22"/>
        <v>5</v>
      </c>
      <c r="Q263" t="str">
        <f t="shared" si="23"/>
        <v/>
      </c>
      <c r="R263" t="str">
        <f t="shared" si="24"/>
        <v>1-30</v>
      </c>
    </row>
    <row r="264" spans="1:18" x14ac:dyDescent="0.3">
      <c r="A264" t="s">
        <v>2564</v>
      </c>
      <c r="B264" t="s">
        <v>75</v>
      </c>
      <c r="C264" t="s">
        <v>566</v>
      </c>
      <c r="D264" s="1">
        <v>45579</v>
      </c>
      <c r="E264" s="1">
        <v>45669</v>
      </c>
      <c r="F264" t="s">
        <v>36</v>
      </c>
      <c r="G264">
        <v>42756.67</v>
      </c>
      <c r="H264" s="1"/>
      <c r="I264" t="s">
        <v>2206</v>
      </c>
      <c r="J264" t="s">
        <v>573</v>
      </c>
      <c r="K264">
        <v>84.500399999999999</v>
      </c>
      <c r="L264">
        <v>0</v>
      </c>
      <c r="M264">
        <f>IF(F264="INR",1,INDEX('rates'!$B$2:$C$522,MATCH(D264,'rates'!$A$2:$A$522,1),MATCH(F264&amp;"/INR",'rates'!$B$1:$C$1,0)))</f>
        <v>84.08</v>
      </c>
      <c r="N264">
        <f t="shared" si="20"/>
        <v>3594980.8136</v>
      </c>
      <c r="O264">
        <f t="shared" si="21"/>
        <v>3594980.8136</v>
      </c>
      <c r="P264">
        <f t="shared" si="22"/>
        <v>78</v>
      </c>
      <c r="Q264" t="str">
        <f t="shared" si="23"/>
        <v/>
      </c>
      <c r="R264" t="str">
        <f t="shared" si="24"/>
        <v>61-90</v>
      </c>
    </row>
    <row r="265" spans="1:18" x14ac:dyDescent="0.3">
      <c r="A265" t="s">
        <v>1891</v>
      </c>
      <c r="B265" t="s">
        <v>322</v>
      </c>
      <c r="C265" t="s">
        <v>566</v>
      </c>
      <c r="D265" s="1">
        <v>45397</v>
      </c>
      <c r="E265" s="1">
        <v>45457</v>
      </c>
      <c r="F265" t="s">
        <v>13</v>
      </c>
      <c r="G265">
        <v>10546961</v>
      </c>
      <c r="H265" s="1">
        <v>45474</v>
      </c>
      <c r="I265" t="s">
        <v>567</v>
      </c>
      <c r="J265" t="s">
        <v>556</v>
      </c>
      <c r="L265">
        <v>6953209.5499999998</v>
      </c>
      <c r="M265">
        <f>IF(F265="INR",1,INDEX('rates'!$B$2:$C$522,MATCH(D265,'rates'!$A$2:$A$522,1),MATCH(F265&amp;"/INR",'rates'!$B$1:$C$1,0)))</f>
        <v>1</v>
      </c>
      <c r="N265">
        <f t="shared" si="20"/>
        <v>10546961</v>
      </c>
      <c r="O265">
        <f t="shared" si="21"/>
        <v>3593751.45</v>
      </c>
      <c r="P265">
        <f t="shared" si="22"/>
        <v>290</v>
      </c>
      <c r="Q265">
        <f t="shared" si="23"/>
        <v>17</v>
      </c>
      <c r="R265" t="str">
        <f t="shared" si="24"/>
        <v>90+</v>
      </c>
    </row>
    <row r="266" spans="1:18" x14ac:dyDescent="0.3">
      <c r="A266" t="s">
        <v>3014</v>
      </c>
      <c r="B266" t="s">
        <v>540</v>
      </c>
      <c r="C266" t="s">
        <v>554</v>
      </c>
      <c r="D266" s="1">
        <v>45689</v>
      </c>
      <c r="E266" s="1">
        <v>45749</v>
      </c>
      <c r="F266" t="s">
        <v>13</v>
      </c>
      <c r="G266">
        <v>3591769</v>
      </c>
      <c r="H266" s="1"/>
      <c r="I266" t="s">
        <v>2206</v>
      </c>
      <c r="J266" t="s">
        <v>556</v>
      </c>
      <c r="L266">
        <v>0</v>
      </c>
      <c r="M266">
        <f>IF(F266="INR",1,INDEX('rates'!$B$2:$C$522,MATCH(D266,'rates'!$A$2:$A$522,1),MATCH(F266&amp;"/INR",'rates'!$B$1:$C$1,0)))</f>
        <v>1</v>
      </c>
      <c r="N266">
        <f t="shared" si="20"/>
        <v>3591769</v>
      </c>
      <c r="O266">
        <f t="shared" si="21"/>
        <v>3591769</v>
      </c>
      <c r="P266">
        <f t="shared" si="22"/>
        <v>0</v>
      </c>
      <c r="Q266" t="str">
        <f t="shared" si="23"/>
        <v/>
      </c>
      <c r="R266" t="str">
        <f t="shared" si="24"/>
        <v>Not yet due</v>
      </c>
    </row>
    <row r="267" spans="1:18" x14ac:dyDescent="0.3">
      <c r="A267" t="s">
        <v>3135</v>
      </c>
      <c r="B267" t="s">
        <v>342</v>
      </c>
      <c r="C267" t="s">
        <v>560</v>
      </c>
      <c r="D267" s="1">
        <v>45720</v>
      </c>
      <c r="E267" s="1">
        <v>45750</v>
      </c>
      <c r="F267" t="s">
        <v>13</v>
      </c>
      <c r="G267">
        <v>3527465</v>
      </c>
      <c r="H267" s="1"/>
      <c r="I267" t="s">
        <v>2206</v>
      </c>
      <c r="J267" t="s">
        <v>556</v>
      </c>
      <c r="L267">
        <v>0</v>
      </c>
      <c r="M267">
        <f>IF(F267="INR",1,INDEX('rates'!$B$2:$C$522,MATCH(D267,'rates'!$A$2:$A$522,1),MATCH(F267&amp;"/INR",'rates'!$B$1:$C$1,0)))</f>
        <v>1</v>
      </c>
      <c r="N267">
        <f t="shared" si="20"/>
        <v>3527465</v>
      </c>
      <c r="O267">
        <f t="shared" si="21"/>
        <v>3527465</v>
      </c>
      <c r="P267">
        <f t="shared" si="22"/>
        <v>0</v>
      </c>
      <c r="Q267" t="str">
        <f t="shared" si="23"/>
        <v/>
      </c>
      <c r="R267" t="str">
        <f t="shared" si="24"/>
        <v>Not yet due</v>
      </c>
    </row>
    <row r="268" spans="1:18" x14ac:dyDescent="0.3">
      <c r="A268" t="s">
        <v>1854</v>
      </c>
      <c r="B268" t="s">
        <v>22</v>
      </c>
      <c r="C268" t="s">
        <v>554</v>
      </c>
      <c r="D268" s="1">
        <v>45386</v>
      </c>
      <c r="E268" s="1">
        <v>45431</v>
      </c>
      <c r="F268" t="s">
        <v>13</v>
      </c>
      <c r="G268">
        <v>8816088</v>
      </c>
      <c r="H268" s="1">
        <v>45431</v>
      </c>
      <c r="I268" t="s">
        <v>567</v>
      </c>
      <c r="J268" t="s">
        <v>556</v>
      </c>
      <c r="L268">
        <v>5310432.8899999997</v>
      </c>
      <c r="M268">
        <f>IF(F268="INR",1,INDEX('rates'!$B$2:$C$522,MATCH(D268,'rates'!$A$2:$A$522,1),MATCH(F268&amp;"/INR",'rates'!$B$1:$C$1,0)))</f>
        <v>1</v>
      </c>
      <c r="N268">
        <f t="shared" si="20"/>
        <v>8816088</v>
      </c>
      <c r="O268">
        <f t="shared" si="21"/>
        <v>3505655.1100000003</v>
      </c>
      <c r="P268">
        <f t="shared" si="22"/>
        <v>316</v>
      </c>
      <c r="Q268">
        <f t="shared" si="23"/>
        <v>0</v>
      </c>
      <c r="R268" t="str">
        <f t="shared" si="24"/>
        <v>90+</v>
      </c>
    </row>
    <row r="269" spans="1:18" x14ac:dyDescent="0.3">
      <c r="A269" t="s">
        <v>3030</v>
      </c>
      <c r="B269" t="s">
        <v>96</v>
      </c>
      <c r="C269" t="s">
        <v>558</v>
      </c>
      <c r="D269" s="1">
        <v>45694</v>
      </c>
      <c r="E269" s="1">
        <v>45784</v>
      </c>
      <c r="F269" t="s">
        <v>13</v>
      </c>
      <c r="G269">
        <v>3457864</v>
      </c>
      <c r="H269" s="1"/>
      <c r="I269" t="s">
        <v>2206</v>
      </c>
      <c r="J269" t="s">
        <v>556</v>
      </c>
      <c r="L269">
        <v>0</v>
      </c>
      <c r="M269">
        <f>IF(F269="INR",1,INDEX('rates'!$B$2:$C$522,MATCH(D269,'rates'!$A$2:$A$522,1),MATCH(F269&amp;"/INR",'rates'!$B$1:$C$1,0)))</f>
        <v>1</v>
      </c>
      <c r="N269">
        <f t="shared" si="20"/>
        <v>3457864</v>
      </c>
      <c r="O269">
        <f t="shared" si="21"/>
        <v>3457864</v>
      </c>
      <c r="P269">
        <f t="shared" si="22"/>
        <v>0</v>
      </c>
      <c r="Q269" t="str">
        <f t="shared" si="23"/>
        <v/>
      </c>
      <c r="R269" t="str">
        <f t="shared" si="24"/>
        <v>Not yet due</v>
      </c>
    </row>
    <row r="270" spans="1:18" x14ac:dyDescent="0.3">
      <c r="A270" t="s">
        <v>636</v>
      </c>
      <c r="B270" t="s">
        <v>500</v>
      </c>
      <c r="C270" t="s">
        <v>554</v>
      </c>
      <c r="D270" s="1">
        <v>45041</v>
      </c>
      <c r="E270" s="1">
        <v>45071</v>
      </c>
      <c r="F270" t="s">
        <v>13</v>
      </c>
      <c r="G270">
        <v>7286686</v>
      </c>
      <c r="H270" s="1">
        <v>45087</v>
      </c>
      <c r="I270" t="s">
        <v>567</v>
      </c>
      <c r="J270" t="s">
        <v>556</v>
      </c>
      <c r="L270">
        <v>3833816.04</v>
      </c>
      <c r="M270">
        <f>IF(F270="INR",1,INDEX('rates'!$B$2:$C$522,MATCH(D270,'rates'!$A$2:$A$522,1),MATCH(F270&amp;"/INR",'rates'!$B$1:$C$1,0)))</f>
        <v>1</v>
      </c>
      <c r="N270">
        <f t="shared" si="20"/>
        <v>7286686</v>
      </c>
      <c r="O270">
        <f t="shared" si="21"/>
        <v>3452869.96</v>
      </c>
      <c r="P270">
        <f t="shared" si="22"/>
        <v>676</v>
      </c>
      <c r="Q270">
        <f t="shared" si="23"/>
        <v>16</v>
      </c>
      <c r="R270" t="str">
        <f t="shared" si="24"/>
        <v>90+</v>
      </c>
    </row>
    <row r="271" spans="1:18" x14ac:dyDescent="0.3">
      <c r="A271" t="s">
        <v>3009</v>
      </c>
      <c r="B271" t="s">
        <v>117</v>
      </c>
      <c r="C271" t="s">
        <v>554</v>
      </c>
      <c r="D271" s="1">
        <v>45689</v>
      </c>
      <c r="E271" s="1">
        <v>45749</v>
      </c>
      <c r="F271" t="s">
        <v>13</v>
      </c>
      <c r="G271">
        <v>3414100</v>
      </c>
      <c r="H271" s="1"/>
      <c r="I271" t="s">
        <v>2206</v>
      </c>
      <c r="J271" t="s">
        <v>556</v>
      </c>
      <c r="L271">
        <v>0</v>
      </c>
      <c r="M271">
        <f>IF(F271="INR",1,INDEX('rates'!$B$2:$C$522,MATCH(D271,'rates'!$A$2:$A$522,1),MATCH(F271&amp;"/INR",'rates'!$B$1:$C$1,0)))</f>
        <v>1</v>
      </c>
      <c r="N271">
        <f t="shared" si="20"/>
        <v>3414100</v>
      </c>
      <c r="O271">
        <f t="shared" si="21"/>
        <v>3414100</v>
      </c>
      <c r="P271">
        <f t="shared" si="22"/>
        <v>0</v>
      </c>
      <c r="Q271" t="str">
        <f t="shared" si="23"/>
        <v/>
      </c>
      <c r="R271" t="str">
        <f t="shared" si="24"/>
        <v>Not yet due</v>
      </c>
    </row>
    <row r="272" spans="1:18" x14ac:dyDescent="0.3">
      <c r="A272" t="s">
        <v>1473</v>
      </c>
      <c r="B272" t="s">
        <v>160</v>
      </c>
      <c r="C272" t="s">
        <v>554</v>
      </c>
      <c r="D272" s="1">
        <v>45289</v>
      </c>
      <c r="E272" s="1">
        <v>45334</v>
      </c>
      <c r="F272" t="s">
        <v>13</v>
      </c>
      <c r="G272">
        <v>10169790</v>
      </c>
      <c r="H272" s="1">
        <v>45337</v>
      </c>
      <c r="I272" t="s">
        <v>567</v>
      </c>
      <c r="J272" t="s">
        <v>556</v>
      </c>
      <c r="L272">
        <v>6781699.5099999998</v>
      </c>
      <c r="M272">
        <f>IF(F272="INR",1,INDEX('rates'!$B$2:$C$522,MATCH(D272,'rates'!$A$2:$A$522,1),MATCH(F272&amp;"/INR",'rates'!$B$1:$C$1,0)))</f>
        <v>1</v>
      </c>
      <c r="N272">
        <f t="shared" si="20"/>
        <v>10169790</v>
      </c>
      <c r="O272">
        <f t="shared" si="21"/>
        <v>3388090.49</v>
      </c>
      <c r="P272">
        <f t="shared" si="22"/>
        <v>413</v>
      </c>
      <c r="Q272">
        <f t="shared" si="23"/>
        <v>3</v>
      </c>
      <c r="R272" t="str">
        <f t="shared" si="24"/>
        <v>90+</v>
      </c>
    </row>
    <row r="273" spans="1:18" x14ac:dyDescent="0.3">
      <c r="A273" t="s">
        <v>2099</v>
      </c>
      <c r="B273" t="s">
        <v>46</v>
      </c>
      <c r="C273" t="s">
        <v>558</v>
      </c>
      <c r="D273" s="1">
        <v>45453</v>
      </c>
      <c r="E273" s="1">
        <v>45513</v>
      </c>
      <c r="F273" t="s">
        <v>36</v>
      </c>
      <c r="G273">
        <v>86699.19</v>
      </c>
      <c r="H273" s="1">
        <v>45511</v>
      </c>
      <c r="I273" t="s">
        <v>567</v>
      </c>
      <c r="J273" t="s">
        <v>556</v>
      </c>
      <c r="L273">
        <v>46224.89</v>
      </c>
      <c r="M273">
        <f>IF(F273="INR",1,INDEX('rates'!$B$2:$C$522,MATCH(D273,'rates'!$A$2:$A$522,1),MATCH(F273&amp;"/INR",'rates'!$B$1:$C$1,0)))</f>
        <v>83.5</v>
      </c>
      <c r="N273">
        <f t="shared" si="20"/>
        <v>7239382.3650000002</v>
      </c>
      <c r="O273">
        <f t="shared" si="21"/>
        <v>3379604.0500000003</v>
      </c>
      <c r="P273">
        <f t="shared" si="22"/>
        <v>234</v>
      </c>
      <c r="Q273">
        <f t="shared" si="23"/>
        <v>-2</v>
      </c>
      <c r="R273" t="str">
        <f t="shared" si="24"/>
        <v>90+</v>
      </c>
    </row>
    <row r="274" spans="1:18" x14ac:dyDescent="0.3">
      <c r="A274" t="s">
        <v>3107</v>
      </c>
      <c r="B274" t="s">
        <v>372</v>
      </c>
      <c r="C274" t="s">
        <v>560</v>
      </c>
      <c r="D274" s="1">
        <v>45710</v>
      </c>
      <c r="E274" s="1">
        <v>45800</v>
      </c>
      <c r="F274" t="s">
        <v>13</v>
      </c>
      <c r="G274">
        <v>3353603</v>
      </c>
      <c r="H274" s="1"/>
      <c r="I274" t="s">
        <v>2206</v>
      </c>
      <c r="J274" t="s">
        <v>556</v>
      </c>
      <c r="L274">
        <v>0</v>
      </c>
      <c r="M274">
        <f>IF(F274="INR",1,INDEX('rates'!$B$2:$C$522,MATCH(D274,'rates'!$A$2:$A$522,1),MATCH(F274&amp;"/INR",'rates'!$B$1:$C$1,0)))</f>
        <v>1</v>
      </c>
      <c r="N274">
        <f t="shared" si="20"/>
        <v>3353603</v>
      </c>
      <c r="O274">
        <f t="shared" si="21"/>
        <v>3353603</v>
      </c>
      <c r="P274">
        <f t="shared" si="22"/>
        <v>0</v>
      </c>
      <c r="Q274" t="str">
        <f t="shared" si="23"/>
        <v/>
      </c>
      <c r="R274" t="str">
        <f t="shared" si="24"/>
        <v>Not yet due</v>
      </c>
    </row>
    <row r="275" spans="1:18" x14ac:dyDescent="0.3">
      <c r="A275" t="s">
        <v>3219</v>
      </c>
      <c r="B275" t="s">
        <v>528</v>
      </c>
      <c r="C275" t="s">
        <v>566</v>
      </c>
      <c r="D275" s="1">
        <v>45738</v>
      </c>
      <c r="E275" s="1">
        <v>45798</v>
      </c>
      <c r="F275" t="s">
        <v>13</v>
      </c>
      <c r="G275">
        <v>3252536</v>
      </c>
      <c r="H275" s="1"/>
      <c r="I275" t="s">
        <v>2206</v>
      </c>
      <c r="J275" t="s">
        <v>556</v>
      </c>
      <c r="L275">
        <v>0</v>
      </c>
      <c r="M275">
        <f>IF(F275="INR",1,INDEX('rates'!$B$2:$C$522,MATCH(D275,'rates'!$A$2:$A$522,1),MATCH(F275&amp;"/INR",'rates'!$B$1:$C$1,0)))</f>
        <v>1</v>
      </c>
      <c r="N275">
        <f t="shared" si="20"/>
        <v>3252536</v>
      </c>
      <c r="O275">
        <f t="shared" si="21"/>
        <v>3252536</v>
      </c>
      <c r="P275">
        <f t="shared" si="22"/>
        <v>0</v>
      </c>
      <c r="Q275" t="str">
        <f t="shared" si="23"/>
        <v/>
      </c>
      <c r="R275" t="str">
        <f t="shared" si="24"/>
        <v>Not yet due</v>
      </c>
    </row>
    <row r="276" spans="1:18" x14ac:dyDescent="0.3">
      <c r="A276" t="s">
        <v>1616</v>
      </c>
      <c r="B276" t="s">
        <v>466</v>
      </c>
      <c r="C276" t="s">
        <v>558</v>
      </c>
      <c r="D276" s="1">
        <v>45327</v>
      </c>
      <c r="E276" s="1">
        <v>45387</v>
      </c>
      <c r="F276" t="s">
        <v>31</v>
      </c>
      <c r="G276">
        <v>131268.99</v>
      </c>
      <c r="H276" s="1">
        <v>45400</v>
      </c>
      <c r="I276" t="s">
        <v>567</v>
      </c>
      <c r="J276" t="s">
        <v>556</v>
      </c>
      <c r="L276">
        <v>94884.5</v>
      </c>
      <c r="M276">
        <f>IF(F276="INR",1,INDEX('rates'!$B$2:$C$522,MATCH(D276,'rates'!$A$2:$A$522,1),MATCH(F276&amp;"/INR",'rates'!$B$1:$C$1,0)))</f>
        <v>89.151700000000005</v>
      </c>
      <c r="N276">
        <f t="shared" si="20"/>
        <v>11702853.615783</v>
      </c>
      <c r="O276">
        <f t="shared" si="21"/>
        <v>3243739.1371329995</v>
      </c>
      <c r="P276">
        <f t="shared" si="22"/>
        <v>360</v>
      </c>
      <c r="Q276">
        <f t="shared" si="23"/>
        <v>13</v>
      </c>
      <c r="R276" t="str">
        <f t="shared" si="24"/>
        <v>90+</v>
      </c>
    </row>
    <row r="277" spans="1:18" x14ac:dyDescent="0.3">
      <c r="A277" t="s">
        <v>3232</v>
      </c>
      <c r="B277" t="s">
        <v>268</v>
      </c>
      <c r="C277" t="s">
        <v>566</v>
      </c>
      <c r="D277" s="1">
        <v>45742</v>
      </c>
      <c r="E277" s="1">
        <v>45802</v>
      </c>
      <c r="F277" t="s">
        <v>13</v>
      </c>
      <c r="G277">
        <v>3242758</v>
      </c>
      <c r="H277" s="1"/>
      <c r="I277" t="s">
        <v>2206</v>
      </c>
      <c r="J277" t="s">
        <v>556</v>
      </c>
      <c r="L277">
        <v>0</v>
      </c>
      <c r="M277">
        <f>IF(F277="INR",1,INDEX('rates'!$B$2:$C$522,MATCH(D277,'rates'!$A$2:$A$522,1),MATCH(F277&amp;"/INR",'rates'!$B$1:$C$1,0)))</f>
        <v>1</v>
      </c>
      <c r="N277">
        <f t="shared" si="20"/>
        <v>3242758</v>
      </c>
      <c r="O277">
        <f t="shared" si="21"/>
        <v>3242758</v>
      </c>
      <c r="P277">
        <f t="shared" si="22"/>
        <v>0</v>
      </c>
      <c r="Q277" t="str">
        <f t="shared" si="23"/>
        <v/>
      </c>
      <c r="R277" t="str">
        <f t="shared" si="24"/>
        <v>Not yet due</v>
      </c>
    </row>
    <row r="278" spans="1:18" x14ac:dyDescent="0.3">
      <c r="A278" t="s">
        <v>2958</v>
      </c>
      <c r="B278" t="s">
        <v>124</v>
      </c>
      <c r="C278" t="s">
        <v>575</v>
      </c>
      <c r="D278" s="1">
        <v>45674</v>
      </c>
      <c r="E278" s="1">
        <v>45734</v>
      </c>
      <c r="F278" t="s">
        <v>31</v>
      </c>
      <c r="G278">
        <v>36339.769999999997</v>
      </c>
      <c r="H278" s="1"/>
      <c r="I278" t="s">
        <v>2206</v>
      </c>
      <c r="J278" t="s">
        <v>573</v>
      </c>
      <c r="K278">
        <v>89.212100000000007</v>
      </c>
      <c r="L278">
        <v>0</v>
      </c>
      <c r="M278">
        <f>IF(F278="INR",1,INDEX('rates'!$B$2:$C$522,MATCH(D278,'rates'!$A$2:$A$522,1),MATCH(F278&amp;"/INR",'rates'!$B$1:$C$1,0)))</f>
        <v>89.034000000000006</v>
      </c>
      <c r="N278">
        <f t="shared" si="20"/>
        <v>3235475.0821799999</v>
      </c>
      <c r="O278">
        <f t="shared" si="21"/>
        <v>3235475.0821799999</v>
      </c>
      <c r="P278">
        <f t="shared" si="22"/>
        <v>13</v>
      </c>
      <c r="Q278" t="str">
        <f t="shared" si="23"/>
        <v/>
      </c>
      <c r="R278" t="str">
        <f t="shared" si="24"/>
        <v>1-30</v>
      </c>
    </row>
    <row r="279" spans="1:18" x14ac:dyDescent="0.3">
      <c r="A279" t="s">
        <v>1288</v>
      </c>
      <c r="B279" t="s">
        <v>260</v>
      </c>
      <c r="C279" t="s">
        <v>558</v>
      </c>
      <c r="D279" s="1">
        <v>45241</v>
      </c>
      <c r="E279" s="1">
        <v>45301</v>
      </c>
      <c r="F279" t="s">
        <v>36</v>
      </c>
      <c r="G279">
        <v>104605.87</v>
      </c>
      <c r="H279" s="1">
        <v>45328</v>
      </c>
      <c r="I279" t="s">
        <v>567</v>
      </c>
      <c r="J279" t="s">
        <v>556</v>
      </c>
      <c r="L279">
        <v>66670.12</v>
      </c>
      <c r="M279">
        <f>IF(F279="INR",1,INDEX('rates'!$B$2:$C$522,MATCH(D279,'rates'!$A$2:$A$522,1),MATCH(F279&amp;"/INR",'rates'!$B$1:$C$1,0)))</f>
        <v>83.25</v>
      </c>
      <c r="N279">
        <f t="shared" si="20"/>
        <v>8708438.6775000002</v>
      </c>
      <c r="O279">
        <f t="shared" si="21"/>
        <v>3158151.1875</v>
      </c>
      <c r="P279">
        <f t="shared" si="22"/>
        <v>446</v>
      </c>
      <c r="Q279">
        <f t="shared" si="23"/>
        <v>27</v>
      </c>
      <c r="R279" t="str">
        <f t="shared" si="24"/>
        <v>90+</v>
      </c>
    </row>
    <row r="280" spans="1:18" x14ac:dyDescent="0.3">
      <c r="A280" t="s">
        <v>3141</v>
      </c>
      <c r="B280" t="s">
        <v>42</v>
      </c>
      <c r="C280" t="s">
        <v>566</v>
      </c>
      <c r="D280" s="1">
        <v>45722</v>
      </c>
      <c r="E280" s="1">
        <v>45782</v>
      </c>
      <c r="F280" t="s">
        <v>13</v>
      </c>
      <c r="G280">
        <v>3135214</v>
      </c>
      <c r="H280" s="1"/>
      <c r="I280" t="s">
        <v>2206</v>
      </c>
      <c r="J280" t="s">
        <v>556</v>
      </c>
      <c r="L280">
        <v>0</v>
      </c>
      <c r="M280">
        <f>IF(F280="INR",1,INDEX('rates'!$B$2:$C$522,MATCH(D280,'rates'!$A$2:$A$522,1),MATCH(F280&amp;"/INR",'rates'!$B$1:$C$1,0)))</f>
        <v>1</v>
      </c>
      <c r="N280">
        <f t="shared" si="20"/>
        <v>3135214</v>
      </c>
      <c r="O280">
        <f t="shared" si="21"/>
        <v>3135214</v>
      </c>
      <c r="P280">
        <f t="shared" si="22"/>
        <v>0</v>
      </c>
      <c r="Q280" t="str">
        <f t="shared" si="23"/>
        <v/>
      </c>
      <c r="R280" t="str">
        <f t="shared" si="24"/>
        <v>Not yet due</v>
      </c>
    </row>
    <row r="281" spans="1:18" x14ac:dyDescent="0.3">
      <c r="A281" t="s">
        <v>2977</v>
      </c>
      <c r="B281" t="s">
        <v>372</v>
      </c>
      <c r="C281" t="s">
        <v>560</v>
      </c>
      <c r="D281" s="1">
        <v>45680</v>
      </c>
      <c r="E281" s="1">
        <v>45770</v>
      </c>
      <c r="F281" t="s">
        <v>13</v>
      </c>
      <c r="G281">
        <v>3108881</v>
      </c>
      <c r="H281" s="1"/>
      <c r="I281" t="s">
        <v>2206</v>
      </c>
      <c r="J281" t="s">
        <v>556</v>
      </c>
      <c r="L281">
        <v>0</v>
      </c>
      <c r="M281">
        <f>IF(F281="INR",1,INDEX('rates'!$B$2:$C$522,MATCH(D281,'rates'!$A$2:$A$522,1),MATCH(F281&amp;"/INR",'rates'!$B$1:$C$1,0)))</f>
        <v>1</v>
      </c>
      <c r="N281">
        <f t="shared" si="20"/>
        <v>3108881</v>
      </c>
      <c r="O281">
        <f t="shared" si="21"/>
        <v>3108881</v>
      </c>
      <c r="P281">
        <f t="shared" si="22"/>
        <v>0</v>
      </c>
      <c r="Q281" t="str">
        <f t="shared" si="23"/>
        <v/>
      </c>
      <c r="R281" t="str">
        <f t="shared" si="24"/>
        <v>Not yet due</v>
      </c>
    </row>
    <row r="282" spans="1:18" x14ac:dyDescent="0.3">
      <c r="A282" t="s">
        <v>3061</v>
      </c>
      <c r="B282" t="s">
        <v>360</v>
      </c>
      <c r="C282" t="s">
        <v>566</v>
      </c>
      <c r="D282" s="1">
        <v>45701</v>
      </c>
      <c r="E282" s="1">
        <v>45746</v>
      </c>
      <c r="F282" t="s">
        <v>13</v>
      </c>
      <c r="G282">
        <v>3091431</v>
      </c>
      <c r="H282" s="1"/>
      <c r="I282" t="s">
        <v>2206</v>
      </c>
      <c r="J282" t="s">
        <v>556</v>
      </c>
      <c r="L282">
        <v>0</v>
      </c>
      <c r="M282">
        <f>IF(F282="INR",1,INDEX('rates'!$B$2:$C$522,MATCH(D282,'rates'!$A$2:$A$522,1),MATCH(F282&amp;"/INR",'rates'!$B$1:$C$1,0)))</f>
        <v>1</v>
      </c>
      <c r="N282">
        <f t="shared" si="20"/>
        <v>3091431</v>
      </c>
      <c r="O282">
        <f t="shared" si="21"/>
        <v>3091431</v>
      </c>
      <c r="P282">
        <f t="shared" si="22"/>
        <v>1</v>
      </c>
      <c r="Q282" t="str">
        <f t="shared" si="23"/>
        <v/>
      </c>
      <c r="R282" t="str">
        <f t="shared" si="24"/>
        <v>1-30</v>
      </c>
    </row>
    <row r="283" spans="1:18" x14ac:dyDescent="0.3">
      <c r="A283" t="s">
        <v>2969</v>
      </c>
      <c r="B283" t="s">
        <v>466</v>
      </c>
      <c r="C283" t="s">
        <v>558</v>
      </c>
      <c r="D283" s="1">
        <v>45677</v>
      </c>
      <c r="E283" s="1">
        <v>45737</v>
      </c>
      <c r="F283" t="s">
        <v>31</v>
      </c>
      <c r="G283">
        <v>87364.94</v>
      </c>
      <c r="H283" s="1">
        <v>45741</v>
      </c>
      <c r="I283" t="s">
        <v>567</v>
      </c>
      <c r="J283" t="s">
        <v>556</v>
      </c>
      <c r="L283">
        <v>52882.48</v>
      </c>
      <c r="M283">
        <f>IF(F283="INR",1,INDEX('rates'!$B$2:$C$522,MATCH(D283,'rates'!$A$2:$A$522,1),MATCH(F283&amp;"/INR",'rates'!$B$1:$C$1,0)))</f>
        <v>89.034000000000006</v>
      </c>
      <c r="N283">
        <f t="shared" si="20"/>
        <v>7778450.0679600006</v>
      </c>
      <c r="O283">
        <f t="shared" si="21"/>
        <v>3070111.3436400001</v>
      </c>
      <c r="P283">
        <f t="shared" si="22"/>
        <v>10</v>
      </c>
      <c r="Q283">
        <f t="shared" si="23"/>
        <v>4</v>
      </c>
      <c r="R283" t="str">
        <f t="shared" si="24"/>
        <v>1-30</v>
      </c>
    </row>
    <row r="284" spans="1:18" x14ac:dyDescent="0.3">
      <c r="A284" t="s">
        <v>3099</v>
      </c>
      <c r="B284" t="s">
        <v>512</v>
      </c>
      <c r="C284" t="s">
        <v>566</v>
      </c>
      <c r="D284" s="1">
        <v>45709</v>
      </c>
      <c r="E284" s="1">
        <v>45769</v>
      </c>
      <c r="F284" t="s">
        <v>31</v>
      </c>
      <c r="G284">
        <v>33717</v>
      </c>
      <c r="H284" s="1"/>
      <c r="I284" t="s">
        <v>2206</v>
      </c>
      <c r="J284" t="s">
        <v>573</v>
      </c>
      <c r="K284">
        <v>90.826099999999997</v>
      </c>
      <c r="L284">
        <v>0</v>
      </c>
      <c r="M284">
        <f>IF(F284="INR",1,INDEX('rates'!$B$2:$C$522,MATCH(D284,'rates'!$A$2:$A$522,1),MATCH(F284&amp;"/INR",'rates'!$B$1:$C$1,0)))</f>
        <v>90.644800000000004</v>
      </c>
      <c r="N284">
        <f t="shared" si="20"/>
        <v>3056270.7216000003</v>
      </c>
      <c r="O284">
        <f t="shared" si="21"/>
        <v>3056270.7216000003</v>
      </c>
      <c r="P284">
        <f t="shared" si="22"/>
        <v>0</v>
      </c>
      <c r="Q284" t="str">
        <f t="shared" si="23"/>
        <v/>
      </c>
      <c r="R284" t="str">
        <f t="shared" si="24"/>
        <v>Not yet due</v>
      </c>
    </row>
    <row r="285" spans="1:18" x14ac:dyDescent="0.3">
      <c r="A285" t="s">
        <v>3010</v>
      </c>
      <c r="B285" t="s">
        <v>117</v>
      </c>
      <c r="C285" t="s">
        <v>554</v>
      </c>
      <c r="D285" s="1">
        <v>45689</v>
      </c>
      <c r="E285" s="1">
        <v>45749</v>
      </c>
      <c r="F285" t="s">
        <v>13</v>
      </c>
      <c r="G285">
        <v>3025206</v>
      </c>
      <c r="H285" s="1"/>
      <c r="I285" t="s">
        <v>2206</v>
      </c>
      <c r="J285" t="s">
        <v>556</v>
      </c>
      <c r="L285">
        <v>0</v>
      </c>
      <c r="M285">
        <f>IF(F285="INR",1,INDEX('rates'!$B$2:$C$522,MATCH(D285,'rates'!$A$2:$A$522,1),MATCH(F285&amp;"/INR",'rates'!$B$1:$C$1,0)))</f>
        <v>1</v>
      </c>
      <c r="N285">
        <f t="shared" si="20"/>
        <v>3025206</v>
      </c>
      <c r="O285">
        <f t="shared" si="21"/>
        <v>3025206</v>
      </c>
      <c r="P285">
        <f t="shared" si="22"/>
        <v>0</v>
      </c>
      <c r="Q285" t="str">
        <f t="shared" si="23"/>
        <v/>
      </c>
      <c r="R285" t="str">
        <f t="shared" si="24"/>
        <v>Not yet due</v>
      </c>
    </row>
    <row r="286" spans="1:18" x14ac:dyDescent="0.3">
      <c r="A286" t="s">
        <v>3170</v>
      </c>
      <c r="B286" t="s">
        <v>480</v>
      </c>
      <c r="C286" t="s">
        <v>558</v>
      </c>
      <c r="D286" s="1">
        <v>45728</v>
      </c>
      <c r="E286" s="1">
        <v>45758</v>
      </c>
      <c r="F286" t="s">
        <v>13</v>
      </c>
      <c r="G286">
        <v>2957814</v>
      </c>
      <c r="H286" s="1"/>
      <c r="I286" t="s">
        <v>2206</v>
      </c>
      <c r="J286" t="s">
        <v>556</v>
      </c>
      <c r="L286">
        <v>0</v>
      </c>
      <c r="M286">
        <f>IF(F286="INR",1,INDEX('rates'!$B$2:$C$522,MATCH(D286,'rates'!$A$2:$A$522,1),MATCH(F286&amp;"/INR",'rates'!$B$1:$C$1,0)))</f>
        <v>1</v>
      </c>
      <c r="N286">
        <f t="shared" si="20"/>
        <v>2957814</v>
      </c>
      <c r="O286">
        <f t="shared" si="21"/>
        <v>2957814</v>
      </c>
      <c r="P286">
        <f t="shared" si="22"/>
        <v>0</v>
      </c>
      <c r="Q286" t="str">
        <f t="shared" si="23"/>
        <v/>
      </c>
      <c r="R286" t="str">
        <f t="shared" si="24"/>
        <v>Not yet due</v>
      </c>
    </row>
    <row r="287" spans="1:18" x14ac:dyDescent="0.3">
      <c r="A287" t="s">
        <v>3053</v>
      </c>
      <c r="B287" t="s">
        <v>418</v>
      </c>
      <c r="C287" t="s">
        <v>558</v>
      </c>
      <c r="D287" s="1">
        <v>45699</v>
      </c>
      <c r="E287" s="1">
        <v>45744</v>
      </c>
      <c r="F287" t="s">
        <v>13</v>
      </c>
      <c r="G287">
        <v>2934735</v>
      </c>
      <c r="H287" s="1"/>
      <c r="I287" t="s">
        <v>2206</v>
      </c>
      <c r="J287" t="s">
        <v>556</v>
      </c>
      <c r="L287">
        <v>0</v>
      </c>
      <c r="M287">
        <f>IF(F287="INR",1,INDEX('rates'!$B$2:$C$522,MATCH(D287,'rates'!$A$2:$A$522,1),MATCH(F287&amp;"/INR",'rates'!$B$1:$C$1,0)))</f>
        <v>1</v>
      </c>
      <c r="N287">
        <f t="shared" si="20"/>
        <v>2934735</v>
      </c>
      <c r="O287">
        <f t="shared" si="21"/>
        <v>2934735</v>
      </c>
      <c r="P287">
        <f t="shared" si="22"/>
        <v>3</v>
      </c>
      <c r="Q287" t="str">
        <f t="shared" si="23"/>
        <v/>
      </c>
      <c r="R287" t="str">
        <f t="shared" si="24"/>
        <v>1-30</v>
      </c>
    </row>
    <row r="288" spans="1:18" x14ac:dyDescent="0.3">
      <c r="A288" t="s">
        <v>3046</v>
      </c>
      <c r="B288" t="s">
        <v>284</v>
      </c>
      <c r="C288" t="s">
        <v>566</v>
      </c>
      <c r="D288" s="1">
        <v>45698</v>
      </c>
      <c r="E288" s="1">
        <v>45743</v>
      </c>
      <c r="F288" t="s">
        <v>31</v>
      </c>
      <c r="G288">
        <v>32540.07</v>
      </c>
      <c r="H288" s="1"/>
      <c r="I288" t="s">
        <v>2206</v>
      </c>
      <c r="J288" t="s">
        <v>573</v>
      </c>
      <c r="K288">
        <v>90.313699999999997</v>
      </c>
      <c r="L288">
        <v>0</v>
      </c>
      <c r="M288">
        <f>IF(F288="INR",1,INDEX('rates'!$B$2:$C$522,MATCH(D288,'rates'!$A$2:$A$522,1),MATCH(F288&amp;"/INR",'rates'!$B$1:$C$1,0)))</f>
        <v>90.178399999999996</v>
      </c>
      <c r="N288">
        <f t="shared" si="20"/>
        <v>2934411.4484879998</v>
      </c>
      <c r="O288">
        <f t="shared" si="21"/>
        <v>2934411.4484879998</v>
      </c>
      <c r="P288">
        <f t="shared" si="22"/>
        <v>4</v>
      </c>
      <c r="Q288" t="str">
        <f t="shared" si="23"/>
        <v/>
      </c>
      <c r="R288" t="str">
        <f t="shared" si="24"/>
        <v>1-30</v>
      </c>
    </row>
    <row r="289" spans="1:18" x14ac:dyDescent="0.3">
      <c r="A289" t="s">
        <v>3043</v>
      </c>
      <c r="B289" t="s">
        <v>436</v>
      </c>
      <c r="C289" t="s">
        <v>566</v>
      </c>
      <c r="D289" s="1">
        <v>45696</v>
      </c>
      <c r="E289" s="1">
        <v>45741</v>
      </c>
      <c r="F289" t="s">
        <v>36</v>
      </c>
      <c r="G289">
        <v>33509.19</v>
      </c>
      <c r="H289" s="1"/>
      <c r="I289" t="s">
        <v>2206</v>
      </c>
      <c r="J289" t="s">
        <v>573</v>
      </c>
      <c r="K289">
        <v>87.648600000000002</v>
      </c>
      <c r="L289">
        <v>0</v>
      </c>
      <c r="M289">
        <f>IF(F289="INR",1,INDEX('rates'!$B$2:$C$522,MATCH(D289,'rates'!$A$2:$A$522,1),MATCH(F289&amp;"/INR",'rates'!$B$1:$C$1,0)))</f>
        <v>87.43</v>
      </c>
      <c r="N289">
        <f t="shared" si="20"/>
        <v>2929708.4817000004</v>
      </c>
      <c r="O289">
        <f t="shared" si="21"/>
        <v>2929708.4817000004</v>
      </c>
      <c r="P289">
        <f t="shared" si="22"/>
        <v>6</v>
      </c>
      <c r="Q289" t="str">
        <f t="shared" si="23"/>
        <v/>
      </c>
      <c r="R289" t="str">
        <f t="shared" si="24"/>
        <v>1-30</v>
      </c>
    </row>
    <row r="290" spans="1:18" x14ac:dyDescent="0.3">
      <c r="A290" t="s">
        <v>2504</v>
      </c>
      <c r="B290" t="s">
        <v>232</v>
      </c>
      <c r="C290" t="s">
        <v>566</v>
      </c>
      <c r="D290" s="1">
        <v>45566</v>
      </c>
      <c r="E290" s="1">
        <v>45626</v>
      </c>
      <c r="F290" t="s">
        <v>36</v>
      </c>
      <c r="G290">
        <v>34783.360000000001</v>
      </c>
      <c r="H290" s="1"/>
      <c r="I290" t="s">
        <v>2206</v>
      </c>
      <c r="J290" t="s">
        <v>573</v>
      </c>
      <c r="K290">
        <v>84.089399999999998</v>
      </c>
      <c r="L290">
        <v>0</v>
      </c>
      <c r="M290">
        <f>IF(F290="INR",1,INDEX('rates'!$B$2:$C$522,MATCH(D290,'rates'!$A$2:$A$522,1),MATCH(F290&amp;"/INR",'rates'!$B$1:$C$1,0)))</f>
        <v>83.81</v>
      </c>
      <c r="N290">
        <f t="shared" si="20"/>
        <v>2915193.4016</v>
      </c>
      <c r="O290">
        <f t="shared" si="21"/>
        <v>2915193.4016</v>
      </c>
      <c r="P290">
        <f t="shared" si="22"/>
        <v>121</v>
      </c>
      <c r="Q290" t="str">
        <f t="shared" si="23"/>
        <v/>
      </c>
      <c r="R290" t="str">
        <f t="shared" si="24"/>
        <v>90+</v>
      </c>
    </row>
    <row r="291" spans="1:18" x14ac:dyDescent="0.3">
      <c r="A291" t="s">
        <v>3226</v>
      </c>
      <c r="B291" t="s">
        <v>96</v>
      </c>
      <c r="C291" t="s">
        <v>558</v>
      </c>
      <c r="D291" s="1">
        <v>45741</v>
      </c>
      <c r="E291" s="1">
        <v>45831</v>
      </c>
      <c r="F291" t="s">
        <v>13</v>
      </c>
      <c r="G291">
        <v>2900535</v>
      </c>
      <c r="H291" s="1"/>
      <c r="I291" t="s">
        <v>2206</v>
      </c>
      <c r="J291" t="s">
        <v>556</v>
      </c>
      <c r="L291">
        <v>0</v>
      </c>
      <c r="M291">
        <f>IF(F291="INR",1,INDEX('rates'!$B$2:$C$522,MATCH(D291,'rates'!$A$2:$A$522,1),MATCH(F291&amp;"/INR",'rates'!$B$1:$C$1,0)))</f>
        <v>1</v>
      </c>
      <c r="N291">
        <f t="shared" si="20"/>
        <v>2900535</v>
      </c>
      <c r="O291">
        <f t="shared" si="21"/>
        <v>2900535</v>
      </c>
      <c r="P291">
        <f t="shared" si="22"/>
        <v>0</v>
      </c>
      <c r="Q291" t="str">
        <f t="shared" si="23"/>
        <v/>
      </c>
      <c r="R291" t="str">
        <f t="shared" si="24"/>
        <v>Not yet due</v>
      </c>
    </row>
    <row r="292" spans="1:18" x14ac:dyDescent="0.3">
      <c r="A292" t="s">
        <v>1745</v>
      </c>
      <c r="B292" t="s">
        <v>186</v>
      </c>
      <c r="C292" t="s">
        <v>558</v>
      </c>
      <c r="D292" s="1">
        <v>45358</v>
      </c>
      <c r="E292" s="1">
        <v>45388</v>
      </c>
      <c r="F292" t="s">
        <v>36</v>
      </c>
      <c r="G292">
        <v>108692.31</v>
      </c>
      <c r="H292" s="1">
        <v>45418</v>
      </c>
      <c r="I292" t="s">
        <v>567</v>
      </c>
      <c r="J292" t="s">
        <v>556</v>
      </c>
      <c r="L292">
        <v>73664.89</v>
      </c>
      <c r="M292">
        <f>IF(F292="INR",1,INDEX('rates'!$B$2:$C$522,MATCH(D292,'rates'!$A$2:$A$522,1),MATCH(F292&amp;"/INR",'rates'!$B$1:$C$1,0)))</f>
        <v>82.78</v>
      </c>
      <c r="N292">
        <f t="shared" si="20"/>
        <v>8997549.4218000006</v>
      </c>
      <c r="O292">
        <f t="shared" si="21"/>
        <v>2899569.8276</v>
      </c>
      <c r="P292">
        <f t="shared" si="22"/>
        <v>359</v>
      </c>
      <c r="Q292">
        <f t="shared" si="23"/>
        <v>30</v>
      </c>
      <c r="R292" t="str">
        <f t="shared" si="24"/>
        <v>90+</v>
      </c>
    </row>
    <row r="293" spans="1:18" x14ac:dyDescent="0.3">
      <c r="A293" t="s">
        <v>3063</v>
      </c>
      <c r="B293" t="s">
        <v>436</v>
      </c>
      <c r="C293" t="s">
        <v>566</v>
      </c>
      <c r="D293" s="1">
        <v>45701</v>
      </c>
      <c r="E293" s="1">
        <v>45746</v>
      </c>
      <c r="F293" t="s">
        <v>36</v>
      </c>
      <c r="G293">
        <v>33123.58</v>
      </c>
      <c r="H293" s="1"/>
      <c r="I293" t="s">
        <v>2206</v>
      </c>
      <c r="J293" t="s">
        <v>573</v>
      </c>
      <c r="K293">
        <v>87.107200000000006</v>
      </c>
      <c r="L293">
        <v>0</v>
      </c>
      <c r="M293">
        <f>IF(F293="INR",1,INDEX('rates'!$B$2:$C$522,MATCH(D293,'rates'!$A$2:$A$522,1),MATCH(F293&amp;"/INR",'rates'!$B$1:$C$1,0)))</f>
        <v>86.89</v>
      </c>
      <c r="N293">
        <f t="shared" si="20"/>
        <v>2878107.8662</v>
      </c>
      <c r="O293">
        <f t="shared" si="21"/>
        <v>2878107.8662</v>
      </c>
      <c r="P293">
        <f t="shared" si="22"/>
        <v>1</v>
      </c>
      <c r="Q293" t="str">
        <f t="shared" si="23"/>
        <v/>
      </c>
      <c r="R293" t="str">
        <f t="shared" si="24"/>
        <v>1-30</v>
      </c>
    </row>
    <row r="294" spans="1:18" x14ac:dyDescent="0.3">
      <c r="A294" t="s">
        <v>3132</v>
      </c>
      <c r="B294" t="s">
        <v>244</v>
      </c>
      <c r="C294" t="s">
        <v>575</v>
      </c>
      <c r="D294" s="1">
        <v>45720</v>
      </c>
      <c r="E294" s="1">
        <v>45780</v>
      </c>
      <c r="F294" t="s">
        <v>36</v>
      </c>
      <c r="G294">
        <v>32698.12</v>
      </c>
      <c r="H294" s="1"/>
      <c r="I294" t="s">
        <v>2206</v>
      </c>
      <c r="J294" t="s">
        <v>573</v>
      </c>
      <c r="K294">
        <v>87.550899999999999</v>
      </c>
      <c r="L294">
        <v>0</v>
      </c>
      <c r="M294">
        <f>IF(F294="INR",1,INDEX('rates'!$B$2:$C$522,MATCH(D294,'rates'!$A$2:$A$522,1),MATCH(F294&amp;"/INR",'rates'!$B$1:$C$1,0)))</f>
        <v>87.26</v>
      </c>
      <c r="N294">
        <f t="shared" si="20"/>
        <v>2853237.9512</v>
      </c>
      <c r="O294">
        <f t="shared" si="21"/>
        <v>2853237.9512</v>
      </c>
      <c r="P294">
        <f t="shared" si="22"/>
        <v>0</v>
      </c>
      <c r="Q294" t="str">
        <f t="shared" si="23"/>
        <v/>
      </c>
      <c r="R294" t="str">
        <f t="shared" si="24"/>
        <v>Not yet due</v>
      </c>
    </row>
    <row r="295" spans="1:18" x14ac:dyDescent="0.3">
      <c r="A295" t="s">
        <v>3072</v>
      </c>
      <c r="B295" t="s">
        <v>486</v>
      </c>
      <c r="C295" t="s">
        <v>554</v>
      </c>
      <c r="D295" s="1">
        <v>45702</v>
      </c>
      <c r="E295" s="1">
        <v>45747</v>
      </c>
      <c r="F295" t="s">
        <v>13</v>
      </c>
      <c r="G295">
        <v>2837155</v>
      </c>
      <c r="H295" s="1"/>
      <c r="I295" t="s">
        <v>2206</v>
      </c>
      <c r="J295" t="s">
        <v>556</v>
      </c>
      <c r="L295">
        <v>0</v>
      </c>
      <c r="M295">
        <f>IF(F295="INR",1,INDEX('rates'!$B$2:$C$522,MATCH(D295,'rates'!$A$2:$A$522,1),MATCH(F295&amp;"/INR",'rates'!$B$1:$C$1,0)))</f>
        <v>1</v>
      </c>
      <c r="N295">
        <f t="shared" si="20"/>
        <v>2837155</v>
      </c>
      <c r="O295">
        <f t="shared" si="21"/>
        <v>2837155</v>
      </c>
      <c r="P295">
        <f t="shared" si="22"/>
        <v>0</v>
      </c>
      <c r="Q295" t="str">
        <f t="shared" si="23"/>
        <v/>
      </c>
      <c r="R295" t="str">
        <f t="shared" si="24"/>
        <v>Not yet due</v>
      </c>
    </row>
    <row r="296" spans="1:18" x14ac:dyDescent="0.3">
      <c r="A296" t="s">
        <v>2395</v>
      </c>
      <c r="B296" t="s">
        <v>436</v>
      </c>
      <c r="C296" t="s">
        <v>566</v>
      </c>
      <c r="D296" s="1">
        <v>45537</v>
      </c>
      <c r="E296" s="1">
        <v>45582</v>
      </c>
      <c r="F296" t="s">
        <v>36</v>
      </c>
      <c r="G296">
        <v>50188.800000000003</v>
      </c>
      <c r="H296" s="1">
        <v>45645</v>
      </c>
      <c r="I296" t="s">
        <v>567</v>
      </c>
      <c r="J296" t="s">
        <v>573</v>
      </c>
      <c r="K296">
        <v>84.039599999999993</v>
      </c>
      <c r="L296">
        <v>16376.25</v>
      </c>
      <c r="M296">
        <f>IF(F296="INR",1,INDEX('rates'!$B$2:$C$522,MATCH(D296,'rates'!$A$2:$A$522,1),MATCH(F296&amp;"/INR",'rates'!$B$1:$C$1,0)))</f>
        <v>83.83</v>
      </c>
      <c r="N296">
        <f t="shared" si="20"/>
        <v>4207327.1040000003</v>
      </c>
      <c r="O296">
        <f t="shared" si="21"/>
        <v>2834506.0665000002</v>
      </c>
      <c r="P296">
        <f t="shared" si="22"/>
        <v>165</v>
      </c>
      <c r="Q296">
        <f t="shared" si="23"/>
        <v>63</v>
      </c>
      <c r="R296" t="str">
        <f t="shared" si="24"/>
        <v>90+</v>
      </c>
    </row>
    <row r="297" spans="1:18" x14ac:dyDescent="0.3">
      <c r="A297" t="s">
        <v>3070</v>
      </c>
      <c r="B297" t="s">
        <v>258</v>
      </c>
      <c r="C297" t="s">
        <v>558</v>
      </c>
      <c r="D297" s="1">
        <v>45702</v>
      </c>
      <c r="E297" s="1">
        <v>45747</v>
      </c>
      <c r="F297" t="s">
        <v>13</v>
      </c>
      <c r="G297">
        <v>2834137</v>
      </c>
      <c r="H297" s="1"/>
      <c r="I297" t="s">
        <v>2206</v>
      </c>
      <c r="J297" t="s">
        <v>556</v>
      </c>
      <c r="L297">
        <v>0</v>
      </c>
      <c r="M297">
        <f>IF(F297="INR",1,INDEX('rates'!$B$2:$C$522,MATCH(D297,'rates'!$A$2:$A$522,1),MATCH(F297&amp;"/INR",'rates'!$B$1:$C$1,0)))</f>
        <v>1</v>
      </c>
      <c r="N297">
        <f t="shared" si="20"/>
        <v>2834137</v>
      </c>
      <c r="O297">
        <f t="shared" si="21"/>
        <v>2834137</v>
      </c>
      <c r="P297">
        <f t="shared" si="22"/>
        <v>0</v>
      </c>
      <c r="Q297" t="str">
        <f t="shared" si="23"/>
        <v/>
      </c>
      <c r="R297" t="str">
        <f t="shared" si="24"/>
        <v>Not yet due</v>
      </c>
    </row>
    <row r="298" spans="1:18" x14ac:dyDescent="0.3">
      <c r="A298" t="s">
        <v>1457</v>
      </c>
      <c r="B298" t="s">
        <v>75</v>
      </c>
      <c r="C298" t="s">
        <v>566</v>
      </c>
      <c r="D298" s="1">
        <v>45285</v>
      </c>
      <c r="E298" s="1">
        <v>45375</v>
      </c>
      <c r="F298" t="s">
        <v>36</v>
      </c>
      <c r="G298">
        <v>105385.16</v>
      </c>
      <c r="H298" s="1">
        <v>45393</v>
      </c>
      <c r="I298" t="s">
        <v>567</v>
      </c>
      <c r="J298" t="s">
        <v>573</v>
      </c>
      <c r="K298">
        <v>83.535600000000002</v>
      </c>
      <c r="L298">
        <v>71515.490000000005</v>
      </c>
      <c r="M298">
        <f>IF(F298="INR",1,INDEX('rates'!$B$2:$C$522,MATCH(D298,'rates'!$A$2:$A$522,1),MATCH(F298&amp;"/INR",'rates'!$B$1:$C$1,0)))</f>
        <v>83.12</v>
      </c>
      <c r="N298">
        <f t="shared" si="20"/>
        <v>8759614.4992000014</v>
      </c>
      <c r="O298">
        <f t="shared" si="21"/>
        <v>2815246.9704</v>
      </c>
      <c r="P298">
        <f t="shared" si="22"/>
        <v>372</v>
      </c>
      <c r="Q298">
        <f t="shared" si="23"/>
        <v>18</v>
      </c>
      <c r="R298" t="str">
        <f t="shared" si="24"/>
        <v>90+</v>
      </c>
    </row>
    <row r="299" spans="1:18" x14ac:dyDescent="0.3">
      <c r="A299" t="s">
        <v>3237</v>
      </c>
      <c r="B299" t="s">
        <v>496</v>
      </c>
      <c r="C299" t="s">
        <v>554</v>
      </c>
      <c r="D299" s="1">
        <v>45743</v>
      </c>
      <c r="E299" s="1">
        <v>45788</v>
      </c>
      <c r="F299" t="s">
        <v>13</v>
      </c>
      <c r="G299">
        <v>2798382</v>
      </c>
      <c r="H299" s="1"/>
      <c r="I299" t="s">
        <v>2206</v>
      </c>
      <c r="J299" t="s">
        <v>556</v>
      </c>
      <c r="L299">
        <v>0</v>
      </c>
      <c r="M299">
        <f>IF(F299="INR",1,INDEX('rates'!$B$2:$C$522,MATCH(D299,'rates'!$A$2:$A$522,1),MATCH(F299&amp;"/INR",'rates'!$B$1:$C$1,0)))</f>
        <v>1</v>
      </c>
      <c r="N299">
        <f t="shared" si="20"/>
        <v>2798382</v>
      </c>
      <c r="O299">
        <f t="shared" si="21"/>
        <v>2798382</v>
      </c>
      <c r="P299">
        <f t="shared" si="22"/>
        <v>0</v>
      </c>
      <c r="Q299" t="str">
        <f t="shared" si="23"/>
        <v/>
      </c>
      <c r="R299" t="str">
        <f t="shared" si="24"/>
        <v>Not yet due</v>
      </c>
    </row>
    <row r="300" spans="1:18" x14ac:dyDescent="0.3">
      <c r="A300" t="s">
        <v>2947</v>
      </c>
      <c r="B300" t="s">
        <v>406</v>
      </c>
      <c r="C300" t="s">
        <v>554</v>
      </c>
      <c r="D300" s="1">
        <v>45670</v>
      </c>
      <c r="E300" s="1">
        <v>45760</v>
      </c>
      <c r="F300" t="s">
        <v>13</v>
      </c>
      <c r="G300">
        <v>2756743</v>
      </c>
      <c r="H300" s="1"/>
      <c r="I300" t="s">
        <v>2206</v>
      </c>
      <c r="J300" t="s">
        <v>556</v>
      </c>
      <c r="L300">
        <v>0</v>
      </c>
      <c r="M300">
        <f>IF(F300="INR",1,INDEX('rates'!$B$2:$C$522,MATCH(D300,'rates'!$A$2:$A$522,1),MATCH(F300&amp;"/INR",'rates'!$B$1:$C$1,0)))</f>
        <v>1</v>
      </c>
      <c r="N300">
        <f t="shared" si="20"/>
        <v>2756743</v>
      </c>
      <c r="O300">
        <f t="shared" si="21"/>
        <v>2756743</v>
      </c>
      <c r="P300">
        <f t="shared" si="22"/>
        <v>0</v>
      </c>
      <c r="Q300" t="str">
        <f t="shared" si="23"/>
        <v/>
      </c>
      <c r="R300" t="str">
        <f t="shared" si="24"/>
        <v>Not yet due</v>
      </c>
    </row>
    <row r="301" spans="1:18" x14ac:dyDescent="0.3">
      <c r="A301" t="s">
        <v>1609</v>
      </c>
      <c r="B301" t="s">
        <v>184</v>
      </c>
      <c r="C301" t="s">
        <v>575</v>
      </c>
      <c r="D301" s="1">
        <v>45325</v>
      </c>
      <c r="E301" s="1">
        <v>45415</v>
      </c>
      <c r="F301" t="s">
        <v>31</v>
      </c>
      <c r="G301">
        <v>67346.080000000002</v>
      </c>
      <c r="H301" s="1">
        <v>45423</v>
      </c>
      <c r="I301" t="s">
        <v>567</v>
      </c>
      <c r="J301" t="s">
        <v>573</v>
      </c>
      <c r="K301">
        <v>89.714100000000002</v>
      </c>
      <c r="L301">
        <v>36763.97</v>
      </c>
      <c r="M301">
        <f>IF(F301="INR",1,INDEX('rates'!$B$2:$C$522,MATCH(D301,'rates'!$A$2:$A$522,1),MATCH(F301&amp;"/INR",'rates'!$B$1:$C$1,0)))</f>
        <v>89.445800000000006</v>
      </c>
      <c r="N301">
        <f t="shared" si="20"/>
        <v>6023824.0024640001</v>
      </c>
      <c r="O301">
        <f t="shared" si="21"/>
        <v>2735441.2946380004</v>
      </c>
      <c r="P301">
        <f t="shared" si="22"/>
        <v>332</v>
      </c>
      <c r="Q301">
        <f t="shared" si="23"/>
        <v>8</v>
      </c>
      <c r="R301" t="str">
        <f t="shared" si="24"/>
        <v>90+</v>
      </c>
    </row>
    <row r="302" spans="1:18" x14ac:dyDescent="0.3">
      <c r="A302" t="s">
        <v>904</v>
      </c>
      <c r="B302" t="s">
        <v>160</v>
      </c>
      <c r="C302" t="s">
        <v>554</v>
      </c>
      <c r="D302" s="1">
        <v>45129</v>
      </c>
      <c r="E302" s="1">
        <v>45174</v>
      </c>
      <c r="F302" t="s">
        <v>13</v>
      </c>
      <c r="G302">
        <v>11069767</v>
      </c>
      <c r="H302" s="1">
        <v>45184</v>
      </c>
      <c r="I302" t="s">
        <v>567</v>
      </c>
      <c r="J302" t="s">
        <v>556</v>
      </c>
      <c r="L302">
        <v>8336260.9000000004</v>
      </c>
      <c r="M302">
        <f>IF(F302="INR",1,INDEX('rates'!$B$2:$C$522,MATCH(D302,'rates'!$A$2:$A$522,1),MATCH(F302&amp;"/INR",'rates'!$B$1:$C$1,0)))</f>
        <v>1</v>
      </c>
      <c r="N302">
        <f t="shared" si="20"/>
        <v>11069767</v>
      </c>
      <c r="O302">
        <f t="shared" si="21"/>
        <v>2733506.0999999996</v>
      </c>
      <c r="P302">
        <f t="shared" si="22"/>
        <v>573</v>
      </c>
      <c r="Q302">
        <f t="shared" si="23"/>
        <v>10</v>
      </c>
      <c r="R302" t="str">
        <f t="shared" si="24"/>
        <v>90+</v>
      </c>
    </row>
    <row r="303" spans="1:18" x14ac:dyDescent="0.3">
      <c r="A303" t="s">
        <v>1545</v>
      </c>
      <c r="B303" t="s">
        <v>436</v>
      </c>
      <c r="C303" t="s">
        <v>566</v>
      </c>
      <c r="D303" s="1">
        <v>45304</v>
      </c>
      <c r="E303" s="1">
        <v>45349</v>
      </c>
      <c r="F303" t="s">
        <v>36</v>
      </c>
      <c r="G303">
        <v>115462.32</v>
      </c>
      <c r="H303" s="1">
        <v>45362</v>
      </c>
      <c r="I303" t="s">
        <v>567</v>
      </c>
      <c r="J303" t="s">
        <v>573</v>
      </c>
      <c r="K303">
        <v>83.127300000000005</v>
      </c>
      <c r="L303">
        <v>82566.41</v>
      </c>
      <c r="M303">
        <f>IF(F303="INR",1,INDEX('rates'!$B$2:$C$522,MATCH(D303,'rates'!$A$2:$A$522,1),MATCH(F303&amp;"/INR",'rates'!$B$1:$C$1,0)))</f>
        <v>82.92</v>
      </c>
      <c r="N303">
        <f t="shared" si="20"/>
        <v>9574135.5744000003</v>
      </c>
      <c r="O303">
        <f t="shared" si="21"/>
        <v>2727728.8572000004</v>
      </c>
      <c r="P303">
        <f t="shared" si="22"/>
        <v>398</v>
      </c>
      <c r="Q303">
        <f t="shared" si="23"/>
        <v>13</v>
      </c>
      <c r="R303" t="str">
        <f t="shared" si="24"/>
        <v>90+</v>
      </c>
    </row>
    <row r="304" spans="1:18" x14ac:dyDescent="0.3">
      <c r="A304" t="s">
        <v>3073</v>
      </c>
      <c r="B304" t="s">
        <v>528</v>
      </c>
      <c r="C304" t="s">
        <v>566</v>
      </c>
      <c r="D304" s="1">
        <v>45702</v>
      </c>
      <c r="E304" s="1">
        <v>45762</v>
      </c>
      <c r="F304" t="s">
        <v>13</v>
      </c>
      <c r="G304">
        <v>2716650</v>
      </c>
      <c r="H304" s="1"/>
      <c r="I304" t="s">
        <v>2206</v>
      </c>
      <c r="J304" t="s">
        <v>556</v>
      </c>
      <c r="L304">
        <v>0</v>
      </c>
      <c r="M304">
        <f>IF(F304="INR",1,INDEX('rates'!$B$2:$C$522,MATCH(D304,'rates'!$A$2:$A$522,1),MATCH(F304&amp;"/INR",'rates'!$B$1:$C$1,0)))</f>
        <v>1</v>
      </c>
      <c r="N304">
        <f t="shared" si="20"/>
        <v>2716650</v>
      </c>
      <c r="O304">
        <f t="shared" si="21"/>
        <v>2716650</v>
      </c>
      <c r="P304">
        <f t="shared" si="22"/>
        <v>0</v>
      </c>
      <c r="Q304" t="str">
        <f t="shared" si="23"/>
        <v/>
      </c>
      <c r="R304" t="str">
        <f t="shared" si="24"/>
        <v>Not yet due</v>
      </c>
    </row>
    <row r="305" spans="1:18" x14ac:dyDescent="0.3">
      <c r="A305" t="s">
        <v>3118</v>
      </c>
      <c r="B305" t="s">
        <v>258</v>
      </c>
      <c r="C305" t="s">
        <v>558</v>
      </c>
      <c r="D305" s="1">
        <v>45716</v>
      </c>
      <c r="E305" s="1">
        <v>45761</v>
      </c>
      <c r="F305" t="s">
        <v>13</v>
      </c>
      <c r="G305">
        <v>2708032</v>
      </c>
      <c r="H305" s="1"/>
      <c r="I305" t="s">
        <v>2206</v>
      </c>
      <c r="J305" t="s">
        <v>556</v>
      </c>
      <c r="L305">
        <v>0</v>
      </c>
      <c r="M305">
        <f>IF(F305="INR",1,INDEX('rates'!$B$2:$C$522,MATCH(D305,'rates'!$A$2:$A$522,1),MATCH(F305&amp;"/INR",'rates'!$B$1:$C$1,0)))</f>
        <v>1</v>
      </c>
      <c r="N305">
        <f t="shared" si="20"/>
        <v>2708032</v>
      </c>
      <c r="O305">
        <f t="shared" si="21"/>
        <v>2708032</v>
      </c>
      <c r="P305">
        <f t="shared" si="22"/>
        <v>0</v>
      </c>
      <c r="Q305" t="str">
        <f t="shared" si="23"/>
        <v/>
      </c>
      <c r="R305" t="str">
        <f t="shared" si="24"/>
        <v>Not yet due</v>
      </c>
    </row>
    <row r="306" spans="1:18" x14ac:dyDescent="0.3">
      <c r="A306" t="s">
        <v>3001</v>
      </c>
      <c r="B306" t="s">
        <v>314</v>
      </c>
      <c r="C306" t="s">
        <v>558</v>
      </c>
      <c r="D306" s="1">
        <v>45685</v>
      </c>
      <c r="E306" s="1">
        <v>45745</v>
      </c>
      <c r="F306" t="s">
        <v>36</v>
      </c>
      <c r="G306">
        <v>31242.17</v>
      </c>
      <c r="H306" s="1"/>
      <c r="I306" t="s">
        <v>2206</v>
      </c>
      <c r="J306" t="s">
        <v>556</v>
      </c>
      <c r="L306">
        <v>0</v>
      </c>
      <c r="M306">
        <f>IF(F306="INR",1,INDEX('rates'!$B$2:$C$522,MATCH(D306,'rates'!$A$2:$A$522,1),MATCH(F306&amp;"/INR",'rates'!$B$1:$C$1,0)))</f>
        <v>86.52</v>
      </c>
      <c r="N306">
        <f t="shared" si="20"/>
        <v>2703072.5483999997</v>
      </c>
      <c r="O306">
        <f t="shared" si="21"/>
        <v>2703072.5483999997</v>
      </c>
      <c r="P306">
        <f t="shared" si="22"/>
        <v>2</v>
      </c>
      <c r="Q306" t="str">
        <f t="shared" si="23"/>
        <v/>
      </c>
      <c r="R306" t="str">
        <f t="shared" si="24"/>
        <v>1-30</v>
      </c>
    </row>
    <row r="307" spans="1:18" x14ac:dyDescent="0.3">
      <c r="A307" t="s">
        <v>2824</v>
      </c>
      <c r="B307" t="s">
        <v>105</v>
      </c>
      <c r="C307" t="s">
        <v>560</v>
      </c>
      <c r="D307" s="1">
        <v>45642</v>
      </c>
      <c r="E307" s="1">
        <v>45732</v>
      </c>
      <c r="F307" t="s">
        <v>36</v>
      </c>
      <c r="G307">
        <v>31625.22</v>
      </c>
      <c r="H307" s="1"/>
      <c r="I307" t="s">
        <v>2206</v>
      </c>
      <c r="J307" t="s">
        <v>556</v>
      </c>
      <c r="L307">
        <v>0</v>
      </c>
      <c r="M307">
        <f>IF(F307="INR",1,INDEX('rates'!$B$2:$C$522,MATCH(D307,'rates'!$A$2:$A$522,1),MATCH(F307&amp;"/INR",'rates'!$B$1:$C$1,0)))</f>
        <v>84.89</v>
      </c>
      <c r="N307">
        <f t="shared" si="20"/>
        <v>2684664.9258000003</v>
      </c>
      <c r="O307">
        <f t="shared" si="21"/>
        <v>2684664.9258000003</v>
      </c>
      <c r="P307">
        <f t="shared" si="22"/>
        <v>15</v>
      </c>
      <c r="Q307" t="str">
        <f t="shared" si="23"/>
        <v/>
      </c>
      <c r="R307" t="str">
        <f t="shared" si="24"/>
        <v>1-30</v>
      </c>
    </row>
    <row r="308" spans="1:18" x14ac:dyDescent="0.3">
      <c r="A308" t="s">
        <v>580</v>
      </c>
      <c r="B308" t="s">
        <v>78</v>
      </c>
      <c r="C308" t="s">
        <v>558</v>
      </c>
      <c r="D308" s="1">
        <v>45024</v>
      </c>
      <c r="E308" s="1">
        <v>45114</v>
      </c>
      <c r="F308" t="s">
        <v>36</v>
      </c>
      <c r="G308">
        <v>157194.6</v>
      </c>
      <c r="H308" s="1">
        <v>45116</v>
      </c>
      <c r="I308" t="s">
        <v>567</v>
      </c>
      <c r="J308" t="s">
        <v>573</v>
      </c>
      <c r="K308">
        <v>82.259200000000007</v>
      </c>
      <c r="L308">
        <v>124442.82</v>
      </c>
      <c r="M308">
        <f>IF(F308="INR",1,INDEX('rates'!$B$2:$C$522,MATCH(D308,'rates'!$A$2:$A$522,1),MATCH(F308&amp;"/INR",'rates'!$B$1:$C$1,0)))</f>
        <v>81.849999999999994</v>
      </c>
      <c r="N308">
        <f t="shared" si="20"/>
        <v>12866378.01</v>
      </c>
      <c r="O308">
        <f t="shared" si="21"/>
        <v>2680733.1929999995</v>
      </c>
      <c r="P308">
        <f t="shared" si="22"/>
        <v>633</v>
      </c>
      <c r="Q308">
        <f t="shared" si="23"/>
        <v>2</v>
      </c>
      <c r="R308" t="str">
        <f t="shared" si="24"/>
        <v>90+</v>
      </c>
    </row>
    <row r="309" spans="1:18" x14ac:dyDescent="0.3">
      <c r="A309" t="s">
        <v>3191</v>
      </c>
      <c r="B309" t="s">
        <v>504</v>
      </c>
      <c r="C309" t="s">
        <v>560</v>
      </c>
      <c r="D309" s="1">
        <v>45731</v>
      </c>
      <c r="E309" s="1">
        <v>45821</v>
      </c>
      <c r="F309" t="s">
        <v>31</v>
      </c>
      <c r="G309">
        <v>28126.45</v>
      </c>
      <c r="H309" s="1"/>
      <c r="I309" t="s">
        <v>2206</v>
      </c>
      <c r="J309" t="s">
        <v>573</v>
      </c>
      <c r="K309">
        <v>94.870199999999997</v>
      </c>
      <c r="L309">
        <v>0</v>
      </c>
      <c r="M309">
        <f>IF(F309="INR",1,INDEX('rates'!$B$2:$C$522,MATCH(D309,'rates'!$A$2:$A$522,1),MATCH(F309&amp;"/INR",'rates'!$B$1:$C$1,0)))</f>
        <v>94.586399999999998</v>
      </c>
      <c r="N309">
        <f t="shared" si="20"/>
        <v>2660379.6502800002</v>
      </c>
      <c r="O309">
        <f t="shared" si="21"/>
        <v>2660379.6502800002</v>
      </c>
      <c r="P309">
        <f t="shared" si="22"/>
        <v>0</v>
      </c>
      <c r="Q309" t="str">
        <f t="shared" si="23"/>
        <v/>
      </c>
      <c r="R309" t="str">
        <f t="shared" si="24"/>
        <v>Not yet due</v>
      </c>
    </row>
    <row r="310" spans="1:18" x14ac:dyDescent="0.3">
      <c r="A310" t="s">
        <v>3100</v>
      </c>
      <c r="B310" t="s">
        <v>72</v>
      </c>
      <c r="C310" t="s">
        <v>560</v>
      </c>
      <c r="D310" s="1">
        <v>45710</v>
      </c>
      <c r="E310" s="1">
        <v>45800</v>
      </c>
      <c r="F310" t="s">
        <v>31</v>
      </c>
      <c r="G310">
        <v>29047.26</v>
      </c>
      <c r="H310" s="1"/>
      <c r="I310" t="s">
        <v>2206</v>
      </c>
      <c r="J310" t="s">
        <v>556</v>
      </c>
      <c r="L310">
        <v>0</v>
      </c>
      <c r="M310">
        <f>IF(F310="INR",1,INDEX('rates'!$B$2:$C$522,MATCH(D310,'rates'!$A$2:$A$522,1),MATCH(F310&amp;"/INR",'rates'!$B$1:$C$1,0)))</f>
        <v>90.644800000000004</v>
      </c>
      <c r="N310">
        <f t="shared" si="20"/>
        <v>2632983.0732479999</v>
      </c>
      <c r="O310">
        <f t="shared" si="21"/>
        <v>2632983.0732479999</v>
      </c>
      <c r="P310">
        <f t="shared" si="22"/>
        <v>0</v>
      </c>
      <c r="Q310" t="str">
        <f t="shared" si="23"/>
        <v/>
      </c>
      <c r="R310" t="str">
        <f t="shared" si="24"/>
        <v>Not yet due</v>
      </c>
    </row>
    <row r="311" spans="1:18" x14ac:dyDescent="0.3">
      <c r="A311" t="s">
        <v>3078</v>
      </c>
      <c r="B311" t="s">
        <v>444</v>
      </c>
      <c r="C311" t="s">
        <v>575</v>
      </c>
      <c r="D311" s="1">
        <v>45703</v>
      </c>
      <c r="E311" s="1">
        <v>45748</v>
      </c>
      <c r="F311" t="s">
        <v>36</v>
      </c>
      <c r="G311">
        <v>30149.49</v>
      </c>
      <c r="H311" s="1"/>
      <c r="I311" t="s">
        <v>2206</v>
      </c>
      <c r="J311" t="s">
        <v>573</v>
      </c>
      <c r="K311">
        <v>87.037000000000006</v>
      </c>
      <c r="L311">
        <v>0</v>
      </c>
      <c r="M311">
        <f>IF(F311="INR",1,INDEX('rates'!$B$2:$C$522,MATCH(D311,'rates'!$A$2:$A$522,1),MATCH(F311&amp;"/INR",'rates'!$B$1:$C$1,0)))</f>
        <v>86.82</v>
      </c>
      <c r="N311">
        <f t="shared" si="20"/>
        <v>2617578.7217999999</v>
      </c>
      <c r="O311">
        <f t="shared" si="21"/>
        <v>2617578.7217999999</v>
      </c>
      <c r="P311">
        <f t="shared" si="22"/>
        <v>0</v>
      </c>
      <c r="Q311" t="str">
        <f t="shared" si="23"/>
        <v/>
      </c>
      <c r="R311" t="str">
        <f t="shared" si="24"/>
        <v>Not yet due</v>
      </c>
    </row>
    <row r="312" spans="1:18" x14ac:dyDescent="0.3">
      <c r="A312" t="s">
        <v>3221</v>
      </c>
      <c r="B312" t="s">
        <v>268</v>
      </c>
      <c r="C312" t="s">
        <v>566</v>
      </c>
      <c r="D312" s="1">
        <v>45740</v>
      </c>
      <c r="E312" s="1">
        <v>45800</v>
      </c>
      <c r="F312" t="s">
        <v>13</v>
      </c>
      <c r="G312">
        <v>2594662</v>
      </c>
      <c r="H312" s="1"/>
      <c r="I312" t="s">
        <v>2206</v>
      </c>
      <c r="J312" t="s">
        <v>556</v>
      </c>
      <c r="L312">
        <v>0</v>
      </c>
      <c r="M312">
        <f>IF(F312="INR",1,INDEX('rates'!$B$2:$C$522,MATCH(D312,'rates'!$A$2:$A$522,1),MATCH(F312&amp;"/INR",'rates'!$B$1:$C$1,0)))</f>
        <v>1</v>
      </c>
      <c r="N312">
        <f t="shared" si="20"/>
        <v>2594662</v>
      </c>
      <c r="O312">
        <f t="shared" si="21"/>
        <v>2594662</v>
      </c>
      <c r="P312">
        <f t="shared" si="22"/>
        <v>0</v>
      </c>
      <c r="Q312" t="str">
        <f t="shared" si="23"/>
        <v/>
      </c>
      <c r="R312" t="str">
        <f t="shared" si="24"/>
        <v>Not yet due</v>
      </c>
    </row>
    <row r="313" spans="1:18" x14ac:dyDescent="0.3">
      <c r="A313" t="s">
        <v>3171</v>
      </c>
      <c r="B313" t="s">
        <v>502</v>
      </c>
      <c r="C313" t="s">
        <v>554</v>
      </c>
      <c r="D313" s="1">
        <v>45728</v>
      </c>
      <c r="E313" s="1">
        <v>45758</v>
      </c>
      <c r="F313" t="s">
        <v>13</v>
      </c>
      <c r="G313">
        <v>2592661</v>
      </c>
      <c r="H313" s="1"/>
      <c r="I313" t="s">
        <v>2206</v>
      </c>
      <c r="J313" t="s">
        <v>556</v>
      </c>
      <c r="L313">
        <v>0</v>
      </c>
      <c r="M313">
        <f>IF(F313="INR",1,INDEX('rates'!$B$2:$C$522,MATCH(D313,'rates'!$A$2:$A$522,1),MATCH(F313&amp;"/INR",'rates'!$B$1:$C$1,0)))</f>
        <v>1</v>
      </c>
      <c r="N313">
        <f t="shared" si="20"/>
        <v>2592661</v>
      </c>
      <c r="O313">
        <f t="shared" si="21"/>
        <v>2592661</v>
      </c>
      <c r="P313">
        <f t="shared" si="22"/>
        <v>0</v>
      </c>
      <c r="Q313" t="str">
        <f t="shared" si="23"/>
        <v/>
      </c>
      <c r="R313" t="str">
        <f t="shared" si="24"/>
        <v>Not yet due</v>
      </c>
    </row>
    <row r="314" spans="1:18" x14ac:dyDescent="0.3">
      <c r="A314" t="s">
        <v>2776</v>
      </c>
      <c r="B314" t="s">
        <v>536</v>
      </c>
      <c r="C314" t="s">
        <v>575</v>
      </c>
      <c r="D314" s="1">
        <v>45631</v>
      </c>
      <c r="E314" s="1">
        <v>45661</v>
      </c>
      <c r="F314" t="s">
        <v>36</v>
      </c>
      <c r="G314">
        <v>127720.26</v>
      </c>
      <c r="H314" s="1">
        <v>45663</v>
      </c>
      <c r="I314" t="s">
        <v>567</v>
      </c>
      <c r="J314" t="s">
        <v>573</v>
      </c>
      <c r="K314">
        <v>84.821100000000001</v>
      </c>
      <c r="L314">
        <v>97916.78</v>
      </c>
      <c r="M314">
        <f>IF(F314="INR",1,INDEX('rates'!$B$2:$C$522,MATCH(D314,'rates'!$A$2:$A$522,1),MATCH(F314&amp;"/INR",'rates'!$B$1:$C$1,0)))</f>
        <v>84.68</v>
      </c>
      <c r="N314">
        <f t="shared" si="20"/>
        <v>10815351.616800001</v>
      </c>
      <c r="O314">
        <f t="shared" si="21"/>
        <v>2523758.6864</v>
      </c>
      <c r="P314">
        <f t="shared" si="22"/>
        <v>86</v>
      </c>
      <c r="Q314">
        <f t="shared" si="23"/>
        <v>2</v>
      </c>
      <c r="R314" t="str">
        <f t="shared" si="24"/>
        <v>61-90</v>
      </c>
    </row>
    <row r="315" spans="1:18" x14ac:dyDescent="0.3">
      <c r="A315" t="s">
        <v>3230</v>
      </c>
      <c r="B315" t="s">
        <v>434</v>
      </c>
      <c r="C315" t="s">
        <v>554</v>
      </c>
      <c r="D315" s="1">
        <v>45741</v>
      </c>
      <c r="E315" s="1">
        <v>45786</v>
      </c>
      <c r="F315" t="s">
        <v>13</v>
      </c>
      <c r="G315">
        <v>2490463</v>
      </c>
      <c r="H315" s="1"/>
      <c r="I315" t="s">
        <v>2206</v>
      </c>
      <c r="J315" t="s">
        <v>556</v>
      </c>
      <c r="L315">
        <v>0</v>
      </c>
      <c r="M315">
        <f>IF(F315="INR",1,INDEX('rates'!$B$2:$C$522,MATCH(D315,'rates'!$A$2:$A$522,1),MATCH(F315&amp;"/INR",'rates'!$B$1:$C$1,0)))</f>
        <v>1</v>
      </c>
      <c r="N315">
        <f t="shared" si="20"/>
        <v>2490463</v>
      </c>
      <c r="O315">
        <f t="shared" si="21"/>
        <v>2490463</v>
      </c>
      <c r="P315">
        <f t="shared" si="22"/>
        <v>0</v>
      </c>
      <c r="Q315" t="str">
        <f t="shared" si="23"/>
        <v/>
      </c>
      <c r="R315" t="str">
        <f t="shared" si="24"/>
        <v>Not yet due</v>
      </c>
    </row>
    <row r="316" spans="1:18" x14ac:dyDescent="0.3">
      <c r="A316" t="s">
        <v>2549</v>
      </c>
      <c r="B316" t="s">
        <v>83</v>
      </c>
      <c r="C316" t="s">
        <v>558</v>
      </c>
      <c r="D316" s="1">
        <v>45574</v>
      </c>
      <c r="E316" s="1">
        <v>45619</v>
      </c>
      <c r="F316" t="s">
        <v>13</v>
      </c>
      <c r="G316">
        <v>4518719</v>
      </c>
      <c r="H316" s="1">
        <v>45639</v>
      </c>
      <c r="I316" t="s">
        <v>567</v>
      </c>
      <c r="J316" t="s">
        <v>556</v>
      </c>
      <c r="L316">
        <v>2028881</v>
      </c>
      <c r="M316">
        <f>IF(F316="INR",1,INDEX('rates'!$B$2:$C$522,MATCH(D316,'rates'!$A$2:$A$522,1),MATCH(F316&amp;"/INR",'rates'!$B$1:$C$1,0)))</f>
        <v>1</v>
      </c>
      <c r="N316">
        <f t="shared" si="20"/>
        <v>4518719</v>
      </c>
      <c r="O316">
        <f t="shared" si="21"/>
        <v>2489838</v>
      </c>
      <c r="P316">
        <f t="shared" si="22"/>
        <v>128</v>
      </c>
      <c r="Q316">
        <f t="shared" si="23"/>
        <v>20</v>
      </c>
      <c r="R316" t="str">
        <f t="shared" si="24"/>
        <v>90+</v>
      </c>
    </row>
    <row r="317" spans="1:18" x14ac:dyDescent="0.3">
      <c r="A317" t="s">
        <v>606</v>
      </c>
      <c r="B317" t="s">
        <v>262</v>
      </c>
      <c r="C317" t="s">
        <v>566</v>
      </c>
      <c r="D317" s="1">
        <v>45033</v>
      </c>
      <c r="E317" s="1">
        <v>45123</v>
      </c>
      <c r="F317" t="s">
        <v>31</v>
      </c>
      <c r="G317">
        <v>192263.74</v>
      </c>
      <c r="H317" s="1">
        <v>45135</v>
      </c>
      <c r="I317" t="s">
        <v>567</v>
      </c>
      <c r="J317" t="s">
        <v>556</v>
      </c>
      <c r="L317">
        <v>164484.93</v>
      </c>
      <c r="M317">
        <f>IF(F317="INR",1,INDEX('rates'!$B$2:$C$522,MATCH(D317,'rates'!$A$2:$A$522,1),MATCH(F317&amp;"/INR",'rates'!$B$1:$C$1,0)))</f>
        <v>89.481200000000001</v>
      </c>
      <c r="N317">
        <f t="shared" si="20"/>
        <v>17203990.171687998</v>
      </c>
      <c r="O317">
        <f t="shared" si="21"/>
        <v>2485681.2533719996</v>
      </c>
      <c r="P317">
        <f t="shared" si="22"/>
        <v>624</v>
      </c>
      <c r="Q317">
        <f t="shared" si="23"/>
        <v>12</v>
      </c>
      <c r="R317" t="str">
        <f t="shared" si="24"/>
        <v>90+</v>
      </c>
    </row>
    <row r="318" spans="1:18" x14ac:dyDescent="0.3">
      <c r="A318" t="s">
        <v>2905</v>
      </c>
      <c r="B318" t="s">
        <v>346</v>
      </c>
      <c r="C318" t="s">
        <v>575</v>
      </c>
      <c r="D318" s="1">
        <v>45661</v>
      </c>
      <c r="E318" s="1">
        <v>45751</v>
      </c>
      <c r="F318" t="s">
        <v>13</v>
      </c>
      <c r="G318">
        <v>2439696</v>
      </c>
      <c r="H318" s="1"/>
      <c r="I318" t="s">
        <v>2206</v>
      </c>
      <c r="J318" t="s">
        <v>556</v>
      </c>
      <c r="L318">
        <v>0</v>
      </c>
      <c r="M318">
        <f>IF(F318="INR",1,INDEX('rates'!$B$2:$C$522,MATCH(D318,'rates'!$A$2:$A$522,1),MATCH(F318&amp;"/INR",'rates'!$B$1:$C$1,0)))</f>
        <v>1</v>
      </c>
      <c r="N318">
        <f t="shared" si="20"/>
        <v>2439696</v>
      </c>
      <c r="O318">
        <f t="shared" si="21"/>
        <v>2439696</v>
      </c>
      <c r="P318">
        <f t="shared" si="22"/>
        <v>0</v>
      </c>
      <c r="Q318" t="str">
        <f t="shared" si="23"/>
        <v/>
      </c>
      <c r="R318" t="str">
        <f t="shared" si="24"/>
        <v>Not yet due</v>
      </c>
    </row>
    <row r="319" spans="1:18" x14ac:dyDescent="0.3">
      <c r="A319" t="s">
        <v>1943</v>
      </c>
      <c r="B319" t="s">
        <v>312</v>
      </c>
      <c r="C319" t="s">
        <v>554</v>
      </c>
      <c r="D319" s="1">
        <v>45409</v>
      </c>
      <c r="E319" s="1">
        <v>45469</v>
      </c>
      <c r="F319" t="s">
        <v>13</v>
      </c>
      <c r="G319">
        <v>10185923</v>
      </c>
      <c r="H319" s="1">
        <v>45467</v>
      </c>
      <c r="I319" t="s">
        <v>567</v>
      </c>
      <c r="J319" t="s">
        <v>556</v>
      </c>
      <c r="L319">
        <v>7747934.6399999997</v>
      </c>
      <c r="M319">
        <f>IF(F319="INR",1,INDEX('rates'!$B$2:$C$522,MATCH(D319,'rates'!$A$2:$A$522,1),MATCH(F319&amp;"/INR",'rates'!$B$1:$C$1,0)))</f>
        <v>1</v>
      </c>
      <c r="N319">
        <f t="shared" si="20"/>
        <v>10185923</v>
      </c>
      <c r="O319">
        <f t="shared" si="21"/>
        <v>2437988.3600000003</v>
      </c>
      <c r="P319">
        <f t="shared" si="22"/>
        <v>278</v>
      </c>
      <c r="Q319">
        <f t="shared" si="23"/>
        <v>-2</v>
      </c>
      <c r="R319" t="str">
        <f t="shared" si="24"/>
        <v>90+</v>
      </c>
    </row>
    <row r="320" spans="1:18" x14ac:dyDescent="0.3">
      <c r="A320" t="s">
        <v>1948</v>
      </c>
      <c r="B320" t="s">
        <v>228</v>
      </c>
      <c r="C320" t="s">
        <v>554</v>
      </c>
      <c r="D320" s="1">
        <v>45411</v>
      </c>
      <c r="E320" s="1">
        <v>45456</v>
      </c>
      <c r="F320" t="s">
        <v>13</v>
      </c>
      <c r="G320">
        <v>8689890</v>
      </c>
      <c r="H320" s="1">
        <v>45462</v>
      </c>
      <c r="I320" t="s">
        <v>567</v>
      </c>
      <c r="J320" t="s">
        <v>556</v>
      </c>
      <c r="L320">
        <v>6255142.9100000001</v>
      </c>
      <c r="M320">
        <f>IF(F320="INR",1,INDEX('rates'!$B$2:$C$522,MATCH(D320,'rates'!$A$2:$A$522,1),MATCH(F320&amp;"/INR",'rates'!$B$1:$C$1,0)))</f>
        <v>1</v>
      </c>
      <c r="N320">
        <f t="shared" si="20"/>
        <v>8689890</v>
      </c>
      <c r="O320">
        <f t="shared" si="21"/>
        <v>2434747.09</v>
      </c>
      <c r="P320">
        <f t="shared" si="22"/>
        <v>291</v>
      </c>
      <c r="Q320">
        <f t="shared" si="23"/>
        <v>6</v>
      </c>
      <c r="R320" t="str">
        <f t="shared" si="24"/>
        <v>90+</v>
      </c>
    </row>
    <row r="321" spans="1:18" x14ac:dyDescent="0.3">
      <c r="A321" t="s">
        <v>2578</v>
      </c>
      <c r="B321" t="s">
        <v>170</v>
      </c>
      <c r="C321" t="s">
        <v>575</v>
      </c>
      <c r="D321" s="1">
        <v>45582</v>
      </c>
      <c r="E321" s="1">
        <v>45612</v>
      </c>
      <c r="F321" t="s">
        <v>13</v>
      </c>
      <c r="G321">
        <v>9160618</v>
      </c>
      <c r="H321" s="1">
        <v>45604</v>
      </c>
      <c r="I321" t="s">
        <v>567</v>
      </c>
      <c r="J321" t="s">
        <v>556</v>
      </c>
      <c r="L321">
        <v>6741506.1600000001</v>
      </c>
      <c r="M321">
        <f>IF(F321="INR",1,INDEX('rates'!$B$2:$C$522,MATCH(D321,'rates'!$A$2:$A$522,1),MATCH(F321&amp;"/INR",'rates'!$B$1:$C$1,0)))</f>
        <v>1</v>
      </c>
      <c r="N321">
        <f t="shared" si="20"/>
        <v>9160618</v>
      </c>
      <c r="O321">
        <f t="shared" si="21"/>
        <v>2419111.84</v>
      </c>
      <c r="P321">
        <f t="shared" si="22"/>
        <v>135</v>
      </c>
      <c r="Q321">
        <f t="shared" si="23"/>
        <v>-8</v>
      </c>
      <c r="R321" t="str">
        <f t="shared" si="24"/>
        <v>90+</v>
      </c>
    </row>
    <row r="322" spans="1:18" x14ac:dyDescent="0.3">
      <c r="A322" t="s">
        <v>2910</v>
      </c>
      <c r="B322" t="s">
        <v>182</v>
      </c>
      <c r="C322" t="s">
        <v>558</v>
      </c>
      <c r="D322" s="1">
        <v>45664</v>
      </c>
      <c r="E322" s="1">
        <v>45724</v>
      </c>
      <c r="F322" t="s">
        <v>36</v>
      </c>
      <c r="G322">
        <v>28078.58</v>
      </c>
      <c r="H322" s="1"/>
      <c r="I322" t="s">
        <v>2206</v>
      </c>
      <c r="J322" t="s">
        <v>556</v>
      </c>
      <c r="L322">
        <v>0</v>
      </c>
      <c r="M322">
        <f>IF(F322="INR",1,INDEX('rates'!$B$2:$C$522,MATCH(D322,'rates'!$A$2:$A$522,1),MATCH(F322&amp;"/INR",'rates'!$B$1:$C$1,0)))</f>
        <v>85.74</v>
      </c>
      <c r="N322">
        <f t="shared" ref="N322:N385" si="25">G322*M322</f>
        <v>2407457.4492000001</v>
      </c>
      <c r="O322">
        <f t="shared" ref="O322:O385" si="26">IF(OR(I322="OPEN",I322="PARTIALLY PAID"),(G322-L322)*M322,0)</f>
        <v>2407457.4492000001</v>
      </c>
      <c r="P322">
        <f t="shared" ref="P322:P385" si="27">IF(O322&gt;0,MAX(0,DATE(2025,3,31)-E322),0)</f>
        <v>23</v>
      </c>
      <c r="Q322" t="str">
        <f t="shared" ref="Q322:Q385" si="28">IF(H322="","",H322-E322)</f>
        <v/>
      </c>
      <c r="R322" t="str">
        <f t="shared" ref="R322:R385" si="29">IF(O322=0,"Not open",IF(P322=0,"Not yet due",IF(P322&lt;=30,"1-30",IF(P322&lt;=60,"31-60",IF(P322&lt;=90,"61-90","90+")))))</f>
        <v>1-30</v>
      </c>
    </row>
    <row r="323" spans="1:18" x14ac:dyDescent="0.3">
      <c r="A323" t="s">
        <v>1291</v>
      </c>
      <c r="B323" t="s">
        <v>96</v>
      </c>
      <c r="C323" t="s">
        <v>558</v>
      </c>
      <c r="D323" s="1">
        <v>45243</v>
      </c>
      <c r="E323" s="1">
        <v>45333</v>
      </c>
      <c r="F323" t="s">
        <v>13</v>
      </c>
      <c r="G323">
        <v>5291821</v>
      </c>
      <c r="H323" s="1">
        <v>45342</v>
      </c>
      <c r="I323" t="s">
        <v>567</v>
      </c>
      <c r="J323" t="s">
        <v>556</v>
      </c>
      <c r="L323">
        <v>2892403.75</v>
      </c>
      <c r="M323">
        <f>IF(F323="INR",1,INDEX('rates'!$B$2:$C$522,MATCH(D323,'rates'!$A$2:$A$522,1),MATCH(F323&amp;"/INR",'rates'!$B$1:$C$1,0)))</f>
        <v>1</v>
      </c>
      <c r="N323">
        <f t="shared" si="25"/>
        <v>5291821</v>
      </c>
      <c r="O323">
        <f t="shared" si="26"/>
        <v>2399417.25</v>
      </c>
      <c r="P323">
        <f t="shared" si="27"/>
        <v>414</v>
      </c>
      <c r="Q323">
        <f t="shared" si="28"/>
        <v>9</v>
      </c>
      <c r="R323" t="str">
        <f t="shared" si="29"/>
        <v>90+</v>
      </c>
    </row>
    <row r="324" spans="1:18" x14ac:dyDescent="0.3">
      <c r="A324" t="s">
        <v>3058</v>
      </c>
      <c r="B324" t="s">
        <v>246</v>
      </c>
      <c r="C324" t="s">
        <v>554</v>
      </c>
      <c r="D324" s="1">
        <v>45701</v>
      </c>
      <c r="E324" s="1">
        <v>45761</v>
      </c>
      <c r="F324" t="s">
        <v>13</v>
      </c>
      <c r="G324">
        <v>2383084</v>
      </c>
      <c r="H324" s="1"/>
      <c r="I324" t="s">
        <v>2206</v>
      </c>
      <c r="J324" t="s">
        <v>556</v>
      </c>
      <c r="L324">
        <v>0</v>
      </c>
      <c r="M324">
        <f>IF(F324="INR",1,INDEX('rates'!$B$2:$C$522,MATCH(D324,'rates'!$A$2:$A$522,1),MATCH(F324&amp;"/INR",'rates'!$B$1:$C$1,0)))</f>
        <v>1</v>
      </c>
      <c r="N324">
        <f t="shared" si="25"/>
        <v>2383084</v>
      </c>
      <c r="O324">
        <f t="shared" si="26"/>
        <v>2383084</v>
      </c>
      <c r="P324">
        <f t="shared" si="27"/>
        <v>0</v>
      </c>
      <c r="Q324" t="str">
        <f t="shared" si="28"/>
        <v/>
      </c>
      <c r="R324" t="str">
        <f t="shared" si="29"/>
        <v>Not yet due</v>
      </c>
    </row>
    <row r="325" spans="1:18" x14ac:dyDescent="0.3">
      <c r="A325" t="s">
        <v>3130</v>
      </c>
      <c r="B325" t="s">
        <v>392</v>
      </c>
      <c r="C325" t="s">
        <v>554</v>
      </c>
      <c r="D325" s="1">
        <v>45719</v>
      </c>
      <c r="E325" s="1">
        <v>45749</v>
      </c>
      <c r="F325" t="s">
        <v>13</v>
      </c>
      <c r="G325">
        <v>2369451</v>
      </c>
      <c r="H325" s="1"/>
      <c r="I325" t="s">
        <v>2206</v>
      </c>
      <c r="J325" t="s">
        <v>556</v>
      </c>
      <c r="L325">
        <v>0</v>
      </c>
      <c r="M325">
        <f>IF(F325="INR",1,INDEX('rates'!$B$2:$C$522,MATCH(D325,'rates'!$A$2:$A$522,1),MATCH(F325&amp;"/INR",'rates'!$B$1:$C$1,0)))</f>
        <v>1</v>
      </c>
      <c r="N325">
        <f t="shared" si="25"/>
        <v>2369451</v>
      </c>
      <c r="O325">
        <f t="shared" si="26"/>
        <v>2369451</v>
      </c>
      <c r="P325">
        <f t="shared" si="27"/>
        <v>0</v>
      </c>
      <c r="Q325" t="str">
        <f t="shared" si="28"/>
        <v/>
      </c>
      <c r="R325" t="str">
        <f t="shared" si="29"/>
        <v>Not yet due</v>
      </c>
    </row>
    <row r="326" spans="1:18" x14ac:dyDescent="0.3">
      <c r="A326" t="s">
        <v>2343</v>
      </c>
      <c r="B326" t="s">
        <v>524</v>
      </c>
      <c r="C326" t="s">
        <v>554</v>
      </c>
      <c r="D326" s="1">
        <v>45520</v>
      </c>
      <c r="E326" s="1">
        <v>45580</v>
      </c>
      <c r="F326" t="s">
        <v>31</v>
      </c>
      <c r="G326">
        <v>97664.06</v>
      </c>
      <c r="H326" s="1">
        <v>45593</v>
      </c>
      <c r="I326" t="s">
        <v>567</v>
      </c>
      <c r="J326" t="s">
        <v>573</v>
      </c>
      <c r="K326">
        <v>92.495999999999995</v>
      </c>
      <c r="L326">
        <v>72127.61</v>
      </c>
      <c r="M326">
        <f>IF(F326="INR",1,INDEX('rates'!$B$2:$C$522,MATCH(D326,'rates'!$A$2:$A$522,1),MATCH(F326&amp;"/INR",'rates'!$B$1:$C$1,0)))</f>
        <v>92.311400000000006</v>
      </c>
      <c r="N326">
        <f t="shared" si="25"/>
        <v>9015506.1082840003</v>
      </c>
      <c r="O326">
        <f t="shared" si="26"/>
        <v>2357305.45053</v>
      </c>
      <c r="P326">
        <f t="shared" si="27"/>
        <v>167</v>
      </c>
      <c r="Q326">
        <f t="shared" si="28"/>
        <v>13</v>
      </c>
      <c r="R326" t="str">
        <f t="shared" si="29"/>
        <v>90+</v>
      </c>
    </row>
    <row r="327" spans="1:18" x14ac:dyDescent="0.3">
      <c r="A327" t="s">
        <v>820</v>
      </c>
      <c r="B327" t="s">
        <v>322</v>
      </c>
      <c r="C327" t="s">
        <v>558</v>
      </c>
      <c r="D327" s="1">
        <v>45101</v>
      </c>
      <c r="E327" s="1">
        <v>45161</v>
      </c>
      <c r="F327" t="s">
        <v>13</v>
      </c>
      <c r="G327">
        <v>4718945</v>
      </c>
      <c r="H327" s="1">
        <v>45175</v>
      </c>
      <c r="I327" t="s">
        <v>567</v>
      </c>
      <c r="J327" t="s">
        <v>556</v>
      </c>
      <c r="L327">
        <v>2372914.37</v>
      </c>
      <c r="M327">
        <f>IF(F327="INR",1,INDEX('rates'!$B$2:$C$522,MATCH(D327,'rates'!$A$2:$A$522,1),MATCH(F327&amp;"/INR",'rates'!$B$1:$C$1,0)))</f>
        <v>1</v>
      </c>
      <c r="N327">
        <f t="shared" si="25"/>
        <v>4718945</v>
      </c>
      <c r="O327">
        <f t="shared" si="26"/>
        <v>2346030.63</v>
      </c>
      <c r="P327">
        <f t="shared" si="27"/>
        <v>586</v>
      </c>
      <c r="Q327">
        <f t="shared" si="28"/>
        <v>14</v>
      </c>
      <c r="R327" t="str">
        <f t="shared" si="29"/>
        <v>90+</v>
      </c>
    </row>
    <row r="328" spans="1:18" x14ac:dyDescent="0.3">
      <c r="A328" t="s">
        <v>1751</v>
      </c>
      <c r="B328" t="s">
        <v>81</v>
      </c>
      <c r="C328" t="s">
        <v>566</v>
      </c>
      <c r="D328" s="1">
        <v>45360</v>
      </c>
      <c r="E328" s="1">
        <v>45390</v>
      </c>
      <c r="F328" t="s">
        <v>13</v>
      </c>
      <c r="G328">
        <v>5596430</v>
      </c>
      <c r="H328" s="1">
        <v>45405</v>
      </c>
      <c r="I328" t="s">
        <v>567</v>
      </c>
      <c r="J328" t="s">
        <v>556</v>
      </c>
      <c r="L328">
        <v>3266850.37</v>
      </c>
      <c r="M328">
        <f>IF(F328="INR",1,INDEX('rates'!$B$2:$C$522,MATCH(D328,'rates'!$A$2:$A$522,1),MATCH(F328&amp;"/INR",'rates'!$B$1:$C$1,0)))</f>
        <v>1</v>
      </c>
      <c r="N328">
        <f t="shared" si="25"/>
        <v>5596430</v>
      </c>
      <c r="O328">
        <f t="shared" si="26"/>
        <v>2329579.63</v>
      </c>
      <c r="P328">
        <f t="shared" si="27"/>
        <v>357</v>
      </c>
      <c r="Q328">
        <f t="shared" si="28"/>
        <v>15</v>
      </c>
      <c r="R328" t="str">
        <f t="shared" si="29"/>
        <v>90+</v>
      </c>
    </row>
    <row r="329" spans="1:18" x14ac:dyDescent="0.3">
      <c r="A329" t="s">
        <v>3181</v>
      </c>
      <c r="B329" t="s">
        <v>140</v>
      </c>
      <c r="C329" t="s">
        <v>554</v>
      </c>
      <c r="D329" s="1">
        <v>45731</v>
      </c>
      <c r="E329" s="1">
        <v>45791</v>
      </c>
      <c r="F329" t="s">
        <v>13</v>
      </c>
      <c r="G329">
        <v>2307544</v>
      </c>
      <c r="H329" s="1"/>
      <c r="I329" t="s">
        <v>2206</v>
      </c>
      <c r="J329" t="s">
        <v>556</v>
      </c>
      <c r="L329">
        <v>0</v>
      </c>
      <c r="M329">
        <f>IF(F329="INR",1,INDEX('rates'!$B$2:$C$522,MATCH(D329,'rates'!$A$2:$A$522,1),MATCH(F329&amp;"/INR",'rates'!$B$1:$C$1,0)))</f>
        <v>1</v>
      </c>
      <c r="N329">
        <f t="shared" si="25"/>
        <v>2307544</v>
      </c>
      <c r="O329">
        <f t="shared" si="26"/>
        <v>2307544</v>
      </c>
      <c r="P329">
        <f t="shared" si="27"/>
        <v>0</v>
      </c>
      <c r="Q329" t="str">
        <f t="shared" si="28"/>
        <v/>
      </c>
      <c r="R329" t="str">
        <f t="shared" si="29"/>
        <v>Not yet due</v>
      </c>
    </row>
    <row r="330" spans="1:18" x14ac:dyDescent="0.3">
      <c r="A330" t="s">
        <v>3071</v>
      </c>
      <c r="B330" t="s">
        <v>286</v>
      </c>
      <c r="C330" t="s">
        <v>558</v>
      </c>
      <c r="D330" s="1">
        <v>45702</v>
      </c>
      <c r="E330" s="1">
        <v>45762</v>
      </c>
      <c r="F330" t="s">
        <v>36</v>
      </c>
      <c r="G330">
        <v>26348.720000000001</v>
      </c>
      <c r="H330" s="1"/>
      <c r="I330" t="s">
        <v>2206</v>
      </c>
      <c r="J330" t="s">
        <v>556</v>
      </c>
      <c r="L330">
        <v>0</v>
      </c>
      <c r="M330">
        <f>IF(F330="INR",1,INDEX('rates'!$B$2:$C$522,MATCH(D330,'rates'!$A$2:$A$522,1),MATCH(F330&amp;"/INR",'rates'!$B$1:$C$1,0)))</f>
        <v>86.82</v>
      </c>
      <c r="N330">
        <f t="shared" si="25"/>
        <v>2287595.8703999999</v>
      </c>
      <c r="O330">
        <f t="shared" si="26"/>
        <v>2287595.8703999999</v>
      </c>
      <c r="P330">
        <f t="shared" si="27"/>
        <v>0</v>
      </c>
      <c r="Q330" t="str">
        <f t="shared" si="28"/>
        <v/>
      </c>
      <c r="R330" t="str">
        <f t="shared" si="29"/>
        <v>Not yet due</v>
      </c>
    </row>
    <row r="331" spans="1:18" x14ac:dyDescent="0.3">
      <c r="A331" t="s">
        <v>3128</v>
      </c>
      <c r="B331" t="s">
        <v>292</v>
      </c>
      <c r="C331" t="s">
        <v>566</v>
      </c>
      <c r="D331" s="1">
        <v>45719</v>
      </c>
      <c r="E331" s="1">
        <v>45779</v>
      </c>
      <c r="F331" t="s">
        <v>31</v>
      </c>
      <c r="G331">
        <v>24765.08</v>
      </c>
      <c r="H331" s="1"/>
      <c r="I331" t="s">
        <v>2206</v>
      </c>
      <c r="J331" t="s">
        <v>573</v>
      </c>
      <c r="K331">
        <v>91.866</v>
      </c>
      <c r="L331">
        <v>0</v>
      </c>
      <c r="M331">
        <f>IF(F331="INR",1,INDEX('rates'!$B$2:$C$522,MATCH(D331,'rates'!$A$2:$A$522,1),MATCH(F331&amp;"/INR",'rates'!$B$1:$C$1,0)))</f>
        <v>91.682599999999994</v>
      </c>
      <c r="N331">
        <f t="shared" si="25"/>
        <v>2270526.9236079999</v>
      </c>
      <c r="O331">
        <f t="shared" si="26"/>
        <v>2270526.9236079999</v>
      </c>
      <c r="P331">
        <f t="shared" si="27"/>
        <v>0</v>
      </c>
      <c r="Q331" t="str">
        <f t="shared" si="28"/>
        <v/>
      </c>
      <c r="R331" t="str">
        <f t="shared" si="29"/>
        <v>Not yet due</v>
      </c>
    </row>
    <row r="332" spans="1:18" x14ac:dyDescent="0.3">
      <c r="A332" t="s">
        <v>3236</v>
      </c>
      <c r="B332" t="s">
        <v>338</v>
      </c>
      <c r="C332" t="s">
        <v>566</v>
      </c>
      <c r="D332" s="1">
        <v>45743</v>
      </c>
      <c r="E332" s="1">
        <v>45788</v>
      </c>
      <c r="F332" t="s">
        <v>13</v>
      </c>
      <c r="G332">
        <v>2184740</v>
      </c>
      <c r="H332" s="1"/>
      <c r="I332" t="s">
        <v>2206</v>
      </c>
      <c r="J332" t="s">
        <v>556</v>
      </c>
      <c r="L332">
        <v>0</v>
      </c>
      <c r="M332">
        <f>IF(F332="INR",1,INDEX('rates'!$B$2:$C$522,MATCH(D332,'rates'!$A$2:$A$522,1),MATCH(F332&amp;"/INR",'rates'!$B$1:$C$1,0)))</f>
        <v>1</v>
      </c>
      <c r="N332">
        <f t="shared" si="25"/>
        <v>2184740</v>
      </c>
      <c r="O332">
        <f t="shared" si="26"/>
        <v>2184740</v>
      </c>
      <c r="P332">
        <f t="shared" si="27"/>
        <v>0</v>
      </c>
      <c r="Q332" t="str">
        <f t="shared" si="28"/>
        <v/>
      </c>
      <c r="R332" t="str">
        <f t="shared" si="29"/>
        <v>Not yet due</v>
      </c>
    </row>
    <row r="333" spans="1:18" x14ac:dyDescent="0.3">
      <c r="A333" t="s">
        <v>3097</v>
      </c>
      <c r="B333" t="s">
        <v>75</v>
      </c>
      <c r="C333" t="s">
        <v>566</v>
      </c>
      <c r="D333" s="1">
        <v>45709</v>
      </c>
      <c r="E333" s="1">
        <v>45799</v>
      </c>
      <c r="F333" t="s">
        <v>36</v>
      </c>
      <c r="G333">
        <v>25195.17</v>
      </c>
      <c r="H333" s="1"/>
      <c r="I333" t="s">
        <v>2206</v>
      </c>
      <c r="J333" t="s">
        <v>556</v>
      </c>
      <c r="L333">
        <v>0</v>
      </c>
      <c r="M333">
        <f>IF(F333="INR",1,INDEX('rates'!$B$2:$C$522,MATCH(D333,'rates'!$A$2:$A$522,1),MATCH(F333&amp;"/INR",'rates'!$B$1:$C$1,0)))</f>
        <v>86.7</v>
      </c>
      <c r="N333">
        <f t="shared" si="25"/>
        <v>2184421.2390000001</v>
      </c>
      <c r="O333">
        <f t="shared" si="26"/>
        <v>2184421.2390000001</v>
      </c>
      <c r="P333">
        <f t="shared" si="27"/>
        <v>0</v>
      </c>
      <c r="Q333" t="str">
        <f t="shared" si="28"/>
        <v/>
      </c>
      <c r="R333" t="str">
        <f t="shared" si="29"/>
        <v>Not yet due</v>
      </c>
    </row>
    <row r="334" spans="1:18" x14ac:dyDescent="0.3">
      <c r="A334" t="s">
        <v>2738</v>
      </c>
      <c r="B334" t="s">
        <v>294</v>
      </c>
      <c r="C334" t="s">
        <v>560</v>
      </c>
      <c r="D334" s="1">
        <v>45621</v>
      </c>
      <c r="E334" s="1">
        <v>45681</v>
      </c>
      <c r="F334" t="s">
        <v>13</v>
      </c>
      <c r="G334">
        <v>2181794</v>
      </c>
      <c r="H334" s="1"/>
      <c r="I334" t="s">
        <v>2206</v>
      </c>
      <c r="J334" t="s">
        <v>556</v>
      </c>
      <c r="L334">
        <v>0</v>
      </c>
      <c r="M334">
        <f>IF(F334="INR",1,INDEX('rates'!$B$2:$C$522,MATCH(D334,'rates'!$A$2:$A$522,1),MATCH(F334&amp;"/INR",'rates'!$B$1:$C$1,0)))</f>
        <v>1</v>
      </c>
      <c r="N334">
        <f t="shared" si="25"/>
        <v>2181794</v>
      </c>
      <c r="O334">
        <f t="shared" si="26"/>
        <v>2181794</v>
      </c>
      <c r="P334">
        <f t="shared" si="27"/>
        <v>66</v>
      </c>
      <c r="Q334" t="str">
        <f t="shared" si="28"/>
        <v/>
      </c>
      <c r="R334" t="str">
        <f t="shared" si="29"/>
        <v>61-90</v>
      </c>
    </row>
    <row r="335" spans="1:18" x14ac:dyDescent="0.3">
      <c r="A335" t="s">
        <v>3083</v>
      </c>
      <c r="B335" t="s">
        <v>33</v>
      </c>
      <c r="C335" t="s">
        <v>566</v>
      </c>
      <c r="D335" s="1">
        <v>45705</v>
      </c>
      <c r="E335" s="1">
        <v>45735</v>
      </c>
      <c r="F335" t="s">
        <v>36</v>
      </c>
      <c r="G335">
        <v>24957.52</v>
      </c>
      <c r="H335" s="1"/>
      <c r="I335" t="s">
        <v>2206</v>
      </c>
      <c r="J335" t="s">
        <v>573</v>
      </c>
      <c r="K335">
        <v>86.964699999999993</v>
      </c>
      <c r="L335">
        <v>0</v>
      </c>
      <c r="M335">
        <f>IF(F335="INR",1,INDEX('rates'!$B$2:$C$522,MATCH(D335,'rates'!$A$2:$A$522,1),MATCH(F335&amp;"/INR",'rates'!$B$1:$C$1,0)))</f>
        <v>86.82</v>
      </c>
      <c r="N335">
        <f t="shared" si="25"/>
        <v>2166811.8863999997</v>
      </c>
      <c r="O335">
        <f t="shared" si="26"/>
        <v>2166811.8863999997</v>
      </c>
      <c r="P335">
        <f t="shared" si="27"/>
        <v>12</v>
      </c>
      <c r="Q335" t="str">
        <f t="shared" si="28"/>
        <v/>
      </c>
      <c r="R335" t="str">
        <f t="shared" si="29"/>
        <v>1-30</v>
      </c>
    </row>
    <row r="336" spans="1:18" x14ac:dyDescent="0.3">
      <c r="A336" t="s">
        <v>3233</v>
      </c>
      <c r="B336" t="s">
        <v>286</v>
      </c>
      <c r="C336" t="s">
        <v>558</v>
      </c>
      <c r="D336" s="1">
        <v>45742</v>
      </c>
      <c r="E336" s="1">
        <v>45802</v>
      </c>
      <c r="F336" t="s">
        <v>36</v>
      </c>
      <c r="G336">
        <v>24965.16</v>
      </c>
      <c r="H336" s="1"/>
      <c r="I336" t="s">
        <v>2206</v>
      </c>
      <c r="J336" t="s">
        <v>556</v>
      </c>
      <c r="L336">
        <v>0</v>
      </c>
      <c r="M336">
        <f>IF(F336="INR",1,INDEX('rates'!$B$2:$C$522,MATCH(D336,'rates'!$A$2:$A$522,1),MATCH(F336&amp;"/INR",'rates'!$B$1:$C$1,0)))</f>
        <v>85.71</v>
      </c>
      <c r="N336">
        <f t="shared" si="25"/>
        <v>2139763.8635999998</v>
      </c>
      <c r="O336">
        <f t="shared" si="26"/>
        <v>2139763.8635999998</v>
      </c>
      <c r="P336">
        <f t="shared" si="27"/>
        <v>0</v>
      </c>
      <c r="Q336" t="str">
        <f t="shared" si="28"/>
        <v/>
      </c>
      <c r="R336" t="str">
        <f t="shared" si="29"/>
        <v>Not yet due</v>
      </c>
    </row>
    <row r="337" spans="1:18" x14ac:dyDescent="0.3">
      <c r="A337" t="s">
        <v>2851</v>
      </c>
      <c r="B337" t="s">
        <v>124</v>
      </c>
      <c r="C337" t="s">
        <v>566</v>
      </c>
      <c r="D337" s="1">
        <v>45647</v>
      </c>
      <c r="E337" s="1">
        <v>45707</v>
      </c>
      <c r="F337" t="s">
        <v>31</v>
      </c>
      <c r="G337">
        <v>23917.759999999998</v>
      </c>
      <c r="H337" s="1"/>
      <c r="I337" t="s">
        <v>2206</v>
      </c>
      <c r="J337" t="s">
        <v>573</v>
      </c>
      <c r="K337">
        <v>88.853300000000004</v>
      </c>
      <c r="L337">
        <v>0</v>
      </c>
      <c r="M337">
        <f>IF(F337="INR",1,INDEX('rates'!$B$2:$C$522,MATCH(D337,'rates'!$A$2:$A$522,1),MATCH(F337&amp;"/INR",'rates'!$B$1:$C$1,0)))</f>
        <v>88.675899999999999</v>
      </c>
      <c r="N337">
        <f t="shared" si="25"/>
        <v>2120928.8939839997</v>
      </c>
      <c r="O337">
        <f t="shared" si="26"/>
        <v>2120928.8939839997</v>
      </c>
      <c r="P337">
        <f t="shared" si="27"/>
        <v>40</v>
      </c>
      <c r="Q337" t="str">
        <f t="shared" si="28"/>
        <v/>
      </c>
      <c r="R337" t="str">
        <f t="shared" si="29"/>
        <v>31-60</v>
      </c>
    </row>
    <row r="338" spans="1:18" x14ac:dyDescent="0.3">
      <c r="A338" t="s">
        <v>2121</v>
      </c>
      <c r="B338" t="s">
        <v>190</v>
      </c>
      <c r="C338" t="s">
        <v>558</v>
      </c>
      <c r="D338" s="1">
        <v>45457</v>
      </c>
      <c r="E338" s="1">
        <v>45487</v>
      </c>
      <c r="F338" t="s">
        <v>13</v>
      </c>
      <c r="G338">
        <v>4616267</v>
      </c>
      <c r="H338" s="1">
        <v>45498</v>
      </c>
      <c r="I338" t="s">
        <v>567</v>
      </c>
      <c r="J338" t="s">
        <v>556</v>
      </c>
      <c r="L338">
        <v>2528313.5</v>
      </c>
      <c r="M338">
        <f>IF(F338="INR",1,INDEX('rates'!$B$2:$C$522,MATCH(D338,'rates'!$A$2:$A$522,1),MATCH(F338&amp;"/INR",'rates'!$B$1:$C$1,0)))</f>
        <v>1</v>
      </c>
      <c r="N338">
        <f t="shared" si="25"/>
        <v>4616267</v>
      </c>
      <c r="O338">
        <f t="shared" si="26"/>
        <v>2087953.5</v>
      </c>
      <c r="P338">
        <f t="shared" si="27"/>
        <v>260</v>
      </c>
      <c r="Q338">
        <f t="shared" si="28"/>
        <v>11</v>
      </c>
      <c r="R338" t="str">
        <f t="shared" si="29"/>
        <v>90+</v>
      </c>
    </row>
    <row r="339" spans="1:18" x14ac:dyDescent="0.3">
      <c r="A339" t="s">
        <v>3031</v>
      </c>
      <c r="B339" t="s">
        <v>124</v>
      </c>
      <c r="C339" t="s">
        <v>566</v>
      </c>
      <c r="D339" s="1">
        <v>45694</v>
      </c>
      <c r="E339" s="1">
        <v>45754</v>
      </c>
      <c r="F339" t="s">
        <v>31</v>
      </c>
      <c r="G339">
        <v>22625.98</v>
      </c>
      <c r="H339" s="1"/>
      <c r="I339" t="s">
        <v>2206</v>
      </c>
      <c r="J339" t="s">
        <v>556</v>
      </c>
      <c r="L339">
        <v>0</v>
      </c>
      <c r="M339">
        <f>IF(F339="INR",1,INDEX('rates'!$B$2:$C$522,MATCH(D339,'rates'!$A$2:$A$522,1),MATCH(F339&amp;"/INR",'rates'!$B$1:$C$1,0)))</f>
        <v>90.792599999999993</v>
      </c>
      <c r="N339">
        <f t="shared" si="25"/>
        <v>2054271.5517479999</v>
      </c>
      <c r="O339">
        <f t="shared" si="26"/>
        <v>2054271.5517479999</v>
      </c>
      <c r="P339">
        <f t="shared" si="27"/>
        <v>0</v>
      </c>
      <c r="Q339" t="str">
        <f t="shared" si="28"/>
        <v/>
      </c>
      <c r="R339" t="str">
        <f t="shared" si="29"/>
        <v>Not yet due</v>
      </c>
    </row>
    <row r="340" spans="1:18" x14ac:dyDescent="0.3">
      <c r="A340" t="s">
        <v>3196</v>
      </c>
      <c r="B340" t="s">
        <v>140</v>
      </c>
      <c r="C340" t="s">
        <v>554</v>
      </c>
      <c r="D340" s="1">
        <v>45734</v>
      </c>
      <c r="E340" s="1">
        <v>45794</v>
      </c>
      <c r="F340" t="s">
        <v>13</v>
      </c>
      <c r="G340">
        <v>2050595</v>
      </c>
      <c r="H340" s="1"/>
      <c r="I340" t="s">
        <v>2206</v>
      </c>
      <c r="J340" t="s">
        <v>556</v>
      </c>
      <c r="L340">
        <v>0</v>
      </c>
      <c r="M340">
        <f>IF(F340="INR",1,INDEX('rates'!$B$2:$C$522,MATCH(D340,'rates'!$A$2:$A$522,1),MATCH(F340&amp;"/INR",'rates'!$B$1:$C$1,0)))</f>
        <v>1</v>
      </c>
      <c r="N340">
        <f t="shared" si="25"/>
        <v>2050595</v>
      </c>
      <c r="O340">
        <f t="shared" si="26"/>
        <v>2050595</v>
      </c>
      <c r="P340">
        <f t="shared" si="27"/>
        <v>0</v>
      </c>
      <c r="Q340" t="str">
        <f t="shared" si="28"/>
        <v/>
      </c>
      <c r="R340" t="str">
        <f t="shared" si="29"/>
        <v>Not yet due</v>
      </c>
    </row>
    <row r="341" spans="1:18" x14ac:dyDescent="0.3">
      <c r="A341" t="s">
        <v>3201</v>
      </c>
      <c r="B341" t="s">
        <v>366</v>
      </c>
      <c r="C341" t="s">
        <v>575</v>
      </c>
      <c r="D341" s="1">
        <v>45735</v>
      </c>
      <c r="E341" s="1">
        <v>45795</v>
      </c>
      <c r="F341" t="s">
        <v>31</v>
      </c>
      <c r="G341">
        <v>21714.1</v>
      </c>
      <c r="H341" s="1"/>
      <c r="I341" t="s">
        <v>2206</v>
      </c>
      <c r="J341" t="s">
        <v>556</v>
      </c>
      <c r="L341">
        <v>0</v>
      </c>
      <c r="M341">
        <f>IF(F341="INR",1,INDEX('rates'!$B$2:$C$522,MATCH(D341,'rates'!$A$2:$A$522,1),MATCH(F341&amp;"/INR",'rates'!$B$1:$C$1,0)))</f>
        <v>94.009900000000002</v>
      </c>
      <c r="N341">
        <f t="shared" si="25"/>
        <v>2041340.36959</v>
      </c>
      <c r="O341">
        <f t="shared" si="26"/>
        <v>2041340.36959</v>
      </c>
      <c r="P341">
        <f t="shared" si="27"/>
        <v>0</v>
      </c>
      <c r="Q341" t="str">
        <f t="shared" si="28"/>
        <v/>
      </c>
      <c r="R341" t="str">
        <f t="shared" si="29"/>
        <v>Not yet due</v>
      </c>
    </row>
    <row r="342" spans="1:18" x14ac:dyDescent="0.3">
      <c r="A342" t="s">
        <v>3247</v>
      </c>
      <c r="B342" t="s">
        <v>496</v>
      </c>
      <c r="C342" t="s">
        <v>554</v>
      </c>
      <c r="D342" s="1">
        <v>45745</v>
      </c>
      <c r="E342" s="1">
        <v>45790</v>
      </c>
      <c r="F342" t="s">
        <v>13</v>
      </c>
      <c r="G342">
        <v>2003539</v>
      </c>
      <c r="H342" s="1"/>
      <c r="I342" t="s">
        <v>2206</v>
      </c>
      <c r="J342" t="s">
        <v>556</v>
      </c>
      <c r="L342">
        <v>0</v>
      </c>
      <c r="M342">
        <f>IF(F342="INR",1,INDEX('rates'!$B$2:$C$522,MATCH(D342,'rates'!$A$2:$A$522,1),MATCH(F342&amp;"/INR",'rates'!$B$1:$C$1,0)))</f>
        <v>1</v>
      </c>
      <c r="N342">
        <f t="shared" si="25"/>
        <v>2003539</v>
      </c>
      <c r="O342">
        <f t="shared" si="26"/>
        <v>2003539</v>
      </c>
      <c r="P342">
        <f t="shared" si="27"/>
        <v>0</v>
      </c>
      <c r="Q342" t="str">
        <f t="shared" si="28"/>
        <v/>
      </c>
      <c r="R342" t="str">
        <f t="shared" si="29"/>
        <v>Not yet due</v>
      </c>
    </row>
    <row r="343" spans="1:18" x14ac:dyDescent="0.3">
      <c r="A343" t="s">
        <v>3246</v>
      </c>
      <c r="B343" t="s">
        <v>336</v>
      </c>
      <c r="C343" t="s">
        <v>554</v>
      </c>
      <c r="D343" s="1">
        <v>45745</v>
      </c>
      <c r="E343" s="1">
        <v>45775</v>
      </c>
      <c r="F343" t="s">
        <v>13</v>
      </c>
      <c r="G343">
        <v>1977957</v>
      </c>
      <c r="H343" s="1"/>
      <c r="I343" t="s">
        <v>2206</v>
      </c>
      <c r="J343" t="s">
        <v>556</v>
      </c>
      <c r="L343">
        <v>0</v>
      </c>
      <c r="M343">
        <f>IF(F343="INR",1,INDEX('rates'!$B$2:$C$522,MATCH(D343,'rates'!$A$2:$A$522,1),MATCH(F343&amp;"/INR",'rates'!$B$1:$C$1,0)))</f>
        <v>1</v>
      </c>
      <c r="N343">
        <f t="shared" si="25"/>
        <v>1977957</v>
      </c>
      <c r="O343">
        <f t="shared" si="26"/>
        <v>1977957</v>
      </c>
      <c r="P343">
        <f t="shared" si="27"/>
        <v>0</v>
      </c>
      <c r="Q343" t="str">
        <f t="shared" si="28"/>
        <v/>
      </c>
      <c r="R343" t="str">
        <f t="shared" si="29"/>
        <v>Not yet due</v>
      </c>
    </row>
    <row r="344" spans="1:18" x14ac:dyDescent="0.3">
      <c r="A344" t="s">
        <v>3157</v>
      </c>
      <c r="B344" t="s">
        <v>111</v>
      </c>
      <c r="C344" t="s">
        <v>558</v>
      </c>
      <c r="D344" s="1">
        <v>45726</v>
      </c>
      <c r="E344" s="1">
        <v>45771</v>
      </c>
      <c r="F344" t="s">
        <v>13</v>
      </c>
      <c r="G344">
        <v>1900134</v>
      </c>
      <c r="H344" s="1"/>
      <c r="I344" t="s">
        <v>2206</v>
      </c>
      <c r="J344" t="s">
        <v>556</v>
      </c>
      <c r="L344">
        <v>0</v>
      </c>
      <c r="M344">
        <f>IF(F344="INR",1,INDEX('rates'!$B$2:$C$522,MATCH(D344,'rates'!$A$2:$A$522,1),MATCH(F344&amp;"/INR",'rates'!$B$1:$C$1,0)))</f>
        <v>1</v>
      </c>
      <c r="N344">
        <f t="shared" si="25"/>
        <v>1900134</v>
      </c>
      <c r="O344">
        <f t="shared" si="26"/>
        <v>1900134</v>
      </c>
      <c r="P344">
        <f t="shared" si="27"/>
        <v>0</v>
      </c>
      <c r="Q344" t="str">
        <f t="shared" si="28"/>
        <v/>
      </c>
      <c r="R344" t="str">
        <f t="shared" si="29"/>
        <v>Not yet due</v>
      </c>
    </row>
    <row r="345" spans="1:18" x14ac:dyDescent="0.3">
      <c r="A345" t="s">
        <v>1794</v>
      </c>
      <c r="B345" t="s">
        <v>512</v>
      </c>
      <c r="C345" t="s">
        <v>566</v>
      </c>
      <c r="D345" s="1">
        <v>45367</v>
      </c>
      <c r="E345" s="1">
        <v>45427</v>
      </c>
      <c r="F345" t="s">
        <v>31</v>
      </c>
      <c r="G345">
        <v>83181.87</v>
      </c>
      <c r="H345" s="1">
        <v>45450</v>
      </c>
      <c r="I345" t="s">
        <v>567</v>
      </c>
      <c r="J345" t="s">
        <v>573</v>
      </c>
      <c r="K345">
        <v>90.398399999999995</v>
      </c>
      <c r="L345">
        <v>62600.85</v>
      </c>
      <c r="M345">
        <f>IF(F345="INR",1,INDEX('rates'!$B$2:$C$522,MATCH(D345,'rates'!$A$2:$A$522,1),MATCH(F345&amp;"/INR",'rates'!$B$1:$C$1,0)))</f>
        <v>90.218000000000004</v>
      </c>
      <c r="N345">
        <f t="shared" si="25"/>
        <v>7504501.9476600001</v>
      </c>
      <c r="O345">
        <f t="shared" si="26"/>
        <v>1856778.4623599998</v>
      </c>
      <c r="P345">
        <f t="shared" si="27"/>
        <v>320</v>
      </c>
      <c r="Q345">
        <f t="shared" si="28"/>
        <v>23</v>
      </c>
      <c r="R345" t="str">
        <f t="shared" si="29"/>
        <v>90+</v>
      </c>
    </row>
    <row r="346" spans="1:18" x14ac:dyDescent="0.3">
      <c r="A346" t="s">
        <v>3167</v>
      </c>
      <c r="B346" t="s">
        <v>442</v>
      </c>
      <c r="C346" t="s">
        <v>575</v>
      </c>
      <c r="D346" s="1">
        <v>45727</v>
      </c>
      <c r="E346" s="1">
        <v>45787</v>
      </c>
      <c r="F346" t="s">
        <v>13</v>
      </c>
      <c r="G346">
        <v>1849581</v>
      </c>
      <c r="H346" s="1"/>
      <c r="I346" t="s">
        <v>2206</v>
      </c>
      <c r="J346" t="s">
        <v>556</v>
      </c>
      <c r="L346">
        <v>0</v>
      </c>
      <c r="M346">
        <f>IF(F346="INR",1,INDEX('rates'!$B$2:$C$522,MATCH(D346,'rates'!$A$2:$A$522,1),MATCH(F346&amp;"/INR",'rates'!$B$1:$C$1,0)))</f>
        <v>1</v>
      </c>
      <c r="N346">
        <f t="shared" si="25"/>
        <v>1849581</v>
      </c>
      <c r="O346">
        <f t="shared" si="26"/>
        <v>1849581</v>
      </c>
      <c r="P346">
        <f t="shared" si="27"/>
        <v>0</v>
      </c>
      <c r="Q346" t="str">
        <f t="shared" si="28"/>
        <v/>
      </c>
      <c r="R346" t="str">
        <f t="shared" si="29"/>
        <v>Not yet due</v>
      </c>
    </row>
    <row r="347" spans="1:18" x14ac:dyDescent="0.3">
      <c r="A347" t="s">
        <v>2978</v>
      </c>
      <c r="B347" t="s">
        <v>115</v>
      </c>
      <c r="C347" t="s">
        <v>554</v>
      </c>
      <c r="D347" s="1">
        <v>45681</v>
      </c>
      <c r="E347" s="1">
        <v>45741</v>
      </c>
      <c r="F347" t="s">
        <v>13</v>
      </c>
      <c r="G347">
        <v>1839454</v>
      </c>
      <c r="H347" s="1"/>
      <c r="I347" t="s">
        <v>2206</v>
      </c>
      <c r="J347" t="s">
        <v>556</v>
      </c>
      <c r="L347">
        <v>0</v>
      </c>
      <c r="M347">
        <f>IF(F347="INR",1,INDEX('rates'!$B$2:$C$522,MATCH(D347,'rates'!$A$2:$A$522,1),MATCH(F347&amp;"/INR",'rates'!$B$1:$C$1,0)))</f>
        <v>1</v>
      </c>
      <c r="N347">
        <f t="shared" si="25"/>
        <v>1839454</v>
      </c>
      <c r="O347">
        <f t="shared" si="26"/>
        <v>1839454</v>
      </c>
      <c r="P347">
        <f t="shared" si="27"/>
        <v>6</v>
      </c>
      <c r="Q347" t="str">
        <f t="shared" si="28"/>
        <v/>
      </c>
      <c r="R347" t="str">
        <f t="shared" si="29"/>
        <v>1-30</v>
      </c>
    </row>
    <row r="348" spans="1:18" x14ac:dyDescent="0.3">
      <c r="A348" t="s">
        <v>1570</v>
      </c>
      <c r="B348" t="s">
        <v>406</v>
      </c>
      <c r="C348" t="s">
        <v>554</v>
      </c>
      <c r="D348" s="1">
        <v>45313</v>
      </c>
      <c r="E348" s="1">
        <v>45403</v>
      </c>
      <c r="F348" t="s">
        <v>13</v>
      </c>
      <c r="G348">
        <v>4188969</v>
      </c>
      <c r="H348" s="1">
        <v>45403</v>
      </c>
      <c r="I348" t="s">
        <v>567</v>
      </c>
      <c r="J348" t="s">
        <v>556</v>
      </c>
      <c r="L348">
        <v>2392654.54</v>
      </c>
      <c r="M348">
        <f>IF(F348="INR",1,INDEX('rates'!$B$2:$C$522,MATCH(D348,'rates'!$A$2:$A$522,1),MATCH(F348&amp;"/INR",'rates'!$B$1:$C$1,0)))</f>
        <v>1</v>
      </c>
      <c r="N348">
        <f t="shared" si="25"/>
        <v>4188969</v>
      </c>
      <c r="O348">
        <f t="shared" si="26"/>
        <v>1796314.46</v>
      </c>
      <c r="P348">
        <f t="shared" si="27"/>
        <v>344</v>
      </c>
      <c r="Q348">
        <f t="shared" si="28"/>
        <v>0</v>
      </c>
      <c r="R348" t="str">
        <f t="shared" si="29"/>
        <v>90+</v>
      </c>
    </row>
    <row r="349" spans="1:18" x14ac:dyDescent="0.3">
      <c r="A349" t="s">
        <v>3096</v>
      </c>
      <c r="B349" t="s">
        <v>238</v>
      </c>
      <c r="C349" t="s">
        <v>566</v>
      </c>
      <c r="D349" s="1">
        <v>45708</v>
      </c>
      <c r="E349" s="1">
        <v>45768</v>
      </c>
      <c r="F349" t="s">
        <v>31</v>
      </c>
      <c r="G349">
        <v>19784.09</v>
      </c>
      <c r="H349" s="1"/>
      <c r="I349" t="s">
        <v>2206</v>
      </c>
      <c r="J349" t="s">
        <v>573</v>
      </c>
      <c r="K349">
        <v>90.947400000000002</v>
      </c>
      <c r="L349">
        <v>0</v>
      </c>
      <c r="M349">
        <f>IF(F349="INR",1,INDEX('rates'!$B$2:$C$522,MATCH(D349,'rates'!$A$2:$A$522,1),MATCH(F349&amp;"/INR",'rates'!$B$1:$C$1,0)))</f>
        <v>90.765900000000002</v>
      </c>
      <c r="N349">
        <f t="shared" si="25"/>
        <v>1795720.734531</v>
      </c>
      <c r="O349">
        <f t="shared" si="26"/>
        <v>1795720.734531</v>
      </c>
      <c r="P349">
        <f t="shared" si="27"/>
        <v>0</v>
      </c>
      <c r="Q349" t="str">
        <f t="shared" si="28"/>
        <v/>
      </c>
      <c r="R349" t="str">
        <f t="shared" si="29"/>
        <v>Not yet due</v>
      </c>
    </row>
    <row r="350" spans="1:18" x14ac:dyDescent="0.3">
      <c r="A350" t="s">
        <v>3134</v>
      </c>
      <c r="B350" t="s">
        <v>276</v>
      </c>
      <c r="C350" t="s">
        <v>558</v>
      </c>
      <c r="D350" s="1">
        <v>45720</v>
      </c>
      <c r="E350" s="1">
        <v>45780</v>
      </c>
      <c r="F350" t="s">
        <v>13</v>
      </c>
      <c r="G350">
        <v>1781444</v>
      </c>
      <c r="H350" s="1"/>
      <c r="I350" t="s">
        <v>2206</v>
      </c>
      <c r="J350" t="s">
        <v>556</v>
      </c>
      <c r="L350">
        <v>0</v>
      </c>
      <c r="M350">
        <f>IF(F350="INR",1,INDEX('rates'!$B$2:$C$522,MATCH(D350,'rates'!$A$2:$A$522,1),MATCH(F350&amp;"/INR",'rates'!$B$1:$C$1,0)))</f>
        <v>1</v>
      </c>
      <c r="N350">
        <f t="shared" si="25"/>
        <v>1781444</v>
      </c>
      <c r="O350">
        <f t="shared" si="26"/>
        <v>1781444</v>
      </c>
      <c r="P350">
        <f t="shared" si="27"/>
        <v>0</v>
      </c>
      <c r="Q350" t="str">
        <f t="shared" si="28"/>
        <v/>
      </c>
      <c r="R350" t="str">
        <f t="shared" si="29"/>
        <v>Not yet due</v>
      </c>
    </row>
    <row r="351" spans="1:18" x14ac:dyDescent="0.3">
      <c r="A351" t="s">
        <v>720</v>
      </c>
      <c r="B351" t="s">
        <v>72</v>
      </c>
      <c r="C351" t="s">
        <v>560</v>
      </c>
      <c r="D351" s="1">
        <v>45070</v>
      </c>
      <c r="E351" s="1">
        <v>45160</v>
      </c>
      <c r="F351" t="s">
        <v>31</v>
      </c>
      <c r="G351">
        <v>46387.040000000001</v>
      </c>
      <c r="H351" s="1">
        <v>45186</v>
      </c>
      <c r="I351" t="s">
        <v>567</v>
      </c>
      <c r="J351" t="s">
        <v>556</v>
      </c>
      <c r="L351">
        <v>26504.76</v>
      </c>
      <c r="M351">
        <f>IF(F351="INR",1,INDEX('rates'!$B$2:$C$522,MATCH(D351,'rates'!$A$2:$A$522,1),MATCH(F351&amp;"/INR",'rates'!$B$1:$C$1,0)))</f>
        <v>88.925600000000003</v>
      </c>
      <c r="N351">
        <f t="shared" si="25"/>
        <v>4124995.3642240004</v>
      </c>
      <c r="O351">
        <f t="shared" si="26"/>
        <v>1768043.6783680003</v>
      </c>
      <c r="P351">
        <f t="shared" si="27"/>
        <v>587</v>
      </c>
      <c r="Q351">
        <f t="shared" si="28"/>
        <v>26</v>
      </c>
      <c r="R351" t="str">
        <f t="shared" si="29"/>
        <v>90+</v>
      </c>
    </row>
    <row r="352" spans="1:18" x14ac:dyDescent="0.3">
      <c r="A352" t="s">
        <v>1076</v>
      </c>
      <c r="B352" t="s">
        <v>472</v>
      </c>
      <c r="C352" t="s">
        <v>558</v>
      </c>
      <c r="D352" s="1">
        <v>45185</v>
      </c>
      <c r="E352" s="1">
        <v>45245</v>
      </c>
      <c r="F352" t="s">
        <v>36</v>
      </c>
      <c r="G352">
        <v>59257.37</v>
      </c>
      <c r="H352" s="1">
        <v>45272</v>
      </c>
      <c r="I352" t="s">
        <v>567</v>
      </c>
      <c r="J352" t="s">
        <v>556</v>
      </c>
      <c r="L352">
        <v>38470.06</v>
      </c>
      <c r="M352">
        <f>IF(F352="INR",1,INDEX('rates'!$B$2:$C$522,MATCH(D352,'rates'!$A$2:$A$522,1),MATCH(F352&amp;"/INR",'rates'!$B$1:$C$1,0)))</f>
        <v>83.15</v>
      </c>
      <c r="N352">
        <f t="shared" si="25"/>
        <v>4927250.3155000005</v>
      </c>
      <c r="O352">
        <f t="shared" si="26"/>
        <v>1728464.8265000004</v>
      </c>
      <c r="P352">
        <f t="shared" si="27"/>
        <v>502</v>
      </c>
      <c r="Q352">
        <f t="shared" si="28"/>
        <v>27</v>
      </c>
      <c r="R352" t="str">
        <f t="shared" si="29"/>
        <v>90+</v>
      </c>
    </row>
    <row r="353" spans="1:18" x14ac:dyDescent="0.3">
      <c r="A353" t="s">
        <v>3227</v>
      </c>
      <c r="B353" t="s">
        <v>140</v>
      </c>
      <c r="C353" t="s">
        <v>554</v>
      </c>
      <c r="D353" s="1">
        <v>45741</v>
      </c>
      <c r="E353" s="1">
        <v>45801</v>
      </c>
      <c r="F353" t="s">
        <v>13</v>
      </c>
      <c r="G353">
        <v>1718744</v>
      </c>
      <c r="H353" s="1"/>
      <c r="I353" t="s">
        <v>2206</v>
      </c>
      <c r="J353" t="s">
        <v>556</v>
      </c>
      <c r="L353">
        <v>0</v>
      </c>
      <c r="M353">
        <f>IF(F353="INR",1,INDEX('rates'!$B$2:$C$522,MATCH(D353,'rates'!$A$2:$A$522,1),MATCH(F353&amp;"/INR",'rates'!$B$1:$C$1,0)))</f>
        <v>1</v>
      </c>
      <c r="N353">
        <f t="shared" si="25"/>
        <v>1718744</v>
      </c>
      <c r="O353">
        <f t="shared" si="26"/>
        <v>1718744</v>
      </c>
      <c r="P353">
        <f t="shared" si="27"/>
        <v>0</v>
      </c>
      <c r="Q353" t="str">
        <f t="shared" si="28"/>
        <v/>
      </c>
      <c r="R353" t="str">
        <f t="shared" si="29"/>
        <v>Not yet due</v>
      </c>
    </row>
    <row r="354" spans="1:18" x14ac:dyDescent="0.3">
      <c r="A354" t="s">
        <v>565</v>
      </c>
      <c r="B354" t="s">
        <v>528</v>
      </c>
      <c r="C354" t="s">
        <v>566</v>
      </c>
      <c r="D354" s="1">
        <v>45020</v>
      </c>
      <c r="E354" s="1">
        <v>45080</v>
      </c>
      <c r="F354" t="s">
        <v>13</v>
      </c>
      <c r="G354">
        <v>3802227</v>
      </c>
      <c r="H354" s="1">
        <v>45122</v>
      </c>
      <c r="I354" t="s">
        <v>567</v>
      </c>
      <c r="J354" t="s">
        <v>556</v>
      </c>
      <c r="L354">
        <v>2088147</v>
      </c>
      <c r="M354">
        <f>IF(F354="INR",1,INDEX('rates'!$B$2:$C$522,MATCH(D354,'rates'!$A$2:$A$522,1),MATCH(F354&amp;"/INR",'rates'!$B$1:$C$1,0)))</f>
        <v>1</v>
      </c>
      <c r="N354">
        <f t="shared" si="25"/>
        <v>3802227</v>
      </c>
      <c r="O354">
        <f t="shared" si="26"/>
        <v>1714080</v>
      </c>
      <c r="P354">
        <f t="shared" si="27"/>
        <v>667</v>
      </c>
      <c r="Q354">
        <f t="shared" si="28"/>
        <v>42</v>
      </c>
      <c r="R354" t="str">
        <f t="shared" si="29"/>
        <v>90+</v>
      </c>
    </row>
    <row r="355" spans="1:18" x14ac:dyDescent="0.3">
      <c r="A355" t="s">
        <v>2023</v>
      </c>
      <c r="B355" t="s">
        <v>358</v>
      </c>
      <c r="C355" t="s">
        <v>575</v>
      </c>
      <c r="D355" s="1">
        <v>45433</v>
      </c>
      <c r="E355" s="1">
        <v>45478</v>
      </c>
      <c r="F355" t="s">
        <v>13</v>
      </c>
      <c r="G355">
        <v>4780732</v>
      </c>
      <c r="H355" s="1">
        <v>45481</v>
      </c>
      <c r="I355" t="s">
        <v>567</v>
      </c>
      <c r="J355" t="s">
        <v>556</v>
      </c>
      <c r="L355">
        <v>3075778.65</v>
      </c>
      <c r="M355">
        <f>IF(F355="INR",1,INDEX('rates'!$B$2:$C$522,MATCH(D355,'rates'!$A$2:$A$522,1),MATCH(F355&amp;"/INR",'rates'!$B$1:$C$1,0)))</f>
        <v>1</v>
      </c>
      <c r="N355">
        <f t="shared" si="25"/>
        <v>4780732</v>
      </c>
      <c r="O355">
        <f t="shared" si="26"/>
        <v>1704953.35</v>
      </c>
      <c r="P355">
        <f t="shared" si="27"/>
        <v>269</v>
      </c>
      <c r="Q355">
        <f t="shared" si="28"/>
        <v>3</v>
      </c>
      <c r="R355" t="str">
        <f t="shared" si="29"/>
        <v>90+</v>
      </c>
    </row>
    <row r="356" spans="1:18" x14ac:dyDescent="0.3">
      <c r="A356" t="s">
        <v>2952</v>
      </c>
      <c r="B356" t="s">
        <v>308</v>
      </c>
      <c r="C356" t="s">
        <v>554</v>
      </c>
      <c r="D356" s="1">
        <v>45672</v>
      </c>
      <c r="E356" s="1">
        <v>45762</v>
      </c>
      <c r="F356" t="s">
        <v>13</v>
      </c>
      <c r="G356">
        <v>1646261</v>
      </c>
      <c r="H356" s="1"/>
      <c r="I356" t="s">
        <v>2206</v>
      </c>
      <c r="J356" t="s">
        <v>556</v>
      </c>
      <c r="L356">
        <v>0</v>
      </c>
      <c r="M356">
        <f>IF(F356="INR",1,INDEX('rates'!$B$2:$C$522,MATCH(D356,'rates'!$A$2:$A$522,1),MATCH(F356&amp;"/INR",'rates'!$B$1:$C$1,0)))</f>
        <v>1</v>
      </c>
      <c r="N356">
        <f t="shared" si="25"/>
        <v>1646261</v>
      </c>
      <c r="O356">
        <f t="shared" si="26"/>
        <v>1646261</v>
      </c>
      <c r="P356">
        <f t="shared" si="27"/>
        <v>0</v>
      </c>
      <c r="Q356" t="str">
        <f t="shared" si="28"/>
        <v/>
      </c>
      <c r="R356" t="str">
        <f t="shared" si="29"/>
        <v>Not yet due</v>
      </c>
    </row>
    <row r="357" spans="1:18" x14ac:dyDescent="0.3">
      <c r="A357" t="s">
        <v>3189</v>
      </c>
      <c r="B357" t="s">
        <v>406</v>
      </c>
      <c r="C357" t="s">
        <v>554</v>
      </c>
      <c r="D357" s="1">
        <v>45731</v>
      </c>
      <c r="E357" s="1">
        <v>45821</v>
      </c>
      <c r="F357" t="s">
        <v>13</v>
      </c>
      <c r="G357">
        <v>1615959</v>
      </c>
      <c r="H357" s="1"/>
      <c r="I357" t="s">
        <v>2206</v>
      </c>
      <c r="J357" t="s">
        <v>556</v>
      </c>
      <c r="L357">
        <v>0</v>
      </c>
      <c r="M357">
        <f>IF(F357="INR",1,INDEX('rates'!$B$2:$C$522,MATCH(D357,'rates'!$A$2:$A$522,1),MATCH(F357&amp;"/INR",'rates'!$B$1:$C$1,0)))</f>
        <v>1</v>
      </c>
      <c r="N357">
        <f t="shared" si="25"/>
        <v>1615959</v>
      </c>
      <c r="O357">
        <f t="shared" si="26"/>
        <v>1615959</v>
      </c>
      <c r="P357">
        <f t="shared" si="27"/>
        <v>0</v>
      </c>
      <c r="Q357" t="str">
        <f t="shared" si="28"/>
        <v/>
      </c>
      <c r="R357" t="str">
        <f t="shared" si="29"/>
        <v>Not yet due</v>
      </c>
    </row>
    <row r="358" spans="1:18" x14ac:dyDescent="0.3">
      <c r="A358" t="s">
        <v>3003</v>
      </c>
      <c r="B358" t="s">
        <v>428</v>
      </c>
      <c r="C358" t="s">
        <v>566</v>
      </c>
      <c r="D358" s="1">
        <v>45685</v>
      </c>
      <c r="E358" s="1">
        <v>45745</v>
      </c>
      <c r="F358" t="s">
        <v>13</v>
      </c>
      <c r="G358">
        <v>1604367</v>
      </c>
      <c r="H358" s="1"/>
      <c r="I358" t="s">
        <v>2206</v>
      </c>
      <c r="J358" t="s">
        <v>556</v>
      </c>
      <c r="L358">
        <v>0</v>
      </c>
      <c r="M358">
        <f>IF(F358="INR",1,INDEX('rates'!$B$2:$C$522,MATCH(D358,'rates'!$A$2:$A$522,1),MATCH(F358&amp;"/INR",'rates'!$B$1:$C$1,0)))</f>
        <v>1</v>
      </c>
      <c r="N358">
        <f t="shared" si="25"/>
        <v>1604367</v>
      </c>
      <c r="O358">
        <f t="shared" si="26"/>
        <v>1604367</v>
      </c>
      <c r="P358">
        <f t="shared" si="27"/>
        <v>2</v>
      </c>
      <c r="Q358" t="str">
        <f t="shared" si="28"/>
        <v/>
      </c>
      <c r="R358" t="str">
        <f t="shared" si="29"/>
        <v>1-30</v>
      </c>
    </row>
    <row r="359" spans="1:18" x14ac:dyDescent="0.3">
      <c r="A359" t="s">
        <v>2524</v>
      </c>
      <c r="B359" t="s">
        <v>490</v>
      </c>
      <c r="C359" t="s">
        <v>560</v>
      </c>
      <c r="D359" s="1">
        <v>45569</v>
      </c>
      <c r="E359" s="1">
        <v>45614</v>
      </c>
      <c r="F359" t="s">
        <v>36</v>
      </c>
      <c r="G359">
        <v>43154.82</v>
      </c>
      <c r="H359" s="1">
        <v>45618</v>
      </c>
      <c r="I359" t="s">
        <v>567</v>
      </c>
      <c r="J359" t="s">
        <v>573</v>
      </c>
      <c r="K359">
        <v>84.2</v>
      </c>
      <c r="L359">
        <v>24965.79</v>
      </c>
      <c r="M359">
        <f>IF(F359="INR",1,INDEX('rates'!$B$2:$C$522,MATCH(D359,'rates'!$A$2:$A$522,1),MATCH(F359&amp;"/INR",'rates'!$B$1:$C$1,0)))</f>
        <v>83.99</v>
      </c>
      <c r="N359">
        <f t="shared" si="25"/>
        <v>3624573.3317999998</v>
      </c>
      <c r="O359">
        <f t="shared" si="26"/>
        <v>1527696.6296999997</v>
      </c>
      <c r="P359">
        <f t="shared" si="27"/>
        <v>133</v>
      </c>
      <c r="Q359">
        <f t="shared" si="28"/>
        <v>4</v>
      </c>
      <c r="R359" t="str">
        <f t="shared" si="29"/>
        <v>90+</v>
      </c>
    </row>
    <row r="360" spans="1:18" x14ac:dyDescent="0.3">
      <c r="A360" t="s">
        <v>1907</v>
      </c>
      <c r="B360" t="s">
        <v>512</v>
      </c>
      <c r="C360" t="s">
        <v>566</v>
      </c>
      <c r="D360" s="1">
        <v>45400</v>
      </c>
      <c r="E360" s="1">
        <v>45460</v>
      </c>
      <c r="F360" t="s">
        <v>31</v>
      </c>
      <c r="G360">
        <v>67094.12</v>
      </c>
      <c r="H360" s="1">
        <v>45492</v>
      </c>
      <c r="I360" t="s">
        <v>567</v>
      </c>
      <c r="J360" t="s">
        <v>573</v>
      </c>
      <c r="K360">
        <v>89.221100000000007</v>
      </c>
      <c r="L360">
        <v>50083.65</v>
      </c>
      <c r="M360">
        <f>IF(F360="INR",1,INDEX('rates'!$B$2:$C$522,MATCH(D360,'rates'!$A$2:$A$522,1),MATCH(F360&amp;"/INR",'rates'!$B$1:$C$1,0)))</f>
        <v>89.043000000000006</v>
      </c>
      <c r="N360">
        <f t="shared" si="25"/>
        <v>5974261.7271600002</v>
      </c>
      <c r="O360">
        <f t="shared" si="26"/>
        <v>1514663.2802099995</v>
      </c>
      <c r="P360">
        <f t="shared" si="27"/>
        <v>287</v>
      </c>
      <c r="Q360">
        <f t="shared" si="28"/>
        <v>32</v>
      </c>
      <c r="R360" t="str">
        <f t="shared" si="29"/>
        <v>90+</v>
      </c>
    </row>
    <row r="361" spans="1:18" x14ac:dyDescent="0.3">
      <c r="A361" t="s">
        <v>2119</v>
      </c>
      <c r="B361" t="s">
        <v>184</v>
      </c>
      <c r="C361" t="s">
        <v>575</v>
      </c>
      <c r="D361" s="1">
        <v>45456</v>
      </c>
      <c r="E361" s="1">
        <v>45546</v>
      </c>
      <c r="F361" t="s">
        <v>31</v>
      </c>
      <c r="G361">
        <v>100374.93</v>
      </c>
      <c r="H361" s="1">
        <v>45551</v>
      </c>
      <c r="I361" t="s">
        <v>567</v>
      </c>
      <c r="J361" t="s">
        <v>556</v>
      </c>
      <c r="L361">
        <v>83574.33</v>
      </c>
      <c r="M361">
        <f>IF(F361="INR",1,INDEX('rates'!$B$2:$C$522,MATCH(D361,'rates'!$A$2:$A$522,1),MATCH(F361&amp;"/INR",'rates'!$B$1:$C$1,0)))</f>
        <v>89.834100000000007</v>
      </c>
      <c r="N361">
        <f t="shared" si="25"/>
        <v>9017091.4991130009</v>
      </c>
      <c r="O361">
        <f t="shared" si="26"/>
        <v>1509266.7804599993</v>
      </c>
      <c r="P361">
        <f t="shared" si="27"/>
        <v>201</v>
      </c>
      <c r="Q361">
        <f t="shared" si="28"/>
        <v>5</v>
      </c>
      <c r="R361" t="str">
        <f t="shared" si="29"/>
        <v>90+</v>
      </c>
    </row>
    <row r="362" spans="1:18" x14ac:dyDescent="0.3">
      <c r="A362" t="s">
        <v>3047</v>
      </c>
      <c r="B362" t="s">
        <v>330</v>
      </c>
      <c r="C362" t="s">
        <v>566</v>
      </c>
      <c r="D362" s="1">
        <v>45698</v>
      </c>
      <c r="E362" s="1">
        <v>45758</v>
      </c>
      <c r="F362" t="s">
        <v>31</v>
      </c>
      <c r="G362">
        <v>16730.28</v>
      </c>
      <c r="H362" s="1"/>
      <c r="I362" t="s">
        <v>2206</v>
      </c>
      <c r="J362" t="s">
        <v>573</v>
      </c>
      <c r="K362">
        <v>90.358800000000002</v>
      </c>
      <c r="L362">
        <v>0</v>
      </c>
      <c r="M362">
        <f>IF(F362="INR",1,INDEX('rates'!$B$2:$C$522,MATCH(D362,'rates'!$A$2:$A$522,1),MATCH(F362&amp;"/INR",'rates'!$B$1:$C$1,0)))</f>
        <v>90.178399999999996</v>
      </c>
      <c r="N362">
        <f t="shared" si="25"/>
        <v>1508709.8819519999</v>
      </c>
      <c r="O362">
        <f t="shared" si="26"/>
        <v>1508709.8819519999</v>
      </c>
      <c r="P362">
        <f t="shared" si="27"/>
        <v>0</v>
      </c>
      <c r="Q362" t="str">
        <f t="shared" si="28"/>
        <v/>
      </c>
      <c r="R362" t="str">
        <f t="shared" si="29"/>
        <v>Not yet due</v>
      </c>
    </row>
    <row r="363" spans="1:18" x14ac:dyDescent="0.3">
      <c r="A363" t="s">
        <v>3018</v>
      </c>
      <c r="B363" t="s">
        <v>322</v>
      </c>
      <c r="C363" t="s">
        <v>566</v>
      </c>
      <c r="D363" s="1">
        <v>45691</v>
      </c>
      <c r="E363" s="1">
        <v>45751</v>
      </c>
      <c r="F363" t="s">
        <v>13</v>
      </c>
      <c r="G363">
        <v>1485130</v>
      </c>
      <c r="H363" s="1"/>
      <c r="I363" t="s">
        <v>2206</v>
      </c>
      <c r="J363" t="s">
        <v>556</v>
      </c>
      <c r="L363">
        <v>0</v>
      </c>
      <c r="M363">
        <f>IF(F363="INR",1,INDEX('rates'!$B$2:$C$522,MATCH(D363,'rates'!$A$2:$A$522,1),MATCH(F363&amp;"/INR",'rates'!$B$1:$C$1,0)))</f>
        <v>1</v>
      </c>
      <c r="N363">
        <f t="shared" si="25"/>
        <v>1485130</v>
      </c>
      <c r="O363">
        <f t="shared" si="26"/>
        <v>1485130</v>
      </c>
      <c r="P363">
        <f t="shared" si="27"/>
        <v>0</v>
      </c>
      <c r="Q363" t="str">
        <f t="shared" si="28"/>
        <v/>
      </c>
      <c r="R363" t="str">
        <f t="shared" si="29"/>
        <v>Not yet due</v>
      </c>
    </row>
    <row r="364" spans="1:18" x14ac:dyDescent="0.3">
      <c r="A364" t="s">
        <v>2010</v>
      </c>
      <c r="B364" t="s">
        <v>462</v>
      </c>
      <c r="C364" t="s">
        <v>566</v>
      </c>
      <c r="D364" s="1">
        <v>45429</v>
      </c>
      <c r="E364" s="1">
        <v>45474</v>
      </c>
      <c r="F364" t="s">
        <v>13</v>
      </c>
      <c r="G364">
        <v>3003092</v>
      </c>
      <c r="H364" s="1">
        <v>45486</v>
      </c>
      <c r="I364" t="s">
        <v>567</v>
      </c>
      <c r="J364" t="s">
        <v>556</v>
      </c>
      <c r="L364">
        <v>1526385.4</v>
      </c>
      <c r="M364">
        <f>IF(F364="INR",1,INDEX('rates'!$B$2:$C$522,MATCH(D364,'rates'!$A$2:$A$522,1),MATCH(F364&amp;"/INR",'rates'!$B$1:$C$1,0)))</f>
        <v>1</v>
      </c>
      <c r="N364">
        <f t="shared" si="25"/>
        <v>3003092</v>
      </c>
      <c r="O364">
        <f t="shared" si="26"/>
        <v>1476706.6</v>
      </c>
      <c r="P364">
        <f t="shared" si="27"/>
        <v>273</v>
      </c>
      <c r="Q364">
        <f t="shared" si="28"/>
        <v>12</v>
      </c>
      <c r="R364" t="str">
        <f t="shared" si="29"/>
        <v>90+</v>
      </c>
    </row>
    <row r="365" spans="1:18" x14ac:dyDescent="0.3">
      <c r="A365" t="s">
        <v>3240</v>
      </c>
      <c r="B365" t="s">
        <v>276</v>
      </c>
      <c r="C365" t="s">
        <v>558</v>
      </c>
      <c r="D365" s="1">
        <v>45744</v>
      </c>
      <c r="E365" s="1">
        <v>45804</v>
      </c>
      <c r="F365" t="s">
        <v>13</v>
      </c>
      <c r="G365">
        <v>1435998</v>
      </c>
      <c r="H365" s="1"/>
      <c r="I365" t="s">
        <v>2206</v>
      </c>
      <c r="J365" t="s">
        <v>556</v>
      </c>
      <c r="L365">
        <v>0</v>
      </c>
      <c r="M365">
        <f>IF(F365="INR",1,INDEX('rates'!$B$2:$C$522,MATCH(D365,'rates'!$A$2:$A$522,1),MATCH(F365&amp;"/INR",'rates'!$B$1:$C$1,0)))</f>
        <v>1</v>
      </c>
      <c r="N365">
        <f t="shared" si="25"/>
        <v>1435998</v>
      </c>
      <c r="O365">
        <f t="shared" si="26"/>
        <v>1435998</v>
      </c>
      <c r="P365">
        <f t="shared" si="27"/>
        <v>0</v>
      </c>
      <c r="Q365" t="str">
        <f t="shared" si="28"/>
        <v/>
      </c>
      <c r="R365" t="str">
        <f t="shared" si="29"/>
        <v>Not yet due</v>
      </c>
    </row>
    <row r="366" spans="1:18" x14ac:dyDescent="0.3">
      <c r="A366" t="s">
        <v>2924</v>
      </c>
      <c r="B366" t="s">
        <v>406</v>
      </c>
      <c r="C366" t="s">
        <v>554</v>
      </c>
      <c r="D366" s="1">
        <v>45666</v>
      </c>
      <c r="E366" s="1">
        <v>45756</v>
      </c>
      <c r="F366" t="s">
        <v>13</v>
      </c>
      <c r="G366">
        <v>1424984</v>
      </c>
      <c r="H366" s="1"/>
      <c r="I366" t="s">
        <v>2206</v>
      </c>
      <c r="J366" t="s">
        <v>556</v>
      </c>
      <c r="L366">
        <v>0</v>
      </c>
      <c r="M366">
        <f>IF(F366="INR",1,INDEX('rates'!$B$2:$C$522,MATCH(D366,'rates'!$A$2:$A$522,1),MATCH(F366&amp;"/INR",'rates'!$B$1:$C$1,0)))</f>
        <v>1</v>
      </c>
      <c r="N366">
        <f t="shared" si="25"/>
        <v>1424984</v>
      </c>
      <c r="O366">
        <f t="shared" si="26"/>
        <v>1424984</v>
      </c>
      <c r="P366">
        <f t="shared" si="27"/>
        <v>0</v>
      </c>
      <c r="Q366" t="str">
        <f t="shared" si="28"/>
        <v/>
      </c>
      <c r="R366" t="str">
        <f t="shared" si="29"/>
        <v>Not yet due</v>
      </c>
    </row>
    <row r="367" spans="1:18" x14ac:dyDescent="0.3">
      <c r="A367" t="s">
        <v>3126</v>
      </c>
      <c r="B367" t="s">
        <v>226</v>
      </c>
      <c r="C367" t="s">
        <v>566</v>
      </c>
      <c r="D367" s="1">
        <v>45719</v>
      </c>
      <c r="E367" s="1">
        <v>45779</v>
      </c>
      <c r="F367" t="s">
        <v>36</v>
      </c>
      <c r="G367">
        <v>15410.71</v>
      </c>
      <c r="H367" s="1"/>
      <c r="I367" t="s">
        <v>2206</v>
      </c>
      <c r="J367" t="s">
        <v>573</v>
      </c>
      <c r="K367">
        <v>87.641199999999998</v>
      </c>
      <c r="L367">
        <v>0</v>
      </c>
      <c r="M367">
        <f>IF(F367="INR",1,INDEX('rates'!$B$2:$C$522,MATCH(D367,'rates'!$A$2:$A$522,1),MATCH(F367&amp;"/INR",'rates'!$B$1:$C$1,0)))</f>
        <v>87.35</v>
      </c>
      <c r="N367">
        <f t="shared" si="25"/>
        <v>1346125.5184999998</v>
      </c>
      <c r="O367">
        <f t="shared" si="26"/>
        <v>1346125.5184999998</v>
      </c>
      <c r="P367">
        <f t="shared" si="27"/>
        <v>0</v>
      </c>
      <c r="Q367" t="str">
        <f t="shared" si="28"/>
        <v/>
      </c>
      <c r="R367" t="str">
        <f t="shared" si="29"/>
        <v>Not yet due</v>
      </c>
    </row>
    <row r="368" spans="1:18" x14ac:dyDescent="0.3">
      <c r="A368" t="s">
        <v>2603</v>
      </c>
      <c r="B368" t="s">
        <v>236</v>
      </c>
      <c r="C368" t="s">
        <v>558</v>
      </c>
      <c r="D368" s="1">
        <v>45588</v>
      </c>
      <c r="E368" s="1">
        <v>45678</v>
      </c>
      <c r="F368" t="s">
        <v>13</v>
      </c>
      <c r="G368">
        <v>4237338</v>
      </c>
      <c r="H368" s="1">
        <v>45693</v>
      </c>
      <c r="I368" t="s">
        <v>567</v>
      </c>
      <c r="J368" t="s">
        <v>556</v>
      </c>
      <c r="L368">
        <v>2906134.79</v>
      </c>
      <c r="M368">
        <f>IF(F368="INR",1,INDEX('rates'!$B$2:$C$522,MATCH(D368,'rates'!$A$2:$A$522,1),MATCH(F368&amp;"/INR",'rates'!$B$1:$C$1,0)))</f>
        <v>1</v>
      </c>
      <c r="N368">
        <f t="shared" si="25"/>
        <v>4237338</v>
      </c>
      <c r="O368">
        <f t="shared" si="26"/>
        <v>1331203.21</v>
      </c>
      <c r="P368">
        <f t="shared" si="27"/>
        <v>69</v>
      </c>
      <c r="Q368">
        <f t="shared" si="28"/>
        <v>15</v>
      </c>
      <c r="R368" t="str">
        <f t="shared" si="29"/>
        <v>61-90</v>
      </c>
    </row>
    <row r="369" spans="1:18" x14ac:dyDescent="0.3">
      <c r="A369" t="s">
        <v>1847</v>
      </c>
      <c r="B369" t="s">
        <v>370</v>
      </c>
      <c r="C369" t="s">
        <v>566</v>
      </c>
      <c r="D369" s="1">
        <v>45381</v>
      </c>
      <c r="E369" s="1">
        <v>45411</v>
      </c>
      <c r="F369" t="s">
        <v>36</v>
      </c>
      <c r="G369">
        <v>112742.9</v>
      </c>
      <c r="H369" s="1">
        <v>45411</v>
      </c>
      <c r="I369" t="s">
        <v>567</v>
      </c>
      <c r="J369" t="s">
        <v>573</v>
      </c>
      <c r="K369">
        <v>83.478899999999996</v>
      </c>
      <c r="L369">
        <v>96859.16</v>
      </c>
      <c r="M369">
        <f>IF(F369="INR",1,INDEX('rates'!$B$2:$C$522,MATCH(D369,'rates'!$A$2:$A$522,1),MATCH(F369&amp;"/INR",'rates'!$B$1:$C$1,0)))</f>
        <v>83.34</v>
      </c>
      <c r="N369">
        <f t="shared" si="25"/>
        <v>9395993.2860000003</v>
      </c>
      <c r="O369">
        <f t="shared" si="26"/>
        <v>1323750.8915999993</v>
      </c>
      <c r="P369">
        <f t="shared" si="27"/>
        <v>336</v>
      </c>
      <c r="Q369">
        <f t="shared" si="28"/>
        <v>0</v>
      </c>
      <c r="R369" t="str">
        <f t="shared" si="29"/>
        <v>90+</v>
      </c>
    </row>
    <row r="370" spans="1:18" x14ac:dyDescent="0.3">
      <c r="A370" t="s">
        <v>2273</v>
      </c>
      <c r="B370" t="s">
        <v>472</v>
      </c>
      <c r="C370" t="s">
        <v>558</v>
      </c>
      <c r="D370" s="1">
        <v>45500</v>
      </c>
      <c r="E370" s="1">
        <v>45560</v>
      </c>
      <c r="F370" t="s">
        <v>36</v>
      </c>
      <c r="G370">
        <v>92756.24</v>
      </c>
      <c r="H370" s="1">
        <v>45578</v>
      </c>
      <c r="I370" t="s">
        <v>567</v>
      </c>
      <c r="J370" t="s">
        <v>556</v>
      </c>
      <c r="L370">
        <v>77018.649999999994</v>
      </c>
      <c r="M370">
        <f>IF(F370="INR",1,INDEX('rates'!$B$2:$C$522,MATCH(D370,'rates'!$A$2:$A$522,1),MATCH(F370&amp;"/INR",'rates'!$B$1:$C$1,0)))</f>
        <v>83.7</v>
      </c>
      <c r="N370">
        <f t="shared" si="25"/>
        <v>7763697.2880000006</v>
      </c>
      <c r="O370">
        <f t="shared" si="26"/>
        <v>1317236.283000001</v>
      </c>
      <c r="P370">
        <f t="shared" si="27"/>
        <v>187</v>
      </c>
      <c r="Q370">
        <f t="shared" si="28"/>
        <v>18</v>
      </c>
      <c r="R370" t="str">
        <f t="shared" si="29"/>
        <v>90+</v>
      </c>
    </row>
    <row r="371" spans="1:18" x14ac:dyDescent="0.3">
      <c r="A371" t="s">
        <v>1286</v>
      </c>
      <c r="B371" t="s">
        <v>154</v>
      </c>
      <c r="C371" t="s">
        <v>566</v>
      </c>
      <c r="D371" s="1">
        <v>45241</v>
      </c>
      <c r="E371" s="1">
        <v>45271</v>
      </c>
      <c r="F371" t="s">
        <v>13</v>
      </c>
      <c r="G371">
        <v>3819889</v>
      </c>
      <c r="H371" s="1">
        <v>45270</v>
      </c>
      <c r="I371" t="s">
        <v>567</v>
      </c>
      <c r="J371" t="s">
        <v>556</v>
      </c>
      <c r="L371">
        <v>2513568.17</v>
      </c>
      <c r="M371">
        <f>IF(F371="INR",1,INDEX('rates'!$B$2:$C$522,MATCH(D371,'rates'!$A$2:$A$522,1),MATCH(F371&amp;"/INR",'rates'!$B$1:$C$1,0)))</f>
        <v>1</v>
      </c>
      <c r="N371">
        <f t="shared" si="25"/>
        <v>3819889</v>
      </c>
      <c r="O371">
        <f t="shared" si="26"/>
        <v>1306320.83</v>
      </c>
      <c r="P371">
        <f t="shared" si="27"/>
        <v>476</v>
      </c>
      <c r="Q371">
        <f t="shared" si="28"/>
        <v>-1</v>
      </c>
      <c r="R371" t="str">
        <f t="shared" si="29"/>
        <v>90+</v>
      </c>
    </row>
    <row r="372" spans="1:18" x14ac:dyDescent="0.3">
      <c r="A372" t="s">
        <v>2218</v>
      </c>
      <c r="B372" t="s">
        <v>444</v>
      </c>
      <c r="C372" t="s">
        <v>566</v>
      </c>
      <c r="D372" s="1">
        <v>45484</v>
      </c>
      <c r="E372" s="1">
        <v>45529</v>
      </c>
      <c r="F372" t="s">
        <v>36</v>
      </c>
      <c r="G372">
        <v>34173.61</v>
      </c>
      <c r="H372" s="1">
        <v>45542</v>
      </c>
      <c r="I372" t="s">
        <v>567</v>
      </c>
      <c r="J372" t="s">
        <v>556</v>
      </c>
      <c r="L372">
        <v>18979.75</v>
      </c>
      <c r="M372">
        <f>IF(F372="INR",1,INDEX('rates'!$B$2:$C$522,MATCH(D372,'rates'!$A$2:$A$522,1),MATCH(F372&amp;"/INR",'rates'!$B$1:$C$1,0)))</f>
        <v>83.57</v>
      </c>
      <c r="N372">
        <f t="shared" si="25"/>
        <v>2855888.5877</v>
      </c>
      <c r="O372">
        <f t="shared" si="26"/>
        <v>1269750.8802</v>
      </c>
      <c r="P372">
        <f t="shared" si="27"/>
        <v>218</v>
      </c>
      <c r="Q372">
        <f t="shared" si="28"/>
        <v>13</v>
      </c>
      <c r="R372" t="str">
        <f t="shared" si="29"/>
        <v>90+</v>
      </c>
    </row>
    <row r="373" spans="1:18" x14ac:dyDescent="0.3">
      <c r="A373" t="s">
        <v>2647</v>
      </c>
      <c r="B373" t="s">
        <v>188</v>
      </c>
      <c r="C373" t="s">
        <v>554</v>
      </c>
      <c r="D373" s="1">
        <v>45598</v>
      </c>
      <c r="E373" s="1">
        <v>45628</v>
      </c>
      <c r="F373" t="s">
        <v>13</v>
      </c>
      <c r="G373">
        <v>4716450</v>
      </c>
      <c r="H373" s="1">
        <v>45633</v>
      </c>
      <c r="I373" t="s">
        <v>567</v>
      </c>
      <c r="J373" t="s">
        <v>556</v>
      </c>
      <c r="L373">
        <v>3469862.11</v>
      </c>
      <c r="M373">
        <f>IF(F373="INR",1,INDEX('rates'!$B$2:$C$522,MATCH(D373,'rates'!$A$2:$A$522,1),MATCH(F373&amp;"/INR",'rates'!$B$1:$C$1,0)))</f>
        <v>1</v>
      </c>
      <c r="N373">
        <f t="shared" si="25"/>
        <v>4716450</v>
      </c>
      <c r="O373">
        <f t="shared" si="26"/>
        <v>1246587.8900000001</v>
      </c>
      <c r="P373">
        <f t="shared" si="27"/>
        <v>119</v>
      </c>
      <c r="Q373">
        <f t="shared" si="28"/>
        <v>5</v>
      </c>
      <c r="R373" t="str">
        <f t="shared" si="29"/>
        <v>90+</v>
      </c>
    </row>
    <row r="374" spans="1:18" x14ac:dyDescent="0.3">
      <c r="A374" t="s">
        <v>3084</v>
      </c>
      <c r="B374" t="s">
        <v>117</v>
      </c>
      <c r="C374" t="s">
        <v>554</v>
      </c>
      <c r="D374" s="1">
        <v>45705</v>
      </c>
      <c r="E374" s="1">
        <v>45765</v>
      </c>
      <c r="F374" t="s">
        <v>13</v>
      </c>
      <c r="G374">
        <v>1233605</v>
      </c>
      <c r="H374" s="1"/>
      <c r="I374" t="s">
        <v>2206</v>
      </c>
      <c r="J374" t="s">
        <v>556</v>
      </c>
      <c r="L374">
        <v>0</v>
      </c>
      <c r="M374">
        <f>IF(F374="INR",1,INDEX('rates'!$B$2:$C$522,MATCH(D374,'rates'!$A$2:$A$522,1),MATCH(F374&amp;"/INR",'rates'!$B$1:$C$1,0)))</f>
        <v>1</v>
      </c>
      <c r="N374">
        <f t="shared" si="25"/>
        <v>1233605</v>
      </c>
      <c r="O374">
        <f t="shared" si="26"/>
        <v>1233605</v>
      </c>
      <c r="P374">
        <f t="shared" si="27"/>
        <v>0</v>
      </c>
      <c r="Q374" t="str">
        <f t="shared" si="28"/>
        <v/>
      </c>
      <c r="R374" t="str">
        <f t="shared" si="29"/>
        <v>Not yet due</v>
      </c>
    </row>
    <row r="375" spans="1:18" x14ac:dyDescent="0.3">
      <c r="A375" t="s">
        <v>3124</v>
      </c>
      <c r="B375" t="s">
        <v>480</v>
      </c>
      <c r="C375" t="s">
        <v>558</v>
      </c>
      <c r="D375" s="1">
        <v>45717</v>
      </c>
      <c r="E375" s="1">
        <v>45747</v>
      </c>
      <c r="F375" t="s">
        <v>13</v>
      </c>
      <c r="G375">
        <v>1230759</v>
      </c>
      <c r="H375" s="1"/>
      <c r="I375" t="s">
        <v>2206</v>
      </c>
      <c r="J375" t="s">
        <v>556</v>
      </c>
      <c r="L375">
        <v>0</v>
      </c>
      <c r="M375">
        <f>IF(F375="INR",1,INDEX('rates'!$B$2:$C$522,MATCH(D375,'rates'!$A$2:$A$522,1),MATCH(F375&amp;"/INR",'rates'!$B$1:$C$1,0)))</f>
        <v>1</v>
      </c>
      <c r="N375">
        <f t="shared" si="25"/>
        <v>1230759</v>
      </c>
      <c r="O375">
        <f t="shared" si="26"/>
        <v>1230759</v>
      </c>
      <c r="P375">
        <f t="shared" si="27"/>
        <v>0</v>
      </c>
      <c r="Q375" t="str">
        <f t="shared" si="28"/>
        <v/>
      </c>
      <c r="R375" t="str">
        <f t="shared" si="29"/>
        <v>Not yet due</v>
      </c>
    </row>
    <row r="376" spans="1:18" x14ac:dyDescent="0.3">
      <c r="A376" t="s">
        <v>808</v>
      </c>
      <c r="B376" t="s">
        <v>28</v>
      </c>
      <c r="C376" t="s">
        <v>558</v>
      </c>
      <c r="D376" s="1">
        <v>45097</v>
      </c>
      <c r="E376" s="1">
        <v>45127</v>
      </c>
      <c r="F376" t="s">
        <v>31</v>
      </c>
      <c r="G376">
        <v>122688.15</v>
      </c>
      <c r="H376" s="1">
        <v>45152</v>
      </c>
      <c r="I376" t="s">
        <v>567</v>
      </c>
      <c r="J376" t="s">
        <v>556</v>
      </c>
      <c r="L376">
        <v>108963.11</v>
      </c>
      <c r="M376">
        <f>IF(F376="INR",1,INDEX('rates'!$B$2:$C$522,MATCH(D376,'rates'!$A$2:$A$522,1),MATCH(F376&amp;"/INR",'rates'!$B$1:$C$1,0)))</f>
        <v>89.499899999999997</v>
      </c>
      <c r="N376">
        <f t="shared" si="25"/>
        <v>10980577.156184999</v>
      </c>
      <c r="O376">
        <f t="shared" si="26"/>
        <v>1228389.7074959993</v>
      </c>
      <c r="P376">
        <f t="shared" si="27"/>
        <v>620</v>
      </c>
      <c r="Q376">
        <f t="shared" si="28"/>
        <v>25</v>
      </c>
      <c r="R376" t="str">
        <f t="shared" si="29"/>
        <v>90+</v>
      </c>
    </row>
    <row r="377" spans="1:18" x14ac:dyDescent="0.3">
      <c r="A377" t="s">
        <v>1141</v>
      </c>
      <c r="B377" t="s">
        <v>376</v>
      </c>
      <c r="C377" t="s">
        <v>566</v>
      </c>
      <c r="D377" s="1">
        <v>45203</v>
      </c>
      <c r="E377" s="1">
        <v>45263</v>
      </c>
      <c r="F377" t="s">
        <v>13</v>
      </c>
      <c r="G377">
        <v>2490595</v>
      </c>
      <c r="H377" s="1">
        <v>45266</v>
      </c>
      <c r="I377" t="s">
        <v>567</v>
      </c>
      <c r="J377" t="s">
        <v>556</v>
      </c>
      <c r="L377">
        <v>1314636.51</v>
      </c>
      <c r="M377">
        <f>IF(F377="INR",1,INDEX('rates'!$B$2:$C$522,MATCH(D377,'rates'!$A$2:$A$522,1),MATCH(F377&amp;"/INR",'rates'!$B$1:$C$1,0)))</f>
        <v>1</v>
      </c>
      <c r="N377">
        <f t="shared" si="25"/>
        <v>2490595</v>
      </c>
      <c r="O377">
        <f t="shared" si="26"/>
        <v>1175958.49</v>
      </c>
      <c r="P377">
        <f t="shared" si="27"/>
        <v>484</v>
      </c>
      <c r="Q377">
        <f t="shared" si="28"/>
        <v>3</v>
      </c>
      <c r="R377" t="str">
        <f t="shared" si="29"/>
        <v>90+</v>
      </c>
    </row>
    <row r="378" spans="1:18" x14ac:dyDescent="0.3">
      <c r="A378" t="s">
        <v>1636</v>
      </c>
      <c r="B378" t="s">
        <v>424</v>
      </c>
      <c r="C378" t="s">
        <v>575</v>
      </c>
      <c r="D378" s="1">
        <v>45332</v>
      </c>
      <c r="E378" s="1">
        <v>45422</v>
      </c>
      <c r="F378" t="s">
        <v>31</v>
      </c>
      <c r="G378">
        <v>26454.62</v>
      </c>
      <c r="H378" s="1">
        <v>45450</v>
      </c>
      <c r="I378" t="s">
        <v>567</v>
      </c>
      <c r="J378" t="s">
        <v>556</v>
      </c>
      <c r="L378">
        <v>13454.11</v>
      </c>
      <c r="M378">
        <f>IF(F378="INR",1,INDEX('rates'!$B$2:$C$522,MATCH(D378,'rates'!$A$2:$A$522,1),MATCH(F378&amp;"/INR",'rates'!$B$1:$C$1,0)))</f>
        <v>89.490600000000001</v>
      </c>
      <c r="N378">
        <f t="shared" si="25"/>
        <v>2367439.8165719998</v>
      </c>
      <c r="O378">
        <f t="shared" si="26"/>
        <v>1163423.4402059999</v>
      </c>
      <c r="P378">
        <f t="shared" si="27"/>
        <v>325</v>
      </c>
      <c r="Q378">
        <f t="shared" si="28"/>
        <v>28</v>
      </c>
      <c r="R378" t="str">
        <f t="shared" si="29"/>
        <v>90+</v>
      </c>
    </row>
    <row r="379" spans="1:18" x14ac:dyDescent="0.3">
      <c r="A379" t="s">
        <v>3155</v>
      </c>
      <c r="B379" t="s">
        <v>302</v>
      </c>
      <c r="C379" t="s">
        <v>558</v>
      </c>
      <c r="D379" s="1">
        <v>45724</v>
      </c>
      <c r="E379" s="1">
        <v>45814</v>
      </c>
      <c r="F379" t="s">
        <v>13</v>
      </c>
      <c r="G379">
        <v>1158414</v>
      </c>
      <c r="H379" s="1"/>
      <c r="I379" t="s">
        <v>2206</v>
      </c>
      <c r="J379" t="s">
        <v>556</v>
      </c>
      <c r="L379">
        <v>0</v>
      </c>
      <c r="M379">
        <f>IF(F379="INR",1,INDEX('rates'!$B$2:$C$522,MATCH(D379,'rates'!$A$2:$A$522,1),MATCH(F379&amp;"/INR",'rates'!$B$1:$C$1,0)))</f>
        <v>1</v>
      </c>
      <c r="N379">
        <f t="shared" si="25"/>
        <v>1158414</v>
      </c>
      <c r="O379">
        <f t="shared" si="26"/>
        <v>1158414</v>
      </c>
      <c r="P379">
        <f t="shared" si="27"/>
        <v>0</v>
      </c>
      <c r="Q379" t="str">
        <f t="shared" si="28"/>
        <v/>
      </c>
      <c r="R379" t="str">
        <f t="shared" si="29"/>
        <v>Not yet due</v>
      </c>
    </row>
    <row r="380" spans="1:18" x14ac:dyDescent="0.3">
      <c r="A380" t="s">
        <v>1844</v>
      </c>
      <c r="B380" t="s">
        <v>218</v>
      </c>
      <c r="C380" t="s">
        <v>554</v>
      </c>
      <c r="D380" s="1">
        <v>45381</v>
      </c>
      <c r="E380" s="1">
        <v>45471</v>
      </c>
      <c r="F380" t="s">
        <v>36</v>
      </c>
      <c r="G380">
        <v>27983.37</v>
      </c>
      <c r="H380" s="1">
        <v>45494</v>
      </c>
      <c r="I380" t="s">
        <v>567</v>
      </c>
      <c r="J380" t="s">
        <v>573</v>
      </c>
      <c r="K380">
        <v>83.756699999999995</v>
      </c>
      <c r="L380">
        <v>14095.79</v>
      </c>
      <c r="M380">
        <f>IF(F380="INR",1,INDEX('rates'!$B$2:$C$522,MATCH(D380,'rates'!$A$2:$A$522,1),MATCH(F380&amp;"/INR",'rates'!$B$1:$C$1,0)))</f>
        <v>83.34</v>
      </c>
      <c r="N380">
        <f t="shared" si="25"/>
        <v>2332134.0558000002</v>
      </c>
      <c r="O380">
        <f t="shared" si="26"/>
        <v>1157390.9171999998</v>
      </c>
      <c r="P380">
        <f t="shared" si="27"/>
        <v>276</v>
      </c>
      <c r="Q380">
        <f t="shared" si="28"/>
        <v>23</v>
      </c>
      <c r="R380" t="str">
        <f t="shared" si="29"/>
        <v>90+</v>
      </c>
    </row>
    <row r="381" spans="1:18" x14ac:dyDescent="0.3">
      <c r="A381" t="s">
        <v>2914</v>
      </c>
      <c r="B381" t="s">
        <v>218</v>
      </c>
      <c r="C381" t="s">
        <v>566</v>
      </c>
      <c r="D381" s="1">
        <v>45665</v>
      </c>
      <c r="E381" s="1">
        <v>45755</v>
      </c>
      <c r="F381" t="s">
        <v>36</v>
      </c>
      <c r="G381">
        <v>13389.03</v>
      </c>
      <c r="H381" s="1"/>
      <c r="I381" t="s">
        <v>2206</v>
      </c>
      <c r="J381" t="s">
        <v>573</v>
      </c>
      <c r="K381">
        <v>86.319400000000002</v>
      </c>
      <c r="L381">
        <v>0</v>
      </c>
      <c r="M381">
        <f>IF(F381="INR",1,INDEX('rates'!$B$2:$C$522,MATCH(D381,'rates'!$A$2:$A$522,1),MATCH(F381&amp;"/INR",'rates'!$B$1:$C$1,0)))</f>
        <v>85.89</v>
      </c>
      <c r="N381">
        <f t="shared" si="25"/>
        <v>1149983.7867000001</v>
      </c>
      <c r="O381">
        <f t="shared" si="26"/>
        <v>1149983.7867000001</v>
      </c>
      <c r="P381">
        <f t="shared" si="27"/>
        <v>0</v>
      </c>
      <c r="Q381" t="str">
        <f t="shared" si="28"/>
        <v/>
      </c>
      <c r="R381" t="str">
        <f t="shared" si="29"/>
        <v>Not yet due</v>
      </c>
    </row>
    <row r="382" spans="1:18" x14ac:dyDescent="0.3">
      <c r="A382" t="s">
        <v>3156</v>
      </c>
      <c r="B382" t="s">
        <v>46</v>
      </c>
      <c r="C382" t="s">
        <v>558</v>
      </c>
      <c r="D382" s="1">
        <v>45726</v>
      </c>
      <c r="E382" s="1">
        <v>45786</v>
      </c>
      <c r="F382" t="s">
        <v>36</v>
      </c>
      <c r="G382">
        <v>12905.68</v>
      </c>
      <c r="H382" s="1"/>
      <c r="I382" t="s">
        <v>2206</v>
      </c>
      <c r="J382" t="s">
        <v>556</v>
      </c>
      <c r="L382">
        <v>0</v>
      </c>
      <c r="M382">
        <f>IF(F382="INR",1,INDEX('rates'!$B$2:$C$522,MATCH(D382,'rates'!$A$2:$A$522,1),MATCH(F382&amp;"/INR",'rates'!$B$1:$C$1,0)))</f>
        <v>87.27</v>
      </c>
      <c r="N382">
        <f t="shared" si="25"/>
        <v>1126278.6935999999</v>
      </c>
      <c r="O382">
        <f t="shared" si="26"/>
        <v>1126278.6935999999</v>
      </c>
      <c r="P382">
        <f t="shared" si="27"/>
        <v>0</v>
      </c>
      <c r="Q382" t="str">
        <f t="shared" si="28"/>
        <v/>
      </c>
      <c r="R382" t="str">
        <f t="shared" si="29"/>
        <v>Not yet due</v>
      </c>
    </row>
    <row r="383" spans="1:18" x14ac:dyDescent="0.3">
      <c r="A383" t="s">
        <v>2948</v>
      </c>
      <c r="B383" t="s">
        <v>418</v>
      </c>
      <c r="C383" t="s">
        <v>558</v>
      </c>
      <c r="D383" s="1">
        <v>45670</v>
      </c>
      <c r="E383" s="1">
        <v>45715</v>
      </c>
      <c r="F383" t="s">
        <v>13</v>
      </c>
      <c r="G383">
        <v>1064296</v>
      </c>
      <c r="H383" s="1"/>
      <c r="I383" t="s">
        <v>2206</v>
      </c>
      <c r="J383" t="s">
        <v>556</v>
      </c>
      <c r="L383">
        <v>0</v>
      </c>
      <c r="M383">
        <f>IF(F383="INR",1,INDEX('rates'!$B$2:$C$522,MATCH(D383,'rates'!$A$2:$A$522,1),MATCH(F383&amp;"/INR",'rates'!$B$1:$C$1,0)))</f>
        <v>1</v>
      </c>
      <c r="N383">
        <f t="shared" si="25"/>
        <v>1064296</v>
      </c>
      <c r="O383">
        <f t="shared" si="26"/>
        <v>1064296</v>
      </c>
      <c r="P383">
        <f t="shared" si="27"/>
        <v>32</v>
      </c>
      <c r="Q383" t="str">
        <f t="shared" si="28"/>
        <v/>
      </c>
      <c r="R383" t="str">
        <f t="shared" si="29"/>
        <v>31-60</v>
      </c>
    </row>
    <row r="384" spans="1:18" x14ac:dyDescent="0.3">
      <c r="A384" t="s">
        <v>1335</v>
      </c>
      <c r="B384" t="s">
        <v>346</v>
      </c>
      <c r="C384" t="s">
        <v>575</v>
      </c>
      <c r="D384" s="1">
        <v>45253</v>
      </c>
      <c r="E384" s="1">
        <v>45343</v>
      </c>
      <c r="F384" t="s">
        <v>13</v>
      </c>
      <c r="G384">
        <v>6790267</v>
      </c>
      <c r="H384" s="1">
        <v>45345</v>
      </c>
      <c r="I384" t="s">
        <v>567</v>
      </c>
      <c r="J384" t="s">
        <v>556</v>
      </c>
      <c r="L384">
        <v>5726220.5599999996</v>
      </c>
      <c r="M384">
        <f>IF(F384="INR",1,INDEX('rates'!$B$2:$C$522,MATCH(D384,'rates'!$A$2:$A$522,1),MATCH(F384&amp;"/INR",'rates'!$B$1:$C$1,0)))</f>
        <v>1</v>
      </c>
      <c r="N384">
        <f t="shared" si="25"/>
        <v>6790267</v>
      </c>
      <c r="O384">
        <f t="shared" si="26"/>
        <v>1064046.4400000004</v>
      </c>
      <c r="P384">
        <f t="shared" si="27"/>
        <v>404</v>
      </c>
      <c r="Q384">
        <f t="shared" si="28"/>
        <v>2</v>
      </c>
      <c r="R384" t="str">
        <f t="shared" si="29"/>
        <v>90+</v>
      </c>
    </row>
    <row r="385" spans="1:18" x14ac:dyDescent="0.3">
      <c r="A385" t="s">
        <v>2695</v>
      </c>
      <c r="B385" t="s">
        <v>460</v>
      </c>
      <c r="C385" t="s">
        <v>566</v>
      </c>
      <c r="D385" s="1">
        <v>45609</v>
      </c>
      <c r="E385" s="1">
        <v>45654</v>
      </c>
      <c r="F385" t="s">
        <v>36</v>
      </c>
      <c r="G385">
        <v>27780.32</v>
      </c>
      <c r="H385" s="1">
        <v>45664</v>
      </c>
      <c r="I385" t="s">
        <v>567</v>
      </c>
      <c r="J385" t="s">
        <v>573</v>
      </c>
      <c r="K385">
        <v>84.600999999999999</v>
      </c>
      <c r="L385">
        <v>15598.58</v>
      </c>
      <c r="M385">
        <f>IF(F385="INR",1,INDEX('rates'!$B$2:$C$522,MATCH(D385,'rates'!$A$2:$A$522,1),MATCH(F385&amp;"/INR",'rates'!$B$1:$C$1,0)))</f>
        <v>84.39</v>
      </c>
      <c r="N385">
        <f t="shared" si="25"/>
        <v>2344381.2047999999</v>
      </c>
      <c r="O385">
        <f t="shared" si="26"/>
        <v>1028017.0386</v>
      </c>
      <c r="P385">
        <f t="shared" si="27"/>
        <v>93</v>
      </c>
      <c r="Q385">
        <f t="shared" si="28"/>
        <v>10</v>
      </c>
      <c r="R385" t="str">
        <f t="shared" si="29"/>
        <v>90+</v>
      </c>
    </row>
    <row r="386" spans="1:18" x14ac:dyDescent="0.3">
      <c r="A386" t="s">
        <v>2885</v>
      </c>
      <c r="B386" t="s">
        <v>426</v>
      </c>
      <c r="C386" t="s">
        <v>566</v>
      </c>
      <c r="D386" s="1">
        <v>45657</v>
      </c>
      <c r="E386" s="1">
        <v>45702</v>
      </c>
      <c r="F386" t="s">
        <v>31</v>
      </c>
      <c r="G386">
        <v>33397.97</v>
      </c>
      <c r="H386" s="1">
        <v>45723</v>
      </c>
      <c r="I386" t="s">
        <v>567</v>
      </c>
      <c r="J386" t="s">
        <v>573</v>
      </c>
      <c r="K386">
        <v>88.685599999999994</v>
      </c>
      <c r="L386">
        <v>22110.6</v>
      </c>
      <c r="M386">
        <f>IF(F386="INR",1,INDEX('rates'!$B$2:$C$522,MATCH(D386,'rates'!$A$2:$A$522,1),MATCH(F386&amp;"/INR",'rates'!$B$1:$C$1,0)))</f>
        <v>88.552800000000005</v>
      </c>
      <c r="N386">
        <f t="shared" ref="N386:N449" si="30">G386*M386</f>
        <v>2957483.7578160004</v>
      </c>
      <c r="O386">
        <f t="shared" ref="O386:O449" si="31">IF(OR(I386="OPEN",I386="PARTIALLY PAID"),(G386-L386)*M386,0)</f>
        <v>999528.21813600033</v>
      </c>
      <c r="P386">
        <f t="shared" ref="P386:P449" si="32">IF(O386&gt;0,MAX(0,DATE(2025,3,31)-E386),0)</f>
        <v>45</v>
      </c>
      <c r="Q386">
        <f t="shared" ref="Q386:Q449" si="33">IF(H386="","",H386-E386)</f>
        <v>21</v>
      </c>
      <c r="R386" t="str">
        <f t="shared" ref="R386:R449" si="34">IF(O386=0,"Not open",IF(P386=0,"Not yet due",IF(P386&lt;=30,"1-30",IF(P386&lt;=60,"31-60",IF(P386&lt;=90,"61-90","90+")))))</f>
        <v>31-60</v>
      </c>
    </row>
    <row r="387" spans="1:18" x14ac:dyDescent="0.3">
      <c r="A387" t="s">
        <v>3215</v>
      </c>
      <c r="B387" t="s">
        <v>430</v>
      </c>
      <c r="C387" t="s">
        <v>575</v>
      </c>
      <c r="D387" s="1">
        <v>45738</v>
      </c>
      <c r="E387" s="1">
        <v>45798</v>
      </c>
      <c r="F387" t="s">
        <v>31</v>
      </c>
      <c r="G387">
        <v>10670.8</v>
      </c>
      <c r="H387" s="1"/>
      <c r="I387" t="s">
        <v>2206</v>
      </c>
      <c r="J387" t="s">
        <v>573</v>
      </c>
      <c r="K387">
        <v>93.128299999999996</v>
      </c>
      <c r="L387">
        <v>0</v>
      </c>
      <c r="M387">
        <f>IF(F387="INR",1,INDEX('rates'!$B$2:$C$522,MATCH(D387,'rates'!$A$2:$A$522,1),MATCH(F387&amp;"/INR",'rates'!$B$1:$C$1,0)))</f>
        <v>92.942400000000006</v>
      </c>
      <c r="N387">
        <f t="shared" si="30"/>
        <v>991769.76191999996</v>
      </c>
      <c r="O387">
        <f t="shared" si="31"/>
        <v>991769.76191999996</v>
      </c>
      <c r="P387">
        <f t="shared" si="32"/>
        <v>0</v>
      </c>
      <c r="Q387" t="str">
        <f t="shared" si="33"/>
        <v/>
      </c>
      <c r="R387" t="str">
        <f t="shared" si="34"/>
        <v>Not yet due</v>
      </c>
    </row>
    <row r="388" spans="1:18" x14ac:dyDescent="0.3">
      <c r="A388" t="s">
        <v>1203</v>
      </c>
      <c r="B388" t="s">
        <v>484</v>
      </c>
      <c r="C388" t="s">
        <v>560</v>
      </c>
      <c r="D388" s="1">
        <v>45219</v>
      </c>
      <c r="E388" s="1">
        <v>45279</v>
      </c>
      <c r="F388" t="s">
        <v>31</v>
      </c>
      <c r="G388">
        <v>51935.37</v>
      </c>
      <c r="H388" s="1">
        <v>45296</v>
      </c>
      <c r="I388" t="s">
        <v>567</v>
      </c>
      <c r="J388" t="s">
        <v>556</v>
      </c>
      <c r="L388">
        <v>40700.14</v>
      </c>
      <c r="M388">
        <f>IF(F388="INR",1,INDEX('rates'!$B$2:$C$522,MATCH(D388,'rates'!$A$2:$A$522,1),MATCH(F388&amp;"/INR",'rates'!$B$1:$C$1,0)))</f>
        <v>88.061899999999994</v>
      </c>
      <c r="N388">
        <f t="shared" si="30"/>
        <v>4573527.3594030002</v>
      </c>
      <c r="O388">
        <f t="shared" si="31"/>
        <v>989395.70073700021</v>
      </c>
      <c r="P388">
        <f t="shared" si="32"/>
        <v>468</v>
      </c>
      <c r="Q388">
        <f t="shared" si="33"/>
        <v>17</v>
      </c>
      <c r="R388" t="str">
        <f t="shared" si="34"/>
        <v>90+</v>
      </c>
    </row>
    <row r="389" spans="1:18" x14ac:dyDescent="0.3">
      <c r="A389" t="s">
        <v>2447</v>
      </c>
      <c r="B389" t="s">
        <v>382</v>
      </c>
      <c r="C389" t="s">
        <v>566</v>
      </c>
      <c r="D389" s="1">
        <v>45554</v>
      </c>
      <c r="E389" s="1">
        <v>45644</v>
      </c>
      <c r="F389" t="s">
        <v>36</v>
      </c>
      <c r="G389">
        <v>23370</v>
      </c>
      <c r="H389" s="1">
        <v>45676</v>
      </c>
      <c r="I389" t="s">
        <v>567</v>
      </c>
      <c r="J389" t="s">
        <v>573</v>
      </c>
      <c r="K389">
        <v>84.098399999999998</v>
      </c>
      <c r="L389">
        <v>12052</v>
      </c>
      <c r="M389">
        <f>IF(F389="INR",1,INDEX('rates'!$B$2:$C$522,MATCH(D389,'rates'!$A$2:$A$522,1),MATCH(F389&amp;"/INR",'rates'!$B$1:$C$1,0)))</f>
        <v>83.68</v>
      </c>
      <c r="N389">
        <f t="shared" si="30"/>
        <v>1955601.6</v>
      </c>
      <c r="O389">
        <f t="shared" si="31"/>
        <v>947090.24000000011</v>
      </c>
      <c r="P389">
        <f t="shared" si="32"/>
        <v>103</v>
      </c>
      <c r="Q389">
        <f t="shared" si="33"/>
        <v>32</v>
      </c>
      <c r="R389" t="str">
        <f t="shared" si="34"/>
        <v>90+</v>
      </c>
    </row>
    <row r="390" spans="1:18" x14ac:dyDescent="0.3">
      <c r="A390" t="s">
        <v>2961</v>
      </c>
      <c r="B390" t="s">
        <v>348</v>
      </c>
      <c r="C390" t="s">
        <v>554</v>
      </c>
      <c r="D390" s="1">
        <v>45674</v>
      </c>
      <c r="E390" s="1">
        <v>45719</v>
      </c>
      <c r="F390" t="s">
        <v>13</v>
      </c>
      <c r="G390">
        <v>927121</v>
      </c>
      <c r="H390" s="1"/>
      <c r="I390" t="s">
        <v>2206</v>
      </c>
      <c r="J390" t="s">
        <v>556</v>
      </c>
      <c r="L390">
        <v>0</v>
      </c>
      <c r="M390">
        <f>IF(F390="INR",1,INDEX('rates'!$B$2:$C$522,MATCH(D390,'rates'!$A$2:$A$522,1),MATCH(F390&amp;"/INR",'rates'!$B$1:$C$1,0)))</f>
        <v>1</v>
      </c>
      <c r="N390">
        <f t="shared" si="30"/>
        <v>927121</v>
      </c>
      <c r="O390">
        <f t="shared" si="31"/>
        <v>927121</v>
      </c>
      <c r="P390">
        <f t="shared" si="32"/>
        <v>28</v>
      </c>
      <c r="Q390" t="str">
        <f t="shared" si="33"/>
        <v/>
      </c>
      <c r="R390" t="str">
        <f t="shared" si="34"/>
        <v>1-30</v>
      </c>
    </row>
    <row r="391" spans="1:18" x14ac:dyDescent="0.3">
      <c r="A391" t="s">
        <v>2822</v>
      </c>
      <c r="B391" t="s">
        <v>378</v>
      </c>
      <c r="C391" t="s">
        <v>566</v>
      </c>
      <c r="D391" s="1">
        <v>45640</v>
      </c>
      <c r="E391" s="1">
        <v>45685</v>
      </c>
      <c r="F391" t="s">
        <v>31</v>
      </c>
      <c r="G391">
        <v>93305.87</v>
      </c>
      <c r="H391" s="1">
        <v>45703</v>
      </c>
      <c r="I391" t="s">
        <v>567</v>
      </c>
      <c r="J391" t="s">
        <v>573</v>
      </c>
      <c r="K391">
        <v>89.135499999999993</v>
      </c>
      <c r="L391">
        <v>83691.45</v>
      </c>
      <c r="M391">
        <f>IF(F391="INR",1,INDEX('rates'!$B$2:$C$522,MATCH(D391,'rates'!$A$2:$A$522,1),MATCH(F391&amp;"/INR",'rates'!$B$1:$C$1,0)))</f>
        <v>89.001999999999995</v>
      </c>
      <c r="N391">
        <f t="shared" si="30"/>
        <v>8304409.0417399993</v>
      </c>
      <c r="O391">
        <f t="shared" si="31"/>
        <v>855702.60883999977</v>
      </c>
      <c r="P391">
        <f t="shared" si="32"/>
        <v>62</v>
      </c>
      <c r="Q391">
        <f t="shared" si="33"/>
        <v>18</v>
      </c>
      <c r="R391" t="str">
        <f t="shared" si="34"/>
        <v>61-90</v>
      </c>
    </row>
    <row r="392" spans="1:18" x14ac:dyDescent="0.3">
      <c r="A392" t="s">
        <v>1109</v>
      </c>
      <c r="B392" t="s">
        <v>466</v>
      </c>
      <c r="C392" t="s">
        <v>558</v>
      </c>
      <c r="D392" s="1">
        <v>45195</v>
      </c>
      <c r="E392" s="1">
        <v>45255</v>
      </c>
      <c r="F392" t="s">
        <v>31</v>
      </c>
      <c r="G392">
        <v>64947.74</v>
      </c>
      <c r="H392" s="1">
        <v>45256</v>
      </c>
      <c r="I392" t="s">
        <v>567</v>
      </c>
      <c r="J392" t="s">
        <v>556</v>
      </c>
      <c r="L392">
        <v>55709.62</v>
      </c>
      <c r="M392">
        <f>IF(F392="INR",1,INDEX('rates'!$B$2:$C$522,MATCH(D392,'rates'!$A$2:$A$522,1),MATCH(F392&amp;"/INR",'rates'!$B$1:$C$1,0)))</f>
        <v>88.009699999999995</v>
      </c>
      <c r="N392">
        <f t="shared" si="30"/>
        <v>5716031.1130779991</v>
      </c>
      <c r="O392">
        <f t="shared" si="31"/>
        <v>813044.16976399953</v>
      </c>
      <c r="P392">
        <f t="shared" si="32"/>
        <v>492</v>
      </c>
      <c r="Q392">
        <f t="shared" si="33"/>
        <v>1</v>
      </c>
      <c r="R392" t="str">
        <f t="shared" si="34"/>
        <v>90+</v>
      </c>
    </row>
    <row r="393" spans="1:18" x14ac:dyDescent="0.3">
      <c r="A393" t="s">
        <v>1445</v>
      </c>
      <c r="B393" t="s">
        <v>442</v>
      </c>
      <c r="C393" t="s">
        <v>575</v>
      </c>
      <c r="D393" s="1">
        <v>45280</v>
      </c>
      <c r="E393" s="1">
        <v>45340</v>
      </c>
      <c r="F393" t="s">
        <v>13</v>
      </c>
      <c r="G393">
        <v>3179471</v>
      </c>
      <c r="H393" s="1">
        <v>45355</v>
      </c>
      <c r="I393" t="s">
        <v>567</v>
      </c>
      <c r="J393" t="s">
        <v>556</v>
      </c>
      <c r="L393">
        <v>2405730.91</v>
      </c>
      <c r="M393">
        <f>IF(F393="INR",1,INDEX('rates'!$B$2:$C$522,MATCH(D393,'rates'!$A$2:$A$522,1),MATCH(F393&amp;"/INR",'rates'!$B$1:$C$1,0)))</f>
        <v>1</v>
      </c>
      <c r="N393">
        <f t="shared" si="30"/>
        <v>3179471</v>
      </c>
      <c r="O393">
        <f t="shared" si="31"/>
        <v>773740.08999999985</v>
      </c>
      <c r="P393">
        <f t="shared" si="32"/>
        <v>407</v>
      </c>
      <c r="Q393">
        <f t="shared" si="33"/>
        <v>15</v>
      </c>
      <c r="R393" t="str">
        <f t="shared" si="34"/>
        <v>90+</v>
      </c>
    </row>
    <row r="394" spans="1:18" x14ac:dyDescent="0.3">
      <c r="A394" t="s">
        <v>1030</v>
      </c>
      <c r="B394" t="s">
        <v>208</v>
      </c>
      <c r="C394" t="s">
        <v>566</v>
      </c>
      <c r="D394" s="1">
        <v>45171</v>
      </c>
      <c r="E394" s="1">
        <v>45216</v>
      </c>
      <c r="F394" t="s">
        <v>13</v>
      </c>
      <c r="G394">
        <v>2910435</v>
      </c>
      <c r="H394" s="1">
        <v>45213</v>
      </c>
      <c r="I394" t="s">
        <v>567</v>
      </c>
      <c r="J394" t="s">
        <v>556</v>
      </c>
      <c r="L394">
        <v>2189802.2200000002</v>
      </c>
      <c r="M394">
        <f>IF(F394="INR",1,INDEX('rates'!$B$2:$C$522,MATCH(D394,'rates'!$A$2:$A$522,1),MATCH(F394&amp;"/INR",'rates'!$B$1:$C$1,0)))</f>
        <v>1</v>
      </c>
      <c r="N394">
        <f t="shared" si="30"/>
        <v>2910435</v>
      </c>
      <c r="O394">
        <f t="shared" si="31"/>
        <v>720632.7799999998</v>
      </c>
      <c r="P394">
        <f t="shared" si="32"/>
        <v>531</v>
      </c>
      <c r="Q394">
        <f t="shared" si="33"/>
        <v>-3</v>
      </c>
      <c r="R394" t="str">
        <f t="shared" si="34"/>
        <v>90+</v>
      </c>
    </row>
    <row r="395" spans="1:18" x14ac:dyDescent="0.3">
      <c r="A395" t="s">
        <v>940</v>
      </c>
      <c r="B395" t="s">
        <v>186</v>
      </c>
      <c r="C395" t="s">
        <v>558</v>
      </c>
      <c r="D395" s="1">
        <v>45141</v>
      </c>
      <c r="E395" s="1">
        <v>45171</v>
      </c>
      <c r="F395" t="s">
        <v>36</v>
      </c>
      <c r="G395">
        <v>41497.03</v>
      </c>
      <c r="H395" s="1">
        <v>45183</v>
      </c>
      <c r="I395" t="s">
        <v>567</v>
      </c>
      <c r="J395" t="s">
        <v>573</v>
      </c>
      <c r="K395">
        <v>82.877899999999997</v>
      </c>
      <c r="L395">
        <v>33674.15</v>
      </c>
      <c r="M395">
        <f>IF(F395="INR",1,INDEX('rates'!$B$2:$C$522,MATCH(D395,'rates'!$A$2:$A$522,1),MATCH(F395&amp;"/INR",'rates'!$B$1:$C$1,0)))</f>
        <v>82.74</v>
      </c>
      <c r="N395">
        <f t="shared" si="30"/>
        <v>3433464.2621999998</v>
      </c>
      <c r="O395">
        <f t="shared" si="31"/>
        <v>647265.09119999979</v>
      </c>
      <c r="P395">
        <f t="shared" si="32"/>
        <v>576</v>
      </c>
      <c r="Q395">
        <f t="shared" si="33"/>
        <v>12</v>
      </c>
      <c r="R395" t="str">
        <f t="shared" si="34"/>
        <v>90+</v>
      </c>
    </row>
    <row r="396" spans="1:18" x14ac:dyDescent="0.3">
      <c r="A396" t="s">
        <v>595</v>
      </c>
      <c r="B396" t="s">
        <v>154</v>
      </c>
      <c r="C396" t="s">
        <v>566</v>
      </c>
      <c r="D396" s="1">
        <v>45030</v>
      </c>
      <c r="E396" s="1">
        <v>45060</v>
      </c>
      <c r="F396" t="s">
        <v>13</v>
      </c>
      <c r="G396">
        <v>2122508</v>
      </c>
      <c r="H396" s="1">
        <v>45058</v>
      </c>
      <c r="I396" t="s">
        <v>567</v>
      </c>
      <c r="J396" t="s">
        <v>556</v>
      </c>
      <c r="L396">
        <v>1476172.93</v>
      </c>
      <c r="M396">
        <f>IF(F396="INR",1,INDEX('rates'!$B$2:$C$522,MATCH(D396,'rates'!$A$2:$A$522,1),MATCH(F396&amp;"/INR",'rates'!$B$1:$C$1,0)))</f>
        <v>1</v>
      </c>
      <c r="N396">
        <f t="shared" si="30"/>
        <v>2122508</v>
      </c>
      <c r="O396">
        <f t="shared" si="31"/>
        <v>646335.07000000007</v>
      </c>
      <c r="P396">
        <f t="shared" si="32"/>
        <v>687</v>
      </c>
      <c r="Q396">
        <f t="shared" si="33"/>
        <v>-2</v>
      </c>
      <c r="R396" t="str">
        <f t="shared" si="34"/>
        <v>90+</v>
      </c>
    </row>
    <row r="397" spans="1:18" x14ac:dyDescent="0.3">
      <c r="A397" t="s">
        <v>1403</v>
      </c>
      <c r="B397" t="s">
        <v>156</v>
      </c>
      <c r="C397" t="s">
        <v>566</v>
      </c>
      <c r="D397" s="1">
        <v>45269</v>
      </c>
      <c r="E397" s="1">
        <v>45299</v>
      </c>
      <c r="F397" t="s">
        <v>13</v>
      </c>
      <c r="G397">
        <v>1481151</v>
      </c>
      <c r="H397" s="1">
        <v>45311</v>
      </c>
      <c r="I397" t="s">
        <v>567</v>
      </c>
      <c r="J397" t="s">
        <v>556</v>
      </c>
      <c r="L397">
        <v>851370.95</v>
      </c>
      <c r="M397">
        <f>IF(F397="INR",1,INDEX('rates'!$B$2:$C$522,MATCH(D397,'rates'!$A$2:$A$522,1),MATCH(F397&amp;"/INR",'rates'!$B$1:$C$1,0)))</f>
        <v>1</v>
      </c>
      <c r="N397">
        <f t="shared" si="30"/>
        <v>1481151</v>
      </c>
      <c r="O397">
        <f t="shared" si="31"/>
        <v>629780.05000000005</v>
      </c>
      <c r="P397">
        <f t="shared" si="32"/>
        <v>448</v>
      </c>
      <c r="Q397">
        <f t="shared" si="33"/>
        <v>12</v>
      </c>
      <c r="R397" t="str">
        <f t="shared" si="34"/>
        <v>90+</v>
      </c>
    </row>
    <row r="398" spans="1:18" x14ac:dyDescent="0.3">
      <c r="A398" t="s">
        <v>3187</v>
      </c>
      <c r="B398" t="s">
        <v>366</v>
      </c>
      <c r="C398" t="s">
        <v>575</v>
      </c>
      <c r="D398" s="1">
        <v>45731</v>
      </c>
      <c r="E398" s="1">
        <v>45791</v>
      </c>
      <c r="F398" t="s">
        <v>31</v>
      </c>
      <c r="G398">
        <v>6343.41</v>
      </c>
      <c r="H398" s="1"/>
      <c r="I398" t="s">
        <v>2206</v>
      </c>
      <c r="J398" t="s">
        <v>573</v>
      </c>
      <c r="K398">
        <v>94.775599999999997</v>
      </c>
      <c r="L398">
        <v>0</v>
      </c>
      <c r="M398">
        <f>IF(F398="INR",1,INDEX('rates'!$B$2:$C$522,MATCH(D398,'rates'!$A$2:$A$522,1),MATCH(F398&amp;"/INR",'rates'!$B$1:$C$1,0)))</f>
        <v>94.586399999999998</v>
      </c>
      <c r="N398">
        <f t="shared" si="30"/>
        <v>600000.31562399992</v>
      </c>
      <c r="O398">
        <f t="shared" si="31"/>
        <v>600000.31562399992</v>
      </c>
      <c r="P398">
        <f t="shared" si="32"/>
        <v>0</v>
      </c>
      <c r="Q398" t="str">
        <f t="shared" si="33"/>
        <v/>
      </c>
      <c r="R398" t="str">
        <f t="shared" si="34"/>
        <v>Not yet due</v>
      </c>
    </row>
    <row r="399" spans="1:18" x14ac:dyDescent="0.3">
      <c r="A399" t="s">
        <v>3088</v>
      </c>
      <c r="B399" t="s">
        <v>228</v>
      </c>
      <c r="C399" t="s">
        <v>554</v>
      </c>
      <c r="D399" s="1">
        <v>45706</v>
      </c>
      <c r="E399" s="1">
        <v>45751</v>
      </c>
      <c r="F399" t="s">
        <v>13</v>
      </c>
      <c r="G399">
        <v>600000</v>
      </c>
      <c r="H399" s="1"/>
      <c r="I399" t="s">
        <v>2206</v>
      </c>
      <c r="J399" t="s">
        <v>556</v>
      </c>
      <c r="L399">
        <v>0</v>
      </c>
      <c r="M399">
        <f>IF(F399="INR",1,INDEX('rates'!$B$2:$C$522,MATCH(D399,'rates'!$A$2:$A$522,1),MATCH(F399&amp;"/INR",'rates'!$B$1:$C$1,0)))</f>
        <v>1</v>
      </c>
      <c r="N399">
        <f t="shared" si="30"/>
        <v>600000</v>
      </c>
      <c r="O399">
        <f t="shared" si="31"/>
        <v>600000</v>
      </c>
      <c r="P399">
        <f t="shared" si="32"/>
        <v>0</v>
      </c>
      <c r="Q399" t="str">
        <f t="shared" si="33"/>
        <v/>
      </c>
      <c r="R399" t="str">
        <f t="shared" si="34"/>
        <v>Not yet due</v>
      </c>
    </row>
    <row r="400" spans="1:18" x14ac:dyDescent="0.3">
      <c r="A400" t="s">
        <v>1150</v>
      </c>
      <c r="B400" t="s">
        <v>256</v>
      </c>
      <c r="C400" t="s">
        <v>554</v>
      </c>
      <c r="D400" s="1">
        <v>45205</v>
      </c>
      <c r="E400" s="1">
        <v>45250</v>
      </c>
      <c r="F400" t="s">
        <v>13</v>
      </c>
      <c r="G400">
        <v>2743786</v>
      </c>
      <c r="H400" s="1">
        <v>45245</v>
      </c>
      <c r="I400" t="s">
        <v>567</v>
      </c>
      <c r="J400" t="s">
        <v>556</v>
      </c>
      <c r="L400">
        <v>2159142.5</v>
      </c>
      <c r="M400">
        <f>IF(F400="INR",1,INDEX('rates'!$B$2:$C$522,MATCH(D400,'rates'!$A$2:$A$522,1),MATCH(F400&amp;"/INR",'rates'!$B$1:$C$1,0)))</f>
        <v>1</v>
      </c>
      <c r="N400">
        <f t="shared" si="30"/>
        <v>2743786</v>
      </c>
      <c r="O400">
        <f t="shared" si="31"/>
        <v>584643.5</v>
      </c>
      <c r="P400">
        <f t="shared" si="32"/>
        <v>497</v>
      </c>
      <c r="Q400">
        <f t="shared" si="33"/>
        <v>-5</v>
      </c>
      <c r="R400" t="str">
        <f t="shared" si="34"/>
        <v>90+</v>
      </c>
    </row>
    <row r="401" spans="1:18" x14ac:dyDescent="0.3">
      <c r="A401" t="s">
        <v>2767</v>
      </c>
      <c r="B401" t="s">
        <v>522</v>
      </c>
      <c r="C401" t="s">
        <v>566</v>
      </c>
      <c r="D401" s="1">
        <v>45628</v>
      </c>
      <c r="E401" s="1">
        <v>45688</v>
      </c>
      <c r="F401" t="s">
        <v>31</v>
      </c>
      <c r="G401">
        <v>16522.04</v>
      </c>
      <c r="H401" s="1">
        <v>45697</v>
      </c>
      <c r="I401" t="s">
        <v>567</v>
      </c>
      <c r="J401" t="s">
        <v>573</v>
      </c>
      <c r="K401">
        <v>89.019099999999995</v>
      </c>
      <c r="L401">
        <v>10098.709999999999</v>
      </c>
      <c r="M401">
        <f>IF(F401="INR",1,INDEX('rates'!$B$2:$C$522,MATCH(D401,'rates'!$A$2:$A$522,1),MATCH(F401&amp;"/INR",'rates'!$B$1:$C$1,0)))</f>
        <v>88.841399999999993</v>
      </c>
      <c r="N401">
        <f t="shared" si="30"/>
        <v>1467841.1644559999</v>
      </c>
      <c r="O401">
        <f t="shared" si="31"/>
        <v>570657.62986200012</v>
      </c>
      <c r="P401">
        <f t="shared" si="32"/>
        <v>59</v>
      </c>
      <c r="Q401">
        <f t="shared" si="33"/>
        <v>9</v>
      </c>
      <c r="R401" t="str">
        <f t="shared" si="34"/>
        <v>31-60</v>
      </c>
    </row>
    <row r="402" spans="1:18" x14ac:dyDescent="0.3">
      <c r="A402" t="s">
        <v>667</v>
      </c>
      <c r="B402" t="s">
        <v>126</v>
      </c>
      <c r="C402" t="s">
        <v>558</v>
      </c>
      <c r="D402" s="1">
        <v>45052</v>
      </c>
      <c r="E402" s="1">
        <v>45097</v>
      </c>
      <c r="F402" t="s">
        <v>13</v>
      </c>
      <c r="G402">
        <v>2723060</v>
      </c>
      <c r="H402" s="1">
        <v>45110</v>
      </c>
      <c r="I402" t="s">
        <v>567</v>
      </c>
      <c r="J402" t="s">
        <v>556</v>
      </c>
      <c r="L402">
        <v>2157629.2599999998</v>
      </c>
      <c r="M402">
        <f>IF(F402="INR",1,INDEX('rates'!$B$2:$C$522,MATCH(D402,'rates'!$A$2:$A$522,1),MATCH(F402&amp;"/INR",'rates'!$B$1:$C$1,0)))</f>
        <v>1</v>
      </c>
      <c r="N402">
        <f t="shared" si="30"/>
        <v>2723060</v>
      </c>
      <c r="O402">
        <f t="shared" si="31"/>
        <v>565430.74000000022</v>
      </c>
      <c r="P402">
        <f t="shared" si="32"/>
        <v>650</v>
      </c>
      <c r="Q402">
        <f t="shared" si="33"/>
        <v>13</v>
      </c>
      <c r="R402" t="str">
        <f t="shared" si="34"/>
        <v>90+</v>
      </c>
    </row>
    <row r="403" spans="1:18" x14ac:dyDescent="0.3">
      <c r="A403" t="s">
        <v>898</v>
      </c>
      <c r="B403" t="s">
        <v>308</v>
      </c>
      <c r="C403" t="s">
        <v>554</v>
      </c>
      <c r="D403" s="1">
        <v>45126</v>
      </c>
      <c r="E403" s="1">
        <v>45216</v>
      </c>
      <c r="F403" t="s">
        <v>13</v>
      </c>
      <c r="G403">
        <v>2130687</v>
      </c>
      <c r="H403" s="1">
        <v>45213</v>
      </c>
      <c r="I403" t="s">
        <v>567</v>
      </c>
      <c r="J403" t="s">
        <v>556</v>
      </c>
      <c r="L403">
        <v>1568530.78</v>
      </c>
      <c r="M403">
        <f>IF(F403="INR",1,INDEX('rates'!$B$2:$C$522,MATCH(D403,'rates'!$A$2:$A$522,1),MATCH(F403&amp;"/INR",'rates'!$B$1:$C$1,0)))</f>
        <v>1</v>
      </c>
      <c r="N403">
        <f t="shared" si="30"/>
        <v>2130687</v>
      </c>
      <c r="O403">
        <f t="shared" si="31"/>
        <v>562156.22</v>
      </c>
      <c r="P403">
        <f t="shared" si="32"/>
        <v>531</v>
      </c>
      <c r="Q403">
        <f t="shared" si="33"/>
        <v>-3</v>
      </c>
      <c r="R403" t="str">
        <f t="shared" si="34"/>
        <v>90+</v>
      </c>
    </row>
    <row r="404" spans="1:18" x14ac:dyDescent="0.3">
      <c r="A404" t="s">
        <v>2164</v>
      </c>
      <c r="B404" t="s">
        <v>154</v>
      </c>
      <c r="C404" t="s">
        <v>566</v>
      </c>
      <c r="D404" s="1">
        <v>45471</v>
      </c>
      <c r="E404" s="1">
        <v>45501</v>
      </c>
      <c r="F404" t="s">
        <v>13</v>
      </c>
      <c r="G404">
        <v>3237541</v>
      </c>
      <c r="H404" s="1">
        <v>45495</v>
      </c>
      <c r="I404" t="s">
        <v>567</v>
      </c>
      <c r="J404" t="s">
        <v>556</v>
      </c>
      <c r="L404">
        <v>2677266.36</v>
      </c>
      <c r="M404">
        <f>IF(F404="INR",1,INDEX('rates'!$B$2:$C$522,MATCH(D404,'rates'!$A$2:$A$522,1),MATCH(F404&amp;"/INR",'rates'!$B$1:$C$1,0)))</f>
        <v>1</v>
      </c>
      <c r="N404">
        <f t="shared" si="30"/>
        <v>3237541</v>
      </c>
      <c r="O404">
        <f t="shared" si="31"/>
        <v>560274.64000000013</v>
      </c>
      <c r="P404">
        <f t="shared" si="32"/>
        <v>246</v>
      </c>
      <c r="Q404">
        <f t="shared" si="33"/>
        <v>-6</v>
      </c>
      <c r="R404" t="str">
        <f t="shared" si="34"/>
        <v>90+</v>
      </c>
    </row>
    <row r="405" spans="1:18" x14ac:dyDescent="0.3">
      <c r="A405" t="s">
        <v>2126</v>
      </c>
      <c r="B405" t="s">
        <v>386</v>
      </c>
      <c r="C405" t="s">
        <v>575</v>
      </c>
      <c r="D405" s="1">
        <v>45458</v>
      </c>
      <c r="E405" s="1">
        <v>45518</v>
      </c>
      <c r="F405" t="s">
        <v>31</v>
      </c>
      <c r="G405">
        <v>40631.74</v>
      </c>
      <c r="H405" s="1">
        <v>45531</v>
      </c>
      <c r="I405" t="s">
        <v>567</v>
      </c>
      <c r="J405" t="s">
        <v>573</v>
      </c>
      <c r="K405">
        <v>89.558199999999999</v>
      </c>
      <c r="L405">
        <v>34436.89</v>
      </c>
      <c r="M405">
        <f>IF(F405="INR",1,INDEX('rates'!$B$2:$C$522,MATCH(D405,'rates'!$A$2:$A$522,1),MATCH(F405&amp;"/INR",'rates'!$B$1:$C$1,0)))</f>
        <v>89.379400000000004</v>
      </c>
      <c r="N405">
        <f t="shared" si="30"/>
        <v>3631640.5421560002</v>
      </c>
      <c r="O405">
        <f t="shared" si="31"/>
        <v>553691.97608999989</v>
      </c>
      <c r="P405">
        <f t="shared" si="32"/>
        <v>229</v>
      </c>
      <c r="Q405">
        <f t="shared" si="33"/>
        <v>13</v>
      </c>
      <c r="R405" t="str">
        <f t="shared" si="34"/>
        <v>90+</v>
      </c>
    </row>
    <row r="406" spans="1:18" x14ac:dyDescent="0.3">
      <c r="A406" t="s">
        <v>1326</v>
      </c>
      <c r="B406" t="s">
        <v>306</v>
      </c>
      <c r="C406" t="s">
        <v>558</v>
      </c>
      <c r="D406" s="1">
        <v>45250</v>
      </c>
      <c r="E406" s="1">
        <v>45340</v>
      </c>
      <c r="F406" t="s">
        <v>36</v>
      </c>
      <c r="G406">
        <v>34290.61</v>
      </c>
      <c r="H406" s="1">
        <v>45355</v>
      </c>
      <c r="I406" t="s">
        <v>567</v>
      </c>
      <c r="J406" t="s">
        <v>556</v>
      </c>
      <c r="L406">
        <v>28063.91</v>
      </c>
      <c r="M406">
        <f>IF(F406="INR",1,INDEX('rates'!$B$2:$C$522,MATCH(D406,'rates'!$A$2:$A$522,1),MATCH(F406&amp;"/INR",'rates'!$B$1:$C$1,0)))</f>
        <v>83.33</v>
      </c>
      <c r="N406">
        <f t="shared" si="30"/>
        <v>2857436.5312999999</v>
      </c>
      <c r="O406">
        <f t="shared" si="31"/>
        <v>518870.91100000002</v>
      </c>
      <c r="P406">
        <f t="shared" si="32"/>
        <v>407</v>
      </c>
      <c r="Q406">
        <f t="shared" si="33"/>
        <v>15</v>
      </c>
      <c r="R406" t="str">
        <f t="shared" si="34"/>
        <v>90+</v>
      </c>
    </row>
    <row r="407" spans="1:18" x14ac:dyDescent="0.3">
      <c r="A407" t="s">
        <v>2136</v>
      </c>
      <c r="B407" t="s">
        <v>148</v>
      </c>
      <c r="C407" t="s">
        <v>575</v>
      </c>
      <c r="D407" s="1">
        <v>45462</v>
      </c>
      <c r="E407" s="1">
        <v>45522</v>
      </c>
      <c r="F407" t="s">
        <v>31</v>
      </c>
      <c r="G407">
        <v>26520.73</v>
      </c>
      <c r="H407" s="1">
        <v>45545</v>
      </c>
      <c r="I407" t="s">
        <v>567</v>
      </c>
      <c r="J407" t="s">
        <v>556</v>
      </c>
      <c r="L407">
        <v>20814.8</v>
      </c>
      <c r="M407">
        <f>IF(F407="INR",1,INDEX('rates'!$B$2:$C$522,MATCH(D407,'rates'!$A$2:$A$522,1),MATCH(F407&amp;"/INR",'rates'!$B$1:$C$1,0)))</f>
        <v>89.584699999999998</v>
      </c>
      <c r="N407">
        <f t="shared" si="30"/>
        <v>2375851.6408309997</v>
      </c>
      <c r="O407">
        <f t="shared" si="31"/>
        <v>511164.02727100003</v>
      </c>
      <c r="P407">
        <f t="shared" si="32"/>
        <v>225</v>
      </c>
      <c r="Q407">
        <f t="shared" si="33"/>
        <v>23</v>
      </c>
      <c r="R407" t="str">
        <f t="shared" si="34"/>
        <v>90+</v>
      </c>
    </row>
    <row r="408" spans="1:18" x14ac:dyDescent="0.3">
      <c r="A408" t="s">
        <v>1990</v>
      </c>
      <c r="B408" t="s">
        <v>436</v>
      </c>
      <c r="C408" t="s">
        <v>566</v>
      </c>
      <c r="D408" s="1">
        <v>45422</v>
      </c>
      <c r="E408" s="1">
        <v>45467</v>
      </c>
      <c r="F408" t="s">
        <v>36</v>
      </c>
      <c r="G408">
        <v>30939.13</v>
      </c>
      <c r="H408" s="1">
        <v>45486</v>
      </c>
      <c r="I408" t="s">
        <v>567</v>
      </c>
      <c r="J408" t="s">
        <v>556</v>
      </c>
      <c r="L408">
        <v>24945.91</v>
      </c>
      <c r="M408">
        <f>IF(F408="INR",1,INDEX('rates'!$B$2:$C$522,MATCH(D408,'rates'!$A$2:$A$522,1),MATCH(F408&amp;"/INR",'rates'!$B$1:$C$1,0)))</f>
        <v>83.54</v>
      </c>
      <c r="N408">
        <f t="shared" si="30"/>
        <v>2584654.9202000001</v>
      </c>
      <c r="O408">
        <f t="shared" si="31"/>
        <v>500673.59880000015</v>
      </c>
      <c r="P408">
        <f t="shared" si="32"/>
        <v>280</v>
      </c>
      <c r="Q408">
        <f t="shared" si="33"/>
        <v>19</v>
      </c>
      <c r="R408" t="str">
        <f t="shared" si="34"/>
        <v>90+</v>
      </c>
    </row>
    <row r="409" spans="1:18" x14ac:dyDescent="0.3">
      <c r="A409" t="s">
        <v>2337</v>
      </c>
      <c r="B409" t="s">
        <v>22</v>
      </c>
      <c r="C409" t="s">
        <v>554</v>
      </c>
      <c r="D409" s="1">
        <v>45518</v>
      </c>
      <c r="E409" s="1">
        <v>45563</v>
      </c>
      <c r="F409" t="s">
        <v>13</v>
      </c>
      <c r="G409">
        <v>3886872</v>
      </c>
      <c r="H409" s="1">
        <v>45590</v>
      </c>
      <c r="I409" t="s">
        <v>567</v>
      </c>
      <c r="J409" t="s">
        <v>556</v>
      </c>
      <c r="L409">
        <v>3393041.65</v>
      </c>
      <c r="M409">
        <f>IF(F409="INR",1,INDEX('rates'!$B$2:$C$522,MATCH(D409,'rates'!$A$2:$A$522,1),MATCH(F409&amp;"/INR",'rates'!$B$1:$C$1,0)))</f>
        <v>1</v>
      </c>
      <c r="N409">
        <f t="shared" si="30"/>
        <v>3886872</v>
      </c>
      <c r="O409">
        <f t="shared" si="31"/>
        <v>493830.35000000009</v>
      </c>
      <c r="P409">
        <f t="shared" si="32"/>
        <v>184</v>
      </c>
      <c r="Q409">
        <f t="shared" si="33"/>
        <v>27</v>
      </c>
      <c r="R409" t="str">
        <f t="shared" si="34"/>
        <v>90+</v>
      </c>
    </row>
    <row r="410" spans="1:18" x14ac:dyDescent="0.3">
      <c r="A410" t="s">
        <v>2312</v>
      </c>
      <c r="B410" t="s">
        <v>468</v>
      </c>
      <c r="C410" t="s">
        <v>558</v>
      </c>
      <c r="D410" s="1">
        <v>45512</v>
      </c>
      <c r="E410" s="1">
        <v>45542</v>
      </c>
      <c r="F410" t="s">
        <v>13</v>
      </c>
      <c r="G410">
        <v>1122403</v>
      </c>
      <c r="H410" s="1">
        <v>45541</v>
      </c>
      <c r="I410" t="s">
        <v>567</v>
      </c>
      <c r="J410" t="s">
        <v>556</v>
      </c>
      <c r="L410">
        <v>644432.41</v>
      </c>
      <c r="M410">
        <f>IF(F410="INR",1,INDEX('rates'!$B$2:$C$522,MATCH(D410,'rates'!$A$2:$A$522,1),MATCH(F410&amp;"/INR",'rates'!$B$1:$C$1,0)))</f>
        <v>1</v>
      </c>
      <c r="N410">
        <f t="shared" si="30"/>
        <v>1122403</v>
      </c>
      <c r="O410">
        <f t="shared" si="31"/>
        <v>477970.58999999997</v>
      </c>
      <c r="P410">
        <f t="shared" si="32"/>
        <v>205</v>
      </c>
      <c r="Q410">
        <f t="shared" si="33"/>
        <v>-1</v>
      </c>
      <c r="R410" t="str">
        <f t="shared" si="34"/>
        <v>90+</v>
      </c>
    </row>
    <row r="411" spans="1:18" x14ac:dyDescent="0.3">
      <c r="A411" t="s">
        <v>1020</v>
      </c>
      <c r="B411" t="s">
        <v>262</v>
      </c>
      <c r="C411" t="s">
        <v>566</v>
      </c>
      <c r="D411" s="1">
        <v>45168</v>
      </c>
      <c r="E411" s="1">
        <v>45258</v>
      </c>
      <c r="F411" t="s">
        <v>31</v>
      </c>
      <c r="G411">
        <v>43015.29</v>
      </c>
      <c r="H411" s="1">
        <v>45286</v>
      </c>
      <c r="I411" t="s">
        <v>567</v>
      </c>
      <c r="J411" t="s">
        <v>573</v>
      </c>
      <c r="K411">
        <v>90.662000000000006</v>
      </c>
      <c r="L411">
        <v>38181.17</v>
      </c>
      <c r="M411">
        <f>IF(F411="INR",1,INDEX('rates'!$B$2:$C$522,MATCH(D411,'rates'!$A$2:$A$522,1),MATCH(F411&amp;"/INR",'rates'!$B$1:$C$1,0)))</f>
        <v>90.390799999999999</v>
      </c>
      <c r="N411">
        <f t="shared" si="30"/>
        <v>3888186.4753319998</v>
      </c>
      <c r="O411">
        <f t="shared" si="31"/>
        <v>436959.97409600025</v>
      </c>
      <c r="P411">
        <f t="shared" si="32"/>
        <v>489</v>
      </c>
      <c r="Q411">
        <f t="shared" si="33"/>
        <v>28</v>
      </c>
      <c r="R411" t="str">
        <f t="shared" si="34"/>
        <v>90+</v>
      </c>
    </row>
    <row r="412" spans="1:18" x14ac:dyDescent="0.3">
      <c r="A412" t="s">
        <v>2814</v>
      </c>
      <c r="B412" t="s">
        <v>302</v>
      </c>
      <c r="C412" t="s">
        <v>575</v>
      </c>
      <c r="D412" s="1">
        <v>45638</v>
      </c>
      <c r="E412" s="1">
        <v>45728</v>
      </c>
      <c r="F412" t="s">
        <v>13</v>
      </c>
      <c r="G412">
        <v>1894002</v>
      </c>
      <c r="H412" s="1">
        <v>45741</v>
      </c>
      <c r="I412" t="s">
        <v>567</v>
      </c>
      <c r="J412" t="s">
        <v>556</v>
      </c>
      <c r="L412">
        <v>1499849.22</v>
      </c>
      <c r="M412">
        <f>IF(F412="INR",1,INDEX('rates'!$B$2:$C$522,MATCH(D412,'rates'!$A$2:$A$522,1),MATCH(F412&amp;"/INR",'rates'!$B$1:$C$1,0)))</f>
        <v>1</v>
      </c>
      <c r="N412">
        <f t="shared" si="30"/>
        <v>1894002</v>
      </c>
      <c r="O412">
        <f t="shared" si="31"/>
        <v>394152.78</v>
      </c>
      <c r="P412">
        <f t="shared" si="32"/>
        <v>19</v>
      </c>
      <c r="Q412">
        <f t="shared" si="33"/>
        <v>13</v>
      </c>
      <c r="R412" t="str">
        <f t="shared" si="34"/>
        <v>1-30</v>
      </c>
    </row>
    <row r="413" spans="1:18" x14ac:dyDescent="0.3">
      <c r="A413" t="s">
        <v>2232</v>
      </c>
      <c r="B413" t="s">
        <v>446</v>
      </c>
      <c r="C413" t="s">
        <v>554</v>
      </c>
      <c r="D413" s="1">
        <v>45488</v>
      </c>
      <c r="E413" s="1">
        <v>45533</v>
      </c>
      <c r="F413" t="s">
        <v>13</v>
      </c>
      <c r="G413">
        <v>756779</v>
      </c>
      <c r="H413" s="1">
        <v>45539</v>
      </c>
      <c r="I413" t="s">
        <v>567</v>
      </c>
      <c r="J413" t="s">
        <v>556</v>
      </c>
      <c r="L413">
        <v>401766.3</v>
      </c>
      <c r="M413">
        <f>IF(F413="INR",1,INDEX('rates'!$B$2:$C$522,MATCH(D413,'rates'!$A$2:$A$522,1),MATCH(F413&amp;"/INR",'rates'!$B$1:$C$1,0)))</f>
        <v>1</v>
      </c>
      <c r="N413">
        <f t="shared" si="30"/>
        <v>756779</v>
      </c>
      <c r="O413">
        <f t="shared" si="31"/>
        <v>355012.7</v>
      </c>
      <c r="P413">
        <f t="shared" si="32"/>
        <v>214</v>
      </c>
      <c r="Q413">
        <f t="shared" si="33"/>
        <v>6</v>
      </c>
      <c r="R413" t="str">
        <f t="shared" si="34"/>
        <v>90+</v>
      </c>
    </row>
    <row r="414" spans="1:18" x14ac:dyDescent="0.3">
      <c r="A414" t="s">
        <v>2195</v>
      </c>
      <c r="B414" t="s">
        <v>496</v>
      </c>
      <c r="C414" t="s">
        <v>566</v>
      </c>
      <c r="D414" s="1">
        <v>45478</v>
      </c>
      <c r="E414" s="1">
        <v>45523</v>
      </c>
      <c r="F414" t="s">
        <v>13</v>
      </c>
      <c r="G414">
        <v>1169583</v>
      </c>
      <c r="H414" s="1">
        <v>45535</v>
      </c>
      <c r="I414" t="s">
        <v>567</v>
      </c>
      <c r="J414" t="s">
        <v>556</v>
      </c>
      <c r="L414">
        <v>820814.41</v>
      </c>
      <c r="M414">
        <f>IF(F414="INR",1,INDEX('rates'!$B$2:$C$522,MATCH(D414,'rates'!$A$2:$A$522,1),MATCH(F414&amp;"/INR",'rates'!$B$1:$C$1,0)))</f>
        <v>1</v>
      </c>
      <c r="N414">
        <f t="shared" si="30"/>
        <v>1169583</v>
      </c>
      <c r="O414">
        <f t="shared" si="31"/>
        <v>348768.58999999997</v>
      </c>
      <c r="P414">
        <f t="shared" si="32"/>
        <v>224</v>
      </c>
      <c r="Q414">
        <f t="shared" si="33"/>
        <v>12</v>
      </c>
      <c r="R414" t="str">
        <f t="shared" si="34"/>
        <v>90+</v>
      </c>
    </row>
    <row r="415" spans="1:18" x14ac:dyDescent="0.3">
      <c r="A415" t="s">
        <v>1832</v>
      </c>
      <c r="B415" t="s">
        <v>196</v>
      </c>
      <c r="C415" t="s">
        <v>554</v>
      </c>
      <c r="D415" s="1">
        <v>45378</v>
      </c>
      <c r="E415" s="1">
        <v>45423</v>
      </c>
      <c r="F415" t="s">
        <v>13</v>
      </c>
      <c r="G415">
        <v>1805804</v>
      </c>
      <c r="H415" s="1">
        <v>45422</v>
      </c>
      <c r="I415" t="s">
        <v>567</v>
      </c>
      <c r="J415" t="s">
        <v>556</v>
      </c>
      <c r="L415">
        <v>1597366.15</v>
      </c>
      <c r="M415">
        <f>IF(F415="INR",1,INDEX('rates'!$B$2:$C$522,MATCH(D415,'rates'!$A$2:$A$522,1),MATCH(F415&amp;"/INR",'rates'!$B$1:$C$1,0)))</f>
        <v>1</v>
      </c>
      <c r="N415">
        <f t="shared" si="30"/>
        <v>1805804</v>
      </c>
      <c r="O415">
        <f t="shared" si="31"/>
        <v>208437.85000000009</v>
      </c>
      <c r="P415">
        <f t="shared" si="32"/>
        <v>324</v>
      </c>
      <c r="Q415">
        <f t="shared" si="33"/>
        <v>-1</v>
      </c>
      <c r="R415" t="str">
        <f t="shared" si="34"/>
        <v>90+</v>
      </c>
    </row>
    <row r="416" spans="1:18" x14ac:dyDescent="0.3">
      <c r="A416" t="s">
        <v>1939</v>
      </c>
      <c r="B416" t="s">
        <v>59</v>
      </c>
      <c r="C416" t="s">
        <v>566</v>
      </c>
      <c r="D416" s="1">
        <v>45409</v>
      </c>
      <c r="E416" s="1">
        <v>45454</v>
      </c>
      <c r="F416" t="s">
        <v>31</v>
      </c>
      <c r="G416">
        <v>12783.71</v>
      </c>
      <c r="H416" s="1">
        <v>45470</v>
      </c>
      <c r="I416" t="s">
        <v>567</v>
      </c>
      <c r="J416" t="s">
        <v>556</v>
      </c>
      <c r="L416">
        <v>11481.08</v>
      </c>
      <c r="M416">
        <f>IF(F416="INR",1,INDEX('rates'!$B$2:$C$522,MATCH(D416,'rates'!$A$2:$A$522,1),MATCH(F416&amp;"/INR",'rates'!$B$1:$C$1,0)))</f>
        <v>89.099900000000005</v>
      </c>
      <c r="N416">
        <f t="shared" si="30"/>
        <v>1139027.282629</v>
      </c>
      <c r="O416">
        <f t="shared" si="31"/>
        <v>116064.20273699994</v>
      </c>
      <c r="P416">
        <f t="shared" si="32"/>
        <v>293</v>
      </c>
      <c r="Q416">
        <f t="shared" si="33"/>
        <v>16</v>
      </c>
      <c r="R416" t="str">
        <f t="shared" si="34"/>
        <v>90+</v>
      </c>
    </row>
    <row r="417" spans="1:18" x14ac:dyDescent="0.3">
      <c r="A417" t="s">
        <v>1689</v>
      </c>
      <c r="B417" t="s">
        <v>111</v>
      </c>
      <c r="C417" t="s">
        <v>558</v>
      </c>
      <c r="D417" s="1">
        <v>45345</v>
      </c>
      <c r="E417" s="1">
        <v>45390</v>
      </c>
      <c r="F417" t="s">
        <v>13</v>
      </c>
      <c r="G417">
        <v>600000</v>
      </c>
      <c r="H417" s="1">
        <v>45389</v>
      </c>
      <c r="I417" t="s">
        <v>567</v>
      </c>
      <c r="J417" t="s">
        <v>556</v>
      </c>
      <c r="L417">
        <v>517272.81</v>
      </c>
      <c r="M417">
        <f>IF(F417="INR",1,INDEX('rates'!$B$2:$C$522,MATCH(D417,'rates'!$A$2:$A$522,1),MATCH(F417&amp;"/INR",'rates'!$B$1:$C$1,0)))</f>
        <v>1</v>
      </c>
      <c r="N417">
        <f t="shared" si="30"/>
        <v>600000</v>
      </c>
      <c r="O417">
        <f t="shared" si="31"/>
        <v>82727.19</v>
      </c>
      <c r="P417">
        <f t="shared" si="32"/>
        <v>357</v>
      </c>
      <c r="Q417">
        <f t="shared" si="33"/>
        <v>-1</v>
      </c>
      <c r="R417" t="str">
        <f t="shared" si="34"/>
        <v>90+</v>
      </c>
    </row>
    <row r="418" spans="1:18" x14ac:dyDescent="0.3">
      <c r="A418" t="s">
        <v>553</v>
      </c>
      <c r="B418" t="s">
        <v>160</v>
      </c>
      <c r="C418" t="s">
        <v>554</v>
      </c>
      <c r="D418" s="1">
        <v>45017</v>
      </c>
      <c r="E418" s="1">
        <v>45062</v>
      </c>
      <c r="F418" t="s">
        <v>13</v>
      </c>
      <c r="G418">
        <v>8535764</v>
      </c>
      <c r="H418" s="1">
        <v>45066</v>
      </c>
      <c r="I418" t="s">
        <v>555</v>
      </c>
      <c r="J418" t="s">
        <v>556</v>
      </c>
      <c r="L418">
        <v>8535764</v>
      </c>
      <c r="M418">
        <f>IF(F418="INR",1,INDEX('rates'!$B$2:$C$522,MATCH(D418,'rates'!$A$2:$A$522,1),MATCH(F418&amp;"/INR",'rates'!$B$1:$C$1,0)))</f>
        <v>1</v>
      </c>
      <c r="N418">
        <f t="shared" si="30"/>
        <v>8535764</v>
      </c>
      <c r="O418">
        <f t="shared" si="31"/>
        <v>0</v>
      </c>
      <c r="P418">
        <f t="shared" si="32"/>
        <v>0</v>
      </c>
      <c r="Q418">
        <f t="shared" si="33"/>
        <v>4</v>
      </c>
      <c r="R418" t="str">
        <f t="shared" si="34"/>
        <v>Not open</v>
      </c>
    </row>
    <row r="419" spans="1:18" x14ac:dyDescent="0.3">
      <c r="A419" t="s">
        <v>557</v>
      </c>
      <c r="B419" t="s">
        <v>472</v>
      </c>
      <c r="C419" t="s">
        <v>558</v>
      </c>
      <c r="D419" s="1">
        <v>45017</v>
      </c>
      <c r="E419" s="1">
        <v>45077</v>
      </c>
      <c r="F419" t="s">
        <v>36</v>
      </c>
      <c r="G419">
        <v>106794.73</v>
      </c>
      <c r="H419" s="1">
        <v>45093</v>
      </c>
      <c r="I419" t="s">
        <v>555</v>
      </c>
      <c r="J419" t="s">
        <v>556</v>
      </c>
      <c r="L419">
        <v>106794.73</v>
      </c>
      <c r="M419" s="2">
        <v>82.24</v>
      </c>
      <c r="N419">
        <f t="shared" si="30"/>
        <v>8782798.5951999985</v>
      </c>
      <c r="O419">
        <f t="shared" si="31"/>
        <v>0</v>
      </c>
      <c r="P419">
        <f t="shared" si="32"/>
        <v>0</v>
      </c>
      <c r="Q419">
        <f t="shared" si="33"/>
        <v>16</v>
      </c>
      <c r="R419" t="str">
        <f t="shared" si="34"/>
        <v>Not open</v>
      </c>
    </row>
    <row r="420" spans="1:18" x14ac:dyDescent="0.3">
      <c r="A420" t="s">
        <v>559</v>
      </c>
      <c r="B420" t="s">
        <v>490</v>
      </c>
      <c r="C420" t="s">
        <v>560</v>
      </c>
      <c r="D420" s="1">
        <v>45017</v>
      </c>
      <c r="E420" s="1">
        <v>45062</v>
      </c>
      <c r="F420" t="s">
        <v>36</v>
      </c>
      <c r="G420">
        <v>78822.179999999993</v>
      </c>
      <c r="H420" s="1">
        <v>45067</v>
      </c>
      <c r="I420" t="s">
        <v>555</v>
      </c>
      <c r="J420" t="s">
        <v>556</v>
      </c>
      <c r="L420">
        <v>78822.179999999993</v>
      </c>
      <c r="M420" s="2">
        <v>82.24</v>
      </c>
      <c r="N420">
        <f t="shared" si="30"/>
        <v>6482336.0831999993</v>
      </c>
      <c r="O420">
        <f t="shared" si="31"/>
        <v>0</v>
      </c>
      <c r="P420">
        <f t="shared" si="32"/>
        <v>0</v>
      </c>
      <c r="Q420">
        <f t="shared" si="33"/>
        <v>5</v>
      </c>
      <c r="R420" t="str">
        <f t="shared" si="34"/>
        <v>Not open</v>
      </c>
    </row>
    <row r="421" spans="1:18" x14ac:dyDescent="0.3">
      <c r="A421" t="s">
        <v>561</v>
      </c>
      <c r="B421" t="s">
        <v>166</v>
      </c>
      <c r="C421" t="s">
        <v>560</v>
      </c>
      <c r="D421" s="1">
        <v>45019</v>
      </c>
      <c r="E421" s="1">
        <v>45079</v>
      </c>
      <c r="F421" t="s">
        <v>13</v>
      </c>
      <c r="G421">
        <v>5648523</v>
      </c>
      <c r="H421" s="1">
        <v>45074</v>
      </c>
      <c r="I421" t="s">
        <v>555</v>
      </c>
      <c r="J421" t="s">
        <v>556</v>
      </c>
      <c r="L421">
        <v>5648523</v>
      </c>
      <c r="M421">
        <f>IF(F421="INR",1,INDEX('rates'!$B$2:$C$522,MATCH(D421,'rates'!$A$2:$A$522,1),MATCH(F421&amp;"/INR",'rates'!$B$1:$C$1,0)))</f>
        <v>1</v>
      </c>
      <c r="N421">
        <f t="shared" si="30"/>
        <v>5648523</v>
      </c>
      <c r="O421">
        <f t="shared" si="31"/>
        <v>0</v>
      </c>
      <c r="P421">
        <f t="shared" si="32"/>
        <v>0</v>
      </c>
      <c r="Q421">
        <f t="shared" si="33"/>
        <v>-5</v>
      </c>
      <c r="R421" t="str">
        <f t="shared" si="34"/>
        <v>Not open</v>
      </c>
    </row>
    <row r="422" spans="1:18" x14ac:dyDescent="0.3">
      <c r="A422" t="s">
        <v>562</v>
      </c>
      <c r="B422" t="s">
        <v>512</v>
      </c>
      <c r="C422" t="s">
        <v>558</v>
      </c>
      <c r="D422" s="1">
        <v>45019</v>
      </c>
      <c r="E422" s="1">
        <v>45079</v>
      </c>
      <c r="F422" t="s">
        <v>31</v>
      </c>
      <c r="G422">
        <v>208975.74</v>
      </c>
      <c r="H422" s="1">
        <v>45128</v>
      </c>
      <c r="I422" t="s">
        <v>555</v>
      </c>
      <c r="J422" t="s">
        <v>556</v>
      </c>
      <c r="L422">
        <v>208975.74</v>
      </c>
      <c r="M422">
        <f>IF(F422="INR",1,INDEX('rates'!$B$2:$C$522,MATCH(D422,'rates'!$A$2:$A$522,1),MATCH(F422&amp;"/INR",'rates'!$B$1:$C$1,0)))</f>
        <v>89.567599999999999</v>
      </c>
      <c r="N422">
        <f t="shared" si="30"/>
        <v>18717455.490024</v>
      </c>
      <c r="O422">
        <f t="shared" si="31"/>
        <v>0</v>
      </c>
      <c r="P422">
        <f t="shared" si="32"/>
        <v>0</v>
      </c>
      <c r="Q422">
        <f t="shared" si="33"/>
        <v>49</v>
      </c>
      <c r="R422" t="str">
        <f t="shared" si="34"/>
        <v>Not open</v>
      </c>
    </row>
    <row r="423" spans="1:18" x14ac:dyDescent="0.3">
      <c r="A423" t="s">
        <v>563</v>
      </c>
      <c r="B423" t="s">
        <v>258</v>
      </c>
      <c r="C423" t="s">
        <v>558</v>
      </c>
      <c r="D423" s="1">
        <v>45020</v>
      </c>
      <c r="E423" s="1">
        <v>45065</v>
      </c>
      <c r="F423" t="s">
        <v>13</v>
      </c>
      <c r="G423">
        <v>6429439</v>
      </c>
      <c r="H423" s="1">
        <v>45066</v>
      </c>
      <c r="I423" t="s">
        <v>555</v>
      </c>
      <c r="J423" t="s">
        <v>556</v>
      </c>
      <c r="L423">
        <v>6429439</v>
      </c>
      <c r="M423">
        <f>IF(F423="INR",1,INDEX('rates'!$B$2:$C$522,MATCH(D423,'rates'!$A$2:$A$522,1),MATCH(F423&amp;"/INR",'rates'!$B$1:$C$1,0)))</f>
        <v>1</v>
      </c>
      <c r="N423">
        <f t="shared" si="30"/>
        <v>6429439</v>
      </c>
      <c r="O423">
        <f t="shared" si="31"/>
        <v>0</v>
      </c>
      <c r="P423">
        <f t="shared" si="32"/>
        <v>0</v>
      </c>
      <c r="Q423">
        <f t="shared" si="33"/>
        <v>1</v>
      </c>
      <c r="R423" t="str">
        <f t="shared" si="34"/>
        <v>Not open</v>
      </c>
    </row>
    <row r="424" spans="1:18" x14ac:dyDescent="0.3">
      <c r="A424" t="s">
        <v>564</v>
      </c>
      <c r="B424" t="s">
        <v>496</v>
      </c>
      <c r="C424" t="s">
        <v>554</v>
      </c>
      <c r="D424" s="1">
        <v>45020</v>
      </c>
      <c r="E424" s="1">
        <v>45065</v>
      </c>
      <c r="F424" t="s">
        <v>13</v>
      </c>
      <c r="G424">
        <v>10867091</v>
      </c>
      <c r="H424" s="1">
        <v>45073</v>
      </c>
      <c r="I424" t="s">
        <v>555</v>
      </c>
      <c r="J424" t="s">
        <v>556</v>
      </c>
      <c r="L424">
        <v>10867091</v>
      </c>
      <c r="M424">
        <f>IF(F424="INR",1,INDEX('rates'!$B$2:$C$522,MATCH(D424,'rates'!$A$2:$A$522,1),MATCH(F424&amp;"/INR",'rates'!$B$1:$C$1,0)))</f>
        <v>1</v>
      </c>
      <c r="N424">
        <f t="shared" si="30"/>
        <v>10867091</v>
      </c>
      <c r="O424">
        <f t="shared" si="31"/>
        <v>0</v>
      </c>
      <c r="P424">
        <f t="shared" si="32"/>
        <v>0</v>
      </c>
      <c r="Q424">
        <f t="shared" si="33"/>
        <v>8</v>
      </c>
      <c r="R424" t="str">
        <f t="shared" si="34"/>
        <v>Not open</v>
      </c>
    </row>
    <row r="425" spans="1:18" x14ac:dyDescent="0.3">
      <c r="A425" t="s">
        <v>568</v>
      </c>
      <c r="B425" t="s">
        <v>296</v>
      </c>
      <c r="C425" t="s">
        <v>558</v>
      </c>
      <c r="D425" s="1">
        <v>45021</v>
      </c>
      <c r="E425" s="1">
        <v>45051</v>
      </c>
      <c r="F425" t="s">
        <v>13</v>
      </c>
      <c r="G425">
        <v>6846713</v>
      </c>
      <c r="H425" s="1">
        <v>45072</v>
      </c>
      <c r="I425" t="s">
        <v>555</v>
      </c>
      <c r="J425" t="s">
        <v>556</v>
      </c>
      <c r="L425">
        <v>6846713</v>
      </c>
      <c r="M425">
        <f>IF(F425="INR",1,INDEX('rates'!$B$2:$C$522,MATCH(D425,'rates'!$A$2:$A$522,1),MATCH(F425&amp;"/INR",'rates'!$B$1:$C$1,0)))</f>
        <v>1</v>
      </c>
      <c r="N425">
        <f t="shared" si="30"/>
        <v>6846713</v>
      </c>
      <c r="O425">
        <f t="shared" si="31"/>
        <v>0</v>
      </c>
      <c r="P425">
        <f t="shared" si="32"/>
        <v>0</v>
      </c>
      <c r="Q425">
        <f t="shared" si="33"/>
        <v>21</v>
      </c>
      <c r="R425" t="str">
        <f t="shared" si="34"/>
        <v>Not open</v>
      </c>
    </row>
    <row r="426" spans="1:18" x14ac:dyDescent="0.3">
      <c r="A426" t="s">
        <v>569</v>
      </c>
      <c r="B426" t="s">
        <v>334</v>
      </c>
      <c r="C426" t="s">
        <v>566</v>
      </c>
      <c r="D426" s="1">
        <v>45021</v>
      </c>
      <c r="E426" s="1">
        <v>45111</v>
      </c>
      <c r="F426" t="s">
        <v>13</v>
      </c>
      <c r="G426">
        <v>7670368</v>
      </c>
      <c r="H426" s="1">
        <v>45114</v>
      </c>
      <c r="I426" t="s">
        <v>555</v>
      </c>
      <c r="J426" t="s">
        <v>556</v>
      </c>
      <c r="L426">
        <v>7670368</v>
      </c>
      <c r="M426">
        <f>IF(F426="INR",1,INDEX('rates'!$B$2:$C$522,MATCH(D426,'rates'!$A$2:$A$522,1),MATCH(F426&amp;"/INR",'rates'!$B$1:$C$1,0)))</f>
        <v>1</v>
      </c>
      <c r="N426">
        <f t="shared" si="30"/>
        <v>7670368</v>
      </c>
      <c r="O426">
        <f t="shared" si="31"/>
        <v>0</v>
      </c>
      <c r="P426">
        <f t="shared" si="32"/>
        <v>0</v>
      </c>
      <c r="Q426">
        <f t="shared" si="33"/>
        <v>3</v>
      </c>
      <c r="R426" t="str">
        <f t="shared" si="34"/>
        <v>Not open</v>
      </c>
    </row>
    <row r="427" spans="1:18" x14ac:dyDescent="0.3">
      <c r="A427" t="s">
        <v>570</v>
      </c>
      <c r="B427" t="s">
        <v>432</v>
      </c>
      <c r="C427" t="s">
        <v>560</v>
      </c>
      <c r="D427" s="1">
        <v>45021</v>
      </c>
      <c r="E427" s="1">
        <v>45111</v>
      </c>
      <c r="F427" t="s">
        <v>36</v>
      </c>
      <c r="G427">
        <v>72520.75</v>
      </c>
      <c r="H427" s="1">
        <v>45115</v>
      </c>
      <c r="I427" t="s">
        <v>555</v>
      </c>
      <c r="J427" t="s">
        <v>556</v>
      </c>
      <c r="L427">
        <v>72520.75</v>
      </c>
      <c r="M427">
        <f>IF(F427="INR",1,INDEX('rates'!$B$2:$C$522,MATCH(D427,'rates'!$A$2:$A$522,1),MATCH(F427&amp;"/INR",'rates'!$B$1:$C$1,0)))</f>
        <v>81.89</v>
      </c>
      <c r="N427">
        <f t="shared" si="30"/>
        <v>5938724.2175000003</v>
      </c>
      <c r="O427">
        <f t="shared" si="31"/>
        <v>0</v>
      </c>
      <c r="P427">
        <f t="shared" si="32"/>
        <v>0</v>
      </c>
      <c r="Q427">
        <f t="shared" si="33"/>
        <v>4</v>
      </c>
      <c r="R427" t="str">
        <f t="shared" si="34"/>
        <v>Not open</v>
      </c>
    </row>
    <row r="428" spans="1:18" x14ac:dyDescent="0.3">
      <c r="A428" t="s">
        <v>571</v>
      </c>
      <c r="B428" t="s">
        <v>466</v>
      </c>
      <c r="C428" t="s">
        <v>558</v>
      </c>
      <c r="D428" s="1">
        <v>45021</v>
      </c>
      <c r="E428" s="1">
        <v>45081</v>
      </c>
      <c r="F428" t="s">
        <v>31</v>
      </c>
      <c r="G428">
        <v>115190.97</v>
      </c>
      <c r="H428" s="1">
        <v>45089</v>
      </c>
      <c r="I428" t="s">
        <v>555</v>
      </c>
      <c r="J428" t="s">
        <v>556</v>
      </c>
      <c r="L428">
        <v>115190.97</v>
      </c>
      <c r="M428">
        <f>IF(F428="INR",1,INDEX('rates'!$B$2:$C$522,MATCH(D428,'rates'!$A$2:$A$522,1),MATCH(F428&amp;"/INR",'rates'!$B$1:$C$1,0)))</f>
        <v>89.407499999999999</v>
      </c>
      <c r="N428">
        <f t="shared" si="30"/>
        <v>10298936.650274999</v>
      </c>
      <c r="O428">
        <f t="shared" si="31"/>
        <v>0</v>
      </c>
      <c r="P428">
        <f t="shared" si="32"/>
        <v>0</v>
      </c>
      <c r="Q428">
        <f t="shared" si="33"/>
        <v>8</v>
      </c>
      <c r="R428" t="str">
        <f t="shared" si="34"/>
        <v>Not open</v>
      </c>
    </row>
    <row r="429" spans="1:18" x14ac:dyDescent="0.3">
      <c r="A429" t="s">
        <v>572</v>
      </c>
      <c r="B429" t="s">
        <v>46</v>
      </c>
      <c r="C429" t="s">
        <v>558</v>
      </c>
      <c r="D429" s="1">
        <v>45022</v>
      </c>
      <c r="E429" s="1">
        <v>45082</v>
      </c>
      <c r="F429" t="s">
        <v>36</v>
      </c>
      <c r="G429">
        <v>41979.85</v>
      </c>
      <c r="H429" s="1">
        <v>45094</v>
      </c>
      <c r="I429" t="s">
        <v>555</v>
      </c>
      <c r="J429" t="s">
        <v>573</v>
      </c>
      <c r="K429">
        <v>82.132900000000006</v>
      </c>
      <c r="L429">
        <v>41979.85</v>
      </c>
      <c r="M429">
        <f>IF(F429="INR",1,INDEX('rates'!$B$2:$C$522,MATCH(D429,'rates'!$A$2:$A$522,1),MATCH(F429&amp;"/INR",'rates'!$B$1:$C$1,0)))</f>
        <v>81.86</v>
      </c>
      <c r="N429">
        <f t="shared" si="30"/>
        <v>3436470.5209999997</v>
      </c>
      <c r="O429">
        <f t="shared" si="31"/>
        <v>0</v>
      </c>
      <c r="P429">
        <f t="shared" si="32"/>
        <v>0</v>
      </c>
      <c r="Q429">
        <f t="shared" si="33"/>
        <v>12</v>
      </c>
      <c r="R429" t="str">
        <f t="shared" si="34"/>
        <v>Not open</v>
      </c>
    </row>
    <row r="430" spans="1:18" x14ac:dyDescent="0.3">
      <c r="A430" t="s">
        <v>574</v>
      </c>
      <c r="B430" t="s">
        <v>67</v>
      </c>
      <c r="C430" t="s">
        <v>575</v>
      </c>
      <c r="D430" s="1">
        <v>45022</v>
      </c>
      <c r="E430" s="1">
        <v>45082</v>
      </c>
      <c r="F430" t="s">
        <v>36</v>
      </c>
      <c r="G430">
        <v>50191.21</v>
      </c>
      <c r="H430" s="1">
        <v>45097</v>
      </c>
      <c r="I430" t="s">
        <v>555</v>
      </c>
      <c r="J430" t="s">
        <v>556</v>
      </c>
      <c r="L430">
        <v>50191.21</v>
      </c>
      <c r="M430">
        <f>IF(F430="INR",1,INDEX('rates'!$B$2:$C$522,MATCH(D430,'rates'!$A$2:$A$522,1),MATCH(F430&amp;"/INR",'rates'!$B$1:$C$1,0)))</f>
        <v>81.86</v>
      </c>
      <c r="N430">
        <f t="shared" si="30"/>
        <v>4108652.4506000001</v>
      </c>
      <c r="O430">
        <f t="shared" si="31"/>
        <v>0</v>
      </c>
      <c r="P430">
        <f t="shared" si="32"/>
        <v>0</v>
      </c>
      <c r="Q430">
        <f t="shared" si="33"/>
        <v>15</v>
      </c>
      <c r="R430" t="str">
        <f t="shared" si="34"/>
        <v>Not open</v>
      </c>
    </row>
    <row r="431" spans="1:18" x14ac:dyDescent="0.3">
      <c r="A431" t="s">
        <v>576</v>
      </c>
      <c r="B431" t="s">
        <v>464</v>
      </c>
      <c r="C431" t="s">
        <v>560</v>
      </c>
      <c r="D431" s="1">
        <v>45022</v>
      </c>
      <c r="E431" s="1">
        <v>45112</v>
      </c>
      <c r="F431" t="s">
        <v>13</v>
      </c>
      <c r="G431">
        <v>3018611</v>
      </c>
      <c r="H431" s="1">
        <v>45111</v>
      </c>
      <c r="I431" t="s">
        <v>555</v>
      </c>
      <c r="J431" t="s">
        <v>556</v>
      </c>
      <c r="L431">
        <v>3018611</v>
      </c>
      <c r="M431">
        <f>IF(F431="INR",1,INDEX('rates'!$B$2:$C$522,MATCH(D431,'rates'!$A$2:$A$522,1),MATCH(F431&amp;"/INR",'rates'!$B$1:$C$1,0)))</f>
        <v>1</v>
      </c>
      <c r="N431">
        <f t="shared" si="30"/>
        <v>3018611</v>
      </c>
      <c r="O431">
        <f t="shared" si="31"/>
        <v>0</v>
      </c>
      <c r="P431">
        <f t="shared" si="32"/>
        <v>0</v>
      </c>
      <c r="Q431">
        <f t="shared" si="33"/>
        <v>-1</v>
      </c>
      <c r="R431" t="str">
        <f t="shared" si="34"/>
        <v>Not open</v>
      </c>
    </row>
    <row r="432" spans="1:18" x14ac:dyDescent="0.3">
      <c r="A432" t="s">
        <v>577</v>
      </c>
      <c r="B432" t="s">
        <v>83</v>
      </c>
      <c r="C432" t="s">
        <v>558</v>
      </c>
      <c r="D432" s="1">
        <v>45023</v>
      </c>
      <c r="E432" s="1">
        <v>45068</v>
      </c>
      <c r="F432" t="s">
        <v>13</v>
      </c>
      <c r="G432">
        <v>6892136</v>
      </c>
      <c r="H432" s="1">
        <v>45103</v>
      </c>
      <c r="I432" t="s">
        <v>555</v>
      </c>
      <c r="J432" t="s">
        <v>556</v>
      </c>
      <c r="L432">
        <v>6892136</v>
      </c>
      <c r="M432">
        <f>IF(F432="INR",1,INDEX('rates'!$B$2:$C$522,MATCH(D432,'rates'!$A$2:$A$522,1),MATCH(F432&amp;"/INR",'rates'!$B$1:$C$1,0)))</f>
        <v>1</v>
      </c>
      <c r="N432">
        <f t="shared" si="30"/>
        <v>6892136</v>
      </c>
      <c r="O432">
        <f t="shared" si="31"/>
        <v>0</v>
      </c>
      <c r="P432">
        <f t="shared" si="32"/>
        <v>0</v>
      </c>
      <c r="Q432">
        <f t="shared" si="33"/>
        <v>35</v>
      </c>
      <c r="R432" t="str">
        <f t="shared" si="34"/>
        <v>Not open</v>
      </c>
    </row>
    <row r="433" spans="1:18" x14ac:dyDescent="0.3">
      <c r="A433" t="s">
        <v>578</v>
      </c>
      <c r="B433" t="s">
        <v>536</v>
      </c>
      <c r="C433" t="s">
        <v>575</v>
      </c>
      <c r="D433" s="1">
        <v>45023</v>
      </c>
      <c r="E433" s="1">
        <v>45053</v>
      </c>
      <c r="F433" t="s">
        <v>36</v>
      </c>
      <c r="G433">
        <v>29223.85</v>
      </c>
      <c r="H433" s="1">
        <v>45059</v>
      </c>
      <c r="I433" t="s">
        <v>555</v>
      </c>
      <c r="J433" t="s">
        <v>556</v>
      </c>
      <c r="L433">
        <v>29223.85</v>
      </c>
      <c r="M433">
        <f>IF(F433="INR",1,INDEX('rates'!$B$2:$C$522,MATCH(D433,'rates'!$A$2:$A$522,1),MATCH(F433&amp;"/INR",'rates'!$B$1:$C$1,0)))</f>
        <v>81.849999999999994</v>
      </c>
      <c r="N433">
        <f t="shared" si="30"/>
        <v>2391972.1224999996</v>
      </c>
      <c r="O433">
        <f t="shared" si="31"/>
        <v>0</v>
      </c>
      <c r="P433">
        <f t="shared" si="32"/>
        <v>0</v>
      </c>
      <c r="Q433">
        <f t="shared" si="33"/>
        <v>6</v>
      </c>
      <c r="R433" t="str">
        <f t="shared" si="34"/>
        <v>Not open</v>
      </c>
    </row>
    <row r="434" spans="1:18" x14ac:dyDescent="0.3">
      <c r="A434" t="s">
        <v>579</v>
      </c>
      <c r="B434" t="s">
        <v>67</v>
      </c>
      <c r="C434" t="s">
        <v>575</v>
      </c>
      <c r="D434" s="1">
        <v>45024</v>
      </c>
      <c r="E434" s="1">
        <v>45084</v>
      </c>
      <c r="F434" t="s">
        <v>36</v>
      </c>
      <c r="G434">
        <v>57629.51</v>
      </c>
      <c r="H434" s="1">
        <v>45087</v>
      </c>
      <c r="I434" t="s">
        <v>555</v>
      </c>
      <c r="J434" t="s">
        <v>573</v>
      </c>
      <c r="K434">
        <v>82.122799999999998</v>
      </c>
      <c r="L434">
        <v>57629.51</v>
      </c>
      <c r="M434">
        <f>IF(F434="INR",1,INDEX('rates'!$B$2:$C$522,MATCH(D434,'rates'!$A$2:$A$522,1),MATCH(F434&amp;"/INR",'rates'!$B$1:$C$1,0)))</f>
        <v>81.849999999999994</v>
      </c>
      <c r="N434">
        <f t="shared" si="30"/>
        <v>4716975.3935000002</v>
      </c>
      <c r="O434">
        <f t="shared" si="31"/>
        <v>0</v>
      </c>
      <c r="P434">
        <f t="shared" si="32"/>
        <v>0</v>
      </c>
      <c r="Q434">
        <f t="shared" si="33"/>
        <v>3</v>
      </c>
      <c r="R434" t="str">
        <f t="shared" si="34"/>
        <v>Not open</v>
      </c>
    </row>
    <row r="435" spans="1:18" x14ac:dyDescent="0.3">
      <c r="A435" t="s">
        <v>581</v>
      </c>
      <c r="B435" t="s">
        <v>140</v>
      </c>
      <c r="C435" t="s">
        <v>554</v>
      </c>
      <c r="D435" s="1">
        <v>45024</v>
      </c>
      <c r="E435" s="1">
        <v>45084</v>
      </c>
      <c r="F435" t="s">
        <v>13</v>
      </c>
      <c r="G435">
        <v>10221179</v>
      </c>
      <c r="H435" s="1">
        <v>45090</v>
      </c>
      <c r="I435" t="s">
        <v>555</v>
      </c>
      <c r="J435" t="s">
        <v>556</v>
      </c>
      <c r="L435">
        <v>10221179</v>
      </c>
      <c r="M435">
        <f>IF(F435="INR",1,INDEX('rates'!$B$2:$C$522,MATCH(D435,'rates'!$A$2:$A$522,1),MATCH(F435&amp;"/INR",'rates'!$B$1:$C$1,0)))</f>
        <v>1</v>
      </c>
      <c r="N435">
        <f t="shared" si="30"/>
        <v>10221179</v>
      </c>
      <c r="O435">
        <f t="shared" si="31"/>
        <v>0</v>
      </c>
      <c r="P435">
        <f t="shared" si="32"/>
        <v>0</v>
      </c>
      <c r="Q435">
        <f t="shared" si="33"/>
        <v>6</v>
      </c>
      <c r="R435" t="str">
        <f t="shared" si="34"/>
        <v>Not open</v>
      </c>
    </row>
    <row r="436" spans="1:18" x14ac:dyDescent="0.3">
      <c r="A436" t="s">
        <v>582</v>
      </c>
      <c r="B436" t="s">
        <v>148</v>
      </c>
      <c r="C436" t="s">
        <v>575</v>
      </c>
      <c r="D436" s="1">
        <v>45024</v>
      </c>
      <c r="E436" s="1">
        <v>45084</v>
      </c>
      <c r="F436" t="s">
        <v>31</v>
      </c>
      <c r="G436">
        <v>90681.31</v>
      </c>
      <c r="H436" s="1">
        <v>45086</v>
      </c>
      <c r="I436" t="s">
        <v>555</v>
      </c>
      <c r="J436" t="s">
        <v>556</v>
      </c>
      <c r="L436">
        <v>90681.31</v>
      </c>
      <c r="M436">
        <f>IF(F436="INR",1,INDEX('rates'!$B$2:$C$522,MATCH(D436,'rates'!$A$2:$A$522,1),MATCH(F436&amp;"/INR",'rates'!$B$1:$C$1,0)))</f>
        <v>89.322900000000004</v>
      </c>
      <c r="N436">
        <f t="shared" si="30"/>
        <v>8099917.5849989997</v>
      </c>
      <c r="O436">
        <f t="shared" si="31"/>
        <v>0</v>
      </c>
      <c r="P436">
        <f t="shared" si="32"/>
        <v>0</v>
      </c>
      <c r="Q436">
        <f t="shared" si="33"/>
        <v>2</v>
      </c>
      <c r="R436" t="str">
        <f t="shared" si="34"/>
        <v>Not open</v>
      </c>
    </row>
    <row r="437" spans="1:18" x14ac:dyDescent="0.3">
      <c r="A437" t="s">
        <v>583</v>
      </c>
      <c r="B437" t="s">
        <v>182</v>
      </c>
      <c r="C437" t="s">
        <v>558</v>
      </c>
      <c r="D437" s="1">
        <v>45024</v>
      </c>
      <c r="E437" s="1">
        <v>45084</v>
      </c>
      <c r="F437" t="s">
        <v>36</v>
      </c>
      <c r="G437">
        <v>45327.99</v>
      </c>
      <c r="H437" s="1">
        <v>45215</v>
      </c>
      <c r="I437" t="s">
        <v>555</v>
      </c>
      <c r="J437" t="s">
        <v>556</v>
      </c>
      <c r="L437">
        <v>45327.99</v>
      </c>
      <c r="M437">
        <f>IF(F437="INR",1,INDEX('rates'!$B$2:$C$522,MATCH(D437,'rates'!$A$2:$A$522,1),MATCH(F437&amp;"/INR",'rates'!$B$1:$C$1,0)))</f>
        <v>81.849999999999994</v>
      </c>
      <c r="N437">
        <f t="shared" si="30"/>
        <v>3710095.9814999998</v>
      </c>
      <c r="O437">
        <f t="shared" si="31"/>
        <v>0</v>
      </c>
      <c r="P437">
        <f t="shared" si="32"/>
        <v>0</v>
      </c>
      <c r="Q437">
        <f t="shared" si="33"/>
        <v>131</v>
      </c>
      <c r="R437" t="str">
        <f t="shared" si="34"/>
        <v>Not open</v>
      </c>
    </row>
    <row r="438" spans="1:18" x14ac:dyDescent="0.3">
      <c r="A438" t="s">
        <v>584</v>
      </c>
      <c r="B438" t="s">
        <v>388</v>
      </c>
      <c r="C438" t="s">
        <v>575</v>
      </c>
      <c r="D438" s="1">
        <v>45024</v>
      </c>
      <c r="E438" s="1">
        <v>45069</v>
      </c>
      <c r="F438" t="s">
        <v>31</v>
      </c>
      <c r="G438">
        <v>72674.83</v>
      </c>
      <c r="H438" s="1">
        <v>45159</v>
      </c>
      <c r="I438" t="s">
        <v>555</v>
      </c>
      <c r="J438" t="s">
        <v>573</v>
      </c>
      <c r="K438">
        <v>89.456900000000005</v>
      </c>
      <c r="L438">
        <v>72674.83</v>
      </c>
      <c r="M438">
        <f>IF(F438="INR",1,INDEX('rates'!$B$2:$C$522,MATCH(D438,'rates'!$A$2:$A$522,1),MATCH(F438&amp;"/INR",'rates'!$B$1:$C$1,0)))</f>
        <v>89.322900000000004</v>
      </c>
      <c r="N438">
        <f t="shared" si="30"/>
        <v>6491526.5726070004</v>
      </c>
      <c r="O438">
        <f t="shared" si="31"/>
        <v>0</v>
      </c>
      <c r="P438">
        <f t="shared" si="32"/>
        <v>0</v>
      </c>
      <c r="Q438">
        <f t="shared" si="33"/>
        <v>90</v>
      </c>
      <c r="R438" t="str">
        <f t="shared" si="34"/>
        <v>Not open</v>
      </c>
    </row>
    <row r="439" spans="1:18" x14ac:dyDescent="0.3">
      <c r="A439" t="s">
        <v>585</v>
      </c>
      <c r="B439" t="s">
        <v>238</v>
      </c>
      <c r="C439" t="s">
        <v>566</v>
      </c>
      <c r="D439" s="1">
        <v>45026</v>
      </c>
      <c r="E439" s="1">
        <v>45086</v>
      </c>
      <c r="F439" t="s">
        <v>31</v>
      </c>
      <c r="G439">
        <v>119599.58</v>
      </c>
      <c r="H439" s="1">
        <v>45122</v>
      </c>
      <c r="I439" t="s">
        <v>555</v>
      </c>
      <c r="J439" t="s">
        <v>556</v>
      </c>
      <c r="L439">
        <v>119599.58</v>
      </c>
      <c r="M439">
        <f>IF(F439="INR",1,INDEX('rates'!$B$2:$C$522,MATCH(D439,'rates'!$A$2:$A$522,1),MATCH(F439&amp;"/INR",'rates'!$B$1:$C$1,0)))</f>
        <v>88.898799999999994</v>
      </c>
      <c r="N439">
        <f t="shared" si="30"/>
        <v>10632259.142503999</v>
      </c>
      <c r="O439">
        <f t="shared" si="31"/>
        <v>0</v>
      </c>
      <c r="P439">
        <f t="shared" si="32"/>
        <v>0</v>
      </c>
      <c r="Q439">
        <f t="shared" si="33"/>
        <v>36</v>
      </c>
      <c r="R439" t="str">
        <f t="shared" si="34"/>
        <v>Not open</v>
      </c>
    </row>
    <row r="440" spans="1:18" x14ac:dyDescent="0.3">
      <c r="A440" t="s">
        <v>586</v>
      </c>
      <c r="B440" t="s">
        <v>138</v>
      </c>
      <c r="C440" t="s">
        <v>566</v>
      </c>
      <c r="D440" s="1">
        <v>45027</v>
      </c>
      <c r="E440" s="1">
        <v>45057</v>
      </c>
      <c r="F440" t="s">
        <v>13</v>
      </c>
      <c r="G440">
        <v>4686461</v>
      </c>
      <c r="H440" s="1">
        <v>45049</v>
      </c>
      <c r="I440" t="s">
        <v>555</v>
      </c>
      <c r="J440" t="s">
        <v>556</v>
      </c>
      <c r="L440">
        <v>4686461</v>
      </c>
      <c r="M440">
        <f>IF(F440="INR",1,INDEX('rates'!$B$2:$C$522,MATCH(D440,'rates'!$A$2:$A$522,1),MATCH(F440&amp;"/INR",'rates'!$B$1:$C$1,0)))</f>
        <v>1</v>
      </c>
      <c r="N440">
        <f t="shared" si="30"/>
        <v>4686461</v>
      </c>
      <c r="O440">
        <f t="shared" si="31"/>
        <v>0</v>
      </c>
      <c r="P440">
        <f t="shared" si="32"/>
        <v>0</v>
      </c>
      <c r="Q440">
        <f t="shared" si="33"/>
        <v>-8</v>
      </c>
      <c r="R440" t="str">
        <f t="shared" si="34"/>
        <v>Not open</v>
      </c>
    </row>
    <row r="441" spans="1:18" x14ac:dyDescent="0.3">
      <c r="A441" t="s">
        <v>587</v>
      </c>
      <c r="B441" t="s">
        <v>368</v>
      </c>
      <c r="C441" t="s">
        <v>566</v>
      </c>
      <c r="D441" s="1">
        <v>45027</v>
      </c>
      <c r="E441" s="1">
        <v>45087</v>
      </c>
      <c r="F441" t="s">
        <v>36</v>
      </c>
      <c r="G441">
        <v>244892.64</v>
      </c>
      <c r="H441" s="1">
        <v>45111</v>
      </c>
      <c r="I441" t="s">
        <v>555</v>
      </c>
      <c r="J441" t="s">
        <v>556</v>
      </c>
      <c r="L441">
        <v>244892.64</v>
      </c>
      <c r="M441">
        <f>IF(F441="INR",1,INDEX('rates'!$B$2:$C$522,MATCH(D441,'rates'!$A$2:$A$522,1),MATCH(F441&amp;"/INR",'rates'!$B$1:$C$1,0)))</f>
        <v>82.04</v>
      </c>
      <c r="N441">
        <f t="shared" si="30"/>
        <v>20090992.185600001</v>
      </c>
      <c r="O441">
        <f t="shared" si="31"/>
        <v>0</v>
      </c>
      <c r="P441">
        <f t="shared" si="32"/>
        <v>0</v>
      </c>
      <c r="Q441">
        <f t="shared" si="33"/>
        <v>24</v>
      </c>
      <c r="R441" t="str">
        <f t="shared" si="34"/>
        <v>Not open</v>
      </c>
    </row>
    <row r="442" spans="1:18" x14ac:dyDescent="0.3">
      <c r="A442" t="s">
        <v>588</v>
      </c>
      <c r="B442" t="s">
        <v>286</v>
      </c>
      <c r="C442" t="s">
        <v>558</v>
      </c>
      <c r="D442" s="1">
        <v>45028</v>
      </c>
      <c r="E442" s="1">
        <v>45088</v>
      </c>
      <c r="F442" t="s">
        <v>36</v>
      </c>
      <c r="G442">
        <v>32671.3</v>
      </c>
      <c r="H442" s="1">
        <v>45119</v>
      </c>
      <c r="I442" t="s">
        <v>555</v>
      </c>
      <c r="J442" t="s">
        <v>556</v>
      </c>
      <c r="L442">
        <v>32671.3</v>
      </c>
      <c r="M442">
        <f>IF(F442="INR",1,INDEX('rates'!$B$2:$C$522,MATCH(D442,'rates'!$A$2:$A$522,1),MATCH(F442&amp;"/INR",'rates'!$B$1:$C$1,0)))</f>
        <v>81.98</v>
      </c>
      <c r="N442">
        <f t="shared" si="30"/>
        <v>2678393.1740000001</v>
      </c>
      <c r="O442">
        <f t="shared" si="31"/>
        <v>0</v>
      </c>
      <c r="P442">
        <f t="shared" si="32"/>
        <v>0</v>
      </c>
      <c r="Q442">
        <f t="shared" si="33"/>
        <v>31</v>
      </c>
      <c r="R442" t="str">
        <f t="shared" si="34"/>
        <v>Not open</v>
      </c>
    </row>
    <row r="443" spans="1:18" x14ac:dyDescent="0.3">
      <c r="A443" t="s">
        <v>589</v>
      </c>
      <c r="B443" t="s">
        <v>294</v>
      </c>
      <c r="C443" t="s">
        <v>560</v>
      </c>
      <c r="D443" s="1">
        <v>45028</v>
      </c>
      <c r="E443" s="1">
        <v>45088</v>
      </c>
      <c r="F443" t="s">
        <v>13</v>
      </c>
      <c r="G443">
        <v>1552537</v>
      </c>
      <c r="H443" s="1">
        <v>45268</v>
      </c>
      <c r="I443" t="s">
        <v>555</v>
      </c>
      <c r="J443" t="s">
        <v>556</v>
      </c>
      <c r="L443">
        <v>1552537</v>
      </c>
      <c r="M443">
        <f>IF(F443="INR",1,INDEX('rates'!$B$2:$C$522,MATCH(D443,'rates'!$A$2:$A$522,1),MATCH(F443&amp;"/INR",'rates'!$B$1:$C$1,0)))</f>
        <v>1</v>
      </c>
      <c r="N443">
        <f t="shared" si="30"/>
        <v>1552537</v>
      </c>
      <c r="O443">
        <f t="shared" si="31"/>
        <v>0</v>
      </c>
      <c r="P443">
        <f t="shared" si="32"/>
        <v>0</v>
      </c>
      <c r="Q443">
        <f t="shared" si="33"/>
        <v>180</v>
      </c>
      <c r="R443" t="str">
        <f t="shared" si="34"/>
        <v>Not open</v>
      </c>
    </row>
    <row r="444" spans="1:18" x14ac:dyDescent="0.3">
      <c r="A444" t="s">
        <v>590</v>
      </c>
      <c r="B444" t="s">
        <v>332</v>
      </c>
      <c r="C444" t="s">
        <v>566</v>
      </c>
      <c r="D444" s="1">
        <v>45028</v>
      </c>
      <c r="E444" s="1">
        <v>45088</v>
      </c>
      <c r="F444" t="s">
        <v>36</v>
      </c>
      <c r="G444">
        <v>63138.15</v>
      </c>
      <c r="H444" s="1">
        <v>45091</v>
      </c>
      <c r="I444" t="s">
        <v>555</v>
      </c>
      <c r="J444" t="s">
        <v>573</v>
      </c>
      <c r="K444">
        <v>82.253299999999996</v>
      </c>
      <c r="L444">
        <v>63138.15</v>
      </c>
      <c r="M444">
        <f>IF(F444="INR",1,INDEX('rates'!$B$2:$C$522,MATCH(D444,'rates'!$A$2:$A$522,1),MATCH(F444&amp;"/INR",'rates'!$B$1:$C$1,0)))</f>
        <v>81.98</v>
      </c>
      <c r="N444">
        <f t="shared" si="30"/>
        <v>5176065.5370000005</v>
      </c>
      <c r="O444">
        <f t="shared" si="31"/>
        <v>0</v>
      </c>
      <c r="P444">
        <f t="shared" si="32"/>
        <v>0</v>
      </c>
      <c r="Q444">
        <f t="shared" si="33"/>
        <v>3</v>
      </c>
      <c r="R444" t="str">
        <f t="shared" si="34"/>
        <v>Not open</v>
      </c>
    </row>
    <row r="445" spans="1:18" x14ac:dyDescent="0.3">
      <c r="A445" t="s">
        <v>591</v>
      </c>
      <c r="B445" t="s">
        <v>362</v>
      </c>
      <c r="C445" t="s">
        <v>575</v>
      </c>
      <c r="D445" s="1">
        <v>45028</v>
      </c>
      <c r="E445" s="1">
        <v>45118</v>
      </c>
      <c r="F445" t="s">
        <v>36</v>
      </c>
      <c r="G445">
        <v>59738.09</v>
      </c>
      <c r="H445" s="1">
        <v>45130</v>
      </c>
      <c r="I445" t="s">
        <v>555</v>
      </c>
      <c r="J445" t="s">
        <v>556</v>
      </c>
      <c r="L445">
        <v>59738.09</v>
      </c>
      <c r="M445">
        <f>IF(F445="INR",1,INDEX('rates'!$B$2:$C$522,MATCH(D445,'rates'!$A$2:$A$522,1),MATCH(F445&amp;"/INR",'rates'!$B$1:$C$1,0)))</f>
        <v>81.98</v>
      </c>
      <c r="N445">
        <f t="shared" si="30"/>
        <v>4897328.6182000004</v>
      </c>
      <c r="O445">
        <f t="shared" si="31"/>
        <v>0</v>
      </c>
      <c r="P445">
        <f t="shared" si="32"/>
        <v>0</v>
      </c>
      <c r="Q445">
        <f t="shared" si="33"/>
        <v>12</v>
      </c>
      <c r="R445" t="str">
        <f t="shared" si="34"/>
        <v>Not open</v>
      </c>
    </row>
    <row r="446" spans="1:18" x14ac:dyDescent="0.3">
      <c r="A446" t="s">
        <v>592</v>
      </c>
      <c r="B446" t="s">
        <v>492</v>
      </c>
      <c r="C446" t="s">
        <v>566</v>
      </c>
      <c r="D446" s="1">
        <v>45028</v>
      </c>
      <c r="E446" s="1">
        <v>45073</v>
      </c>
      <c r="F446" t="s">
        <v>13</v>
      </c>
      <c r="G446">
        <v>14326207</v>
      </c>
      <c r="H446" s="1">
        <v>45083</v>
      </c>
      <c r="I446" t="s">
        <v>555</v>
      </c>
      <c r="J446" t="s">
        <v>556</v>
      </c>
      <c r="L446">
        <v>14326207</v>
      </c>
      <c r="M446">
        <f>IF(F446="INR",1,INDEX('rates'!$B$2:$C$522,MATCH(D446,'rates'!$A$2:$A$522,1),MATCH(F446&amp;"/INR",'rates'!$B$1:$C$1,0)))</f>
        <v>1</v>
      </c>
      <c r="N446">
        <f t="shared" si="30"/>
        <v>14326207</v>
      </c>
      <c r="O446">
        <f t="shared" si="31"/>
        <v>0</v>
      </c>
      <c r="P446">
        <f t="shared" si="32"/>
        <v>0</v>
      </c>
      <c r="Q446">
        <f t="shared" si="33"/>
        <v>10</v>
      </c>
      <c r="R446" t="str">
        <f t="shared" si="34"/>
        <v>Not open</v>
      </c>
    </row>
    <row r="447" spans="1:18" x14ac:dyDescent="0.3">
      <c r="A447" t="s">
        <v>593</v>
      </c>
      <c r="B447" t="s">
        <v>254</v>
      </c>
      <c r="C447" t="s">
        <v>558</v>
      </c>
      <c r="D447" s="1">
        <v>45029</v>
      </c>
      <c r="E447" s="1">
        <v>45059</v>
      </c>
      <c r="F447" t="s">
        <v>13</v>
      </c>
      <c r="G447">
        <v>4414120</v>
      </c>
      <c r="H447" s="1">
        <v>45126</v>
      </c>
      <c r="I447" t="s">
        <v>555</v>
      </c>
      <c r="J447" t="s">
        <v>556</v>
      </c>
      <c r="L447">
        <v>4414120</v>
      </c>
      <c r="M447">
        <f>IF(F447="INR",1,INDEX('rates'!$B$2:$C$522,MATCH(D447,'rates'!$A$2:$A$522,1),MATCH(F447&amp;"/INR",'rates'!$B$1:$C$1,0)))</f>
        <v>1</v>
      </c>
      <c r="N447">
        <f t="shared" si="30"/>
        <v>4414120</v>
      </c>
      <c r="O447">
        <f t="shared" si="31"/>
        <v>0</v>
      </c>
      <c r="P447">
        <f t="shared" si="32"/>
        <v>0</v>
      </c>
      <c r="Q447">
        <f t="shared" si="33"/>
        <v>67</v>
      </c>
      <c r="R447" t="str">
        <f t="shared" si="34"/>
        <v>Not open</v>
      </c>
    </row>
    <row r="448" spans="1:18" x14ac:dyDescent="0.3">
      <c r="A448" t="s">
        <v>594</v>
      </c>
      <c r="B448" t="s">
        <v>462</v>
      </c>
      <c r="C448" t="s">
        <v>566</v>
      </c>
      <c r="D448" s="1">
        <v>45029</v>
      </c>
      <c r="E448" s="1">
        <v>45074</v>
      </c>
      <c r="F448" t="s">
        <v>13</v>
      </c>
      <c r="G448">
        <v>2596762</v>
      </c>
      <c r="H448" s="1">
        <v>45079</v>
      </c>
      <c r="I448" t="s">
        <v>555</v>
      </c>
      <c r="J448" t="s">
        <v>556</v>
      </c>
      <c r="L448">
        <v>2596762</v>
      </c>
      <c r="M448">
        <f>IF(F448="INR",1,INDEX('rates'!$B$2:$C$522,MATCH(D448,'rates'!$A$2:$A$522,1),MATCH(F448&amp;"/INR",'rates'!$B$1:$C$1,0)))</f>
        <v>1</v>
      </c>
      <c r="N448">
        <f t="shared" si="30"/>
        <v>2596762</v>
      </c>
      <c r="O448">
        <f t="shared" si="31"/>
        <v>0</v>
      </c>
      <c r="P448">
        <f t="shared" si="32"/>
        <v>0</v>
      </c>
      <c r="Q448">
        <f t="shared" si="33"/>
        <v>5</v>
      </c>
      <c r="R448" t="str">
        <f t="shared" si="34"/>
        <v>Not open</v>
      </c>
    </row>
    <row r="449" spans="1:18" x14ac:dyDescent="0.3">
      <c r="A449" t="s">
        <v>596</v>
      </c>
      <c r="B449" t="s">
        <v>496</v>
      </c>
      <c r="C449" t="s">
        <v>554</v>
      </c>
      <c r="D449" s="1">
        <v>45030</v>
      </c>
      <c r="E449" s="1">
        <v>45075</v>
      </c>
      <c r="F449" t="s">
        <v>13</v>
      </c>
      <c r="G449">
        <v>29057368</v>
      </c>
      <c r="H449" s="1">
        <v>45096</v>
      </c>
      <c r="I449" t="s">
        <v>555</v>
      </c>
      <c r="J449" t="s">
        <v>556</v>
      </c>
      <c r="L449">
        <v>29057368</v>
      </c>
      <c r="M449">
        <f>IF(F449="INR",1,INDEX('rates'!$B$2:$C$522,MATCH(D449,'rates'!$A$2:$A$522,1),MATCH(F449&amp;"/INR",'rates'!$B$1:$C$1,0)))</f>
        <v>1</v>
      </c>
      <c r="N449">
        <f t="shared" si="30"/>
        <v>29057368</v>
      </c>
      <c r="O449">
        <f t="shared" si="31"/>
        <v>0</v>
      </c>
      <c r="P449">
        <f t="shared" si="32"/>
        <v>0</v>
      </c>
      <c r="Q449">
        <f t="shared" si="33"/>
        <v>21</v>
      </c>
      <c r="R449" t="str">
        <f t="shared" si="34"/>
        <v>Not open</v>
      </c>
    </row>
    <row r="450" spans="1:18" x14ac:dyDescent="0.3">
      <c r="A450" t="s">
        <v>597</v>
      </c>
      <c r="B450" t="s">
        <v>126</v>
      </c>
      <c r="C450" t="s">
        <v>558</v>
      </c>
      <c r="D450" s="1">
        <v>45031</v>
      </c>
      <c r="E450" s="1">
        <v>45076</v>
      </c>
      <c r="F450" t="s">
        <v>13</v>
      </c>
      <c r="G450">
        <v>6422556</v>
      </c>
      <c r="H450" s="1">
        <v>45085</v>
      </c>
      <c r="I450" t="s">
        <v>555</v>
      </c>
      <c r="J450" t="s">
        <v>556</v>
      </c>
      <c r="L450">
        <v>6422556</v>
      </c>
      <c r="M450">
        <f>IF(F450="INR",1,INDEX('rates'!$B$2:$C$522,MATCH(D450,'rates'!$A$2:$A$522,1),MATCH(F450&amp;"/INR",'rates'!$B$1:$C$1,0)))</f>
        <v>1</v>
      </c>
      <c r="N450">
        <f t="shared" ref="N450:N513" si="35">G450*M450</f>
        <v>6422556</v>
      </c>
      <c r="O450">
        <f t="shared" ref="O450:O513" si="36">IF(OR(I450="OPEN",I450="PARTIALLY PAID"),(G450-L450)*M450,0)</f>
        <v>0</v>
      </c>
      <c r="P450">
        <f t="shared" ref="P450:P513" si="37">IF(O450&gt;0,MAX(0,DATE(2025,3,31)-E450),0)</f>
        <v>0</v>
      </c>
      <c r="Q450">
        <f t="shared" ref="Q450:Q483" si="38">IF(H450="","",H450-E450)</f>
        <v>9</v>
      </c>
      <c r="R450" t="str">
        <f t="shared" ref="R450:R513" si="39">IF(O450=0,"Not open",IF(P450=0,"Not yet due",IF(P450&lt;=30,"1-30",IF(P450&lt;=60,"31-60",IF(P450&lt;=90,"61-90","90+")))))</f>
        <v>Not open</v>
      </c>
    </row>
    <row r="451" spans="1:18" x14ac:dyDescent="0.3">
      <c r="A451" t="s">
        <v>598</v>
      </c>
      <c r="B451" t="s">
        <v>200</v>
      </c>
      <c r="C451" t="s">
        <v>575</v>
      </c>
      <c r="D451" s="1">
        <v>45031</v>
      </c>
      <c r="E451" s="1">
        <v>45091</v>
      </c>
      <c r="F451" t="s">
        <v>13</v>
      </c>
      <c r="G451">
        <v>14106446</v>
      </c>
      <c r="H451" s="1">
        <v>45109</v>
      </c>
      <c r="I451" t="s">
        <v>555</v>
      </c>
      <c r="J451" t="s">
        <v>556</v>
      </c>
      <c r="L451">
        <v>14106446</v>
      </c>
      <c r="M451">
        <f>IF(F451="INR",1,INDEX('rates'!$B$2:$C$522,MATCH(D451,'rates'!$A$2:$A$522,1),MATCH(F451&amp;"/INR",'rates'!$B$1:$C$1,0)))</f>
        <v>1</v>
      </c>
      <c r="N451">
        <f t="shared" si="35"/>
        <v>14106446</v>
      </c>
      <c r="O451">
        <f t="shared" si="36"/>
        <v>0</v>
      </c>
      <c r="P451">
        <f t="shared" si="37"/>
        <v>0</v>
      </c>
      <c r="Q451">
        <f t="shared" si="38"/>
        <v>18</v>
      </c>
      <c r="R451" t="str">
        <f t="shared" si="39"/>
        <v>Not open</v>
      </c>
    </row>
    <row r="452" spans="1:18" x14ac:dyDescent="0.3">
      <c r="A452" t="s">
        <v>599</v>
      </c>
      <c r="B452" t="s">
        <v>228</v>
      </c>
      <c r="C452" t="s">
        <v>554</v>
      </c>
      <c r="D452" s="1">
        <v>45031</v>
      </c>
      <c r="E452" s="1">
        <v>45076</v>
      </c>
      <c r="F452" t="s">
        <v>13</v>
      </c>
      <c r="G452">
        <v>677088</v>
      </c>
      <c r="H452" s="1">
        <v>45071</v>
      </c>
      <c r="I452" t="s">
        <v>555</v>
      </c>
      <c r="J452" t="s">
        <v>556</v>
      </c>
      <c r="L452">
        <v>677088</v>
      </c>
      <c r="M452">
        <f>IF(F452="INR",1,INDEX('rates'!$B$2:$C$522,MATCH(D452,'rates'!$A$2:$A$522,1),MATCH(F452&amp;"/INR",'rates'!$B$1:$C$1,0)))</f>
        <v>1</v>
      </c>
      <c r="N452">
        <f t="shared" si="35"/>
        <v>677088</v>
      </c>
      <c r="O452">
        <f t="shared" si="36"/>
        <v>0</v>
      </c>
      <c r="P452">
        <f t="shared" si="37"/>
        <v>0</v>
      </c>
      <c r="Q452">
        <f t="shared" si="38"/>
        <v>-5</v>
      </c>
      <c r="R452" t="str">
        <f t="shared" si="39"/>
        <v>Not open</v>
      </c>
    </row>
    <row r="453" spans="1:18" x14ac:dyDescent="0.3">
      <c r="A453" t="s">
        <v>600</v>
      </c>
      <c r="B453" t="s">
        <v>314</v>
      </c>
      <c r="C453" t="s">
        <v>575</v>
      </c>
      <c r="D453" s="1">
        <v>45031</v>
      </c>
      <c r="E453" s="1">
        <v>45091</v>
      </c>
      <c r="F453" t="s">
        <v>36</v>
      </c>
      <c r="G453">
        <v>79463.520000000004</v>
      </c>
      <c r="H453" s="1">
        <v>45144</v>
      </c>
      <c r="I453" t="s">
        <v>555</v>
      </c>
      <c r="J453" t="s">
        <v>556</v>
      </c>
      <c r="L453">
        <v>79463.520000000004</v>
      </c>
      <c r="M453">
        <f>IF(F453="INR",1,INDEX('rates'!$B$2:$C$522,MATCH(D453,'rates'!$A$2:$A$522,1),MATCH(F453&amp;"/INR",'rates'!$B$1:$C$1,0)))</f>
        <v>81.88</v>
      </c>
      <c r="N453">
        <f t="shared" si="35"/>
        <v>6506473.0175999999</v>
      </c>
      <c r="O453">
        <f t="shared" si="36"/>
        <v>0</v>
      </c>
      <c r="P453">
        <f t="shared" si="37"/>
        <v>0</v>
      </c>
      <c r="Q453">
        <f t="shared" si="38"/>
        <v>53</v>
      </c>
      <c r="R453" t="str">
        <f t="shared" si="39"/>
        <v>Not open</v>
      </c>
    </row>
    <row r="454" spans="1:18" x14ac:dyDescent="0.3">
      <c r="A454" t="s">
        <v>601</v>
      </c>
      <c r="B454" t="s">
        <v>336</v>
      </c>
      <c r="C454" t="s">
        <v>554</v>
      </c>
      <c r="D454" s="1">
        <v>45031</v>
      </c>
      <c r="E454" s="1">
        <v>45061</v>
      </c>
      <c r="F454" t="s">
        <v>13</v>
      </c>
      <c r="G454">
        <v>4788155</v>
      </c>
      <c r="H454" s="1">
        <v>45066</v>
      </c>
      <c r="I454" t="s">
        <v>555</v>
      </c>
      <c r="J454" t="s">
        <v>556</v>
      </c>
      <c r="L454">
        <v>4788155</v>
      </c>
      <c r="M454">
        <f>IF(F454="INR",1,INDEX('rates'!$B$2:$C$522,MATCH(D454,'rates'!$A$2:$A$522,1),MATCH(F454&amp;"/INR",'rates'!$B$1:$C$1,0)))</f>
        <v>1</v>
      </c>
      <c r="N454">
        <f t="shared" si="35"/>
        <v>4788155</v>
      </c>
      <c r="O454">
        <f t="shared" si="36"/>
        <v>0</v>
      </c>
      <c r="P454">
        <f t="shared" si="37"/>
        <v>0</v>
      </c>
      <c r="Q454">
        <f t="shared" si="38"/>
        <v>5</v>
      </c>
      <c r="R454" t="str">
        <f t="shared" si="39"/>
        <v>Not open</v>
      </c>
    </row>
    <row r="455" spans="1:18" x14ac:dyDescent="0.3">
      <c r="A455" t="s">
        <v>602</v>
      </c>
      <c r="B455" t="s">
        <v>372</v>
      </c>
      <c r="C455" t="s">
        <v>575</v>
      </c>
      <c r="D455" s="1">
        <v>45031</v>
      </c>
      <c r="E455" s="1">
        <v>45121</v>
      </c>
      <c r="F455" t="s">
        <v>13</v>
      </c>
      <c r="G455">
        <v>2503001</v>
      </c>
      <c r="H455" s="1">
        <v>45144</v>
      </c>
      <c r="I455" t="s">
        <v>555</v>
      </c>
      <c r="J455" t="s">
        <v>556</v>
      </c>
      <c r="L455">
        <v>2503001</v>
      </c>
      <c r="M455">
        <f>IF(F455="INR",1,INDEX('rates'!$B$2:$C$522,MATCH(D455,'rates'!$A$2:$A$522,1),MATCH(F455&amp;"/INR",'rates'!$B$1:$C$1,0)))</f>
        <v>1</v>
      </c>
      <c r="N455">
        <f t="shared" si="35"/>
        <v>2503001</v>
      </c>
      <c r="O455">
        <f t="shared" si="36"/>
        <v>0</v>
      </c>
      <c r="P455">
        <f t="shared" si="37"/>
        <v>0</v>
      </c>
      <c r="Q455">
        <f t="shared" si="38"/>
        <v>23</v>
      </c>
      <c r="R455" t="str">
        <f t="shared" si="39"/>
        <v>Not open</v>
      </c>
    </row>
    <row r="456" spans="1:18" x14ac:dyDescent="0.3">
      <c r="A456" t="s">
        <v>603</v>
      </c>
      <c r="B456" t="s">
        <v>436</v>
      </c>
      <c r="C456" t="s">
        <v>566</v>
      </c>
      <c r="D456" s="1">
        <v>45031</v>
      </c>
      <c r="E456" s="1">
        <v>45076</v>
      </c>
      <c r="F456" t="s">
        <v>36</v>
      </c>
      <c r="G456">
        <v>36003.26</v>
      </c>
      <c r="H456" s="1">
        <v>45099</v>
      </c>
      <c r="I456" t="s">
        <v>555</v>
      </c>
      <c r="J456" t="s">
        <v>573</v>
      </c>
      <c r="K456">
        <v>82.084699999999998</v>
      </c>
      <c r="L456">
        <v>36003.26</v>
      </c>
      <c r="M456">
        <f>IF(F456="INR",1,INDEX('rates'!$B$2:$C$522,MATCH(D456,'rates'!$A$2:$A$522,1),MATCH(F456&amp;"/INR",'rates'!$B$1:$C$1,0)))</f>
        <v>81.88</v>
      </c>
      <c r="N456">
        <f t="shared" si="35"/>
        <v>2947946.9287999999</v>
      </c>
      <c r="O456">
        <f t="shared" si="36"/>
        <v>0</v>
      </c>
      <c r="P456">
        <f t="shared" si="37"/>
        <v>0</v>
      </c>
      <c r="Q456">
        <f t="shared" si="38"/>
        <v>23</v>
      </c>
      <c r="R456" t="str">
        <f t="shared" si="39"/>
        <v>Not open</v>
      </c>
    </row>
    <row r="457" spans="1:18" x14ac:dyDescent="0.3">
      <c r="A457" t="s">
        <v>604</v>
      </c>
      <c r="B457" t="s">
        <v>442</v>
      </c>
      <c r="C457" t="s">
        <v>575</v>
      </c>
      <c r="D457" s="1">
        <v>45031</v>
      </c>
      <c r="E457" s="1">
        <v>45091</v>
      </c>
      <c r="F457" t="s">
        <v>13</v>
      </c>
      <c r="G457">
        <v>7631328</v>
      </c>
      <c r="H457" s="1">
        <v>45113</v>
      </c>
      <c r="I457" t="s">
        <v>555</v>
      </c>
      <c r="J457" t="s">
        <v>556</v>
      </c>
      <c r="L457">
        <v>7631328</v>
      </c>
      <c r="M457">
        <f>IF(F457="INR",1,INDEX('rates'!$B$2:$C$522,MATCH(D457,'rates'!$A$2:$A$522,1),MATCH(F457&amp;"/INR",'rates'!$B$1:$C$1,0)))</f>
        <v>1</v>
      </c>
      <c r="N457">
        <f t="shared" si="35"/>
        <v>7631328</v>
      </c>
      <c r="O457">
        <f t="shared" si="36"/>
        <v>0</v>
      </c>
      <c r="P457">
        <f t="shared" si="37"/>
        <v>0</v>
      </c>
      <c r="Q457">
        <f t="shared" si="38"/>
        <v>22</v>
      </c>
      <c r="R457" t="str">
        <f t="shared" si="39"/>
        <v>Not open</v>
      </c>
    </row>
    <row r="458" spans="1:18" x14ac:dyDescent="0.3">
      <c r="A458" t="s">
        <v>605</v>
      </c>
      <c r="B458" t="s">
        <v>202</v>
      </c>
      <c r="C458" t="s">
        <v>554</v>
      </c>
      <c r="D458" s="1">
        <v>45033</v>
      </c>
      <c r="E458" s="1">
        <v>45063</v>
      </c>
      <c r="F458" t="s">
        <v>13</v>
      </c>
      <c r="G458">
        <v>14301590</v>
      </c>
      <c r="H458" s="1">
        <v>45087</v>
      </c>
      <c r="I458" t="s">
        <v>555</v>
      </c>
      <c r="J458" t="s">
        <v>556</v>
      </c>
      <c r="L458">
        <v>14301590</v>
      </c>
      <c r="M458">
        <f>IF(F458="INR",1,INDEX('rates'!$B$2:$C$522,MATCH(D458,'rates'!$A$2:$A$522,1),MATCH(F458&amp;"/INR",'rates'!$B$1:$C$1,0)))</f>
        <v>1</v>
      </c>
      <c r="N458">
        <f t="shared" si="35"/>
        <v>14301590</v>
      </c>
      <c r="O458">
        <f t="shared" si="36"/>
        <v>0</v>
      </c>
      <c r="P458">
        <f t="shared" si="37"/>
        <v>0</v>
      </c>
      <c r="Q458">
        <f t="shared" si="38"/>
        <v>24</v>
      </c>
      <c r="R458" t="str">
        <f t="shared" si="39"/>
        <v>Not open</v>
      </c>
    </row>
    <row r="459" spans="1:18" x14ac:dyDescent="0.3">
      <c r="A459" t="s">
        <v>607</v>
      </c>
      <c r="B459" t="s">
        <v>370</v>
      </c>
      <c r="C459" t="s">
        <v>566</v>
      </c>
      <c r="D459" s="1">
        <v>45033</v>
      </c>
      <c r="E459" s="1">
        <v>45063</v>
      </c>
      <c r="F459" t="s">
        <v>36</v>
      </c>
      <c r="G459">
        <v>225864.22</v>
      </c>
      <c r="H459" s="1">
        <v>45070</v>
      </c>
      <c r="I459" t="s">
        <v>555</v>
      </c>
      <c r="J459" t="s">
        <v>573</v>
      </c>
      <c r="K459">
        <v>82.116600000000005</v>
      </c>
      <c r="L459">
        <v>225864.22</v>
      </c>
      <c r="M459">
        <f>IF(F459="INR",1,INDEX('rates'!$B$2:$C$522,MATCH(D459,'rates'!$A$2:$A$522,1),MATCH(F459&amp;"/INR",'rates'!$B$1:$C$1,0)))</f>
        <v>81.98</v>
      </c>
      <c r="N459">
        <f t="shared" si="35"/>
        <v>18516348.755600002</v>
      </c>
      <c r="O459">
        <f t="shared" si="36"/>
        <v>0</v>
      </c>
      <c r="P459">
        <f t="shared" si="37"/>
        <v>0</v>
      </c>
      <c r="Q459">
        <f t="shared" si="38"/>
        <v>7</v>
      </c>
      <c r="R459" t="str">
        <f t="shared" si="39"/>
        <v>Not open</v>
      </c>
    </row>
    <row r="460" spans="1:18" x14ac:dyDescent="0.3">
      <c r="A460" t="s">
        <v>608</v>
      </c>
      <c r="B460" t="s">
        <v>466</v>
      </c>
      <c r="C460" t="s">
        <v>558</v>
      </c>
      <c r="D460" s="1">
        <v>45033</v>
      </c>
      <c r="E460" s="1">
        <v>45093</v>
      </c>
      <c r="F460" t="s">
        <v>31</v>
      </c>
      <c r="G460">
        <v>46879.33</v>
      </c>
      <c r="H460" s="1">
        <v>45093</v>
      </c>
      <c r="I460" t="s">
        <v>555</v>
      </c>
      <c r="J460" t="s">
        <v>556</v>
      </c>
      <c r="L460">
        <v>46879.33</v>
      </c>
      <c r="M460">
        <f>IF(F460="INR",1,INDEX('rates'!$B$2:$C$522,MATCH(D460,'rates'!$A$2:$A$522,1),MATCH(F460&amp;"/INR",'rates'!$B$1:$C$1,0)))</f>
        <v>89.481200000000001</v>
      </c>
      <c r="N460">
        <f t="shared" si="35"/>
        <v>4194818.7035960006</v>
      </c>
      <c r="O460">
        <f t="shared" si="36"/>
        <v>0</v>
      </c>
      <c r="P460">
        <f t="shared" si="37"/>
        <v>0</v>
      </c>
      <c r="Q460">
        <f t="shared" si="38"/>
        <v>0</v>
      </c>
      <c r="R460" t="str">
        <f t="shared" si="39"/>
        <v>Not open</v>
      </c>
    </row>
    <row r="461" spans="1:18" x14ac:dyDescent="0.3">
      <c r="A461" t="s">
        <v>609</v>
      </c>
      <c r="B461" t="s">
        <v>476</v>
      </c>
      <c r="C461" t="s">
        <v>566</v>
      </c>
      <c r="D461" s="1">
        <v>45033</v>
      </c>
      <c r="E461" s="1">
        <v>45078</v>
      </c>
      <c r="F461" t="s">
        <v>13</v>
      </c>
      <c r="G461">
        <v>3017144</v>
      </c>
      <c r="H461" s="1">
        <v>45090</v>
      </c>
      <c r="I461" t="s">
        <v>555</v>
      </c>
      <c r="J461" t="s">
        <v>556</v>
      </c>
      <c r="L461">
        <v>3017144</v>
      </c>
      <c r="M461">
        <f>IF(F461="INR",1,INDEX('rates'!$B$2:$C$522,MATCH(D461,'rates'!$A$2:$A$522,1),MATCH(F461&amp;"/INR",'rates'!$B$1:$C$1,0)))</f>
        <v>1</v>
      </c>
      <c r="N461">
        <f t="shared" si="35"/>
        <v>3017144</v>
      </c>
      <c r="O461">
        <f t="shared" si="36"/>
        <v>0</v>
      </c>
      <c r="P461">
        <f t="shared" si="37"/>
        <v>0</v>
      </c>
      <c r="Q461">
        <f t="shared" si="38"/>
        <v>12</v>
      </c>
      <c r="R461" t="str">
        <f t="shared" si="39"/>
        <v>Not open</v>
      </c>
    </row>
    <row r="462" spans="1:18" x14ac:dyDescent="0.3">
      <c r="A462" t="s">
        <v>610</v>
      </c>
      <c r="B462" t="s">
        <v>158</v>
      </c>
      <c r="C462" t="s">
        <v>566</v>
      </c>
      <c r="D462" s="1">
        <v>45034</v>
      </c>
      <c r="E462" s="1">
        <v>45064</v>
      </c>
      <c r="F462" t="s">
        <v>13</v>
      </c>
      <c r="G462">
        <v>3740781</v>
      </c>
      <c r="H462" s="1">
        <v>45063</v>
      </c>
      <c r="I462" t="s">
        <v>555</v>
      </c>
      <c r="J462" t="s">
        <v>556</v>
      </c>
      <c r="L462">
        <v>3740781</v>
      </c>
      <c r="M462">
        <f>IF(F462="INR",1,INDEX('rates'!$B$2:$C$522,MATCH(D462,'rates'!$A$2:$A$522,1),MATCH(F462&amp;"/INR",'rates'!$B$1:$C$1,0)))</f>
        <v>1</v>
      </c>
      <c r="N462">
        <f t="shared" si="35"/>
        <v>3740781</v>
      </c>
      <c r="O462">
        <f t="shared" si="36"/>
        <v>0</v>
      </c>
      <c r="P462">
        <f t="shared" si="37"/>
        <v>0</v>
      </c>
      <c r="Q462">
        <f t="shared" si="38"/>
        <v>-1</v>
      </c>
      <c r="R462" t="str">
        <f t="shared" si="39"/>
        <v>Not open</v>
      </c>
    </row>
    <row r="463" spans="1:18" x14ac:dyDescent="0.3">
      <c r="A463" t="s">
        <v>611</v>
      </c>
      <c r="B463" t="s">
        <v>436</v>
      </c>
      <c r="C463" t="s">
        <v>566</v>
      </c>
      <c r="D463" s="1">
        <v>45034</v>
      </c>
      <c r="E463" s="1">
        <v>45079</v>
      </c>
      <c r="F463" t="s">
        <v>36</v>
      </c>
      <c r="G463">
        <v>125816.73</v>
      </c>
      <c r="H463" s="1">
        <v>45145</v>
      </c>
      <c r="I463" t="s">
        <v>555</v>
      </c>
      <c r="J463" t="s">
        <v>556</v>
      </c>
      <c r="L463">
        <v>125816.73</v>
      </c>
      <c r="M463">
        <f>IF(F463="INR",1,INDEX('rates'!$B$2:$C$522,MATCH(D463,'rates'!$A$2:$A$522,1),MATCH(F463&amp;"/INR",'rates'!$B$1:$C$1,0)))</f>
        <v>82.08</v>
      </c>
      <c r="N463">
        <f t="shared" si="35"/>
        <v>10327037.1984</v>
      </c>
      <c r="O463">
        <f t="shared" si="36"/>
        <v>0</v>
      </c>
      <c r="P463">
        <f t="shared" si="37"/>
        <v>0</v>
      </c>
      <c r="Q463">
        <f t="shared" si="38"/>
        <v>66</v>
      </c>
      <c r="R463" t="str">
        <f t="shared" si="39"/>
        <v>Not open</v>
      </c>
    </row>
    <row r="464" spans="1:18" x14ac:dyDescent="0.3">
      <c r="A464" t="s">
        <v>612</v>
      </c>
      <c r="B464" t="s">
        <v>42</v>
      </c>
      <c r="C464" t="s">
        <v>566</v>
      </c>
      <c r="D464" s="1">
        <v>45035</v>
      </c>
      <c r="E464" s="1">
        <v>45095</v>
      </c>
      <c r="F464" t="s">
        <v>13</v>
      </c>
      <c r="G464">
        <v>10727439</v>
      </c>
      <c r="H464" s="1">
        <v>45096</v>
      </c>
      <c r="I464" t="s">
        <v>555</v>
      </c>
      <c r="J464" t="s">
        <v>556</v>
      </c>
      <c r="L464">
        <v>10727439</v>
      </c>
      <c r="M464">
        <f>IF(F464="INR",1,INDEX('rates'!$B$2:$C$522,MATCH(D464,'rates'!$A$2:$A$522,1),MATCH(F464&amp;"/INR",'rates'!$B$1:$C$1,0)))</f>
        <v>1</v>
      </c>
      <c r="N464">
        <f t="shared" si="35"/>
        <v>10727439</v>
      </c>
      <c r="O464">
        <f t="shared" si="36"/>
        <v>0</v>
      </c>
      <c r="P464">
        <f t="shared" si="37"/>
        <v>0</v>
      </c>
      <c r="Q464">
        <f t="shared" si="38"/>
        <v>1</v>
      </c>
      <c r="R464" t="str">
        <f t="shared" si="39"/>
        <v>Not open</v>
      </c>
    </row>
    <row r="465" spans="1:18" x14ac:dyDescent="0.3">
      <c r="A465" t="s">
        <v>613</v>
      </c>
      <c r="B465" t="s">
        <v>328</v>
      </c>
      <c r="C465" t="s">
        <v>554</v>
      </c>
      <c r="D465" s="1">
        <v>45035</v>
      </c>
      <c r="E465" s="1">
        <v>45080</v>
      </c>
      <c r="F465" t="s">
        <v>13</v>
      </c>
      <c r="G465">
        <v>3723090</v>
      </c>
      <c r="H465" s="1">
        <v>45080</v>
      </c>
      <c r="I465" t="s">
        <v>555</v>
      </c>
      <c r="J465" t="s">
        <v>556</v>
      </c>
      <c r="L465">
        <v>3723090</v>
      </c>
      <c r="M465">
        <f>IF(F465="INR",1,INDEX('rates'!$B$2:$C$522,MATCH(D465,'rates'!$A$2:$A$522,1),MATCH(F465&amp;"/INR",'rates'!$B$1:$C$1,0)))</f>
        <v>1</v>
      </c>
      <c r="N465">
        <f t="shared" si="35"/>
        <v>3723090</v>
      </c>
      <c r="O465">
        <f t="shared" si="36"/>
        <v>0</v>
      </c>
      <c r="P465">
        <f t="shared" si="37"/>
        <v>0</v>
      </c>
      <c r="Q465">
        <f t="shared" si="38"/>
        <v>0</v>
      </c>
      <c r="R465" t="str">
        <f t="shared" si="39"/>
        <v>Not open</v>
      </c>
    </row>
    <row r="466" spans="1:18" x14ac:dyDescent="0.3">
      <c r="A466" t="s">
        <v>614</v>
      </c>
      <c r="B466" t="s">
        <v>450</v>
      </c>
      <c r="C466" t="s">
        <v>560</v>
      </c>
      <c r="D466" s="1">
        <v>45035</v>
      </c>
      <c r="E466" s="1">
        <v>45065</v>
      </c>
      <c r="F466" t="s">
        <v>13</v>
      </c>
      <c r="G466">
        <v>16488340</v>
      </c>
      <c r="H466" s="1">
        <v>45077</v>
      </c>
      <c r="I466" t="s">
        <v>555</v>
      </c>
      <c r="J466" t="s">
        <v>556</v>
      </c>
      <c r="L466">
        <v>16488340</v>
      </c>
      <c r="M466">
        <f>IF(F466="INR",1,INDEX('rates'!$B$2:$C$522,MATCH(D466,'rates'!$A$2:$A$522,1),MATCH(F466&amp;"/INR",'rates'!$B$1:$C$1,0)))</f>
        <v>1</v>
      </c>
      <c r="N466">
        <f t="shared" si="35"/>
        <v>16488340</v>
      </c>
      <c r="O466">
        <f t="shared" si="36"/>
        <v>0</v>
      </c>
      <c r="P466">
        <f t="shared" si="37"/>
        <v>0</v>
      </c>
      <c r="Q466">
        <f t="shared" si="38"/>
        <v>12</v>
      </c>
      <c r="R466" t="str">
        <f t="shared" si="39"/>
        <v>Not open</v>
      </c>
    </row>
    <row r="467" spans="1:18" x14ac:dyDescent="0.3">
      <c r="A467" t="s">
        <v>615</v>
      </c>
      <c r="B467" t="s">
        <v>484</v>
      </c>
      <c r="C467" t="s">
        <v>560</v>
      </c>
      <c r="D467" s="1">
        <v>45035</v>
      </c>
      <c r="E467" s="1">
        <v>45095</v>
      </c>
      <c r="F467" t="s">
        <v>31</v>
      </c>
      <c r="G467">
        <v>28038.32</v>
      </c>
      <c r="H467" s="1">
        <v>45127</v>
      </c>
      <c r="I467" t="s">
        <v>555</v>
      </c>
      <c r="J467" t="s">
        <v>556</v>
      </c>
      <c r="L467">
        <v>28038.32</v>
      </c>
      <c r="M467">
        <f>IF(F467="INR",1,INDEX('rates'!$B$2:$C$522,MATCH(D467,'rates'!$A$2:$A$522,1),MATCH(F467&amp;"/INR",'rates'!$B$1:$C$1,0)))</f>
        <v>90.011799999999994</v>
      </c>
      <c r="N467">
        <f t="shared" si="35"/>
        <v>2523779.6521759997</v>
      </c>
      <c r="O467">
        <f t="shared" si="36"/>
        <v>0</v>
      </c>
      <c r="P467">
        <f t="shared" si="37"/>
        <v>0</v>
      </c>
      <c r="Q467">
        <f t="shared" si="38"/>
        <v>32</v>
      </c>
      <c r="R467" t="str">
        <f t="shared" si="39"/>
        <v>Not open</v>
      </c>
    </row>
    <row r="468" spans="1:18" x14ac:dyDescent="0.3">
      <c r="A468" t="s">
        <v>616</v>
      </c>
      <c r="B468" t="s">
        <v>94</v>
      </c>
      <c r="C468" t="s">
        <v>554</v>
      </c>
      <c r="D468" s="1">
        <v>45036</v>
      </c>
      <c r="E468" s="1">
        <v>45066</v>
      </c>
      <c r="F468" t="s">
        <v>13</v>
      </c>
      <c r="G468">
        <v>4911158</v>
      </c>
      <c r="H468" s="1">
        <v>45067</v>
      </c>
      <c r="I468" t="s">
        <v>555</v>
      </c>
      <c r="J468" t="s">
        <v>556</v>
      </c>
      <c r="L468">
        <v>4911158</v>
      </c>
      <c r="M468">
        <f>IF(F468="INR",1,INDEX('rates'!$B$2:$C$522,MATCH(D468,'rates'!$A$2:$A$522,1),MATCH(F468&amp;"/INR",'rates'!$B$1:$C$1,0)))</f>
        <v>1</v>
      </c>
      <c r="N468">
        <f t="shared" si="35"/>
        <v>4911158</v>
      </c>
      <c r="O468">
        <f t="shared" si="36"/>
        <v>0</v>
      </c>
      <c r="P468">
        <f t="shared" si="37"/>
        <v>0</v>
      </c>
      <c r="Q468">
        <f t="shared" si="38"/>
        <v>1</v>
      </c>
      <c r="R468" t="str">
        <f t="shared" si="39"/>
        <v>Not open</v>
      </c>
    </row>
    <row r="469" spans="1:18" x14ac:dyDescent="0.3">
      <c r="A469" t="s">
        <v>617</v>
      </c>
      <c r="B469" t="s">
        <v>22</v>
      </c>
      <c r="C469" t="s">
        <v>554</v>
      </c>
      <c r="D469" s="1">
        <v>45037</v>
      </c>
      <c r="E469" s="1">
        <v>45082</v>
      </c>
      <c r="F469" t="s">
        <v>13</v>
      </c>
      <c r="G469">
        <v>10566027</v>
      </c>
      <c r="H469" s="1">
        <v>45097</v>
      </c>
      <c r="I469" t="s">
        <v>555</v>
      </c>
      <c r="J469" t="s">
        <v>556</v>
      </c>
      <c r="L469">
        <v>10566027</v>
      </c>
      <c r="M469">
        <f>IF(F469="INR",1,INDEX('rates'!$B$2:$C$522,MATCH(D469,'rates'!$A$2:$A$522,1),MATCH(F469&amp;"/INR",'rates'!$B$1:$C$1,0)))</f>
        <v>1</v>
      </c>
      <c r="N469">
        <f t="shared" si="35"/>
        <v>10566027</v>
      </c>
      <c r="O469">
        <f t="shared" si="36"/>
        <v>0</v>
      </c>
      <c r="P469">
        <f t="shared" si="37"/>
        <v>0</v>
      </c>
      <c r="Q469">
        <f t="shared" si="38"/>
        <v>15</v>
      </c>
      <c r="R469" t="str">
        <f t="shared" si="39"/>
        <v>Not open</v>
      </c>
    </row>
    <row r="470" spans="1:18" x14ac:dyDescent="0.3">
      <c r="A470" t="s">
        <v>618</v>
      </c>
      <c r="B470" t="s">
        <v>33</v>
      </c>
      <c r="C470" t="s">
        <v>566</v>
      </c>
      <c r="D470" s="1">
        <v>45037</v>
      </c>
      <c r="E470" s="1">
        <v>45067</v>
      </c>
      <c r="F470" t="s">
        <v>36</v>
      </c>
      <c r="G470">
        <v>87645.33</v>
      </c>
      <c r="H470" s="1">
        <v>45089</v>
      </c>
      <c r="I470" t="s">
        <v>555</v>
      </c>
      <c r="J470" t="s">
        <v>573</v>
      </c>
      <c r="K470">
        <v>82.196799999999996</v>
      </c>
      <c r="L470">
        <v>87645.33</v>
      </c>
      <c r="M470">
        <f>IF(F470="INR",1,INDEX('rates'!$B$2:$C$522,MATCH(D470,'rates'!$A$2:$A$522,1),MATCH(F470&amp;"/INR",'rates'!$B$1:$C$1,0)))</f>
        <v>82.06</v>
      </c>
      <c r="N470">
        <f t="shared" si="35"/>
        <v>7192175.7798000006</v>
      </c>
      <c r="O470">
        <f t="shared" si="36"/>
        <v>0</v>
      </c>
      <c r="P470">
        <f t="shared" si="37"/>
        <v>0</v>
      </c>
      <c r="Q470">
        <f t="shared" si="38"/>
        <v>22</v>
      </c>
      <c r="R470" t="str">
        <f t="shared" si="39"/>
        <v>Not open</v>
      </c>
    </row>
    <row r="471" spans="1:18" x14ac:dyDescent="0.3">
      <c r="A471" t="s">
        <v>619</v>
      </c>
      <c r="B471" t="s">
        <v>258</v>
      </c>
      <c r="C471" t="s">
        <v>558</v>
      </c>
      <c r="D471" s="1">
        <v>45037</v>
      </c>
      <c r="E471" s="1">
        <v>45082</v>
      </c>
      <c r="F471" t="s">
        <v>13</v>
      </c>
      <c r="G471">
        <v>11354004</v>
      </c>
      <c r="H471" s="1">
        <v>45094</v>
      </c>
      <c r="I471" t="s">
        <v>555</v>
      </c>
      <c r="J471" t="s">
        <v>556</v>
      </c>
      <c r="L471">
        <v>11354004</v>
      </c>
      <c r="M471">
        <f>IF(F471="INR",1,INDEX('rates'!$B$2:$C$522,MATCH(D471,'rates'!$A$2:$A$522,1),MATCH(F471&amp;"/INR",'rates'!$B$1:$C$1,0)))</f>
        <v>1</v>
      </c>
      <c r="N471">
        <f t="shared" si="35"/>
        <v>11354004</v>
      </c>
      <c r="O471">
        <f t="shared" si="36"/>
        <v>0</v>
      </c>
      <c r="P471">
        <f t="shared" si="37"/>
        <v>0</v>
      </c>
      <c r="Q471">
        <f t="shared" si="38"/>
        <v>12</v>
      </c>
      <c r="R471" t="str">
        <f t="shared" si="39"/>
        <v>Not open</v>
      </c>
    </row>
    <row r="472" spans="1:18" x14ac:dyDescent="0.3">
      <c r="A472" t="s">
        <v>620</v>
      </c>
      <c r="B472" t="s">
        <v>496</v>
      </c>
      <c r="C472" t="s">
        <v>554</v>
      </c>
      <c r="D472" s="1">
        <v>45037</v>
      </c>
      <c r="E472" s="1">
        <v>45082</v>
      </c>
      <c r="F472" t="s">
        <v>13</v>
      </c>
      <c r="G472">
        <v>2579263</v>
      </c>
      <c r="H472" s="1">
        <v>45096</v>
      </c>
      <c r="I472" t="s">
        <v>555</v>
      </c>
      <c r="J472" t="s">
        <v>556</v>
      </c>
      <c r="L472">
        <v>2579263</v>
      </c>
      <c r="M472">
        <f>IF(F472="INR",1,INDEX('rates'!$B$2:$C$522,MATCH(D472,'rates'!$A$2:$A$522,1),MATCH(F472&amp;"/INR",'rates'!$B$1:$C$1,0)))</f>
        <v>1</v>
      </c>
      <c r="N472">
        <f t="shared" si="35"/>
        <v>2579263</v>
      </c>
      <c r="O472">
        <f t="shared" si="36"/>
        <v>0</v>
      </c>
      <c r="P472">
        <f t="shared" si="37"/>
        <v>0</v>
      </c>
      <c r="Q472">
        <f t="shared" si="38"/>
        <v>14</v>
      </c>
      <c r="R472" t="str">
        <f t="shared" si="39"/>
        <v>Not open</v>
      </c>
    </row>
    <row r="473" spans="1:18" x14ac:dyDescent="0.3">
      <c r="A473" t="s">
        <v>621</v>
      </c>
      <c r="B473" t="s">
        <v>124</v>
      </c>
      <c r="C473" t="s">
        <v>566</v>
      </c>
      <c r="D473" s="1">
        <v>45038</v>
      </c>
      <c r="E473" s="1">
        <v>45098</v>
      </c>
      <c r="F473" t="s">
        <v>31</v>
      </c>
      <c r="G473">
        <v>33664.46</v>
      </c>
      <c r="H473" s="1">
        <v>45134</v>
      </c>
      <c r="I473" t="s">
        <v>555</v>
      </c>
      <c r="J473" t="s">
        <v>573</v>
      </c>
      <c r="K473">
        <v>90.224500000000006</v>
      </c>
      <c r="L473">
        <v>33664.46</v>
      </c>
      <c r="M473">
        <f>IF(F473="INR",1,INDEX('rates'!$B$2:$C$522,MATCH(D473,'rates'!$A$2:$A$522,1),MATCH(F473&amp;"/INR",'rates'!$B$1:$C$1,0)))</f>
        <v>90.044399999999996</v>
      </c>
      <c r="N473">
        <f t="shared" si="35"/>
        <v>3031296.1020239997</v>
      </c>
      <c r="O473">
        <f t="shared" si="36"/>
        <v>0</v>
      </c>
      <c r="P473">
        <f t="shared" si="37"/>
        <v>0</v>
      </c>
      <c r="Q473">
        <f t="shared" si="38"/>
        <v>36</v>
      </c>
      <c r="R473" t="str">
        <f t="shared" si="39"/>
        <v>Not open</v>
      </c>
    </row>
    <row r="474" spans="1:18" x14ac:dyDescent="0.3">
      <c r="A474" t="s">
        <v>622</v>
      </c>
      <c r="B474" t="s">
        <v>154</v>
      </c>
      <c r="C474" t="s">
        <v>566</v>
      </c>
      <c r="D474" s="1">
        <v>45038</v>
      </c>
      <c r="E474" s="1">
        <v>45068</v>
      </c>
      <c r="F474" t="s">
        <v>13</v>
      </c>
      <c r="G474">
        <v>14070658</v>
      </c>
      <c r="H474" s="1">
        <v>45071</v>
      </c>
      <c r="I474" t="s">
        <v>555</v>
      </c>
      <c r="J474" t="s">
        <v>556</v>
      </c>
      <c r="L474">
        <v>14070658</v>
      </c>
      <c r="M474">
        <f>IF(F474="INR",1,INDEX('rates'!$B$2:$C$522,MATCH(D474,'rates'!$A$2:$A$522,1),MATCH(F474&amp;"/INR",'rates'!$B$1:$C$1,0)))</f>
        <v>1</v>
      </c>
      <c r="N474">
        <f t="shared" si="35"/>
        <v>14070658</v>
      </c>
      <c r="O474">
        <f t="shared" si="36"/>
        <v>0</v>
      </c>
      <c r="P474">
        <f t="shared" si="37"/>
        <v>0</v>
      </c>
      <c r="Q474">
        <f t="shared" si="38"/>
        <v>3</v>
      </c>
      <c r="R474" t="str">
        <f t="shared" si="39"/>
        <v>Not open</v>
      </c>
    </row>
    <row r="475" spans="1:18" x14ac:dyDescent="0.3">
      <c r="A475" t="s">
        <v>623</v>
      </c>
      <c r="B475" t="s">
        <v>192</v>
      </c>
      <c r="C475" t="s">
        <v>560</v>
      </c>
      <c r="D475" s="1">
        <v>45038</v>
      </c>
      <c r="E475" s="1">
        <v>45098</v>
      </c>
      <c r="F475" t="s">
        <v>13</v>
      </c>
      <c r="G475">
        <v>12591135</v>
      </c>
      <c r="H475" s="1">
        <v>45191</v>
      </c>
      <c r="I475" t="s">
        <v>555</v>
      </c>
      <c r="J475" t="s">
        <v>556</v>
      </c>
      <c r="L475">
        <v>12591135</v>
      </c>
      <c r="M475">
        <f>IF(F475="INR",1,INDEX('rates'!$B$2:$C$522,MATCH(D475,'rates'!$A$2:$A$522,1),MATCH(F475&amp;"/INR",'rates'!$B$1:$C$1,0)))</f>
        <v>1</v>
      </c>
      <c r="N475">
        <f t="shared" si="35"/>
        <v>12591135</v>
      </c>
      <c r="O475">
        <f t="shared" si="36"/>
        <v>0</v>
      </c>
      <c r="P475">
        <f t="shared" si="37"/>
        <v>0</v>
      </c>
      <c r="Q475">
        <f t="shared" si="38"/>
        <v>93</v>
      </c>
      <c r="R475" t="str">
        <f t="shared" si="39"/>
        <v>Not open</v>
      </c>
    </row>
    <row r="476" spans="1:18" x14ac:dyDescent="0.3">
      <c r="A476" t="s">
        <v>624</v>
      </c>
      <c r="B476" t="s">
        <v>270</v>
      </c>
      <c r="C476" t="s">
        <v>558</v>
      </c>
      <c r="D476" s="1">
        <v>45038</v>
      </c>
      <c r="E476" s="1">
        <v>45098</v>
      </c>
      <c r="F476" t="s">
        <v>31</v>
      </c>
      <c r="G476">
        <v>28928.6</v>
      </c>
      <c r="H476" s="1">
        <v>45132</v>
      </c>
      <c r="I476" t="s">
        <v>555</v>
      </c>
      <c r="J476" t="s">
        <v>556</v>
      </c>
      <c r="L476">
        <v>28928.6</v>
      </c>
      <c r="M476">
        <f>IF(F476="INR",1,INDEX('rates'!$B$2:$C$522,MATCH(D476,'rates'!$A$2:$A$522,1),MATCH(F476&amp;"/INR",'rates'!$B$1:$C$1,0)))</f>
        <v>90.044399999999996</v>
      </c>
      <c r="N476">
        <f t="shared" si="35"/>
        <v>2604858.4298399999</v>
      </c>
      <c r="O476">
        <f t="shared" si="36"/>
        <v>0</v>
      </c>
      <c r="P476">
        <f t="shared" si="37"/>
        <v>0</v>
      </c>
      <c r="Q476">
        <f t="shared" si="38"/>
        <v>34</v>
      </c>
      <c r="R476" t="str">
        <f t="shared" si="39"/>
        <v>Not open</v>
      </c>
    </row>
    <row r="477" spans="1:18" x14ac:dyDescent="0.3">
      <c r="A477" t="s">
        <v>625</v>
      </c>
      <c r="B477" t="s">
        <v>310</v>
      </c>
      <c r="C477" t="s">
        <v>558</v>
      </c>
      <c r="D477" s="1">
        <v>45038</v>
      </c>
      <c r="E477" s="1">
        <v>45098</v>
      </c>
      <c r="F477" t="s">
        <v>31</v>
      </c>
      <c r="G477">
        <v>53971.42</v>
      </c>
      <c r="H477" s="1">
        <v>45113</v>
      </c>
      <c r="I477" t="s">
        <v>555</v>
      </c>
      <c r="J477" t="s">
        <v>556</v>
      </c>
      <c r="L477">
        <v>53971.42</v>
      </c>
      <c r="M477">
        <f>IF(F477="INR",1,INDEX('rates'!$B$2:$C$522,MATCH(D477,'rates'!$A$2:$A$522,1),MATCH(F477&amp;"/INR",'rates'!$B$1:$C$1,0)))</f>
        <v>90.044399999999996</v>
      </c>
      <c r="N477">
        <f t="shared" si="35"/>
        <v>4859824.1310479995</v>
      </c>
      <c r="O477">
        <f t="shared" si="36"/>
        <v>0</v>
      </c>
      <c r="P477">
        <f t="shared" si="37"/>
        <v>0</v>
      </c>
      <c r="Q477">
        <f t="shared" si="38"/>
        <v>15</v>
      </c>
      <c r="R477" t="str">
        <f t="shared" si="39"/>
        <v>Not open</v>
      </c>
    </row>
    <row r="478" spans="1:18" x14ac:dyDescent="0.3">
      <c r="A478" t="s">
        <v>626</v>
      </c>
      <c r="B478" t="s">
        <v>314</v>
      </c>
      <c r="C478" t="s">
        <v>575</v>
      </c>
      <c r="D478" s="1">
        <v>45038</v>
      </c>
      <c r="E478" s="1">
        <v>45098</v>
      </c>
      <c r="F478" t="s">
        <v>36</v>
      </c>
      <c r="G478">
        <v>70491.03</v>
      </c>
      <c r="H478" s="1">
        <v>45134</v>
      </c>
      <c r="I478" t="s">
        <v>555</v>
      </c>
      <c r="J478" t="s">
        <v>556</v>
      </c>
      <c r="L478">
        <v>70491.03</v>
      </c>
      <c r="M478">
        <f>IF(F478="INR",1,INDEX('rates'!$B$2:$C$522,MATCH(D478,'rates'!$A$2:$A$522,1),MATCH(F478&amp;"/INR",'rates'!$B$1:$C$1,0)))</f>
        <v>82.06</v>
      </c>
      <c r="N478">
        <f t="shared" si="35"/>
        <v>5784493.9217999997</v>
      </c>
      <c r="O478">
        <f t="shared" si="36"/>
        <v>0</v>
      </c>
      <c r="P478">
        <f t="shared" si="37"/>
        <v>0</v>
      </c>
      <c r="Q478">
        <f t="shared" si="38"/>
        <v>36</v>
      </c>
      <c r="R478" t="str">
        <f t="shared" si="39"/>
        <v>Not open</v>
      </c>
    </row>
    <row r="479" spans="1:18" x14ac:dyDescent="0.3">
      <c r="A479" t="s">
        <v>627</v>
      </c>
      <c r="B479" t="s">
        <v>100</v>
      </c>
      <c r="C479" t="s">
        <v>566</v>
      </c>
      <c r="D479" s="1">
        <v>45040</v>
      </c>
      <c r="E479" s="1">
        <v>45130</v>
      </c>
      <c r="F479" t="s">
        <v>13</v>
      </c>
      <c r="G479">
        <v>6124425</v>
      </c>
      <c r="H479" s="1">
        <v>45131</v>
      </c>
      <c r="I479" t="s">
        <v>555</v>
      </c>
      <c r="J479" t="s">
        <v>556</v>
      </c>
      <c r="L479">
        <v>6124425</v>
      </c>
      <c r="M479">
        <f>IF(F479="INR",1,INDEX('rates'!$B$2:$C$522,MATCH(D479,'rates'!$A$2:$A$522,1),MATCH(F479&amp;"/INR",'rates'!$B$1:$C$1,0)))</f>
        <v>1</v>
      </c>
      <c r="N479">
        <f t="shared" si="35"/>
        <v>6124425</v>
      </c>
      <c r="O479">
        <f t="shared" si="36"/>
        <v>0</v>
      </c>
      <c r="P479">
        <f t="shared" si="37"/>
        <v>0</v>
      </c>
      <c r="Q479">
        <f t="shared" si="38"/>
        <v>1</v>
      </c>
      <c r="R479" t="str">
        <f t="shared" si="39"/>
        <v>Not open</v>
      </c>
    </row>
    <row r="480" spans="1:18" x14ac:dyDescent="0.3">
      <c r="A480" t="s">
        <v>628</v>
      </c>
      <c r="B480" t="s">
        <v>117</v>
      </c>
      <c r="C480" t="s">
        <v>554</v>
      </c>
      <c r="D480" s="1">
        <v>45040</v>
      </c>
      <c r="E480" s="1">
        <v>45100</v>
      </c>
      <c r="F480" t="s">
        <v>13</v>
      </c>
      <c r="G480">
        <v>1468585</v>
      </c>
      <c r="H480" s="1">
        <v>45108</v>
      </c>
      <c r="I480" t="s">
        <v>555</v>
      </c>
      <c r="J480" t="s">
        <v>556</v>
      </c>
      <c r="L480">
        <v>1468585</v>
      </c>
      <c r="M480">
        <f>IF(F480="INR",1,INDEX('rates'!$B$2:$C$522,MATCH(D480,'rates'!$A$2:$A$522,1),MATCH(F480&amp;"/INR",'rates'!$B$1:$C$1,0)))</f>
        <v>1</v>
      </c>
      <c r="N480">
        <f t="shared" si="35"/>
        <v>1468585</v>
      </c>
      <c r="O480">
        <f t="shared" si="36"/>
        <v>0</v>
      </c>
      <c r="P480">
        <f t="shared" si="37"/>
        <v>0</v>
      </c>
      <c r="Q480">
        <f t="shared" si="38"/>
        <v>8</v>
      </c>
      <c r="R480" t="str">
        <f t="shared" si="39"/>
        <v>Not open</v>
      </c>
    </row>
    <row r="481" spans="1:18" x14ac:dyDescent="0.3">
      <c r="A481" t="s">
        <v>629</v>
      </c>
      <c r="B481" t="s">
        <v>238</v>
      </c>
      <c r="C481" t="s">
        <v>566</v>
      </c>
      <c r="D481" s="1">
        <v>45040</v>
      </c>
      <c r="E481" s="1">
        <v>45100</v>
      </c>
      <c r="F481" t="s">
        <v>31</v>
      </c>
      <c r="G481">
        <v>32336.17</v>
      </c>
      <c r="H481" s="1">
        <v>45103</v>
      </c>
      <c r="I481" t="s">
        <v>555</v>
      </c>
      <c r="J481" t="s">
        <v>573</v>
      </c>
      <c r="K481">
        <v>90.491699999999994</v>
      </c>
      <c r="L481">
        <v>32336.17</v>
      </c>
      <c r="M481">
        <f>IF(F481="INR",1,INDEX('rates'!$B$2:$C$522,MATCH(D481,'rates'!$A$2:$A$522,1),MATCH(F481&amp;"/INR",'rates'!$B$1:$C$1,0)))</f>
        <v>90.311099999999996</v>
      </c>
      <c r="N481">
        <f t="shared" si="35"/>
        <v>2920315.0824869997</v>
      </c>
      <c r="O481">
        <f t="shared" si="36"/>
        <v>0</v>
      </c>
      <c r="P481">
        <f t="shared" si="37"/>
        <v>0</v>
      </c>
      <c r="Q481">
        <f t="shared" si="38"/>
        <v>3</v>
      </c>
      <c r="R481" t="str">
        <f t="shared" si="39"/>
        <v>Not open</v>
      </c>
    </row>
    <row r="482" spans="1:18" x14ac:dyDescent="0.3">
      <c r="A482" t="s">
        <v>630</v>
      </c>
      <c r="B482" t="s">
        <v>432</v>
      </c>
      <c r="C482" t="s">
        <v>560</v>
      </c>
      <c r="D482" s="1">
        <v>45040</v>
      </c>
      <c r="E482" s="1">
        <v>45130</v>
      </c>
      <c r="F482" t="s">
        <v>36</v>
      </c>
      <c r="G482">
        <v>85290.54</v>
      </c>
      <c r="H482" s="1">
        <v>45134</v>
      </c>
      <c r="I482" t="s">
        <v>555</v>
      </c>
      <c r="J482" t="s">
        <v>556</v>
      </c>
      <c r="L482">
        <v>85290.54</v>
      </c>
      <c r="M482">
        <f>IF(F482="INR",1,INDEX('rates'!$B$2:$C$522,MATCH(D482,'rates'!$A$2:$A$522,1),MATCH(F482&amp;"/INR",'rates'!$B$1:$C$1,0)))</f>
        <v>81.900000000000006</v>
      </c>
      <c r="N482">
        <f t="shared" si="35"/>
        <v>6985295.2259999998</v>
      </c>
      <c r="O482">
        <f t="shared" si="36"/>
        <v>0</v>
      </c>
      <c r="P482">
        <f t="shared" si="37"/>
        <v>0</v>
      </c>
      <c r="Q482">
        <f t="shared" si="38"/>
        <v>4</v>
      </c>
      <c r="R482" t="str">
        <f t="shared" si="39"/>
        <v>Not open</v>
      </c>
    </row>
    <row r="483" spans="1:18" x14ac:dyDescent="0.3">
      <c r="A483" t="s">
        <v>631</v>
      </c>
      <c r="B483" t="s">
        <v>476</v>
      </c>
      <c r="C483" t="s">
        <v>566</v>
      </c>
      <c r="D483" s="1">
        <v>45040</v>
      </c>
      <c r="E483" s="1">
        <v>45085</v>
      </c>
      <c r="F483" t="s">
        <v>13</v>
      </c>
      <c r="G483">
        <v>3354250</v>
      </c>
      <c r="H483" s="1">
        <v>45094</v>
      </c>
      <c r="I483" t="s">
        <v>555</v>
      </c>
      <c r="J483" t="s">
        <v>556</v>
      </c>
      <c r="L483">
        <v>3354250</v>
      </c>
      <c r="M483">
        <f>IF(F483="INR",1,INDEX('rates'!$B$2:$C$522,MATCH(D483,'rates'!$A$2:$A$522,1),MATCH(F483&amp;"/INR",'rates'!$B$1:$C$1,0)))</f>
        <v>1</v>
      </c>
      <c r="N483">
        <f t="shared" si="35"/>
        <v>3354250</v>
      </c>
      <c r="O483">
        <f t="shared" si="36"/>
        <v>0</v>
      </c>
      <c r="P483">
        <f t="shared" si="37"/>
        <v>0</v>
      </c>
      <c r="Q483">
        <f t="shared" si="38"/>
        <v>9</v>
      </c>
      <c r="R483" t="str">
        <f t="shared" si="39"/>
        <v>Not open</v>
      </c>
    </row>
    <row r="484" spans="1:18" x14ac:dyDescent="0.3">
      <c r="A484" t="s">
        <v>632</v>
      </c>
      <c r="B484" t="s">
        <v>522</v>
      </c>
      <c r="C484" t="s">
        <v>566</v>
      </c>
      <c r="D484" s="1">
        <v>45040</v>
      </c>
      <c r="E484" s="1">
        <v>45100</v>
      </c>
      <c r="F484" t="s">
        <v>31</v>
      </c>
      <c r="G484">
        <v>127875.43</v>
      </c>
      <c r="H484" s="1"/>
      <c r="I484" t="s">
        <v>555</v>
      </c>
      <c r="J484" t="s">
        <v>556</v>
      </c>
      <c r="L484">
        <v>127875.43</v>
      </c>
      <c r="M484">
        <f>IF(F484="INR",1,INDEX('rates'!$B$2:$C$522,MATCH(D484,'rates'!$A$2:$A$522,1),MATCH(F484&amp;"/INR",'rates'!$B$1:$C$1,0)))</f>
        <v>90.311099999999996</v>
      </c>
      <c r="N484">
        <f t="shared" si="35"/>
        <v>11548570.746273</v>
      </c>
      <c r="O484">
        <f t="shared" si="36"/>
        <v>0</v>
      </c>
      <c r="P484">
        <f t="shared" si="37"/>
        <v>0</v>
      </c>
      <c r="R484" t="str">
        <f t="shared" si="39"/>
        <v>Not open</v>
      </c>
    </row>
    <row r="485" spans="1:18" x14ac:dyDescent="0.3">
      <c r="A485" t="s">
        <v>633</v>
      </c>
      <c r="B485" t="s">
        <v>25</v>
      </c>
      <c r="C485" t="s">
        <v>560</v>
      </c>
      <c r="D485" s="1">
        <v>45041</v>
      </c>
      <c r="E485" s="1">
        <v>45071</v>
      </c>
      <c r="F485" t="s">
        <v>13</v>
      </c>
      <c r="G485">
        <v>10811846</v>
      </c>
      <c r="H485" s="1">
        <v>45071</v>
      </c>
      <c r="I485" t="s">
        <v>555</v>
      </c>
      <c r="J485" t="s">
        <v>556</v>
      </c>
      <c r="L485">
        <v>10811846</v>
      </c>
      <c r="M485">
        <f>IF(F485="INR",1,INDEX('rates'!$B$2:$C$522,MATCH(D485,'rates'!$A$2:$A$522,1),MATCH(F485&amp;"/INR",'rates'!$B$1:$C$1,0)))</f>
        <v>1</v>
      </c>
      <c r="N485">
        <f t="shared" si="35"/>
        <v>10811846</v>
      </c>
      <c r="O485">
        <f t="shared" si="36"/>
        <v>0</v>
      </c>
      <c r="P485">
        <f t="shared" si="37"/>
        <v>0</v>
      </c>
      <c r="Q485">
        <f t="shared" ref="Q485:Q516" si="40">IF(H485="","",H485-E485)</f>
        <v>0</v>
      </c>
      <c r="R485" t="str">
        <f t="shared" si="39"/>
        <v>Not open</v>
      </c>
    </row>
    <row r="486" spans="1:18" x14ac:dyDescent="0.3">
      <c r="A486" t="s">
        <v>634</v>
      </c>
      <c r="B486" t="s">
        <v>154</v>
      </c>
      <c r="C486" t="s">
        <v>566</v>
      </c>
      <c r="D486" s="1">
        <v>45041</v>
      </c>
      <c r="E486" s="1">
        <v>45071</v>
      </c>
      <c r="F486" t="s">
        <v>13</v>
      </c>
      <c r="G486">
        <v>14173041</v>
      </c>
      <c r="H486" s="1">
        <v>45068</v>
      </c>
      <c r="I486" t="s">
        <v>555</v>
      </c>
      <c r="J486" t="s">
        <v>556</v>
      </c>
      <c r="L486">
        <v>14173041</v>
      </c>
      <c r="M486">
        <f>IF(F486="INR",1,INDEX('rates'!$B$2:$C$522,MATCH(D486,'rates'!$A$2:$A$522,1),MATCH(F486&amp;"/INR",'rates'!$B$1:$C$1,0)))</f>
        <v>1</v>
      </c>
      <c r="N486">
        <f t="shared" si="35"/>
        <v>14173041</v>
      </c>
      <c r="O486">
        <f t="shared" si="36"/>
        <v>0</v>
      </c>
      <c r="P486">
        <f t="shared" si="37"/>
        <v>0</v>
      </c>
      <c r="Q486">
        <f t="shared" si="40"/>
        <v>-3</v>
      </c>
      <c r="R486" t="str">
        <f t="shared" si="39"/>
        <v>Not open</v>
      </c>
    </row>
    <row r="487" spans="1:18" x14ac:dyDescent="0.3">
      <c r="A487" t="s">
        <v>635</v>
      </c>
      <c r="B487" t="s">
        <v>406</v>
      </c>
      <c r="C487" t="s">
        <v>554</v>
      </c>
      <c r="D487" s="1">
        <v>45041</v>
      </c>
      <c r="E487" s="1">
        <v>45131</v>
      </c>
      <c r="F487" t="s">
        <v>13</v>
      </c>
      <c r="G487">
        <v>23414310</v>
      </c>
      <c r="H487" s="1">
        <v>45141</v>
      </c>
      <c r="I487" t="s">
        <v>555</v>
      </c>
      <c r="J487" t="s">
        <v>556</v>
      </c>
      <c r="L487">
        <v>23414310</v>
      </c>
      <c r="M487">
        <f>IF(F487="INR",1,INDEX('rates'!$B$2:$C$522,MATCH(D487,'rates'!$A$2:$A$522,1),MATCH(F487&amp;"/INR",'rates'!$B$1:$C$1,0)))</f>
        <v>1</v>
      </c>
      <c r="N487">
        <f t="shared" si="35"/>
        <v>23414310</v>
      </c>
      <c r="O487">
        <f t="shared" si="36"/>
        <v>0</v>
      </c>
      <c r="P487">
        <f t="shared" si="37"/>
        <v>0</v>
      </c>
      <c r="Q487">
        <f t="shared" si="40"/>
        <v>10</v>
      </c>
      <c r="R487" t="str">
        <f t="shared" si="39"/>
        <v>Not open</v>
      </c>
    </row>
    <row r="488" spans="1:18" x14ac:dyDescent="0.3">
      <c r="A488" t="s">
        <v>637</v>
      </c>
      <c r="B488" t="s">
        <v>156</v>
      </c>
      <c r="C488" t="s">
        <v>566</v>
      </c>
      <c r="D488" s="1">
        <v>45042</v>
      </c>
      <c r="E488" s="1">
        <v>45072</v>
      </c>
      <c r="F488" t="s">
        <v>13</v>
      </c>
      <c r="G488">
        <v>3068895</v>
      </c>
      <c r="H488" s="1">
        <v>45076</v>
      </c>
      <c r="I488" t="s">
        <v>555</v>
      </c>
      <c r="J488" t="s">
        <v>556</v>
      </c>
      <c r="L488">
        <v>3068895</v>
      </c>
      <c r="M488">
        <f>IF(F488="INR",1,INDEX('rates'!$B$2:$C$522,MATCH(D488,'rates'!$A$2:$A$522,1),MATCH(F488&amp;"/INR",'rates'!$B$1:$C$1,0)))</f>
        <v>1</v>
      </c>
      <c r="N488">
        <f t="shared" si="35"/>
        <v>3068895</v>
      </c>
      <c r="O488">
        <f t="shared" si="36"/>
        <v>0</v>
      </c>
      <c r="P488">
        <f t="shared" si="37"/>
        <v>0</v>
      </c>
      <c r="Q488">
        <f t="shared" si="40"/>
        <v>4</v>
      </c>
      <c r="R488" t="str">
        <f t="shared" si="39"/>
        <v>Not open</v>
      </c>
    </row>
    <row r="489" spans="1:18" x14ac:dyDescent="0.3">
      <c r="A489" t="s">
        <v>638</v>
      </c>
      <c r="B489" t="s">
        <v>65</v>
      </c>
      <c r="C489" t="s">
        <v>558</v>
      </c>
      <c r="D489" s="1">
        <v>45043</v>
      </c>
      <c r="E489" s="1">
        <v>45073</v>
      </c>
      <c r="F489" t="s">
        <v>13</v>
      </c>
      <c r="G489">
        <v>7184818</v>
      </c>
      <c r="H489" s="1">
        <v>45089</v>
      </c>
      <c r="I489" t="s">
        <v>555</v>
      </c>
      <c r="J489" t="s">
        <v>556</v>
      </c>
      <c r="L489">
        <v>7184818</v>
      </c>
      <c r="M489">
        <f>IF(F489="INR",1,INDEX('rates'!$B$2:$C$522,MATCH(D489,'rates'!$A$2:$A$522,1),MATCH(F489&amp;"/INR",'rates'!$B$1:$C$1,0)))</f>
        <v>1</v>
      </c>
      <c r="N489">
        <f t="shared" si="35"/>
        <v>7184818</v>
      </c>
      <c r="O489">
        <f t="shared" si="36"/>
        <v>0</v>
      </c>
      <c r="P489">
        <f t="shared" si="37"/>
        <v>0</v>
      </c>
      <c r="Q489">
        <f t="shared" si="40"/>
        <v>16</v>
      </c>
      <c r="R489" t="str">
        <f t="shared" si="39"/>
        <v>Not open</v>
      </c>
    </row>
    <row r="490" spans="1:18" x14ac:dyDescent="0.3">
      <c r="A490" t="s">
        <v>639</v>
      </c>
      <c r="B490" t="s">
        <v>140</v>
      </c>
      <c r="C490" t="s">
        <v>554</v>
      </c>
      <c r="D490" s="1">
        <v>45043</v>
      </c>
      <c r="E490" s="1">
        <v>45103</v>
      </c>
      <c r="F490" t="s">
        <v>13</v>
      </c>
      <c r="G490">
        <v>4222332</v>
      </c>
      <c r="H490" s="1">
        <v>45109</v>
      </c>
      <c r="I490" t="s">
        <v>555</v>
      </c>
      <c r="J490" t="s">
        <v>556</v>
      </c>
      <c r="L490">
        <v>4222332</v>
      </c>
      <c r="M490">
        <f>IF(F490="INR",1,INDEX('rates'!$B$2:$C$522,MATCH(D490,'rates'!$A$2:$A$522,1),MATCH(F490&amp;"/INR",'rates'!$B$1:$C$1,0)))</f>
        <v>1</v>
      </c>
      <c r="N490">
        <f t="shared" si="35"/>
        <v>4222332</v>
      </c>
      <c r="O490">
        <f t="shared" si="36"/>
        <v>0</v>
      </c>
      <c r="P490">
        <f t="shared" si="37"/>
        <v>0</v>
      </c>
      <c r="Q490">
        <f t="shared" si="40"/>
        <v>6</v>
      </c>
      <c r="R490" t="str">
        <f t="shared" si="39"/>
        <v>Not open</v>
      </c>
    </row>
    <row r="491" spans="1:18" x14ac:dyDescent="0.3">
      <c r="A491" t="s">
        <v>640</v>
      </c>
      <c r="B491" t="s">
        <v>156</v>
      </c>
      <c r="C491" t="s">
        <v>566</v>
      </c>
      <c r="D491" s="1">
        <v>45043</v>
      </c>
      <c r="E491" s="1">
        <v>45073</v>
      </c>
      <c r="F491" t="s">
        <v>13</v>
      </c>
      <c r="G491">
        <v>9168381</v>
      </c>
      <c r="H491" s="1">
        <v>45085</v>
      </c>
      <c r="I491" t="s">
        <v>555</v>
      </c>
      <c r="J491" t="s">
        <v>556</v>
      </c>
      <c r="L491">
        <v>9168381</v>
      </c>
      <c r="M491">
        <f>IF(F491="INR",1,INDEX('rates'!$B$2:$C$522,MATCH(D491,'rates'!$A$2:$A$522,1),MATCH(F491&amp;"/INR",'rates'!$B$1:$C$1,0)))</f>
        <v>1</v>
      </c>
      <c r="N491">
        <f t="shared" si="35"/>
        <v>9168381</v>
      </c>
      <c r="O491">
        <f t="shared" si="36"/>
        <v>0</v>
      </c>
      <c r="P491">
        <f t="shared" si="37"/>
        <v>0</v>
      </c>
      <c r="Q491">
        <f t="shared" si="40"/>
        <v>12</v>
      </c>
      <c r="R491" t="str">
        <f t="shared" si="39"/>
        <v>Not open</v>
      </c>
    </row>
    <row r="492" spans="1:18" x14ac:dyDescent="0.3">
      <c r="A492" t="s">
        <v>641</v>
      </c>
      <c r="B492" t="s">
        <v>496</v>
      </c>
      <c r="C492" t="s">
        <v>554</v>
      </c>
      <c r="D492" s="1">
        <v>45043</v>
      </c>
      <c r="E492" s="1">
        <v>45088</v>
      </c>
      <c r="F492" t="s">
        <v>13</v>
      </c>
      <c r="G492">
        <v>2669040</v>
      </c>
      <c r="H492" s="1">
        <v>45092</v>
      </c>
      <c r="I492" t="s">
        <v>555</v>
      </c>
      <c r="J492" t="s">
        <v>556</v>
      </c>
      <c r="L492">
        <v>2669040</v>
      </c>
      <c r="M492">
        <f>IF(F492="INR",1,INDEX('rates'!$B$2:$C$522,MATCH(D492,'rates'!$A$2:$A$522,1),MATCH(F492&amp;"/INR",'rates'!$B$1:$C$1,0)))</f>
        <v>1</v>
      </c>
      <c r="N492">
        <f t="shared" si="35"/>
        <v>2669040</v>
      </c>
      <c r="O492">
        <f t="shared" si="36"/>
        <v>0</v>
      </c>
      <c r="P492">
        <f t="shared" si="37"/>
        <v>0</v>
      </c>
      <c r="Q492">
        <f t="shared" si="40"/>
        <v>4</v>
      </c>
      <c r="R492" t="str">
        <f t="shared" si="39"/>
        <v>Not open</v>
      </c>
    </row>
    <row r="493" spans="1:18" x14ac:dyDescent="0.3">
      <c r="A493" t="s">
        <v>642</v>
      </c>
      <c r="B493" t="s">
        <v>418</v>
      </c>
      <c r="C493" t="s">
        <v>558</v>
      </c>
      <c r="D493" s="1">
        <v>45044</v>
      </c>
      <c r="E493" s="1">
        <v>45089</v>
      </c>
      <c r="F493" t="s">
        <v>13</v>
      </c>
      <c r="G493">
        <v>4984959</v>
      </c>
      <c r="H493" s="1">
        <v>45169</v>
      </c>
      <c r="I493" t="s">
        <v>555</v>
      </c>
      <c r="J493" t="s">
        <v>556</v>
      </c>
      <c r="L493">
        <v>4984959</v>
      </c>
      <c r="M493">
        <f>IF(F493="INR",1,INDEX('rates'!$B$2:$C$522,MATCH(D493,'rates'!$A$2:$A$522,1),MATCH(F493&amp;"/INR",'rates'!$B$1:$C$1,0)))</f>
        <v>1</v>
      </c>
      <c r="N493">
        <f t="shared" si="35"/>
        <v>4984959</v>
      </c>
      <c r="O493">
        <f t="shared" si="36"/>
        <v>0</v>
      </c>
      <c r="P493">
        <f t="shared" si="37"/>
        <v>0</v>
      </c>
      <c r="Q493">
        <f t="shared" si="40"/>
        <v>80</v>
      </c>
      <c r="R493" t="str">
        <f t="shared" si="39"/>
        <v>Not open</v>
      </c>
    </row>
    <row r="494" spans="1:18" x14ac:dyDescent="0.3">
      <c r="A494" t="s">
        <v>643</v>
      </c>
      <c r="B494" t="s">
        <v>466</v>
      </c>
      <c r="C494" t="s">
        <v>558</v>
      </c>
      <c r="D494" s="1">
        <v>45044</v>
      </c>
      <c r="E494" s="1">
        <v>45104</v>
      </c>
      <c r="F494" t="s">
        <v>31</v>
      </c>
      <c r="G494">
        <v>39954.11</v>
      </c>
      <c r="H494" s="1">
        <v>45112</v>
      </c>
      <c r="I494" t="s">
        <v>555</v>
      </c>
      <c r="J494" t="s">
        <v>556</v>
      </c>
      <c r="L494">
        <v>39954.11</v>
      </c>
      <c r="M494">
        <f>IF(F494="INR",1,INDEX('rates'!$B$2:$C$522,MATCH(D494,'rates'!$A$2:$A$522,1),MATCH(F494&amp;"/INR",'rates'!$B$1:$C$1,0)))</f>
        <v>90.351399999999998</v>
      </c>
      <c r="N494">
        <f t="shared" si="35"/>
        <v>3609909.7742539998</v>
      </c>
      <c r="O494">
        <f t="shared" si="36"/>
        <v>0</v>
      </c>
      <c r="P494">
        <f t="shared" si="37"/>
        <v>0</v>
      </c>
      <c r="Q494">
        <f t="shared" si="40"/>
        <v>8</v>
      </c>
      <c r="R494" t="str">
        <f t="shared" si="39"/>
        <v>Not open</v>
      </c>
    </row>
    <row r="495" spans="1:18" x14ac:dyDescent="0.3">
      <c r="A495" t="s">
        <v>644</v>
      </c>
      <c r="B495" t="s">
        <v>190</v>
      </c>
      <c r="C495" t="s">
        <v>558</v>
      </c>
      <c r="D495" s="1">
        <v>45045</v>
      </c>
      <c r="E495" s="1">
        <v>45075</v>
      </c>
      <c r="F495" t="s">
        <v>13</v>
      </c>
      <c r="G495">
        <v>22900835</v>
      </c>
      <c r="H495" s="1">
        <v>45106</v>
      </c>
      <c r="I495" t="s">
        <v>555</v>
      </c>
      <c r="J495" t="s">
        <v>556</v>
      </c>
      <c r="L495">
        <v>22900835</v>
      </c>
      <c r="M495">
        <f>IF(F495="INR",1,INDEX('rates'!$B$2:$C$522,MATCH(D495,'rates'!$A$2:$A$522,1),MATCH(F495&amp;"/INR",'rates'!$B$1:$C$1,0)))</f>
        <v>1</v>
      </c>
      <c r="N495">
        <f t="shared" si="35"/>
        <v>22900835</v>
      </c>
      <c r="O495">
        <f t="shared" si="36"/>
        <v>0</v>
      </c>
      <c r="P495">
        <f t="shared" si="37"/>
        <v>0</v>
      </c>
      <c r="Q495">
        <f t="shared" si="40"/>
        <v>31</v>
      </c>
      <c r="R495" t="str">
        <f t="shared" si="39"/>
        <v>Not open</v>
      </c>
    </row>
    <row r="496" spans="1:18" x14ac:dyDescent="0.3">
      <c r="A496" t="s">
        <v>645</v>
      </c>
      <c r="B496" t="s">
        <v>488</v>
      </c>
      <c r="C496" t="s">
        <v>558</v>
      </c>
      <c r="D496" s="1">
        <v>45045</v>
      </c>
      <c r="E496" s="1">
        <v>45075</v>
      </c>
      <c r="F496" t="s">
        <v>31</v>
      </c>
      <c r="G496">
        <v>100113.29</v>
      </c>
      <c r="H496" s="1">
        <v>45084</v>
      </c>
      <c r="I496" t="s">
        <v>555</v>
      </c>
      <c r="J496" t="s">
        <v>556</v>
      </c>
      <c r="L496">
        <v>100113.29</v>
      </c>
      <c r="M496">
        <f>IF(F496="INR",1,INDEX('rates'!$B$2:$C$522,MATCH(D496,'rates'!$A$2:$A$522,1),MATCH(F496&amp;"/INR",'rates'!$B$1:$C$1,0)))</f>
        <v>90.351399999999998</v>
      </c>
      <c r="N496">
        <f t="shared" si="35"/>
        <v>9045375.9101059996</v>
      </c>
      <c r="O496">
        <f t="shared" si="36"/>
        <v>0</v>
      </c>
      <c r="P496">
        <f t="shared" si="37"/>
        <v>0</v>
      </c>
      <c r="Q496">
        <f t="shared" si="40"/>
        <v>9</v>
      </c>
      <c r="R496" t="str">
        <f t="shared" si="39"/>
        <v>Not open</v>
      </c>
    </row>
    <row r="497" spans="1:18" x14ac:dyDescent="0.3">
      <c r="A497" t="s">
        <v>646</v>
      </c>
      <c r="B497" t="s">
        <v>512</v>
      </c>
      <c r="C497" t="s">
        <v>558</v>
      </c>
      <c r="D497" s="1">
        <v>45045</v>
      </c>
      <c r="E497" s="1">
        <v>45105</v>
      </c>
      <c r="F497" t="s">
        <v>31</v>
      </c>
      <c r="G497">
        <v>115178.06</v>
      </c>
      <c r="H497" s="1">
        <v>45219</v>
      </c>
      <c r="I497" t="s">
        <v>555</v>
      </c>
      <c r="J497" t="s">
        <v>556</v>
      </c>
      <c r="L497">
        <v>115178.06</v>
      </c>
      <c r="M497">
        <f>IF(F497="INR",1,INDEX('rates'!$B$2:$C$522,MATCH(D497,'rates'!$A$2:$A$522,1),MATCH(F497&amp;"/INR",'rates'!$B$1:$C$1,0)))</f>
        <v>90.351399999999998</v>
      </c>
      <c r="N497">
        <f t="shared" si="35"/>
        <v>10406498.970284</v>
      </c>
      <c r="O497">
        <f t="shared" si="36"/>
        <v>0</v>
      </c>
      <c r="P497">
        <f t="shared" si="37"/>
        <v>0</v>
      </c>
      <c r="Q497">
        <f t="shared" si="40"/>
        <v>114</v>
      </c>
      <c r="R497" t="str">
        <f t="shared" si="39"/>
        <v>Not open</v>
      </c>
    </row>
    <row r="498" spans="1:18" x14ac:dyDescent="0.3">
      <c r="A498" t="s">
        <v>647</v>
      </c>
      <c r="B498" t="s">
        <v>160</v>
      </c>
      <c r="C498" t="s">
        <v>558</v>
      </c>
      <c r="D498" s="1">
        <v>45047</v>
      </c>
      <c r="E498" s="1">
        <v>45092</v>
      </c>
      <c r="F498" t="s">
        <v>13</v>
      </c>
      <c r="G498">
        <v>3929798</v>
      </c>
      <c r="H498" s="1">
        <v>45091</v>
      </c>
      <c r="I498" t="s">
        <v>555</v>
      </c>
      <c r="J498" t="s">
        <v>556</v>
      </c>
      <c r="L498">
        <v>3929798</v>
      </c>
      <c r="M498">
        <f>IF(F498="INR",1,INDEX('rates'!$B$2:$C$522,MATCH(D498,'rates'!$A$2:$A$522,1),MATCH(F498&amp;"/INR",'rates'!$B$1:$C$1,0)))</f>
        <v>1</v>
      </c>
      <c r="N498">
        <f t="shared" si="35"/>
        <v>3929798</v>
      </c>
      <c r="O498">
        <f t="shared" si="36"/>
        <v>0</v>
      </c>
      <c r="P498">
        <f t="shared" si="37"/>
        <v>0</v>
      </c>
      <c r="Q498">
        <f t="shared" si="40"/>
        <v>-1</v>
      </c>
      <c r="R498" t="str">
        <f t="shared" si="39"/>
        <v>Not open</v>
      </c>
    </row>
    <row r="499" spans="1:18" x14ac:dyDescent="0.3">
      <c r="A499" t="s">
        <v>648</v>
      </c>
      <c r="B499" t="s">
        <v>262</v>
      </c>
      <c r="C499" t="s">
        <v>566</v>
      </c>
      <c r="D499" s="1">
        <v>45047</v>
      </c>
      <c r="E499" s="1">
        <v>45137</v>
      </c>
      <c r="F499" t="s">
        <v>31</v>
      </c>
      <c r="G499">
        <v>77541.09</v>
      </c>
      <c r="H499" s="1">
        <v>45209</v>
      </c>
      <c r="I499" t="s">
        <v>555</v>
      </c>
      <c r="J499" t="s">
        <v>573</v>
      </c>
      <c r="K499">
        <v>90.047799999999995</v>
      </c>
      <c r="L499">
        <v>77541.09</v>
      </c>
      <c r="M499">
        <f>IF(F499="INR",1,INDEX('rates'!$B$2:$C$522,MATCH(D499,'rates'!$A$2:$A$522,1),MATCH(F499&amp;"/INR",'rates'!$B$1:$C$1,0)))</f>
        <v>89.778499999999994</v>
      </c>
      <c r="N499">
        <f t="shared" si="35"/>
        <v>6961522.7485649996</v>
      </c>
      <c r="O499">
        <f t="shared" si="36"/>
        <v>0</v>
      </c>
      <c r="P499">
        <f t="shared" si="37"/>
        <v>0</v>
      </c>
      <c r="Q499">
        <f t="shared" si="40"/>
        <v>72</v>
      </c>
      <c r="R499" t="str">
        <f t="shared" si="39"/>
        <v>Not open</v>
      </c>
    </row>
    <row r="500" spans="1:18" x14ac:dyDescent="0.3">
      <c r="A500" t="s">
        <v>649</v>
      </c>
      <c r="B500" t="s">
        <v>406</v>
      </c>
      <c r="C500" t="s">
        <v>554</v>
      </c>
      <c r="D500" s="1">
        <v>45047</v>
      </c>
      <c r="E500" s="1">
        <v>45137</v>
      </c>
      <c r="F500" t="s">
        <v>13</v>
      </c>
      <c r="G500">
        <v>15846562</v>
      </c>
      <c r="H500" s="1">
        <v>45139</v>
      </c>
      <c r="I500" t="s">
        <v>555</v>
      </c>
      <c r="J500" t="s">
        <v>556</v>
      </c>
      <c r="L500">
        <v>15846562</v>
      </c>
      <c r="M500">
        <f>IF(F500="INR",1,INDEX('rates'!$B$2:$C$522,MATCH(D500,'rates'!$A$2:$A$522,1),MATCH(F500&amp;"/INR",'rates'!$B$1:$C$1,0)))</f>
        <v>1</v>
      </c>
      <c r="N500">
        <f t="shared" si="35"/>
        <v>15846562</v>
      </c>
      <c r="O500">
        <f t="shared" si="36"/>
        <v>0</v>
      </c>
      <c r="P500">
        <f t="shared" si="37"/>
        <v>0</v>
      </c>
      <c r="Q500">
        <f t="shared" si="40"/>
        <v>2</v>
      </c>
      <c r="R500" t="str">
        <f t="shared" si="39"/>
        <v>Not open</v>
      </c>
    </row>
    <row r="501" spans="1:18" x14ac:dyDescent="0.3">
      <c r="A501" t="s">
        <v>650</v>
      </c>
      <c r="B501" t="s">
        <v>422</v>
      </c>
      <c r="C501" t="s">
        <v>575</v>
      </c>
      <c r="D501" s="1">
        <v>45047</v>
      </c>
      <c r="E501" s="1">
        <v>45092</v>
      </c>
      <c r="F501" t="s">
        <v>31</v>
      </c>
      <c r="G501">
        <v>113552.32000000001</v>
      </c>
      <c r="H501" s="1">
        <v>45099</v>
      </c>
      <c r="I501" t="s">
        <v>555</v>
      </c>
      <c r="J501" t="s">
        <v>573</v>
      </c>
      <c r="K501">
        <v>89.913200000000003</v>
      </c>
      <c r="L501">
        <v>113552.32000000001</v>
      </c>
      <c r="M501">
        <f>IF(F501="INR",1,INDEX('rates'!$B$2:$C$522,MATCH(D501,'rates'!$A$2:$A$522,1),MATCH(F501&amp;"/INR",'rates'!$B$1:$C$1,0)))</f>
        <v>89.778499999999994</v>
      </c>
      <c r="N501">
        <f t="shared" si="35"/>
        <v>10194556.96112</v>
      </c>
      <c r="O501">
        <f t="shared" si="36"/>
        <v>0</v>
      </c>
      <c r="P501">
        <f t="shared" si="37"/>
        <v>0</v>
      </c>
      <c r="Q501">
        <f t="shared" si="40"/>
        <v>7</v>
      </c>
      <c r="R501" t="str">
        <f t="shared" si="39"/>
        <v>Not open</v>
      </c>
    </row>
    <row r="502" spans="1:18" x14ac:dyDescent="0.3">
      <c r="A502" t="s">
        <v>651</v>
      </c>
      <c r="B502" t="s">
        <v>512</v>
      </c>
      <c r="C502" t="s">
        <v>558</v>
      </c>
      <c r="D502" s="1">
        <v>45048</v>
      </c>
      <c r="E502" s="1">
        <v>45108</v>
      </c>
      <c r="F502" t="s">
        <v>31</v>
      </c>
      <c r="G502">
        <v>54279.11</v>
      </c>
      <c r="H502" s="1">
        <v>45148</v>
      </c>
      <c r="I502" t="s">
        <v>555</v>
      </c>
      <c r="J502" t="s">
        <v>573</v>
      </c>
      <c r="K502">
        <v>90.234499999999997</v>
      </c>
      <c r="L502">
        <v>54279.11</v>
      </c>
      <c r="M502">
        <f>IF(F502="INR",1,INDEX('rates'!$B$2:$C$522,MATCH(D502,'rates'!$A$2:$A$522,1),MATCH(F502&amp;"/INR",'rates'!$B$1:$C$1,0)))</f>
        <v>90.054400000000001</v>
      </c>
      <c r="N502">
        <f t="shared" si="35"/>
        <v>4888072.683584</v>
      </c>
      <c r="O502">
        <f t="shared" si="36"/>
        <v>0</v>
      </c>
      <c r="P502">
        <f t="shared" si="37"/>
        <v>0</v>
      </c>
      <c r="Q502">
        <f t="shared" si="40"/>
        <v>40</v>
      </c>
      <c r="R502" t="str">
        <f t="shared" si="39"/>
        <v>Not open</v>
      </c>
    </row>
    <row r="503" spans="1:18" x14ac:dyDescent="0.3">
      <c r="A503" t="s">
        <v>652</v>
      </c>
      <c r="B503" t="s">
        <v>138</v>
      </c>
      <c r="C503" t="s">
        <v>566</v>
      </c>
      <c r="D503" s="1">
        <v>45049</v>
      </c>
      <c r="E503" s="1">
        <v>45079</v>
      </c>
      <c r="F503" t="s">
        <v>13</v>
      </c>
      <c r="G503">
        <v>2610087</v>
      </c>
      <c r="H503" s="1">
        <v>45079</v>
      </c>
      <c r="I503" t="s">
        <v>555</v>
      </c>
      <c r="J503" t="s">
        <v>556</v>
      </c>
      <c r="L503">
        <v>2610087</v>
      </c>
      <c r="M503">
        <f>IF(F503="INR",1,INDEX('rates'!$B$2:$C$522,MATCH(D503,'rates'!$A$2:$A$522,1),MATCH(F503&amp;"/INR",'rates'!$B$1:$C$1,0)))</f>
        <v>1</v>
      </c>
      <c r="N503">
        <f t="shared" si="35"/>
        <v>2610087</v>
      </c>
      <c r="O503">
        <f t="shared" si="36"/>
        <v>0</v>
      </c>
      <c r="P503">
        <f t="shared" si="37"/>
        <v>0</v>
      </c>
      <c r="Q503">
        <f t="shared" si="40"/>
        <v>0</v>
      </c>
      <c r="R503" t="str">
        <f t="shared" si="39"/>
        <v>Not open</v>
      </c>
    </row>
    <row r="504" spans="1:18" x14ac:dyDescent="0.3">
      <c r="A504" t="s">
        <v>653</v>
      </c>
      <c r="B504" t="s">
        <v>322</v>
      </c>
      <c r="C504" t="s">
        <v>566</v>
      </c>
      <c r="D504" s="1">
        <v>45049</v>
      </c>
      <c r="E504" s="1">
        <v>45109</v>
      </c>
      <c r="F504" t="s">
        <v>13</v>
      </c>
      <c r="G504">
        <v>5041679</v>
      </c>
      <c r="H504" s="1">
        <v>45117</v>
      </c>
      <c r="I504" t="s">
        <v>555</v>
      </c>
      <c r="J504" t="s">
        <v>556</v>
      </c>
      <c r="L504">
        <v>5041679</v>
      </c>
      <c r="M504">
        <f>IF(F504="INR",1,INDEX('rates'!$B$2:$C$522,MATCH(D504,'rates'!$A$2:$A$522,1),MATCH(F504&amp;"/INR",'rates'!$B$1:$C$1,0)))</f>
        <v>1</v>
      </c>
      <c r="N504">
        <f t="shared" si="35"/>
        <v>5041679</v>
      </c>
      <c r="O504">
        <f t="shared" si="36"/>
        <v>0</v>
      </c>
      <c r="P504">
        <f t="shared" si="37"/>
        <v>0</v>
      </c>
      <c r="Q504">
        <f t="shared" si="40"/>
        <v>8</v>
      </c>
      <c r="R504" t="str">
        <f t="shared" si="39"/>
        <v>Not open</v>
      </c>
    </row>
    <row r="505" spans="1:18" x14ac:dyDescent="0.3">
      <c r="A505" t="s">
        <v>654</v>
      </c>
      <c r="B505" t="s">
        <v>394</v>
      </c>
      <c r="C505" t="s">
        <v>566</v>
      </c>
      <c r="D505" s="1">
        <v>45049</v>
      </c>
      <c r="E505" s="1">
        <v>45109</v>
      </c>
      <c r="F505" t="s">
        <v>31</v>
      </c>
      <c r="G505">
        <v>76098.77</v>
      </c>
      <c r="H505" s="1">
        <v>45115</v>
      </c>
      <c r="I505" t="s">
        <v>555</v>
      </c>
      <c r="J505" t="s">
        <v>556</v>
      </c>
      <c r="L505">
        <v>76098.77</v>
      </c>
      <c r="M505">
        <f>IF(F505="INR",1,INDEX('rates'!$B$2:$C$522,MATCH(D505,'rates'!$A$2:$A$522,1),MATCH(F505&amp;"/INR",'rates'!$B$1:$C$1,0)))</f>
        <v>90.414000000000001</v>
      </c>
      <c r="N505">
        <f t="shared" si="35"/>
        <v>6880394.1907800008</v>
      </c>
      <c r="O505">
        <f t="shared" si="36"/>
        <v>0</v>
      </c>
      <c r="P505">
        <f t="shared" si="37"/>
        <v>0</v>
      </c>
      <c r="Q505">
        <f t="shared" si="40"/>
        <v>6</v>
      </c>
      <c r="R505" t="str">
        <f t="shared" si="39"/>
        <v>Not open</v>
      </c>
    </row>
    <row r="506" spans="1:18" x14ac:dyDescent="0.3">
      <c r="A506" t="s">
        <v>655</v>
      </c>
      <c r="B506" t="s">
        <v>464</v>
      </c>
      <c r="C506" t="s">
        <v>560</v>
      </c>
      <c r="D506" s="1">
        <v>45049</v>
      </c>
      <c r="E506" s="1">
        <v>45139</v>
      </c>
      <c r="F506" t="s">
        <v>13</v>
      </c>
      <c r="G506">
        <v>5758484</v>
      </c>
      <c r="H506" s="1">
        <v>45132</v>
      </c>
      <c r="I506" t="s">
        <v>555</v>
      </c>
      <c r="J506" t="s">
        <v>556</v>
      </c>
      <c r="L506">
        <v>5758484</v>
      </c>
      <c r="M506">
        <f>IF(F506="INR",1,INDEX('rates'!$B$2:$C$522,MATCH(D506,'rates'!$A$2:$A$522,1),MATCH(F506&amp;"/INR",'rates'!$B$1:$C$1,0)))</f>
        <v>1</v>
      </c>
      <c r="N506">
        <f t="shared" si="35"/>
        <v>5758484</v>
      </c>
      <c r="O506">
        <f t="shared" si="36"/>
        <v>0</v>
      </c>
      <c r="P506">
        <f t="shared" si="37"/>
        <v>0</v>
      </c>
      <c r="Q506">
        <f t="shared" si="40"/>
        <v>-7</v>
      </c>
      <c r="R506" t="str">
        <f t="shared" si="39"/>
        <v>Not open</v>
      </c>
    </row>
    <row r="507" spans="1:18" x14ac:dyDescent="0.3">
      <c r="A507" t="s">
        <v>656</v>
      </c>
      <c r="B507" t="s">
        <v>466</v>
      </c>
      <c r="C507" t="s">
        <v>558</v>
      </c>
      <c r="D507" s="1">
        <v>45049</v>
      </c>
      <c r="E507" s="1">
        <v>45109</v>
      </c>
      <c r="F507" t="s">
        <v>31</v>
      </c>
      <c r="G507">
        <v>44327.35</v>
      </c>
      <c r="H507" s="1">
        <v>45112</v>
      </c>
      <c r="I507" t="s">
        <v>555</v>
      </c>
      <c r="J507" t="s">
        <v>556</v>
      </c>
      <c r="L507">
        <v>44327.35</v>
      </c>
      <c r="M507">
        <f>IF(F507="INR",1,INDEX('rates'!$B$2:$C$522,MATCH(D507,'rates'!$A$2:$A$522,1),MATCH(F507&amp;"/INR",'rates'!$B$1:$C$1,0)))</f>
        <v>90.414000000000001</v>
      </c>
      <c r="N507">
        <f t="shared" si="35"/>
        <v>4007813.0228999997</v>
      </c>
      <c r="O507">
        <f t="shared" si="36"/>
        <v>0</v>
      </c>
      <c r="P507">
        <f t="shared" si="37"/>
        <v>0</v>
      </c>
      <c r="Q507">
        <f t="shared" si="40"/>
        <v>3</v>
      </c>
      <c r="R507" t="str">
        <f t="shared" si="39"/>
        <v>Not open</v>
      </c>
    </row>
    <row r="508" spans="1:18" x14ac:dyDescent="0.3">
      <c r="A508" t="s">
        <v>657</v>
      </c>
      <c r="B508" t="s">
        <v>87</v>
      </c>
      <c r="C508" t="s">
        <v>566</v>
      </c>
      <c r="D508" s="1">
        <v>45050</v>
      </c>
      <c r="E508" s="1">
        <v>45095</v>
      </c>
      <c r="F508" t="s">
        <v>36</v>
      </c>
      <c r="G508">
        <v>84428.22</v>
      </c>
      <c r="H508" s="1">
        <v>45122</v>
      </c>
      <c r="I508" t="s">
        <v>555</v>
      </c>
      <c r="J508" t="s">
        <v>573</v>
      </c>
      <c r="K508">
        <v>81.934299999999993</v>
      </c>
      <c r="L508">
        <v>84428.22</v>
      </c>
      <c r="M508">
        <f>IF(F508="INR",1,INDEX('rates'!$B$2:$C$522,MATCH(D508,'rates'!$A$2:$A$522,1),MATCH(F508&amp;"/INR",'rates'!$B$1:$C$1,0)))</f>
        <v>81.73</v>
      </c>
      <c r="N508">
        <f t="shared" si="35"/>
        <v>6900318.4206000008</v>
      </c>
      <c r="O508">
        <f t="shared" si="36"/>
        <v>0</v>
      </c>
      <c r="P508">
        <f t="shared" si="37"/>
        <v>0</v>
      </c>
      <c r="Q508">
        <f t="shared" si="40"/>
        <v>27</v>
      </c>
      <c r="R508" t="str">
        <f t="shared" si="39"/>
        <v>Not open</v>
      </c>
    </row>
    <row r="509" spans="1:18" x14ac:dyDescent="0.3">
      <c r="A509" t="s">
        <v>658</v>
      </c>
      <c r="B509" t="s">
        <v>178</v>
      </c>
      <c r="C509" t="s">
        <v>560</v>
      </c>
      <c r="D509" s="1">
        <v>45050</v>
      </c>
      <c r="E509" s="1">
        <v>45080</v>
      </c>
      <c r="F509" t="s">
        <v>13</v>
      </c>
      <c r="G509">
        <v>1800380</v>
      </c>
      <c r="H509" s="1">
        <v>45099</v>
      </c>
      <c r="I509" t="s">
        <v>555</v>
      </c>
      <c r="J509" t="s">
        <v>556</v>
      </c>
      <c r="L509">
        <v>1800380</v>
      </c>
      <c r="M509">
        <f>IF(F509="INR",1,INDEX('rates'!$B$2:$C$522,MATCH(D509,'rates'!$A$2:$A$522,1),MATCH(F509&amp;"/INR",'rates'!$B$1:$C$1,0)))</f>
        <v>1</v>
      </c>
      <c r="N509">
        <f t="shared" si="35"/>
        <v>1800380</v>
      </c>
      <c r="O509">
        <f t="shared" si="36"/>
        <v>0</v>
      </c>
      <c r="P509">
        <f t="shared" si="37"/>
        <v>0</v>
      </c>
      <c r="Q509">
        <f t="shared" si="40"/>
        <v>19</v>
      </c>
      <c r="R509" t="str">
        <f t="shared" si="39"/>
        <v>Not open</v>
      </c>
    </row>
    <row r="510" spans="1:18" x14ac:dyDescent="0.3">
      <c r="A510" t="s">
        <v>659</v>
      </c>
      <c r="B510" t="s">
        <v>328</v>
      </c>
      <c r="C510" t="s">
        <v>560</v>
      </c>
      <c r="D510" s="1">
        <v>45050</v>
      </c>
      <c r="E510" s="1">
        <v>45095</v>
      </c>
      <c r="F510" t="s">
        <v>13</v>
      </c>
      <c r="G510">
        <v>10209782</v>
      </c>
      <c r="H510" s="1">
        <v>45100</v>
      </c>
      <c r="I510" t="s">
        <v>555</v>
      </c>
      <c r="J510" t="s">
        <v>556</v>
      </c>
      <c r="L510">
        <v>10209782</v>
      </c>
      <c r="M510">
        <f>IF(F510="INR",1,INDEX('rates'!$B$2:$C$522,MATCH(D510,'rates'!$A$2:$A$522,1),MATCH(F510&amp;"/INR",'rates'!$B$1:$C$1,0)))</f>
        <v>1</v>
      </c>
      <c r="N510">
        <f t="shared" si="35"/>
        <v>10209782</v>
      </c>
      <c r="O510">
        <f t="shared" si="36"/>
        <v>0</v>
      </c>
      <c r="P510">
        <f t="shared" si="37"/>
        <v>0</v>
      </c>
      <c r="Q510">
        <f t="shared" si="40"/>
        <v>5</v>
      </c>
      <c r="R510" t="str">
        <f t="shared" si="39"/>
        <v>Not open</v>
      </c>
    </row>
    <row r="511" spans="1:18" x14ac:dyDescent="0.3">
      <c r="A511" t="s">
        <v>660</v>
      </c>
      <c r="B511" t="s">
        <v>338</v>
      </c>
      <c r="C511" t="s">
        <v>566</v>
      </c>
      <c r="D511" s="1">
        <v>45050</v>
      </c>
      <c r="E511" s="1">
        <v>45095</v>
      </c>
      <c r="F511" t="s">
        <v>13</v>
      </c>
      <c r="G511">
        <v>1506434</v>
      </c>
      <c r="H511" s="1">
        <v>45085</v>
      </c>
      <c r="I511" t="s">
        <v>555</v>
      </c>
      <c r="J511" t="s">
        <v>556</v>
      </c>
      <c r="L511">
        <v>1506434</v>
      </c>
      <c r="M511">
        <f>IF(F511="INR",1,INDEX('rates'!$B$2:$C$522,MATCH(D511,'rates'!$A$2:$A$522,1),MATCH(F511&amp;"/INR",'rates'!$B$1:$C$1,0)))</f>
        <v>1</v>
      </c>
      <c r="N511">
        <f t="shared" si="35"/>
        <v>1506434</v>
      </c>
      <c r="O511">
        <f t="shared" si="36"/>
        <v>0</v>
      </c>
      <c r="P511">
        <f t="shared" si="37"/>
        <v>0</v>
      </c>
      <c r="Q511">
        <f t="shared" si="40"/>
        <v>-10</v>
      </c>
      <c r="R511" t="str">
        <f t="shared" si="39"/>
        <v>Not open</v>
      </c>
    </row>
    <row r="512" spans="1:18" x14ac:dyDescent="0.3">
      <c r="A512" t="s">
        <v>661</v>
      </c>
      <c r="B512" t="s">
        <v>372</v>
      </c>
      <c r="C512" t="s">
        <v>575</v>
      </c>
      <c r="D512" s="1">
        <v>45050</v>
      </c>
      <c r="E512" s="1">
        <v>45140</v>
      </c>
      <c r="F512" t="s">
        <v>13</v>
      </c>
      <c r="G512">
        <v>12307147</v>
      </c>
      <c r="H512" s="1">
        <v>45168</v>
      </c>
      <c r="I512" t="s">
        <v>555</v>
      </c>
      <c r="J512" t="s">
        <v>556</v>
      </c>
      <c r="L512">
        <v>12307147</v>
      </c>
      <c r="M512">
        <f>IF(F512="INR",1,INDEX('rates'!$B$2:$C$522,MATCH(D512,'rates'!$A$2:$A$522,1),MATCH(F512&amp;"/INR",'rates'!$B$1:$C$1,0)))</f>
        <v>1</v>
      </c>
      <c r="N512">
        <f t="shared" si="35"/>
        <v>12307147</v>
      </c>
      <c r="O512">
        <f t="shared" si="36"/>
        <v>0</v>
      </c>
      <c r="P512">
        <f t="shared" si="37"/>
        <v>0</v>
      </c>
      <c r="Q512">
        <f t="shared" si="40"/>
        <v>28</v>
      </c>
      <c r="R512" t="str">
        <f t="shared" si="39"/>
        <v>Not open</v>
      </c>
    </row>
    <row r="513" spans="1:18" x14ac:dyDescent="0.3">
      <c r="A513" t="s">
        <v>662</v>
      </c>
      <c r="B513" t="s">
        <v>422</v>
      </c>
      <c r="C513" t="s">
        <v>575</v>
      </c>
      <c r="D513" s="1">
        <v>45050</v>
      </c>
      <c r="E513" s="1">
        <v>45095</v>
      </c>
      <c r="F513" t="s">
        <v>31</v>
      </c>
      <c r="G513">
        <v>67612.13</v>
      </c>
      <c r="H513" s="1">
        <v>45089</v>
      </c>
      <c r="I513" t="s">
        <v>555</v>
      </c>
      <c r="J513" t="s">
        <v>573</v>
      </c>
      <c r="K513">
        <v>90.111599999999996</v>
      </c>
      <c r="L513">
        <v>67612.13</v>
      </c>
      <c r="M513">
        <f>IF(F513="INR",1,INDEX('rates'!$B$2:$C$522,MATCH(D513,'rates'!$A$2:$A$522,1),MATCH(F513&amp;"/INR",'rates'!$B$1:$C$1,0)))</f>
        <v>89.976600000000005</v>
      </c>
      <c r="N513">
        <f t="shared" si="35"/>
        <v>6083509.5761580011</v>
      </c>
      <c r="O513">
        <f t="shared" si="36"/>
        <v>0</v>
      </c>
      <c r="P513">
        <f t="shared" si="37"/>
        <v>0</v>
      </c>
      <c r="Q513">
        <f t="shared" si="40"/>
        <v>-6</v>
      </c>
      <c r="R513" t="str">
        <f t="shared" si="39"/>
        <v>Not open</v>
      </c>
    </row>
    <row r="514" spans="1:18" x14ac:dyDescent="0.3">
      <c r="A514" t="s">
        <v>663</v>
      </c>
      <c r="B514" t="s">
        <v>160</v>
      </c>
      <c r="C514" t="s">
        <v>554</v>
      </c>
      <c r="D514" s="1">
        <v>45051</v>
      </c>
      <c r="E514" s="1">
        <v>45096</v>
      </c>
      <c r="F514" t="s">
        <v>13</v>
      </c>
      <c r="G514">
        <v>8109234</v>
      </c>
      <c r="H514" s="1">
        <v>45094</v>
      </c>
      <c r="I514" t="s">
        <v>555</v>
      </c>
      <c r="J514" t="s">
        <v>556</v>
      </c>
      <c r="L514">
        <v>8109234</v>
      </c>
      <c r="M514">
        <f>IF(F514="INR",1,INDEX('rates'!$B$2:$C$522,MATCH(D514,'rates'!$A$2:$A$522,1),MATCH(F514&amp;"/INR",'rates'!$B$1:$C$1,0)))</f>
        <v>1</v>
      </c>
      <c r="N514">
        <f t="shared" ref="N514:N577" si="41">G514*M514</f>
        <v>8109234</v>
      </c>
      <c r="O514">
        <f t="shared" ref="O514:O577" si="42">IF(OR(I514="OPEN",I514="PARTIALLY PAID"),(G514-L514)*M514,0)</f>
        <v>0</v>
      </c>
      <c r="P514">
        <f t="shared" ref="P514:P577" si="43">IF(O514&gt;0,MAX(0,DATE(2025,3,31)-E514),0)</f>
        <v>0</v>
      </c>
      <c r="Q514">
        <f t="shared" si="40"/>
        <v>-2</v>
      </c>
      <c r="R514" t="str">
        <f t="shared" ref="R514:R577" si="44">IF(O514=0,"Not open",IF(P514=0,"Not yet due",IF(P514&lt;=30,"1-30",IF(P514&lt;=60,"31-60",IF(P514&lt;=90,"61-90","90+")))))</f>
        <v>Not open</v>
      </c>
    </row>
    <row r="515" spans="1:18" x14ac:dyDescent="0.3">
      <c r="A515" t="s">
        <v>664</v>
      </c>
      <c r="B515" t="s">
        <v>186</v>
      </c>
      <c r="C515" t="s">
        <v>558</v>
      </c>
      <c r="D515" s="1">
        <v>45051</v>
      </c>
      <c r="E515" s="1">
        <v>45081</v>
      </c>
      <c r="F515" t="s">
        <v>36</v>
      </c>
      <c r="G515">
        <v>71396.320000000007</v>
      </c>
      <c r="H515" s="1">
        <v>45144</v>
      </c>
      <c r="I515" t="s">
        <v>555</v>
      </c>
      <c r="J515" t="s">
        <v>556</v>
      </c>
      <c r="L515">
        <v>71396.320000000007</v>
      </c>
      <c r="M515">
        <f>IF(F515="INR",1,INDEX('rates'!$B$2:$C$522,MATCH(D515,'rates'!$A$2:$A$522,1),MATCH(F515&amp;"/INR",'rates'!$B$1:$C$1,0)))</f>
        <v>81.81</v>
      </c>
      <c r="N515">
        <f t="shared" si="41"/>
        <v>5840932.9392000008</v>
      </c>
      <c r="O515">
        <f t="shared" si="42"/>
        <v>0</v>
      </c>
      <c r="P515">
        <f t="shared" si="43"/>
        <v>0</v>
      </c>
      <c r="Q515">
        <f t="shared" si="40"/>
        <v>63</v>
      </c>
      <c r="R515" t="str">
        <f t="shared" si="44"/>
        <v>Not open</v>
      </c>
    </row>
    <row r="516" spans="1:18" x14ac:dyDescent="0.3">
      <c r="A516" t="s">
        <v>665</v>
      </c>
      <c r="B516" t="s">
        <v>448</v>
      </c>
      <c r="C516" t="s">
        <v>560</v>
      </c>
      <c r="D516" s="1">
        <v>45051</v>
      </c>
      <c r="E516" s="1">
        <v>45141</v>
      </c>
      <c r="F516" t="s">
        <v>36</v>
      </c>
      <c r="G516">
        <v>35172.949999999997</v>
      </c>
      <c r="H516" s="1">
        <v>45161</v>
      </c>
      <c r="I516" t="s">
        <v>555</v>
      </c>
      <c r="J516" t="s">
        <v>573</v>
      </c>
      <c r="K516">
        <v>82.218999999999994</v>
      </c>
      <c r="L516">
        <v>35172.949999999997</v>
      </c>
      <c r="M516">
        <f>IF(F516="INR",1,INDEX('rates'!$B$2:$C$522,MATCH(D516,'rates'!$A$2:$A$522,1),MATCH(F516&amp;"/INR",'rates'!$B$1:$C$1,0)))</f>
        <v>81.81</v>
      </c>
      <c r="N516">
        <f t="shared" si="41"/>
        <v>2877499.0395</v>
      </c>
      <c r="O516">
        <f t="shared" si="42"/>
        <v>0</v>
      </c>
      <c r="P516">
        <f t="shared" si="43"/>
        <v>0</v>
      </c>
      <c r="Q516">
        <f t="shared" si="40"/>
        <v>20</v>
      </c>
      <c r="R516" t="str">
        <f t="shared" si="44"/>
        <v>Not open</v>
      </c>
    </row>
    <row r="517" spans="1:18" x14ac:dyDescent="0.3">
      <c r="A517" t="s">
        <v>666</v>
      </c>
      <c r="B517" t="s">
        <v>516</v>
      </c>
      <c r="C517" t="s">
        <v>560</v>
      </c>
      <c r="D517" s="1">
        <v>45051</v>
      </c>
      <c r="E517" s="1">
        <v>45111</v>
      </c>
      <c r="F517" t="s">
        <v>13</v>
      </c>
      <c r="G517">
        <v>5483498</v>
      </c>
      <c r="H517" s="1">
        <v>45117</v>
      </c>
      <c r="I517" t="s">
        <v>555</v>
      </c>
      <c r="J517" t="s">
        <v>556</v>
      </c>
      <c r="L517">
        <v>5483498</v>
      </c>
      <c r="M517">
        <f>IF(F517="INR",1,INDEX('rates'!$B$2:$C$522,MATCH(D517,'rates'!$A$2:$A$522,1),MATCH(F517&amp;"/INR",'rates'!$B$1:$C$1,0)))</f>
        <v>1</v>
      </c>
      <c r="N517">
        <f t="shared" si="41"/>
        <v>5483498</v>
      </c>
      <c r="O517">
        <f t="shared" si="42"/>
        <v>0</v>
      </c>
      <c r="P517">
        <f t="shared" si="43"/>
        <v>0</v>
      </c>
      <c r="Q517">
        <f t="shared" ref="Q517:Q543" si="45">IF(H517="","",H517-E517)</f>
        <v>6</v>
      </c>
      <c r="R517" t="str">
        <f t="shared" si="44"/>
        <v>Not open</v>
      </c>
    </row>
    <row r="518" spans="1:18" x14ac:dyDescent="0.3">
      <c r="A518" t="s">
        <v>668</v>
      </c>
      <c r="B518" t="s">
        <v>144</v>
      </c>
      <c r="C518" t="s">
        <v>554</v>
      </c>
      <c r="D518" s="1">
        <v>45052</v>
      </c>
      <c r="E518" s="1">
        <v>45082</v>
      </c>
      <c r="F518" t="s">
        <v>13</v>
      </c>
      <c r="G518">
        <v>4375237</v>
      </c>
      <c r="H518" s="1">
        <v>45087</v>
      </c>
      <c r="I518" t="s">
        <v>555</v>
      </c>
      <c r="J518" t="s">
        <v>556</v>
      </c>
      <c r="L518">
        <v>4375237</v>
      </c>
      <c r="M518">
        <f>IF(F518="INR",1,INDEX('rates'!$B$2:$C$522,MATCH(D518,'rates'!$A$2:$A$522,1),MATCH(F518&amp;"/INR",'rates'!$B$1:$C$1,0)))</f>
        <v>1</v>
      </c>
      <c r="N518">
        <f t="shared" si="41"/>
        <v>4375237</v>
      </c>
      <c r="O518">
        <f t="shared" si="42"/>
        <v>0</v>
      </c>
      <c r="P518">
        <f t="shared" si="43"/>
        <v>0</v>
      </c>
      <c r="Q518">
        <f t="shared" si="45"/>
        <v>5</v>
      </c>
      <c r="R518" t="str">
        <f t="shared" si="44"/>
        <v>Not open</v>
      </c>
    </row>
    <row r="519" spans="1:18" x14ac:dyDescent="0.3">
      <c r="A519" t="s">
        <v>669</v>
      </c>
      <c r="B519" t="s">
        <v>198</v>
      </c>
      <c r="C519" t="s">
        <v>566</v>
      </c>
      <c r="D519" s="1">
        <v>45052</v>
      </c>
      <c r="E519" s="1">
        <v>45142</v>
      </c>
      <c r="F519" t="s">
        <v>36</v>
      </c>
      <c r="G519">
        <v>48919.42</v>
      </c>
      <c r="H519" s="1">
        <v>45152</v>
      </c>
      <c r="I519" t="s">
        <v>555</v>
      </c>
      <c r="J519" t="s">
        <v>556</v>
      </c>
      <c r="L519">
        <v>48919.42</v>
      </c>
      <c r="M519">
        <f>IF(F519="INR",1,INDEX('rates'!$B$2:$C$522,MATCH(D519,'rates'!$A$2:$A$522,1),MATCH(F519&amp;"/INR",'rates'!$B$1:$C$1,0)))</f>
        <v>81.81</v>
      </c>
      <c r="N519">
        <f t="shared" si="41"/>
        <v>4002097.7502000001</v>
      </c>
      <c r="O519">
        <f t="shared" si="42"/>
        <v>0</v>
      </c>
      <c r="P519">
        <f t="shared" si="43"/>
        <v>0</v>
      </c>
      <c r="Q519">
        <f t="shared" si="45"/>
        <v>10</v>
      </c>
      <c r="R519" t="str">
        <f t="shared" si="44"/>
        <v>Not open</v>
      </c>
    </row>
    <row r="520" spans="1:18" x14ac:dyDescent="0.3">
      <c r="A520" t="s">
        <v>670</v>
      </c>
      <c r="B520" t="s">
        <v>442</v>
      </c>
      <c r="C520" t="s">
        <v>575</v>
      </c>
      <c r="D520" s="1">
        <v>45052</v>
      </c>
      <c r="E520" s="1">
        <v>45112</v>
      </c>
      <c r="F520" t="s">
        <v>13</v>
      </c>
      <c r="G520">
        <v>7099198</v>
      </c>
      <c r="H520" s="1">
        <v>45153</v>
      </c>
      <c r="I520" t="s">
        <v>555</v>
      </c>
      <c r="J520" t="s">
        <v>556</v>
      </c>
      <c r="L520">
        <v>7099198</v>
      </c>
      <c r="M520">
        <f>IF(F520="INR",1,INDEX('rates'!$B$2:$C$522,MATCH(D520,'rates'!$A$2:$A$522,1),MATCH(F520&amp;"/INR",'rates'!$B$1:$C$1,0)))</f>
        <v>1</v>
      </c>
      <c r="N520">
        <f t="shared" si="41"/>
        <v>7099198</v>
      </c>
      <c r="O520">
        <f t="shared" si="42"/>
        <v>0</v>
      </c>
      <c r="P520">
        <f t="shared" si="43"/>
        <v>0</v>
      </c>
      <c r="Q520">
        <f t="shared" si="45"/>
        <v>41</v>
      </c>
      <c r="R520" t="str">
        <f t="shared" si="44"/>
        <v>Not open</v>
      </c>
    </row>
    <row r="521" spans="1:18" x14ac:dyDescent="0.3">
      <c r="A521" t="s">
        <v>671</v>
      </c>
      <c r="B521" t="s">
        <v>482</v>
      </c>
      <c r="C521" t="s">
        <v>558</v>
      </c>
      <c r="D521" s="1">
        <v>45052</v>
      </c>
      <c r="E521" s="1">
        <v>45112</v>
      </c>
      <c r="F521" t="s">
        <v>13</v>
      </c>
      <c r="G521">
        <v>4697304</v>
      </c>
      <c r="H521" s="1">
        <v>45130</v>
      </c>
      <c r="I521" t="s">
        <v>555</v>
      </c>
      <c r="J521" t="s">
        <v>556</v>
      </c>
      <c r="L521">
        <v>4697304</v>
      </c>
      <c r="M521">
        <f>IF(F521="INR",1,INDEX('rates'!$B$2:$C$522,MATCH(D521,'rates'!$A$2:$A$522,1),MATCH(F521&amp;"/INR",'rates'!$B$1:$C$1,0)))</f>
        <v>1</v>
      </c>
      <c r="N521">
        <f t="shared" si="41"/>
        <v>4697304</v>
      </c>
      <c r="O521">
        <f t="shared" si="42"/>
        <v>0</v>
      </c>
      <c r="P521">
        <f t="shared" si="43"/>
        <v>0</v>
      </c>
      <c r="Q521">
        <f t="shared" si="45"/>
        <v>18</v>
      </c>
      <c r="R521" t="str">
        <f t="shared" si="44"/>
        <v>Not open</v>
      </c>
    </row>
    <row r="522" spans="1:18" x14ac:dyDescent="0.3">
      <c r="A522" t="s">
        <v>672</v>
      </c>
      <c r="B522" t="s">
        <v>496</v>
      </c>
      <c r="C522" t="s">
        <v>554</v>
      </c>
      <c r="D522" s="1">
        <v>45052</v>
      </c>
      <c r="E522" s="1">
        <v>45097</v>
      </c>
      <c r="F522" t="s">
        <v>13</v>
      </c>
      <c r="G522">
        <v>40026775</v>
      </c>
      <c r="H522" s="1">
        <v>45109</v>
      </c>
      <c r="I522" t="s">
        <v>555</v>
      </c>
      <c r="J522" t="s">
        <v>556</v>
      </c>
      <c r="L522">
        <v>40026775</v>
      </c>
      <c r="M522">
        <f>IF(F522="INR",1,INDEX('rates'!$B$2:$C$522,MATCH(D522,'rates'!$A$2:$A$522,1),MATCH(F522&amp;"/INR",'rates'!$B$1:$C$1,0)))</f>
        <v>1</v>
      </c>
      <c r="N522">
        <f t="shared" si="41"/>
        <v>40026775</v>
      </c>
      <c r="O522">
        <f t="shared" si="42"/>
        <v>0</v>
      </c>
      <c r="P522">
        <f t="shared" si="43"/>
        <v>0</v>
      </c>
      <c r="Q522">
        <f t="shared" si="45"/>
        <v>12</v>
      </c>
      <c r="R522" t="str">
        <f t="shared" si="44"/>
        <v>Not open</v>
      </c>
    </row>
    <row r="523" spans="1:18" x14ac:dyDescent="0.3">
      <c r="A523" t="s">
        <v>673</v>
      </c>
      <c r="B523" t="s">
        <v>154</v>
      </c>
      <c r="C523" t="s">
        <v>566</v>
      </c>
      <c r="D523" s="1">
        <v>45054</v>
      </c>
      <c r="E523" s="1">
        <v>45084</v>
      </c>
      <c r="F523" t="s">
        <v>13</v>
      </c>
      <c r="G523">
        <v>24908469</v>
      </c>
      <c r="H523" s="1">
        <v>45085</v>
      </c>
      <c r="I523" t="s">
        <v>555</v>
      </c>
      <c r="J523" t="s">
        <v>556</v>
      </c>
      <c r="L523">
        <v>24908469</v>
      </c>
      <c r="M523">
        <f>IF(F523="INR",1,INDEX('rates'!$B$2:$C$522,MATCH(D523,'rates'!$A$2:$A$522,1),MATCH(F523&amp;"/INR",'rates'!$B$1:$C$1,0)))</f>
        <v>1</v>
      </c>
      <c r="N523">
        <f t="shared" si="41"/>
        <v>24908469</v>
      </c>
      <c r="O523">
        <f t="shared" si="42"/>
        <v>0</v>
      </c>
      <c r="P523">
        <f t="shared" si="43"/>
        <v>0</v>
      </c>
      <c r="Q523">
        <f t="shared" si="45"/>
        <v>1</v>
      </c>
      <c r="R523" t="str">
        <f t="shared" si="44"/>
        <v>Not open</v>
      </c>
    </row>
    <row r="524" spans="1:18" x14ac:dyDescent="0.3">
      <c r="A524" t="s">
        <v>674</v>
      </c>
      <c r="B524" t="s">
        <v>184</v>
      </c>
      <c r="C524" t="s">
        <v>575</v>
      </c>
      <c r="D524" s="1">
        <v>45054</v>
      </c>
      <c r="E524" s="1">
        <v>45144</v>
      </c>
      <c r="F524" t="s">
        <v>31</v>
      </c>
      <c r="G524">
        <v>103238.38</v>
      </c>
      <c r="H524" s="1">
        <v>45161</v>
      </c>
      <c r="I524" t="s">
        <v>555</v>
      </c>
      <c r="J524" t="s">
        <v>573</v>
      </c>
      <c r="K524">
        <v>90.391999999999996</v>
      </c>
      <c r="L524">
        <v>103238.38</v>
      </c>
      <c r="M524">
        <f>IF(F524="INR",1,INDEX('rates'!$B$2:$C$522,MATCH(D524,'rates'!$A$2:$A$522,1),MATCH(F524&amp;"/INR",'rates'!$B$1:$C$1,0)))</f>
        <v>90.121600000000001</v>
      </c>
      <c r="N524">
        <f t="shared" si="41"/>
        <v>9304007.9870079998</v>
      </c>
      <c r="O524">
        <f t="shared" si="42"/>
        <v>0</v>
      </c>
      <c r="P524">
        <f t="shared" si="43"/>
        <v>0</v>
      </c>
      <c r="Q524">
        <f t="shared" si="45"/>
        <v>17</v>
      </c>
      <c r="R524" t="str">
        <f t="shared" si="44"/>
        <v>Not open</v>
      </c>
    </row>
    <row r="525" spans="1:18" x14ac:dyDescent="0.3">
      <c r="A525" t="s">
        <v>675</v>
      </c>
      <c r="B525" t="s">
        <v>262</v>
      </c>
      <c r="C525" t="s">
        <v>566</v>
      </c>
      <c r="D525" s="1">
        <v>45054</v>
      </c>
      <c r="E525" s="1">
        <v>45144</v>
      </c>
      <c r="F525" t="s">
        <v>31</v>
      </c>
      <c r="G525">
        <v>90709.79</v>
      </c>
      <c r="H525" s="1">
        <v>45164</v>
      </c>
      <c r="I525" t="s">
        <v>555</v>
      </c>
      <c r="J525" t="s">
        <v>573</v>
      </c>
      <c r="K525">
        <v>90.391999999999996</v>
      </c>
      <c r="L525">
        <v>90709.79</v>
      </c>
      <c r="M525">
        <f>IF(F525="INR",1,INDEX('rates'!$B$2:$C$522,MATCH(D525,'rates'!$A$2:$A$522,1),MATCH(F525&amp;"/INR",'rates'!$B$1:$C$1,0)))</f>
        <v>90.121600000000001</v>
      </c>
      <c r="N525">
        <f t="shared" si="41"/>
        <v>8174911.410464</v>
      </c>
      <c r="O525">
        <f t="shared" si="42"/>
        <v>0</v>
      </c>
      <c r="P525">
        <f t="shared" si="43"/>
        <v>0</v>
      </c>
      <c r="Q525">
        <f t="shared" si="45"/>
        <v>20</v>
      </c>
      <c r="R525" t="str">
        <f t="shared" si="44"/>
        <v>Not open</v>
      </c>
    </row>
    <row r="526" spans="1:18" x14ac:dyDescent="0.3">
      <c r="A526" t="s">
        <v>676</v>
      </c>
      <c r="B526" t="s">
        <v>72</v>
      </c>
      <c r="C526" t="s">
        <v>560</v>
      </c>
      <c r="D526" s="1">
        <v>45055</v>
      </c>
      <c r="E526" s="1">
        <v>45145</v>
      </c>
      <c r="F526" t="s">
        <v>31</v>
      </c>
      <c r="G526">
        <v>175010.97</v>
      </c>
      <c r="H526" s="1">
        <v>45173</v>
      </c>
      <c r="I526" t="s">
        <v>555</v>
      </c>
      <c r="J526" t="s">
        <v>573</v>
      </c>
      <c r="K526">
        <v>90.128</v>
      </c>
      <c r="L526">
        <v>175010.97</v>
      </c>
      <c r="M526">
        <f>IF(F526="INR",1,INDEX('rates'!$B$2:$C$522,MATCH(D526,'rates'!$A$2:$A$522,1),MATCH(F526&amp;"/INR",'rates'!$B$1:$C$1,0)))</f>
        <v>89.858400000000003</v>
      </c>
      <c r="N526">
        <f t="shared" si="41"/>
        <v>15726205.746648001</v>
      </c>
      <c r="O526">
        <f t="shared" si="42"/>
        <v>0</v>
      </c>
      <c r="P526">
        <f t="shared" si="43"/>
        <v>0</v>
      </c>
      <c r="Q526">
        <f t="shared" si="45"/>
        <v>28</v>
      </c>
      <c r="R526" t="str">
        <f t="shared" si="44"/>
        <v>Not open</v>
      </c>
    </row>
    <row r="527" spans="1:18" x14ac:dyDescent="0.3">
      <c r="A527" t="s">
        <v>677</v>
      </c>
      <c r="B527" t="s">
        <v>22</v>
      </c>
      <c r="C527" t="s">
        <v>554</v>
      </c>
      <c r="D527" s="1">
        <v>45056</v>
      </c>
      <c r="E527" s="1">
        <v>45101</v>
      </c>
      <c r="F527" t="s">
        <v>13</v>
      </c>
      <c r="G527">
        <v>1942145</v>
      </c>
      <c r="H527" s="1">
        <v>45103</v>
      </c>
      <c r="I527" t="s">
        <v>555</v>
      </c>
      <c r="J527" t="s">
        <v>556</v>
      </c>
      <c r="L527">
        <v>1942145</v>
      </c>
      <c r="M527">
        <f>IF(F527="INR",1,INDEX('rates'!$B$2:$C$522,MATCH(D527,'rates'!$A$2:$A$522,1),MATCH(F527&amp;"/INR",'rates'!$B$1:$C$1,0)))</f>
        <v>1</v>
      </c>
      <c r="N527">
        <f t="shared" si="41"/>
        <v>1942145</v>
      </c>
      <c r="O527">
        <f t="shared" si="42"/>
        <v>0</v>
      </c>
      <c r="P527">
        <f t="shared" si="43"/>
        <v>0</v>
      </c>
      <c r="Q527">
        <f t="shared" si="45"/>
        <v>2</v>
      </c>
      <c r="R527" t="str">
        <f t="shared" si="44"/>
        <v>Not open</v>
      </c>
    </row>
    <row r="528" spans="1:18" x14ac:dyDescent="0.3">
      <c r="A528" t="s">
        <v>678</v>
      </c>
      <c r="B528" t="s">
        <v>33</v>
      </c>
      <c r="C528" t="s">
        <v>566</v>
      </c>
      <c r="D528" s="1">
        <v>45056</v>
      </c>
      <c r="E528" s="1">
        <v>45086</v>
      </c>
      <c r="F528" t="s">
        <v>36</v>
      </c>
      <c r="G528">
        <v>89121.8</v>
      </c>
      <c r="H528" s="1">
        <v>45103</v>
      </c>
      <c r="I528" t="s">
        <v>555</v>
      </c>
      <c r="J528" t="s">
        <v>556</v>
      </c>
      <c r="L528">
        <v>89121.8</v>
      </c>
      <c r="M528">
        <f>IF(F528="INR",1,INDEX('rates'!$B$2:$C$522,MATCH(D528,'rates'!$A$2:$A$522,1),MATCH(F528&amp;"/INR",'rates'!$B$1:$C$1,0)))</f>
        <v>81.94</v>
      </c>
      <c r="N528">
        <f t="shared" si="41"/>
        <v>7302640.2920000004</v>
      </c>
      <c r="O528">
        <f t="shared" si="42"/>
        <v>0</v>
      </c>
      <c r="P528">
        <f t="shared" si="43"/>
        <v>0</v>
      </c>
      <c r="Q528">
        <f t="shared" si="45"/>
        <v>17</v>
      </c>
      <c r="R528" t="str">
        <f t="shared" si="44"/>
        <v>Not open</v>
      </c>
    </row>
    <row r="529" spans="1:18" x14ac:dyDescent="0.3">
      <c r="A529" t="s">
        <v>679</v>
      </c>
      <c r="B529" t="s">
        <v>140</v>
      </c>
      <c r="C529" t="s">
        <v>554</v>
      </c>
      <c r="D529" s="1">
        <v>45056</v>
      </c>
      <c r="E529" s="1">
        <v>45116</v>
      </c>
      <c r="F529" t="s">
        <v>13</v>
      </c>
      <c r="G529">
        <v>59514265</v>
      </c>
      <c r="H529" s="1">
        <v>45121</v>
      </c>
      <c r="I529" t="s">
        <v>555</v>
      </c>
      <c r="J529" t="s">
        <v>556</v>
      </c>
      <c r="L529">
        <v>59514265</v>
      </c>
      <c r="M529">
        <f>IF(F529="INR",1,INDEX('rates'!$B$2:$C$522,MATCH(D529,'rates'!$A$2:$A$522,1),MATCH(F529&amp;"/INR",'rates'!$B$1:$C$1,0)))</f>
        <v>1</v>
      </c>
      <c r="N529">
        <f t="shared" si="41"/>
        <v>59514265</v>
      </c>
      <c r="O529">
        <f t="shared" si="42"/>
        <v>0</v>
      </c>
      <c r="P529">
        <f t="shared" si="43"/>
        <v>0</v>
      </c>
      <c r="Q529">
        <f t="shared" si="45"/>
        <v>5</v>
      </c>
      <c r="R529" t="str">
        <f t="shared" si="44"/>
        <v>Not open</v>
      </c>
    </row>
    <row r="530" spans="1:18" x14ac:dyDescent="0.3">
      <c r="A530" t="s">
        <v>680</v>
      </c>
      <c r="B530" t="s">
        <v>286</v>
      </c>
      <c r="C530" t="s">
        <v>558</v>
      </c>
      <c r="D530" s="1">
        <v>45056</v>
      </c>
      <c r="E530" s="1">
        <v>45116</v>
      </c>
      <c r="F530" t="s">
        <v>36</v>
      </c>
      <c r="G530">
        <v>60987.87</v>
      </c>
      <c r="H530" s="1">
        <v>45135</v>
      </c>
      <c r="I530" t="s">
        <v>555</v>
      </c>
      <c r="J530" t="s">
        <v>556</v>
      </c>
      <c r="L530">
        <v>60987.87</v>
      </c>
      <c r="M530">
        <f>IF(F530="INR",1,INDEX('rates'!$B$2:$C$522,MATCH(D530,'rates'!$A$2:$A$522,1),MATCH(F530&amp;"/INR",'rates'!$B$1:$C$1,0)))</f>
        <v>81.94</v>
      </c>
      <c r="N530">
        <f t="shared" si="41"/>
        <v>4997346.0678000003</v>
      </c>
      <c r="O530">
        <f t="shared" si="42"/>
        <v>0</v>
      </c>
      <c r="P530">
        <f t="shared" si="43"/>
        <v>0</v>
      </c>
      <c r="Q530">
        <f t="shared" si="45"/>
        <v>19</v>
      </c>
      <c r="R530" t="str">
        <f t="shared" si="44"/>
        <v>Not open</v>
      </c>
    </row>
    <row r="531" spans="1:18" x14ac:dyDescent="0.3">
      <c r="A531" t="s">
        <v>681</v>
      </c>
      <c r="B531" t="s">
        <v>117</v>
      </c>
      <c r="C531" t="s">
        <v>554</v>
      </c>
      <c r="D531" s="1">
        <v>45057</v>
      </c>
      <c r="E531" s="1">
        <v>45117</v>
      </c>
      <c r="F531" t="s">
        <v>13</v>
      </c>
      <c r="G531">
        <v>2586464</v>
      </c>
      <c r="H531" s="1">
        <v>45124</v>
      </c>
      <c r="I531" t="s">
        <v>555</v>
      </c>
      <c r="J531" t="s">
        <v>556</v>
      </c>
      <c r="L531">
        <v>2586464</v>
      </c>
      <c r="M531">
        <f>IF(F531="INR",1,INDEX('rates'!$B$2:$C$522,MATCH(D531,'rates'!$A$2:$A$522,1),MATCH(F531&amp;"/INR",'rates'!$B$1:$C$1,0)))</f>
        <v>1</v>
      </c>
      <c r="N531">
        <f t="shared" si="41"/>
        <v>2586464</v>
      </c>
      <c r="O531">
        <f t="shared" si="42"/>
        <v>0</v>
      </c>
      <c r="P531">
        <f t="shared" si="43"/>
        <v>0</v>
      </c>
      <c r="Q531">
        <f t="shared" si="45"/>
        <v>7</v>
      </c>
      <c r="R531" t="str">
        <f t="shared" si="44"/>
        <v>Not open</v>
      </c>
    </row>
    <row r="532" spans="1:18" x14ac:dyDescent="0.3">
      <c r="A532" t="s">
        <v>682</v>
      </c>
      <c r="B532" t="s">
        <v>140</v>
      </c>
      <c r="C532" t="s">
        <v>554</v>
      </c>
      <c r="D532" s="1">
        <v>45057</v>
      </c>
      <c r="E532" s="1">
        <v>45117</v>
      </c>
      <c r="F532" t="s">
        <v>13</v>
      </c>
      <c r="G532">
        <v>11142597</v>
      </c>
      <c r="H532" s="1">
        <v>45115</v>
      </c>
      <c r="I532" t="s">
        <v>555</v>
      </c>
      <c r="J532" t="s">
        <v>556</v>
      </c>
      <c r="L532">
        <v>11142597</v>
      </c>
      <c r="M532">
        <f>IF(F532="INR",1,INDEX('rates'!$B$2:$C$522,MATCH(D532,'rates'!$A$2:$A$522,1),MATCH(F532&amp;"/INR",'rates'!$B$1:$C$1,0)))</f>
        <v>1</v>
      </c>
      <c r="N532">
        <f t="shared" si="41"/>
        <v>11142597</v>
      </c>
      <c r="O532">
        <f t="shared" si="42"/>
        <v>0</v>
      </c>
      <c r="P532">
        <f t="shared" si="43"/>
        <v>0</v>
      </c>
      <c r="Q532">
        <f t="shared" si="45"/>
        <v>-2</v>
      </c>
      <c r="R532" t="str">
        <f t="shared" si="44"/>
        <v>Not open</v>
      </c>
    </row>
    <row r="533" spans="1:18" x14ac:dyDescent="0.3">
      <c r="A533" t="s">
        <v>683</v>
      </c>
      <c r="B533" t="s">
        <v>282</v>
      </c>
      <c r="C533" t="s">
        <v>554</v>
      </c>
      <c r="D533" s="1">
        <v>45057</v>
      </c>
      <c r="E533" s="1">
        <v>45117</v>
      </c>
      <c r="F533" t="s">
        <v>13</v>
      </c>
      <c r="G533">
        <v>5590612</v>
      </c>
      <c r="H533" s="1">
        <v>45116</v>
      </c>
      <c r="I533" t="s">
        <v>555</v>
      </c>
      <c r="J533" t="s">
        <v>556</v>
      </c>
      <c r="L533">
        <v>5590612</v>
      </c>
      <c r="M533">
        <f>IF(F533="INR",1,INDEX('rates'!$B$2:$C$522,MATCH(D533,'rates'!$A$2:$A$522,1),MATCH(F533&amp;"/INR",'rates'!$B$1:$C$1,0)))</f>
        <v>1</v>
      </c>
      <c r="N533">
        <f t="shared" si="41"/>
        <v>5590612</v>
      </c>
      <c r="O533">
        <f t="shared" si="42"/>
        <v>0</v>
      </c>
      <c r="P533">
        <f t="shared" si="43"/>
        <v>0</v>
      </c>
      <c r="Q533">
        <f t="shared" si="45"/>
        <v>-1</v>
      </c>
      <c r="R533" t="str">
        <f t="shared" si="44"/>
        <v>Not open</v>
      </c>
    </row>
    <row r="534" spans="1:18" x14ac:dyDescent="0.3">
      <c r="A534" t="s">
        <v>684</v>
      </c>
      <c r="B534" t="s">
        <v>360</v>
      </c>
      <c r="C534" t="s">
        <v>566</v>
      </c>
      <c r="D534" s="1">
        <v>45057</v>
      </c>
      <c r="E534" s="1">
        <v>45102</v>
      </c>
      <c r="F534" t="s">
        <v>13</v>
      </c>
      <c r="G534">
        <v>15264246</v>
      </c>
      <c r="H534" s="1">
        <v>45134</v>
      </c>
      <c r="I534" t="s">
        <v>555</v>
      </c>
      <c r="J534" t="s">
        <v>556</v>
      </c>
      <c r="L534">
        <v>15264246</v>
      </c>
      <c r="M534">
        <f>IF(F534="INR",1,INDEX('rates'!$B$2:$C$522,MATCH(D534,'rates'!$A$2:$A$522,1),MATCH(F534&amp;"/INR",'rates'!$B$1:$C$1,0)))</f>
        <v>1</v>
      </c>
      <c r="N534">
        <f t="shared" si="41"/>
        <v>15264246</v>
      </c>
      <c r="O534">
        <f t="shared" si="42"/>
        <v>0</v>
      </c>
      <c r="P534">
        <f t="shared" si="43"/>
        <v>0</v>
      </c>
      <c r="Q534">
        <f t="shared" si="45"/>
        <v>32</v>
      </c>
      <c r="R534" t="str">
        <f t="shared" si="44"/>
        <v>Not open</v>
      </c>
    </row>
    <row r="535" spans="1:18" x14ac:dyDescent="0.3">
      <c r="A535" t="s">
        <v>686</v>
      </c>
      <c r="B535" t="s">
        <v>462</v>
      </c>
      <c r="C535" t="s">
        <v>566</v>
      </c>
      <c r="D535" s="1">
        <v>45057</v>
      </c>
      <c r="E535" s="1">
        <v>45102</v>
      </c>
      <c r="F535" t="s">
        <v>13</v>
      </c>
      <c r="G535">
        <v>4963808</v>
      </c>
      <c r="H535" s="1">
        <v>45115</v>
      </c>
      <c r="I535" t="s">
        <v>555</v>
      </c>
      <c r="J535" t="s">
        <v>556</v>
      </c>
      <c r="L535">
        <v>4963808</v>
      </c>
      <c r="M535">
        <f>IF(F535="INR",1,INDEX('rates'!$B$2:$C$522,MATCH(D535,'rates'!$A$2:$A$522,1),MATCH(F535&amp;"/INR",'rates'!$B$1:$C$1,0)))</f>
        <v>1</v>
      </c>
      <c r="N535">
        <f t="shared" si="41"/>
        <v>4963808</v>
      </c>
      <c r="O535">
        <f t="shared" si="42"/>
        <v>0</v>
      </c>
      <c r="P535">
        <f t="shared" si="43"/>
        <v>0</v>
      </c>
      <c r="Q535">
        <f t="shared" si="45"/>
        <v>13</v>
      </c>
      <c r="R535" t="str">
        <f t="shared" si="44"/>
        <v>Not open</v>
      </c>
    </row>
    <row r="536" spans="1:18" x14ac:dyDescent="0.3">
      <c r="A536" t="s">
        <v>687</v>
      </c>
      <c r="B536" t="s">
        <v>516</v>
      </c>
      <c r="C536" t="s">
        <v>560</v>
      </c>
      <c r="D536" s="1">
        <v>45057</v>
      </c>
      <c r="E536" s="1">
        <v>45117</v>
      </c>
      <c r="F536" t="s">
        <v>13</v>
      </c>
      <c r="G536">
        <v>18851207</v>
      </c>
      <c r="H536" s="1">
        <v>45117</v>
      </c>
      <c r="I536" t="s">
        <v>555</v>
      </c>
      <c r="J536" t="s">
        <v>556</v>
      </c>
      <c r="L536">
        <v>18851207</v>
      </c>
      <c r="M536">
        <f>IF(F536="INR",1,INDEX('rates'!$B$2:$C$522,MATCH(D536,'rates'!$A$2:$A$522,1),MATCH(F536&amp;"/INR",'rates'!$B$1:$C$1,0)))</f>
        <v>1</v>
      </c>
      <c r="N536">
        <f t="shared" si="41"/>
        <v>18851207</v>
      </c>
      <c r="O536">
        <f t="shared" si="42"/>
        <v>0</v>
      </c>
      <c r="P536">
        <f t="shared" si="43"/>
        <v>0</v>
      </c>
      <c r="Q536">
        <f t="shared" si="45"/>
        <v>0</v>
      </c>
      <c r="R536" t="str">
        <f t="shared" si="44"/>
        <v>Not open</v>
      </c>
    </row>
    <row r="537" spans="1:18" x14ac:dyDescent="0.3">
      <c r="A537" t="s">
        <v>688</v>
      </c>
      <c r="B537" t="s">
        <v>154</v>
      </c>
      <c r="C537" t="s">
        <v>566</v>
      </c>
      <c r="D537" s="1">
        <v>45058</v>
      </c>
      <c r="E537" s="1">
        <v>45088</v>
      </c>
      <c r="F537" t="s">
        <v>13</v>
      </c>
      <c r="G537">
        <v>15602226</v>
      </c>
      <c r="H537" s="1">
        <v>45086</v>
      </c>
      <c r="I537" t="s">
        <v>555</v>
      </c>
      <c r="J537" t="s">
        <v>556</v>
      </c>
      <c r="L537">
        <v>15602226</v>
      </c>
      <c r="M537">
        <f>IF(F537="INR",1,INDEX('rates'!$B$2:$C$522,MATCH(D537,'rates'!$A$2:$A$522,1),MATCH(F537&amp;"/INR",'rates'!$B$1:$C$1,0)))</f>
        <v>1</v>
      </c>
      <c r="N537">
        <f t="shared" si="41"/>
        <v>15602226</v>
      </c>
      <c r="O537">
        <f t="shared" si="42"/>
        <v>0</v>
      </c>
      <c r="P537">
        <f t="shared" si="43"/>
        <v>0</v>
      </c>
      <c r="Q537">
        <f t="shared" si="45"/>
        <v>-2</v>
      </c>
      <c r="R537" t="str">
        <f t="shared" si="44"/>
        <v>Not open</v>
      </c>
    </row>
    <row r="538" spans="1:18" x14ac:dyDescent="0.3">
      <c r="A538" t="s">
        <v>689</v>
      </c>
      <c r="B538" t="s">
        <v>364</v>
      </c>
      <c r="C538" t="s">
        <v>558</v>
      </c>
      <c r="D538" s="1">
        <v>45058</v>
      </c>
      <c r="E538" s="1">
        <v>45088</v>
      </c>
      <c r="F538" t="s">
        <v>13</v>
      </c>
      <c r="G538">
        <v>8003005</v>
      </c>
      <c r="H538" s="1">
        <v>45151</v>
      </c>
      <c r="I538" t="s">
        <v>555</v>
      </c>
      <c r="J538" t="s">
        <v>556</v>
      </c>
      <c r="L538">
        <v>8003005</v>
      </c>
      <c r="M538">
        <f>IF(F538="INR",1,INDEX('rates'!$B$2:$C$522,MATCH(D538,'rates'!$A$2:$A$522,1),MATCH(F538&amp;"/INR",'rates'!$B$1:$C$1,0)))</f>
        <v>1</v>
      </c>
      <c r="N538">
        <f t="shared" si="41"/>
        <v>8003005</v>
      </c>
      <c r="O538">
        <f t="shared" si="42"/>
        <v>0</v>
      </c>
      <c r="P538">
        <f t="shared" si="43"/>
        <v>0</v>
      </c>
      <c r="Q538">
        <f t="shared" si="45"/>
        <v>63</v>
      </c>
      <c r="R538" t="str">
        <f t="shared" si="44"/>
        <v>Not open</v>
      </c>
    </row>
    <row r="539" spans="1:18" x14ac:dyDescent="0.3">
      <c r="A539" t="s">
        <v>690</v>
      </c>
      <c r="B539" t="s">
        <v>138</v>
      </c>
      <c r="C539" t="s">
        <v>566</v>
      </c>
      <c r="D539" s="1">
        <v>45059</v>
      </c>
      <c r="E539" s="1">
        <v>45089</v>
      </c>
      <c r="F539" t="s">
        <v>13</v>
      </c>
      <c r="G539">
        <v>26636900</v>
      </c>
      <c r="H539" s="1">
        <v>45089</v>
      </c>
      <c r="I539" t="s">
        <v>555</v>
      </c>
      <c r="J539" t="s">
        <v>556</v>
      </c>
      <c r="L539">
        <v>26636900</v>
      </c>
      <c r="M539">
        <f>IF(F539="INR",1,INDEX('rates'!$B$2:$C$522,MATCH(D539,'rates'!$A$2:$A$522,1),MATCH(F539&amp;"/INR",'rates'!$B$1:$C$1,0)))</f>
        <v>1</v>
      </c>
      <c r="N539">
        <f t="shared" si="41"/>
        <v>26636900</v>
      </c>
      <c r="O539">
        <f t="shared" si="42"/>
        <v>0</v>
      </c>
      <c r="P539">
        <f t="shared" si="43"/>
        <v>0</v>
      </c>
      <c r="Q539">
        <f t="shared" si="45"/>
        <v>0</v>
      </c>
      <c r="R539" t="str">
        <f t="shared" si="44"/>
        <v>Not open</v>
      </c>
    </row>
    <row r="540" spans="1:18" x14ac:dyDescent="0.3">
      <c r="A540" t="s">
        <v>691</v>
      </c>
      <c r="B540" t="s">
        <v>204</v>
      </c>
      <c r="C540" t="s">
        <v>575</v>
      </c>
      <c r="D540" s="1">
        <v>45059</v>
      </c>
      <c r="E540" s="1">
        <v>45119</v>
      </c>
      <c r="F540" t="s">
        <v>13</v>
      </c>
      <c r="G540">
        <v>11327578</v>
      </c>
      <c r="H540" s="1">
        <v>45121</v>
      </c>
      <c r="I540" t="s">
        <v>555</v>
      </c>
      <c r="J540" t="s">
        <v>556</v>
      </c>
      <c r="L540">
        <v>11327578</v>
      </c>
      <c r="M540">
        <f>IF(F540="INR",1,INDEX('rates'!$B$2:$C$522,MATCH(D540,'rates'!$A$2:$A$522,1),MATCH(F540&amp;"/INR",'rates'!$B$1:$C$1,0)))</f>
        <v>1</v>
      </c>
      <c r="N540">
        <f t="shared" si="41"/>
        <v>11327578</v>
      </c>
      <c r="O540">
        <f t="shared" si="42"/>
        <v>0</v>
      </c>
      <c r="P540">
        <f t="shared" si="43"/>
        <v>0</v>
      </c>
      <c r="Q540">
        <f t="shared" si="45"/>
        <v>2</v>
      </c>
      <c r="R540" t="str">
        <f t="shared" si="44"/>
        <v>Not open</v>
      </c>
    </row>
    <row r="541" spans="1:18" x14ac:dyDescent="0.3">
      <c r="A541" t="s">
        <v>692</v>
      </c>
      <c r="B541" t="s">
        <v>406</v>
      </c>
      <c r="C541" t="s">
        <v>554</v>
      </c>
      <c r="D541" s="1">
        <v>45059</v>
      </c>
      <c r="E541" s="1">
        <v>45149</v>
      </c>
      <c r="F541" t="s">
        <v>13</v>
      </c>
      <c r="G541">
        <v>7643400</v>
      </c>
      <c r="H541" s="1">
        <v>45143</v>
      </c>
      <c r="I541" t="s">
        <v>555</v>
      </c>
      <c r="J541" t="s">
        <v>556</v>
      </c>
      <c r="L541">
        <v>7643400</v>
      </c>
      <c r="M541">
        <f>IF(F541="INR",1,INDEX('rates'!$B$2:$C$522,MATCH(D541,'rates'!$A$2:$A$522,1),MATCH(F541&amp;"/INR",'rates'!$B$1:$C$1,0)))</f>
        <v>1</v>
      </c>
      <c r="N541">
        <f t="shared" si="41"/>
        <v>7643400</v>
      </c>
      <c r="O541">
        <f t="shared" si="42"/>
        <v>0</v>
      </c>
      <c r="P541">
        <f t="shared" si="43"/>
        <v>0</v>
      </c>
      <c r="Q541">
        <f t="shared" si="45"/>
        <v>-6</v>
      </c>
      <c r="R541" t="str">
        <f t="shared" si="44"/>
        <v>Not open</v>
      </c>
    </row>
    <row r="542" spans="1:18" x14ac:dyDescent="0.3">
      <c r="A542" t="s">
        <v>693</v>
      </c>
      <c r="B542" t="s">
        <v>516</v>
      </c>
      <c r="C542" t="s">
        <v>560</v>
      </c>
      <c r="D542" s="1">
        <v>45059</v>
      </c>
      <c r="E542" s="1">
        <v>45119</v>
      </c>
      <c r="F542" t="s">
        <v>13</v>
      </c>
      <c r="G542">
        <v>8527985</v>
      </c>
      <c r="H542" s="1">
        <v>45129</v>
      </c>
      <c r="I542" t="s">
        <v>555</v>
      </c>
      <c r="J542" t="s">
        <v>556</v>
      </c>
      <c r="L542">
        <v>8527985</v>
      </c>
      <c r="M542">
        <f>IF(F542="INR",1,INDEX('rates'!$B$2:$C$522,MATCH(D542,'rates'!$A$2:$A$522,1),MATCH(F542&amp;"/INR",'rates'!$B$1:$C$1,0)))</f>
        <v>1</v>
      </c>
      <c r="N542">
        <f t="shared" si="41"/>
        <v>8527985</v>
      </c>
      <c r="O542">
        <f t="shared" si="42"/>
        <v>0</v>
      </c>
      <c r="P542">
        <f t="shared" si="43"/>
        <v>0</v>
      </c>
      <c r="Q542">
        <f t="shared" si="45"/>
        <v>10</v>
      </c>
      <c r="R542" t="str">
        <f t="shared" si="44"/>
        <v>Not open</v>
      </c>
    </row>
    <row r="543" spans="1:18" x14ac:dyDescent="0.3">
      <c r="A543" t="s">
        <v>694</v>
      </c>
      <c r="B543" t="s">
        <v>528</v>
      </c>
      <c r="C543" t="s">
        <v>566</v>
      </c>
      <c r="D543" s="1">
        <v>45059</v>
      </c>
      <c r="E543" s="1">
        <v>45119</v>
      </c>
      <c r="F543" t="s">
        <v>13</v>
      </c>
      <c r="G543">
        <v>22505839</v>
      </c>
      <c r="H543" s="1"/>
      <c r="I543" t="s">
        <v>555</v>
      </c>
      <c r="J543" t="s">
        <v>556</v>
      </c>
      <c r="L543">
        <v>22505839</v>
      </c>
      <c r="M543">
        <f>IF(F543="INR",1,INDEX('rates'!$B$2:$C$522,MATCH(D543,'rates'!$A$2:$A$522,1),MATCH(F543&amp;"/INR",'rates'!$B$1:$C$1,0)))</f>
        <v>1</v>
      </c>
      <c r="N543">
        <f t="shared" si="41"/>
        <v>22505839</v>
      </c>
      <c r="O543">
        <f t="shared" si="42"/>
        <v>0</v>
      </c>
      <c r="P543">
        <f t="shared" si="43"/>
        <v>0</v>
      </c>
      <c r="Q543" t="str">
        <f t="shared" si="45"/>
        <v/>
      </c>
      <c r="R543" t="str">
        <f t="shared" si="44"/>
        <v>Not open</v>
      </c>
    </row>
    <row r="544" spans="1:18" x14ac:dyDescent="0.3">
      <c r="A544" t="s">
        <v>695</v>
      </c>
      <c r="B544" t="s">
        <v>254</v>
      </c>
      <c r="C544" t="s">
        <v>558</v>
      </c>
      <c r="D544" s="1">
        <v>45061</v>
      </c>
      <c r="E544" s="1">
        <v>45091</v>
      </c>
      <c r="F544" t="s">
        <v>13</v>
      </c>
      <c r="G544">
        <v>5916848</v>
      </c>
      <c r="H544" s="1"/>
      <c r="I544" t="s">
        <v>555</v>
      </c>
      <c r="J544" t="s">
        <v>556</v>
      </c>
      <c r="L544">
        <v>5916848</v>
      </c>
      <c r="M544">
        <f>IF(F544="INR",1,INDEX('rates'!$B$2:$C$522,MATCH(D544,'rates'!$A$2:$A$522,1),MATCH(F544&amp;"/INR",'rates'!$B$1:$C$1,0)))</f>
        <v>1</v>
      </c>
      <c r="N544">
        <f t="shared" si="41"/>
        <v>5916848</v>
      </c>
      <c r="O544">
        <f t="shared" si="42"/>
        <v>0</v>
      </c>
      <c r="P544">
        <f t="shared" si="43"/>
        <v>0</v>
      </c>
      <c r="R544" t="str">
        <f t="shared" si="44"/>
        <v>Not open</v>
      </c>
    </row>
    <row r="545" spans="1:18" x14ac:dyDescent="0.3">
      <c r="A545" t="s">
        <v>696</v>
      </c>
      <c r="B545" t="s">
        <v>278</v>
      </c>
      <c r="C545" t="s">
        <v>575</v>
      </c>
      <c r="D545" s="1">
        <v>45061</v>
      </c>
      <c r="E545" s="1">
        <v>45121</v>
      </c>
      <c r="F545" t="s">
        <v>13</v>
      </c>
      <c r="G545">
        <v>3430935</v>
      </c>
      <c r="H545" s="1">
        <v>45122</v>
      </c>
      <c r="I545" t="s">
        <v>555</v>
      </c>
      <c r="J545" t="s">
        <v>556</v>
      </c>
      <c r="L545">
        <v>3430935</v>
      </c>
      <c r="M545">
        <f>IF(F545="INR",1,INDEX('rates'!$B$2:$C$522,MATCH(D545,'rates'!$A$2:$A$522,1),MATCH(F545&amp;"/INR",'rates'!$B$1:$C$1,0)))</f>
        <v>1</v>
      </c>
      <c r="N545">
        <f t="shared" si="41"/>
        <v>3430935</v>
      </c>
      <c r="O545">
        <f t="shared" si="42"/>
        <v>0</v>
      </c>
      <c r="P545">
        <f t="shared" si="43"/>
        <v>0</v>
      </c>
      <c r="Q545">
        <f t="shared" ref="Q545:Q591" si="46">IF(H545="","",H545-E545)</f>
        <v>1</v>
      </c>
      <c r="R545" t="str">
        <f t="shared" si="44"/>
        <v>Not open</v>
      </c>
    </row>
    <row r="546" spans="1:18" x14ac:dyDescent="0.3">
      <c r="A546" t="s">
        <v>697</v>
      </c>
      <c r="B546" t="s">
        <v>322</v>
      </c>
      <c r="C546" t="s">
        <v>566</v>
      </c>
      <c r="D546" s="1">
        <v>45061</v>
      </c>
      <c r="E546" s="1">
        <v>45121</v>
      </c>
      <c r="F546" t="s">
        <v>13</v>
      </c>
      <c r="G546">
        <v>7890700</v>
      </c>
      <c r="H546" s="1">
        <v>45136</v>
      </c>
      <c r="I546" t="s">
        <v>555</v>
      </c>
      <c r="J546" t="s">
        <v>556</v>
      </c>
      <c r="L546">
        <v>7890700</v>
      </c>
      <c r="M546">
        <f>IF(F546="INR",1,INDEX('rates'!$B$2:$C$522,MATCH(D546,'rates'!$A$2:$A$522,1),MATCH(F546&amp;"/INR",'rates'!$B$1:$C$1,0)))</f>
        <v>1</v>
      </c>
      <c r="N546">
        <f t="shared" si="41"/>
        <v>7890700</v>
      </c>
      <c r="O546">
        <f t="shared" si="42"/>
        <v>0</v>
      </c>
      <c r="P546">
        <f t="shared" si="43"/>
        <v>0</v>
      </c>
      <c r="Q546">
        <f t="shared" si="46"/>
        <v>15</v>
      </c>
      <c r="R546" t="str">
        <f t="shared" si="44"/>
        <v>Not open</v>
      </c>
    </row>
    <row r="547" spans="1:18" x14ac:dyDescent="0.3">
      <c r="A547" t="s">
        <v>698</v>
      </c>
      <c r="B547" t="s">
        <v>492</v>
      </c>
      <c r="C547" t="s">
        <v>566</v>
      </c>
      <c r="D547" s="1">
        <v>45061</v>
      </c>
      <c r="E547" s="1">
        <v>45106</v>
      </c>
      <c r="F547" t="s">
        <v>13</v>
      </c>
      <c r="G547">
        <v>7790934</v>
      </c>
      <c r="H547" s="1">
        <v>45108</v>
      </c>
      <c r="I547" t="s">
        <v>555</v>
      </c>
      <c r="J547" t="s">
        <v>556</v>
      </c>
      <c r="L547">
        <v>7790934</v>
      </c>
      <c r="M547">
        <f>IF(F547="INR",1,INDEX('rates'!$B$2:$C$522,MATCH(D547,'rates'!$A$2:$A$522,1),MATCH(F547&amp;"/INR",'rates'!$B$1:$C$1,0)))</f>
        <v>1</v>
      </c>
      <c r="N547">
        <f t="shared" si="41"/>
        <v>7790934</v>
      </c>
      <c r="O547">
        <f t="shared" si="42"/>
        <v>0</v>
      </c>
      <c r="P547">
        <f t="shared" si="43"/>
        <v>0</v>
      </c>
      <c r="Q547">
        <f t="shared" si="46"/>
        <v>2</v>
      </c>
      <c r="R547" t="str">
        <f t="shared" si="44"/>
        <v>Not open</v>
      </c>
    </row>
    <row r="548" spans="1:18" x14ac:dyDescent="0.3">
      <c r="A548" t="s">
        <v>699</v>
      </c>
      <c r="B548" t="s">
        <v>134</v>
      </c>
      <c r="C548" t="s">
        <v>575</v>
      </c>
      <c r="D548" s="1">
        <v>45062</v>
      </c>
      <c r="E548" s="1">
        <v>45152</v>
      </c>
      <c r="F548" t="s">
        <v>36</v>
      </c>
      <c r="G548">
        <v>64727.82</v>
      </c>
      <c r="H548" s="1">
        <v>45154</v>
      </c>
      <c r="I548" t="s">
        <v>555</v>
      </c>
      <c r="J548" t="s">
        <v>573</v>
      </c>
      <c r="K548">
        <v>82.671300000000002</v>
      </c>
      <c r="L548">
        <v>64727.82</v>
      </c>
      <c r="M548">
        <f>IF(F548="INR",1,INDEX('rates'!$B$2:$C$522,MATCH(D548,'rates'!$A$2:$A$522,1),MATCH(F548&amp;"/INR",'rates'!$B$1:$C$1,0)))</f>
        <v>82.26</v>
      </c>
      <c r="N548">
        <f t="shared" si="41"/>
        <v>5324510.4731999999</v>
      </c>
      <c r="O548">
        <f t="shared" si="42"/>
        <v>0</v>
      </c>
      <c r="P548">
        <f t="shared" si="43"/>
        <v>0</v>
      </c>
      <c r="Q548">
        <f t="shared" si="46"/>
        <v>2</v>
      </c>
      <c r="R548" t="str">
        <f t="shared" si="44"/>
        <v>Not open</v>
      </c>
    </row>
    <row r="549" spans="1:18" x14ac:dyDescent="0.3">
      <c r="A549" t="s">
        <v>700</v>
      </c>
      <c r="B549" t="s">
        <v>140</v>
      </c>
      <c r="C549" t="s">
        <v>554</v>
      </c>
      <c r="D549" s="1">
        <v>45062</v>
      </c>
      <c r="E549" s="1">
        <v>45122</v>
      </c>
      <c r="F549" t="s">
        <v>13</v>
      </c>
      <c r="G549">
        <v>11040032</v>
      </c>
      <c r="H549" s="1">
        <v>45126</v>
      </c>
      <c r="I549" t="s">
        <v>555</v>
      </c>
      <c r="J549" t="s">
        <v>556</v>
      </c>
      <c r="L549">
        <v>11040032</v>
      </c>
      <c r="M549">
        <f>IF(F549="INR",1,INDEX('rates'!$B$2:$C$522,MATCH(D549,'rates'!$A$2:$A$522,1),MATCH(F549&amp;"/INR",'rates'!$B$1:$C$1,0)))</f>
        <v>1</v>
      </c>
      <c r="N549">
        <f t="shared" si="41"/>
        <v>11040032</v>
      </c>
      <c r="O549">
        <f t="shared" si="42"/>
        <v>0</v>
      </c>
      <c r="P549">
        <f t="shared" si="43"/>
        <v>0</v>
      </c>
      <c r="Q549">
        <f t="shared" si="46"/>
        <v>4</v>
      </c>
      <c r="R549" t="str">
        <f t="shared" si="44"/>
        <v>Not open</v>
      </c>
    </row>
    <row r="550" spans="1:18" x14ac:dyDescent="0.3">
      <c r="A550" t="s">
        <v>701</v>
      </c>
      <c r="B550" t="s">
        <v>322</v>
      </c>
      <c r="C550" t="s">
        <v>566</v>
      </c>
      <c r="D550" s="1">
        <v>45062</v>
      </c>
      <c r="E550" s="1">
        <v>45122</v>
      </c>
      <c r="F550" t="s">
        <v>13</v>
      </c>
      <c r="G550">
        <v>3577377</v>
      </c>
      <c r="H550" s="1">
        <v>45124</v>
      </c>
      <c r="I550" t="s">
        <v>555</v>
      </c>
      <c r="J550" t="s">
        <v>556</v>
      </c>
      <c r="L550">
        <v>3577377</v>
      </c>
      <c r="M550">
        <f>IF(F550="INR",1,INDEX('rates'!$B$2:$C$522,MATCH(D550,'rates'!$A$2:$A$522,1),MATCH(F550&amp;"/INR",'rates'!$B$1:$C$1,0)))</f>
        <v>1</v>
      </c>
      <c r="N550">
        <f t="shared" si="41"/>
        <v>3577377</v>
      </c>
      <c r="O550">
        <f t="shared" si="42"/>
        <v>0</v>
      </c>
      <c r="P550">
        <f t="shared" si="43"/>
        <v>0</v>
      </c>
      <c r="Q550">
        <f t="shared" si="46"/>
        <v>2</v>
      </c>
      <c r="R550" t="str">
        <f t="shared" si="44"/>
        <v>Not open</v>
      </c>
    </row>
    <row r="551" spans="1:18" x14ac:dyDescent="0.3">
      <c r="A551" t="s">
        <v>702</v>
      </c>
      <c r="B551" t="s">
        <v>75</v>
      </c>
      <c r="C551" t="s">
        <v>560</v>
      </c>
      <c r="D551" s="1">
        <v>45063</v>
      </c>
      <c r="E551" s="1">
        <v>45153</v>
      </c>
      <c r="F551" t="s">
        <v>36</v>
      </c>
      <c r="G551">
        <v>87892.58</v>
      </c>
      <c r="H551" s="1">
        <v>45205</v>
      </c>
      <c r="I551" t="s">
        <v>555</v>
      </c>
      <c r="J551" t="s">
        <v>556</v>
      </c>
      <c r="L551">
        <v>87892.58</v>
      </c>
      <c r="M551">
        <f>IF(F551="INR",1,INDEX('rates'!$B$2:$C$522,MATCH(D551,'rates'!$A$2:$A$522,1),MATCH(F551&amp;"/INR",'rates'!$B$1:$C$1,0)))</f>
        <v>82.39</v>
      </c>
      <c r="N551">
        <f t="shared" si="41"/>
        <v>7241469.6661999999</v>
      </c>
      <c r="O551">
        <f t="shared" si="42"/>
        <v>0</v>
      </c>
      <c r="P551">
        <f t="shared" si="43"/>
        <v>0</v>
      </c>
      <c r="Q551">
        <f t="shared" si="46"/>
        <v>52</v>
      </c>
      <c r="R551" t="str">
        <f t="shared" si="44"/>
        <v>Not open</v>
      </c>
    </row>
    <row r="552" spans="1:18" x14ac:dyDescent="0.3">
      <c r="A552" t="s">
        <v>703</v>
      </c>
      <c r="B552" t="s">
        <v>87</v>
      </c>
      <c r="C552" t="s">
        <v>566</v>
      </c>
      <c r="D552" s="1">
        <v>45063</v>
      </c>
      <c r="E552" s="1">
        <v>45108</v>
      </c>
      <c r="F552" t="s">
        <v>36</v>
      </c>
      <c r="G552">
        <v>67453.22</v>
      </c>
      <c r="H552" s="1">
        <v>45116</v>
      </c>
      <c r="I552" t="s">
        <v>555</v>
      </c>
      <c r="J552" t="s">
        <v>573</v>
      </c>
      <c r="K552">
        <v>82.596000000000004</v>
      </c>
      <c r="L552">
        <v>67453.22</v>
      </c>
      <c r="M552">
        <f>IF(F552="INR",1,INDEX('rates'!$B$2:$C$522,MATCH(D552,'rates'!$A$2:$A$522,1),MATCH(F552&amp;"/INR",'rates'!$B$1:$C$1,0)))</f>
        <v>82.39</v>
      </c>
      <c r="N552">
        <f t="shared" si="41"/>
        <v>5557470.7958000004</v>
      </c>
      <c r="O552">
        <f t="shared" si="42"/>
        <v>0</v>
      </c>
      <c r="P552">
        <f t="shared" si="43"/>
        <v>0</v>
      </c>
      <c r="Q552">
        <f t="shared" si="46"/>
        <v>8</v>
      </c>
      <c r="R552" t="str">
        <f t="shared" si="44"/>
        <v>Not open</v>
      </c>
    </row>
    <row r="553" spans="1:18" x14ac:dyDescent="0.3">
      <c r="A553" t="s">
        <v>704</v>
      </c>
      <c r="B553" t="s">
        <v>242</v>
      </c>
      <c r="C553" t="s">
        <v>575</v>
      </c>
      <c r="D553" s="1">
        <v>45063</v>
      </c>
      <c r="E553" s="1">
        <v>45123</v>
      </c>
      <c r="F553" t="s">
        <v>36</v>
      </c>
      <c r="G553">
        <v>153729.18</v>
      </c>
      <c r="H553" s="1">
        <v>45149</v>
      </c>
      <c r="I553" t="s">
        <v>555</v>
      </c>
      <c r="J553" t="s">
        <v>556</v>
      </c>
      <c r="L553">
        <v>153729.18</v>
      </c>
      <c r="M553">
        <f>IF(F553="INR",1,INDEX('rates'!$B$2:$C$522,MATCH(D553,'rates'!$A$2:$A$522,1),MATCH(F553&amp;"/INR",'rates'!$B$1:$C$1,0)))</f>
        <v>82.39</v>
      </c>
      <c r="N553">
        <f t="shared" si="41"/>
        <v>12665747.1402</v>
      </c>
      <c r="O553">
        <f t="shared" si="42"/>
        <v>0</v>
      </c>
      <c r="P553">
        <f t="shared" si="43"/>
        <v>0</v>
      </c>
      <c r="Q553">
        <f t="shared" si="46"/>
        <v>26</v>
      </c>
      <c r="R553" t="str">
        <f t="shared" si="44"/>
        <v>Not open</v>
      </c>
    </row>
    <row r="554" spans="1:18" x14ac:dyDescent="0.3">
      <c r="A554" t="s">
        <v>705</v>
      </c>
      <c r="B554" t="s">
        <v>492</v>
      </c>
      <c r="C554" t="s">
        <v>566</v>
      </c>
      <c r="D554" s="1">
        <v>45063</v>
      </c>
      <c r="E554" s="1">
        <v>45108</v>
      </c>
      <c r="F554" t="s">
        <v>13</v>
      </c>
      <c r="G554">
        <v>5659193</v>
      </c>
      <c r="H554" s="1">
        <v>45107</v>
      </c>
      <c r="I554" t="s">
        <v>555</v>
      </c>
      <c r="J554" t="s">
        <v>556</v>
      </c>
      <c r="L554">
        <v>5659193</v>
      </c>
      <c r="M554">
        <f>IF(F554="INR",1,INDEX('rates'!$B$2:$C$522,MATCH(D554,'rates'!$A$2:$A$522,1),MATCH(F554&amp;"/INR",'rates'!$B$1:$C$1,0)))</f>
        <v>1</v>
      </c>
      <c r="N554">
        <f t="shared" si="41"/>
        <v>5659193</v>
      </c>
      <c r="O554">
        <f t="shared" si="42"/>
        <v>0</v>
      </c>
      <c r="P554">
        <f t="shared" si="43"/>
        <v>0</v>
      </c>
      <c r="Q554">
        <f t="shared" si="46"/>
        <v>-1</v>
      </c>
      <c r="R554" t="str">
        <f t="shared" si="44"/>
        <v>Not open</v>
      </c>
    </row>
    <row r="555" spans="1:18" x14ac:dyDescent="0.3">
      <c r="A555" t="s">
        <v>706</v>
      </c>
      <c r="B555" t="s">
        <v>496</v>
      </c>
      <c r="C555" t="s">
        <v>566</v>
      </c>
      <c r="D555" s="1">
        <v>45063</v>
      </c>
      <c r="E555" s="1">
        <v>45108</v>
      </c>
      <c r="F555" t="s">
        <v>13</v>
      </c>
      <c r="G555">
        <v>28227414</v>
      </c>
      <c r="H555" s="1">
        <v>45109</v>
      </c>
      <c r="I555" t="s">
        <v>555</v>
      </c>
      <c r="J555" t="s">
        <v>556</v>
      </c>
      <c r="L555">
        <v>28227414</v>
      </c>
      <c r="M555">
        <f>IF(F555="INR",1,INDEX('rates'!$B$2:$C$522,MATCH(D555,'rates'!$A$2:$A$522,1),MATCH(F555&amp;"/INR",'rates'!$B$1:$C$1,0)))</f>
        <v>1</v>
      </c>
      <c r="N555">
        <f t="shared" si="41"/>
        <v>28227414</v>
      </c>
      <c r="O555">
        <f t="shared" si="42"/>
        <v>0</v>
      </c>
      <c r="P555">
        <f t="shared" si="43"/>
        <v>0</v>
      </c>
      <c r="Q555">
        <f t="shared" si="46"/>
        <v>1</v>
      </c>
      <c r="R555" t="str">
        <f t="shared" si="44"/>
        <v>Not open</v>
      </c>
    </row>
    <row r="556" spans="1:18" x14ac:dyDescent="0.3">
      <c r="A556" t="s">
        <v>707</v>
      </c>
      <c r="B556" t="s">
        <v>186</v>
      </c>
      <c r="C556" t="s">
        <v>558</v>
      </c>
      <c r="D556" s="1">
        <v>45064</v>
      </c>
      <c r="E556" s="1">
        <v>45094</v>
      </c>
      <c r="F556" t="s">
        <v>36</v>
      </c>
      <c r="G556">
        <v>196920.7</v>
      </c>
      <c r="H556" s="1">
        <v>45121</v>
      </c>
      <c r="I556" t="s">
        <v>555</v>
      </c>
      <c r="J556" t="s">
        <v>556</v>
      </c>
      <c r="L556">
        <v>196920.7</v>
      </c>
      <c r="M556">
        <f>IF(F556="INR",1,INDEX('rates'!$B$2:$C$522,MATCH(D556,'rates'!$A$2:$A$522,1),MATCH(F556&amp;"/INR",'rates'!$B$1:$C$1,0)))</f>
        <v>82.77</v>
      </c>
      <c r="N556">
        <f t="shared" si="41"/>
        <v>16299126.339</v>
      </c>
      <c r="O556">
        <f t="shared" si="42"/>
        <v>0</v>
      </c>
      <c r="P556">
        <f t="shared" si="43"/>
        <v>0</v>
      </c>
      <c r="Q556">
        <f t="shared" si="46"/>
        <v>27</v>
      </c>
      <c r="R556" t="str">
        <f t="shared" si="44"/>
        <v>Not open</v>
      </c>
    </row>
    <row r="557" spans="1:18" x14ac:dyDescent="0.3">
      <c r="A557" t="s">
        <v>708</v>
      </c>
      <c r="B557" t="s">
        <v>496</v>
      </c>
      <c r="C557" t="s">
        <v>554</v>
      </c>
      <c r="D557" s="1">
        <v>45064</v>
      </c>
      <c r="E557" s="1">
        <v>45109</v>
      </c>
      <c r="F557" t="s">
        <v>13</v>
      </c>
      <c r="G557">
        <v>3374257</v>
      </c>
      <c r="H557" s="1">
        <v>45116</v>
      </c>
      <c r="I557" t="s">
        <v>555</v>
      </c>
      <c r="J557" t="s">
        <v>556</v>
      </c>
      <c r="L557">
        <v>3374257</v>
      </c>
      <c r="M557">
        <f>IF(F557="INR",1,INDEX('rates'!$B$2:$C$522,MATCH(D557,'rates'!$A$2:$A$522,1),MATCH(F557&amp;"/INR",'rates'!$B$1:$C$1,0)))</f>
        <v>1</v>
      </c>
      <c r="N557">
        <f t="shared" si="41"/>
        <v>3374257</v>
      </c>
      <c r="O557">
        <f t="shared" si="42"/>
        <v>0</v>
      </c>
      <c r="P557">
        <f t="shared" si="43"/>
        <v>0</v>
      </c>
      <c r="Q557">
        <f t="shared" si="46"/>
        <v>7</v>
      </c>
      <c r="R557" t="str">
        <f t="shared" si="44"/>
        <v>Not open</v>
      </c>
    </row>
    <row r="558" spans="1:18" x14ac:dyDescent="0.3">
      <c r="A558" t="s">
        <v>709</v>
      </c>
      <c r="B558" t="s">
        <v>528</v>
      </c>
      <c r="C558" t="s">
        <v>566</v>
      </c>
      <c r="D558" s="1">
        <v>45065</v>
      </c>
      <c r="E558" s="1">
        <v>45125</v>
      </c>
      <c r="F558" t="s">
        <v>13</v>
      </c>
      <c r="G558">
        <v>2802118</v>
      </c>
      <c r="H558" s="1">
        <v>45173</v>
      </c>
      <c r="I558" t="s">
        <v>555</v>
      </c>
      <c r="J558" t="s">
        <v>556</v>
      </c>
      <c r="L558">
        <v>2802118</v>
      </c>
      <c r="M558">
        <f>IF(F558="INR",1,INDEX('rates'!$B$2:$C$522,MATCH(D558,'rates'!$A$2:$A$522,1),MATCH(F558&amp;"/INR",'rates'!$B$1:$C$1,0)))</f>
        <v>1</v>
      </c>
      <c r="N558">
        <f t="shared" si="41"/>
        <v>2802118</v>
      </c>
      <c r="O558">
        <f t="shared" si="42"/>
        <v>0</v>
      </c>
      <c r="P558">
        <f t="shared" si="43"/>
        <v>0</v>
      </c>
      <c r="Q558">
        <f t="shared" si="46"/>
        <v>48</v>
      </c>
      <c r="R558" t="str">
        <f t="shared" si="44"/>
        <v>Not open</v>
      </c>
    </row>
    <row r="559" spans="1:18" x14ac:dyDescent="0.3">
      <c r="A559" t="s">
        <v>710</v>
      </c>
      <c r="B559" t="s">
        <v>144</v>
      </c>
      <c r="C559" t="s">
        <v>554</v>
      </c>
      <c r="D559" s="1">
        <v>45066</v>
      </c>
      <c r="E559" s="1">
        <v>45096</v>
      </c>
      <c r="F559" t="s">
        <v>13</v>
      </c>
      <c r="G559">
        <v>2614939</v>
      </c>
      <c r="H559" s="1">
        <v>45101</v>
      </c>
      <c r="I559" t="s">
        <v>555</v>
      </c>
      <c r="J559" t="s">
        <v>556</v>
      </c>
      <c r="L559">
        <v>2614939</v>
      </c>
      <c r="M559">
        <f>IF(F559="INR",1,INDEX('rates'!$B$2:$C$522,MATCH(D559,'rates'!$A$2:$A$522,1),MATCH(F559&amp;"/INR",'rates'!$B$1:$C$1,0)))</f>
        <v>1</v>
      </c>
      <c r="N559">
        <f t="shared" si="41"/>
        <v>2614939</v>
      </c>
      <c r="O559">
        <f t="shared" si="42"/>
        <v>0</v>
      </c>
      <c r="P559">
        <f t="shared" si="43"/>
        <v>0</v>
      </c>
      <c r="Q559">
        <f t="shared" si="46"/>
        <v>5</v>
      </c>
      <c r="R559" t="str">
        <f t="shared" si="44"/>
        <v>Not open</v>
      </c>
    </row>
    <row r="560" spans="1:18" x14ac:dyDescent="0.3">
      <c r="A560" t="s">
        <v>711</v>
      </c>
      <c r="B560" t="s">
        <v>190</v>
      </c>
      <c r="C560" t="s">
        <v>558</v>
      </c>
      <c r="D560" s="1">
        <v>45066</v>
      </c>
      <c r="E560" s="1">
        <v>45096</v>
      </c>
      <c r="F560" t="s">
        <v>13</v>
      </c>
      <c r="G560">
        <v>12926208</v>
      </c>
      <c r="H560" s="1"/>
      <c r="I560" t="s">
        <v>555</v>
      </c>
      <c r="J560" t="s">
        <v>556</v>
      </c>
      <c r="L560">
        <v>12926208</v>
      </c>
      <c r="M560">
        <f>IF(F560="INR",1,INDEX('rates'!$B$2:$C$522,MATCH(D560,'rates'!$A$2:$A$522,1),MATCH(F560&amp;"/INR",'rates'!$B$1:$C$1,0)))</f>
        <v>1</v>
      </c>
      <c r="N560">
        <f t="shared" si="41"/>
        <v>12926208</v>
      </c>
      <c r="O560">
        <f t="shared" si="42"/>
        <v>0</v>
      </c>
      <c r="P560">
        <f t="shared" si="43"/>
        <v>0</v>
      </c>
      <c r="Q560" t="str">
        <f t="shared" si="46"/>
        <v/>
      </c>
      <c r="R560" t="str">
        <f t="shared" si="44"/>
        <v>Not open</v>
      </c>
    </row>
    <row r="561" spans="1:18" x14ac:dyDescent="0.3">
      <c r="A561" t="s">
        <v>712</v>
      </c>
      <c r="B561" t="s">
        <v>394</v>
      </c>
      <c r="C561" t="s">
        <v>575</v>
      </c>
      <c r="D561" s="1">
        <v>45066</v>
      </c>
      <c r="E561" s="1">
        <v>45126</v>
      </c>
      <c r="F561" t="s">
        <v>31</v>
      </c>
      <c r="G561">
        <v>265560.8</v>
      </c>
      <c r="H561" s="1">
        <v>45135</v>
      </c>
      <c r="I561" t="s">
        <v>555</v>
      </c>
      <c r="J561" t="s">
        <v>573</v>
      </c>
      <c r="K561">
        <v>89.597800000000007</v>
      </c>
      <c r="L561">
        <v>265560.8</v>
      </c>
      <c r="M561">
        <f>IF(F561="INR",1,INDEX('rates'!$B$2:$C$522,MATCH(D561,'rates'!$A$2:$A$522,1),MATCH(F561&amp;"/INR",'rates'!$B$1:$C$1,0)))</f>
        <v>89.418999999999997</v>
      </c>
      <c r="N561">
        <f t="shared" si="41"/>
        <v>23746181.175199997</v>
      </c>
      <c r="O561">
        <f t="shared" si="42"/>
        <v>0</v>
      </c>
      <c r="P561">
        <f t="shared" si="43"/>
        <v>0</v>
      </c>
      <c r="Q561">
        <f t="shared" si="46"/>
        <v>9</v>
      </c>
      <c r="R561" t="str">
        <f t="shared" si="44"/>
        <v>Not open</v>
      </c>
    </row>
    <row r="562" spans="1:18" x14ac:dyDescent="0.3">
      <c r="A562" t="s">
        <v>713</v>
      </c>
      <c r="B562" t="s">
        <v>404</v>
      </c>
      <c r="C562" t="s">
        <v>554</v>
      </c>
      <c r="D562" s="1">
        <v>45066</v>
      </c>
      <c r="E562" s="1">
        <v>45126</v>
      </c>
      <c r="F562" t="s">
        <v>13</v>
      </c>
      <c r="G562">
        <v>3823097</v>
      </c>
      <c r="H562" s="1">
        <v>45127</v>
      </c>
      <c r="I562" t="s">
        <v>555</v>
      </c>
      <c r="J562" t="s">
        <v>556</v>
      </c>
      <c r="L562">
        <v>3823097</v>
      </c>
      <c r="M562">
        <f>IF(F562="INR",1,INDEX('rates'!$B$2:$C$522,MATCH(D562,'rates'!$A$2:$A$522,1),MATCH(F562&amp;"/INR",'rates'!$B$1:$C$1,0)))</f>
        <v>1</v>
      </c>
      <c r="N562">
        <f t="shared" si="41"/>
        <v>3823097</v>
      </c>
      <c r="O562">
        <f t="shared" si="42"/>
        <v>0</v>
      </c>
      <c r="P562">
        <f t="shared" si="43"/>
        <v>0</v>
      </c>
      <c r="Q562">
        <f t="shared" si="46"/>
        <v>1</v>
      </c>
      <c r="R562" t="str">
        <f t="shared" si="44"/>
        <v>Not open</v>
      </c>
    </row>
    <row r="563" spans="1:18" x14ac:dyDescent="0.3">
      <c r="A563" t="s">
        <v>714</v>
      </c>
      <c r="B563" t="s">
        <v>406</v>
      </c>
      <c r="C563" t="s">
        <v>554</v>
      </c>
      <c r="D563" s="1">
        <v>45066</v>
      </c>
      <c r="E563" s="1">
        <v>45156</v>
      </c>
      <c r="F563" t="s">
        <v>13</v>
      </c>
      <c r="G563">
        <v>7223943</v>
      </c>
      <c r="H563" s="1">
        <v>45163</v>
      </c>
      <c r="I563" t="s">
        <v>555</v>
      </c>
      <c r="J563" t="s">
        <v>556</v>
      </c>
      <c r="L563">
        <v>7223943</v>
      </c>
      <c r="M563">
        <f>IF(F563="INR",1,INDEX('rates'!$B$2:$C$522,MATCH(D563,'rates'!$A$2:$A$522,1),MATCH(F563&amp;"/INR",'rates'!$B$1:$C$1,0)))</f>
        <v>1</v>
      </c>
      <c r="N563">
        <f t="shared" si="41"/>
        <v>7223943</v>
      </c>
      <c r="O563">
        <f t="shared" si="42"/>
        <v>0</v>
      </c>
      <c r="P563">
        <f t="shared" si="43"/>
        <v>0</v>
      </c>
      <c r="Q563">
        <f t="shared" si="46"/>
        <v>7</v>
      </c>
      <c r="R563" t="str">
        <f t="shared" si="44"/>
        <v>Not open</v>
      </c>
    </row>
    <row r="564" spans="1:18" x14ac:dyDescent="0.3">
      <c r="A564" t="s">
        <v>715</v>
      </c>
      <c r="B564" t="s">
        <v>436</v>
      </c>
      <c r="C564" t="s">
        <v>566</v>
      </c>
      <c r="D564" s="1">
        <v>45066</v>
      </c>
      <c r="E564" s="1">
        <v>45111</v>
      </c>
      <c r="F564" t="s">
        <v>36</v>
      </c>
      <c r="G564">
        <v>83040.210000000006</v>
      </c>
      <c r="H564" s="1">
        <v>45137</v>
      </c>
      <c r="I564" t="s">
        <v>555</v>
      </c>
      <c r="J564" t="s">
        <v>573</v>
      </c>
      <c r="K564">
        <v>82.8566</v>
      </c>
      <c r="L564">
        <v>83040.210000000006</v>
      </c>
      <c r="M564">
        <f>IF(F564="INR",1,INDEX('rates'!$B$2:$C$522,MATCH(D564,'rates'!$A$2:$A$522,1),MATCH(F564&amp;"/INR",'rates'!$B$1:$C$1,0)))</f>
        <v>82.65</v>
      </c>
      <c r="N564">
        <f t="shared" si="41"/>
        <v>6863273.3565000007</v>
      </c>
      <c r="O564">
        <f t="shared" si="42"/>
        <v>0</v>
      </c>
      <c r="P564">
        <f t="shared" si="43"/>
        <v>0</v>
      </c>
      <c r="Q564">
        <f t="shared" si="46"/>
        <v>26</v>
      </c>
      <c r="R564" t="str">
        <f t="shared" si="44"/>
        <v>Not open</v>
      </c>
    </row>
    <row r="565" spans="1:18" x14ac:dyDescent="0.3">
      <c r="A565" t="s">
        <v>716</v>
      </c>
      <c r="B565" t="s">
        <v>518</v>
      </c>
      <c r="C565" t="s">
        <v>558</v>
      </c>
      <c r="D565" s="1">
        <v>45066</v>
      </c>
      <c r="E565" s="1">
        <v>45111</v>
      </c>
      <c r="F565" t="s">
        <v>13</v>
      </c>
      <c r="G565">
        <v>4498205</v>
      </c>
      <c r="H565" s="1"/>
      <c r="I565" t="s">
        <v>717</v>
      </c>
      <c r="J565" t="s">
        <v>556</v>
      </c>
      <c r="L565">
        <v>0</v>
      </c>
      <c r="M565">
        <f>IF(F565="INR",1,INDEX('rates'!$B$2:$C$522,MATCH(D565,'rates'!$A$2:$A$522,1),MATCH(F565&amp;"/INR",'rates'!$B$1:$C$1,0)))</f>
        <v>1</v>
      </c>
      <c r="N565">
        <f t="shared" si="41"/>
        <v>4498205</v>
      </c>
      <c r="O565">
        <f t="shared" si="42"/>
        <v>0</v>
      </c>
      <c r="P565">
        <f t="shared" si="43"/>
        <v>0</v>
      </c>
      <c r="Q565" t="str">
        <f t="shared" si="46"/>
        <v/>
      </c>
      <c r="R565" t="str">
        <f t="shared" si="44"/>
        <v>Not open</v>
      </c>
    </row>
    <row r="566" spans="1:18" x14ac:dyDescent="0.3">
      <c r="A566" t="s">
        <v>718</v>
      </c>
      <c r="B566" t="s">
        <v>117</v>
      </c>
      <c r="C566" t="s">
        <v>554</v>
      </c>
      <c r="D566" s="1">
        <v>45068</v>
      </c>
      <c r="E566" s="1">
        <v>45128</v>
      </c>
      <c r="F566" t="s">
        <v>13</v>
      </c>
      <c r="G566">
        <v>2896392</v>
      </c>
      <c r="H566" s="1">
        <v>45151</v>
      </c>
      <c r="I566" t="s">
        <v>555</v>
      </c>
      <c r="J566" t="s">
        <v>556</v>
      </c>
      <c r="L566">
        <v>2896392</v>
      </c>
      <c r="M566">
        <f>IF(F566="INR",1,INDEX('rates'!$B$2:$C$522,MATCH(D566,'rates'!$A$2:$A$522,1),MATCH(F566&amp;"/INR",'rates'!$B$1:$C$1,0)))</f>
        <v>1</v>
      </c>
      <c r="N566">
        <f t="shared" si="41"/>
        <v>2896392</v>
      </c>
      <c r="O566">
        <f t="shared" si="42"/>
        <v>0</v>
      </c>
      <c r="P566">
        <f t="shared" si="43"/>
        <v>0</v>
      </c>
      <c r="Q566">
        <f t="shared" si="46"/>
        <v>23</v>
      </c>
      <c r="R566" t="str">
        <f t="shared" si="44"/>
        <v>Not open</v>
      </c>
    </row>
    <row r="567" spans="1:18" x14ac:dyDescent="0.3">
      <c r="A567" t="s">
        <v>719</v>
      </c>
      <c r="B567" t="s">
        <v>138</v>
      </c>
      <c r="C567" t="s">
        <v>566</v>
      </c>
      <c r="D567" s="1">
        <v>45069</v>
      </c>
      <c r="E567" s="1">
        <v>45099</v>
      </c>
      <c r="F567" t="s">
        <v>13</v>
      </c>
      <c r="G567">
        <v>7545262</v>
      </c>
      <c r="H567" s="1">
        <v>45098</v>
      </c>
      <c r="I567" t="s">
        <v>555</v>
      </c>
      <c r="J567" t="s">
        <v>556</v>
      </c>
      <c r="L567">
        <v>7545262</v>
      </c>
      <c r="M567">
        <f>IF(F567="INR",1,INDEX('rates'!$B$2:$C$522,MATCH(D567,'rates'!$A$2:$A$522,1),MATCH(F567&amp;"/INR",'rates'!$B$1:$C$1,0)))</f>
        <v>1</v>
      </c>
      <c r="N567">
        <f t="shared" si="41"/>
        <v>7545262</v>
      </c>
      <c r="O567">
        <f t="shared" si="42"/>
        <v>0</v>
      </c>
      <c r="P567">
        <f t="shared" si="43"/>
        <v>0</v>
      </c>
      <c r="Q567">
        <f t="shared" si="46"/>
        <v>-1</v>
      </c>
      <c r="R567" t="str">
        <f t="shared" si="44"/>
        <v>Not open</v>
      </c>
    </row>
    <row r="568" spans="1:18" x14ac:dyDescent="0.3">
      <c r="A568" t="s">
        <v>721</v>
      </c>
      <c r="B568" t="s">
        <v>178</v>
      </c>
      <c r="C568" t="s">
        <v>560</v>
      </c>
      <c r="D568" s="1">
        <v>45070</v>
      </c>
      <c r="E568" s="1">
        <v>45100</v>
      </c>
      <c r="F568" t="s">
        <v>13</v>
      </c>
      <c r="G568">
        <v>16820761</v>
      </c>
      <c r="H568" s="1">
        <v>45126</v>
      </c>
      <c r="I568" t="s">
        <v>555</v>
      </c>
      <c r="J568" t="s">
        <v>556</v>
      </c>
      <c r="L568">
        <v>16820761</v>
      </c>
      <c r="M568">
        <f>IF(F568="INR",1,INDEX('rates'!$B$2:$C$522,MATCH(D568,'rates'!$A$2:$A$522,1),MATCH(F568&amp;"/INR",'rates'!$B$1:$C$1,0)))</f>
        <v>1</v>
      </c>
      <c r="N568">
        <f t="shared" si="41"/>
        <v>16820761</v>
      </c>
      <c r="O568">
        <f t="shared" si="42"/>
        <v>0</v>
      </c>
      <c r="P568">
        <f t="shared" si="43"/>
        <v>0</v>
      </c>
      <c r="Q568">
        <f t="shared" si="46"/>
        <v>26</v>
      </c>
      <c r="R568" t="str">
        <f t="shared" si="44"/>
        <v>Not open</v>
      </c>
    </row>
    <row r="569" spans="1:18" x14ac:dyDescent="0.3">
      <c r="A569" t="s">
        <v>722</v>
      </c>
      <c r="B569" t="s">
        <v>464</v>
      </c>
      <c r="C569" t="s">
        <v>560</v>
      </c>
      <c r="D569" s="1">
        <v>45071</v>
      </c>
      <c r="E569" s="1">
        <v>45161</v>
      </c>
      <c r="F569" t="s">
        <v>13</v>
      </c>
      <c r="G569">
        <v>6393543</v>
      </c>
      <c r="H569" s="1">
        <v>45158</v>
      </c>
      <c r="I569" t="s">
        <v>555</v>
      </c>
      <c r="J569" t="s">
        <v>556</v>
      </c>
      <c r="L569">
        <v>6393543</v>
      </c>
      <c r="M569">
        <f>IF(F569="INR",1,INDEX('rates'!$B$2:$C$522,MATCH(D569,'rates'!$A$2:$A$522,1),MATCH(F569&amp;"/INR",'rates'!$B$1:$C$1,0)))</f>
        <v>1</v>
      </c>
      <c r="N569">
        <f t="shared" si="41"/>
        <v>6393543</v>
      </c>
      <c r="O569">
        <f t="shared" si="42"/>
        <v>0</v>
      </c>
      <c r="P569">
        <f t="shared" si="43"/>
        <v>0</v>
      </c>
      <c r="Q569">
        <f t="shared" si="46"/>
        <v>-3</v>
      </c>
      <c r="R569" t="str">
        <f t="shared" si="44"/>
        <v>Not open</v>
      </c>
    </row>
    <row r="570" spans="1:18" x14ac:dyDescent="0.3">
      <c r="A570" t="s">
        <v>723</v>
      </c>
      <c r="B570" t="s">
        <v>528</v>
      </c>
      <c r="C570" t="s">
        <v>566</v>
      </c>
      <c r="D570" s="1">
        <v>45071</v>
      </c>
      <c r="E570" s="1">
        <v>45131</v>
      </c>
      <c r="F570" t="s">
        <v>13</v>
      </c>
      <c r="G570">
        <v>18597733</v>
      </c>
      <c r="H570" s="1">
        <v>45185</v>
      </c>
      <c r="I570" t="s">
        <v>555</v>
      </c>
      <c r="J570" t="s">
        <v>556</v>
      </c>
      <c r="L570">
        <v>18597733</v>
      </c>
      <c r="M570">
        <f>IF(F570="INR",1,INDEX('rates'!$B$2:$C$522,MATCH(D570,'rates'!$A$2:$A$522,1),MATCH(F570&amp;"/INR",'rates'!$B$1:$C$1,0)))</f>
        <v>1</v>
      </c>
      <c r="N570">
        <f t="shared" si="41"/>
        <v>18597733</v>
      </c>
      <c r="O570">
        <f t="shared" si="42"/>
        <v>0</v>
      </c>
      <c r="P570">
        <f t="shared" si="43"/>
        <v>0</v>
      </c>
      <c r="Q570">
        <f t="shared" si="46"/>
        <v>54</v>
      </c>
      <c r="R570" t="str">
        <f t="shared" si="44"/>
        <v>Not open</v>
      </c>
    </row>
    <row r="571" spans="1:18" x14ac:dyDescent="0.3">
      <c r="A571" t="s">
        <v>724</v>
      </c>
      <c r="B571" t="s">
        <v>426</v>
      </c>
      <c r="C571" t="s">
        <v>566</v>
      </c>
      <c r="D571" s="1">
        <v>45072</v>
      </c>
      <c r="E571" s="1">
        <v>45117</v>
      </c>
      <c r="F571" t="s">
        <v>31</v>
      </c>
      <c r="G571">
        <v>28121.17</v>
      </c>
      <c r="H571" s="1">
        <v>45149</v>
      </c>
      <c r="I571" t="s">
        <v>555</v>
      </c>
      <c r="J571" t="s">
        <v>573</v>
      </c>
      <c r="K571">
        <v>88.600700000000003</v>
      </c>
      <c r="L571">
        <v>28121.17</v>
      </c>
      <c r="M571">
        <f>IF(F571="INR",1,INDEX('rates'!$B$2:$C$522,MATCH(D571,'rates'!$A$2:$A$522,1),MATCH(F571&amp;"/INR",'rates'!$B$1:$C$1,0)))</f>
        <v>88.468000000000004</v>
      </c>
      <c r="N571">
        <f t="shared" si="41"/>
        <v>2487823.66756</v>
      </c>
      <c r="O571">
        <f t="shared" si="42"/>
        <v>0</v>
      </c>
      <c r="P571">
        <f t="shared" si="43"/>
        <v>0</v>
      </c>
      <c r="Q571">
        <f t="shared" si="46"/>
        <v>32</v>
      </c>
      <c r="R571" t="str">
        <f t="shared" si="44"/>
        <v>Not open</v>
      </c>
    </row>
    <row r="572" spans="1:18" x14ac:dyDescent="0.3">
      <c r="A572" t="s">
        <v>725</v>
      </c>
      <c r="B572" t="s">
        <v>138</v>
      </c>
      <c r="C572" t="s">
        <v>566</v>
      </c>
      <c r="D572" s="1">
        <v>45073</v>
      </c>
      <c r="E572" s="1">
        <v>45103</v>
      </c>
      <c r="F572" t="s">
        <v>13</v>
      </c>
      <c r="G572">
        <v>5981180</v>
      </c>
      <c r="H572" s="1">
        <v>45096</v>
      </c>
      <c r="I572" t="s">
        <v>555</v>
      </c>
      <c r="J572" t="s">
        <v>556</v>
      </c>
      <c r="L572">
        <v>5981180</v>
      </c>
      <c r="M572">
        <f>IF(F572="INR",1,INDEX('rates'!$B$2:$C$522,MATCH(D572,'rates'!$A$2:$A$522,1),MATCH(F572&amp;"/INR",'rates'!$B$1:$C$1,0)))</f>
        <v>1</v>
      </c>
      <c r="N572">
        <f t="shared" si="41"/>
        <v>5981180</v>
      </c>
      <c r="O572">
        <f t="shared" si="42"/>
        <v>0</v>
      </c>
      <c r="P572">
        <f t="shared" si="43"/>
        <v>0</v>
      </c>
      <c r="Q572">
        <f t="shared" si="46"/>
        <v>-7</v>
      </c>
      <c r="R572" t="str">
        <f t="shared" si="44"/>
        <v>Not open</v>
      </c>
    </row>
    <row r="573" spans="1:18" x14ac:dyDescent="0.3">
      <c r="A573" t="s">
        <v>726</v>
      </c>
      <c r="B573" t="s">
        <v>160</v>
      </c>
      <c r="C573" t="s">
        <v>554</v>
      </c>
      <c r="D573" s="1">
        <v>45073</v>
      </c>
      <c r="E573" s="1">
        <v>45118</v>
      </c>
      <c r="F573" t="s">
        <v>13</v>
      </c>
      <c r="G573">
        <v>4309126</v>
      </c>
      <c r="H573" s="1">
        <v>45119</v>
      </c>
      <c r="I573" t="s">
        <v>555</v>
      </c>
      <c r="J573" t="s">
        <v>556</v>
      </c>
      <c r="L573">
        <v>4309126</v>
      </c>
      <c r="M573">
        <f>IF(F573="INR",1,INDEX('rates'!$B$2:$C$522,MATCH(D573,'rates'!$A$2:$A$522,1),MATCH(F573&amp;"/INR",'rates'!$B$1:$C$1,0)))</f>
        <v>1</v>
      </c>
      <c r="N573">
        <f t="shared" si="41"/>
        <v>4309126</v>
      </c>
      <c r="O573">
        <f t="shared" si="42"/>
        <v>0</v>
      </c>
      <c r="P573">
        <f t="shared" si="43"/>
        <v>0</v>
      </c>
      <c r="Q573">
        <f t="shared" si="46"/>
        <v>1</v>
      </c>
      <c r="R573" t="str">
        <f t="shared" si="44"/>
        <v>Not open</v>
      </c>
    </row>
    <row r="574" spans="1:18" x14ac:dyDescent="0.3">
      <c r="A574" t="s">
        <v>727</v>
      </c>
      <c r="B574" t="s">
        <v>190</v>
      </c>
      <c r="C574" t="s">
        <v>558</v>
      </c>
      <c r="D574" s="1">
        <v>45073</v>
      </c>
      <c r="E574" s="1">
        <v>45103</v>
      </c>
      <c r="F574" t="s">
        <v>13</v>
      </c>
      <c r="G574">
        <v>12295589</v>
      </c>
      <c r="H574" s="1">
        <v>45110</v>
      </c>
      <c r="I574" t="s">
        <v>555</v>
      </c>
      <c r="J574" t="s">
        <v>556</v>
      </c>
      <c r="L574">
        <v>12295589</v>
      </c>
      <c r="M574">
        <f>IF(F574="INR",1,INDEX('rates'!$B$2:$C$522,MATCH(D574,'rates'!$A$2:$A$522,1),MATCH(F574&amp;"/INR",'rates'!$B$1:$C$1,0)))</f>
        <v>1</v>
      </c>
      <c r="N574">
        <f t="shared" si="41"/>
        <v>12295589</v>
      </c>
      <c r="O574">
        <f t="shared" si="42"/>
        <v>0</v>
      </c>
      <c r="P574">
        <f t="shared" si="43"/>
        <v>0</v>
      </c>
      <c r="Q574">
        <f t="shared" si="46"/>
        <v>7</v>
      </c>
      <c r="R574" t="str">
        <f t="shared" si="44"/>
        <v>Not open</v>
      </c>
    </row>
    <row r="575" spans="1:18" x14ac:dyDescent="0.3">
      <c r="A575" t="s">
        <v>728</v>
      </c>
      <c r="B575" t="s">
        <v>332</v>
      </c>
      <c r="C575" t="s">
        <v>566</v>
      </c>
      <c r="D575" s="1">
        <v>45073</v>
      </c>
      <c r="E575" s="1">
        <v>45133</v>
      </c>
      <c r="F575" t="s">
        <v>36</v>
      </c>
      <c r="G575">
        <v>85671.47</v>
      </c>
      <c r="H575" s="1">
        <v>45133</v>
      </c>
      <c r="I575" t="s">
        <v>555</v>
      </c>
      <c r="J575" t="s">
        <v>556</v>
      </c>
      <c r="L575">
        <v>85671.47</v>
      </c>
      <c r="M575">
        <f>IF(F575="INR",1,INDEX('rates'!$B$2:$C$522,MATCH(D575,'rates'!$A$2:$A$522,1),MATCH(F575&amp;"/INR",'rates'!$B$1:$C$1,0)))</f>
        <v>82.58</v>
      </c>
      <c r="N575">
        <f t="shared" si="41"/>
        <v>7074749.9925999995</v>
      </c>
      <c r="O575">
        <f t="shared" si="42"/>
        <v>0</v>
      </c>
      <c r="P575">
        <f t="shared" si="43"/>
        <v>0</v>
      </c>
      <c r="Q575">
        <f t="shared" si="46"/>
        <v>0</v>
      </c>
      <c r="R575" t="str">
        <f t="shared" si="44"/>
        <v>Not open</v>
      </c>
    </row>
    <row r="576" spans="1:18" x14ac:dyDescent="0.3">
      <c r="A576" t="s">
        <v>729</v>
      </c>
      <c r="B576" t="s">
        <v>466</v>
      </c>
      <c r="C576" t="s">
        <v>558</v>
      </c>
      <c r="D576" s="1">
        <v>45073</v>
      </c>
      <c r="E576" s="1">
        <v>45133</v>
      </c>
      <c r="F576" t="s">
        <v>31</v>
      </c>
      <c r="G576">
        <v>349656.94</v>
      </c>
      <c r="H576" s="1">
        <v>45142</v>
      </c>
      <c r="I576" t="s">
        <v>555</v>
      </c>
      <c r="J576" t="s">
        <v>556</v>
      </c>
      <c r="L576">
        <v>349656.94</v>
      </c>
      <c r="M576">
        <f>IF(F576="INR",1,INDEX('rates'!$B$2:$C$522,MATCH(D576,'rates'!$A$2:$A$522,1),MATCH(F576&amp;"/INR",'rates'!$B$1:$C$1,0)))</f>
        <v>88.468000000000004</v>
      </c>
      <c r="N576">
        <f t="shared" si="41"/>
        <v>30933450.167920001</v>
      </c>
      <c r="O576">
        <f t="shared" si="42"/>
        <v>0</v>
      </c>
      <c r="P576">
        <f t="shared" si="43"/>
        <v>0</v>
      </c>
      <c r="Q576">
        <f t="shared" si="46"/>
        <v>9</v>
      </c>
      <c r="R576" t="str">
        <f t="shared" si="44"/>
        <v>Not open</v>
      </c>
    </row>
    <row r="577" spans="1:18" x14ac:dyDescent="0.3">
      <c r="A577" t="s">
        <v>730</v>
      </c>
      <c r="B577" t="s">
        <v>472</v>
      </c>
      <c r="C577" t="s">
        <v>558</v>
      </c>
      <c r="D577" s="1">
        <v>45073</v>
      </c>
      <c r="E577" s="1">
        <v>45133</v>
      </c>
      <c r="F577" t="s">
        <v>36</v>
      </c>
      <c r="G577">
        <v>11859.97</v>
      </c>
      <c r="H577" s="1">
        <v>45157</v>
      </c>
      <c r="I577" t="s">
        <v>555</v>
      </c>
      <c r="J577" t="s">
        <v>573</v>
      </c>
      <c r="K577">
        <v>82.8553</v>
      </c>
      <c r="L577">
        <v>11859.97</v>
      </c>
      <c r="M577">
        <f>IF(F577="INR",1,INDEX('rates'!$B$2:$C$522,MATCH(D577,'rates'!$A$2:$A$522,1),MATCH(F577&amp;"/INR",'rates'!$B$1:$C$1,0)))</f>
        <v>82.58</v>
      </c>
      <c r="N577">
        <f t="shared" si="41"/>
        <v>979396.32259999996</v>
      </c>
      <c r="O577">
        <f t="shared" si="42"/>
        <v>0</v>
      </c>
      <c r="P577">
        <f t="shared" si="43"/>
        <v>0</v>
      </c>
      <c r="Q577">
        <f t="shared" si="46"/>
        <v>24</v>
      </c>
      <c r="R577" t="str">
        <f t="shared" si="44"/>
        <v>Not open</v>
      </c>
    </row>
    <row r="578" spans="1:18" x14ac:dyDescent="0.3">
      <c r="A578" t="s">
        <v>731</v>
      </c>
      <c r="B578" t="s">
        <v>496</v>
      </c>
      <c r="C578" t="s">
        <v>554</v>
      </c>
      <c r="D578" s="1">
        <v>45073</v>
      </c>
      <c r="E578" s="1">
        <v>45118</v>
      </c>
      <c r="F578" t="s">
        <v>13</v>
      </c>
      <c r="G578">
        <v>19121965</v>
      </c>
      <c r="H578" s="1">
        <v>45135</v>
      </c>
      <c r="I578" t="s">
        <v>555</v>
      </c>
      <c r="J578" t="s">
        <v>556</v>
      </c>
      <c r="L578">
        <v>19121965</v>
      </c>
      <c r="M578">
        <f>IF(F578="INR",1,INDEX('rates'!$B$2:$C$522,MATCH(D578,'rates'!$A$2:$A$522,1),MATCH(F578&amp;"/INR",'rates'!$B$1:$C$1,0)))</f>
        <v>1</v>
      </c>
      <c r="N578">
        <f t="shared" ref="N578:N641" si="47">G578*M578</f>
        <v>19121965</v>
      </c>
      <c r="O578">
        <f t="shared" ref="O578:O641" si="48">IF(OR(I578="OPEN",I578="PARTIALLY PAID"),(G578-L578)*M578,0)</f>
        <v>0</v>
      </c>
      <c r="P578">
        <f t="shared" ref="P578:P641" si="49">IF(O578&gt;0,MAX(0,DATE(2025,3,31)-E578),0)</f>
        <v>0</v>
      </c>
      <c r="Q578">
        <f t="shared" si="46"/>
        <v>17</v>
      </c>
      <c r="R578" t="str">
        <f t="shared" ref="R578:R641" si="50">IF(O578=0,"Not open",IF(P578=0,"Not yet due",IF(P578&lt;=30,"1-30",IF(P578&lt;=60,"31-60",IF(P578&lt;=90,"61-90","90+")))))</f>
        <v>Not open</v>
      </c>
    </row>
    <row r="579" spans="1:18" x14ac:dyDescent="0.3">
      <c r="A579" t="s">
        <v>732</v>
      </c>
      <c r="B579" t="s">
        <v>496</v>
      </c>
      <c r="C579" t="s">
        <v>554</v>
      </c>
      <c r="D579" s="1">
        <v>45073</v>
      </c>
      <c r="E579" s="1">
        <v>45118</v>
      </c>
      <c r="F579" t="s">
        <v>13</v>
      </c>
      <c r="G579">
        <v>3396511</v>
      </c>
      <c r="H579" s="1">
        <v>45129</v>
      </c>
      <c r="I579" t="s">
        <v>555</v>
      </c>
      <c r="J579" t="s">
        <v>556</v>
      </c>
      <c r="L579">
        <v>3396511</v>
      </c>
      <c r="M579">
        <f>IF(F579="INR",1,INDEX('rates'!$B$2:$C$522,MATCH(D579,'rates'!$A$2:$A$522,1),MATCH(F579&amp;"/INR",'rates'!$B$1:$C$1,0)))</f>
        <v>1</v>
      </c>
      <c r="N579">
        <f t="shared" si="47"/>
        <v>3396511</v>
      </c>
      <c r="O579">
        <f t="shared" si="48"/>
        <v>0</v>
      </c>
      <c r="P579">
        <f t="shared" si="49"/>
        <v>0</v>
      </c>
      <c r="Q579">
        <f t="shared" si="46"/>
        <v>11</v>
      </c>
      <c r="R579" t="str">
        <f t="shared" si="50"/>
        <v>Not open</v>
      </c>
    </row>
    <row r="580" spans="1:18" x14ac:dyDescent="0.3">
      <c r="A580" t="s">
        <v>733</v>
      </c>
      <c r="B580" t="s">
        <v>252</v>
      </c>
      <c r="C580" t="s">
        <v>566</v>
      </c>
      <c r="D580" s="1">
        <v>45076</v>
      </c>
      <c r="E580" s="1">
        <v>45121</v>
      </c>
      <c r="F580" t="s">
        <v>36</v>
      </c>
      <c r="G580">
        <v>42969.21</v>
      </c>
      <c r="H580" s="1">
        <v>45124</v>
      </c>
      <c r="I580" t="s">
        <v>555</v>
      </c>
      <c r="J580" t="s">
        <v>573</v>
      </c>
      <c r="K580">
        <v>82.8767</v>
      </c>
      <c r="L580">
        <v>42969.21</v>
      </c>
      <c r="M580">
        <f>IF(F580="INR",1,INDEX('rates'!$B$2:$C$522,MATCH(D580,'rates'!$A$2:$A$522,1),MATCH(F580&amp;"/INR",'rates'!$B$1:$C$1,0)))</f>
        <v>82.67</v>
      </c>
      <c r="N580">
        <f t="shared" si="47"/>
        <v>3552264.5907000001</v>
      </c>
      <c r="O580">
        <f t="shared" si="48"/>
        <v>0</v>
      </c>
      <c r="P580">
        <f t="shared" si="49"/>
        <v>0</v>
      </c>
      <c r="Q580">
        <f t="shared" si="46"/>
        <v>3</v>
      </c>
      <c r="R580" t="str">
        <f t="shared" si="50"/>
        <v>Not open</v>
      </c>
    </row>
    <row r="581" spans="1:18" x14ac:dyDescent="0.3">
      <c r="A581" t="s">
        <v>734</v>
      </c>
      <c r="B581" t="s">
        <v>410</v>
      </c>
      <c r="C581" t="s">
        <v>566</v>
      </c>
      <c r="D581" s="1">
        <v>45076</v>
      </c>
      <c r="E581" s="1">
        <v>45136</v>
      </c>
      <c r="F581" t="s">
        <v>13</v>
      </c>
      <c r="G581">
        <v>1086518</v>
      </c>
      <c r="H581" s="1">
        <v>45140</v>
      </c>
      <c r="I581" t="s">
        <v>555</v>
      </c>
      <c r="J581" t="s">
        <v>556</v>
      </c>
      <c r="L581">
        <v>1086518</v>
      </c>
      <c r="M581">
        <f>IF(F581="INR",1,INDEX('rates'!$B$2:$C$522,MATCH(D581,'rates'!$A$2:$A$522,1),MATCH(F581&amp;"/INR",'rates'!$B$1:$C$1,0)))</f>
        <v>1</v>
      </c>
      <c r="N581">
        <f t="shared" si="47"/>
        <v>1086518</v>
      </c>
      <c r="O581">
        <f t="shared" si="48"/>
        <v>0</v>
      </c>
      <c r="P581">
        <f t="shared" si="49"/>
        <v>0</v>
      </c>
      <c r="Q581">
        <f t="shared" si="46"/>
        <v>4</v>
      </c>
      <c r="R581" t="str">
        <f t="shared" si="50"/>
        <v>Not open</v>
      </c>
    </row>
    <row r="582" spans="1:18" x14ac:dyDescent="0.3">
      <c r="A582" t="s">
        <v>735</v>
      </c>
      <c r="B582" t="s">
        <v>496</v>
      </c>
      <c r="C582" t="s">
        <v>554</v>
      </c>
      <c r="D582" s="1">
        <v>45076</v>
      </c>
      <c r="E582" s="1">
        <v>45121</v>
      </c>
      <c r="F582" t="s">
        <v>13</v>
      </c>
      <c r="G582">
        <v>8255957</v>
      </c>
      <c r="H582" s="1">
        <v>45136</v>
      </c>
      <c r="I582" t="s">
        <v>555</v>
      </c>
      <c r="J582" t="s">
        <v>556</v>
      </c>
      <c r="L582">
        <v>8255957</v>
      </c>
      <c r="M582">
        <f>IF(F582="INR",1,INDEX('rates'!$B$2:$C$522,MATCH(D582,'rates'!$A$2:$A$522,1),MATCH(F582&amp;"/INR",'rates'!$B$1:$C$1,0)))</f>
        <v>1</v>
      </c>
      <c r="N582">
        <f t="shared" si="47"/>
        <v>8255957</v>
      </c>
      <c r="O582">
        <f t="shared" si="48"/>
        <v>0</v>
      </c>
      <c r="P582">
        <f t="shared" si="49"/>
        <v>0</v>
      </c>
      <c r="Q582">
        <f t="shared" si="46"/>
        <v>15</v>
      </c>
      <c r="R582" t="str">
        <f t="shared" si="50"/>
        <v>Not open</v>
      </c>
    </row>
    <row r="583" spans="1:18" x14ac:dyDescent="0.3">
      <c r="A583" t="s">
        <v>736</v>
      </c>
      <c r="B583" t="s">
        <v>516</v>
      </c>
      <c r="C583" t="s">
        <v>560</v>
      </c>
      <c r="D583" s="1">
        <v>45076</v>
      </c>
      <c r="E583" s="1">
        <v>45136</v>
      </c>
      <c r="F583" t="s">
        <v>13</v>
      </c>
      <c r="G583">
        <v>2126197</v>
      </c>
      <c r="H583" s="1">
        <v>45140</v>
      </c>
      <c r="I583" t="s">
        <v>555</v>
      </c>
      <c r="J583" t="s">
        <v>556</v>
      </c>
      <c r="L583">
        <v>2126197</v>
      </c>
      <c r="M583">
        <f>IF(F583="INR",1,INDEX('rates'!$B$2:$C$522,MATCH(D583,'rates'!$A$2:$A$522,1),MATCH(F583&amp;"/INR",'rates'!$B$1:$C$1,0)))</f>
        <v>1</v>
      </c>
      <c r="N583">
        <f t="shared" si="47"/>
        <v>2126197</v>
      </c>
      <c r="O583">
        <f t="shared" si="48"/>
        <v>0</v>
      </c>
      <c r="P583">
        <f t="shared" si="49"/>
        <v>0</v>
      </c>
      <c r="Q583">
        <f t="shared" si="46"/>
        <v>4</v>
      </c>
      <c r="R583" t="str">
        <f t="shared" si="50"/>
        <v>Not open</v>
      </c>
    </row>
    <row r="584" spans="1:18" x14ac:dyDescent="0.3">
      <c r="A584" t="s">
        <v>737</v>
      </c>
      <c r="B584" t="s">
        <v>276</v>
      </c>
      <c r="C584" t="s">
        <v>558</v>
      </c>
      <c r="D584" s="1">
        <v>45077</v>
      </c>
      <c r="E584" s="1">
        <v>45137</v>
      </c>
      <c r="F584" t="s">
        <v>13</v>
      </c>
      <c r="G584">
        <v>13994572</v>
      </c>
      <c r="H584" s="1">
        <v>45162</v>
      </c>
      <c r="I584" t="s">
        <v>555</v>
      </c>
      <c r="J584" t="s">
        <v>556</v>
      </c>
      <c r="L584">
        <v>13994572</v>
      </c>
      <c r="M584">
        <f>IF(F584="INR",1,INDEX('rates'!$B$2:$C$522,MATCH(D584,'rates'!$A$2:$A$522,1),MATCH(F584&amp;"/INR",'rates'!$B$1:$C$1,0)))</f>
        <v>1</v>
      </c>
      <c r="N584">
        <f t="shared" si="47"/>
        <v>13994572</v>
      </c>
      <c r="O584">
        <f t="shared" si="48"/>
        <v>0</v>
      </c>
      <c r="P584">
        <f t="shared" si="49"/>
        <v>0</v>
      </c>
      <c r="Q584">
        <f t="shared" si="46"/>
        <v>25</v>
      </c>
      <c r="R584" t="str">
        <f t="shared" si="50"/>
        <v>Not open</v>
      </c>
    </row>
    <row r="585" spans="1:18" x14ac:dyDescent="0.3">
      <c r="A585" t="s">
        <v>738</v>
      </c>
      <c r="B585" t="s">
        <v>322</v>
      </c>
      <c r="C585" t="s">
        <v>558</v>
      </c>
      <c r="D585" s="1">
        <v>45077</v>
      </c>
      <c r="E585" s="1">
        <v>45137</v>
      </c>
      <c r="F585" t="s">
        <v>13</v>
      </c>
      <c r="G585">
        <v>19648673</v>
      </c>
      <c r="H585" s="1">
        <v>45148</v>
      </c>
      <c r="I585" t="s">
        <v>555</v>
      </c>
      <c r="J585" t="s">
        <v>556</v>
      </c>
      <c r="L585">
        <v>19648673</v>
      </c>
      <c r="M585">
        <f>IF(F585="INR",1,INDEX('rates'!$B$2:$C$522,MATCH(D585,'rates'!$A$2:$A$522,1),MATCH(F585&amp;"/INR",'rates'!$B$1:$C$1,0)))</f>
        <v>1</v>
      </c>
      <c r="N585">
        <f t="shared" si="47"/>
        <v>19648673</v>
      </c>
      <c r="O585">
        <f t="shared" si="48"/>
        <v>0</v>
      </c>
      <c r="P585">
        <f t="shared" si="49"/>
        <v>0</v>
      </c>
      <c r="Q585">
        <f t="shared" si="46"/>
        <v>11</v>
      </c>
      <c r="R585" t="str">
        <f t="shared" si="50"/>
        <v>Not open</v>
      </c>
    </row>
    <row r="586" spans="1:18" x14ac:dyDescent="0.3">
      <c r="A586" t="s">
        <v>739</v>
      </c>
      <c r="B586" t="s">
        <v>536</v>
      </c>
      <c r="C586" t="s">
        <v>575</v>
      </c>
      <c r="D586" s="1">
        <v>45077</v>
      </c>
      <c r="E586" s="1">
        <v>45107</v>
      </c>
      <c r="F586" t="s">
        <v>36</v>
      </c>
      <c r="G586">
        <v>158598.44</v>
      </c>
      <c r="H586" s="1">
        <v>45114</v>
      </c>
      <c r="I586" t="s">
        <v>555</v>
      </c>
      <c r="J586" t="s">
        <v>573</v>
      </c>
      <c r="K586">
        <v>82.817800000000005</v>
      </c>
      <c r="L586">
        <v>158598.44</v>
      </c>
      <c r="M586">
        <f>IF(F586="INR",1,INDEX('rates'!$B$2:$C$522,MATCH(D586,'rates'!$A$2:$A$522,1),MATCH(F586&amp;"/INR",'rates'!$B$1:$C$1,0)))</f>
        <v>82.68</v>
      </c>
      <c r="N586">
        <f t="shared" si="47"/>
        <v>13112919.019200001</v>
      </c>
      <c r="O586">
        <f t="shared" si="48"/>
        <v>0</v>
      </c>
      <c r="P586">
        <f t="shared" si="49"/>
        <v>0</v>
      </c>
      <c r="Q586">
        <f t="shared" si="46"/>
        <v>7</v>
      </c>
      <c r="R586" t="str">
        <f t="shared" si="50"/>
        <v>Not open</v>
      </c>
    </row>
    <row r="587" spans="1:18" x14ac:dyDescent="0.3">
      <c r="A587" t="s">
        <v>740</v>
      </c>
      <c r="B587" t="s">
        <v>113</v>
      </c>
      <c r="C587" t="s">
        <v>560</v>
      </c>
      <c r="D587" s="1">
        <v>45078</v>
      </c>
      <c r="E587" s="1">
        <v>45108</v>
      </c>
      <c r="F587" t="s">
        <v>13</v>
      </c>
      <c r="G587">
        <v>15058559</v>
      </c>
      <c r="H587" s="1">
        <v>45110</v>
      </c>
      <c r="I587" t="s">
        <v>555</v>
      </c>
      <c r="J587" t="s">
        <v>556</v>
      </c>
      <c r="L587">
        <v>15058559</v>
      </c>
      <c r="M587">
        <f>IF(F587="INR",1,INDEX('rates'!$B$2:$C$522,MATCH(D587,'rates'!$A$2:$A$522,1),MATCH(F587&amp;"/INR",'rates'!$B$1:$C$1,0)))</f>
        <v>1</v>
      </c>
      <c r="N587">
        <f t="shared" si="47"/>
        <v>15058559</v>
      </c>
      <c r="O587">
        <f t="shared" si="48"/>
        <v>0</v>
      </c>
      <c r="P587">
        <f t="shared" si="49"/>
        <v>0</v>
      </c>
      <c r="Q587">
        <f t="shared" si="46"/>
        <v>2</v>
      </c>
      <c r="R587" t="str">
        <f t="shared" si="50"/>
        <v>Not open</v>
      </c>
    </row>
    <row r="588" spans="1:18" x14ac:dyDescent="0.3">
      <c r="A588" t="s">
        <v>741</v>
      </c>
      <c r="B588" t="s">
        <v>214</v>
      </c>
      <c r="C588" t="s">
        <v>566</v>
      </c>
      <c r="D588" s="1">
        <v>45078</v>
      </c>
      <c r="E588" s="1">
        <v>45123</v>
      </c>
      <c r="F588" t="s">
        <v>31</v>
      </c>
      <c r="G588">
        <v>23688.01</v>
      </c>
      <c r="H588" s="1"/>
      <c r="I588" t="s">
        <v>555</v>
      </c>
      <c r="J588" t="s">
        <v>556</v>
      </c>
      <c r="L588">
        <v>23688.01</v>
      </c>
      <c r="M588">
        <f>IF(F588="INR",1,INDEX('rates'!$B$2:$C$522,MATCH(D588,'rates'!$A$2:$A$522,1),MATCH(F588&amp;"/INR",'rates'!$B$1:$C$1,0)))</f>
        <v>88.607200000000006</v>
      </c>
      <c r="N588">
        <f t="shared" si="47"/>
        <v>2098928.2396720001</v>
      </c>
      <c r="O588">
        <f t="shared" si="48"/>
        <v>0</v>
      </c>
      <c r="P588">
        <f t="shared" si="49"/>
        <v>0</v>
      </c>
      <c r="Q588" t="str">
        <f t="shared" si="46"/>
        <v/>
      </c>
      <c r="R588" t="str">
        <f t="shared" si="50"/>
        <v>Not open</v>
      </c>
    </row>
    <row r="589" spans="1:18" x14ac:dyDescent="0.3">
      <c r="A589" t="s">
        <v>742</v>
      </c>
      <c r="B589" t="s">
        <v>238</v>
      </c>
      <c r="C589" t="s">
        <v>566</v>
      </c>
      <c r="D589" s="1">
        <v>45078</v>
      </c>
      <c r="E589" s="1">
        <v>45138</v>
      </c>
      <c r="F589" t="s">
        <v>31</v>
      </c>
      <c r="G589">
        <v>77188.75</v>
      </c>
      <c r="H589" s="1">
        <v>45154</v>
      </c>
      <c r="I589" t="s">
        <v>555</v>
      </c>
      <c r="J589" t="s">
        <v>573</v>
      </c>
      <c r="K589">
        <v>88.784400000000005</v>
      </c>
      <c r="L589">
        <v>77188.75</v>
      </c>
      <c r="M589">
        <f>IF(F589="INR",1,INDEX('rates'!$B$2:$C$522,MATCH(D589,'rates'!$A$2:$A$522,1),MATCH(F589&amp;"/INR",'rates'!$B$1:$C$1,0)))</f>
        <v>88.607200000000006</v>
      </c>
      <c r="N589">
        <f t="shared" si="47"/>
        <v>6839479.0090000005</v>
      </c>
      <c r="O589">
        <f t="shared" si="48"/>
        <v>0</v>
      </c>
      <c r="P589">
        <f t="shared" si="49"/>
        <v>0</v>
      </c>
      <c r="Q589">
        <f t="shared" si="46"/>
        <v>16</v>
      </c>
      <c r="R589" t="str">
        <f t="shared" si="50"/>
        <v>Not open</v>
      </c>
    </row>
    <row r="590" spans="1:18" x14ac:dyDescent="0.3">
      <c r="A590" t="s">
        <v>743</v>
      </c>
      <c r="B590" t="s">
        <v>512</v>
      </c>
      <c r="C590" t="s">
        <v>566</v>
      </c>
      <c r="D590" s="1">
        <v>45078</v>
      </c>
      <c r="E590" s="1">
        <v>45138</v>
      </c>
      <c r="F590" t="s">
        <v>31</v>
      </c>
      <c r="G590">
        <v>69403.539999999994</v>
      </c>
      <c r="H590" s="1">
        <v>45185</v>
      </c>
      <c r="I590" t="s">
        <v>555</v>
      </c>
      <c r="J590" t="s">
        <v>556</v>
      </c>
      <c r="L590">
        <v>69403.539999999994</v>
      </c>
      <c r="M590">
        <f>IF(F590="INR",1,INDEX('rates'!$B$2:$C$522,MATCH(D590,'rates'!$A$2:$A$522,1),MATCH(F590&amp;"/INR",'rates'!$B$1:$C$1,0)))</f>
        <v>88.607200000000006</v>
      </c>
      <c r="N590">
        <f t="shared" si="47"/>
        <v>6149653.3494879995</v>
      </c>
      <c r="O590">
        <f t="shared" si="48"/>
        <v>0</v>
      </c>
      <c r="P590">
        <f t="shared" si="49"/>
        <v>0</v>
      </c>
      <c r="Q590">
        <f t="shared" si="46"/>
        <v>47</v>
      </c>
      <c r="R590" t="str">
        <f t="shared" si="50"/>
        <v>Not open</v>
      </c>
    </row>
    <row r="591" spans="1:18" x14ac:dyDescent="0.3">
      <c r="A591" t="s">
        <v>744</v>
      </c>
      <c r="B591" t="s">
        <v>117</v>
      </c>
      <c r="C591" t="s">
        <v>554</v>
      </c>
      <c r="D591" s="1">
        <v>45079</v>
      </c>
      <c r="E591" s="1">
        <v>45139</v>
      </c>
      <c r="F591" t="s">
        <v>13</v>
      </c>
      <c r="G591">
        <v>6328258</v>
      </c>
      <c r="H591" s="1">
        <v>45163</v>
      </c>
      <c r="I591" t="s">
        <v>555</v>
      </c>
      <c r="J591" t="s">
        <v>556</v>
      </c>
      <c r="L591">
        <v>6328258</v>
      </c>
      <c r="M591">
        <f>IF(F591="INR",1,INDEX('rates'!$B$2:$C$522,MATCH(D591,'rates'!$A$2:$A$522,1),MATCH(F591&amp;"/INR",'rates'!$B$1:$C$1,0)))</f>
        <v>1</v>
      </c>
      <c r="N591">
        <f t="shared" si="47"/>
        <v>6328258</v>
      </c>
      <c r="O591">
        <f t="shared" si="48"/>
        <v>0</v>
      </c>
      <c r="P591">
        <f t="shared" si="49"/>
        <v>0</v>
      </c>
      <c r="Q591">
        <f t="shared" si="46"/>
        <v>24</v>
      </c>
      <c r="R591" t="str">
        <f t="shared" si="50"/>
        <v>Not open</v>
      </c>
    </row>
    <row r="592" spans="1:18" x14ac:dyDescent="0.3">
      <c r="A592" t="s">
        <v>745</v>
      </c>
      <c r="B592" t="s">
        <v>254</v>
      </c>
      <c r="C592" t="s">
        <v>558</v>
      </c>
      <c r="D592" s="1">
        <v>45079</v>
      </c>
      <c r="E592" s="1">
        <v>45109</v>
      </c>
      <c r="F592" t="s">
        <v>13</v>
      </c>
      <c r="G592">
        <v>15849878</v>
      </c>
      <c r="H592" s="1"/>
      <c r="I592" t="s">
        <v>555</v>
      </c>
      <c r="J592" t="s">
        <v>556</v>
      </c>
      <c r="L592">
        <v>15849878</v>
      </c>
      <c r="M592">
        <f>IF(F592="INR",1,INDEX('rates'!$B$2:$C$522,MATCH(D592,'rates'!$A$2:$A$522,1),MATCH(F592&amp;"/INR",'rates'!$B$1:$C$1,0)))</f>
        <v>1</v>
      </c>
      <c r="N592">
        <f t="shared" si="47"/>
        <v>15849878</v>
      </c>
      <c r="O592">
        <f t="shared" si="48"/>
        <v>0</v>
      </c>
      <c r="P592">
        <f t="shared" si="49"/>
        <v>0</v>
      </c>
      <c r="R592" t="str">
        <f t="shared" si="50"/>
        <v>Not open</v>
      </c>
    </row>
    <row r="593" spans="1:18" x14ac:dyDescent="0.3">
      <c r="A593" t="s">
        <v>746</v>
      </c>
      <c r="B593" t="s">
        <v>488</v>
      </c>
      <c r="C593" t="s">
        <v>558</v>
      </c>
      <c r="D593" s="1">
        <v>45079</v>
      </c>
      <c r="E593" s="1">
        <v>45109</v>
      </c>
      <c r="F593" t="s">
        <v>31</v>
      </c>
      <c r="G593">
        <v>31972.99</v>
      </c>
      <c r="H593" s="1">
        <v>45151</v>
      </c>
      <c r="I593" t="s">
        <v>555</v>
      </c>
      <c r="J593" t="s">
        <v>556</v>
      </c>
      <c r="L593">
        <v>31972.99</v>
      </c>
      <c r="M593">
        <f>IF(F593="INR",1,INDEX('rates'!$B$2:$C$522,MATCH(D593,'rates'!$A$2:$A$522,1),MATCH(F593&amp;"/INR",'rates'!$B$1:$C$1,0)))</f>
        <v>88.312100000000001</v>
      </c>
      <c r="N593">
        <f t="shared" si="47"/>
        <v>2823601.8901790003</v>
      </c>
      <c r="O593">
        <f t="shared" si="48"/>
        <v>0</v>
      </c>
      <c r="P593">
        <f t="shared" si="49"/>
        <v>0</v>
      </c>
      <c r="Q593">
        <f t="shared" ref="Q593:Q624" si="51">IF(H593="","",H593-E593)</f>
        <v>42</v>
      </c>
      <c r="R593" t="str">
        <f t="shared" si="50"/>
        <v>Not open</v>
      </c>
    </row>
    <row r="594" spans="1:18" x14ac:dyDescent="0.3">
      <c r="A594" t="s">
        <v>747</v>
      </c>
      <c r="B594" t="s">
        <v>46</v>
      </c>
      <c r="C594" t="s">
        <v>558</v>
      </c>
      <c r="D594" s="1">
        <v>45080</v>
      </c>
      <c r="E594" s="1">
        <v>45140</v>
      </c>
      <c r="F594" t="s">
        <v>36</v>
      </c>
      <c r="G594">
        <v>58608.33</v>
      </c>
      <c r="H594" s="1">
        <v>45143</v>
      </c>
      <c r="I594" t="s">
        <v>555</v>
      </c>
      <c r="J594" t="s">
        <v>556</v>
      </c>
      <c r="L594">
        <v>58608.33</v>
      </c>
      <c r="M594">
        <f>IF(F594="INR",1,INDEX('rates'!$B$2:$C$522,MATCH(D594,'rates'!$A$2:$A$522,1),MATCH(F594&amp;"/INR",'rates'!$B$1:$C$1,0)))</f>
        <v>82.35</v>
      </c>
      <c r="N594">
        <f t="shared" si="47"/>
        <v>4826395.9754999997</v>
      </c>
      <c r="O594">
        <f t="shared" si="48"/>
        <v>0</v>
      </c>
      <c r="P594">
        <f t="shared" si="49"/>
        <v>0</v>
      </c>
      <c r="Q594">
        <f t="shared" si="51"/>
        <v>3</v>
      </c>
      <c r="R594" t="str">
        <f t="shared" si="50"/>
        <v>Not open</v>
      </c>
    </row>
    <row r="595" spans="1:18" x14ac:dyDescent="0.3">
      <c r="A595" t="s">
        <v>748</v>
      </c>
      <c r="B595" t="s">
        <v>154</v>
      </c>
      <c r="C595" t="s">
        <v>566</v>
      </c>
      <c r="D595" s="1">
        <v>45080</v>
      </c>
      <c r="E595" s="1">
        <v>45110</v>
      </c>
      <c r="F595" t="s">
        <v>13</v>
      </c>
      <c r="G595">
        <v>2253271</v>
      </c>
      <c r="H595" s="1">
        <v>45107</v>
      </c>
      <c r="I595" t="s">
        <v>555</v>
      </c>
      <c r="J595" t="s">
        <v>556</v>
      </c>
      <c r="L595">
        <v>2253271</v>
      </c>
      <c r="M595">
        <f>IF(F595="INR",1,INDEX('rates'!$B$2:$C$522,MATCH(D595,'rates'!$A$2:$A$522,1),MATCH(F595&amp;"/INR",'rates'!$B$1:$C$1,0)))</f>
        <v>1</v>
      </c>
      <c r="N595">
        <f t="shared" si="47"/>
        <v>2253271</v>
      </c>
      <c r="O595">
        <f t="shared" si="48"/>
        <v>0</v>
      </c>
      <c r="P595">
        <f t="shared" si="49"/>
        <v>0</v>
      </c>
      <c r="Q595">
        <f t="shared" si="51"/>
        <v>-3</v>
      </c>
      <c r="R595" t="str">
        <f t="shared" si="50"/>
        <v>Not open</v>
      </c>
    </row>
    <row r="596" spans="1:18" x14ac:dyDescent="0.3">
      <c r="A596" t="s">
        <v>749</v>
      </c>
      <c r="B596" t="s">
        <v>184</v>
      </c>
      <c r="C596" t="s">
        <v>575</v>
      </c>
      <c r="D596" s="1">
        <v>45080</v>
      </c>
      <c r="E596" s="1">
        <v>45170</v>
      </c>
      <c r="F596" t="s">
        <v>31</v>
      </c>
      <c r="G596">
        <v>82880.38</v>
      </c>
      <c r="H596" s="1">
        <v>45181</v>
      </c>
      <c r="I596" t="s">
        <v>555</v>
      </c>
      <c r="J596" t="s">
        <v>556</v>
      </c>
      <c r="L596">
        <v>82880.38</v>
      </c>
      <c r="M596">
        <f>IF(F596="INR",1,INDEX('rates'!$B$2:$C$522,MATCH(D596,'rates'!$A$2:$A$522,1),MATCH(F596&amp;"/INR",'rates'!$B$1:$C$1,0)))</f>
        <v>88.312100000000001</v>
      </c>
      <c r="N596">
        <f t="shared" si="47"/>
        <v>7319340.4065980008</v>
      </c>
      <c r="O596">
        <f t="shared" si="48"/>
        <v>0</v>
      </c>
      <c r="P596">
        <f t="shared" si="49"/>
        <v>0</v>
      </c>
      <c r="Q596">
        <f t="shared" si="51"/>
        <v>11</v>
      </c>
      <c r="R596" t="str">
        <f t="shared" si="50"/>
        <v>Not open</v>
      </c>
    </row>
    <row r="597" spans="1:18" x14ac:dyDescent="0.3">
      <c r="A597" t="s">
        <v>750</v>
      </c>
      <c r="B597" t="s">
        <v>360</v>
      </c>
      <c r="C597" t="s">
        <v>566</v>
      </c>
      <c r="D597" s="1">
        <v>45080</v>
      </c>
      <c r="E597" s="1">
        <v>45125</v>
      </c>
      <c r="F597" t="s">
        <v>13</v>
      </c>
      <c r="G597">
        <v>6326051</v>
      </c>
      <c r="H597" s="1">
        <v>45130</v>
      </c>
      <c r="I597" t="s">
        <v>555</v>
      </c>
      <c r="J597" t="s">
        <v>556</v>
      </c>
      <c r="L597">
        <v>6326051</v>
      </c>
      <c r="M597">
        <f>IF(F597="INR",1,INDEX('rates'!$B$2:$C$522,MATCH(D597,'rates'!$A$2:$A$522,1),MATCH(F597&amp;"/INR",'rates'!$B$1:$C$1,0)))</f>
        <v>1</v>
      </c>
      <c r="N597">
        <f t="shared" si="47"/>
        <v>6326051</v>
      </c>
      <c r="O597">
        <f t="shared" si="48"/>
        <v>0</v>
      </c>
      <c r="P597">
        <f t="shared" si="49"/>
        <v>0</v>
      </c>
      <c r="Q597">
        <f t="shared" si="51"/>
        <v>5</v>
      </c>
      <c r="R597" t="str">
        <f t="shared" si="50"/>
        <v>Not open</v>
      </c>
    </row>
    <row r="598" spans="1:18" x14ac:dyDescent="0.3">
      <c r="A598" t="s">
        <v>751</v>
      </c>
      <c r="B598" t="s">
        <v>386</v>
      </c>
      <c r="C598" t="s">
        <v>575</v>
      </c>
      <c r="D598" s="1">
        <v>45080</v>
      </c>
      <c r="E598" s="1">
        <v>45140</v>
      </c>
      <c r="F598" t="s">
        <v>31</v>
      </c>
      <c r="G598">
        <v>303122.46000000002</v>
      </c>
      <c r="H598" s="1">
        <v>45166</v>
      </c>
      <c r="I598" t="s">
        <v>555</v>
      </c>
      <c r="J598" t="s">
        <v>556</v>
      </c>
      <c r="L598">
        <v>303122.46000000002</v>
      </c>
      <c r="M598">
        <f>IF(F598="INR",1,INDEX('rates'!$B$2:$C$522,MATCH(D598,'rates'!$A$2:$A$522,1),MATCH(F598&amp;"/INR",'rates'!$B$1:$C$1,0)))</f>
        <v>88.312100000000001</v>
      </c>
      <c r="N598">
        <f t="shared" si="47"/>
        <v>26769380.999766003</v>
      </c>
      <c r="O598">
        <f t="shared" si="48"/>
        <v>0</v>
      </c>
      <c r="P598">
        <f t="shared" si="49"/>
        <v>0</v>
      </c>
      <c r="Q598">
        <f t="shared" si="51"/>
        <v>26</v>
      </c>
      <c r="R598" t="str">
        <f t="shared" si="50"/>
        <v>Not open</v>
      </c>
    </row>
    <row r="599" spans="1:18" x14ac:dyDescent="0.3">
      <c r="A599" t="s">
        <v>752</v>
      </c>
      <c r="B599" t="s">
        <v>400</v>
      </c>
      <c r="C599" t="s">
        <v>554</v>
      </c>
      <c r="D599" s="1">
        <v>45080</v>
      </c>
      <c r="E599" s="1">
        <v>45125</v>
      </c>
      <c r="F599" t="s">
        <v>36</v>
      </c>
      <c r="G599">
        <v>25117.77</v>
      </c>
      <c r="H599" s="1">
        <v>45264</v>
      </c>
      <c r="I599" t="s">
        <v>555</v>
      </c>
      <c r="J599" t="s">
        <v>556</v>
      </c>
      <c r="L599">
        <v>25117.77</v>
      </c>
      <c r="M599">
        <f>IF(F599="INR",1,INDEX('rates'!$B$2:$C$522,MATCH(D599,'rates'!$A$2:$A$522,1),MATCH(F599&amp;"/INR",'rates'!$B$1:$C$1,0)))</f>
        <v>82.35</v>
      </c>
      <c r="N599">
        <f t="shared" si="47"/>
        <v>2068448.3594999998</v>
      </c>
      <c r="O599">
        <f t="shared" si="48"/>
        <v>0</v>
      </c>
      <c r="P599">
        <f t="shared" si="49"/>
        <v>0</v>
      </c>
      <c r="Q599">
        <f t="shared" si="51"/>
        <v>139</v>
      </c>
      <c r="R599" t="str">
        <f t="shared" si="50"/>
        <v>Not open</v>
      </c>
    </row>
    <row r="600" spans="1:18" x14ac:dyDescent="0.3">
      <c r="A600" t="s">
        <v>753</v>
      </c>
      <c r="B600" t="s">
        <v>466</v>
      </c>
      <c r="C600" t="s">
        <v>558</v>
      </c>
      <c r="D600" s="1">
        <v>45082</v>
      </c>
      <c r="E600" s="1">
        <v>45142</v>
      </c>
      <c r="F600" t="s">
        <v>31</v>
      </c>
      <c r="G600">
        <v>106440.96000000001</v>
      </c>
      <c r="H600" s="1">
        <v>45152</v>
      </c>
      <c r="I600" t="s">
        <v>555</v>
      </c>
      <c r="J600" t="s">
        <v>556</v>
      </c>
      <c r="L600">
        <v>106440.96000000001</v>
      </c>
      <c r="M600">
        <f>IF(F600="INR",1,INDEX('rates'!$B$2:$C$522,MATCH(D600,'rates'!$A$2:$A$522,1),MATCH(F600&amp;"/INR",'rates'!$B$1:$C$1,0)))</f>
        <v>88.630499999999998</v>
      </c>
      <c r="N600">
        <f t="shared" si="47"/>
        <v>9433915.5052800011</v>
      </c>
      <c r="O600">
        <f t="shared" si="48"/>
        <v>0</v>
      </c>
      <c r="P600">
        <f t="shared" si="49"/>
        <v>0</v>
      </c>
      <c r="Q600">
        <f t="shared" si="51"/>
        <v>10</v>
      </c>
      <c r="R600" t="str">
        <f t="shared" si="50"/>
        <v>Not open</v>
      </c>
    </row>
    <row r="601" spans="1:18" x14ac:dyDescent="0.3">
      <c r="A601" t="s">
        <v>754</v>
      </c>
      <c r="B601" t="s">
        <v>65</v>
      </c>
      <c r="C601" t="s">
        <v>558</v>
      </c>
      <c r="D601" s="1">
        <v>45083</v>
      </c>
      <c r="E601" s="1">
        <v>45113</v>
      </c>
      <c r="F601" t="s">
        <v>13</v>
      </c>
      <c r="G601">
        <v>5440162</v>
      </c>
      <c r="H601" s="1">
        <v>45129</v>
      </c>
      <c r="I601" t="s">
        <v>555</v>
      </c>
      <c r="J601" t="s">
        <v>556</v>
      </c>
      <c r="L601">
        <v>5440162</v>
      </c>
      <c r="M601">
        <f>IF(F601="INR",1,INDEX('rates'!$B$2:$C$522,MATCH(D601,'rates'!$A$2:$A$522,1),MATCH(F601&amp;"/INR",'rates'!$B$1:$C$1,0)))</f>
        <v>1</v>
      </c>
      <c r="N601">
        <f t="shared" si="47"/>
        <v>5440162</v>
      </c>
      <c r="O601">
        <f t="shared" si="48"/>
        <v>0</v>
      </c>
      <c r="P601">
        <f t="shared" si="49"/>
        <v>0</v>
      </c>
      <c r="Q601">
        <f t="shared" si="51"/>
        <v>16</v>
      </c>
      <c r="R601" t="str">
        <f t="shared" si="50"/>
        <v>Not open</v>
      </c>
    </row>
    <row r="602" spans="1:18" x14ac:dyDescent="0.3">
      <c r="A602" t="s">
        <v>755</v>
      </c>
      <c r="B602" t="s">
        <v>256</v>
      </c>
      <c r="C602" t="s">
        <v>554</v>
      </c>
      <c r="D602" s="1">
        <v>45083</v>
      </c>
      <c r="E602" s="1">
        <v>45128</v>
      </c>
      <c r="F602" t="s">
        <v>13</v>
      </c>
      <c r="G602">
        <v>8191880</v>
      </c>
      <c r="H602" s="1">
        <v>45133</v>
      </c>
      <c r="I602" t="s">
        <v>555</v>
      </c>
      <c r="J602" t="s">
        <v>556</v>
      </c>
      <c r="L602">
        <v>8191880</v>
      </c>
      <c r="M602">
        <f>IF(F602="INR",1,INDEX('rates'!$B$2:$C$522,MATCH(D602,'rates'!$A$2:$A$522,1),MATCH(F602&amp;"/INR",'rates'!$B$1:$C$1,0)))</f>
        <v>1</v>
      </c>
      <c r="N602">
        <f t="shared" si="47"/>
        <v>8191880</v>
      </c>
      <c r="O602">
        <f t="shared" si="48"/>
        <v>0</v>
      </c>
      <c r="P602">
        <f t="shared" si="49"/>
        <v>0</v>
      </c>
      <c r="Q602">
        <f t="shared" si="51"/>
        <v>5</v>
      </c>
      <c r="R602" t="str">
        <f t="shared" si="50"/>
        <v>Not open</v>
      </c>
    </row>
    <row r="603" spans="1:18" x14ac:dyDescent="0.3">
      <c r="A603" t="s">
        <v>756</v>
      </c>
      <c r="B603" t="s">
        <v>260</v>
      </c>
      <c r="C603" t="s">
        <v>558</v>
      </c>
      <c r="D603" s="1">
        <v>45083</v>
      </c>
      <c r="E603" s="1">
        <v>45143</v>
      </c>
      <c r="F603" t="s">
        <v>36</v>
      </c>
      <c r="G603">
        <v>52608.34</v>
      </c>
      <c r="H603" s="1">
        <v>45204</v>
      </c>
      <c r="I603" t="s">
        <v>555</v>
      </c>
      <c r="J603" t="s">
        <v>556</v>
      </c>
      <c r="L603">
        <v>52608.34</v>
      </c>
      <c r="M603">
        <f>IF(F603="INR",1,INDEX('rates'!$B$2:$C$522,MATCH(D603,'rates'!$A$2:$A$522,1),MATCH(F603&amp;"/INR",'rates'!$B$1:$C$1,0)))</f>
        <v>82.61</v>
      </c>
      <c r="N603">
        <f t="shared" si="47"/>
        <v>4345974.9673999995</v>
      </c>
      <c r="O603">
        <f t="shared" si="48"/>
        <v>0</v>
      </c>
      <c r="P603">
        <f t="shared" si="49"/>
        <v>0</v>
      </c>
      <c r="Q603">
        <f t="shared" si="51"/>
        <v>61</v>
      </c>
      <c r="R603" t="str">
        <f t="shared" si="50"/>
        <v>Not open</v>
      </c>
    </row>
    <row r="604" spans="1:18" x14ac:dyDescent="0.3">
      <c r="A604" t="s">
        <v>757</v>
      </c>
      <c r="B604" t="s">
        <v>394</v>
      </c>
      <c r="C604" t="s">
        <v>575</v>
      </c>
      <c r="D604" s="1">
        <v>45083</v>
      </c>
      <c r="E604" s="1">
        <v>45143</v>
      </c>
      <c r="F604" t="s">
        <v>31</v>
      </c>
      <c r="G604">
        <v>81932.539999999994</v>
      </c>
      <c r="H604" s="1">
        <v>45161</v>
      </c>
      <c r="I604" t="s">
        <v>555</v>
      </c>
      <c r="J604" t="s">
        <v>573</v>
      </c>
      <c r="K604">
        <v>88.528099999999995</v>
      </c>
      <c r="L604">
        <v>81932.539999999994</v>
      </c>
      <c r="M604">
        <f>IF(F604="INR",1,INDEX('rates'!$B$2:$C$522,MATCH(D604,'rates'!$A$2:$A$522,1),MATCH(F604&amp;"/INR",'rates'!$B$1:$C$1,0)))</f>
        <v>88.351399999999998</v>
      </c>
      <c r="N604">
        <f t="shared" si="47"/>
        <v>7238854.6145559996</v>
      </c>
      <c r="O604">
        <f t="shared" si="48"/>
        <v>0</v>
      </c>
      <c r="P604">
        <f t="shared" si="49"/>
        <v>0</v>
      </c>
      <c r="Q604">
        <f t="shared" si="51"/>
        <v>18</v>
      </c>
      <c r="R604" t="str">
        <f t="shared" si="50"/>
        <v>Not open</v>
      </c>
    </row>
    <row r="605" spans="1:18" x14ac:dyDescent="0.3">
      <c r="A605" t="s">
        <v>758</v>
      </c>
      <c r="B605" t="s">
        <v>436</v>
      </c>
      <c r="C605" t="s">
        <v>566</v>
      </c>
      <c r="D605" s="1">
        <v>45083</v>
      </c>
      <c r="E605" s="1">
        <v>45128</v>
      </c>
      <c r="F605" t="s">
        <v>36</v>
      </c>
      <c r="G605">
        <v>38262.54</v>
      </c>
      <c r="H605" s="1">
        <v>45161</v>
      </c>
      <c r="I605" t="s">
        <v>555</v>
      </c>
      <c r="J605" t="s">
        <v>573</v>
      </c>
      <c r="K605">
        <v>82.816500000000005</v>
      </c>
      <c r="L605">
        <v>38262.54</v>
      </c>
      <c r="M605">
        <f>IF(F605="INR",1,INDEX('rates'!$B$2:$C$522,MATCH(D605,'rates'!$A$2:$A$522,1),MATCH(F605&amp;"/INR",'rates'!$B$1:$C$1,0)))</f>
        <v>82.61</v>
      </c>
      <c r="N605">
        <f t="shared" si="47"/>
        <v>3160868.4294000003</v>
      </c>
      <c r="O605">
        <f t="shared" si="48"/>
        <v>0</v>
      </c>
      <c r="P605">
        <f t="shared" si="49"/>
        <v>0</v>
      </c>
      <c r="Q605">
        <f t="shared" si="51"/>
        <v>33</v>
      </c>
      <c r="R605" t="str">
        <f t="shared" si="50"/>
        <v>Not open</v>
      </c>
    </row>
    <row r="606" spans="1:18" x14ac:dyDescent="0.3">
      <c r="A606" t="s">
        <v>759</v>
      </c>
      <c r="B606" t="s">
        <v>466</v>
      </c>
      <c r="C606" t="s">
        <v>560</v>
      </c>
      <c r="D606" s="1">
        <v>45083</v>
      </c>
      <c r="E606" s="1">
        <v>45143</v>
      </c>
      <c r="F606" t="s">
        <v>31</v>
      </c>
      <c r="G606">
        <v>344643.92</v>
      </c>
      <c r="H606" s="1">
        <v>45146</v>
      </c>
      <c r="I606" t="s">
        <v>555</v>
      </c>
      <c r="J606" t="s">
        <v>556</v>
      </c>
      <c r="L606">
        <v>344643.92</v>
      </c>
      <c r="M606">
        <f>IF(F606="INR",1,INDEX('rates'!$B$2:$C$522,MATCH(D606,'rates'!$A$2:$A$522,1),MATCH(F606&amp;"/INR",'rates'!$B$1:$C$1,0)))</f>
        <v>88.351399999999998</v>
      </c>
      <c r="N606">
        <f t="shared" si="47"/>
        <v>30449772.833487999</v>
      </c>
      <c r="O606">
        <f t="shared" si="48"/>
        <v>0</v>
      </c>
      <c r="P606">
        <f t="shared" si="49"/>
        <v>0</v>
      </c>
      <c r="Q606">
        <f t="shared" si="51"/>
        <v>3</v>
      </c>
      <c r="R606" t="str">
        <f t="shared" si="50"/>
        <v>Not open</v>
      </c>
    </row>
    <row r="607" spans="1:18" x14ac:dyDescent="0.3">
      <c r="A607" t="s">
        <v>760</v>
      </c>
      <c r="B607" t="s">
        <v>496</v>
      </c>
      <c r="C607" t="s">
        <v>554</v>
      </c>
      <c r="D607" s="1">
        <v>45083</v>
      </c>
      <c r="E607" s="1">
        <v>45128</v>
      </c>
      <c r="F607" t="s">
        <v>13</v>
      </c>
      <c r="G607">
        <v>5599329</v>
      </c>
      <c r="H607" s="1">
        <v>45132</v>
      </c>
      <c r="I607" t="s">
        <v>555</v>
      </c>
      <c r="J607" t="s">
        <v>556</v>
      </c>
      <c r="L607">
        <v>5599329</v>
      </c>
      <c r="M607">
        <f>IF(F607="INR",1,INDEX('rates'!$B$2:$C$522,MATCH(D607,'rates'!$A$2:$A$522,1),MATCH(F607&amp;"/INR",'rates'!$B$1:$C$1,0)))</f>
        <v>1</v>
      </c>
      <c r="N607">
        <f t="shared" si="47"/>
        <v>5599329</v>
      </c>
      <c r="O607">
        <f t="shared" si="48"/>
        <v>0</v>
      </c>
      <c r="P607">
        <f t="shared" si="49"/>
        <v>0</v>
      </c>
      <c r="Q607">
        <f t="shared" si="51"/>
        <v>4</v>
      </c>
      <c r="R607" t="str">
        <f t="shared" si="50"/>
        <v>Not open</v>
      </c>
    </row>
    <row r="608" spans="1:18" x14ac:dyDescent="0.3">
      <c r="A608" t="s">
        <v>761</v>
      </c>
      <c r="B608" t="s">
        <v>496</v>
      </c>
      <c r="C608" t="s">
        <v>566</v>
      </c>
      <c r="D608" s="1">
        <v>45083</v>
      </c>
      <c r="E608" s="1">
        <v>45128</v>
      </c>
      <c r="F608" t="s">
        <v>13</v>
      </c>
      <c r="G608">
        <v>5468838</v>
      </c>
      <c r="H608" s="1">
        <v>45135</v>
      </c>
      <c r="I608" t="s">
        <v>555</v>
      </c>
      <c r="J608" t="s">
        <v>556</v>
      </c>
      <c r="L608">
        <v>5468838</v>
      </c>
      <c r="M608">
        <f>IF(F608="INR",1,INDEX('rates'!$B$2:$C$522,MATCH(D608,'rates'!$A$2:$A$522,1),MATCH(F608&amp;"/INR",'rates'!$B$1:$C$1,0)))</f>
        <v>1</v>
      </c>
      <c r="N608">
        <f t="shared" si="47"/>
        <v>5468838</v>
      </c>
      <c r="O608">
        <f t="shared" si="48"/>
        <v>0</v>
      </c>
      <c r="P608">
        <f t="shared" si="49"/>
        <v>0</v>
      </c>
      <c r="Q608">
        <f t="shared" si="51"/>
        <v>7</v>
      </c>
      <c r="R608" t="str">
        <f t="shared" si="50"/>
        <v>Not open</v>
      </c>
    </row>
    <row r="609" spans="1:18" x14ac:dyDescent="0.3">
      <c r="A609" t="s">
        <v>762</v>
      </c>
      <c r="B609" t="s">
        <v>89</v>
      </c>
      <c r="C609" t="s">
        <v>575</v>
      </c>
      <c r="D609" s="1">
        <v>45084</v>
      </c>
      <c r="E609" s="1">
        <v>45114</v>
      </c>
      <c r="F609" t="s">
        <v>13</v>
      </c>
      <c r="G609">
        <v>9523195</v>
      </c>
      <c r="H609" s="1">
        <v>45120</v>
      </c>
      <c r="I609" t="s">
        <v>555</v>
      </c>
      <c r="J609" t="s">
        <v>556</v>
      </c>
      <c r="L609">
        <v>9523195</v>
      </c>
      <c r="M609">
        <f>IF(F609="INR",1,INDEX('rates'!$B$2:$C$522,MATCH(D609,'rates'!$A$2:$A$522,1),MATCH(F609&amp;"/INR",'rates'!$B$1:$C$1,0)))</f>
        <v>1</v>
      </c>
      <c r="N609">
        <f t="shared" si="47"/>
        <v>9523195</v>
      </c>
      <c r="O609">
        <f t="shared" si="48"/>
        <v>0</v>
      </c>
      <c r="P609">
        <f t="shared" si="49"/>
        <v>0</v>
      </c>
      <c r="Q609">
        <f t="shared" si="51"/>
        <v>6</v>
      </c>
      <c r="R609" t="str">
        <f t="shared" si="50"/>
        <v>Not open</v>
      </c>
    </row>
    <row r="610" spans="1:18" x14ac:dyDescent="0.3">
      <c r="A610" t="s">
        <v>763</v>
      </c>
      <c r="B610" t="s">
        <v>466</v>
      </c>
      <c r="C610" t="s">
        <v>558</v>
      </c>
      <c r="D610" s="1">
        <v>45084</v>
      </c>
      <c r="E610" s="1">
        <v>45144</v>
      </c>
      <c r="F610" t="s">
        <v>31</v>
      </c>
      <c r="G610">
        <v>84703.14</v>
      </c>
      <c r="H610" s="1">
        <v>45150</v>
      </c>
      <c r="I610" t="s">
        <v>555</v>
      </c>
      <c r="J610" t="s">
        <v>573</v>
      </c>
      <c r="K610">
        <v>88.468100000000007</v>
      </c>
      <c r="L610">
        <v>84703.14</v>
      </c>
      <c r="M610">
        <f>IF(F610="INR",1,INDEX('rates'!$B$2:$C$522,MATCH(D610,'rates'!$A$2:$A$522,1),MATCH(F610&amp;"/INR",'rates'!$B$1:$C$1,0)))</f>
        <v>88.291499999999999</v>
      </c>
      <c r="N610">
        <f t="shared" si="47"/>
        <v>7478567.2853100002</v>
      </c>
      <c r="O610">
        <f t="shared" si="48"/>
        <v>0</v>
      </c>
      <c r="P610">
        <f t="shared" si="49"/>
        <v>0</v>
      </c>
      <c r="Q610">
        <f t="shared" si="51"/>
        <v>6</v>
      </c>
      <c r="R610" t="str">
        <f t="shared" si="50"/>
        <v>Not open</v>
      </c>
    </row>
    <row r="611" spans="1:18" x14ac:dyDescent="0.3">
      <c r="A611" t="s">
        <v>764</v>
      </c>
      <c r="B611" t="s">
        <v>512</v>
      </c>
      <c r="C611" t="s">
        <v>566</v>
      </c>
      <c r="D611" s="1">
        <v>45084</v>
      </c>
      <c r="E611" s="1">
        <v>45144</v>
      </c>
      <c r="F611" t="s">
        <v>31</v>
      </c>
      <c r="G611">
        <v>80948.55</v>
      </c>
      <c r="H611" s="1">
        <v>45201</v>
      </c>
      <c r="I611" t="s">
        <v>555</v>
      </c>
      <c r="J611" t="s">
        <v>573</v>
      </c>
      <c r="K611">
        <v>88.468100000000007</v>
      </c>
      <c r="L611">
        <v>80948.55</v>
      </c>
      <c r="M611">
        <f>IF(F611="INR",1,INDEX('rates'!$B$2:$C$522,MATCH(D611,'rates'!$A$2:$A$522,1),MATCH(F611&amp;"/INR",'rates'!$B$1:$C$1,0)))</f>
        <v>88.291499999999999</v>
      </c>
      <c r="N611">
        <f t="shared" si="47"/>
        <v>7147068.9023250006</v>
      </c>
      <c r="O611">
        <f t="shared" si="48"/>
        <v>0</v>
      </c>
      <c r="P611">
        <f t="shared" si="49"/>
        <v>0</v>
      </c>
      <c r="Q611">
        <f t="shared" si="51"/>
        <v>57</v>
      </c>
      <c r="R611" t="str">
        <f t="shared" si="50"/>
        <v>Not open</v>
      </c>
    </row>
    <row r="612" spans="1:18" x14ac:dyDescent="0.3">
      <c r="A612" t="s">
        <v>765</v>
      </c>
      <c r="B612" t="s">
        <v>72</v>
      </c>
      <c r="C612" t="s">
        <v>554</v>
      </c>
      <c r="D612" s="1">
        <v>45085</v>
      </c>
      <c r="E612" s="1">
        <v>45175</v>
      </c>
      <c r="F612" t="s">
        <v>31</v>
      </c>
      <c r="G612">
        <v>16762.34</v>
      </c>
      <c r="H612" s="1">
        <v>45209</v>
      </c>
      <c r="I612" t="s">
        <v>555</v>
      </c>
      <c r="J612" t="s">
        <v>573</v>
      </c>
      <c r="K612">
        <v>89.277500000000003</v>
      </c>
      <c r="L612">
        <v>16762.34</v>
      </c>
      <c r="M612">
        <f>IF(F612="INR",1,INDEX('rates'!$B$2:$C$522,MATCH(D612,'rates'!$A$2:$A$522,1),MATCH(F612&amp;"/INR",'rates'!$B$1:$C$1,0)))</f>
        <v>89.010499999999993</v>
      </c>
      <c r="N612">
        <f t="shared" si="47"/>
        <v>1492024.2645699999</v>
      </c>
      <c r="O612">
        <f t="shared" si="48"/>
        <v>0</v>
      </c>
      <c r="P612">
        <f t="shared" si="49"/>
        <v>0</v>
      </c>
      <c r="Q612">
        <f t="shared" si="51"/>
        <v>34</v>
      </c>
      <c r="R612" t="str">
        <f t="shared" si="50"/>
        <v>Not open</v>
      </c>
    </row>
    <row r="613" spans="1:18" x14ac:dyDescent="0.3">
      <c r="A613" t="s">
        <v>766</v>
      </c>
      <c r="B613" t="s">
        <v>296</v>
      </c>
      <c r="C613" t="s">
        <v>558</v>
      </c>
      <c r="D613" s="1">
        <v>45085</v>
      </c>
      <c r="E613" s="1">
        <v>45115</v>
      </c>
      <c r="F613" t="s">
        <v>13</v>
      </c>
      <c r="G613">
        <v>4252853</v>
      </c>
      <c r="H613" s="1">
        <v>45126</v>
      </c>
      <c r="I613" t="s">
        <v>555</v>
      </c>
      <c r="J613" t="s">
        <v>556</v>
      </c>
      <c r="L613">
        <v>4252853</v>
      </c>
      <c r="M613">
        <f>IF(F613="INR",1,INDEX('rates'!$B$2:$C$522,MATCH(D613,'rates'!$A$2:$A$522,1),MATCH(F613&amp;"/INR",'rates'!$B$1:$C$1,0)))</f>
        <v>1</v>
      </c>
      <c r="N613">
        <f t="shared" si="47"/>
        <v>4252853</v>
      </c>
      <c r="O613">
        <f t="shared" si="48"/>
        <v>0</v>
      </c>
      <c r="P613">
        <f t="shared" si="49"/>
        <v>0</v>
      </c>
      <c r="Q613">
        <f t="shared" si="51"/>
        <v>11</v>
      </c>
      <c r="R613" t="str">
        <f t="shared" si="50"/>
        <v>Not open</v>
      </c>
    </row>
    <row r="614" spans="1:18" x14ac:dyDescent="0.3">
      <c r="A614" t="s">
        <v>767</v>
      </c>
      <c r="B614" t="s">
        <v>306</v>
      </c>
      <c r="C614" t="s">
        <v>560</v>
      </c>
      <c r="D614" s="1">
        <v>45085</v>
      </c>
      <c r="E614" s="1">
        <v>45175</v>
      </c>
      <c r="F614" t="s">
        <v>36</v>
      </c>
      <c r="G614">
        <v>154330.9</v>
      </c>
      <c r="H614" s="1">
        <v>45179</v>
      </c>
      <c r="I614" t="s">
        <v>555</v>
      </c>
      <c r="J614" t="s">
        <v>573</v>
      </c>
      <c r="K614">
        <v>82.982799999999997</v>
      </c>
      <c r="L614">
        <v>154330.9</v>
      </c>
      <c r="M614">
        <f>IF(F614="INR",1,INDEX('rates'!$B$2:$C$522,MATCH(D614,'rates'!$A$2:$A$522,1),MATCH(F614&amp;"/INR",'rates'!$B$1:$C$1,0)))</f>
        <v>82.57</v>
      </c>
      <c r="N614">
        <f t="shared" si="47"/>
        <v>12743102.412999999</v>
      </c>
      <c r="O614">
        <f t="shared" si="48"/>
        <v>0</v>
      </c>
      <c r="P614">
        <f t="shared" si="49"/>
        <v>0</v>
      </c>
      <c r="Q614">
        <f t="shared" si="51"/>
        <v>4</v>
      </c>
      <c r="R614" t="str">
        <f t="shared" si="50"/>
        <v>Not open</v>
      </c>
    </row>
    <row r="615" spans="1:18" x14ac:dyDescent="0.3">
      <c r="A615" t="s">
        <v>768</v>
      </c>
      <c r="B615" t="s">
        <v>378</v>
      </c>
      <c r="C615" t="s">
        <v>566</v>
      </c>
      <c r="D615" s="1">
        <v>45085</v>
      </c>
      <c r="E615" s="1">
        <v>45130</v>
      </c>
      <c r="F615" t="s">
        <v>31</v>
      </c>
      <c r="G615">
        <v>120296.98</v>
      </c>
      <c r="H615" s="1">
        <v>45140</v>
      </c>
      <c r="I615" t="s">
        <v>555</v>
      </c>
      <c r="J615" t="s">
        <v>573</v>
      </c>
      <c r="K615">
        <v>89.144000000000005</v>
      </c>
      <c r="L615">
        <v>120296.98</v>
      </c>
      <c r="M615">
        <f>IF(F615="INR",1,INDEX('rates'!$B$2:$C$522,MATCH(D615,'rates'!$A$2:$A$522,1),MATCH(F615&amp;"/INR",'rates'!$B$1:$C$1,0)))</f>
        <v>89.010499999999993</v>
      </c>
      <c r="N615">
        <f t="shared" si="47"/>
        <v>10707694.338289998</v>
      </c>
      <c r="O615">
        <f t="shared" si="48"/>
        <v>0</v>
      </c>
      <c r="P615">
        <f t="shared" si="49"/>
        <v>0</v>
      </c>
      <c r="Q615">
        <f t="shared" si="51"/>
        <v>10</v>
      </c>
      <c r="R615" t="str">
        <f t="shared" si="50"/>
        <v>Not open</v>
      </c>
    </row>
    <row r="616" spans="1:18" x14ac:dyDescent="0.3">
      <c r="A616" t="s">
        <v>769</v>
      </c>
      <c r="B616" t="s">
        <v>394</v>
      </c>
      <c r="C616" t="s">
        <v>575</v>
      </c>
      <c r="D616" s="1">
        <v>45085</v>
      </c>
      <c r="E616" s="1">
        <v>45145</v>
      </c>
      <c r="F616" t="s">
        <v>31</v>
      </c>
      <c r="G616">
        <v>28134.98</v>
      </c>
      <c r="H616" s="1">
        <v>45149</v>
      </c>
      <c r="I616" t="s">
        <v>555</v>
      </c>
      <c r="J616" t="s">
        <v>573</v>
      </c>
      <c r="K616">
        <v>89.188500000000005</v>
      </c>
      <c r="L616">
        <v>28134.98</v>
      </c>
      <c r="M616">
        <f>IF(F616="INR",1,INDEX('rates'!$B$2:$C$522,MATCH(D616,'rates'!$A$2:$A$522,1),MATCH(F616&amp;"/INR",'rates'!$B$1:$C$1,0)))</f>
        <v>89.010499999999993</v>
      </c>
      <c r="N616">
        <f t="shared" si="47"/>
        <v>2504308.63729</v>
      </c>
      <c r="O616">
        <f t="shared" si="48"/>
        <v>0</v>
      </c>
      <c r="P616">
        <f t="shared" si="49"/>
        <v>0</v>
      </c>
      <c r="Q616">
        <f t="shared" si="51"/>
        <v>4</v>
      </c>
      <c r="R616" t="str">
        <f t="shared" si="50"/>
        <v>Not open</v>
      </c>
    </row>
    <row r="617" spans="1:18" x14ac:dyDescent="0.3">
      <c r="A617" t="s">
        <v>770</v>
      </c>
      <c r="B617" t="s">
        <v>454</v>
      </c>
      <c r="C617" t="s">
        <v>575</v>
      </c>
      <c r="D617" s="1">
        <v>45085</v>
      </c>
      <c r="E617" s="1">
        <v>45145</v>
      </c>
      <c r="F617" t="s">
        <v>13</v>
      </c>
      <c r="G617">
        <v>1973743</v>
      </c>
      <c r="H617" s="1">
        <v>45146</v>
      </c>
      <c r="I617" t="s">
        <v>555</v>
      </c>
      <c r="J617" t="s">
        <v>556</v>
      </c>
      <c r="L617">
        <v>1973743</v>
      </c>
      <c r="M617">
        <f>IF(F617="INR",1,INDEX('rates'!$B$2:$C$522,MATCH(D617,'rates'!$A$2:$A$522,1),MATCH(F617&amp;"/INR",'rates'!$B$1:$C$1,0)))</f>
        <v>1</v>
      </c>
      <c r="N617">
        <f t="shared" si="47"/>
        <v>1973743</v>
      </c>
      <c r="O617">
        <f t="shared" si="48"/>
        <v>0</v>
      </c>
      <c r="P617">
        <f t="shared" si="49"/>
        <v>0</v>
      </c>
      <c r="Q617">
        <f t="shared" si="51"/>
        <v>1</v>
      </c>
      <c r="R617" t="str">
        <f t="shared" si="50"/>
        <v>Not open</v>
      </c>
    </row>
    <row r="618" spans="1:18" x14ac:dyDescent="0.3">
      <c r="A618" t="s">
        <v>771</v>
      </c>
      <c r="B618" t="s">
        <v>134</v>
      </c>
      <c r="C618" t="s">
        <v>575</v>
      </c>
      <c r="D618" s="1">
        <v>45086</v>
      </c>
      <c r="E618" s="1">
        <v>45176</v>
      </c>
      <c r="F618" t="s">
        <v>36</v>
      </c>
      <c r="G618">
        <v>125632.13</v>
      </c>
      <c r="H618" s="1">
        <v>45185</v>
      </c>
      <c r="I618" t="s">
        <v>555</v>
      </c>
      <c r="J618" t="s">
        <v>556</v>
      </c>
      <c r="L618">
        <v>125632.13</v>
      </c>
      <c r="M618">
        <f>IF(F618="INR",1,INDEX('rates'!$B$2:$C$522,MATCH(D618,'rates'!$A$2:$A$522,1),MATCH(F618&amp;"/INR",'rates'!$B$1:$C$1,0)))</f>
        <v>82.46</v>
      </c>
      <c r="N618">
        <f t="shared" si="47"/>
        <v>10359625.4398</v>
      </c>
      <c r="O618">
        <f t="shared" si="48"/>
        <v>0</v>
      </c>
      <c r="P618">
        <f t="shared" si="49"/>
        <v>0</v>
      </c>
      <c r="Q618">
        <f t="shared" si="51"/>
        <v>9</v>
      </c>
      <c r="R618" t="str">
        <f t="shared" si="50"/>
        <v>Not open</v>
      </c>
    </row>
    <row r="619" spans="1:18" x14ac:dyDescent="0.3">
      <c r="A619" t="s">
        <v>772</v>
      </c>
      <c r="B619" t="s">
        <v>154</v>
      </c>
      <c r="C619" t="s">
        <v>566</v>
      </c>
      <c r="D619" s="1">
        <v>45086</v>
      </c>
      <c r="E619" s="1">
        <v>45116</v>
      </c>
      <c r="F619" t="s">
        <v>13</v>
      </c>
      <c r="G619">
        <v>5255478</v>
      </c>
      <c r="H619" s="1">
        <v>45117</v>
      </c>
      <c r="I619" t="s">
        <v>555</v>
      </c>
      <c r="J619" t="s">
        <v>556</v>
      </c>
      <c r="L619">
        <v>5255478</v>
      </c>
      <c r="M619">
        <f>IF(F619="INR",1,INDEX('rates'!$B$2:$C$522,MATCH(D619,'rates'!$A$2:$A$522,1),MATCH(F619&amp;"/INR",'rates'!$B$1:$C$1,0)))</f>
        <v>1</v>
      </c>
      <c r="N619">
        <f t="shared" si="47"/>
        <v>5255478</v>
      </c>
      <c r="O619">
        <f t="shared" si="48"/>
        <v>0</v>
      </c>
      <c r="P619">
        <f t="shared" si="49"/>
        <v>0</v>
      </c>
      <c r="Q619">
        <f t="shared" si="51"/>
        <v>1</v>
      </c>
      <c r="R619" t="str">
        <f t="shared" si="50"/>
        <v>Not open</v>
      </c>
    </row>
    <row r="620" spans="1:18" x14ac:dyDescent="0.3">
      <c r="A620" t="s">
        <v>773</v>
      </c>
      <c r="B620" t="s">
        <v>184</v>
      </c>
      <c r="C620" t="s">
        <v>575</v>
      </c>
      <c r="D620" s="1">
        <v>45086</v>
      </c>
      <c r="E620" s="1">
        <v>45176</v>
      </c>
      <c r="F620" t="s">
        <v>31</v>
      </c>
      <c r="G620">
        <v>31018.55</v>
      </c>
      <c r="H620" s="1">
        <v>45187</v>
      </c>
      <c r="I620" t="s">
        <v>555</v>
      </c>
      <c r="J620" t="s">
        <v>573</v>
      </c>
      <c r="K620">
        <v>88.902199999999993</v>
      </c>
      <c r="L620">
        <v>31018.55</v>
      </c>
      <c r="M620">
        <f>IF(F620="INR",1,INDEX('rates'!$B$2:$C$522,MATCH(D620,'rates'!$A$2:$A$522,1),MATCH(F620&amp;"/INR",'rates'!$B$1:$C$1,0)))</f>
        <v>88.636300000000006</v>
      </c>
      <c r="N620">
        <f t="shared" si="47"/>
        <v>2749369.5033650002</v>
      </c>
      <c r="O620">
        <f t="shared" si="48"/>
        <v>0</v>
      </c>
      <c r="P620">
        <f t="shared" si="49"/>
        <v>0</v>
      </c>
      <c r="Q620">
        <f t="shared" si="51"/>
        <v>11</v>
      </c>
      <c r="R620" t="str">
        <f t="shared" si="50"/>
        <v>Not open</v>
      </c>
    </row>
    <row r="621" spans="1:18" x14ac:dyDescent="0.3">
      <c r="A621" t="s">
        <v>774</v>
      </c>
      <c r="B621" t="s">
        <v>186</v>
      </c>
      <c r="C621" t="s">
        <v>558</v>
      </c>
      <c r="D621" s="1">
        <v>45086</v>
      </c>
      <c r="E621" s="1">
        <v>45116</v>
      </c>
      <c r="F621" t="s">
        <v>36</v>
      </c>
      <c r="G621">
        <v>59077.98</v>
      </c>
      <c r="H621" s="1">
        <v>45137</v>
      </c>
      <c r="I621" t="s">
        <v>555</v>
      </c>
      <c r="J621" t="s">
        <v>556</v>
      </c>
      <c r="L621">
        <v>59077.98</v>
      </c>
      <c r="M621">
        <f>IF(F621="INR",1,INDEX('rates'!$B$2:$C$522,MATCH(D621,'rates'!$A$2:$A$522,1),MATCH(F621&amp;"/INR",'rates'!$B$1:$C$1,0)))</f>
        <v>82.46</v>
      </c>
      <c r="N621">
        <f t="shared" si="47"/>
        <v>4871570.2308</v>
      </c>
      <c r="O621">
        <f t="shared" si="48"/>
        <v>0</v>
      </c>
      <c r="P621">
        <f t="shared" si="49"/>
        <v>0</v>
      </c>
      <c r="Q621">
        <f t="shared" si="51"/>
        <v>21</v>
      </c>
      <c r="R621" t="str">
        <f t="shared" si="50"/>
        <v>Not open</v>
      </c>
    </row>
    <row r="622" spans="1:18" x14ac:dyDescent="0.3">
      <c r="A622" t="s">
        <v>775</v>
      </c>
      <c r="B622" t="s">
        <v>374</v>
      </c>
      <c r="C622" t="s">
        <v>575</v>
      </c>
      <c r="D622" s="1">
        <v>45086</v>
      </c>
      <c r="E622" s="1">
        <v>45116</v>
      </c>
      <c r="F622" t="s">
        <v>13</v>
      </c>
      <c r="G622">
        <v>3558720</v>
      </c>
      <c r="H622" s="1">
        <v>45139</v>
      </c>
      <c r="I622" t="s">
        <v>555</v>
      </c>
      <c r="J622" t="s">
        <v>556</v>
      </c>
      <c r="L622">
        <v>3558720</v>
      </c>
      <c r="M622">
        <f>IF(F622="INR",1,INDEX('rates'!$B$2:$C$522,MATCH(D622,'rates'!$A$2:$A$522,1),MATCH(F622&amp;"/INR",'rates'!$B$1:$C$1,0)))</f>
        <v>1</v>
      </c>
      <c r="N622">
        <f t="shared" si="47"/>
        <v>3558720</v>
      </c>
      <c r="O622">
        <f t="shared" si="48"/>
        <v>0</v>
      </c>
      <c r="P622">
        <f t="shared" si="49"/>
        <v>0</v>
      </c>
      <c r="Q622">
        <f t="shared" si="51"/>
        <v>23</v>
      </c>
      <c r="R622" t="str">
        <f t="shared" si="50"/>
        <v>Not open</v>
      </c>
    </row>
    <row r="623" spans="1:18" x14ac:dyDescent="0.3">
      <c r="A623" t="s">
        <v>776</v>
      </c>
      <c r="B623" t="s">
        <v>378</v>
      </c>
      <c r="C623" t="s">
        <v>566</v>
      </c>
      <c r="D623" s="1">
        <v>45086</v>
      </c>
      <c r="E623" s="1">
        <v>45131</v>
      </c>
      <c r="F623" t="s">
        <v>31</v>
      </c>
      <c r="G623">
        <v>57883.98</v>
      </c>
      <c r="H623" s="1">
        <v>45144</v>
      </c>
      <c r="I623" t="s">
        <v>555</v>
      </c>
      <c r="J623" t="s">
        <v>573</v>
      </c>
      <c r="K623">
        <v>88.769300000000001</v>
      </c>
      <c r="L623">
        <v>57883.98</v>
      </c>
      <c r="M623">
        <f>IF(F623="INR",1,INDEX('rates'!$B$2:$C$522,MATCH(D623,'rates'!$A$2:$A$522,1),MATCH(F623&amp;"/INR",'rates'!$B$1:$C$1,0)))</f>
        <v>88.636300000000006</v>
      </c>
      <c r="N623">
        <f t="shared" si="47"/>
        <v>5130621.8164740009</v>
      </c>
      <c r="O623">
        <f t="shared" si="48"/>
        <v>0</v>
      </c>
      <c r="P623">
        <f t="shared" si="49"/>
        <v>0</v>
      </c>
      <c r="Q623">
        <f t="shared" si="51"/>
        <v>13</v>
      </c>
      <c r="R623" t="str">
        <f t="shared" si="50"/>
        <v>Not open</v>
      </c>
    </row>
    <row r="624" spans="1:18" x14ac:dyDescent="0.3">
      <c r="A624" t="s">
        <v>777</v>
      </c>
      <c r="B624" t="s">
        <v>33</v>
      </c>
      <c r="C624" t="s">
        <v>566</v>
      </c>
      <c r="D624" s="1">
        <v>45087</v>
      </c>
      <c r="E624" s="1">
        <v>45117</v>
      </c>
      <c r="F624" t="s">
        <v>36</v>
      </c>
      <c r="G624">
        <v>194622.49</v>
      </c>
      <c r="H624" s="1">
        <v>45162</v>
      </c>
      <c r="I624" t="s">
        <v>555</v>
      </c>
      <c r="J624" t="s">
        <v>573</v>
      </c>
      <c r="K624">
        <v>82.597399999999993</v>
      </c>
      <c r="L624">
        <v>194622.49</v>
      </c>
      <c r="M624">
        <f>IF(F624="INR",1,INDEX('rates'!$B$2:$C$522,MATCH(D624,'rates'!$A$2:$A$522,1),MATCH(F624&amp;"/INR",'rates'!$B$1:$C$1,0)))</f>
        <v>82.46</v>
      </c>
      <c r="N624">
        <f t="shared" si="47"/>
        <v>16048570.525399998</v>
      </c>
      <c r="O624">
        <f t="shared" si="48"/>
        <v>0</v>
      </c>
      <c r="P624">
        <f t="shared" si="49"/>
        <v>0</v>
      </c>
      <c r="Q624">
        <f t="shared" si="51"/>
        <v>45</v>
      </c>
      <c r="R624" t="str">
        <f t="shared" si="50"/>
        <v>Not open</v>
      </c>
    </row>
    <row r="625" spans="1:18" x14ac:dyDescent="0.3">
      <c r="A625" t="s">
        <v>778</v>
      </c>
      <c r="B625" t="s">
        <v>96</v>
      </c>
      <c r="C625" t="s">
        <v>558</v>
      </c>
      <c r="D625" s="1">
        <v>45087</v>
      </c>
      <c r="E625" s="1">
        <v>45177</v>
      </c>
      <c r="F625" t="s">
        <v>13</v>
      </c>
      <c r="G625">
        <v>6387812</v>
      </c>
      <c r="H625" s="1">
        <v>45184</v>
      </c>
      <c r="I625" t="s">
        <v>555</v>
      </c>
      <c r="J625" t="s">
        <v>556</v>
      </c>
      <c r="L625">
        <v>6387812</v>
      </c>
      <c r="M625">
        <f>IF(F625="INR",1,INDEX('rates'!$B$2:$C$522,MATCH(D625,'rates'!$A$2:$A$522,1),MATCH(F625&amp;"/INR",'rates'!$B$1:$C$1,0)))</f>
        <v>1</v>
      </c>
      <c r="N625">
        <f t="shared" si="47"/>
        <v>6387812</v>
      </c>
      <c r="O625">
        <f t="shared" si="48"/>
        <v>0</v>
      </c>
      <c r="P625">
        <f t="shared" si="49"/>
        <v>0</v>
      </c>
      <c r="Q625">
        <f t="shared" ref="Q625:Q656" si="52">IF(H625="","",H625-E625)</f>
        <v>7</v>
      </c>
      <c r="R625" t="str">
        <f t="shared" si="50"/>
        <v>Not open</v>
      </c>
    </row>
    <row r="626" spans="1:18" x14ac:dyDescent="0.3">
      <c r="A626" t="s">
        <v>779</v>
      </c>
      <c r="B626" t="s">
        <v>117</v>
      </c>
      <c r="C626" t="s">
        <v>554</v>
      </c>
      <c r="D626" s="1">
        <v>45087</v>
      </c>
      <c r="E626" s="1">
        <v>45147</v>
      </c>
      <c r="F626" t="s">
        <v>13</v>
      </c>
      <c r="G626">
        <v>4947705</v>
      </c>
      <c r="H626" s="1">
        <v>45158</v>
      </c>
      <c r="I626" t="s">
        <v>555</v>
      </c>
      <c r="J626" t="s">
        <v>556</v>
      </c>
      <c r="L626">
        <v>4947705</v>
      </c>
      <c r="M626">
        <f>IF(F626="INR",1,INDEX('rates'!$B$2:$C$522,MATCH(D626,'rates'!$A$2:$A$522,1),MATCH(F626&amp;"/INR",'rates'!$B$1:$C$1,0)))</f>
        <v>1</v>
      </c>
      <c r="N626">
        <f t="shared" si="47"/>
        <v>4947705</v>
      </c>
      <c r="O626">
        <f t="shared" si="48"/>
        <v>0</v>
      </c>
      <c r="P626">
        <f t="shared" si="49"/>
        <v>0</v>
      </c>
      <c r="Q626">
        <f t="shared" si="52"/>
        <v>11</v>
      </c>
      <c r="R626" t="str">
        <f t="shared" si="50"/>
        <v>Not open</v>
      </c>
    </row>
    <row r="627" spans="1:18" x14ac:dyDescent="0.3">
      <c r="A627" t="s">
        <v>780</v>
      </c>
      <c r="B627" t="s">
        <v>154</v>
      </c>
      <c r="C627" t="s">
        <v>566</v>
      </c>
      <c r="D627" s="1">
        <v>45087</v>
      </c>
      <c r="E627" s="1">
        <v>45117</v>
      </c>
      <c r="F627" t="s">
        <v>13</v>
      </c>
      <c r="G627">
        <v>17155044</v>
      </c>
      <c r="H627" s="1">
        <v>45114</v>
      </c>
      <c r="I627" t="s">
        <v>555</v>
      </c>
      <c r="J627" t="s">
        <v>556</v>
      </c>
      <c r="L627">
        <v>17155044</v>
      </c>
      <c r="M627">
        <f>IF(F627="INR",1,INDEX('rates'!$B$2:$C$522,MATCH(D627,'rates'!$A$2:$A$522,1),MATCH(F627&amp;"/INR",'rates'!$B$1:$C$1,0)))</f>
        <v>1</v>
      </c>
      <c r="N627">
        <f t="shared" si="47"/>
        <v>17155044</v>
      </c>
      <c r="O627">
        <f t="shared" si="48"/>
        <v>0</v>
      </c>
      <c r="P627">
        <f t="shared" si="49"/>
        <v>0</v>
      </c>
      <c r="Q627">
        <f t="shared" si="52"/>
        <v>-3</v>
      </c>
      <c r="R627" t="str">
        <f t="shared" si="50"/>
        <v>Not open</v>
      </c>
    </row>
    <row r="628" spans="1:18" x14ac:dyDescent="0.3">
      <c r="A628" t="s">
        <v>781</v>
      </c>
      <c r="B628" t="s">
        <v>332</v>
      </c>
      <c r="C628" t="s">
        <v>566</v>
      </c>
      <c r="D628" s="1">
        <v>45087</v>
      </c>
      <c r="E628" s="1">
        <v>45147</v>
      </c>
      <c r="F628" t="s">
        <v>36</v>
      </c>
      <c r="G628">
        <v>70834.53</v>
      </c>
      <c r="H628" s="1">
        <v>45148</v>
      </c>
      <c r="I628" t="s">
        <v>555</v>
      </c>
      <c r="J628" t="s">
        <v>556</v>
      </c>
      <c r="L628">
        <v>70834.53</v>
      </c>
      <c r="M628">
        <f>IF(F628="INR",1,INDEX('rates'!$B$2:$C$522,MATCH(D628,'rates'!$A$2:$A$522,1),MATCH(F628&amp;"/INR",'rates'!$B$1:$C$1,0)))</f>
        <v>82.46</v>
      </c>
      <c r="N628">
        <f t="shared" si="47"/>
        <v>5841015.3437999999</v>
      </c>
      <c r="O628">
        <f t="shared" si="48"/>
        <v>0</v>
      </c>
      <c r="P628">
        <f t="shared" si="49"/>
        <v>0</v>
      </c>
      <c r="Q628">
        <f t="shared" si="52"/>
        <v>1</v>
      </c>
      <c r="R628" t="str">
        <f t="shared" si="50"/>
        <v>Not open</v>
      </c>
    </row>
    <row r="629" spans="1:18" x14ac:dyDescent="0.3">
      <c r="A629" t="s">
        <v>782</v>
      </c>
      <c r="B629" t="s">
        <v>466</v>
      </c>
      <c r="C629" t="s">
        <v>558</v>
      </c>
      <c r="D629" s="1">
        <v>45087</v>
      </c>
      <c r="E629" s="1">
        <v>45147</v>
      </c>
      <c r="F629" t="s">
        <v>31</v>
      </c>
      <c r="G629">
        <v>136195.26999999999</v>
      </c>
      <c r="H629" s="1">
        <v>45151</v>
      </c>
      <c r="I629" t="s">
        <v>555</v>
      </c>
      <c r="J629" t="s">
        <v>573</v>
      </c>
      <c r="K629">
        <v>88.813599999999994</v>
      </c>
      <c r="L629">
        <v>136195.26999999999</v>
      </c>
      <c r="M629">
        <f>IF(F629="INR",1,INDEX('rates'!$B$2:$C$522,MATCH(D629,'rates'!$A$2:$A$522,1),MATCH(F629&amp;"/INR",'rates'!$B$1:$C$1,0)))</f>
        <v>88.636300000000006</v>
      </c>
      <c r="N629">
        <f t="shared" si="47"/>
        <v>12071844.810301</v>
      </c>
      <c r="O629">
        <f t="shared" si="48"/>
        <v>0</v>
      </c>
      <c r="P629">
        <f t="shared" si="49"/>
        <v>0</v>
      </c>
      <c r="Q629">
        <f t="shared" si="52"/>
        <v>4</v>
      </c>
      <c r="R629" t="str">
        <f t="shared" si="50"/>
        <v>Not open</v>
      </c>
    </row>
    <row r="630" spans="1:18" x14ac:dyDescent="0.3">
      <c r="A630" t="s">
        <v>783</v>
      </c>
      <c r="B630" t="s">
        <v>522</v>
      </c>
      <c r="C630" t="s">
        <v>566</v>
      </c>
      <c r="D630" s="1">
        <v>45087</v>
      </c>
      <c r="E630" s="1">
        <v>45147</v>
      </c>
      <c r="F630" t="s">
        <v>31</v>
      </c>
      <c r="G630">
        <v>67170.710000000006</v>
      </c>
      <c r="H630" s="1">
        <v>45155</v>
      </c>
      <c r="I630" t="s">
        <v>555</v>
      </c>
      <c r="J630" t="s">
        <v>573</v>
      </c>
      <c r="K630">
        <v>88.813599999999994</v>
      </c>
      <c r="L630">
        <v>67170.710000000006</v>
      </c>
      <c r="M630">
        <f>IF(F630="INR",1,INDEX('rates'!$B$2:$C$522,MATCH(D630,'rates'!$A$2:$A$522,1),MATCH(F630&amp;"/INR",'rates'!$B$1:$C$1,0)))</f>
        <v>88.636300000000006</v>
      </c>
      <c r="N630">
        <f t="shared" si="47"/>
        <v>5953763.202773001</v>
      </c>
      <c r="O630">
        <f t="shared" si="48"/>
        <v>0</v>
      </c>
      <c r="P630">
        <f t="shared" si="49"/>
        <v>0</v>
      </c>
      <c r="Q630">
        <f t="shared" si="52"/>
        <v>8</v>
      </c>
      <c r="R630" t="str">
        <f t="shared" si="50"/>
        <v>Not open</v>
      </c>
    </row>
    <row r="631" spans="1:18" x14ac:dyDescent="0.3">
      <c r="A631" t="s">
        <v>784</v>
      </c>
      <c r="B631" t="s">
        <v>117</v>
      </c>
      <c r="C631" t="s">
        <v>554</v>
      </c>
      <c r="D631" s="1">
        <v>45089</v>
      </c>
      <c r="E631" s="1">
        <v>45149</v>
      </c>
      <c r="F631" t="s">
        <v>13</v>
      </c>
      <c r="G631">
        <v>5684422</v>
      </c>
      <c r="H631" s="1">
        <v>45162</v>
      </c>
      <c r="I631" t="s">
        <v>555</v>
      </c>
      <c r="J631" t="s">
        <v>556</v>
      </c>
      <c r="L631">
        <v>5684422</v>
      </c>
      <c r="M631">
        <f>IF(F631="INR",1,INDEX('rates'!$B$2:$C$522,MATCH(D631,'rates'!$A$2:$A$522,1),MATCH(F631&amp;"/INR",'rates'!$B$1:$C$1,0)))</f>
        <v>1</v>
      </c>
      <c r="N631">
        <f t="shared" si="47"/>
        <v>5684422</v>
      </c>
      <c r="O631">
        <f t="shared" si="48"/>
        <v>0</v>
      </c>
      <c r="P631">
        <f t="shared" si="49"/>
        <v>0</v>
      </c>
      <c r="Q631">
        <f t="shared" si="52"/>
        <v>13</v>
      </c>
      <c r="R631" t="str">
        <f t="shared" si="50"/>
        <v>Not open</v>
      </c>
    </row>
    <row r="632" spans="1:18" x14ac:dyDescent="0.3">
      <c r="A632" t="s">
        <v>785</v>
      </c>
      <c r="B632" t="s">
        <v>132</v>
      </c>
      <c r="C632" t="s">
        <v>554</v>
      </c>
      <c r="D632" s="1">
        <v>45089</v>
      </c>
      <c r="E632" s="1">
        <v>45119</v>
      </c>
      <c r="F632" t="s">
        <v>13</v>
      </c>
      <c r="G632">
        <v>4283812</v>
      </c>
      <c r="H632" s="1">
        <v>45115</v>
      </c>
      <c r="I632" t="s">
        <v>555</v>
      </c>
      <c r="J632" t="s">
        <v>556</v>
      </c>
      <c r="L632">
        <v>4283812</v>
      </c>
      <c r="M632">
        <f>IF(F632="INR",1,INDEX('rates'!$B$2:$C$522,MATCH(D632,'rates'!$A$2:$A$522,1),MATCH(F632&amp;"/INR",'rates'!$B$1:$C$1,0)))</f>
        <v>1</v>
      </c>
      <c r="N632">
        <f t="shared" si="47"/>
        <v>4283812</v>
      </c>
      <c r="O632">
        <f t="shared" si="48"/>
        <v>0</v>
      </c>
      <c r="P632">
        <f t="shared" si="49"/>
        <v>0</v>
      </c>
      <c r="Q632">
        <f t="shared" si="52"/>
        <v>-4</v>
      </c>
      <c r="R632" t="str">
        <f t="shared" si="50"/>
        <v>Not open</v>
      </c>
    </row>
    <row r="633" spans="1:18" x14ac:dyDescent="0.3">
      <c r="A633" t="s">
        <v>786</v>
      </c>
      <c r="B633" t="s">
        <v>158</v>
      </c>
      <c r="C633" t="s">
        <v>566</v>
      </c>
      <c r="D633" s="1">
        <v>45089</v>
      </c>
      <c r="E633" s="1">
        <v>45119</v>
      </c>
      <c r="F633" t="s">
        <v>13</v>
      </c>
      <c r="G633">
        <v>12483932</v>
      </c>
      <c r="H633" s="1">
        <v>45128</v>
      </c>
      <c r="I633" t="s">
        <v>555</v>
      </c>
      <c r="J633" t="s">
        <v>556</v>
      </c>
      <c r="L633">
        <v>12483932</v>
      </c>
      <c r="M633">
        <f>IF(F633="INR",1,INDEX('rates'!$B$2:$C$522,MATCH(D633,'rates'!$A$2:$A$522,1),MATCH(F633&amp;"/INR",'rates'!$B$1:$C$1,0)))</f>
        <v>1</v>
      </c>
      <c r="N633">
        <f t="shared" si="47"/>
        <v>12483932</v>
      </c>
      <c r="O633">
        <f t="shared" si="48"/>
        <v>0</v>
      </c>
      <c r="P633">
        <f t="shared" si="49"/>
        <v>0</v>
      </c>
      <c r="Q633">
        <f t="shared" si="52"/>
        <v>9</v>
      </c>
      <c r="R633" t="str">
        <f t="shared" si="50"/>
        <v>Not open</v>
      </c>
    </row>
    <row r="634" spans="1:18" x14ac:dyDescent="0.3">
      <c r="A634" t="s">
        <v>787</v>
      </c>
      <c r="B634" t="s">
        <v>414</v>
      </c>
      <c r="C634" t="s">
        <v>566</v>
      </c>
      <c r="D634" s="1">
        <v>45089</v>
      </c>
      <c r="E634" s="1">
        <v>45134</v>
      </c>
      <c r="F634" t="s">
        <v>13</v>
      </c>
      <c r="G634">
        <v>26429821</v>
      </c>
      <c r="H634" s="1">
        <v>45139</v>
      </c>
      <c r="I634" t="s">
        <v>555</v>
      </c>
      <c r="J634" t="s">
        <v>556</v>
      </c>
      <c r="L634">
        <v>26429821</v>
      </c>
      <c r="M634">
        <f>IF(F634="INR",1,INDEX('rates'!$B$2:$C$522,MATCH(D634,'rates'!$A$2:$A$522,1),MATCH(F634&amp;"/INR",'rates'!$B$1:$C$1,0)))</f>
        <v>1</v>
      </c>
      <c r="N634">
        <f t="shared" si="47"/>
        <v>26429821</v>
      </c>
      <c r="O634">
        <f t="shared" si="48"/>
        <v>0</v>
      </c>
      <c r="P634">
        <f t="shared" si="49"/>
        <v>0</v>
      </c>
      <c r="Q634">
        <f t="shared" si="52"/>
        <v>5</v>
      </c>
      <c r="R634" t="str">
        <f t="shared" si="50"/>
        <v>Not open</v>
      </c>
    </row>
    <row r="635" spans="1:18" x14ac:dyDescent="0.3">
      <c r="A635" t="s">
        <v>788</v>
      </c>
      <c r="B635" t="s">
        <v>442</v>
      </c>
      <c r="C635" t="s">
        <v>575</v>
      </c>
      <c r="D635" s="1">
        <v>45089</v>
      </c>
      <c r="E635" s="1">
        <v>45149</v>
      </c>
      <c r="F635" t="s">
        <v>13</v>
      </c>
      <c r="G635">
        <v>21117771</v>
      </c>
      <c r="H635" s="1">
        <v>45158</v>
      </c>
      <c r="I635" t="s">
        <v>555</v>
      </c>
      <c r="J635" t="s">
        <v>556</v>
      </c>
      <c r="L635">
        <v>21117771</v>
      </c>
      <c r="M635">
        <f>IF(F635="INR",1,INDEX('rates'!$B$2:$C$522,MATCH(D635,'rates'!$A$2:$A$522,1),MATCH(F635&amp;"/INR",'rates'!$B$1:$C$1,0)))</f>
        <v>1</v>
      </c>
      <c r="N635">
        <f t="shared" si="47"/>
        <v>21117771</v>
      </c>
      <c r="O635">
        <f t="shared" si="48"/>
        <v>0</v>
      </c>
      <c r="P635">
        <f t="shared" si="49"/>
        <v>0</v>
      </c>
      <c r="Q635">
        <f t="shared" si="52"/>
        <v>9</v>
      </c>
      <c r="R635" t="str">
        <f t="shared" si="50"/>
        <v>Not open</v>
      </c>
    </row>
    <row r="636" spans="1:18" x14ac:dyDescent="0.3">
      <c r="A636" t="s">
        <v>789</v>
      </c>
      <c r="B636" t="s">
        <v>466</v>
      </c>
      <c r="C636" t="s">
        <v>558</v>
      </c>
      <c r="D636" s="1">
        <v>45090</v>
      </c>
      <c r="E636" s="1">
        <v>45150</v>
      </c>
      <c r="F636" t="s">
        <v>31</v>
      </c>
      <c r="G636">
        <v>234659.09</v>
      </c>
      <c r="H636" s="1">
        <v>45162</v>
      </c>
      <c r="I636" t="s">
        <v>555</v>
      </c>
      <c r="J636" t="s">
        <v>556</v>
      </c>
      <c r="L636">
        <v>234659.09</v>
      </c>
      <c r="M636">
        <f>IF(F636="INR",1,INDEX('rates'!$B$2:$C$522,MATCH(D636,'rates'!$A$2:$A$522,1),MATCH(F636&amp;"/INR",'rates'!$B$1:$C$1,0)))</f>
        <v>88.904499999999999</v>
      </c>
      <c r="N636">
        <f t="shared" si="47"/>
        <v>20862249.066904999</v>
      </c>
      <c r="O636">
        <f t="shared" si="48"/>
        <v>0</v>
      </c>
      <c r="P636">
        <f t="shared" si="49"/>
        <v>0</v>
      </c>
      <c r="Q636">
        <f t="shared" si="52"/>
        <v>12</v>
      </c>
      <c r="R636" t="str">
        <f t="shared" si="50"/>
        <v>Not open</v>
      </c>
    </row>
    <row r="637" spans="1:18" x14ac:dyDescent="0.3">
      <c r="A637" t="s">
        <v>790</v>
      </c>
      <c r="B637" t="s">
        <v>500</v>
      </c>
      <c r="C637" t="s">
        <v>554</v>
      </c>
      <c r="D637" s="1">
        <v>45090</v>
      </c>
      <c r="E637" s="1">
        <v>45120</v>
      </c>
      <c r="F637" t="s">
        <v>13</v>
      </c>
      <c r="G637">
        <v>5393255</v>
      </c>
      <c r="H637" s="1">
        <v>45173</v>
      </c>
      <c r="I637" t="s">
        <v>555</v>
      </c>
      <c r="J637" t="s">
        <v>556</v>
      </c>
      <c r="L637">
        <v>5393255</v>
      </c>
      <c r="M637">
        <f>IF(F637="INR",1,INDEX('rates'!$B$2:$C$522,MATCH(D637,'rates'!$A$2:$A$522,1),MATCH(F637&amp;"/INR",'rates'!$B$1:$C$1,0)))</f>
        <v>1</v>
      </c>
      <c r="N637">
        <f t="shared" si="47"/>
        <v>5393255</v>
      </c>
      <c r="O637">
        <f t="shared" si="48"/>
        <v>0</v>
      </c>
      <c r="P637">
        <f t="shared" si="49"/>
        <v>0</v>
      </c>
      <c r="Q637">
        <f t="shared" si="52"/>
        <v>53</v>
      </c>
      <c r="R637" t="str">
        <f t="shared" si="50"/>
        <v>Not open</v>
      </c>
    </row>
    <row r="638" spans="1:18" x14ac:dyDescent="0.3">
      <c r="A638" t="s">
        <v>791</v>
      </c>
      <c r="B638" t="s">
        <v>536</v>
      </c>
      <c r="C638" t="s">
        <v>575</v>
      </c>
      <c r="D638" s="1">
        <v>45090</v>
      </c>
      <c r="E638" s="1">
        <v>45120</v>
      </c>
      <c r="F638" t="s">
        <v>36</v>
      </c>
      <c r="G638">
        <v>20951.47</v>
      </c>
      <c r="H638" s="1">
        <v>45125</v>
      </c>
      <c r="I638" t="s">
        <v>555</v>
      </c>
      <c r="J638" t="s">
        <v>573</v>
      </c>
      <c r="K638">
        <v>82.517300000000006</v>
      </c>
      <c r="L638">
        <v>20951.47</v>
      </c>
      <c r="M638">
        <f>IF(F638="INR",1,INDEX('rates'!$B$2:$C$522,MATCH(D638,'rates'!$A$2:$A$522,1),MATCH(F638&amp;"/INR",'rates'!$B$1:$C$1,0)))</f>
        <v>82.38</v>
      </c>
      <c r="N638">
        <f t="shared" si="47"/>
        <v>1725982.0985999999</v>
      </c>
      <c r="O638">
        <f t="shared" si="48"/>
        <v>0</v>
      </c>
      <c r="P638">
        <f t="shared" si="49"/>
        <v>0</v>
      </c>
      <c r="Q638">
        <f t="shared" si="52"/>
        <v>5</v>
      </c>
      <c r="R638" t="str">
        <f t="shared" si="50"/>
        <v>Not open</v>
      </c>
    </row>
    <row r="639" spans="1:18" x14ac:dyDescent="0.3">
      <c r="A639" t="s">
        <v>792</v>
      </c>
      <c r="B639" t="s">
        <v>33</v>
      </c>
      <c r="C639" t="s">
        <v>575</v>
      </c>
      <c r="D639" s="1">
        <v>45091</v>
      </c>
      <c r="E639" s="1">
        <v>45121</v>
      </c>
      <c r="F639" t="s">
        <v>36</v>
      </c>
      <c r="G639">
        <v>78888.91</v>
      </c>
      <c r="H639" s="1">
        <v>45137</v>
      </c>
      <c r="I639" t="s">
        <v>555</v>
      </c>
      <c r="J639" t="s">
        <v>556</v>
      </c>
      <c r="L639">
        <v>78888.91</v>
      </c>
      <c r="M639">
        <f>IF(F639="INR",1,INDEX('rates'!$B$2:$C$522,MATCH(D639,'rates'!$A$2:$A$522,1),MATCH(F639&amp;"/INR",'rates'!$B$1:$C$1,0)))</f>
        <v>82.1</v>
      </c>
      <c r="N639">
        <f t="shared" si="47"/>
        <v>6476779.5109999999</v>
      </c>
      <c r="O639">
        <f t="shared" si="48"/>
        <v>0</v>
      </c>
      <c r="P639">
        <f t="shared" si="49"/>
        <v>0</v>
      </c>
      <c r="Q639">
        <f t="shared" si="52"/>
        <v>16</v>
      </c>
      <c r="R639" t="str">
        <f t="shared" si="50"/>
        <v>Not open</v>
      </c>
    </row>
    <row r="640" spans="1:18" x14ac:dyDescent="0.3">
      <c r="A640" t="s">
        <v>793</v>
      </c>
      <c r="B640" t="s">
        <v>254</v>
      </c>
      <c r="C640" t="s">
        <v>558</v>
      </c>
      <c r="D640" s="1">
        <v>45091</v>
      </c>
      <c r="E640" s="1">
        <v>45121</v>
      </c>
      <c r="F640" t="s">
        <v>13</v>
      </c>
      <c r="G640">
        <v>7547556</v>
      </c>
      <c r="H640" s="1">
        <v>45235</v>
      </c>
      <c r="I640" t="s">
        <v>555</v>
      </c>
      <c r="J640" t="s">
        <v>556</v>
      </c>
      <c r="L640">
        <v>7547556</v>
      </c>
      <c r="M640">
        <f>IF(F640="INR",1,INDEX('rates'!$B$2:$C$522,MATCH(D640,'rates'!$A$2:$A$522,1),MATCH(F640&amp;"/INR",'rates'!$B$1:$C$1,0)))</f>
        <v>1</v>
      </c>
      <c r="N640">
        <f t="shared" si="47"/>
        <v>7547556</v>
      </c>
      <c r="O640">
        <f t="shared" si="48"/>
        <v>0</v>
      </c>
      <c r="P640">
        <f t="shared" si="49"/>
        <v>0</v>
      </c>
      <c r="Q640">
        <f t="shared" si="52"/>
        <v>114</v>
      </c>
      <c r="R640" t="str">
        <f t="shared" si="50"/>
        <v>Not open</v>
      </c>
    </row>
    <row r="641" spans="1:18" x14ac:dyDescent="0.3">
      <c r="A641" t="s">
        <v>794</v>
      </c>
      <c r="B641" t="s">
        <v>202</v>
      </c>
      <c r="C641" t="s">
        <v>554</v>
      </c>
      <c r="D641" s="1">
        <v>45092</v>
      </c>
      <c r="E641" s="1">
        <v>45122</v>
      </c>
      <c r="F641" t="s">
        <v>13</v>
      </c>
      <c r="G641">
        <v>10092249</v>
      </c>
      <c r="H641" s="1">
        <v>45138</v>
      </c>
      <c r="I641" t="s">
        <v>555</v>
      </c>
      <c r="J641" t="s">
        <v>556</v>
      </c>
      <c r="L641">
        <v>10092249</v>
      </c>
      <c r="M641">
        <f>IF(F641="INR",1,INDEX('rates'!$B$2:$C$522,MATCH(D641,'rates'!$A$2:$A$522,1),MATCH(F641&amp;"/INR",'rates'!$B$1:$C$1,0)))</f>
        <v>1</v>
      </c>
      <c r="N641">
        <f t="shared" si="47"/>
        <v>10092249</v>
      </c>
      <c r="O641">
        <f t="shared" si="48"/>
        <v>0</v>
      </c>
      <c r="P641">
        <f t="shared" si="49"/>
        <v>0</v>
      </c>
      <c r="Q641">
        <f t="shared" si="52"/>
        <v>16</v>
      </c>
      <c r="R641" t="str">
        <f t="shared" si="50"/>
        <v>Not open</v>
      </c>
    </row>
    <row r="642" spans="1:18" x14ac:dyDescent="0.3">
      <c r="A642" t="s">
        <v>795</v>
      </c>
      <c r="B642" t="s">
        <v>316</v>
      </c>
      <c r="C642" t="s">
        <v>575</v>
      </c>
      <c r="D642" s="1">
        <v>45092</v>
      </c>
      <c r="E642" s="1">
        <v>45122</v>
      </c>
      <c r="F642" t="s">
        <v>13</v>
      </c>
      <c r="G642">
        <v>4732845</v>
      </c>
      <c r="H642" s="1">
        <v>45126</v>
      </c>
      <c r="I642" t="s">
        <v>555</v>
      </c>
      <c r="J642" t="s">
        <v>556</v>
      </c>
      <c r="L642">
        <v>4732845</v>
      </c>
      <c r="M642">
        <f>IF(F642="INR",1,INDEX('rates'!$B$2:$C$522,MATCH(D642,'rates'!$A$2:$A$522,1),MATCH(F642&amp;"/INR",'rates'!$B$1:$C$1,0)))</f>
        <v>1</v>
      </c>
      <c r="N642">
        <f t="shared" ref="N642:N705" si="53">G642*M642</f>
        <v>4732845</v>
      </c>
      <c r="O642">
        <f t="shared" ref="O642:O705" si="54">IF(OR(I642="OPEN",I642="PARTIALLY PAID"),(G642-L642)*M642,0)</f>
        <v>0</v>
      </c>
      <c r="P642">
        <f t="shared" ref="P642:P705" si="55">IF(O642&gt;0,MAX(0,DATE(2025,3,31)-E642),0)</f>
        <v>0</v>
      </c>
      <c r="Q642">
        <f t="shared" si="52"/>
        <v>4</v>
      </c>
      <c r="R642" t="str">
        <f t="shared" ref="R642:R705" si="56">IF(O642=0,"Not open",IF(P642=0,"Not yet due",IF(P642&lt;=30,"1-30",IF(P642&lt;=60,"31-60",IF(P642&lt;=90,"61-90","90+")))))</f>
        <v>Not open</v>
      </c>
    </row>
    <row r="643" spans="1:18" x14ac:dyDescent="0.3">
      <c r="A643" t="s">
        <v>796</v>
      </c>
      <c r="B643" t="s">
        <v>316</v>
      </c>
      <c r="C643" t="s">
        <v>575</v>
      </c>
      <c r="D643" s="1">
        <v>45092</v>
      </c>
      <c r="E643" s="1">
        <v>45122</v>
      </c>
      <c r="F643" t="s">
        <v>13</v>
      </c>
      <c r="G643">
        <v>9979995</v>
      </c>
      <c r="H643" s="1">
        <v>45124</v>
      </c>
      <c r="I643" t="s">
        <v>555</v>
      </c>
      <c r="J643" t="s">
        <v>556</v>
      </c>
      <c r="L643">
        <v>9979995</v>
      </c>
      <c r="M643">
        <f>IF(F643="INR",1,INDEX('rates'!$B$2:$C$522,MATCH(D643,'rates'!$A$2:$A$522,1),MATCH(F643&amp;"/INR",'rates'!$B$1:$C$1,0)))</f>
        <v>1</v>
      </c>
      <c r="N643">
        <f t="shared" si="53"/>
        <v>9979995</v>
      </c>
      <c r="O643">
        <f t="shared" si="54"/>
        <v>0</v>
      </c>
      <c r="P643">
        <f t="shared" si="55"/>
        <v>0</v>
      </c>
      <c r="Q643">
        <f t="shared" si="52"/>
        <v>2</v>
      </c>
      <c r="R643" t="str">
        <f t="shared" si="56"/>
        <v>Not open</v>
      </c>
    </row>
    <row r="644" spans="1:18" x14ac:dyDescent="0.3">
      <c r="A644" t="s">
        <v>797</v>
      </c>
      <c r="B644" t="s">
        <v>496</v>
      </c>
      <c r="C644" t="s">
        <v>554</v>
      </c>
      <c r="D644" s="1">
        <v>45092</v>
      </c>
      <c r="E644" s="1">
        <v>45137</v>
      </c>
      <c r="F644" t="s">
        <v>13</v>
      </c>
      <c r="G644">
        <v>80000000</v>
      </c>
      <c r="H644" s="1">
        <v>45146</v>
      </c>
      <c r="I644" t="s">
        <v>555</v>
      </c>
      <c r="J644" t="s">
        <v>556</v>
      </c>
      <c r="L644">
        <v>80000000</v>
      </c>
      <c r="M644">
        <f>IF(F644="INR",1,INDEX('rates'!$B$2:$C$522,MATCH(D644,'rates'!$A$2:$A$522,1),MATCH(F644&amp;"/INR",'rates'!$B$1:$C$1,0)))</f>
        <v>1</v>
      </c>
      <c r="N644">
        <f t="shared" si="53"/>
        <v>80000000</v>
      </c>
      <c r="O644">
        <f t="shared" si="54"/>
        <v>0</v>
      </c>
      <c r="P644">
        <f t="shared" si="55"/>
        <v>0</v>
      </c>
      <c r="Q644">
        <f t="shared" si="52"/>
        <v>9</v>
      </c>
      <c r="R644" t="str">
        <f t="shared" si="56"/>
        <v>Not open</v>
      </c>
    </row>
    <row r="645" spans="1:18" x14ac:dyDescent="0.3">
      <c r="A645" t="s">
        <v>798</v>
      </c>
      <c r="B645" t="s">
        <v>132</v>
      </c>
      <c r="C645" t="s">
        <v>554</v>
      </c>
      <c r="D645" s="1">
        <v>45094</v>
      </c>
      <c r="E645" s="1">
        <v>45124</v>
      </c>
      <c r="F645" t="s">
        <v>13</v>
      </c>
      <c r="G645">
        <v>11195030</v>
      </c>
      <c r="H645" s="1">
        <v>45125</v>
      </c>
      <c r="I645" t="s">
        <v>555</v>
      </c>
      <c r="J645" t="s">
        <v>556</v>
      </c>
      <c r="L645">
        <v>11195030</v>
      </c>
      <c r="M645">
        <f>IF(F645="INR",1,INDEX('rates'!$B$2:$C$522,MATCH(D645,'rates'!$A$2:$A$522,1),MATCH(F645&amp;"/INR",'rates'!$B$1:$C$1,0)))</f>
        <v>1</v>
      </c>
      <c r="N645">
        <f t="shared" si="53"/>
        <v>11195030</v>
      </c>
      <c r="O645">
        <f t="shared" si="54"/>
        <v>0</v>
      </c>
      <c r="P645">
        <f t="shared" si="55"/>
        <v>0</v>
      </c>
      <c r="Q645">
        <f t="shared" si="52"/>
        <v>1</v>
      </c>
      <c r="R645" t="str">
        <f t="shared" si="56"/>
        <v>Not open</v>
      </c>
    </row>
    <row r="646" spans="1:18" x14ac:dyDescent="0.3">
      <c r="A646" t="s">
        <v>799</v>
      </c>
      <c r="B646" t="s">
        <v>220</v>
      </c>
      <c r="C646" t="s">
        <v>560</v>
      </c>
      <c r="D646" s="1">
        <v>45094</v>
      </c>
      <c r="E646" s="1">
        <v>45184</v>
      </c>
      <c r="F646" t="s">
        <v>31</v>
      </c>
      <c r="G646">
        <v>77885.72</v>
      </c>
      <c r="H646" s="1">
        <v>45211</v>
      </c>
      <c r="I646" t="s">
        <v>555</v>
      </c>
      <c r="J646" t="s">
        <v>556</v>
      </c>
      <c r="L646">
        <v>77885.72</v>
      </c>
      <c r="M646">
        <f>IF(F646="INR",1,INDEX('rates'!$B$2:$C$522,MATCH(D646,'rates'!$A$2:$A$522,1),MATCH(F646&amp;"/INR",'rates'!$B$1:$C$1,0)))</f>
        <v>89.464799999999997</v>
      </c>
      <c r="N646">
        <f t="shared" si="53"/>
        <v>6968030.3626560001</v>
      </c>
      <c r="O646">
        <f t="shared" si="54"/>
        <v>0</v>
      </c>
      <c r="P646">
        <f t="shared" si="55"/>
        <v>0</v>
      </c>
      <c r="Q646">
        <f t="shared" si="52"/>
        <v>27</v>
      </c>
      <c r="R646" t="str">
        <f t="shared" si="56"/>
        <v>Not open</v>
      </c>
    </row>
    <row r="647" spans="1:18" x14ac:dyDescent="0.3">
      <c r="A647" t="s">
        <v>800</v>
      </c>
      <c r="B647" t="s">
        <v>252</v>
      </c>
      <c r="C647" t="s">
        <v>566</v>
      </c>
      <c r="D647" s="1">
        <v>45094</v>
      </c>
      <c r="E647" s="1">
        <v>45139</v>
      </c>
      <c r="F647" t="s">
        <v>36</v>
      </c>
      <c r="G647">
        <v>55491.74</v>
      </c>
      <c r="H647" s="1">
        <v>45149</v>
      </c>
      <c r="I647" t="s">
        <v>555</v>
      </c>
      <c r="J647" t="s">
        <v>556</v>
      </c>
      <c r="L647">
        <v>55491.74</v>
      </c>
      <c r="M647">
        <f>IF(F647="INR",1,INDEX('rates'!$B$2:$C$522,MATCH(D647,'rates'!$A$2:$A$522,1),MATCH(F647&amp;"/INR",'rates'!$B$1:$C$1,0)))</f>
        <v>81.89</v>
      </c>
      <c r="N647">
        <f t="shared" si="53"/>
        <v>4544218.5885999994</v>
      </c>
      <c r="O647">
        <f t="shared" si="54"/>
        <v>0</v>
      </c>
      <c r="P647">
        <f t="shared" si="55"/>
        <v>0</v>
      </c>
      <c r="Q647">
        <f t="shared" si="52"/>
        <v>10</v>
      </c>
      <c r="R647" t="str">
        <f t="shared" si="56"/>
        <v>Not open</v>
      </c>
    </row>
    <row r="648" spans="1:18" x14ac:dyDescent="0.3">
      <c r="A648" t="s">
        <v>801</v>
      </c>
      <c r="B648" t="s">
        <v>290</v>
      </c>
      <c r="C648" t="s">
        <v>566</v>
      </c>
      <c r="D648" s="1">
        <v>45094</v>
      </c>
      <c r="E648" s="1">
        <v>45139</v>
      </c>
      <c r="F648" t="s">
        <v>13</v>
      </c>
      <c r="G648">
        <v>4195809</v>
      </c>
      <c r="H648" s="1">
        <v>45138</v>
      </c>
      <c r="I648" t="s">
        <v>555</v>
      </c>
      <c r="J648" t="s">
        <v>556</v>
      </c>
      <c r="L648">
        <v>4195809</v>
      </c>
      <c r="M648">
        <f>IF(F648="INR",1,INDEX('rates'!$B$2:$C$522,MATCH(D648,'rates'!$A$2:$A$522,1),MATCH(F648&amp;"/INR",'rates'!$B$1:$C$1,0)))</f>
        <v>1</v>
      </c>
      <c r="N648">
        <f t="shared" si="53"/>
        <v>4195809</v>
      </c>
      <c r="O648">
        <f t="shared" si="54"/>
        <v>0</v>
      </c>
      <c r="P648">
        <f t="shared" si="55"/>
        <v>0</v>
      </c>
      <c r="Q648">
        <f t="shared" si="52"/>
        <v>-1</v>
      </c>
      <c r="R648" t="str">
        <f t="shared" si="56"/>
        <v>Not open</v>
      </c>
    </row>
    <row r="649" spans="1:18" x14ac:dyDescent="0.3">
      <c r="A649" t="s">
        <v>802</v>
      </c>
      <c r="B649" t="s">
        <v>372</v>
      </c>
      <c r="C649" t="s">
        <v>575</v>
      </c>
      <c r="D649" s="1">
        <v>45094</v>
      </c>
      <c r="E649" s="1">
        <v>45184</v>
      </c>
      <c r="F649" t="s">
        <v>13</v>
      </c>
      <c r="G649">
        <v>5160471</v>
      </c>
      <c r="H649" s="1">
        <v>45212</v>
      </c>
      <c r="I649" t="s">
        <v>555</v>
      </c>
      <c r="J649" t="s">
        <v>556</v>
      </c>
      <c r="L649">
        <v>5160471</v>
      </c>
      <c r="M649">
        <f>IF(F649="INR",1,INDEX('rates'!$B$2:$C$522,MATCH(D649,'rates'!$A$2:$A$522,1),MATCH(F649&amp;"/INR",'rates'!$B$1:$C$1,0)))</f>
        <v>1</v>
      </c>
      <c r="N649">
        <f t="shared" si="53"/>
        <v>5160471</v>
      </c>
      <c r="O649">
        <f t="shared" si="54"/>
        <v>0</v>
      </c>
      <c r="P649">
        <f t="shared" si="55"/>
        <v>0</v>
      </c>
      <c r="Q649">
        <f t="shared" si="52"/>
        <v>28</v>
      </c>
      <c r="R649" t="str">
        <f t="shared" si="56"/>
        <v>Not open</v>
      </c>
    </row>
    <row r="650" spans="1:18" x14ac:dyDescent="0.3">
      <c r="A650" t="s">
        <v>803</v>
      </c>
      <c r="B650" t="s">
        <v>444</v>
      </c>
      <c r="C650" t="s">
        <v>566</v>
      </c>
      <c r="D650" s="1">
        <v>45094</v>
      </c>
      <c r="E650" s="1">
        <v>45139</v>
      </c>
      <c r="F650" t="s">
        <v>36</v>
      </c>
      <c r="G650">
        <v>114722.79</v>
      </c>
      <c r="H650" s="1">
        <v>45146</v>
      </c>
      <c r="I650" t="s">
        <v>555</v>
      </c>
      <c r="J650" t="s">
        <v>556</v>
      </c>
      <c r="L650">
        <v>114722.79</v>
      </c>
      <c r="M650">
        <f>IF(F650="INR",1,INDEX('rates'!$B$2:$C$522,MATCH(D650,'rates'!$A$2:$A$522,1),MATCH(F650&amp;"/INR",'rates'!$B$1:$C$1,0)))</f>
        <v>81.89</v>
      </c>
      <c r="N650">
        <f t="shared" si="53"/>
        <v>9394649.2730999999</v>
      </c>
      <c r="O650">
        <f t="shared" si="54"/>
        <v>0</v>
      </c>
      <c r="P650">
        <f t="shared" si="55"/>
        <v>0</v>
      </c>
      <c r="Q650">
        <f t="shared" si="52"/>
        <v>7</v>
      </c>
      <c r="R650" t="str">
        <f t="shared" si="56"/>
        <v>Not open</v>
      </c>
    </row>
    <row r="651" spans="1:18" x14ac:dyDescent="0.3">
      <c r="A651" t="s">
        <v>804</v>
      </c>
      <c r="B651" t="s">
        <v>98</v>
      </c>
      <c r="C651" t="s">
        <v>554</v>
      </c>
      <c r="D651" s="1">
        <v>45096</v>
      </c>
      <c r="E651" s="1">
        <v>45156</v>
      </c>
      <c r="F651" t="s">
        <v>13</v>
      </c>
      <c r="G651">
        <v>1727474</v>
      </c>
      <c r="H651" s="1">
        <v>45161</v>
      </c>
      <c r="I651" t="s">
        <v>555</v>
      </c>
      <c r="J651" t="s">
        <v>556</v>
      </c>
      <c r="L651">
        <v>1727474</v>
      </c>
      <c r="M651">
        <f>IF(F651="INR",1,INDEX('rates'!$B$2:$C$522,MATCH(D651,'rates'!$A$2:$A$522,1),MATCH(F651&amp;"/INR",'rates'!$B$1:$C$1,0)))</f>
        <v>1</v>
      </c>
      <c r="N651">
        <f t="shared" si="53"/>
        <v>1727474</v>
      </c>
      <c r="O651">
        <f t="shared" si="54"/>
        <v>0</v>
      </c>
      <c r="P651">
        <f t="shared" si="55"/>
        <v>0</v>
      </c>
      <c r="Q651">
        <f t="shared" si="52"/>
        <v>5</v>
      </c>
      <c r="R651" t="str">
        <f t="shared" si="56"/>
        <v>Not open</v>
      </c>
    </row>
    <row r="652" spans="1:18" x14ac:dyDescent="0.3">
      <c r="A652" t="s">
        <v>805</v>
      </c>
      <c r="B652" t="s">
        <v>154</v>
      </c>
      <c r="C652" t="s">
        <v>566</v>
      </c>
      <c r="D652" s="1">
        <v>45096</v>
      </c>
      <c r="E652" s="1">
        <v>45126</v>
      </c>
      <c r="F652" t="s">
        <v>13</v>
      </c>
      <c r="G652">
        <v>46512368</v>
      </c>
      <c r="H652" s="1">
        <v>45126</v>
      </c>
      <c r="I652" t="s">
        <v>555</v>
      </c>
      <c r="J652" t="s">
        <v>556</v>
      </c>
      <c r="L652">
        <v>46512368</v>
      </c>
      <c r="M652">
        <f>IF(F652="INR",1,INDEX('rates'!$B$2:$C$522,MATCH(D652,'rates'!$A$2:$A$522,1),MATCH(F652&amp;"/INR",'rates'!$B$1:$C$1,0)))</f>
        <v>1</v>
      </c>
      <c r="N652">
        <f t="shared" si="53"/>
        <v>46512368</v>
      </c>
      <c r="O652">
        <f t="shared" si="54"/>
        <v>0</v>
      </c>
      <c r="P652">
        <f t="shared" si="55"/>
        <v>0</v>
      </c>
      <c r="Q652">
        <f t="shared" si="52"/>
        <v>0</v>
      </c>
      <c r="R652" t="str">
        <f t="shared" si="56"/>
        <v>Not open</v>
      </c>
    </row>
    <row r="653" spans="1:18" x14ac:dyDescent="0.3">
      <c r="A653" t="s">
        <v>806</v>
      </c>
      <c r="B653" t="s">
        <v>154</v>
      </c>
      <c r="C653" t="s">
        <v>566</v>
      </c>
      <c r="D653" s="1">
        <v>45096</v>
      </c>
      <c r="E653" s="1">
        <v>45126</v>
      </c>
      <c r="F653" t="s">
        <v>13</v>
      </c>
      <c r="G653">
        <v>3007379</v>
      </c>
      <c r="H653" s="1">
        <v>45124</v>
      </c>
      <c r="I653" t="s">
        <v>555</v>
      </c>
      <c r="J653" t="s">
        <v>556</v>
      </c>
      <c r="L653">
        <v>3007379</v>
      </c>
      <c r="M653">
        <f>IF(F653="INR",1,INDEX('rates'!$B$2:$C$522,MATCH(D653,'rates'!$A$2:$A$522,1),MATCH(F653&amp;"/INR",'rates'!$B$1:$C$1,0)))</f>
        <v>1</v>
      </c>
      <c r="N653">
        <f t="shared" si="53"/>
        <v>3007379</v>
      </c>
      <c r="O653">
        <f t="shared" si="54"/>
        <v>0</v>
      </c>
      <c r="P653">
        <f t="shared" si="55"/>
        <v>0</v>
      </c>
      <c r="Q653">
        <f t="shared" si="52"/>
        <v>-2</v>
      </c>
      <c r="R653" t="str">
        <f t="shared" si="56"/>
        <v>Not open</v>
      </c>
    </row>
    <row r="654" spans="1:18" x14ac:dyDescent="0.3">
      <c r="A654" t="s">
        <v>807</v>
      </c>
      <c r="B654" t="s">
        <v>290</v>
      </c>
      <c r="C654" t="s">
        <v>566</v>
      </c>
      <c r="D654" s="1">
        <v>45096</v>
      </c>
      <c r="E654" s="1">
        <v>45141</v>
      </c>
      <c r="F654" t="s">
        <v>13</v>
      </c>
      <c r="G654">
        <v>6999190</v>
      </c>
      <c r="H654" s="1">
        <v>45140</v>
      </c>
      <c r="I654" t="s">
        <v>555</v>
      </c>
      <c r="J654" t="s">
        <v>556</v>
      </c>
      <c r="L654">
        <v>6999190</v>
      </c>
      <c r="M654">
        <f>IF(F654="INR",1,INDEX('rates'!$B$2:$C$522,MATCH(D654,'rates'!$A$2:$A$522,1),MATCH(F654&amp;"/INR",'rates'!$B$1:$C$1,0)))</f>
        <v>1</v>
      </c>
      <c r="N654">
        <f t="shared" si="53"/>
        <v>6999190</v>
      </c>
      <c r="O654">
        <f t="shared" si="54"/>
        <v>0</v>
      </c>
      <c r="P654">
        <f t="shared" si="55"/>
        <v>0</v>
      </c>
      <c r="Q654">
        <f t="shared" si="52"/>
        <v>-1</v>
      </c>
      <c r="R654" t="str">
        <f t="shared" si="56"/>
        <v>Not open</v>
      </c>
    </row>
    <row r="655" spans="1:18" x14ac:dyDescent="0.3">
      <c r="A655" t="s">
        <v>809</v>
      </c>
      <c r="B655" t="s">
        <v>119</v>
      </c>
      <c r="C655" t="s">
        <v>560</v>
      </c>
      <c r="D655" s="1">
        <v>45097</v>
      </c>
      <c r="E655" s="1">
        <v>45127</v>
      </c>
      <c r="F655" t="s">
        <v>31</v>
      </c>
      <c r="G655">
        <v>87048.06</v>
      </c>
      <c r="H655" s="1">
        <v>45142</v>
      </c>
      <c r="I655" t="s">
        <v>555</v>
      </c>
      <c r="J655" t="s">
        <v>573</v>
      </c>
      <c r="K655">
        <v>89.589399999999998</v>
      </c>
      <c r="L655">
        <v>87048.06</v>
      </c>
      <c r="M655">
        <f>IF(F655="INR",1,INDEX('rates'!$B$2:$C$522,MATCH(D655,'rates'!$A$2:$A$522,1),MATCH(F655&amp;"/INR",'rates'!$B$1:$C$1,0)))</f>
        <v>89.499899999999997</v>
      </c>
      <c r="N655">
        <f t="shared" si="53"/>
        <v>7790792.6651939992</v>
      </c>
      <c r="O655">
        <f t="shared" si="54"/>
        <v>0</v>
      </c>
      <c r="P655">
        <f t="shared" si="55"/>
        <v>0</v>
      </c>
      <c r="Q655">
        <f t="shared" si="52"/>
        <v>15</v>
      </c>
      <c r="R655" t="str">
        <f t="shared" si="56"/>
        <v>Not open</v>
      </c>
    </row>
    <row r="656" spans="1:18" x14ac:dyDescent="0.3">
      <c r="A656" t="s">
        <v>810</v>
      </c>
      <c r="B656" t="s">
        <v>238</v>
      </c>
      <c r="C656" t="s">
        <v>566</v>
      </c>
      <c r="D656" s="1">
        <v>45097</v>
      </c>
      <c r="E656" s="1">
        <v>45157</v>
      </c>
      <c r="F656" t="s">
        <v>31</v>
      </c>
      <c r="G656">
        <v>268318.53999999998</v>
      </c>
      <c r="H656" s="1">
        <v>45165</v>
      </c>
      <c r="I656" t="s">
        <v>555</v>
      </c>
      <c r="J656" t="s">
        <v>556</v>
      </c>
      <c r="L656">
        <v>268318.53999999998</v>
      </c>
      <c r="M656">
        <f>IF(F656="INR",1,INDEX('rates'!$B$2:$C$522,MATCH(D656,'rates'!$A$2:$A$522,1),MATCH(F656&amp;"/INR",'rates'!$B$1:$C$1,0)))</f>
        <v>89.499899999999997</v>
      </c>
      <c r="N656">
        <f t="shared" si="53"/>
        <v>24014482.498145998</v>
      </c>
      <c r="O656">
        <f t="shared" si="54"/>
        <v>0</v>
      </c>
      <c r="P656">
        <f t="shared" si="55"/>
        <v>0</v>
      </c>
      <c r="Q656">
        <f t="shared" si="52"/>
        <v>8</v>
      </c>
      <c r="R656" t="str">
        <f t="shared" si="56"/>
        <v>Not open</v>
      </c>
    </row>
    <row r="657" spans="1:18" x14ac:dyDescent="0.3">
      <c r="A657" t="s">
        <v>811</v>
      </c>
      <c r="B657" t="s">
        <v>160</v>
      </c>
      <c r="C657" t="s">
        <v>554</v>
      </c>
      <c r="D657" s="1">
        <v>45098</v>
      </c>
      <c r="E657" s="1">
        <v>45143</v>
      </c>
      <c r="F657" t="s">
        <v>13</v>
      </c>
      <c r="G657">
        <v>1272846</v>
      </c>
      <c r="H657" s="1">
        <v>45156</v>
      </c>
      <c r="I657" t="s">
        <v>555</v>
      </c>
      <c r="J657" t="s">
        <v>556</v>
      </c>
      <c r="L657">
        <v>1272846</v>
      </c>
      <c r="M657">
        <f>IF(F657="INR",1,INDEX('rates'!$B$2:$C$522,MATCH(D657,'rates'!$A$2:$A$522,1),MATCH(F657&amp;"/INR",'rates'!$B$1:$C$1,0)))</f>
        <v>1</v>
      </c>
      <c r="N657">
        <f t="shared" si="53"/>
        <v>1272846</v>
      </c>
      <c r="O657">
        <f t="shared" si="54"/>
        <v>0</v>
      </c>
      <c r="P657">
        <f t="shared" si="55"/>
        <v>0</v>
      </c>
      <c r="Q657">
        <f t="shared" ref="Q657:Q688" si="57">IF(H657="","",H657-E657)</f>
        <v>13</v>
      </c>
      <c r="R657" t="str">
        <f t="shared" si="56"/>
        <v>Not open</v>
      </c>
    </row>
    <row r="658" spans="1:18" x14ac:dyDescent="0.3">
      <c r="A658" t="s">
        <v>812</v>
      </c>
      <c r="B658" t="s">
        <v>484</v>
      </c>
      <c r="C658" t="s">
        <v>560</v>
      </c>
      <c r="D658" s="1">
        <v>45098</v>
      </c>
      <c r="E658" s="1">
        <v>45158</v>
      </c>
      <c r="F658" t="s">
        <v>31</v>
      </c>
      <c r="G658">
        <v>52171.66</v>
      </c>
      <c r="H658" s="1">
        <v>45223</v>
      </c>
      <c r="I658" t="s">
        <v>555</v>
      </c>
      <c r="J658" t="s">
        <v>556</v>
      </c>
      <c r="L658">
        <v>52171.66</v>
      </c>
      <c r="M658">
        <f>IF(F658="INR",1,INDEX('rates'!$B$2:$C$522,MATCH(D658,'rates'!$A$2:$A$522,1),MATCH(F658&amp;"/INR",'rates'!$B$1:$C$1,0)))</f>
        <v>89.841999999999999</v>
      </c>
      <c r="N658">
        <f t="shared" si="53"/>
        <v>4687206.2777200006</v>
      </c>
      <c r="O658">
        <f t="shared" si="54"/>
        <v>0</v>
      </c>
      <c r="P658">
        <f t="shared" si="55"/>
        <v>0</v>
      </c>
      <c r="Q658">
        <f t="shared" si="57"/>
        <v>65</v>
      </c>
      <c r="R658" t="str">
        <f t="shared" si="56"/>
        <v>Not open</v>
      </c>
    </row>
    <row r="659" spans="1:18" x14ac:dyDescent="0.3">
      <c r="A659" t="s">
        <v>813</v>
      </c>
      <c r="B659" t="s">
        <v>272</v>
      </c>
      <c r="C659" t="s">
        <v>575</v>
      </c>
      <c r="D659" s="1">
        <v>45099</v>
      </c>
      <c r="E659" s="1">
        <v>45144</v>
      </c>
      <c r="F659" t="s">
        <v>13</v>
      </c>
      <c r="G659">
        <v>2860839</v>
      </c>
      <c r="H659" s="1">
        <v>45161</v>
      </c>
      <c r="I659" t="s">
        <v>555</v>
      </c>
      <c r="J659" t="s">
        <v>556</v>
      </c>
      <c r="L659">
        <v>2860839</v>
      </c>
      <c r="M659">
        <f>IF(F659="INR",1,INDEX('rates'!$B$2:$C$522,MATCH(D659,'rates'!$A$2:$A$522,1),MATCH(F659&amp;"/INR",'rates'!$B$1:$C$1,0)))</f>
        <v>1</v>
      </c>
      <c r="N659">
        <f t="shared" si="53"/>
        <v>2860839</v>
      </c>
      <c r="O659">
        <f t="shared" si="54"/>
        <v>0</v>
      </c>
      <c r="P659">
        <f t="shared" si="55"/>
        <v>0</v>
      </c>
      <c r="Q659">
        <f t="shared" si="57"/>
        <v>17</v>
      </c>
      <c r="R659" t="str">
        <f t="shared" si="56"/>
        <v>Not open</v>
      </c>
    </row>
    <row r="660" spans="1:18" x14ac:dyDescent="0.3">
      <c r="A660" t="s">
        <v>814</v>
      </c>
      <c r="B660" t="s">
        <v>138</v>
      </c>
      <c r="C660" t="s">
        <v>566</v>
      </c>
      <c r="D660" s="1">
        <v>45100</v>
      </c>
      <c r="E660" s="1">
        <v>45130</v>
      </c>
      <c r="F660" t="s">
        <v>13</v>
      </c>
      <c r="G660">
        <v>12263568</v>
      </c>
      <c r="H660" s="1">
        <v>45124</v>
      </c>
      <c r="I660" t="s">
        <v>555</v>
      </c>
      <c r="J660" t="s">
        <v>556</v>
      </c>
      <c r="L660">
        <v>12263568</v>
      </c>
      <c r="M660">
        <f>IF(F660="INR",1,INDEX('rates'!$B$2:$C$522,MATCH(D660,'rates'!$A$2:$A$522,1),MATCH(F660&amp;"/INR",'rates'!$B$1:$C$1,0)))</f>
        <v>1</v>
      </c>
      <c r="N660">
        <f t="shared" si="53"/>
        <v>12263568</v>
      </c>
      <c r="O660">
        <f t="shared" si="54"/>
        <v>0</v>
      </c>
      <c r="P660">
        <f t="shared" si="55"/>
        <v>0</v>
      </c>
      <c r="Q660">
        <f t="shared" si="57"/>
        <v>-6</v>
      </c>
      <c r="R660" t="str">
        <f t="shared" si="56"/>
        <v>Not open</v>
      </c>
    </row>
    <row r="661" spans="1:18" x14ac:dyDescent="0.3">
      <c r="A661" t="s">
        <v>815</v>
      </c>
      <c r="B661" t="s">
        <v>260</v>
      </c>
      <c r="C661" t="s">
        <v>558</v>
      </c>
      <c r="D661" s="1">
        <v>45100</v>
      </c>
      <c r="E661" s="1">
        <v>45160</v>
      </c>
      <c r="F661" t="s">
        <v>36</v>
      </c>
      <c r="G661">
        <v>123600.64</v>
      </c>
      <c r="H661" s="1">
        <v>45206</v>
      </c>
      <c r="I661" t="s">
        <v>555</v>
      </c>
      <c r="J661" t="s">
        <v>556</v>
      </c>
      <c r="L661">
        <v>123600.64</v>
      </c>
      <c r="M661">
        <f>IF(F661="INR",1,INDEX('rates'!$B$2:$C$522,MATCH(D661,'rates'!$A$2:$A$522,1),MATCH(F661&amp;"/INR",'rates'!$B$1:$C$1,0)))</f>
        <v>82.01</v>
      </c>
      <c r="N661">
        <f t="shared" si="53"/>
        <v>10136488.486400001</v>
      </c>
      <c r="O661">
        <f t="shared" si="54"/>
        <v>0</v>
      </c>
      <c r="P661">
        <f t="shared" si="55"/>
        <v>0</v>
      </c>
      <c r="Q661">
        <f t="shared" si="57"/>
        <v>46</v>
      </c>
      <c r="R661" t="str">
        <f t="shared" si="56"/>
        <v>Not open</v>
      </c>
    </row>
    <row r="662" spans="1:18" x14ac:dyDescent="0.3">
      <c r="A662" t="s">
        <v>816</v>
      </c>
      <c r="B662" t="s">
        <v>346</v>
      </c>
      <c r="C662" t="s">
        <v>575</v>
      </c>
      <c r="D662" s="1">
        <v>45100</v>
      </c>
      <c r="E662" s="1">
        <v>45190</v>
      </c>
      <c r="F662" t="s">
        <v>13</v>
      </c>
      <c r="G662">
        <v>3994845</v>
      </c>
      <c r="H662" s="1">
        <v>45204</v>
      </c>
      <c r="I662" t="s">
        <v>555</v>
      </c>
      <c r="J662" t="s">
        <v>556</v>
      </c>
      <c r="L662">
        <v>3994845</v>
      </c>
      <c r="M662">
        <f>IF(F662="INR",1,INDEX('rates'!$B$2:$C$522,MATCH(D662,'rates'!$A$2:$A$522,1),MATCH(F662&amp;"/INR",'rates'!$B$1:$C$1,0)))</f>
        <v>1</v>
      </c>
      <c r="N662">
        <f t="shared" si="53"/>
        <v>3994845</v>
      </c>
      <c r="O662">
        <f t="shared" si="54"/>
        <v>0</v>
      </c>
      <c r="P662">
        <f t="shared" si="55"/>
        <v>0</v>
      </c>
      <c r="Q662">
        <f t="shared" si="57"/>
        <v>14</v>
      </c>
      <c r="R662" t="str">
        <f t="shared" si="56"/>
        <v>Not open</v>
      </c>
    </row>
    <row r="663" spans="1:18" x14ac:dyDescent="0.3">
      <c r="A663" t="s">
        <v>817</v>
      </c>
      <c r="B663" t="s">
        <v>22</v>
      </c>
      <c r="C663" t="s">
        <v>554</v>
      </c>
      <c r="D663" s="1">
        <v>45101</v>
      </c>
      <c r="E663" s="1">
        <v>45146</v>
      </c>
      <c r="F663" t="s">
        <v>13</v>
      </c>
      <c r="G663">
        <v>21665267</v>
      </c>
      <c r="H663" s="1">
        <v>45150</v>
      </c>
      <c r="I663" t="s">
        <v>555</v>
      </c>
      <c r="J663" t="s">
        <v>556</v>
      </c>
      <c r="L663">
        <v>21665267</v>
      </c>
      <c r="M663">
        <f>IF(F663="INR",1,INDEX('rates'!$B$2:$C$522,MATCH(D663,'rates'!$A$2:$A$522,1),MATCH(F663&amp;"/INR",'rates'!$B$1:$C$1,0)))</f>
        <v>1</v>
      </c>
      <c r="N663">
        <f t="shared" si="53"/>
        <v>21665267</v>
      </c>
      <c r="O663">
        <f t="shared" si="54"/>
        <v>0</v>
      </c>
      <c r="P663">
        <f t="shared" si="55"/>
        <v>0</v>
      </c>
      <c r="Q663">
        <f t="shared" si="57"/>
        <v>4</v>
      </c>
      <c r="R663" t="str">
        <f t="shared" si="56"/>
        <v>Not open</v>
      </c>
    </row>
    <row r="664" spans="1:18" x14ac:dyDescent="0.3">
      <c r="A664" t="s">
        <v>818</v>
      </c>
      <c r="B664" t="s">
        <v>276</v>
      </c>
      <c r="C664" t="s">
        <v>558</v>
      </c>
      <c r="D664" s="1">
        <v>45101</v>
      </c>
      <c r="E664" s="1">
        <v>45161</v>
      </c>
      <c r="F664" t="s">
        <v>13</v>
      </c>
      <c r="G664">
        <v>3811082</v>
      </c>
      <c r="H664" s="1">
        <v>45176</v>
      </c>
      <c r="I664" t="s">
        <v>555</v>
      </c>
      <c r="J664" t="s">
        <v>556</v>
      </c>
      <c r="L664">
        <v>3811082</v>
      </c>
      <c r="M664">
        <f>IF(F664="INR",1,INDEX('rates'!$B$2:$C$522,MATCH(D664,'rates'!$A$2:$A$522,1),MATCH(F664&amp;"/INR",'rates'!$B$1:$C$1,0)))</f>
        <v>1</v>
      </c>
      <c r="N664">
        <f t="shared" si="53"/>
        <v>3811082</v>
      </c>
      <c r="O664">
        <f t="shared" si="54"/>
        <v>0</v>
      </c>
      <c r="P664">
        <f t="shared" si="55"/>
        <v>0</v>
      </c>
      <c r="Q664">
        <f t="shared" si="57"/>
        <v>15</v>
      </c>
      <c r="R664" t="str">
        <f t="shared" si="56"/>
        <v>Not open</v>
      </c>
    </row>
    <row r="665" spans="1:18" x14ac:dyDescent="0.3">
      <c r="A665" t="s">
        <v>819</v>
      </c>
      <c r="B665" t="s">
        <v>306</v>
      </c>
      <c r="C665" t="s">
        <v>560</v>
      </c>
      <c r="D665" s="1">
        <v>45101</v>
      </c>
      <c r="E665" s="1">
        <v>45191</v>
      </c>
      <c r="F665" t="s">
        <v>36</v>
      </c>
      <c r="G665">
        <v>184952.1</v>
      </c>
      <c r="H665" s="1">
        <v>45230</v>
      </c>
      <c r="I665" t="s">
        <v>555</v>
      </c>
      <c r="J665" t="s">
        <v>556</v>
      </c>
      <c r="L665">
        <v>184952.1</v>
      </c>
      <c r="M665">
        <f>IF(F665="INR",1,INDEX('rates'!$B$2:$C$522,MATCH(D665,'rates'!$A$2:$A$522,1),MATCH(F665&amp;"/INR",'rates'!$B$1:$C$1,0)))</f>
        <v>82.01</v>
      </c>
      <c r="N665">
        <f t="shared" si="53"/>
        <v>15167921.721000001</v>
      </c>
      <c r="O665">
        <f t="shared" si="54"/>
        <v>0</v>
      </c>
      <c r="P665">
        <f t="shared" si="55"/>
        <v>0</v>
      </c>
      <c r="Q665">
        <f t="shared" si="57"/>
        <v>39</v>
      </c>
      <c r="R665" t="str">
        <f t="shared" si="56"/>
        <v>Not open</v>
      </c>
    </row>
    <row r="666" spans="1:18" x14ac:dyDescent="0.3">
      <c r="A666" t="s">
        <v>821</v>
      </c>
      <c r="B666" t="s">
        <v>372</v>
      </c>
      <c r="C666" t="s">
        <v>575</v>
      </c>
      <c r="D666" s="1">
        <v>45101</v>
      </c>
      <c r="E666" s="1">
        <v>45191</v>
      </c>
      <c r="F666" t="s">
        <v>13</v>
      </c>
      <c r="G666">
        <v>6938636</v>
      </c>
      <c r="H666" s="1">
        <v>45216</v>
      </c>
      <c r="I666" t="s">
        <v>555</v>
      </c>
      <c r="J666" t="s">
        <v>556</v>
      </c>
      <c r="L666">
        <v>6938636</v>
      </c>
      <c r="M666">
        <f>IF(F666="INR",1,INDEX('rates'!$B$2:$C$522,MATCH(D666,'rates'!$A$2:$A$522,1),MATCH(F666&amp;"/INR",'rates'!$B$1:$C$1,0)))</f>
        <v>1</v>
      </c>
      <c r="N666">
        <f t="shared" si="53"/>
        <v>6938636</v>
      </c>
      <c r="O666">
        <f t="shared" si="54"/>
        <v>0</v>
      </c>
      <c r="P666">
        <f t="shared" si="55"/>
        <v>0</v>
      </c>
      <c r="Q666">
        <f t="shared" si="57"/>
        <v>25</v>
      </c>
      <c r="R666" t="str">
        <f t="shared" si="56"/>
        <v>Not open</v>
      </c>
    </row>
    <row r="667" spans="1:18" x14ac:dyDescent="0.3">
      <c r="A667" t="s">
        <v>822</v>
      </c>
      <c r="B667" t="s">
        <v>512</v>
      </c>
      <c r="C667" t="s">
        <v>566</v>
      </c>
      <c r="D667" s="1">
        <v>45101</v>
      </c>
      <c r="E667" s="1">
        <v>45161</v>
      </c>
      <c r="F667" t="s">
        <v>31</v>
      </c>
      <c r="G667">
        <v>56268.27</v>
      </c>
      <c r="H667" s="1">
        <v>45192</v>
      </c>
      <c r="I667" t="s">
        <v>555</v>
      </c>
      <c r="J667" t="s">
        <v>556</v>
      </c>
      <c r="L667">
        <v>56268.27</v>
      </c>
      <c r="M667">
        <f>IF(F667="INR",1,INDEX('rates'!$B$2:$C$522,MATCH(D667,'rates'!$A$2:$A$522,1),MATCH(F667&amp;"/INR",'rates'!$B$1:$C$1,0)))</f>
        <v>89.284300000000002</v>
      </c>
      <c r="N667">
        <f t="shared" si="53"/>
        <v>5023873.099161</v>
      </c>
      <c r="O667">
        <f t="shared" si="54"/>
        <v>0</v>
      </c>
      <c r="P667">
        <f t="shared" si="55"/>
        <v>0</v>
      </c>
      <c r="Q667">
        <f t="shared" si="57"/>
        <v>31</v>
      </c>
      <c r="R667" t="str">
        <f t="shared" si="56"/>
        <v>Not open</v>
      </c>
    </row>
    <row r="668" spans="1:18" x14ac:dyDescent="0.3">
      <c r="A668" t="s">
        <v>823</v>
      </c>
      <c r="B668" t="s">
        <v>22</v>
      </c>
      <c r="C668" t="s">
        <v>554</v>
      </c>
      <c r="D668" s="1">
        <v>45103</v>
      </c>
      <c r="E668" s="1">
        <v>45148</v>
      </c>
      <c r="F668" t="s">
        <v>13</v>
      </c>
      <c r="G668">
        <v>6030718</v>
      </c>
      <c r="H668" s="1">
        <v>45159</v>
      </c>
      <c r="I668" t="s">
        <v>555</v>
      </c>
      <c r="J668" t="s">
        <v>556</v>
      </c>
      <c r="L668">
        <v>6030718</v>
      </c>
      <c r="M668">
        <f>IF(F668="INR",1,INDEX('rates'!$B$2:$C$522,MATCH(D668,'rates'!$A$2:$A$522,1),MATCH(F668&amp;"/INR",'rates'!$B$1:$C$1,0)))</f>
        <v>1</v>
      </c>
      <c r="N668">
        <f t="shared" si="53"/>
        <v>6030718</v>
      </c>
      <c r="O668">
        <f t="shared" si="54"/>
        <v>0</v>
      </c>
      <c r="P668">
        <f t="shared" si="55"/>
        <v>0</v>
      </c>
      <c r="Q668">
        <f t="shared" si="57"/>
        <v>11</v>
      </c>
      <c r="R668" t="str">
        <f t="shared" si="56"/>
        <v>Not open</v>
      </c>
    </row>
    <row r="669" spans="1:18" x14ac:dyDescent="0.3">
      <c r="A669" t="s">
        <v>824</v>
      </c>
      <c r="B669" t="s">
        <v>162</v>
      </c>
      <c r="C669" t="s">
        <v>554</v>
      </c>
      <c r="D669" s="1">
        <v>45103</v>
      </c>
      <c r="E669" s="1">
        <v>45193</v>
      </c>
      <c r="F669" t="s">
        <v>13</v>
      </c>
      <c r="G669">
        <v>9773320</v>
      </c>
      <c r="H669" s="1">
        <v>45184</v>
      </c>
      <c r="I669" t="s">
        <v>555</v>
      </c>
      <c r="J669" t="s">
        <v>556</v>
      </c>
      <c r="L669">
        <v>9773320</v>
      </c>
      <c r="M669">
        <f>IF(F669="INR",1,INDEX('rates'!$B$2:$C$522,MATCH(D669,'rates'!$A$2:$A$522,1),MATCH(F669&amp;"/INR",'rates'!$B$1:$C$1,0)))</f>
        <v>1</v>
      </c>
      <c r="N669">
        <f t="shared" si="53"/>
        <v>9773320</v>
      </c>
      <c r="O669">
        <f t="shared" si="54"/>
        <v>0</v>
      </c>
      <c r="P669">
        <f t="shared" si="55"/>
        <v>0</v>
      </c>
      <c r="Q669">
        <f t="shared" si="57"/>
        <v>-9</v>
      </c>
      <c r="R669" t="str">
        <f t="shared" si="56"/>
        <v>Not open</v>
      </c>
    </row>
    <row r="670" spans="1:18" x14ac:dyDescent="0.3">
      <c r="A670" t="s">
        <v>825</v>
      </c>
      <c r="B670" t="s">
        <v>306</v>
      </c>
      <c r="C670" t="s">
        <v>558</v>
      </c>
      <c r="D670" s="1">
        <v>45103</v>
      </c>
      <c r="E670" s="1">
        <v>45193</v>
      </c>
      <c r="F670" t="s">
        <v>36</v>
      </c>
      <c r="G670">
        <v>85581.37</v>
      </c>
      <c r="H670" s="1">
        <v>45203</v>
      </c>
      <c r="I670" t="s">
        <v>555</v>
      </c>
      <c r="J670" t="s">
        <v>573</v>
      </c>
      <c r="K670">
        <v>82.41</v>
      </c>
      <c r="L670">
        <v>85581.37</v>
      </c>
      <c r="M670">
        <f>IF(F670="INR",1,INDEX('rates'!$B$2:$C$522,MATCH(D670,'rates'!$A$2:$A$522,1),MATCH(F670&amp;"/INR",'rates'!$B$1:$C$1,0)))</f>
        <v>82</v>
      </c>
      <c r="N670">
        <f t="shared" si="53"/>
        <v>7017672.3399999999</v>
      </c>
      <c r="O670">
        <f t="shared" si="54"/>
        <v>0</v>
      </c>
      <c r="P670">
        <f t="shared" si="55"/>
        <v>0</v>
      </c>
      <c r="Q670">
        <f t="shared" si="57"/>
        <v>10</v>
      </c>
      <c r="R670" t="str">
        <f t="shared" si="56"/>
        <v>Not open</v>
      </c>
    </row>
    <row r="671" spans="1:18" x14ac:dyDescent="0.3">
      <c r="A671" t="s">
        <v>826</v>
      </c>
      <c r="B671" t="s">
        <v>186</v>
      </c>
      <c r="C671" t="s">
        <v>558</v>
      </c>
      <c r="D671" s="1">
        <v>45104</v>
      </c>
      <c r="E671" s="1">
        <v>45134</v>
      </c>
      <c r="F671" t="s">
        <v>36</v>
      </c>
      <c r="G671">
        <v>126512.06</v>
      </c>
      <c r="H671" s="1">
        <v>45171</v>
      </c>
      <c r="I671" t="s">
        <v>555</v>
      </c>
      <c r="J671" t="s">
        <v>556</v>
      </c>
      <c r="L671">
        <v>126512.06</v>
      </c>
      <c r="M671">
        <f>IF(F671="INR",1,INDEX('rates'!$B$2:$C$522,MATCH(D671,'rates'!$A$2:$A$522,1),MATCH(F671&amp;"/INR",'rates'!$B$1:$C$1,0)))</f>
        <v>81.98</v>
      </c>
      <c r="N671">
        <f t="shared" si="53"/>
        <v>10371458.6788</v>
      </c>
      <c r="O671">
        <f t="shared" si="54"/>
        <v>0</v>
      </c>
      <c r="P671">
        <f t="shared" si="55"/>
        <v>0</v>
      </c>
      <c r="Q671">
        <f t="shared" si="57"/>
        <v>37</v>
      </c>
      <c r="R671" t="str">
        <f t="shared" si="56"/>
        <v>Not open</v>
      </c>
    </row>
    <row r="672" spans="1:18" x14ac:dyDescent="0.3">
      <c r="A672" t="s">
        <v>827</v>
      </c>
      <c r="B672" t="s">
        <v>87</v>
      </c>
      <c r="C672" t="s">
        <v>566</v>
      </c>
      <c r="D672" s="1">
        <v>45105</v>
      </c>
      <c r="E672" s="1">
        <v>45150</v>
      </c>
      <c r="F672" t="s">
        <v>36</v>
      </c>
      <c r="G672">
        <v>194188.85</v>
      </c>
      <c r="H672" s="1">
        <v>45163</v>
      </c>
      <c r="I672" t="s">
        <v>555</v>
      </c>
      <c r="J672" t="s">
        <v>573</v>
      </c>
      <c r="K672">
        <v>82.204999999999998</v>
      </c>
      <c r="L672">
        <v>194188.85</v>
      </c>
      <c r="M672">
        <f>IF(F672="INR",1,INDEX('rates'!$B$2:$C$522,MATCH(D672,'rates'!$A$2:$A$522,1),MATCH(F672&amp;"/INR",'rates'!$B$1:$C$1,0)))</f>
        <v>82</v>
      </c>
      <c r="N672">
        <f t="shared" si="53"/>
        <v>15923485.700000001</v>
      </c>
      <c r="O672">
        <f t="shared" si="54"/>
        <v>0</v>
      </c>
      <c r="P672">
        <f t="shared" si="55"/>
        <v>0</v>
      </c>
      <c r="Q672">
        <f t="shared" si="57"/>
        <v>13</v>
      </c>
      <c r="R672" t="str">
        <f t="shared" si="56"/>
        <v>Not open</v>
      </c>
    </row>
    <row r="673" spans="1:18" x14ac:dyDescent="0.3">
      <c r="A673" t="s">
        <v>828</v>
      </c>
      <c r="B673" t="s">
        <v>148</v>
      </c>
      <c r="C673" t="s">
        <v>575</v>
      </c>
      <c r="D673" s="1">
        <v>45105</v>
      </c>
      <c r="E673" s="1">
        <v>45165</v>
      </c>
      <c r="F673" t="s">
        <v>31</v>
      </c>
      <c r="G673">
        <v>41162.14</v>
      </c>
      <c r="H673" s="1">
        <v>45173</v>
      </c>
      <c r="I673" t="s">
        <v>555</v>
      </c>
      <c r="J673" t="s">
        <v>573</v>
      </c>
      <c r="K673">
        <v>89.5916</v>
      </c>
      <c r="L673">
        <v>41162.14</v>
      </c>
      <c r="M673">
        <f>IF(F673="INR",1,INDEX('rates'!$B$2:$C$522,MATCH(D673,'rates'!$A$2:$A$522,1),MATCH(F673&amp;"/INR",'rates'!$B$1:$C$1,0)))</f>
        <v>89.412800000000004</v>
      </c>
      <c r="N673">
        <f t="shared" si="53"/>
        <v>3680422.1913920003</v>
      </c>
      <c r="O673">
        <f t="shared" si="54"/>
        <v>0</v>
      </c>
      <c r="P673">
        <f t="shared" si="55"/>
        <v>0</v>
      </c>
      <c r="Q673">
        <f t="shared" si="57"/>
        <v>8</v>
      </c>
      <c r="R673" t="str">
        <f t="shared" si="56"/>
        <v>Not open</v>
      </c>
    </row>
    <row r="674" spans="1:18" x14ac:dyDescent="0.3">
      <c r="A674" t="s">
        <v>829</v>
      </c>
      <c r="B674" t="s">
        <v>186</v>
      </c>
      <c r="C674" t="s">
        <v>558</v>
      </c>
      <c r="D674" s="1">
        <v>45105</v>
      </c>
      <c r="E674" s="1">
        <v>45135</v>
      </c>
      <c r="F674" t="s">
        <v>36</v>
      </c>
      <c r="G674">
        <v>22895.96</v>
      </c>
      <c r="H674" s="1">
        <v>45153</v>
      </c>
      <c r="I674" t="s">
        <v>555</v>
      </c>
      <c r="J674" t="s">
        <v>556</v>
      </c>
      <c r="L674">
        <v>22895.96</v>
      </c>
      <c r="M674">
        <f>IF(F674="INR",1,INDEX('rates'!$B$2:$C$522,MATCH(D674,'rates'!$A$2:$A$522,1),MATCH(F674&amp;"/INR",'rates'!$B$1:$C$1,0)))</f>
        <v>82</v>
      </c>
      <c r="N674">
        <f t="shared" si="53"/>
        <v>1877468.72</v>
      </c>
      <c r="O674">
        <f t="shared" si="54"/>
        <v>0</v>
      </c>
      <c r="P674">
        <f t="shared" si="55"/>
        <v>0</v>
      </c>
      <c r="Q674">
        <f t="shared" si="57"/>
        <v>18</v>
      </c>
      <c r="R674" t="str">
        <f t="shared" si="56"/>
        <v>Not open</v>
      </c>
    </row>
    <row r="675" spans="1:18" x14ac:dyDescent="0.3">
      <c r="A675" t="s">
        <v>831</v>
      </c>
      <c r="B675" t="s">
        <v>154</v>
      </c>
      <c r="C675" t="s">
        <v>566</v>
      </c>
      <c r="D675" s="1">
        <v>45106</v>
      </c>
      <c r="E675" s="1">
        <v>45136</v>
      </c>
      <c r="F675" t="s">
        <v>13</v>
      </c>
      <c r="G675">
        <v>36254516</v>
      </c>
      <c r="H675" s="1">
        <v>45135</v>
      </c>
      <c r="I675" t="s">
        <v>555</v>
      </c>
      <c r="J675" t="s">
        <v>556</v>
      </c>
      <c r="L675">
        <v>36254516</v>
      </c>
      <c r="M675">
        <f>IF(F675="INR",1,INDEX('rates'!$B$2:$C$522,MATCH(D675,'rates'!$A$2:$A$522,1),MATCH(F675&amp;"/INR",'rates'!$B$1:$C$1,0)))</f>
        <v>1</v>
      </c>
      <c r="N675">
        <f t="shared" si="53"/>
        <v>36254516</v>
      </c>
      <c r="O675">
        <f t="shared" si="54"/>
        <v>0</v>
      </c>
      <c r="P675">
        <f t="shared" si="55"/>
        <v>0</v>
      </c>
      <c r="Q675">
        <f t="shared" si="57"/>
        <v>-1</v>
      </c>
      <c r="R675" t="str">
        <f t="shared" si="56"/>
        <v>Not open</v>
      </c>
    </row>
    <row r="676" spans="1:18" x14ac:dyDescent="0.3">
      <c r="A676" t="s">
        <v>832</v>
      </c>
      <c r="B676" t="s">
        <v>230</v>
      </c>
      <c r="C676" t="s">
        <v>558</v>
      </c>
      <c r="D676" s="1">
        <v>45106</v>
      </c>
      <c r="E676" s="1">
        <v>45151</v>
      </c>
      <c r="F676" t="s">
        <v>13</v>
      </c>
      <c r="G676">
        <v>4147255</v>
      </c>
      <c r="H676" s="1">
        <v>45154</v>
      </c>
      <c r="I676" t="s">
        <v>555</v>
      </c>
      <c r="J676" t="s">
        <v>556</v>
      </c>
      <c r="L676">
        <v>4147255</v>
      </c>
      <c r="M676">
        <f>IF(F676="INR",1,INDEX('rates'!$B$2:$C$522,MATCH(D676,'rates'!$A$2:$A$522,1),MATCH(F676&amp;"/INR",'rates'!$B$1:$C$1,0)))</f>
        <v>1</v>
      </c>
      <c r="N676">
        <f t="shared" si="53"/>
        <v>4147255</v>
      </c>
      <c r="O676">
        <f t="shared" si="54"/>
        <v>0</v>
      </c>
      <c r="P676">
        <f t="shared" si="55"/>
        <v>0</v>
      </c>
      <c r="Q676">
        <f t="shared" si="57"/>
        <v>3</v>
      </c>
      <c r="R676" t="str">
        <f t="shared" si="56"/>
        <v>Not open</v>
      </c>
    </row>
    <row r="677" spans="1:18" x14ac:dyDescent="0.3">
      <c r="A677" t="s">
        <v>833</v>
      </c>
      <c r="B677" t="s">
        <v>332</v>
      </c>
      <c r="C677" t="s">
        <v>566</v>
      </c>
      <c r="D677" s="1">
        <v>45106</v>
      </c>
      <c r="E677" s="1">
        <v>45166</v>
      </c>
      <c r="F677" t="s">
        <v>36</v>
      </c>
      <c r="G677">
        <v>77306.25</v>
      </c>
      <c r="H677" s="1">
        <v>45178</v>
      </c>
      <c r="I677" t="s">
        <v>555</v>
      </c>
      <c r="J677" t="s">
        <v>573</v>
      </c>
      <c r="K677">
        <v>82.323499999999996</v>
      </c>
      <c r="L677">
        <v>77306.25</v>
      </c>
      <c r="M677">
        <f>IF(F677="INR",1,INDEX('rates'!$B$2:$C$522,MATCH(D677,'rates'!$A$2:$A$522,1),MATCH(F677&amp;"/INR",'rates'!$B$1:$C$1,0)))</f>
        <v>82.05</v>
      </c>
      <c r="N677">
        <f t="shared" si="53"/>
        <v>6342977.8125</v>
      </c>
      <c r="O677">
        <f t="shared" si="54"/>
        <v>0</v>
      </c>
      <c r="P677">
        <f t="shared" si="55"/>
        <v>0</v>
      </c>
      <c r="Q677">
        <f t="shared" si="57"/>
        <v>12</v>
      </c>
      <c r="R677" t="str">
        <f t="shared" si="56"/>
        <v>Not open</v>
      </c>
    </row>
    <row r="678" spans="1:18" x14ac:dyDescent="0.3">
      <c r="A678" t="s">
        <v>834</v>
      </c>
      <c r="B678" t="s">
        <v>372</v>
      </c>
      <c r="C678" t="s">
        <v>575</v>
      </c>
      <c r="D678" s="1">
        <v>45106</v>
      </c>
      <c r="E678" s="1">
        <v>45196</v>
      </c>
      <c r="F678" t="s">
        <v>13</v>
      </c>
      <c r="G678">
        <v>1765714</v>
      </c>
      <c r="H678" s="1">
        <v>45215</v>
      </c>
      <c r="I678" t="s">
        <v>555</v>
      </c>
      <c r="J678" t="s">
        <v>556</v>
      </c>
      <c r="L678">
        <v>1765714</v>
      </c>
      <c r="M678">
        <f>IF(F678="INR",1,INDEX('rates'!$B$2:$C$522,MATCH(D678,'rates'!$A$2:$A$522,1),MATCH(F678&amp;"/INR",'rates'!$B$1:$C$1,0)))</f>
        <v>1</v>
      </c>
      <c r="N678">
        <f t="shared" si="53"/>
        <v>1765714</v>
      </c>
      <c r="O678">
        <f t="shared" si="54"/>
        <v>0</v>
      </c>
      <c r="P678">
        <f t="shared" si="55"/>
        <v>0</v>
      </c>
      <c r="Q678">
        <f t="shared" si="57"/>
        <v>19</v>
      </c>
      <c r="R678" t="str">
        <f t="shared" si="56"/>
        <v>Not open</v>
      </c>
    </row>
    <row r="679" spans="1:18" x14ac:dyDescent="0.3">
      <c r="A679" t="s">
        <v>835</v>
      </c>
      <c r="B679" t="s">
        <v>105</v>
      </c>
      <c r="C679" t="s">
        <v>560</v>
      </c>
      <c r="D679" s="1">
        <v>45107</v>
      </c>
      <c r="E679" s="1">
        <v>45197</v>
      </c>
      <c r="F679" t="s">
        <v>36</v>
      </c>
      <c r="G679">
        <v>39650.46</v>
      </c>
      <c r="H679" s="1">
        <v>45282</v>
      </c>
      <c r="I679" t="s">
        <v>555</v>
      </c>
      <c r="J679" t="s">
        <v>556</v>
      </c>
      <c r="L679">
        <v>39650.46</v>
      </c>
      <c r="M679">
        <f>IF(F679="INR",1,INDEX('rates'!$B$2:$C$522,MATCH(D679,'rates'!$A$2:$A$522,1),MATCH(F679&amp;"/INR",'rates'!$B$1:$C$1,0)))</f>
        <v>82.06</v>
      </c>
      <c r="N679">
        <f t="shared" si="53"/>
        <v>3253716.7475999999</v>
      </c>
      <c r="O679">
        <f t="shared" si="54"/>
        <v>0</v>
      </c>
      <c r="P679">
        <f t="shared" si="55"/>
        <v>0</v>
      </c>
      <c r="Q679">
        <f t="shared" si="57"/>
        <v>85</v>
      </c>
      <c r="R679" t="str">
        <f t="shared" si="56"/>
        <v>Not open</v>
      </c>
    </row>
    <row r="680" spans="1:18" x14ac:dyDescent="0.3">
      <c r="A680" t="s">
        <v>836</v>
      </c>
      <c r="B680" t="s">
        <v>180</v>
      </c>
      <c r="C680" t="s">
        <v>558</v>
      </c>
      <c r="D680" s="1">
        <v>45107</v>
      </c>
      <c r="E680" s="1">
        <v>45152</v>
      </c>
      <c r="F680" t="s">
        <v>13</v>
      </c>
      <c r="G680">
        <v>10266163</v>
      </c>
      <c r="H680" s="1">
        <v>45163</v>
      </c>
      <c r="I680" t="s">
        <v>555</v>
      </c>
      <c r="J680" t="s">
        <v>556</v>
      </c>
      <c r="L680">
        <v>10266163</v>
      </c>
      <c r="M680">
        <f>IF(F680="INR",1,INDEX('rates'!$B$2:$C$522,MATCH(D680,'rates'!$A$2:$A$522,1),MATCH(F680&amp;"/INR",'rates'!$B$1:$C$1,0)))</f>
        <v>1</v>
      </c>
      <c r="N680">
        <f t="shared" si="53"/>
        <v>10266163</v>
      </c>
      <c r="O680">
        <f t="shared" si="54"/>
        <v>0</v>
      </c>
      <c r="P680">
        <f t="shared" si="55"/>
        <v>0</v>
      </c>
      <c r="Q680">
        <f t="shared" si="57"/>
        <v>11</v>
      </c>
      <c r="R680" t="str">
        <f t="shared" si="56"/>
        <v>Not open</v>
      </c>
    </row>
    <row r="681" spans="1:18" x14ac:dyDescent="0.3">
      <c r="A681" t="s">
        <v>837</v>
      </c>
      <c r="B681" t="s">
        <v>238</v>
      </c>
      <c r="C681" t="s">
        <v>566</v>
      </c>
      <c r="D681" s="1">
        <v>45107</v>
      </c>
      <c r="E681" s="1">
        <v>45167</v>
      </c>
      <c r="F681" t="s">
        <v>31</v>
      </c>
      <c r="G681">
        <v>52232.22</v>
      </c>
      <c r="H681" s="1">
        <v>45188</v>
      </c>
      <c r="I681" t="s">
        <v>555</v>
      </c>
      <c r="J681" t="s">
        <v>573</v>
      </c>
      <c r="K681">
        <v>89.788700000000006</v>
      </c>
      <c r="L681">
        <v>52232.22</v>
      </c>
      <c r="M681">
        <f>IF(F681="INR",1,INDEX('rates'!$B$2:$C$522,MATCH(D681,'rates'!$A$2:$A$522,1),MATCH(F681&amp;"/INR",'rates'!$B$1:$C$1,0)))</f>
        <v>89.609499999999997</v>
      </c>
      <c r="N681">
        <f t="shared" si="53"/>
        <v>4680503.11809</v>
      </c>
      <c r="O681">
        <f t="shared" si="54"/>
        <v>0</v>
      </c>
      <c r="P681">
        <f t="shared" si="55"/>
        <v>0</v>
      </c>
      <c r="Q681">
        <f t="shared" si="57"/>
        <v>21</v>
      </c>
      <c r="R681" t="str">
        <f t="shared" si="56"/>
        <v>Not open</v>
      </c>
    </row>
    <row r="682" spans="1:18" x14ac:dyDescent="0.3">
      <c r="A682" t="s">
        <v>838</v>
      </c>
      <c r="B682" t="s">
        <v>286</v>
      </c>
      <c r="C682" t="s">
        <v>558</v>
      </c>
      <c r="D682" s="1">
        <v>45107</v>
      </c>
      <c r="E682" s="1">
        <v>45167</v>
      </c>
      <c r="F682" t="s">
        <v>36</v>
      </c>
      <c r="G682">
        <v>28738.07</v>
      </c>
      <c r="H682" s="1">
        <v>45177</v>
      </c>
      <c r="I682" t="s">
        <v>555</v>
      </c>
      <c r="J682" t="s">
        <v>556</v>
      </c>
      <c r="L682">
        <v>28738.07</v>
      </c>
      <c r="M682">
        <f>IF(F682="INR",1,INDEX('rates'!$B$2:$C$522,MATCH(D682,'rates'!$A$2:$A$522,1),MATCH(F682&amp;"/INR",'rates'!$B$1:$C$1,0)))</f>
        <v>82.06</v>
      </c>
      <c r="N682">
        <f t="shared" si="53"/>
        <v>2358246.0241999999</v>
      </c>
      <c r="O682">
        <f t="shared" si="54"/>
        <v>0</v>
      </c>
      <c r="P682">
        <f t="shared" si="55"/>
        <v>0</v>
      </c>
      <c r="Q682">
        <f t="shared" si="57"/>
        <v>10</v>
      </c>
      <c r="R682" t="str">
        <f t="shared" si="56"/>
        <v>Not open</v>
      </c>
    </row>
    <row r="683" spans="1:18" x14ac:dyDescent="0.3">
      <c r="A683" t="s">
        <v>839</v>
      </c>
      <c r="B683" t="s">
        <v>400</v>
      </c>
      <c r="C683" t="s">
        <v>558</v>
      </c>
      <c r="D683" s="1">
        <v>45107</v>
      </c>
      <c r="E683" s="1">
        <v>45152</v>
      </c>
      <c r="F683" t="s">
        <v>36</v>
      </c>
      <c r="G683">
        <v>124894.14</v>
      </c>
      <c r="H683" s="1">
        <v>45392</v>
      </c>
      <c r="I683" t="s">
        <v>555</v>
      </c>
      <c r="J683" t="s">
        <v>556</v>
      </c>
      <c r="L683">
        <v>124894.14</v>
      </c>
      <c r="M683">
        <f>IF(F683="INR",1,INDEX('rates'!$B$2:$C$522,MATCH(D683,'rates'!$A$2:$A$522,1),MATCH(F683&amp;"/INR",'rates'!$B$1:$C$1,0)))</f>
        <v>82.06</v>
      </c>
      <c r="N683">
        <f t="shared" si="53"/>
        <v>10248813.1284</v>
      </c>
      <c r="O683">
        <f t="shared" si="54"/>
        <v>0</v>
      </c>
      <c r="P683">
        <f t="shared" si="55"/>
        <v>0</v>
      </c>
      <c r="Q683">
        <f t="shared" si="57"/>
        <v>240</v>
      </c>
      <c r="R683" t="str">
        <f t="shared" si="56"/>
        <v>Not open</v>
      </c>
    </row>
    <row r="684" spans="1:18" x14ac:dyDescent="0.3">
      <c r="A684" t="s">
        <v>840</v>
      </c>
      <c r="B684" t="s">
        <v>468</v>
      </c>
      <c r="C684" t="s">
        <v>554</v>
      </c>
      <c r="D684" s="1">
        <v>45108</v>
      </c>
      <c r="E684" s="1">
        <v>45138</v>
      </c>
      <c r="F684" t="s">
        <v>13</v>
      </c>
      <c r="G684">
        <v>22523799</v>
      </c>
      <c r="H684" s="1">
        <v>45134</v>
      </c>
      <c r="I684" t="s">
        <v>555</v>
      </c>
      <c r="J684" t="s">
        <v>556</v>
      </c>
      <c r="L684">
        <v>22523799</v>
      </c>
      <c r="M684">
        <f>IF(F684="INR",1,INDEX('rates'!$B$2:$C$522,MATCH(D684,'rates'!$A$2:$A$522,1),MATCH(F684&amp;"/INR",'rates'!$B$1:$C$1,0)))</f>
        <v>1</v>
      </c>
      <c r="N684">
        <f t="shared" si="53"/>
        <v>22523799</v>
      </c>
      <c r="O684">
        <f t="shared" si="54"/>
        <v>0</v>
      </c>
      <c r="P684">
        <f t="shared" si="55"/>
        <v>0</v>
      </c>
      <c r="Q684">
        <f t="shared" si="57"/>
        <v>-4</v>
      </c>
      <c r="R684" t="str">
        <f t="shared" si="56"/>
        <v>Not open</v>
      </c>
    </row>
    <row r="685" spans="1:18" x14ac:dyDescent="0.3">
      <c r="A685" t="s">
        <v>841</v>
      </c>
      <c r="B685" t="s">
        <v>476</v>
      </c>
      <c r="C685" t="s">
        <v>566</v>
      </c>
      <c r="D685" s="1">
        <v>45108</v>
      </c>
      <c r="E685" s="1">
        <v>45153</v>
      </c>
      <c r="F685" t="s">
        <v>13</v>
      </c>
      <c r="G685">
        <v>2439889</v>
      </c>
      <c r="H685" s="1">
        <v>45188</v>
      </c>
      <c r="I685" t="s">
        <v>555</v>
      </c>
      <c r="J685" t="s">
        <v>556</v>
      </c>
      <c r="L685">
        <v>2439889</v>
      </c>
      <c r="M685">
        <f>IF(F685="INR",1,INDEX('rates'!$B$2:$C$522,MATCH(D685,'rates'!$A$2:$A$522,1),MATCH(F685&amp;"/INR",'rates'!$B$1:$C$1,0)))</f>
        <v>1</v>
      </c>
      <c r="N685">
        <f t="shared" si="53"/>
        <v>2439889</v>
      </c>
      <c r="O685">
        <f t="shared" si="54"/>
        <v>0</v>
      </c>
      <c r="P685">
        <f t="shared" si="55"/>
        <v>0</v>
      </c>
      <c r="Q685">
        <f t="shared" si="57"/>
        <v>35</v>
      </c>
      <c r="R685" t="str">
        <f t="shared" si="56"/>
        <v>Not open</v>
      </c>
    </row>
    <row r="686" spans="1:18" x14ac:dyDescent="0.3">
      <c r="A686" t="s">
        <v>842</v>
      </c>
      <c r="B686" t="s">
        <v>506</v>
      </c>
      <c r="C686" t="s">
        <v>554</v>
      </c>
      <c r="D686" s="1">
        <v>45108</v>
      </c>
      <c r="E686" s="1">
        <v>45168</v>
      </c>
      <c r="F686" t="s">
        <v>13</v>
      </c>
      <c r="G686">
        <v>20574493</v>
      </c>
      <c r="H686" s="1">
        <v>45167</v>
      </c>
      <c r="I686" t="s">
        <v>555</v>
      </c>
      <c r="J686" t="s">
        <v>556</v>
      </c>
      <c r="L686">
        <v>20574493</v>
      </c>
      <c r="M686">
        <f>IF(F686="INR",1,INDEX('rates'!$B$2:$C$522,MATCH(D686,'rates'!$A$2:$A$522,1),MATCH(F686&amp;"/INR",'rates'!$B$1:$C$1,0)))</f>
        <v>1</v>
      </c>
      <c r="N686">
        <f t="shared" si="53"/>
        <v>20574493</v>
      </c>
      <c r="O686">
        <f t="shared" si="54"/>
        <v>0</v>
      </c>
      <c r="P686">
        <f t="shared" si="55"/>
        <v>0</v>
      </c>
      <c r="Q686">
        <f t="shared" si="57"/>
        <v>-1</v>
      </c>
      <c r="R686" t="str">
        <f t="shared" si="56"/>
        <v>Not open</v>
      </c>
    </row>
    <row r="687" spans="1:18" x14ac:dyDescent="0.3">
      <c r="A687" t="s">
        <v>843</v>
      </c>
      <c r="B687" t="s">
        <v>33</v>
      </c>
      <c r="C687" t="s">
        <v>566</v>
      </c>
      <c r="D687" s="1">
        <v>45110</v>
      </c>
      <c r="E687" s="1">
        <v>45140</v>
      </c>
      <c r="F687" t="s">
        <v>36</v>
      </c>
      <c r="G687">
        <v>228751.62</v>
      </c>
      <c r="H687" s="1">
        <v>45188</v>
      </c>
      <c r="I687" t="s">
        <v>555</v>
      </c>
      <c r="J687" t="s">
        <v>573</v>
      </c>
      <c r="K687">
        <v>82.096599999999995</v>
      </c>
      <c r="L687">
        <v>228751.62</v>
      </c>
      <c r="M687">
        <f>IF(F687="INR",1,INDEX('rates'!$B$2:$C$522,MATCH(D687,'rates'!$A$2:$A$522,1),MATCH(F687&amp;"/INR",'rates'!$B$1:$C$1,0)))</f>
        <v>81.96</v>
      </c>
      <c r="N687">
        <f t="shared" si="53"/>
        <v>18748482.775199998</v>
      </c>
      <c r="O687">
        <f t="shared" si="54"/>
        <v>0</v>
      </c>
      <c r="P687">
        <f t="shared" si="55"/>
        <v>0</v>
      </c>
      <c r="Q687">
        <f t="shared" si="57"/>
        <v>48</v>
      </c>
      <c r="R687" t="str">
        <f t="shared" si="56"/>
        <v>Not open</v>
      </c>
    </row>
    <row r="688" spans="1:18" x14ac:dyDescent="0.3">
      <c r="A688" t="s">
        <v>844</v>
      </c>
      <c r="B688" t="s">
        <v>59</v>
      </c>
      <c r="C688" t="s">
        <v>566</v>
      </c>
      <c r="D688" s="1">
        <v>45110</v>
      </c>
      <c r="E688" s="1">
        <v>45155</v>
      </c>
      <c r="F688" t="s">
        <v>31</v>
      </c>
      <c r="G688">
        <v>72294.039999999994</v>
      </c>
      <c r="H688" s="1">
        <v>45164</v>
      </c>
      <c r="I688" t="s">
        <v>555</v>
      </c>
      <c r="J688" t="s">
        <v>573</v>
      </c>
      <c r="K688">
        <v>89.626300000000001</v>
      </c>
      <c r="L688">
        <v>72294.039999999994</v>
      </c>
      <c r="M688">
        <f>IF(F688="INR",1,INDEX('rates'!$B$2:$C$522,MATCH(D688,'rates'!$A$2:$A$522,1),MATCH(F688&amp;"/INR",'rates'!$B$1:$C$1,0)))</f>
        <v>89.492099999999994</v>
      </c>
      <c r="N688">
        <f t="shared" si="53"/>
        <v>6469745.4570839992</v>
      </c>
      <c r="O688">
        <f t="shared" si="54"/>
        <v>0</v>
      </c>
      <c r="P688">
        <f t="shared" si="55"/>
        <v>0</v>
      </c>
      <c r="Q688">
        <f t="shared" si="57"/>
        <v>9</v>
      </c>
      <c r="R688" t="str">
        <f t="shared" si="56"/>
        <v>Not open</v>
      </c>
    </row>
    <row r="689" spans="1:18" x14ac:dyDescent="0.3">
      <c r="A689" t="s">
        <v>845</v>
      </c>
      <c r="B689" t="s">
        <v>154</v>
      </c>
      <c r="C689" t="s">
        <v>566</v>
      </c>
      <c r="D689" s="1">
        <v>45110</v>
      </c>
      <c r="E689" s="1">
        <v>45140</v>
      </c>
      <c r="F689" t="s">
        <v>13</v>
      </c>
      <c r="G689">
        <v>10585639</v>
      </c>
      <c r="H689" s="1"/>
      <c r="I689" t="s">
        <v>555</v>
      </c>
      <c r="J689" t="s">
        <v>556</v>
      </c>
      <c r="L689">
        <v>10585639</v>
      </c>
      <c r="M689">
        <f>IF(F689="INR",1,INDEX('rates'!$B$2:$C$522,MATCH(D689,'rates'!$A$2:$A$522,1),MATCH(F689&amp;"/INR",'rates'!$B$1:$C$1,0)))</f>
        <v>1</v>
      </c>
      <c r="N689">
        <f t="shared" si="53"/>
        <v>10585639</v>
      </c>
      <c r="O689">
        <f t="shared" si="54"/>
        <v>0</v>
      </c>
      <c r="P689">
        <f t="shared" si="55"/>
        <v>0</v>
      </c>
      <c r="R689" t="str">
        <f t="shared" si="56"/>
        <v>Not open</v>
      </c>
    </row>
    <row r="690" spans="1:18" x14ac:dyDescent="0.3">
      <c r="A690" t="s">
        <v>846</v>
      </c>
      <c r="B690" t="s">
        <v>484</v>
      </c>
      <c r="C690" t="s">
        <v>560</v>
      </c>
      <c r="D690" s="1">
        <v>45110</v>
      </c>
      <c r="E690" s="1">
        <v>45170</v>
      </c>
      <c r="F690" t="s">
        <v>31</v>
      </c>
      <c r="G690">
        <v>92479.44</v>
      </c>
      <c r="H690" s="1">
        <v>45175</v>
      </c>
      <c r="I690" t="s">
        <v>555</v>
      </c>
      <c r="J690" t="s">
        <v>556</v>
      </c>
      <c r="L690">
        <v>92479.44</v>
      </c>
      <c r="M690">
        <f>IF(F690="INR",1,INDEX('rates'!$B$2:$C$522,MATCH(D690,'rates'!$A$2:$A$522,1),MATCH(F690&amp;"/INR",'rates'!$B$1:$C$1,0)))</f>
        <v>89.492099999999994</v>
      </c>
      <c r="N690">
        <f t="shared" si="53"/>
        <v>8276179.2924239999</v>
      </c>
      <c r="O690">
        <f t="shared" si="54"/>
        <v>0</v>
      </c>
      <c r="P690">
        <f t="shared" si="55"/>
        <v>0</v>
      </c>
      <c r="Q690">
        <f t="shared" ref="Q690:Q753" si="58">IF(H690="","",H690-E690)</f>
        <v>5</v>
      </c>
      <c r="R690" t="str">
        <f t="shared" si="56"/>
        <v>Not open</v>
      </c>
    </row>
    <row r="691" spans="1:18" x14ac:dyDescent="0.3">
      <c r="A691" t="s">
        <v>847</v>
      </c>
      <c r="B691" t="s">
        <v>105</v>
      </c>
      <c r="C691" t="s">
        <v>560</v>
      </c>
      <c r="D691" s="1">
        <v>45111</v>
      </c>
      <c r="E691" s="1">
        <v>45201</v>
      </c>
      <c r="F691" t="s">
        <v>36</v>
      </c>
      <c r="G691">
        <v>80135.350000000006</v>
      </c>
      <c r="H691" s="1">
        <v>45280</v>
      </c>
      <c r="I691" t="s">
        <v>555</v>
      </c>
      <c r="J691" t="s">
        <v>556</v>
      </c>
      <c r="L691">
        <v>80135.350000000006</v>
      </c>
      <c r="M691">
        <f>IF(F691="INR",1,INDEX('rates'!$B$2:$C$522,MATCH(D691,'rates'!$A$2:$A$522,1),MATCH(F691&amp;"/INR",'rates'!$B$1:$C$1,0)))</f>
        <v>81.96</v>
      </c>
      <c r="N691">
        <f t="shared" si="53"/>
        <v>6567893.2860000003</v>
      </c>
      <c r="O691">
        <f t="shared" si="54"/>
        <v>0</v>
      </c>
      <c r="P691">
        <f t="shared" si="55"/>
        <v>0</v>
      </c>
      <c r="Q691">
        <f t="shared" si="58"/>
        <v>79</v>
      </c>
      <c r="R691" t="str">
        <f t="shared" si="56"/>
        <v>Not open</v>
      </c>
    </row>
    <row r="692" spans="1:18" x14ac:dyDescent="0.3">
      <c r="A692" t="s">
        <v>848</v>
      </c>
      <c r="B692" t="s">
        <v>284</v>
      </c>
      <c r="C692" t="s">
        <v>566</v>
      </c>
      <c r="D692" s="1">
        <v>45111</v>
      </c>
      <c r="E692" s="1">
        <v>45156</v>
      </c>
      <c r="F692" t="s">
        <v>31</v>
      </c>
      <c r="G692">
        <v>45758.63</v>
      </c>
      <c r="H692" s="1">
        <v>45161</v>
      </c>
      <c r="I692" t="s">
        <v>555</v>
      </c>
      <c r="J692" t="s">
        <v>556</v>
      </c>
      <c r="L692">
        <v>45758.63</v>
      </c>
      <c r="M692">
        <f>IF(F692="INR",1,INDEX('rates'!$B$2:$C$522,MATCH(D692,'rates'!$A$2:$A$522,1),MATCH(F692&amp;"/INR",'rates'!$B$1:$C$1,0)))</f>
        <v>89.492099999999994</v>
      </c>
      <c r="N692">
        <f t="shared" si="53"/>
        <v>4095035.8918229993</v>
      </c>
      <c r="O692">
        <f t="shared" si="54"/>
        <v>0</v>
      </c>
      <c r="P692">
        <f t="shared" si="55"/>
        <v>0</v>
      </c>
      <c r="Q692">
        <f t="shared" si="58"/>
        <v>5</v>
      </c>
      <c r="R692" t="str">
        <f t="shared" si="56"/>
        <v>Not open</v>
      </c>
    </row>
    <row r="693" spans="1:18" x14ac:dyDescent="0.3">
      <c r="A693" t="s">
        <v>849</v>
      </c>
      <c r="B693" t="s">
        <v>496</v>
      </c>
      <c r="C693" t="s">
        <v>554</v>
      </c>
      <c r="D693" s="1">
        <v>45111</v>
      </c>
      <c r="E693" s="1">
        <v>45156</v>
      </c>
      <c r="F693" t="s">
        <v>13</v>
      </c>
      <c r="G693">
        <v>3381220</v>
      </c>
      <c r="H693" s="1">
        <v>45165</v>
      </c>
      <c r="I693" t="s">
        <v>555</v>
      </c>
      <c r="J693" t="s">
        <v>556</v>
      </c>
      <c r="L693">
        <v>3381220</v>
      </c>
      <c r="M693">
        <f>IF(F693="INR",1,INDEX('rates'!$B$2:$C$522,MATCH(D693,'rates'!$A$2:$A$522,1),MATCH(F693&amp;"/INR",'rates'!$B$1:$C$1,0)))</f>
        <v>1</v>
      </c>
      <c r="N693">
        <f t="shared" si="53"/>
        <v>3381220</v>
      </c>
      <c r="O693">
        <f t="shared" si="54"/>
        <v>0</v>
      </c>
      <c r="P693">
        <f t="shared" si="55"/>
        <v>0</v>
      </c>
      <c r="Q693">
        <f t="shared" si="58"/>
        <v>9</v>
      </c>
      <c r="R693" t="str">
        <f t="shared" si="56"/>
        <v>Not open</v>
      </c>
    </row>
    <row r="694" spans="1:18" x14ac:dyDescent="0.3">
      <c r="A694" t="s">
        <v>850</v>
      </c>
      <c r="B694" t="s">
        <v>19</v>
      </c>
      <c r="C694" t="s">
        <v>554</v>
      </c>
      <c r="D694" s="1">
        <v>45112</v>
      </c>
      <c r="E694" s="1">
        <v>45157</v>
      </c>
      <c r="F694" t="s">
        <v>13</v>
      </c>
      <c r="G694">
        <v>9679550</v>
      </c>
      <c r="H694" s="1">
        <v>45203</v>
      </c>
      <c r="I694" t="s">
        <v>555</v>
      </c>
      <c r="J694" t="s">
        <v>556</v>
      </c>
      <c r="L694">
        <v>9679550</v>
      </c>
      <c r="M694">
        <f>IF(F694="INR",1,INDEX('rates'!$B$2:$C$522,MATCH(D694,'rates'!$A$2:$A$522,1),MATCH(F694&amp;"/INR",'rates'!$B$1:$C$1,0)))</f>
        <v>1</v>
      </c>
      <c r="N694">
        <f t="shared" si="53"/>
        <v>9679550</v>
      </c>
      <c r="O694">
        <f t="shared" si="54"/>
        <v>0</v>
      </c>
      <c r="P694">
        <f t="shared" si="55"/>
        <v>0</v>
      </c>
      <c r="Q694">
        <f t="shared" si="58"/>
        <v>46</v>
      </c>
      <c r="R694" t="str">
        <f t="shared" si="56"/>
        <v>Not open</v>
      </c>
    </row>
    <row r="695" spans="1:18" x14ac:dyDescent="0.3">
      <c r="A695" t="s">
        <v>851</v>
      </c>
      <c r="B695" t="s">
        <v>119</v>
      </c>
      <c r="C695" t="s">
        <v>560</v>
      </c>
      <c r="D695" s="1">
        <v>45112</v>
      </c>
      <c r="E695" s="1">
        <v>45142</v>
      </c>
      <c r="F695" t="s">
        <v>31</v>
      </c>
      <c r="G695">
        <v>32630.3</v>
      </c>
      <c r="H695" s="1">
        <v>45160</v>
      </c>
      <c r="I695" t="s">
        <v>555</v>
      </c>
      <c r="J695" t="s">
        <v>556</v>
      </c>
      <c r="L695">
        <v>32630.3</v>
      </c>
      <c r="M695">
        <f>IF(F695="INR",1,INDEX('rates'!$B$2:$C$522,MATCH(D695,'rates'!$A$2:$A$522,1),MATCH(F695&amp;"/INR",'rates'!$B$1:$C$1,0)))</f>
        <v>89.487099999999998</v>
      </c>
      <c r="N695">
        <f t="shared" si="53"/>
        <v>2919990.9191299998</v>
      </c>
      <c r="O695">
        <f t="shared" si="54"/>
        <v>0</v>
      </c>
      <c r="P695">
        <f t="shared" si="55"/>
        <v>0</v>
      </c>
      <c r="Q695">
        <f t="shared" si="58"/>
        <v>18</v>
      </c>
      <c r="R695" t="str">
        <f t="shared" si="56"/>
        <v>Not open</v>
      </c>
    </row>
    <row r="696" spans="1:18" x14ac:dyDescent="0.3">
      <c r="A696" t="s">
        <v>852</v>
      </c>
      <c r="B696" t="s">
        <v>246</v>
      </c>
      <c r="C696" t="s">
        <v>554</v>
      </c>
      <c r="D696" s="1">
        <v>45112</v>
      </c>
      <c r="E696" s="1">
        <v>45172</v>
      </c>
      <c r="F696" t="s">
        <v>13</v>
      </c>
      <c r="G696">
        <v>3799382</v>
      </c>
      <c r="H696" s="1">
        <v>45176</v>
      </c>
      <c r="I696" t="s">
        <v>555</v>
      </c>
      <c r="J696" t="s">
        <v>556</v>
      </c>
      <c r="L696">
        <v>3799382</v>
      </c>
      <c r="M696">
        <f>IF(F696="INR",1,INDEX('rates'!$B$2:$C$522,MATCH(D696,'rates'!$A$2:$A$522,1),MATCH(F696&amp;"/INR",'rates'!$B$1:$C$1,0)))</f>
        <v>1</v>
      </c>
      <c r="N696">
        <f t="shared" si="53"/>
        <v>3799382</v>
      </c>
      <c r="O696">
        <f t="shared" si="54"/>
        <v>0</v>
      </c>
      <c r="P696">
        <f t="shared" si="55"/>
        <v>0</v>
      </c>
      <c r="Q696">
        <f t="shared" si="58"/>
        <v>4</v>
      </c>
      <c r="R696" t="str">
        <f t="shared" si="56"/>
        <v>Not open</v>
      </c>
    </row>
    <row r="697" spans="1:18" x14ac:dyDescent="0.3">
      <c r="A697" t="s">
        <v>853</v>
      </c>
      <c r="B697" t="s">
        <v>418</v>
      </c>
      <c r="C697" t="s">
        <v>558</v>
      </c>
      <c r="D697" s="1">
        <v>45112</v>
      </c>
      <c r="E697" s="1">
        <v>45157</v>
      </c>
      <c r="F697" t="s">
        <v>13</v>
      </c>
      <c r="G697">
        <v>3234251</v>
      </c>
      <c r="H697" s="1">
        <v>45249</v>
      </c>
      <c r="I697" t="s">
        <v>555</v>
      </c>
      <c r="J697" t="s">
        <v>556</v>
      </c>
      <c r="L697">
        <v>3234251</v>
      </c>
      <c r="M697">
        <f>IF(F697="INR",1,INDEX('rates'!$B$2:$C$522,MATCH(D697,'rates'!$A$2:$A$522,1),MATCH(F697&amp;"/INR",'rates'!$B$1:$C$1,0)))</f>
        <v>1</v>
      </c>
      <c r="N697">
        <f t="shared" si="53"/>
        <v>3234251</v>
      </c>
      <c r="O697">
        <f t="shared" si="54"/>
        <v>0</v>
      </c>
      <c r="P697">
        <f t="shared" si="55"/>
        <v>0</v>
      </c>
      <c r="Q697">
        <f t="shared" si="58"/>
        <v>92</v>
      </c>
      <c r="R697" t="str">
        <f t="shared" si="56"/>
        <v>Not open</v>
      </c>
    </row>
    <row r="698" spans="1:18" x14ac:dyDescent="0.3">
      <c r="A698" t="s">
        <v>854</v>
      </c>
      <c r="B698" t="s">
        <v>466</v>
      </c>
      <c r="C698" t="s">
        <v>558</v>
      </c>
      <c r="D698" s="1">
        <v>45112</v>
      </c>
      <c r="E698" s="1">
        <v>45172</v>
      </c>
      <c r="F698" t="s">
        <v>31</v>
      </c>
      <c r="G698">
        <v>162192.32999999999</v>
      </c>
      <c r="H698" s="1">
        <v>45168</v>
      </c>
      <c r="I698" t="s">
        <v>555</v>
      </c>
      <c r="J698" t="s">
        <v>556</v>
      </c>
      <c r="L698">
        <v>162192.32999999999</v>
      </c>
      <c r="M698">
        <f>IF(F698="INR",1,INDEX('rates'!$B$2:$C$522,MATCH(D698,'rates'!$A$2:$A$522,1),MATCH(F698&amp;"/INR",'rates'!$B$1:$C$1,0)))</f>
        <v>89.487099999999998</v>
      </c>
      <c r="N698">
        <f t="shared" si="53"/>
        <v>14514121.253942998</v>
      </c>
      <c r="O698">
        <f t="shared" si="54"/>
        <v>0</v>
      </c>
      <c r="P698">
        <f t="shared" si="55"/>
        <v>0</v>
      </c>
      <c r="Q698">
        <f t="shared" si="58"/>
        <v>-4</v>
      </c>
      <c r="R698" t="str">
        <f t="shared" si="56"/>
        <v>Not open</v>
      </c>
    </row>
    <row r="699" spans="1:18" x14ac:dyDescent="0.3">
      <c r="A699" t="s">
        <v>855</v>
      </c>
      <c r="B699" t="s">
        <v>212</v>
      </c>
      <c r="C699" t="s">
        <v>566</v>
      </c>
      <c r="D699" s="1">
        <v>45113</v>
      </c>
      <c r="E699" s="1">
        <v>45158</v>
      </c>
      <c r="F699" t="s">
        <v>13</v>
      </c>
      <c r="G699">
        <v>1755908</v>
      </c>
      <c r="H699" s="1">
        <v>45180</v>
      </c>
      <c r="I699" t="s">
        <v>555</v>
      </c>
      <c r="J699" t="s">
        <v>556</v>
      </c>
      <c r="L699">
        <v>1755908</v>
      </c>
      <c r="M699">
        <f>IF(F699="INR",1,INDEX('rates'!$B$2:$C$522,MATCH(D699,'rates'!$A$2:$A$522,1),MATCH(F699&amp;"/INR",'rates'!$B$1:$C$1,0)))</f>
        <v>1</v>
      </c>
      <c r="N699">
        <f t="shared" si="53"/>
        <v>1755908</v>
      </c>
      <c r="O699">
        <f t="shared" si="54"/>
        <v>0</v>
      </c>
      <c r="P699">
        <f t="shared" si="55"/>
        <v>0</v>
      </c>
      <c r="Q699">
        <f t="shared" si="58"/>
        <v>22</v>
      </c>
      <c r="R699" t="str">
        <f t="shared" si="56"/>
        <v>Not open</v>
      </c>
    </row>
    <row r="700" spans="1:18" x14ac:dyDescent="0.3">
      <c r="A700" t="s">
        <v>856</v>
      </c>
      <c r="B700" t="s">
        <v>220</v>
      </c>
      <c r="C700" t="s">
        <v>560</v>
      </c>
      <c r="D700" s="1">
        <v>45113</v>
      </c>
      <c r="E700" s="1">
        <v>45203</v>
      </c>
      <c r="F700" t="s">
        <v>31</v>
      </c>
      <c r="G700">
        <v>54171</v>
      </c>
      <c r="H700" s="1">
        <v>45213</v>
      </c>
      <c r="I700" t="s">
        <v>555</v>
      </c>
      <c r="J700" t="s">
        <v>573</v>
      </c>
      <c r="K700">
        <v>89.960499999999996</v>
      </c>
      <c r="L700">
        <v>54170.59</v>
      </c>
      <c r="M700">
        <f>IF(F700="INR",1,INDEX('rates'!$B$2:$C$522,MATCH(D700,'rates'!$A$2:$A$522,1),MATCH(F700&amp;"/INR",'rates'!$B$1:$C$1,0)))</f>
        <v>89.691400000000002</v>
      </c>
      <c r="N700">
        <f t="shared" si="53"/>
        <v>4858672.8294000002</v>
      </c>
      <c r="O700">
        <f t="shared" si="54"/>
        <v>0</v>
      </c>
      <c r="P700">
        <f t="shared" si="55"/>
        <v>0</v>
      </c>
      <c r="Q700">
        <f t="shared" si="58"/>
        <v>10</v>
      </c>
      <c r="R700" t="str">
        <f t="shared" si="56"/>
        <v>Not open</v>
      </c>
    </row>
    <row r="701" spans="1:18" x14ac:dyDescent="0.3">
      <c r="A701" t="s">
        <v>857</v>
      </c>
      <c r="B701" t="s">
        <v>262</v>
      </c>
      <c r="C701" t="s">
        <v>566</v>
      </c>
      <c r="D701" s="1">
        <v>45113</v>
      </c>
      <c r="E701" s="1">
        <v>45203</v>
      </c>
      <c r="F701" t="s">
        <v>31</v>
      </c>
      <c r="G701">
        <v>72163.12</v>
      </c>
      <c r="H701" s="1">
        <v>45218</v>
      </c>
      <c r="I701" t="s">
        <v>555</v>
      </c>
      <c r="J701" t="s">
        <v>573</v>
      </c>
      <c r="K701">
        <v>89.960499999999996</v>
      </c>
      <c r="L701">
        <v>72163.12</v>
      </c>
      <c r="M701">
        <f>IF(F701="INR",1,INDEX('rates'!$B$2:$C$522,MATCH(D701,'rates'!$A$2:$A$522,1),MATCH(F701&amp;"/INR",'rates'!$B$1:$C$1,0)))</f>
        <v>89.691400000000002</v>
      </c>
      <c r="N701">
        <f t="shared" si="53"/>
        <v>6472411.2611679994</v>
      </c>
      <c r="O701">
        <f t="shared" si="54"/>
        <v>0</v>
      </c>
      <c r="P701">
        <f t="shared" si="55"/>
        <v>0</v>
      </c>
      <c r="Q701">
        <f t="shared" si="58"/>
        <v>15</v>
      </c>
      <c r="R701" t="str">
        <f t="shared" si="56"/>
        <v>Not open</v>
      </c>
    </row>
    <row r="702" spans="1:18" x14ac:dyDescent="0.3">
      <c r="A702" t="s">
        <v>858</v>
      </c>
      <c r="B702" t="s">
        <v>322</v>
      </c>
      <c r="C702" t="s">
        <v>566</v>
      </c>
      <c r="D702" s="1">
        <v>45113</v>
      </c>
      <c r="E702" s="1">
        <v>45173</v>
      </c>
      <c r="F702" t="s">
        <v>13</v>
      </c>
      <c r="G702">
        <v>4192882</v>
      </c>
      <c r="H702" s="1">
        <v>45176</v>
      </c>
      <c r="I702" t="s">
        <v>555</v>
      </c>
      <c r="J702" t="s">
        <v>556</v>
      </c>
      <c r="L702">
        <v>4192882</v>
      </c>
      <c r="M702">
        <f>IF(F702="INR",1,INDEX('rates'!$B$2:$C$522,MATCH(D702,'rates'!$A$2:$A$522,1),MATCH(F702&amp;"/INR",'rates'!$B$1:$C$1,0)))</f>
        <v>1</v>
      </c>
      <c r="N702">
        <f t="shared" si="53"/>
        <v>4192882</v>
      </c>
      <c r="O702">
        <f t="shared" si="54"/>
        <v>0</v>
      </c>
      <c r="P702">
        <f t="shared" si="55"/>
        <v>0</v>
      </c>
      <c r="Q702">
        <f t="shared" si="58"/>
        <v>3</v>
      </c>
      <c r="R702" t="str">
        <f t="shared" si="56"/>
        <v>Not open</v>
      </c>
    </row>
    <row r="703" spans="1:18" x14ac:dyDescent="0.3">
      <c r="A703" t="s">
        <v>859</v>
      </c>
      <c r="B703" t="s">
        <v>330</v>
      </c>
      <c r="C703" t="s">
        <v>566</v>
      </c>
      <c r="D703" s="1">
        <v>45113</v>
      </c>
      <c r="E703" s="1">
        <v>45173</v>
      </c>
      <c r="F703" t="s">
        <v>31</v>
      </c>
      <c r="G703">
        <v>33189.99</v>
      </c>
      <c r="H703" s="1">
        <v>45180</v>
      </c>
      <c r="I703" t="s">
        <v>555</v>
      </c>
      <c r="J703" t="s">
        <v>573</v>
      </c>
      <c r="K703">
        <v>89.870800000000003</v>
      </c>
      <c r="L703">
        <v>33189.99</v>
      </c>
      <c r="M703">
        <f>IF(F703="INR",1,INDEX('rates'!$B$2:$C$522,MATCH(D703,'rates'!$A$2:$A$522,1),MATCH(F703&amp;"/INR",'rates'!$B$1:$C$1,0)))</f>
        <v>89.691400000000002</v>
      </c>
      <c r="N703">
        <f t="shared" si="53"/>
        <v>2976856.669086</v>
      </c>
      <c r="O703">
        <f t="shared" si="54"/>
        <v>0</v>
      </c>
      <c r="P703">
        <f t="shared" si="55"/>
        <v>0</v>
      </c>
      <c r="Q703">
        <f t="shared" si="58"/>
        <v>7</v>
      </c>
      <c r="R703" t="str">
        <f t="shared" si="56"/>
        <v>Not open</v>
      </c>
    </row>
    <row r="704" spans="1:18" x14ac:dyDescent="0.3">
      <c r="A704" t="s">
        <v>860</v>
      </c>
      <c r="B704" t="s">
        <v>109</v>
      </c>
      <c r="C704" t="s">
        <v>554</v>
      </c>
      <c r="D704" s="1">
        <v>45114</v>
      </c>
      <c r="E704" s="1">
        <v>45159</v>
      </c>
      <c r="F704" t="s">
        <v>13</v>
      </c>
      <c r="G704">
        <v>2782784</v>
      </c>
      <c r="H704" s="1">
        <v>45160</v>
      </c>
      <c r="I704" t="s">
        <v>555</v>
      </c>
      <c r="J704" t="s">
        <v>556</v>
      </c>
      <c r="L704">
        <v>2782784</v>
      </c>
      <c r="M704">
        <f>IF(F704="INR",1,INDEX('rates'!$B$2:$C$522,MATCH(D704,'rates'!$A$2:$A$522,1),MATCH(F704&amp;"/INR",'rates'!$B$1:$C$1,0)))</f>
        <v>1</v>
      </c>
      <c r="N704">
        <f t="shared" si="53"/>
        <v>2782784</v>
      </c>
      <c r="O704">
        <f t="shared" si="54"/>
        <v>0</v>
      </c>
      <c r="P704">
        <f t="shared" si="55"/>
        <v>0</v>
      </c>
      <c r="Q704">
        <f t="shared" si="58"/>
        <v>1</v>
      </c>
      <c r="R704" t="str">
        <f t="shared" si="56"/>
        <v>Not open</v>
      </c>
    </row>
    <row r="705" spans="1:18" x14ac:dyDescent="0.3">
      <c r="A705" t="s">
        <v>861</v>
      </c>
      <c r="B705" t="s">
        <v>184</v>
      </c>
      <c r="C705" t="s">
        <v>575</v>
      </c>
      <c r="D705" s="1">
        <v>45114</v>
      </c>
      <c r="E705" s="1">
        <v>45204</v>
      </c>
      <c r="F705" t="s">
        <v>31</v>
      </c>
      <c r="G705">
        <v>215306.14</v>
      </c>
      <c r="H705" s="1">
        <v>45211</v>
      </c>
      <c r="I705" t="s">
        <v>555</v>
      </c>
      <c r="J705" t="s">
        <v>556</v>
      </c>
      <c r="L705">
        <v>215306.14</v>
      </c>
      <c r="M705">
        <f>IF(F705="INR",1,INDEX('rates'!$B$2:$C$522,MATCH(D705,'rates'!$A$2:$A$522,1),MATCH(F705&amp;"/INR",'rates'!$B$1:$C$1,0)))</f>
        <v>90.716099999999997</v>
      </c>
      <c r="N705">
        <f t="shared" si="53"/>
        <v>19531733.326854002</v>
      </c>
      <c r="O705">
        <f t="shared" si="54"/>
        <v>0</v>
      </c>
      <c r="P705">
        <f t="shared" si="55"/>
        <v>0</v>
      </c>
      <c r="Q705">
        <f t="shared" si="58"/>
        <v>7</v>
      </c>
      <c r="R705" t="str">
        <f t="shared" si="56"/>
        <v>Not open</v>
      </c>
    </row>
    <row r="706" spans="1:18" x14ac:dyDescent="0.3">
      <c r="A706" t="s">
        <v>862</v>
      </c>
      <c r="B706" t="s">
        <v>200</v>
      </c>
      <c r="C706" t="s">
        <v>575</v>
      </c>
      <c r="D706" s="1">
        <v>45114</v>
      </c>
      <c r="E706" s="1">
        <v>45174</v>
      </c>
      <c r="F706" t="s">
        <v>13</v>
      </c>
      <c r="G706">
        <v>1805814</v>
      </c>
      <c r="H706" s="1">
        <v>45184</v>
      </c>
      <c r="I706" t="s">
        <v>555</v>
      </c>
      <c r="J706" t="s">
        <v>556</v>
      </c>
      <c r="L706">
        <v>1805814</v>
      </c>
      <c r="M706">
        <f>IF(F706="INR",1,INDEX('rates'!$B$2:$C$522,MATCH(D706,'rates'!$A$2:$A$522,1),MATCH(F706&amp;"/INR",'rates'!$B$1:$C$1,0)))</f>
        <v>1</v>
      </c>
      <c r="N706">
        <f t="shared" ref="N706:N769" si="59">G706*M706</f>
        <v>1805814</v>
      </c>
      <c r="O706">
        <f t="shared" ref="O706:O769" si="60">IF(OR(I706="OPEN",I706="PARTIALLY PAID"),(G706-L706)*M706,0)</f>
        <v>0</v>
      </c>
      <c r="P706">
        <f t="shared" ref="P706:P769" si="61">IF(O706&gt;0,MAX(0,DATE(2025,3,31)-E706),0)</f>
        <v>0</v>
      </c>
      <c r="Q706">
        <f t="shared" si="58"/>
        <v>10</v>
      </c>
      <c r="R706" t="str">
        <f t="shared" ref="R706:R769" si="62">IF(O706=0,"Not open",IF(P706=0,"Not yet due",IF(P706&lt;=30,"1-30",IF(P706&lt;=60,"31-60",IF(P706&lt;=90,"61-90","90+")))))</f>
        <v>Not open</v>
      </c>
    </row>
    <row r="707" spans="1:18" x14ac:dyDescent="0.3">
      <c r="A707" t="s">
        <v>863</v>
      </c>
      <c r="B707" t="s">
        <v>230</v>
      </c>
      <c r="C707" t="s">
        <v>558</v>
      </c>
      <c r="D707" s="1">
        <v>45114</v>
      </c>
      <c r="E707" s="1">
        <v>45159</v>
      </c>
      <c r="F707" t="s">
        <v>13</v>
      </c>
      <c r="G707">
        <v>11975784</v>
      </c>
      <c r="H707" s="1">
        <v>45167</v>
      </c>
      <c r="I707" t="s">
        <v>555</v>
      </c>
      <c r="J707" t="s">
        <v>556</v>
      </c>
      <c r="L707">
        <v>11975784</v>
      </c>
      <c r="M707">
        <f>IF(F707="INR",1,INDEX('rates'!$B$2:$C$522,MATCH(D707,'rates'!$A$2:$A$522,1),MATCH(F707&amp;"/INR",'rates'!$B$1:$C$1,0)))</f>
        <v>1</v>
      </c>
      <c r="N707">
        <f t="shared" si="59"/>
        <v>11975784</v>
      </c>
      <c r="O707">
        <f t="shared" si="60"/>
        <v>0</v>
      </c>
      <c r="P707">
        <f t="shared" si="61"/>
        <v>0</v>
      </c>
      <c r="Q707">
        <f t="shared" si="58"/>
        <v>8</v>
      </c>
      <c r="R707" t="str">
        <f t="shared" si="62"/>
        <v>Not open</v>
      </c>
    </row>
    <row r="708" spans="1:18" x14ac:dyDescent="0.3">
      <c r="A708" t="s">
        <v>864</v>
      </c>
      <c r="B708" t="s">
        <v>87</v>
      </c>
      <c r="C708" t="s">
        <v>566</v>
      </c>
      <c r="D708" s="1">
        <v>45115</v>
      </c>
      <c r="E708" s="1">
        <v>45160</v>
      </c>
      <c r="F708" t="s">
        <v>36</v>
      </c>
      <c r="G708">
        <v>44375.23</v>
      </c>
      <c r="H708" s="1">
        <v>45205</v>
      </c>
      <c r="I708" t="s">
        <v>555</v>
      </c>
      <c r="J708" t="s">
        <v>556</v>
      </c>
      <c r="L708">
        <v>44375.23</v>
      </c>
      <c r="M708">
        <f>IF(F708="INR",1,INDEX('rates'!$B$2:$C$522,MATCH(D708,'rates'!$A$2:$A$522,1),MATCH(F708&amp;"/INR",'rates'!$B$1:$C$1,0)))</f>
        <v>82.74</v>
      </c>
      <c r="N708">
        <f t="shared" si="59"/>
        <v>3671606.5301999999</v>
      </c>
      <c r="O708">
        <f t="shared" si="60"/>
        <v>0</v>
      </c>
      <c r="P708">
        <f t="shared" si="61"/>
        <v>0</v>
      </c>
      <c r="Q708">
        <f t="shared" si="58"/>
        <v>45</v>
      </c>
      <c r="R708" t="str">
        <f t="shared" si="62"/>
        <v>Not open</v>
      </c>
    </row>
    <row r="709" spans="1:18" x14ac:dyDescent="0.3">
      <c r="A709" t="s">
        <v>865</v>
      </c>
      <c r="B709" t="s">
        <v>154</v>
      </c>
      <c r="C709" t="s">
        <v>566</v>
      </c>
      <c r="D709" s="1">
        <v>45115</v>
      </c>
      <c r="E709" s="1">
        <v>45145</v>
      </c>
      <c r="F709" t="s">
        <v>13</v>
      </c>
      <c r="G709">
        <v>10849465</v>
      </c>
      <c r="H709" s="1">
        <v>45147</v>
      </c>
      <c r="I709" t="s">
        <v>555</v>
      </c>
      <c r="J709" t="s">
        <v>556</v>
      </c>
      <c r="L709">
        <v>10849465</v>
      </c>
      <c r="M709">
        <f>IF(F709="INR",1,INDEX('rates'!$B$2:$C$522,MATCH(D709,'rates'!$A$2:$A$522,1),MATCH(F709&amp;"/INR",'rates'!$B$1:$C$1,0)))</f>
        <v>1</v>
      </c>
      <c r="N709">
        <f t="shared" si="59"/>
        <v>10849465</v>
      </c>
      <c r="O709">
        <f t="shared" si="60"/>
        <v>0</v>
      </c>
      <c r="P709">
        <f t="shared" si="61"/>
        <v>0</v>
      </c>
      <c r="Q709">
        <f t="shared" si="58"/>
        <v>2</v>
      </c>
      <c r="R709" t="str">
        <f t="shared" si="62"/>
        <v>Not open</v>
      </c>
    </row>
    <row r="710" spans="1:18" x14ac:dyDescent="0.3">
      <c r="A710" t="s">
        <v>866</v>
      </c>
      <c r="B710" t="s">
        <v>200</v>
      </c>
      <c r="C710" t="s">
        <v>575</v>
      </c>
      <c r="D710" s="1">
        <v>45115</v>
      </c>
      <c r="E710" s="1">
        <v>45175</v>
      </c>
      <c r="F710" t="s">
        <v>13</v>
      </c>
      <c r="G710">
        <v>15387704</v>
      </c>
      <c r="H710" s="1">
        <v>45185</v>
      </c>
      <c r="I710" t="s">
        <v>555</v>
      </c>
      <c r="J710" t="s">
        <v>556</v>
      </c>
      <c r="L710">
        <v>15387704</v>
      </c>
      <c r="M710">
        <f>IF(F710="INR",1,INDEX('rates'!$B$2:$C$522,MATCH(D710,'rates'!$A$2:$A$522,1),MATCH(F710&amp;"/INR",'rates'!$B$1:$C$1,0)))</f>
        <v>1</v>
      </c>
      <c r="N710">
        <f t="shared" si="59"/>
        <v>15387704</v>
      </c>
      <c r="O710">
        <f t="shared" si="60"/>
        <v>0</v>
      </c>
      <c r="P710">
        <f t="shared" si="61"/>
        <v>0</v>
      </c>
      <c r="Q710">
        <f t="shared" si="58"/>
        <v>10</v>
      </c>
      <c r="R710" t="str">
        <f t="shared" si="62"/>
        <v>Not open</v>
      </c>
    </row>
    <row r="711" spans="1:18" x14ac:dyDescent="0.3">
      <c r="A711" t="s">
        <v>867</v>
      </c>
      <c r="B711" t="s">
        <v>286</v>
      </c>
      <c r="C711" t="s">
        <v>558</v>
      </c>
      <c r="D711" s="1">
        <v>45115</v>
      </c>
      <c r="E711" s="1">
        <v>45175</v>
      </c>
      <c r="F711" t="s">
        <v>36</v>
      </c>
      <c r="G711">
        <v>255965.98</v>
      </c>
      <c r="H711" s="1">
        <v>45185</v>
      </c>
      <c r="I711" t="s">
        <v>555</v>
      </c>
      <c r="J711" t="s">
        <v>556</v>
      </c>
      <c r="L711">
        <v>255965.98</v>
      </c>
      <c r="M711">
        <f>IF(F711="INR",1,INDEX('rates'!$B$2:$C$522,MATCH(D711,'rates'!$A$2:$A$522,1),MATCH(F711&amp;"/INR",'rates'!$B$1:$C$1,0)))</f>
        <v>82.74</v>
      </c>
      <c r="N711">
        <f t="shared" si="59"/>
        <v>21178625.185199998</v>
      </c>
      <c r="O711">
        <f t="shared" si="60"/>
        <v>0</v>
      </c>
      <c r="P711">
        <f t="shared" si="61"/>
        <v>0</v>
      </c>
      <c r="Q711">
        <f t="shared" si="58"/>
        <v>10</v>
      </c>
      <c r="R711" t="str">
        <f t="shared" si="62"/>
        <v>Not open</v>
      </c>
    </row>
    <row r="712" spans="1:18" x14ac:dyDescent="0.3">
      <c r="A712" t="s">
        <v>868</v>
      </c>
      <c r="B712" t="s">
        <v>406</v>
      </c>
      <c r="C712" t="s">
        <v>554</v>
      </c>
      <c r="D712" s="1">
        <v>45115</v>
      </c>
      <c r="E712" s="1">
        <v>45205</v>
      </c>
      <c r="F712" t="s">
        <v>13</v>
      </c>
      <c r="G712">
        <v>10502986</v>
      </c>
      <c r="H712" s="1">
        <v>45208</v>
      </c>
      <c r="I712" t="s">
        <v>555</v>
      </c>
      <c r="J712" t="s">
        <v>556</v>
      </c>
      <c r="L712">
        <v>10502986</v>
      </c>
      <c r="M712">
        <f>IF(F712="INR",1,INDEX('rates'!$B$2:$C$522,MATCH(D712,'rates'!$A$2:$A$522,1),MATCH(F712&amp;"/INR",'rates'!$B$1:$C$1,0)))</f>
        <v>1</v>
      </c>
      <c r="N712">
        <f t="shared" si="59"/>
        <v>10502986</v>
      </c>
      <c r="O712">
        <f t="shared" si="60"/>
        <v>0</v>
      </c>
      <c r="P712">
        <f t="shared" si="61"/>
        <v>0</v>
      </c>
      <c r="Q712">
        <f t="shared" si="58"/>
        <v>3</v>
      </c>
      <c r="R712" t="str">
        <f t="shared" si="62"/>
        <v>Not open</v>
      </c>
    </row>
    <row r="713" spans="1:18" x14ac:dyDescent="0.3">
      <c r="A713" t="s">
        <v>869</v>
      </c>
      <c r="B713" t="s">
        <v>528</v>
      </c>
      <c r="C713" t="s">
        <v>566</v>
      </c>
      <c r="D713" s="1">
        <v>45115</v>
      </c>
      <c r="E713" s="1">
        <v>45175</v>
      </c>
      <c r="F713" t="s">
        <v>13</v>
      </c>
      <c r="G713">
        <v>1597922</v>
      </c>
      <c r="H713" s="1">
        <v>45210</v>
      </c>
      <c r="I713" t="s">
        <v>717</v>
      </c>
      <c r="J713" t="s">
        <v>556</v>
      </c>
      <c r="L713">
        <v>397486.38</v>
      </c>
      <c r="M713">
        <f>IF(F713="INR",1,INDEX('rates'!$B$2:$C$522,MATCH(D713,'rates'!$A$2:$A$522,1),MATCH(F713&amp;"/INR",'rates'!$B$1:$C$1,0)))</f>
        <v>1</v>
      </c>
      <c r="N713">
        <f t="shared" si="59"/>
        <v>1597922</v>
      </c>
      <c r="O713">
        <f t="shared" si="60"/>
        <v>0</v>
      </c>
      <c r="P713">
        <f t="shared" si="61"/>
        <v>0</v>
      </c>
      <c r="Q713">
        <f t="shared" si="58"/>
        <v>35</v>
      </c>
      <c r="R713" t="str">
        <f t="shared" si="62"/>
        <v>Not open</v>
      </c>
    </row>
    <row r="714" spans="1:18" x14ac:dyDescent="0.3">
      <c r="A714" t="s">
        <v>870</v>
      </c>
      <c r="B714" t="s">
        <v>156</v>
      </c>
      <c r="C714" t="s">
        <v>566</v>
      </c>
      <c r="D714" s="1">
        <v>45117</v>
      </c>
      <c r="E714" s="1">
        <v>45147</v>
      </c>
      <c r="F714" t="s">
        <v>13</v>
      </c>
      <c r="G714">
        <v>24475086</v>
      </c>
      <c r="H714" s="1">
        <v>45146</v>
      </c>
      <c r="I714" t="s">
        <v>555</v>
      </c>
      <c r="J714" t="s">
        <v>556</v>
      </c>
      <c r="L714">
        <v>24475086</v>
      </c>
      <c r="M714">
        <f>IF(F714="INR",1,INDEX('rates'!$B$2:$C$522,MATCH(D714,'rates'!$A$2:$A$522,1),MATCH(F714&amp;"/INR",'rates'!$B$1:$C$1,0)))</f>
        <v>1</v>
      </c>
      <c r="N714">
        <f t="shared" si="59"/>
        <v>24475086</v>
      </c>
      <c r="O714">
        <f t="shared" si="60"/>
        <v>0</v>
      </c>
      <c r="P714">
        <f t="shared" si="61"/>
        <v>0</v>
      </c>
      <c r="Q714">
        <f t="shared" si="58"/>
        <v>-1</v>
      </c>
      <c r="R714" t="str">
        <f t="shared" si="62"/>
        <v>Not open</v>
      </c>
    </row>
    <row r="715" spans="1:18" x14ac:dyDescent="0.3">
      <c r="A715" t="s">
        <v>872</v>
      </c>
      <c r="B715" t="s">
        <v>117</v>
      </c>
      <c r="C715" t="s">
        <v>554</v>
      </c>
      <c r="D715" s="1">
        <v>45118</v>
      </c>
      <c r="E715" s="1">
        <v>45178</v>
      </c>
      <c r="F715" t="s">
        <v>13</v>
      </c>
      <c r="G715">
        <v>1655278</v>
      </c>
      <c r="H715" s="1">
        <v>45177</v>
      </c>
      <c r="I715" t="s">
        <v>555</v>
      </c>
      <c r="J715" t="s">
        <v>556</v>
      </c>
      <c r="L715">
        <v>1655278</v>
      </c>
      <c r="M715">
        <f>IF(F715="INR",1,INDEX('rates'!$B$2:$C$522,MATCH(D715,'rates'!$A$2:$A$522,1),MATCH(F715&amp;"/INR",'rates'!$B$1:$C$1,0)))</f>
        <v>1</v>
      </c>
      <c r="N715">
        <f t="shared" si="59"/>
        <v>1655278</v>
      </c>
      <c r="O715">
        <f t="shared" si="60"/>
        <v>0</v>
      </c>
      <c r="P715">
        <f t="shared" si="61"/>
        <v>0</v>
      </c>
      <c r="Q715">
        <f t="shared" si="58"/>
        <v>-1</v>
      </c>
      <c r="R715" t="str">
        <f t="shared" si="62"/>
        <v>Not open</v>
      </c>
    </row>
    <row r="716" spans="1:18" x14ac:dyDescent="0.3">
      <c r="A716" t="s">
        <v>873</v>
      </c>
      <c r="B716" t="s">
        <v>328</v>
      </c>
      <c r="C716" t="s">
        <v>554</v>
      </c>
      <c r="D716" s="1">
        <v>45118</v>
      </c>
      <c r="E716" s="1">
        <v>45163</v>
      </c>
      <c r="F716" t="s">
        <v>13</v>
      </c>
      <c r="G716">
        <v>3900480</v>
      </c>
      <c r="H716" s="1">
        <v>45162</v>
      </c>
      <c r="I716" t="s">
        <v>555</v>
      </c>
      <c r="J716" t="s">
        <v>556</v>
      </c>
      <c r="L716">
        <v>3900480</v>
      </c>
      <c r="M716">
        <f>IF(F716="INR",1,INDEX('rates'!$B$2:$C$522,MATCH(D716,'rates'!$A$2:$A$522,1),MATCH(F716&amp;"/INR",'rates'!$B$1:$C$1,0)))</f>
        <v>1</v>
      </c>
      <c r="N716">
        <f t="shared" si="59"/>
        <v>3900480</v>
      </c>
      <c r="O716">
        <f t="shared" si="60"/>
        <v>0</v>
      </c>
      <c r="P716">
        <f t="shared" si="61"/>
        <v>0</v>
      </c>
      <c r="Q716">
        <f t="shared" si="58"/>
        <v>-1</v>
      </c>
      <c r="R716" t="str">
        <f t="shared" si="62"/>
        <v>Not open</v>
      </c>
    </row>
    <row r="717" spans="1:18" x14ac:dyDescent="0.3">
      <c r="A717" t="s">
        <v>874</v>
      </c>
      <c r="B717" t="s">
        <v>338</v>
      </c>
      <c r="C717" t="s">
        <v>566</v>
      </c>
      <c r="D717" s="1">
        <v>45118</v>
      </c>
      <c r="E717" s="1">
        <v>45163</v>
      </c>
      <c r="F717" t="s">
        <v>13</v>
      </c>
      <c r="G717">
        <v>9009353</v>
      </c>
      <c r="H717" s="1">
        <v>45163</v>
      </c>
      <c r="I717" t="s">
        <v>555</v>
      </c>
      <c r="J717" t="s">
        <v>556</v>
      </c>
      <c r="L717">
        <v>9009353</v>
      </c>
      <c r="M717">
        <f>IF(F717="INR",1,INDEX('rates'!$B$2:$C$522,MATCH(D717,'rates'!$A$2:$A$522,1),MATCH(F717&amp;"/INR",'rates'!$B$1:$C$1,0)))</f>
        <v>1</v>
      </c>
      <c r="N717">
        <f t="shared" si="59"/>
        <v>9009353</v>
      </c>
      <c r="O717">
        <f t="shared" si="60"/>
        <v>0</v>
      </c>
      <c r="P717">
        <f t="shared" si="61"/>
        <v>0</v>
      </c>
      <c r="Q717">
        <f t="shared" si="58"/>
        <v>0</v>
      </c>
      <c r="R717" t="str">
        <f t="shared" si="62"/>
        <v>Not open</v>
      </c>
    </row>
    <row r="718" spans="1:18" x14ac:dyDescent="0.3">
      <c r="A718" t="s">
        <v>875</v>
      </c>
      <c r="B718" t="s">
        <v>254</v>
      </c>
      <c r="C718" t="s">
        <v>558</v>
      </c>
      <c r="D718" s="1">
        <v>45120</v>
      </c>
      <c r="E718" s="1">
        <v>45150</v>
      </c>
      <c r="F718" t="s">
        <v>13</v>
      </c>
      <c r="G718">
        <v>9284812</v>
      </c>
      <c r="H718" s="1">
        <v>45185</v>
      </c>
      <c r="I718" t="s">
        <v>555</v>
      </c>
      <c r="J718" t="s">
        <v>556</v>
      </c>
      <c r="L718">
        <v>9284812</v>
      </c>
      <c r="M718">
        <f>IF(F718="INR",1,INDEX('rates'!$B$2:$C$522,MATCH(D718,'rates'!$A$2:$A$522,1),MATCH(F718&amp;"/INR",'rates'!$B$1:$C$1,0)))</f>
        <v>1</v>
      </c>
      <c r="N718">
        <f t="shared" si="59"/>
        <v>9284812</v>
      </c>
      <c r="O718">
        <f t="shared" si="60"/>
        <v>0</v>
      </c>
      <c r="P718">
        <f t="shared" si="61"/>
        <v>0</v>
      </c>
      <c r="Q718">
        <f t="shared" si="58"/>
        <v>35</v>
      </c>
      <c r="R718" t="str">
        <f t="shared" si="62"/>
        <v>Not open</v>
      </c>
    </row>
    <row r="719" spans="1:18" x14ac:dyDescent="0.3">
      <c r="A719" t="s">
        <v>876</v>
      </c>
      <c r="B719" t="s">
        <v>260</v>
      </c>
      <c r="C719" t="s">
        <v>558</v>
      </c>
      <c r="D719" s="1">
        <v>45120</v>
      </c>
      <c r="E719" s="1">
        <v>45180</v>
      </c>
      <c r="F719" t="s">
        <v>36</v>
      </c>
      <c r="G719">
        <v>59802.2</v>
      </c>
      <c r="H719" s="1">
        <v>45189</v>
      </c>
      <c r="I719" t="s">
        <v>555</v>
      </c>
      <c r="J719" t="s">
        <v>556</v>
      </c>
      <c r="L719">
        <v>59802.2</v>
      </c>
      <c r="M719">
        <f>IF(F719="INR",1,INDEX('rates'!$B$2:$C$522,MATCH(D719,'rates'!$A$2:$A$522,1),MATCH(F719&amp;"/INR",'rates'!$B$1:$C$1,0)))</f>
        <v>82.04</v>
      </c>
      <c r="N719">
        <f t="shared" si="59"/>
        <v>4906172.4879999999</v>
      </c>
      <c r="O719">
        <f t="shared" si="60"/>
        <v>0</v>
      </c>
      <c r="P719">
        <f t="shared" si="61"/>
        <v>0</v>
      </c>
      <c r="Q719">
        <f t="shared" si="58"/>
        <v>9</v>
      </c>
      <c r="R719" t="str">
        <f t="shared" si="62"/>
        <v>Not open</v>
      </c>
    </row>
    <row r="720" spans="1:18" x14ac:dyDescent="0.3">
      <c r="A720" t="s">
        <v>877</v>
      </c>
      <c r="B720" t="s">
        <v>262</v>
      </c>
      <c r="C720" t="s">
        <v>566</v>
      </c>
      <c r="D720" s="1">
        <v>45120</v>
      </c>
      <c r="E720" s="1">
        <v>45210</v>
      </c>
      <c r="F720" t="s">
        <v>31</v>
      </c>
      <c r="G720">
        <v>82520.41</v>
      </c>
      <c r="H720" s="1">
        <v>45225</v>
      </c>
      <c r="I720" t="s">
        <v>555</v>
      </c>
      <c r="J720" t="s">
        <v>573</v>
      </c>
      <c r="K720">
        <v>92.111099999999993</v>
      </c>
      <c r="L720">
        <v>82520.41</v>
      </c>
      <c r="M720">
        <f>IF(F720="INR",1,INDEX('rates'!$B$2:$C$522,MATCH(D720,'rates'!$A$2:$A$522,1),MATCH(F720&amp;"/INR",'rates'!$B$1:$C$1,0)))</f>
        <v>91.835599999999999</v>
      </c>
      <c r="N720">
        <f t="shared" si="59"/>
        <v>7578311.3645959999</v>
      </c>
      <c r="O720">
        <f t="shared" si="60"/>
        <v>0</v>
      </c>
      <c r="P720">
        <f t="shared" si="61"/>
        <v>0</v>
      </c>
      <c r="Q720">
        <f t="shared" si="58"/>
        <v>15</v>
      </c>
      <c r="R720" t="str">
        <f t="shared" si="62"/>
        <v>Not open</v>
      </c>
    </row>
    <row r="721" spans="1:18" x14ac:dyDescent="0.3">
      <c r="A721" t="s">
        <v>878</v>
      </c>
      <c r="B721" t="s">
        <v>436</v>
      </c>
      <c r="C721" t="s">
        <v>566</v>
      </c>
      <c r="D721" s="1">
        <v>45120</v>
      </c>
      <c r="E721" s="1">
        <v>45165</v>
      </c>
      <c r="F721" t="s">
        <v>36</v>
      </c>
      <c r="G721">
        <v>86551.64</v>
      </c>
      <c r="H721" s="1">
        <v>45196</v>
      </c>
      <c r="I721" t="s">
        <v>555</v>
      </c>
      <c r="J721" t="s">
        <v>573</v>
      </c>
      <c r="K721">
        <v>82.245099999999994</v>
      </c>
      <c r="L721">
        <v>86551.64</v>
      </c>
      <c r="M721">
        <f>IF(F721="INR",1,INDEX('rates'!$B$2:$C$522,MATCH(D721,'rates'!$A$2:$A$522,1),MATCH(F721&amp;"/INR",'rates'!$B$1:$C$1,0)))</f>
        <v>82.04</v>
      </c>
      <c r="N721">
        <f t="shared" si="59"/>
        <v>7100696.5456000008</v>
      </c>
      <c r="O721">
        <f t="shared" si="60"/>
        <v>0</v>
      </c>
      <c r="P721">
        <f t="shared" si="61"/>
        <v>0</v>
      </c>
      <c r="Q721">
        <f t="shared" si="58"/>
        <v>31</v>
      </c>
      <c r="R721" t="str">
        <f t="shared" si="62"/>
        <v>Not open</v>
      </c>
    </row>
    <row r="722" spans="1:18" x14ac:dyDescent="0.3">
      <c r="A722" t="s">
        <v>879</v>
      </c>
      <c r="B722" t="s">
        <v>117</v>
      </c>
      <c r="C722" t="s">
        <v>554</v>
      </c>
      <c r="D722" s="1">
        <v>45121</v>
      </c>
      <c r="E722" s="1">
        <v>45181</v>
      </c>
      <c r="F722" t="s">
        <v>13</v>
      </c>
      <c r="G722">
        <v>16950360</v>
      </c>
      <c r="H722" s="1">
        <v>45185</v>
      </c>
      <c r="I722" t="s">
        <v>555</v>
      </c>
      <c r="J722" t="s">
        <v>556</v>
      </c>
      <c r="L722">
        <v>16950360</v>
      </c>
      <c r="M722">
        <f>IF(F722="INR",1,INDEX('rates'!$B$2:$C$522,MATCH(D722,'rates'!$A$2:$A$522,1),MATCH(F722&amp;"/INR",'rates'!$B$1:$C$1,0)))</f>
        <v>1</v>
      </c>
      <c r="N722">
        <f t="shared" si="59"/>
        <v>16950360</v>
      </c>
      <c r="O722">
        <f t="shared" si="60"/>
        <v>0</v>
      </c>
      <c r="P722">
        <f t="shared" si="61"/>
        <v>0</v>
      </c>
      <c r="Q722">
        <f t="shared" si="58"/>
        <v>4</v>
      </c>
      <c r="R722" t="str">
        <f t="shared" si="62"/>
        <v>Not open</v>
      </c>
    </row>
    <row r="723" spans="1:18" x14ac:dyDescent="0.3">
      <c r="A723" t="s">
        <v>880</v>
      </c>
      <c r="B723" t="s">
        <v>204</v>
      </c>
      <c r="C723" t="s">
        <v>575</v>
      </c>
      <c r="D723" s="1">
        <v>45121</v>
      </c>
      <c r="E723" s="1">
        <v>45181</v>
      </c>
      <c r="F723" t="s">
        <v>13</v>
      </c>
      <c r="G723">
        <v>4826993</v>
      </c>
      <c r="H723" s="1">
        <v>45180</v>
      </c>
      <c r="I723" t="s">
        <v>555</v>
      </c>
      <c r="J723" t="s">
        <v>556</v>
      </c>
      <c r="L723">
        <v>4826993</v>
      </c>
      <c r="M723">
        <f>IF(F723="INR",1,INDEX('rates'!$B$2:$C$522,MATCH(D723,'rates'!$A$2:$A$522,1),MATCH(F723&amp;"/INR",'rates'!$B$1:$C$1,0)))</f>
        <v>1</v>
      </c>
      <c r="N723">
        <f t="shared" si="59"/>
        <v>4826993</v>
      </c>
      <c r="O723">
        <f t="shared" si="60"/>
        <v>0</v>
      </c>
      <c r="P723">
        <f t="shared" si="61"/>
        <v>0</v>
      </c>
      <c r="Q723">
        <f t="shared" si="58"/>
        <v>-1</v>
      </c>
      <c r="R723" t="str">
        <f t="shared" si="62"/>
        <v>Not open</v>
      </c>
    </row>
    <row r="724" spans="1:18" x14ac:dyDescent="0.3">
      <c r="A724" t="s">
        <v>881</v>
      </c>
      <c r="B724" t="s">
        <v>512</v>
      </c>
      <c r="C724" t="s">
        <v>566</v>
      </c>
      <c r="D724" s="1">
        <v>45121</v>
      </c>
      <c r="E724" s="1">
        <v>45181</v>
      </c>
      <c r="F724" t="s">
        <v>31</v>
      </c>
      <c r="G724">
        <v>49488.39</v>
      </c>
      <c r="H724" s="1"/>
      <c r="I724" t="s">
        <v>717</v>
      </c>
      <c r="J724" t="s">
        <v>573</v>
      </c>
      <c r="K724">
        <v>92.507800000000003</v>
      </c>
      <c r="L724">
        <v>0</v>
      </c>
      <c r="M724">
        <f>IF(F724="INR",1,INDEX('rates'!$B$2:$C$522,MATCH(D724,'rates'!$A$2:$A$522,1),MATCH(F724&amp;"/INR",'rates'!$B$1:$C$1,0)))</f>
        <v>92.3232</v>
      </c>
      <c r="N724">
        <f t="shared" si="59"/>
        <v>4568926.527648</v>
      </c>
      <c r="O724">
        <f t="shared" si="60"/>
        <v>0</v>
      </c>
      <c r="P724">
        <f t="shared" si="61"/>
        <v>0</v>
      </c>
      <c r="Q724" t="str">
        <f t="shared" si="58"/>
        <v/>
      </c>
      <c r="R724" t="str">
        <f t="shared" si="62"/>
        <v>Not open</v>
      </c>
    </row>
    <row r="725" spans="1:18" x14ac:dyDescent="0.3">
      <c r="A725" t="s">
        <v>882</v>
      </c>
      <c r="B725" t="s">
        <v>72</v>
      </c>
      <c r="C725" t="s">
        <v>560</v>
      </c>
      <c r="D725" s="1">
        <v>45122</v>
      </c>
      <c r="E725" s="1">
        <v>45212</v>
      </c>
      <c r="F725" t="s">
        <v>31</v>
      </c>
      <c r="G725">
        <v>169214.22</v>
      </c>
      <c r="H725" s="1">
        <v>45241</v>
      </c>
      <c r="I725" t="s">
        <v>555</v>
      </c>
      <c r="J725" t="s">
        <v>573</v>
      </c>
      <c r="K725">
        <v>92.600200000000001</v>
      </c>
      <c r="L725">
        <v>169214.22</v>
      </c>
      <c r="M725">
        <f>IF(F725="INR",1,INDEX('rates'!$B$2:$C$522,MATCH(D725,'rates'!$A$2:$A$522,1),MATCH(F725&amp;"/INR",'rates'!$B$1:$C$1,0)))</f>
        <v>92.3232</v>
      </c>
      <c r="N725">
        <f t="shared" si="59"/>
        <v>15622398.275904</v>
      </c>
      <c r="O725">
        <f t="shared" si="60"/>
        <v>0</v>
      </c>
      <c r="P725">
        <f t="shared" si="61"/>
        <v>0</v>
      </c>
      <c r="Q725">
        <f t="shared" si="58"/>
        <v>29</v>
      </c>
      <c r="R725" t="str">
        <f t="shared" si="62"/>
        <v>Not open</v>
      </c>
    </row>
    <row r="726" spans="1:18" x14ac:dyDescent="0.3">
      <c r="A726" t="s">
        <v>883</v>
      </c>
      <c r="B726" t="s">
        <v>119</v>
      </c>
      <c r="C726" t="s">
        <v>560</v>
      </c>
      <c r="D726" s="1">
        <v>45122</v>
      </c>
      <c r="E726" s="1">
        <v>45152</v>
      </c>
      <c r="F726" t="s">
        <v>31</v>
      </c>
      <c r="G726">
        <v>45378.31</v>
      </c>
      <c r="H726" s="1">
        <v>45156</v>
      </c>
      <c r="I726" t="s">
        <v>555</v>
      </c>
      <c r="J726" t="s">
        <v>556</v>
      </c>
      <c r="L726">
        <v>45378.31</v>
      </c>
      <c r="M726">
        <f>IF(F726="INR",1,INDEX('rates'!$B$2:$C$522,MATCH(D726,'rates'!$A$2:$A$522,1),MATCH(F726&amp;"/INR",'rates'!$B$1:$C$1,0)))</f>
        <v>92.3232</v>
      </c>
      <c r="N726">
        <f t="shared" si="59"/>
        <v>4189470.7897919999</v>
      </c>
      <c r="O726">
        <f t="shared" si="60"/>
        <v>0</v>
      </c>
      <c r="P726">
        <f t="shared" si="61"/>
        <v>0</v>
      </c>
      <c r="Q726">
        <f t="shared" si="58"/>
        <v>4</v>
      </c>
      <c r="R726" t="str">
        <f t="shared" si="62"/>
        <v>Not open</v>
      </c>
    </row>
    <row r="727" spans="1:18" x14ac:dyDescent="0.3">
      <c r="A727" t="s">
        <v>884</v>
      </c>
      <c r="B727" t="s">
        <v>140</v>
      </c>
      <c r="C727" t="s">
        <v>554</v>
      </c>
      <c r="D727" s="1">
        <v>45122</v>
      </c>
      <c r="E727" s="1">
        <v>45182</v>
      </c>
      <c r="F727" t="s">
        <v>13</v>
      </c>
      <c r="G727">
        <v>3344624</v>
      </c>
      <c r="H727" s="1">
        <v>45184</v>
      </c>
      <c r="I727" t="s">
        <v>555</v>
      </c>
      <c r="J727" t="s">
        <v>556</v>
      </c>
      <c r="L727">
        <v>3344624</v>
      </c>
      <c r="M727">
        <f>IF(F727="INR",1,INDEX('rates'!$B$2:$C$522,MATCH(D727,'rates'!$A$2:$A$522,1),MATCH(F727&amp;"/INR",'rates'!$B$1:$C$1,0)))</f>
        <v>1</v>
      </c>
      <c r="N727">
        <f t="shared" si="59"/>
        <v>3344624</v>
      </c>
      <c r="O727">
        <f t="shared" si="60"/>
        <v>0</v>
      </c>
      <c r="P727">
        <f t="shared" si="61"/>
        <v>0</v>
      </c>
      <c r="Q727">
        <f t="shared" si="58"/>
        <v>2</v>
      </c>
      <c r="R727" t="str">
        <f t="shared" si="62"/>
        <v>Not open</v>
      </c>
    </row>
    <row r="728" spans="1:18" x14ac:dyDescent="0.3">
      <c r="A728" t="s">
        <v>885</v>
      </c>
      <c r="B728" t="s">
        <v>140</v>
      </c>
      <c r="C728" t="s">
        <v>554</v>
      </c>
      <c r="D728" s="1">
        <v>45122</v>
      </c>
      <c r="E728" s="1">
        <v>45182</v>
      </c>
      <c r="F728" t="s">
        <v>13</v>
      </c>
      <c r="G728">
        <v>3946521</v>
      </c>
      <c r="H728" s="1">
        <v>45183</v>
      </c>
      <c r="I728" t="s">
        <v>555</v>
      </c>
      <c r="J728" t="s">
        <v>556</v>
      </c>
      <c r="L728">
        <v>3946521</v>
      </c>
      <c r="M728">
        <f>IF(F728="INR",1,INDEX('rates'!$B$2:$C$522,MATCH(D728,'rates'!$A$2:$A$522,1),MATCH(F728&amp;"/INR",'rates'!$B$1:$C$1,0)))</f>
        <v>1</v>
      </c>
      <c r="N728">
        <f t="shared" si="59"/>
        <v>3946521</v>
      </c>
      <c r="O728">
        <f t="shared" si="60"/>
        <v>0</v>
      </c>
      <c r="P728">
        <f t="shared" si="61"/>
        <v>0</v>
      </c>
      <c r="Q728">
        <f t="shared" si="58"/>
        <v>1</v>
      </c>
      <c r="R728" t="str">
        <f t="shared" si="62"/>
        <v>Not open</v>
      </c>
    </row>
    <row r="729" spans="1:18" x14ac:dyDescent="0.3">
      <c r="A729" t="s">
        <v>886</v>
      </c>
      <c r="B729" t="s">
        <v>148</v>
      </c>
      <c r="C729" t="s">
        <v>575</v>
      </c>
      <c r="D729" s="1">
        <v>45122</v>
      </c>
      <c r="E729" s="1">
        <v>45182</v>
      </c>
      <c r="F729" t="s">
        <v>31</v>
      </c>
      <c r="G729">
        <v>81257.14</v>
      </c>
      <c r="H729" s="1">
        <v>45199</v>
      </c>
      <c r="I729" t="s">
        <v>555</v>
      </c>
      <c r="J729" t="s">
        <v>556</v>
      </c>
      <c r="L729">
        <v>81257.14</v>
      </c>
      <c r="M729">
        <f>IF(F729="INR",1,INDEX('rates'!$B$2:$C$522,MATCH(D729,'rates'!$A$2:$A$522,1),MATCH(F729&amp;"/INR",'rates'!$B$1:$C$1,0)))</f>
        <v>92.3232</v>
      </c>
      <c r="N729">
        <f t="shared" si="59"/>
        <v>7501919.1876480002</v>
      </c>
      <c r="O729">
        <f t="shared" si="60"/>
        <v>0</v>
      </c>
      <c r="P729">
        <f t="shared" si="61"/>
        <v>0</v>
      </c>
      <c r="Q729">
        <f t="shared" si="58"/>
        <v>17</v>
      </c>
      <c r="R729" t="str">
        <f t="shared" si="62"/>
        <v>Not open</v>
      </c>
    </row>
    <row r="730" spans="1:18" x14ac:dyDescent="0.3">
      <c r="A730" t="s">
        <v>887</v>
      </c>
      <c r="B730" t="s">
        <v>204</v>
      </c>
      <c r="C730" t="s">
        <v>575</v>
      </c>
      <c r="D730" s="1">
        <v>45122</v>
      </c>
      <c r="E730" s="1">
        <v>45182</v>
      </c>
      <c r="F730" t="s">
        <v>13</v>
      </c>
      <c r="G730">
        <v>11829032</v>
      </c>
      <c r="H730" s="1">
        <v>45196</v>
      </c>
      <c r="I730" t="s">
        <v>555</v>
      </c>
      <c r="J730" t="s">
        <v>556</v>
      </c>
      <c r="L730">
        <v>11829032</v>
      </c>
      <c r="M730">
        <f>IF(F730="INR",1,INDEX('rates'!$B$2:$C$522,MATCH(D730,'rates'!$A$2:$A$522,1),MATCH(F730&amp;"/INR",'rates'!$B$1:$C$1,0)))</f>
        <v>1</v>
      </c>
      <c r="N730">
        <f t="shared" si="59"/>
        <v>11829032</v>
      </c>
      <c r="O730">
        <f t="shared" si="60"/>
        <v>0</v>
      </c>
      <c r="P730">
        <f t="shared" si="61"/>
        <v>0</v>
      </c>
      <c r="Q730">
        <f t="shared" si="58"/>
        <v>14</v>
      </c>
      <c r="R730" t="str">
        <f t="shared" si="62"/>
        <v>Not open</v>
      </c>
    </row>
    <row r="731" spans="1:18" x14ac:dyDescent="0.3">
      <c r="A731" t="s">
        <v>888</v>
      </c>
      <c r="B731" t="s">
        <v>294</v>
      </c>
      <c r="C731" t="s">
        <v>560</v>
      </c>
      <c r="D731" s="1">
        <v>45122</v>
      </c>
      <c r="E731" s="1">
        <v>45182</v>
      </c>
      <c r="F731" t="s">
        <v>13</v>
      </c>
      <c r="G731">
        <v>11211562</v>
      </c>
      <c r="H731" s="1">
        <v>45376</v>
      </c>
      <c r="I731" t="s">
        <v>555</v>
      </c>
      <c r="J731" t="s">
        <v>556</v>
      </c>
      <c r="L731">
        <v>11211562</v>
      </c>
      <c r="M731">
        <f>IF(F731="INR",1,INDEX('rates'!$B$2:$C$522,MATCH(D731,'rates'!$A$2:$A$522,1),MATCH(F731&amp;"/INR",'rates'!$B$1:$C$1,0)))</f>
        <v>1</v>
      </c>
      <c r="N731">
        <f t="shared" si="59"/>
        <v>11211562</v>
      </c>
      <c r="O731">
        <f t="shared" si="60"/>
        <v>0</v>
      </c>
      <c r="P731">
        <f t="shared" si="61"/>
        <v>0</v>
      </c>
      <c r="Q731">
        <f t="shared" si="58"/>
        <v>194</v>
      </c>
      <c r="R731" t="str">
        <f t="shared" si="62"/>
        <v>Not open</v>
      </c>
    </row>
    <row r="732" spans="1:18" x14ac:dyDescent="0.3">
      <c r="A732" t="s">
        <v>889</v>
      </c>
      <c r="B732" t="s">
        <v>466</v>
      </c>
      <c r="C732" t="s">
        <v>558</v>
      </c>
      <c r="D732" s="1">
        <v>45122</v>
      </c>
      <c r="E732" s="1">
        <v>45182</v>
      </c>
      <c r="F732" t="s">
        <v>31</v>
      </c>
      <c r="G732">
        <v>151186.76999999999</v>
      </c>
      <c r="H732" s="1">
        <v>45186</v>
      </c>
      <c r="I732" t="s">
        <v>555</v>
      </c>
      <c r="J732" t="s">
        <v>556</v>
      </c>
      <c r="L732">
        <v>151186.76999999999</v>
      </c>
      <c r="M732">
        <f>IF(F732="INR",1,INDEX('rates'!$B$2:$C$522,MATCH(D732,'rates'!$A$2:$A$522,1),MATCH(F732&amp;"/INR",'rates'!$B$1:$C$1,0)))</f>
        <v>92.3232</v>
      </c>
      <c r="N732">
        <f t="shared" si="59"/>
        <v>13958046.404064</v>
      </c>
      <c r="O732">
        <f t="shared" si="60"/>
        <v>0</v>
      </c>
      <c r="P732">
        <f t="shared" si="61"/>
        <v>0</v>
      </c>
      <c r="Q732">
        <f t="shared" si="58"/>
        <v>4</v>
      </c>
      <c r="R732" t="str">
        <f t="shared" si="62"/>
        <v>Not open</v>
      </c>
    </row>
    <row r="733" spans="1:18" x14ac:dyDescent="0.3">
      <c r="A733" t="s">
        <v>891</v>
      </c>
      <c r="B733" t="s">
        <v>464</v>
      </c>
      <c r="C733" t="s">
        <v>560</v>
      </c>
      <c r="D733" s="1">
        <v>45124</v>
      </c>
      <c r="E733" s="1">
        <v>45214</v>
      </c>
      <c r="F733" t="s">
        <v>13</v>
      </c>
      <c r="G733">
        <v>2436605</v>
      </c>
      <c r="H733" s="1">
        <v>45207</v>
      </c>
      <c r="I733" t="s">
        <v>555</v>
      </c>
      <c r="J733" t="s">
        <v>556</v>
      </c>
      <c r="L733">
        <v>2436605</v>
      </c>
      <c r="M733">
        <f>IF(F733="INR",1,INDEX('rates'!$B$2:$C$522,MATCH(D733,'rates'!$A$2:$A$522,1),MATCH(F733&amp;"/INR",'rates'!$B$1:$C$1,0)))</f>
        <v>1</v>
      </c>
      <c r="N733">
        <f t="shared" si="59"/>
        <v>2436605</v>
      </c>
      <c r="O733">
        <f t="shared" si="60"/>
        <v>0</v>
      </c>
      <c r="P733">
        <f t="shared" si="61"/>
        <v>0</v>
      </c>
      <c r="Q733">
        <f t="shared" si="58"/>
        <v>-7</v>
      </c>
      <c r="R733" t="str">
        <f t="shared" si="62"/>
        <v>Not open</v>
      </c>
    </row>
    <row r="734" spans="1:18" x14ac:dyDescent="0.3">
      <c r="A734" t="s">
        <v>892</v>
      </c>
      <c r="B734" t="s">
        <v>75</v>
      </c>
      <c r="C734" t="s">
        <v>566</v>
      </c>
      <c r="D734" s="1">
        <v>45125</v>
      </c>
      <c r="E734" s="1">
        <v>45215</v>
      </c>
      <c r="F734" t="s">
        <v>36</v>
      </c>
      <c r="G734">
        <v>63852.42</v>
      </c>
      <c r="H734" s="1">
        <v>45235</v>
      </c>
      <c r="I734" t="s">
        <v>555</v>
      </c>
      <c r="J734" t="s">
        <v>573</v>
      </c>
      <c r="K734">
        <v>82.440100000000001</v>
      </c>
      <c r="L734">
        <v>63852.42</v>
      </c>
      <c r="M734">
        <f>IF(F734="INR",1,INDEX('rates'!$B$2:$C$522,MATCH(D734,'rates'!$A$2:$A$522,1),MATCH(F734&amp;"/INR",'rates'!$B$1:$C$1,0)))</f>
        <v>82.03</v>
      </c>
      <c r="N734">
        <f t="shared" si="59"/>
        <v>5237814.0126</v>
      </c>
      <c r="O734">
        <f t="shared" si="60"/>
        <v>0</v>
      </c>
      <c r="P734">
        <f t="shared" si="61"/>
        <v>0</v>
      </c>
      <c r="Q734">
        <f t="shared" si="58"/>
        <v>20</v>
      </c>
      <c r="R734" t="str">
        <f t="shared" si="62"/>
        <v>Not open</v>
      </c>
    </row>
    <row r="735" spans="1:18" x14ac:dyDescent="0.3">
      <c r="A735" t="s">
        <v>894</v>
      </c>
      <c r="B735" t="s">
        <v>262</v>
      </c>
      <c r="C735" t="s">
        <v>566</v>
      </c>
      <c r="D735" s="1">
        <v>45125</v>
      </c>
      <c r="E735" s="1">
        <v>45215</v>
      </c>
      <c r="F735" t="s">
        <v>31</v>
      </c>
      <c r="G735">
        <v>84670.94</v>
      </c>
      <c r="H735" s="1">
        <v>45275</v>
      </c>
      <c r="I735" t="s">
        <v>717</v>
      </c>
      <c r="J735" t="s">
        <v>573</v>
      </c>
      <c r="K735">
        <v>92.338499999999996</v>
      </c>
      <c r="L735">
        <v>37778.25</v>
      </c>
      <c r="M735">
        <f>IF(F735="INR",1,INDEX('rates'!$B$2:$C$522,MATCH(D735,'rates'!$A$2:$A$522,1),MATCH(F735&amp;"/INR",'rates'!$B$1:$C$1,0)))</f>
        <v>92.062299999999993</v>
      </c>
      <c r="N735">
        <f t="shared" si="59"/>
        <v>7795001.4795619994</v>
      </c>
      <c r="O735">
        <f t="shared" si="60"/>
        <v>0</v>
      </c>
      <c r="P735">
        <f t="shared" si="61"/>
        <v>0</v>
      </c>
      <c r="Q735">
        <f t="shared" si="58"/>
        <v>60</v>
      </c>
      <c r="R735" t="str">
        <f t="shared" si="62"/>
        <v>Not open</v>
      </c>
    </row>
    <row r="736" spans="1:18" x14ac:dyDescent="0.3">
      <c r="A736" t="s">
        <v>895</v>
      </c>
      <c r="B736" t="s">
        <v>476</v>
      </c>
      <c r="C736" t="s">
        <v>566</v>
      </c>
      <c r="D736" s="1">
        <v>45125</v>
      </c>
      <c r="E736" s="1">
        <v>45170</v>
      </c>
      <c r="F736" t="s">
        <v>13</v>
      </c>
      <c r="G736">
        <v>5631796</v>
      </c>
      <c r="H736" s="1">
        <v>45209</v>
      </c>
      <c r="I736" t="s">
        <v>555</v>
      </c>
      <c r="J736" t="s">
        <v>556</v>
      </c>
      <c r="L736">
        <v>5631796</v>
      </c>
      <c r="M736">
        <f>IF(F736="INR",1,INDEX('rates'!$B$2:$C$522,MATCH(D736,'rates'!$A$2:$A$522,1),MATCH(F736&amp;"/INR",'rates'!$B$1:$C$1,0)))</f>
        <v>1</v>
      </c>
      <c r="N736">
        <f t="shared" si="59"/>
        <v>5631796</v>
      </c>
      <c r="O736">
        <f t="shared" si="60"/>
        <v>0</v>
      </c>
      <c r="P736">
        <f t="shared" si="61"/>
        <v>0</v>
      </c>
      <c r="Q736">
        <f t="shared" si="58"/>
        <v>39</v>
      </c>
      <c r="R736" t="str">
        <f t="shared" si="62"/>
        <v>Not open</v>
      </c>
    </row>
    <row r="737" spans="1:18" x14ac:dyDescent="0.3">
      <c r="A737" t="s">
        <v>896</v>
      </c>
      <c r="B737" t="s">
        <v>42</v>
      </c>
      <c r="C737" t="s">
        <v>566</v>
      </c>
      <c r="D737" s="1">
        <v>45126</v>
      </c>
      <c r="E737" s="1">
        <v>45186</v>
      </c>
      <c r="F737" t="s">
        <v>13</v>
      </c>
      <c r="G737">
        <v>1755585</v>
      </c>
      <c r="H737" s="1">
        <v>45178</v>
      </c>
      <c r="I737" t="s">
        <v>555</v>
      </c>
      <c r="J737" t="s">
        <v>556</v>
      </c>
      <c r="L737">
        <v>1755585</v>
      </c>
      <c r="M737">
        <f>IF(F737="INR",1,INDEX('rates'!$B$2:$C$522,MATCH(D737,'rates'!$A$2:$A$522,1),MATCH(F737&amp;"/INR",'rates'!$B$1:$C$1,0)))</f>
        <v>1</v>
      </c>
      <c r="N737">
        <f t="shared" si="59"/>
        <v>1755585</v>
      </c>
      <c r="O737">
        <f t="shared" si="60"/>
        <v>0</v>
      </c>
      <c r="P737">
        <f t="shared" si="61"/>
        <v>0</v>
      </c>
      <c r="Q737">
        <f t="shared" si="58"/>
        <v>-8</v>
      </c>
      <c r="R737" t="str">
        <f t="shared" si="62"/>
        <v>Not open</v>
      </c>
    </row>
    <row r="738" spans="1:18" x14ac:dyDescent="0.3">
      <c r="A738" t="s">
        <v>897</v>
      </c>
      <c r="B738" t="s">
        <v>72</v>
      </c>
      <c r="C738" t="s">
        <v>560</v>
      </c>
      <c r="D738" s="1">
        <v>45126</v>
      </c>
      <c r="E738" s="1">
        <v>45216</v>
      </c>
      <c r="F738" t="s">
        <v>31</v>
      </c>
      <c r="G738">
        <v>85199.75</v>
      </c>
      <c r="H738" s="1">
        <v>45242</v>
      </c>
      <c r="I738" t="s">
        <v>555</v>
      </c>
      <c r="J738" t="s">
        <v>556</v>
      </c>
      <c r="L738">
        <v>85199.75</v>
      </c>
      <c r="M738">
        <f>IF(F738="INR",1,INDEX('rates'!$B$2:$C$522,MATCH(D738,'rates'!$A$2:$A$522,1),MATCH(F738&amp;"/INR",'rates'!$B$1:$C$1,0)))</f>
        <v>91.899799999999999</v>
      </c>
      <c r="N738">
        <f t="shared" si="59"/>
        <v>7829839.9850500003</v>
      </c>
      <c r="O738">
        <f t="shared" si="60"/>
        <v>0</v>
      </c>
      <c r="P738">
        <f t="shared" si="61"/>
        <v>0</v>
      </c>
      <c r="Q738">
        <f t="shared" si="58"/>
        <v>26</v>
      </c>
      <c r="R738" t="str">
        <f t="shared" si="62"/>
        <v>Not open</v>
      </c>
    </row>
    <row r="739" spans="1:18" x14ac:dyDescent="0.3">
      <c r="A739" t="s">
        <v>899</v>
      </c>
      <c r="B739" t="s">
        <v>490</v>
      </c>
      <c r="C739" t="s">
        <v>560</v>
      </c>
      <c r="D739" s="1">
        <v>45126</v>
      </c>
      <c r="E739" s="1">
        <v>45171</v>
      </c>
      <c r="F739" t="s">
        <v>36</v>
      </c>
      <c r="G739">
        <v>21982.799999999999</v>
      </c>
      <c r="H739" s="1">
        <v>45179</v>
      </c>
      <c r="I739" t="s">
        <v>555</v>
      </c>
      <c r="J739" t="s">
        <v>573</v>
      </c>
      <c r="K739">
        <v>82.295199999999994</v>
      </c>
      <c r="L739">
        <v>21982.799999999999</v>
      </c>
      <c r="M739">
        <f>IF(F739="INR",1,INDEX('rates'!$B$2:$C$522,MATCH(D739,'rates'!$A$2:$A$522,1),MATCH(F739&amp;"/INR",'rates'!$B$1:$C$1,0)))</f>
        <v>82.09</v>
      </c>
      <c r="N739">
        <f t="shared" si="59"/>
        <v>1804568.0519999999</v>
      </c>
      <c r="O739">
        <f t="shared" si="60"/>
        <v>0</v>
      </c>
      <c r="P739">
        <f t="shared" si="61"/>
        <v>0</v>
      </c>
      <c r="Q739">
        <f t="shared" si="58"/>
        <v>8</v>
      </c>
      <c r="R739" t="str">
        <f t="shared" si="62"/>
        <v>Not open</v>
      </c>
    </row>
    <row r="740" spans="1:18" x14ac:dyDescent="0.3">
      <c r="A740" t="s">
        <v>900</v>
      </c>
      <c r="B740" t="s">
        <v>49</v>
      </c>
      <c r="C740" t="s">
        <v>554</v>
      </c>
      <c r="D740" s="1">
        <v>45127</v>
      </c>
      <c r="E740" s="1">
        <v>45172</v>
      </c>
      <c r="F740" t="s">
        <v>13</v>
      </c>
      <c r="G740">
        <v>11237667</v>
      </c>
      <c r="H740" s="1">
        <v>45183</v>
      </c>
      <c r="I740" t="s">
        <v>555</v>
      </c>
      <c r="J740" t="s">
        <v>556</v>
      </c>
      <c r="L740">
        <v>11237667</v>
      </c>
      <c r="M740">
        <f>IF(F740="INR",1,INDEX('rates'!$B$2:$C$522,MATCH(D740,'rates'!$A$2:$A$522,1),MATCH(F740&amp;"/INR",'rates'!$B$1:$C$1,0)))</f>
        <v>1</v>
      </c>
      <c r="N740">
        <f t="shared" si="59"/>
        <v>11237667</v>
      </c>
      <c r="O740">
        <f t="shared" si="60"/>
        <v>0</v>
      </c>
      <c r="P740">
        <f t="shared" si="61"/>
        <v>0</v>
      </c>
      <c r="Q740">
        <f t="shared" si="58"/>
        <v>11</v>
      </c>
      <c r="R740" t="str">
        <f t="shared" si="62"/>
        <v>Not open</v>
      </c>
    </row>
    <row r="741" spans="1:18" x14ac:dyDescent="0.3">
      <c r="A741" t="s">
        <v>901</v>
      </c>
      <c r="B741" t="s">
        <v>386</v>
      </c>
      <c r="C741" t="s">
        <v>575</v>
      </c>
      <c r="D741" s="1">
        <v>45127</v>
      </c>
      <c r="E741" s="1">
        <v>45187</v>
      </c>
      <c r="F741" t="s">
        <v>31</v>
      </c>
      <c r="G741">
        <v>128847.69</v>
      </c>
      <c r="H741" s="1">
        <v>45194</v>
      </c>
      <c r="I741" t="s">
        <v>555</v>
      </c>
      <c r="J741" t="s">
        <v>556</v>
      </c>
      <c r="L741">
        <v>128847.69</v>
      </c>
      <c r="M741">
        <f>IF(F741="INR",1,INDEX('rates'!$B$2:$C$522,MATCH(D741,'rates'!$A$2:$A$522,1),MATCH(F741&amp;"/INR",'rates'!$B$1:$C$1,0)))</f>
        <v>91.295900000000003</v>
      </c>
      <c r="N741">
        <f t="shared" si="59"/>
        <v>11763265.821471</v>
      </c>
      <c r="O741">
        <f t="shared" si="60"/>
        <v>0</v>
      </c>
      <c r="P741">
        <f t="shared" si="61"/>
        <v>0</v>
      </c>
      <c r="Q741">
        <f t="shared" si="58"/>
        <v>7</v>
      </c>
      <c r="R741" t="str">
        <f t="shared" si="62"/>
        <v>Not open</v>
      </c>
    </row>
    <row r="742" spans="1:18" x14ac:dyDescent="0.3">
      <c r="A742" t="s">
        <v>902</v>
      </c>
      <c r="B742" t="s">
        <v>113</v>
      </c>
      <c r="C742" t="s">
        <v>554</v>
      </c>
      <c r="D742" s="1">
        <v>45128</v>
      </c>
      <c r="E742" s="1">
        <v>45158</v>
      </c>
      <c r="F742" t="s">
        <v>13</v>
      </c>
      <c r="G742">
        <v>4330368</v>
      </c>
      <c r="H742" s="1">
        <v>45164</v>
      </c>
      <c r="I742" t="s">
        <v>555</v>
      </c>
      <c r="J742" t="s">
        <v>556</v>
      </c>
      <c r="L742">
        <v>4330368</v>
      </c>
      <c r="M742">
        <f>IF(F742="INR",1,INDEX('rates'!$B$2:$C$522,MATCH(D742,'rates'!$A$2:$A$522,1),MATCH(F742&amp;"/INR",'rates'!$B$1:$C$1,0)))</f>
        <v>1</v>
      </c>
      <c r="N742">
        <f t="shared" si="59"/>
        <v>4330368</v>
      </c>
      <c r="O742">
        <f t="shared" si="60"/>
        <v>0</v>
      </c>
      <c r="P742">
        <f t="shared" si="61"/>
        <v>0</v>
      </c>
      <c r="Q742">
        <f t="shared" si="58"/>
        <v>6</v>
      </c>
      <c r="R742" t="str">
        <f t="shared" si="62"/>
        <v>Not open</v>
      </c>
    </row>
    <row r="743" spans="1:18" x14ac:dyDescent="0.3">
      <c r="A743" t="s">
        <v>903</v>
      </c>
      <c r="B743" t="s">
        <v>140</v>
      </c>
      <c r="C743" t="s">
        <v>554</v>
      </c>
      <c r="D743" s="1">
        <v>45128</v>
      </c>
      <c r="E743" s="1">
        <v>45188</v>
      </c>
      <c r="F743" t="s">
        <v>13</v>
      </c>
      <c r="G743">
        <v>3210779</v>
      </c>
      <c r="H743" s="1">
        <v>45198</v>
      </c>
      <c r="I743" t="s">
        <v>555</v>
      </c>
      <c r="J743" t="s">
        <v>556</v>
      </c>
      <c r="L743">
        <v>3210779</v>
      </c>
      <c r="M743">
        <f>IF(F743="INR",1,INDEX('rates'!$B$2:$C$522,MATCH(D743,'rates'!$A$2:$A$522,1),MATCH(F743&amp;"/INR",'rates'!$B$1:$C$1,0)))</f>
        <v>1</v>
      </c>
      <c r="N743">
        <f t="shared" si="59"/>
        <v>3210779</v>
      </c>
      <c r="O743">
        <f t="shared" si="60"/>
        <v>0</v>
      </c>
      <c r="P743">
        <f t="shared" si="61"/>
        <v>0</v>
      </c>
      <c r="Q743">
        <f t="shared" si="58"/>
        <v>10</v>
      </c>
      <c r="R743" t="str">
        <f t="shared" si="62"/>
        <v>Not open</v>
      </c>
    </row>
    <row r="744" spans="1:18" x14ac:dyDescent="0.3">
      <c r="A744" t="s">
        <v>905</v>
      </c>
      <c r="B744" t="s">
        <v>200</v>
      </c>
      <c r="C744" t="s">
        <v>554</v>
      </c>
      <c r="D744" s="1">
        <v>45129</v>
      </c>
      <c r="E744" s="1">
        <v>45189</v>
      </c>
      <c r="F744" t="s">
        <v>13</v>
      </c>
      <c r="G744">
        <v>3158402</v>
      </c>
      <c r="H744" s="1">
        <v>45185</v>
      </c>
      <c r="I744" t="s">
        <v>555</v>
      </c>
      <c r="J744" t="s">
        <v>556</v>
      </c>
      <c r="L744">
        <v>3158402</v>
      </c>
      <c r="M744">
        <f>IF(F744="INR",1,INDEX('rates'!$B$2:$C$522,MATCH(D744,'rates'!$A$2:$A$522,1),MATCH(F744&amp;"/INR",'rates'!$B$1:$C$1,0)))</f>
        <v>1</v>
      </c>
      <c r="N744">
        <f t="shared" si="59"/>
        <v>3158402</v>
      </c>
      <c r="O744">
        <f t="shared" si="60"/>
        <v>0</v>
      </c>
      <c r="P744">
        <f t="shared" si="61"/>
        <v>0</v>
      </c>
      <c r="Q744">
        <f t="shared" si="58"/>
        <v>-4</v>
      </c>
      <c r="R744" t="str">
        <f t="shared" si="62"/>
        <v>Not open</v>
      </c>
    </row>
    <row r="745" spans="1:18" x14ac:dyDescent="0.3">
      <c r="A745" t="s">
        <v>906</v>
      </c>
      <c r="B745" t="s">
        <v>230</v>
      </c>
      <c r="C745" t="s">
        <v>558</v>
      </c>
      <c r="D745" s="1">
        <v>45129</v>
      </c>
      <c r="E745" s="1">
        <v>45174</v>
      </c>
      <c r="F745" t="s">
        <v>13</v>
      </c>
      <c r="G745">
        <v>2365852</v>
      </c>
      <c r="H745" s="1">
        <v>45172</v>
      </c>
      <c r="I745" t="s">
        <v>555</v>
      </c>
      <c r="J745" t="s">
        <v>556</v>
      </c>
      <c r="L745">
        <v>2365852</v>
      </c>
      <c r="M745">
        <f>IF(F745="INR",1,INDEX('rates'!$B$2:$C$522,MATCH(D745,'rates'!$A$2:$A$522,1),MATCH(F745&amp;"/INR",'rates'!$B$1:$C$1,0)))</f>
        <v>1</v>
      </c>
      <c r="N745">
        <f t="shared" si="59"/>
        <v>2365852</v>
      </c>
      <c r="O745">
        <f t="shared" si="60"/>
        <v>0</v>
      </c>
      <c r="P745">
        <f t="shared" si="61"/>
        <v>0</v>
      </c>
      <c r="Q745">
        <f t="shared" si="58"/>
        <v>-2</v>
      </c>
      <c r="R745" t="str">
        <f t="shared" si="62"/>
        <v>Not open</v>
      </c>
    </row>
    <row r="746" spans="1:18" x14ac:dyDescent="0.3">
      <c r="A746" t="s">
        <v>907</v>
      </c>
      <c r="B746" t="s">
        <v>240</v>
      </c>
      <c r="C746" t="s">
        <v>575</v>
      </c>
      <c r="D746" s="1">
        <v>45129</v>
      </c>
      <c r="E746" s="1">
        <v>45189</v>
      </c>
      <c r="F746" t="s">
        <v>36</v>
      </c>
      <c r="G746">
        <v>21358.43</v>
      </c>
      <c r="H746" s="1">
        <v>45202</v>
      </c>
      <c r="I746" t="s">
        <v>555</v>
      </c>
      <c r="J746" t="s">
        <v>573</v>
      </c>
      <c r="K746">
        <v>82.263300000000001</v>
      </c>
      <c r="L746">
        <v>21358.43</v>
      </c>
      <c r="M746">
        <f>IF(F746="INR",1,INDEX('rates'!$B$2:$C$522,MATCH(D746,'rates'!$A$2:$A$522,1),MATCH(F746&amp;"/INR",'rates'!$B$1:$C$1,0)))</f>
        <v>81.99</v>
      </c>
      <c r="N746">
        <f t="shared" si="59"/>
        <v>1751177.6757</v>
      </c>
      <c r="O746">
        <f t="shared" si="60"/>
        <v>0</v>
      </c>
      <c r="P746">
        <f t="shared" si="61"/>
        <v>0</v>
      </c>
      <c r="Q746">
        <f t="shared" si="58"/>
        <v>13</v>
      </c>
      <c r="R746" t="str">
        <f t="shared" si="62"/>
        <v>Not open</v>
      </c>
    </row>
    <row r="747" spans="1:18" x14ac:dyDescent="0.3">
      <c r="A747" t="s">
        <v>908</v>
      </c>
      <c r="B747" t="s">
        <v>368</v>
      </c>
      <c r="C747" t="s">
        <v>566</v>
      </c>
      <c r="D747" s="1">
        <v>45129</v>
      </c>
      <c r="E747" s="1">
        <v>45189</v>
      </c>
      <c r="F747" t="s">
        <v>36</v>
      </c>
      <c r="G747">
        <v>26161.26</v>
      </c>
      <c r="H747" s="1">
        <v>45210</v>
      </c>
      <c r="I747" t="s">
        <v>555</v>
      </c>
      <c r="J747" t="s">
        <v>556</v>
      </c>
      <c r="L747">
        <v>26161.26</v>
      </c>
      <c r="M747">
        <f>IF(F747="INR",1,INDEX('rates'!$B$2:$C$522,MATCH(D747,'rates'!$A$2:$A$522,1),MATCH(F747&amp;"/INR",'rates'!$B$1:$C$1,0)))</f>
        <v>81.99</v>
      </c>
      <c r="N747">
        <f t="shared" si="59"/>
        <v>2144961.7073999997</v>
      </c>
      <c r="O747">
        <f t="shared" si="60"/>
        <v>0</v>
      </c>
      <c r="P747">
        <f t="shared" si="61"/>
        <v>0</v>
      </c>
      <c r="Q747">
        <f t="shared" si="58"/>
        <v>21</v>
      </c>
      <c r="R747" t="str">
        <f t="shared" si="62"/>
        <v>Not open</v>
      </c>
    </row>
    <row r="748" spans="1:18" x14ac:dyDescent="0.3">
      <c r="A748" t="s">
        <v>909</v>
      </c>
      <c r="B748" t="s">
        <v>436</v>
      </c>
      <c r="C748" t="s">
        <v>566</v>
      </c>
      <c r="D748" s="1">
        <v>45129</v>
      </c>
      <c r="E748" s="1">
        <v>45174</v>
      </c>
      <c r="F748" t="s">
        <v>36</v>
      </c>
      <c r="G748">
        <v>80380.929999999993</v>
      </c>
      <c r="H748" s="1">
        <v>45194</v>
      </c>
      <c r="I748" t="s">
        <v>555</v>
      </c>
      <c r="J748" t="s">
        <v>556</v>
      </c>
      <c r="L748">
        <v>80380.929999999993</v>
      </c>
      <c r="M748">
        <f>IF(F748="INR",1,INDEX('rates'!$B$2:$C$522,MATCH(D748,'rates'!$A$2:$A$522,1),MATCH(F748&amp;"/INR",'rates'!$B$1:$C$1,0)))</f>
        <v>81.99</v>
      </c>
      <c r="N748">
        <f t="shared" si="59"/>
        <v>6590432.450699999</v>
      </c>
      <c r="O748">
        <f t="shared" si="60"/>
        <v>0</v>
      </c>
      <c r="P748">
        <f t="shared" si="61"/>
        <v>0</v>
      </c>
      <c r="Q748">
        <f t="shared" si="58"/>
        <v>20</v>
      </c>
      <c r="R748" t="str">
        <f t="shared" si="62"/>
        <v>Not open</v>
      </c>
    </row>
    <row r="749" spans="1:18" x14ac:dyDescent="0.3">
      <c r="A749" t="s">
        <v>910</v>
      </c>
      <c r="B749" t="s">
        <v>502</v>
      </c>
      <c r="C749" t="s">
        <v>554</v>
      </c>
      <c r="D749" s="1">
        <v>45129</v>
      </c>
      <c r="E749" s="1">
        <v>45159</v>
      </c>
      <c r="F749" t="s">
        <v>13</v>
      </c>
      <c r="G749">
        <v>10071107</v>
      </c>
      <c r="H749" s="1">
        <v>45156</v>
      </c>
      <c r="I749" t="s">
        <v>555</v>
      </c>
      <c r="J749" t="s">
        <v>556</v>
      </c>
      <c r="L749">
        <v>10071107</v>
      </c>
      <c r="M749">
        <f>IF(F749="INR",1,INDEX('rates'!$B$2:$C$522,MATCH(D749,'rates'!$A$2:$A$522,1),MATCH(F749&amp;"/INR",'rates'!$B$1:$C$1,0)))</f>
        <v>1</v>
      </c>
      <c r="N749">
        <f t="shared" si="59"/>
        <v>10071107</v>
      </c>
      <c r="O749">
        <f t="shared" si="60"/>
        <v>0</v>
      </c>
      <c r="P749">
        <f t="shared" si="61"/>
        <v>0</v>
      </c>
      <c r="Q749">
        <f t="shared" si="58"/>
        <v>-3</v>
      </c>
      <c r="R749" t="str">
        <f t="shared" si="62"/>
        <v>Not open</v>
      </c>
    </row>
    <row r="750" spans="1:18" x14ac:dyDescent="0.3">
      <c r="A750" t="s">
        <v>911</v>
      </c>
      <c r="B750" t="s">
        <v>526</v>
      </c>
      <c r="C750" t="s">
        <v>566</v>
      </c>
      <c r="D750" s="1">
        <v>45129</v>
      </c>
      <c r="E750" s="1">
        <v>45189</v>
      </c>
      <c r="F750" t="s">
        <v>31</v>
      </c>
      <c r="G750">
        <v>67779.100000000006</v>
      </c>
      <c r="H750" s="1">
        <v>45188</v>
      </c>
      <c r="I750" t="s">
        <v>555</v>
      </c>
      <c r="J750" t="s">
        <v>556</v>
      </c>
      <c r="L750">
        <v>67779.100000000006</v>
      </c>
      <c r="M750">
        <f>IF(F750="INR",1,INDEX('rates'!$B$2:$C$522,MATCH(D750,'rates'!$A$2:$A$522,1),MATCH(F750&amp;"/INR",'rates'!$B$1:$C$1,0)))</f>
        <v>91.172899999999998</v>
      </c>
      <c r="N750">
        <f t="shared" si="59"/>
        <v>6179617.1063900003</v>
      </c>
      <c r="O750">
        <f t="shared" si="60"/>
        <v>0</v>
      </c>
      <c r="P750">
        <f t="shared" si="61"/>
        <v>0</v>
      </c>
      <c r="Q750">
        <f t="shared" si="58"/>
        <v>-1</v>
      </c>
      <c r="R750" t="str">
        <f t="shared" si="62"/>
        <v>Not open</v>
      </c>
    </row>
    <row r="751" spans="1:18" x14ac:dyDescent="0.3">
      <c r="A751" t="s">
        <v>912</v>
      </c>
      <c r="B751" t="s">
        <v>42</v>
      </c>
      <c r="C751" t="s">
        <v>566</v>
      </c>
      <c r="D751" s="1">
        <v>45131</v>
      </c>
      <c r="E751" s="1">
        <v>45191</v>
      </c>
      <c r="F751" t="s">
        <v>13</v>
      </c>
      <c r="G751">
        <v>7092815</v>
      </c>
      <c r="H751" s="1">
        <v>45193</v>
      </c>
      <c r="I751" t="s">
        <v>555</v>
      </c>
      <c r="J751" t="s">
        <v>556</v>
      </c>
      <c r="L751">
        <v>7092815</v>
      </c>
      <c r="M751">
        <f>IF(F751="INR",1,INDEX('rates'!$B$2:$C$522,MATCH(D751,'rates'!$A$2:$A$522,1),MATCH(F751&amp;"/INR",'rates'!$B$1:$C$1,0)))</f>
        <v>1</v>
      </c>
      <c r="N751">
        <f t="shared" si="59"/>
        <v>7092815</v>
      </c>
      <c r="O751">
        <f t="shared" si="60"/>
        <v>0</v>
      </c>
      <c r="P751">
        <f t="shared" si="61"/>
        <v>0</v>
      </c>
      <c r="Q751">
        <f t="shared" si="58"/>
        <v>2</v>
      </c>
      <c r="R751" t="str">
        <f t="shared" si="62"/>
        <v>Not open</v>
      </c>
    </row>
    <row r="752" spans="1:18" x14ac:dyDescent="0.3">
      <c r="A752" t="s">
        <v>913</v>
      </c>
      <c r="B752" t="s">
        <v>286</v>
      </c>
      <c r="C752" t="s">
        <v>558</v>
      </c>
      <c r="D752" s="1">
        <v>45131</v>
      </c>
      <c r="E752" s="1">
        <v>45191</v>
      </c>
      <c r="F752" t="s">
        <v>36</v>
      </c>
      <c r="G752">
        <v>116187.4</v>
      </c>
      <c r="H752" s="1">
        <v>45236</v>
      </c>
      <c r="I752" t="s">
        <v>555</v>
      </c>
      <c r="J752" t="s">
        <v>556</v>
      </c>
      <c r="L752">
        <v>116187.4</v>
      </c>
      <c r="M752">
        <f>IF(F752="INR",1,INDEX('rates'!$B$2:$C$522,MATCH(D752,'rates'!$A$2:$A$522,1),MATCH(F752&amp;"/INR",'rates'!$B$1:$C$1,0)))</f>
        <v>81.81</v>
      </c>
      <c r="N752">
        <f t="shared" si="59"/>
        <v>9505291.1940000001</v>
      </c>
      <c r="O752">
        <f t="shared" si="60"/>
        <v>0</v>
      </c>
      <c r="P752">
        <f t="shared" si="61"/>
        <v>0</v>
      </c>
      <c r="Q752">
        <f t="shared" si="58"/>
        <v>45</v>
      </c>
      <c r="R752" t="str">
        <f t="shared" si="62"/>
        <v>Not open</v>
      </c>
    </row>
    <row r="753" spans="1:18" x14ac:dyDescent="0.3">
      <c r="A753" t="s">
        <v>914</v>
      </c>
      <c r="B753" t="s">
        <v>436</v>
      </c>
      <c r="C753" t="s">
        <v>566</v>
      </c>
      <c r="D753" s="1">
        <v>45132</v>
      </c>
      <c r="E753" s="1">
        <v>45177</v>
      </c>
      <c r="F753" t="s">
        <v>36</v>
      </c>
      <c r="G753">
        <v>40924.730000000003</v>
      </c>
      <c r="H753" s="1">
        <v>45194</v>
      </c>
      <c r="I753" t="s">
        <v>555</v>
      </c>
      <c r="J753" t="s">
        <v>573</v>
      </c>
      <c r="K753">
        <v>82.074700000000007</v>
      </c>
      <c r="L753">
        <v>40924.730000000003</v>
      </c>
      <c r="M753">
        <f>IF(F753="INR",1,INDEX('rates'!$B$2:$C$522,MATCH(D753,'rates'!$A$2:$A$522,1),MATCH(F753&amp;"/INR",'rates'!$B$1:$C$1,0)))</f>
        <v>81.87</v>
      </c>
      <c r="N753">
        <f t="shared" si="59"/>
        <v>3350507.6451000003</v>
      </c>
      <c r="O753">
        <f t="shared" si="60"/>
        <v>0</v>
      </c>
      <c r="P753">
        <f t="shared" si="61"/>
        <v>0</v>
      </c>
      <c r="Q753">
        <f t="shared" si="58"/>
        <v>17</v>
      </c>
      <c r="R753" t="str">
        <f t="shared" si="62"/>
        <v>Not open</v>
      </c>
    </row>
    <row r="754" spans="1:18" x14ac:dyDescent="0.3">
      <c r="A754" t="s">
        <v>915</v>
      </c>
      <c r="B754" t="s">
        <v>22</v>
      </c>
      <c r="C754" t="s">
        <v>554</v>
      </c>
      <c r="D754" s="1">
        <v>45133</v>
      </c>
      <c r="E754" s="1">
        <v>45178</v>
      </c>
      <c r="F754" t="s">
        <v>13</v>
      </c>
      <c r="G754">
        <v>6609197</v>
      </c>
      <c r="H754" s="1">
        <v>45190</v>
      </c>
      <c r="I754" t="s">
        <v>555</v>
      </c>
      <c r="J754" t="s">
        <v>556</v>
      </c>
      <c r="L754">
        <v>6609197</v>
      </c>
      <c r="M754">
        <f>IF(F754="INR",1,INDEX('rates'!$B$2:$C$522,MATCH(D754,'rates'!$A$2:$A$522,1),MATCH(F754&amp;"/INR",'rates'!$B$1:$C$1,0)))</f>
        <v>1</v>
      </c>
      <c r="N754">
        <f t="shared" si="59"/>
        <v>6609197</v>
      </c>
      <c r="O754">
        <f t="shared" si="60"/>
        <v>0</v>
      </c>
      <c r="P754">
        <f t="shared" si="61"/>
        <v>0</v>
      </c>
      <c r="Q754">
        <f t="shared" ref="Q754:Q817" si="63">IF(H754="","",H754-E754)</f>
        <v>12</v>
      </c>
      <c r="R754" t="str">
        <f t="shared" si="62"/>
        <v>Not open</v>
      </c>
    </row>
    <row r="755" spans="1:18" x14ac:dyDescent="0.3">
      <c r="A755" t="s">
        <v>916</v>
      </c>
      <c r="B755" t="s">
        <v>160</v>
      </c>
      <c r="C755" t="s">
        <v>554</v>
      </c>
      <c r="D755" s="1">
        <v>45133</v>
      </c>
      <c r="E755" s="1">
        <v>45178</v>
      </c>
      <c r="F755" t="s">
        <v>13</v>
      </c>
      <c r="G755">
        <v>7672060</v>
      </c>
      <c r="H755" s="1">
        <v>45184</v>
      </c>
      <c r="I755" t="s">
        <v>555</v>
      </c>
      <c r="J755" t="s">
        <v>556</v>
      </c>
      <c r="L755">
        <v>7672060</v>
      </c>
      <c r="M755">
        <f>IF(F755="INR",1,INDEX('rates'!$B$2:$C$522,MATCH(D755,'rates'!$A$2:$A$522,1),MATCH(F755&amp;"/INR",'rates'!$B$1:$C$1,0)))</f>
        <v>1</v>
      </c>
      <c r="N755">
        <f t="shared" si="59"/>
        <v>7672060</v>
      </c>
      <c r="O755">
        <f t="shared" si="60"/>
        <v>0</v>
      </c>
      <c r="P755">
        <f t="shared" si="61"/>
        <v>0</v>
      </c>
      <c r="Q755">
        <f t="shared" si="63"/>
        <v>6</v>
      </c>
      <c r="R755" t="str">
        <f t="shared" si="62"/>
        <v>Not open</v>
      </c>
    </row>
    <row r="756" spans="1:18" x14ac:dyDescent="0.3">
      <c r="A756" t="s">
        <v>917</v>
      </c>
      <c r="B756" t="s">
        <v>436</v>
      </c>
      <c r="C756" t="s">
        <v>566</v>
      </c>
      <c r="D756" s="1">
        <v>45133</v>
      </c>
      <c r="E756" s="1">
        <v>45178</v>
      </c>
      <c r="F756" t="s">
        <v>36</v>
      </c>
      <c r="G756">
        <v>37544.879999999997</v>
      </c>
      <c r="H756" s="1">
        <v>45215</v>
      </c>
      <c r="I756" t="s">
        <v>555</v>
      </c>
      <c r="J756" t="s">
        <v>573</v>
      </c>
      <c r="K756">
        <v>82.194999999999993</v>
      </c>
      <c r="L756">
        <v>37544.879999999997</v>
      </c>
      <c r="M756">
        <f>IF(F756="INR",1,INDEX('rates'!$B$2:$C$522,MATCH(D756,'rates'!$A$2:$A$522,1),MATCH(F756&amp;"/INR",'rates'!$B$1:$C$1,0)))</f>
        <v>81.99</v>
      </c>
      <c r="N756">
        <f t="shared" si="59"/>
        <v>3078304.7111999998</v>
      </c>
      <c r="O756">
        <f t="shared" si="60"/>
        <v>0</v>
      </c>
      <c r="P756">
        <f t="shared" si="61"/>
        <v>0</v>
      </c>
      <c r="Q756">
        <f t="shared" si="63"/>
        <v>37</v>
      </c>
      <c r="R756" t="str">
        <f t="shared" si="62"/>
        <v>Not open</v>
      </c>
    </row>
    <row r="757" spans="1:18" x14ac:dyDescent="0.3">
      <c r="A757" t="s">
        <v>918</v>
      </c>
      <c r="B757" t="s">
        <v>488</v>
      </c>
      <c r="C757" t="s">
        <v>558</v>
      </c>
      <c r="D757" s="1">
        <v>45133</v>
      </c>
      <c r="E757" s="1">
        <v>45163</v>
      </c>
      <c r="F757" t="s">
        <v>31</v>
      </c>
      <c r="G757">
        <v>20087.75</v>
      </c>
      <c r="H757" s="1">
        <v>45255</v>
      </c>
      <c r="I757" t="s">
        <v>555</v>
      </c>
      <c r="J757" t="s">
        <v>556</v>
      </c>
      <c r="L757">
        <v>20087.75</v>
      </c>
      <c r="M757">
        <f>IF(F757="INR",1,INDEX('rates'!$B$2:$C$522,MATCH(D757,'rates'!$A$2:$A$522,1),MATCH(F757&amp;"/INR",'rates'!$B$1:$C$1,0)))</f>
        <v>90.828500000000005</v>
      </c>
      <c r="N757">
        <f t="shared" si="59"/>
        <v>1824540.2008750001</v>
      </c>
      <c r="O757">
        <f t="shared" si="60"/>
        <v>0</v>
      </c>
      <c r="P757">
        <f t="shared" si="61"/>
        <v>0</v>
      </c>
      <c r="Q757">
        <f t="shared" si="63"/>
        <v>92</v>
      </c>
      <c r="R757" t="str">
        <f t="shared" si="62"/>
        <v>Not open</v>
      </c>
    </row>
    <row r="758" spans="1:18" x14ac:dyDescent="0.3">
      <c r="A758" t="s">
        <v>919</v>
      </c>
      <c r="B758" t="s">
        <v>154</v>
      </c>
      <c r="C758" t="s">
        <v>566</v>
      </c>
      <c r="D758" s="1">
        <v>45134</v>
      </c>
      <c r="E758" s="1">
        <v>45164</v>
      </c>
      <c r="F758" t="s">
        <v>13</v>
      </c>
      <c r="G758">
        <v>17526799</v>
      </c>
      <c r="H758" s="1"/>
      <c r="I758" t="s">
        <v>555</v>
      </c>
      <c r="J758" t="s">
        <v>556</v>
      </c>
      <c r="L758">
        <v>17526799</v>
      </c>
      <c r="M758">
        <f>IF(F758="INR",1,INDEX('rates'!$B$2:$C$522,MATCH(D758,'rates'!$A$2:$A$522,1),MATCH(F758&amp;"/INR",'rates'!$B$1:$C$1,0)))</f>
        <v>1</v>
      </c>
      <c r="N758">
        <f t="shared" si="59"/>
        <v>17526799</v>
      </c>
      <c r="O758">
        <f t="shared" si="60"/>
        <v>0</v>
      </c>
      <c r="P758">
        <f t="shared" si="61"/>
        <v>0</v>
      </c>
      <c r="Q758" t="str">
        <f t="shared" si="63"/>
        <v/>
      </c>
      <c r="R758" t="str">
        <f t="shared" si="62"/>
        <v>Not open</v>
      </c>
    </row>
    <row r="759" spans="1:18" x14ac:dyDescent="0.3">
      <c r="A759" t="s">
        <v>920</v>
      </c>
      <c r="B759" t="s">
        <v>198</v>
      </c>
      <c r="C759" t="s">
        <v>566</v>
      </c>
      <c r="D759" s="1">
        <v>45134</v>
      </c>
      <c r="E759" s="1">
        <v>45224</v>
      </c>
      <c r="F759" t="s">
        <v>36</v>
      </c>
      <c r="G759">
        <v>60217.18</v>
      </c>
      <c r="H759" s="1">
        <v>45246</v>
      </c>
      <c r="I759" t="s">
        <v>555</v>
      </c>
      <c r="J759" t="s">
        <v>573</v>
      </c>
      <c r="K759">
        <v>82.560699999999997</v>
      </c>
      <c r="L759">
        <v>60217.18</v>
      </c>
      <c r="M759">
        <f>IF(F759="INR",1,INDEX('rates'!$B$2:$C$522,MATCH(D759,'rates'!$A$2:$A$522,1),MATCH(F759&amp;"/INR",'rates'!$B$1:$C$1,0)))</f>
        <v>82.15</v>
      </c>
      <c r="N759">
        <f t="shared" si="59"/>
        <v>4946841.3370000003</v>
      </c>
      <c r="O759">
        <f t="shared" si="60"/>
        <v>0</v>
      </c>
      <c r="P759">
        <f t="shared" si="61"/>
        <v>0</v>
      </c>
      <c r="Q759">
        <f t="shared" si="63"/>
        <v>22</v>
      </c>
      <c r="R759" t="str">
        <f t="shared" si="62"/>
        <v>Not open</v>
      </c>
    </row>
    <row r="760" spans="1:18" x14ac:dyDescent="0.3">
      <c r="A760" t="s">
        <v>921</v>
      </c>
      <c r="B760" t="s">
        <v>200</v>
      </c>
      <c r="C760" t="s">
        <v>554</v>
      </c>
      <c r="D760" s="1">
        <v>45134</v>
      </c>
      <c r="E760" s="1">
        <v>45194</v>
      </c>
      <c r="F760" t="s">
        <v>13</v>
      </c>
      <c r="G760">
        <v>1470564</v>
      </c>
      <c r="H760" s="1">
        <v>45210</v>
      </c>
      <c r="I760" t="s">
        <v>555</v>
      </c>
      <c r="J760" t="s">
        <v>556</v>
      </c>
      <c r="L760">
        <v>1470564</v>
      </c>
      <c r="M760">
        <f>IF(F760="INR",1,INDEX('rates'!$B$2:$C$522,MATCH(D760,'rates'!$A$2:$A$522,1),MATCH(F760&amp;"/INR",'rates'!$B$1:$C$1,0)))</f>
        <v>1</v>
      </c>
      <c r="N760">
        <f t="shared" si="59"/>
        <v>1470564</v>
      </c>
      <c r="O760">
        <f t="shared" si="60"/>
        <v>0</v>
      </c>
      <c r="P760">
        <f t="shared" si="61"/>
        <v>0</v>
      </c>
      <c r="Q760">
        <f t="shared" si="63"/>
        <v>16</v>
      </c>
      <c r="R760" t="str">
        <f t="shared" si="62"/>
        <v>Not open</v>
      </c>
    </row>
    <row r="761" spans="1:18" x14ac:dyDescent="0.3">
      <c r="A761" t="s">
        <v>922</v>
      </c>
      <c r="B761" t="s">
        <v>262</v>
      </c>
      <c r="C761" t="s">
        <v>566</v>
      </c>
      <c r="D761" s="1">
        <v>45134</v>
      </c>
      <c r="E761" s="1">
        <v>45224</v>
      </c>
      <c r="F761" t="s">
        <v>31</v>
      </c>
      <c r="G761">
        <v>85442.36</v>
      </c>
      <c r="H761" s="1">
        <v>45238</v>
      </c>
      <c r="I761" t="s">
        <v>555</v>
      </c>
      <c r="J761" t="s">
        <v>556</v>
      </c>
      <c r="L761">
        <v>85442.36</v>
      </c>
      <c r="M761">
        <f>IF(F761="INR",1,INDEX('rates'!$B$2:$C$522,MATCH(D761,'rates'!$A$2:$A$522,1),MATCH(F761&amp;"/INR",'rates'!$B$1:$C$1,0)))</f>
        <v>90.348600000000005</v>
      </c>
      <c r="N761">
        <f t="shared" si="59"/>
        <v>7719597.6066960003</v>
      </c>
      <c r="O761">
        <f t="shared" si="60"/>
        <v>0</v>
      </c>
      <c r="P761">
        <f t="shared" si="61"/>
        <v>0</v>
      </c>
      <c r="Q761">
        <f t="shared" si="63"/>
        <v>14</v>
      </c>
      <c r="R761" t="str">
        <f t="shared" si="62"/>
        <v>Not open</v>
      </c>
    </row>
    <row r="762" spans="1:18" x14ac:dyDescent="0.3">
      <c r="A762" t="s">
        <v>923</v>
      </c>
      <c r="B762" t="s">
        <v>262</v>
      </c>
      <c r="C762" t="s">
        <v>566</v>
      </c>
      <c r="D762" s="1">
        <v>45134</v>
      </c>
      <c r="E762" s="1">
        <v>45224</v>
      </c>
      <c r="F762" t="s">
        <v>31</v>
      </c>
      <c r="G762">
        <v>167039.07</v>
      </c>
      <c r="H762" s="1">
        <v>45252</v>
      </c>
      <c r="I762" t="s">
        <v>555</v>
      </c>
      <c r="J762" t="s">
        <v>573</v>
      </c>
      <c r="K762">
        <v>90.619600000000005</v>
      </c>
      <c r="L762">
        <v>167039.07</v>
      </c>
      <c r="M762">
        <f>IF(F762="INR",1,INDEX('rates'!$B$2:$C$522,MATCH(D762,'rates'!$A$2:$A$522,1),MATCH(F762&amp;"/INR",'rates'!$B$1:$C$1,0)))</f>
        <v>90.348600000000005</v>
      </c>
      <c r="N762">
        <f t="shared" si="59"/>
        <v>15091746.119802002</v>
      </c>
      <c r="O762">
        <f t="shared" si="60"/>
        <v>0</v>
      </c>
      <c r="P762">
        <f t="shared" si="61"/>
        <v>0</v>
      </c>
      <c r="Q762">
        <f t="shared" si="63"/>
        <v>28</v>
      </c>
      <c r="R762" t="str">
        <f t="shared" si="62"/>
        <v>Not open</v>
      </c>
    </row>
    <row r="763" spans="1:18" x14ac:dyDescent="0.3">
      <c r="A763" t="s">
        <v>924</v>
      </c>
      <c r="B763" t="s">
        <v>466</v>
      </c>
      <c r="C763" t="s">
        <v>558</v>
      </c>
      <c r="D763" s="1">
        <v>45134</v>
      </c>
      <c r="E763" s="1">
        <v>45194</v>
      </c>
      <c r="F763" t="s">
        <v>31</v>
      </c>
      <c r="G763">
        <v>93891.35</v>
      </c>
      <c r="H763" s="1">
        <v>45200</v>
      </c>
      <c r="I763" t="s">
        <v>555</v>
      </c>
      <c r="J763" t="s">
        <v>573</v>
      </c>
      <c r="K763">
        <v>90.529300000000006</v>
      </c>
      <c r="L763">
        <v>93891.35</v>
      </c>
      <c r="M763">
        <f>IF(F763="INR",1,INDEX('rates'!$B$2:$C$522,MATCH(D763,'rates'!$A$2:$A$522,1),MATCH(F763&amp;"/INR",'rates'!$B$1:$C$1,0)))</f>
        <v>90.348600000000005</v>
      </c>
      <c r="N763">
        <f t="shared" si="59"/>
        <v>8482952.0246100016</v>
      </c>
      <c r="O763">
        <f t="shared" si="60"/>
        <v>0</v>
      </c>
      <c r="P763">
        <f t="shared" si="61"/>
        <v>0</v>
      </c>
      <c r="Q763">
        <f t="shared" si="63"/>
        <v>6</v>
      </c>
      <c r="R763" t="str">
        <f t="shared" si="62"/>
        <v>Not open</v>
      </c>
    </row>
    <row r="764" spans="1:18" x14ac:dyDescent="0.3">
      <c r="A764" t="s">
        <v>925</v>
      </c>
      <c r="B764" t="s">
        <v>154</v>
      </c>
      <c r="C764" t="s">
        <v>566</v>
      </c>
      <c r="D764" s="1">
        <v>45135</v>
      </c>
      <c r="E764" s="1">
        <v>45165</v>
      </c>
      <c r="F764" t="s">
        <v>13</v>
      </c>
      <c r="G764">
        <v>5727442</v>
      </c>
      <c r="H764" s="1">
        <v>45159</v>
      </c>
      <c r="I764" t="s">
        <v>555</v>
      </c>
      <c r="J764" t="s">
        <v>556</v>
      </c>
      <c r="L764">
        <v>5727442</v>
      </c>
      <c r="M764">
        <f>IF(F764="INR",1,INDEX('rates'!$B$2:$C$522,MATCH(D764,'rates'!$A$2:$A$522,1),MATCH(F764&amp;"/INR",'rates'!$B$1:$C$1,0)))</f>
        <v>1</v>
      </c>
      <c r="N764">
        <f t="shared" si="59"/>
        <v>5727442</v>
      </c>
      <c r="O764">
        <f t="shared" si="60"/>
        <v>0</v>
      </c>
      <c r="P764">
        <f t="shared" si="61"/>
        <v>0</v>
      </c>
      <c r="Q764">
        <f t="shared" si="63"/>
        <v>-6</v>
      </c>
      <c r="R764" t="str">
        <f t="shared" si="62"/>
        <v>Not open</v>
      </c>
    </row>
    <row r="765" spans="1:18" x14ac:dyDescent="0.3">
      <c r="A765" t="s">
        <v>926</v>
      </c>
      <c r="B765" t="s">
        <v>500</v>
      </c>
      <c r="C765" t="s">
        <v>575</v>
      </c>
      <c r="D765" s="1">
        <v>45135</v>
      </c>
      <c r="E765" s="1">
        <v>45165</v>
      </c>
      <c r="F765" t="s">
        <v>13</v>
      </c>
      <c r="G765">
        <v>1148674</v>
      </c>
      <c r="H765" s="1">
        <v>45173</v>
      </c>
      <c r="I765" t="s">
        <v>555</v>
      </c>
      <c r="J765" t="s">
        <v>556</v>
      </c>
      <c r="L765">
        <v>1148674</v>
      </c>
      <c r="M765">
        <f>IF(F765="INR",1,INDEX('rates'!$B$2:$C$522,MATCH(D765,'rates'!$A$2:$A$522,1),MATCH(F765&amp;"/INR",'rates'!$B$1:$C$1,0)))</f>
        <v>1</v>
      </c>
      <c r="N765">
        <f t="shared" si="59"/>
        <v>1148674</v>
      </c>
      <c r="O765">
        <f t="shared" si="60"/>
        <v>0</v>
      </c>
      <c r="P765">
        <f t="shared" si="61"/>
        <v>0</v>
      </c>
      <c r="Q765">
        <f t="shared" si="63"/>
        <v>8</v>
      </c>
      <c r="R765" t="str">
        <f t="shared" si="62"/>
        <v>Not open</v>
      </c>
    </row>
    <row r="766" spans="1:18" x14ac:dyDescent="0.3">
      <c r="A766" t="s">
        <v>927</v>
      </c>
      <c r="B766" t="s">
        <v>512</v>
      </c>
      <c r="C766" t="s">
        <v>566</v>
      </c>
      <c r="D766" s="1">
        <v>45135</v>
      </c>
      <c r="E766" s="1">
        <v>45195</v>
      </c>
      <c r="F766" t="s">
        <v>31</v>
      </c>
      <c r="G766">
        <v>84376.22</v>
      </c>
      <c r="H766" s="1">
        <v>45217</v>
      </c>
      <c r="I766" t="s">
        <v>555</v>
      </c>
      <c r="J766" t="s">
        <v>556</v>
      </c>
      <c r="L766">
        <v>84376.22</v>
      </c>
      <c r="M766">
        <f>IF(F766="INR",1,INDEX('rates'!$B$2:$C$522,MATCH(D766,'rates'!$A$2:$A$522,1),MATCH(F766&amp;"/INR",'rates'!$B$1:$C$1,0)))</f>
        <v>90.762699999999995</v>
      </c>
      <c r="N766">
        <f t="shared" si="59"/>
        <v>7658213.542994</v>
      </c>
      <c r="O766">
        <f t="shared" si="60"/>
        <v>0</v>
      </c>
      <c r="P766">
        <f t="shared" si="61"/>
        <v>0</v>
      </c>
      <c r="Q766">
        <f t="shared" si="63"/>
        <v>22</v>
      </c>
      <c r="R766" t="str">
        <f t="shared" si="62"/>
        <v>Not open</v>
      </c>
    </row>
    <row r="767" spans="1:18" x14ac:dyDescent="0.3">
      <c r="A767" t="s">
        <v>928</v>
      </c>
      <c r="B767" t="s">
        <v>512</v>
      </c>
      <c r="C767" t="s">
        <v>566</v>
      </c>
      <c r="D767" s="1">
        <v>45135</v>
      </c>
      <c r="E767" s="1">
        <v>45195</v>
      </c>
      <c r="F767" t="s">
        <v>31</v>
      </c>
      <c r="G767">
        <v>25624.05</v>
      </c>
      <c r="H767" s="1">
        <v>45215</v>
      </c>
      <c r="I767" t="s">
        <v>555</v>
      </c>
      <c r="J767" t="s">
        <v>556</v>
      </c>
      <c r="L767">
        <v>25624.05</v>
      </c>
      <c r="M767">
        <f>IF(F767="INR",1,INDEX('rates'!$B$2:$C$522,MATCH(D767,'rates'!$A$2:$A$522,1),MATCH(F767&amp;"/INR",'rates'!$B$1:$C$1,0)))</f>
        <v>90.762699999999995</v>
      </c>
      <c r="N767">
        <f t="shared" si="59"/>
        <v>2325707.9629349997</v>
      </c>
      <c r="O767">
        <f t="shared" si="60"/>
        <v>0</v>
      </c>
      <c r="P767">
        <f t="shared" si="61"/>
        <v>0</v>
      </c>
      <c r="Q767">
        <f t="shared" si="63"/>
        <v>20</v>
      </c>
      <c r="R767" t="str">
        <f t="shared" si="62"/>
        <v>Not open</v>
      </c>
    </row>
    <row r="768" spans="1:18" x14ac:dyDescent="0.3">
      <c r="A768" t="s">
        <v>929</v>
      </c>
      <c r="B768" t="s">
        <v>33</v>
      </c>
      <c r="C768" t="s">
        <v>566</v>
      </c>
      <c r="D768" s="1">
        <v>45136</v>
      </c>
      <c r="E768" s="1">
        <v>45166</v>
      </c>
      <c r="F768" t="s">
        <v>36</v>
      </c>
      <c r="G768">
        <v>78273.02</v>
      </c>
      <c r="H768" s="1">
        <v>45190</v>
      </c>
      <c r="I768" t="s">
        <v>555</v>
      </c>
      <c r="J768" t="s">
        <v>573</v>
      </c>
      <c r="K768">
        <v>82.356999999999999</v>
      </c>
      <c r="L768">
        <v>78273.02</v>
      </c>
      <c r="M768">
        <f>IF(F768="INR",1,INDEX('rates'!$B$2:$C$522,MATCH(D768,'rates'!$A$2:$A$522,1),MATCH(F768&amp;"/INR",'rates'!$B$1:$C$1,0)))</f>
        <v>82.22</v>
      </c>
      <c r="N768">
        <f t="shared" si="59"/>
        <v>6435607.7044000002</v>
      </c>
      <c r="O768">
        <f t="shared" si="60"/>
        <v>0</v>
      </c>
      <c r="P768">
        <f t="shared" si="61"/>
        <v>0</v>
      </c>
      <c r="Q768">
        <f t="shared" si="63"/>
        <v>24</v>
      </c>
      <c r="R768" t="str">
        <f t="shared" si="62"/>
        <v>Not open</v>
      </c>
    </row>
    <row r="769" spans="1:18" x14ac:dyDescent="0.3">
      <c r="A769" t="s">
        <v>930</v>
      </c>
      <c r="B769" t="s">
        <v>100</v>
      </c>
      <c r="C769" t="s">
        <v>566</v>
      </c>
      <c r="D769" s="1">
        <v>45136</v>
      </c>
      <c r="E769" s="1">
        <v>45226</v>
      </c>
      <c r="F769" t="s">
        <v>13</v>
      </c>
      <c r="G769">
        <v>5267638</v>
      </c>
      <c r="H769" s="1">
        <v>45223</v>
      </c>
      <c r="I769" t="s">
        <v>555</v>
      </c>
      <c r="J769" t="s">
        <v>556</v>
      </c>
      <c r="L769">
        <v>5267638</v>
      </c>
      <c r="M769">
        <f>IF(F769="INR",1,INDEX('rates'!$B$2:$C$522,MATCH(D769,'rates'!$A$2:$A$522,1),MATCH(F769&amp;"/INR",'rates'!$B$1:$C$1,0)))</f>
        <v>1</v>
      </c>
      <c r="N769">
        <f t="shared" si="59"/>
        <v>5267638</v>
      </c>
      <c r="O769">
        <f t="shared" si="60"/>
        <v>0</v>
      </c>
      <c r="P769">
        <f t="shared" si="61"/>
        <v>0</v>
      </c>
      <c r="Q769">
        <f t="shared" si="63"/>
        <v>-3</v>
      </c>
      <c r="R769" t="str">
        <f t="shared" si="62"/>
        <v>Not open</v>
      </c>
    </row>
    <row r="770" spans="1:18" x14ac:dyDescent="0.3">
      <c r="A770" t="s">
        <v>931</v>
      </c>
      <c r="B770" t="s">
        <v>109</v>
      </c>
      <c r="C770" t="s">
        <v>554</v>
      </c>
      <c r="D770" s="1">
        <v>45136</v>
      </c>
      <c r="E770" s="1">
        <v>45181</v>
      </c>
      <c r="F770" t="s">
        <v>13</v>
      </c>
      <c r="G770">
        <v>2343388</v>
      </c>
      <c r="H770" s="1">
        <v>45195</v>
      </c>
      <c r="I770" t="s">
        <v>555</v>
      </c>
      <c r="J770" t="s">
        <v>556</v>
      </c>
      <c r="L770">
        <v>2343388</v>
      </c>
      <c r="M770">
        <f>IF(F770="INR",1,INDEX('rates'!$B$2:$C$522,MATCH(D770,'rates'!$A$2:$A$522,1),MATCH(F770&amp;"/INR",'rates'!$B$1:$C$1,0)))</f>
        <v>1</v>
      </c>
      <c r="N770">
        <f t="shared" ref="N770:N833" si="64">G770*M770</f>
        <v>2343388</v>
      </c>
      <c r="O770">
        <f t="shared" ref="O770:O833" si="65">IF(OR(I770="OPEN",I770="PARTIALLY PAID"),(G770-L770)*M770,0)</f>
        <v>0</v>
      </c>
      <c r="P770">
        <f t="shared" ref="P770:P833" si="66">IF(O770&gt;0,MAX(0,DATE(2025,3,31)-E770),0)</f>
        <v>0</v>
      </c>
      <c r="Q770">
        <f t="shared" si="63"/>
        <v>14</v>
      </c>
      <c r="R770" t="str">
        <f t="shared" ref="R770:R833" si="67">IF(O770=0,"Not open",IF(P770=0,"Not yet due",IF(P770&lt;=30,"1-30",IF(P770&lt;=60,"31-60",IF(P770&lt;=90,"61-90","90+")))))</f>
        <v>Not open</v>
      </c>
    </row>
    <row r="771" spans="1:18" x14ac:dyDescent="0.3">
      <c r="A771" t="s">
        <v>932</v>
      </c>
      <c r="B771" t="s">
        <v>192</v>
      </c>
      <c r="C771" t="s">
        <v>554</v>
      </c>
      <c r="D771" s="1">
        <v>45136</v>
      </c>
      <c r="E771" s="1">
        <v>45196</v>
      </c>
      <c r="F771" t="s">
        <v>13</v>
      </c>
      <c r="G771">
        <v>7053945</v>
      </c>
      <c r="H771" s="1">
        <v>45256</v>
      </c>
      <c r="I771" t="s">
        <v>555</v>
      </c>
      <c r="J771" t="s">
        <v>556</v>
      </c>
      <c r="L771">
        <v>7053945</v>
      </c>
      <c r="M771">
        <f>IF(F771="INR",1,INDEX('rates'!$B$2:$C$522,MATCH(D771,'rates'!$A$2:$A$522,1),MATCH(F771&amp;"/INR",'rates'!$B$1:$C$1,0)))</f>
        <v>1</v>
      </c>
      <c r="N771">
        <f t="shared" si="64"/>
        <v>7053945</v>
      </c>
      <c r="O771">
        <f t="shared" si="65"/>
        <v>0</v>
      </c>
      <c r="P771">
        <f t="shared" si="66"/>
        <v>0</v>
      </c>
      <c r="Q771">
        <f t="shared" si="63"/>
        <v>60</v>
      </c>
      <c r="R771" t="str">
        <f t="shared" si="67"/>
        <v>Not open</v>
      </c>
    </row>
    <row r="772" spans="1:18" x14ac:dyDescent="0.3">
      <c r="A772" t="s">
        <v>933</v>
      </c>
      <c r="B772" t="s">
        <v>440</v>
      </c>
      <c r="C772" t="s">
        <v>558</v>
      </c>
      <c r="D772" s="1">
        <v>45136</v>
      </c>
      <c r="E772" s="1">
        <v>45196</v>
      </c>
      <c r="F772" t="s">
        <v>31</v>
      </c>
      <c r="G772">
        <v>80211.33</v>
      </c>
      <c r="H772" s="1">
        <v>45210</v>
      </c>
      <c r="I772" t="s">
        <v>555</v>
      </c>
      <c r="J772" t="s">
        <v>556</v>
      </c>
      <c r="L772">
        <v>80211.33</v>
      </c>
      <c r="M772">
        <f>IF(F772="INR",1,INDEX('rates'!$B$2:$C$522,MATCH(D772,'rates'!$A$2:$A$522,1),MATCH(F772&amp;"/INR",'rates'!$B$1:$C$1,0)))</f>
        <v>90.762699999999995</v>
      </c>
      <c r="N772">
        <f t="shared" si="64"/>
        <v>7280196.881391</v>
      </c>
      <c r="O772">
        <f t="shared" si="65"/>
        <v>0</v>
      </c>
      <c r="P772">
        <f t="shared" si="66"/>
        <v>0</v>
      </c>
      <c r="Q772">
        <f t="shared" si="63"/>
        <v>14</v>
      </c>
      <c r="R772" t="str">
        <f t="shared" si="67"/>
        <v>Not open</v>
      </c>
    </row>
    <row r="773" spans="1:18" x14ac:dyDescent="0.3">
      <c r="A773" t="s">
        <v>934</v>
      </c>
      <c r="B773" t="s">
        <v>126</v>
      </c>
      <c r="C773" t="s">
        <v>558</v>
      </c>
      <c r="D773" s="1">
        <v>45138</v>
      </c>
      <c r="E773" s="1">
        <v>45183</v>
      </c>
      <c r="F773" t="s">
        <v>13</v>
      </c>
      <c r="G773">
        <v>18654712</v>
      </c>
      <c r="H773" s="1">
        <v>45186</v>
      </c>
      <c r="I773" t="s">
        <v>555</v>
      </c>
      <c r="J773" t="s">
        <v>556</v>
      </c>
      <c r="L773">
        <v>18654712</v>
      </c>
      <c r="M773">
        <f>IF(F773="INR",1,INDEX('rates'!$B$2:$C$522,MATCH(D773,'rates'!$A$2:$A$522,1),MATCH(F773&amp;"/INR",'rates'!$B$1:$C$1,0)))</f>
        <v>1</v>
      </c>
      <c r="N773">
        <f t="shared" si="64"/>
        <v>18654712</v>
      </c>
      <c r="O773">
        <f t="shared" si="65"/>
        <v>0</v>
      </c>
      <c r="P773">
        <f t="shared" si="66"/>
        <v>0</v>
      </c>
      <c r="Q773">
        <f t="shared" si="63"/>
        <v>3</v>
      </c>
      <c r="R773" t="str">
        <f t="shared" si="67"/>
        <v>Not open</v>
      </c>
    </row>
    <row r="774" spans="1:18" x14ac:dyDescent="0.3">
      <c r="A774" t="s">
        <v>935</v>
      </c>
      <c r="B774" t="s">
        <v>83</v>
      </c>
      <c r="C774" t="s">
        <v>558</v>
      </c>
      <c r="D774" s="1">
        <v>45140</v>
      </c>
      <c r="E774" s="1">
        <v>45185</v>
      </c>
      <c r="F774" t="s">
        <v>13</v>
      </c>
      <c r="G774">
        <v>14640414</v>
      </c>
      <c r="H774" s="1">
        <v>45217</v>
      </c>
      <c r="I774" t="s">
        <v>555</v>
      </c>
      <c r="J774" t="s">
        <v>556</v>
      </c>
      <c r="L774">
        <v>14640414</v>
      </c>
      <c r="M774">
        <f>IF(F774="INR",1,INDEX('rates'!$B$2:$C$522,MATCH(D774,'rates'!$A$2:$A$522,1),MATCH(F774&amp;"/INR",'rates'!$B$1:$C$1,0)))</f>
        <v>1</v>
      </c>
      <c r="N774">
        <f t="shared" si="64"/>
        <v>14640414</v>
      </c>
      <c r="O774">
        <f t="shared" si="65"/>
        <v>0</v>
      </c>
      <c r="P774">
        <f t="shared" si="66"/>
        <v>0</v>
      </c>
      <c r="Q774">
        <f t="shared" si="63"/>
        <v>32</v>
      </c>
      <c r="R774" t="str">
        <f t="shared" si="67"/>
        <v>Not open</v>
      </c>
    </row>
    <row r="775" spans="1:18" x14ac:dyDescent="0.3">
      <c r="A775" t="s">
        <v>936</v>
      </c>
      <c r="B775" t="s">
        <v>134</v>
      </c>
      <c r="C775" t="s">
        <v>575</v>
      </c>
      <c r="D775" s="1">
        <v>45140</v>
      </c>
      <c r="E775" s="1">
        <v>45230</v>
      </c>
      <c r="F775" t="s">
        <v>36</v>
      </c>
      <c r="G775">
        <v>162426.44</v>
      </c>
      <c r="H775" s="1">
        <v>45239</v>
      </c>
      <c r="I775" t="s">
        <v>555</v>
      </c>
      <c r="J775" t="s">
        <v>556</v>
      </c>
      <c r="L775">
        <v>162426.44</v>
      </c>
      <c r="M775">
        <f>IF(F775="INR",1,INDEX('rates'!$B$2:$C$522,MATCH(D775,'rates'!$A$2:$A$522,1),MATCH(F775&amp;"/INR",'rates'!$B$1:$C$1,0)))</f>
        <v>82.58</v>
      </c>
      <c r="N775">
        <f t="shared" si="64"/>
        <v>13413175.415200001</v>
      </c>
      <c r="O775">
        <f t="shared" si="65"/>
        <v>0</v>
      </c>
      <c r="P775">
        <f t="shared" si="66"/>
        <v>0</v>
      </c>
      <c r="Q775">
        <f t="shared" si="63"/>
        <v>9</v>
      </c>
      <c r="R775" t="str">
        <f t="shared" si="67"/>
        <v>Not open</v>
      </c>
    </row>
    <row r="776" spans="1:18" x14ac:dyDescent="0.3">
      <c r="A776" t="s">
        <v>937</v>
      </c>
      <c r="B776" t="s">
        <v>314</v>
      </c>
      <c r="C776" t="s">
        <v>558</v>
      </c>
      <c r="D776" s="1">
        <v>45140</v>
      </c>
      <c r="E776" s="1">
        <v>45200</v>
      </c>
      <c r="F776" t="s">
        <v>36</v>
      </c>
      <c r="G776">
        <v>11334.6</v>
      </c>
      <c r="H776" s="1">
        <v>45243</v>
      </c>
      <c r="I776" t="s">
        <v>555</v>
      </c>
      <c r="J776" t="s">
        <v>556</v>
      </c>
      <c r="L776">
        <v>11334.6</v>
      </c>
      <c r="M776">
        <f>IF(F776="INR",1,INDEX('rates'!$B$2:$C$522,MATCH(D776,'rates'!$A$2:$A$522,1),MATCH(F776&amp;"/INR",'rates'!$B$1:$C$1,0)))</f>
        <v>82.58</v>
      </c>
      <c r="N776">
        <f t="shared" si="64"/>
        <v>936011.26800000004</v>
      </c>
      <c r="O776">
        <f t="shared" si="65"/>
        <v>0</v>
      </c>
      <c r="P776">
        <f t="shared" si="66"/>
        <v>0</v>
      </c>
      <c r="Q776">
        <f t="shared" si="63"/>
        <v>43</v>
      </c>
      <c r="R776" t="str">
        <f t="shared" si="67"/>
        <v>Not open</v>
      </c>
    </row>
    <row r="777" spans="1:18" x14ac:dyDescent="0.3">
      <c r="A777" t="s">
        <v>938</v>
      </c>
      <c r="B777" t="s">
        <v>508</v>
      </c>
      <c r="C777" t="s">
        <v>554</v>
      </c>
      <c r="D777" s="1">
        <v>45140</v>
      </c>
      <c r="E777" s="1">
        <v>45200</v>
      </c>
      <c r="F777" t="s">
        <v>13</v>
      </c>
      <c r="G777">
        <v>9719307</v>
      </c>
      <c r="H777" s="1">
        <v>45207</v>
      </c>
      <c r="I777" t="s">
        <v>555</v>
      </c>
      <c r="J777" t="s">
        <v>556</v>
      </c>
      <c r="L777">
        <v>9719307</v>
      </c>
      <c r="M777">
        <f>IF(F777="INR",1,INDEX('rates'!$B$2:$C$522,MATCH(D777,'rates'!$A$2:$A$522,1),MATCH(F777&amp;"/INR",'rates'!$B$1:$C$1,0)))</f>
        <v>1</v>
      </c>
      <c r="N777">
        <f t="shared" si="64"/>
        <v>9719307</v>
      </c>
      <c r="O777">
        <f t="shared" si="65"/>
        <v>0</v>
      </c>
      <c r="P777">
        <f t="shared" si="66"/>
        <v>0</v>
      </c>
      <c r="Q777">
        <f t="shared" si="63"/>
        <v>7</v>
      </c>
      <c r="R777" t="str">
        <f t="shared" si="67"/>
        <v>Not open</v>
      </c>
    </row>
    <row r="778" spans="1:18" x14ac:dyDescent="0.3">
      <c r="A778" t="s">
        <v>939</v>
      </c>
      <c r="B778" t="s">
        <v>512</v>
      </c>
      <c r="C778" t="s">
        <v>558</v>
      </c>
      <c r="D778" s="1">
        <v>45140</v>
      </c>
      <c r="E778" s="1">
        <v>45200</v>
      </c>
      <c r="F778" t="s">
        <v>31</v>
      </c>
      <c r="G778">
        <v>174140.33</v>
      </c>
      <c r="H778" s="1">
        <v>45220</v>
      </c>
      <c r="I778" t="s">
        <v>555</v>
      </c>
      <c r="J778" t="s">
        <v>556</v>
      </c>
      <c r="L778">
        <v>174140.33</v>
      </c>
      <c r="M778">
        <f>IF(F778="INR",1,INDEX('rates'!$B$2:$C$522,MATCH(D778,'rates'!$A$2:$A$522,1),MATCH(F778&amp;"/INR",'rates'!$B$1:$C$1,0)))</f>
        <v>90.334299999999999</v>
      </c>
      <c r="N778">
        <f t="shared" si="64"/>
        <v>15730844.812318999</v>
      </c>
      <c r="O778">
        <f t="shared" si="65"/>
        <v>0</v>
      </c>
      <c r="P778">
        <f t="shared" si="66"/>
        <v>0</v>
      </c>
      <c r="Q778">
        <f t="shared" si="63"/>
        <v>20</v>
      </c>
      <c r="R778" t="str">
        <f t="shared" si="67"/>
        <v>Not open</v>
      </c>
    </row>
    <row r="779" spans="1:18" x14ac:dyDescent="0.3">
      <c r="A779" t="s">
        <v>941</v>
      </c>
      <c r="B779" t="s">
        <v>496</v>
      </c>
      <c r="C779" t="s">
        <v>566</v>
      </c>
      <c r="D779" s="1">
        <v>45141</v>
      </c>
      <c r="E779" s="1">
        <v>45186</v>
      </c>
      <c r="F779" t="s">
        <v>13</v>
      </c>
      <c r="G779">
        <v>8508020</v>
      </c>
      <c r="H779" s="1">
        <v>45191</v>
      </c>
      <c r="I779" t="s">
        <v>555</v>
      </c>
      <c r="J779" t="s">
        <v>556</v>
      </c>
      <c r="L779">
        <v>8508020</v>
      </c>
      <c r="M779">
        <f>IF(F779="INR",1,INDEX('rates'!$B$2:$C$522,MATCH(D779,'rates'!$A$2:$A$522,1),MATCH(F779&amp;"/INR",'rates'!$B$1:$C$1,0)))</f>
        <v>1</v>
      </c>
      <c r="N779">
        <f t="shared" si="64"/>
        <v>8508020</v>
      </c>
      <c r="O779">
        <f t="shared" si="65"/>
        <v>0</v>
      </c>
      <c r="P779">
        <f t="shared" si="66"/>
        <v>0</v>
      </c>
      <c r="Q779">
        <f t="shared" si="63"/>
        <v>5</v>
      </c>
      <c r="R779" t="str">
        <f t="shared" si="67"/>
        <v>Not open</v>
      </c>
    </row>
    <row r="780" spans="1:18" x14ac:dyDescent="0.3">
      <c r="A780" t="s">
        <v>942</v>
      </c>
      <c r="B780" t="s">
        <v>528</v>
      </c>
      <c r="C780" t="s">
        <v>566</v>
      </c>
      <c r="D780" s="1">
        <v>45142</v>
      </c>
      <c r="E780" s="1">
        <v>45202</v>
      </c>
      <c r="F780" t="s">
        <v>13</v>
      </c>
      <c r="G780">
        <v>29598074</v>
      </c>
      <c r="H780" s="1">
        <v>45223</v>
      </c>
      <c r="I780" t="s">
        <v>555</v>
      </c>
      <c r="J780" t="s">
        <v>556</v>
      </c>
      <c r="L780">
        <v>29598074</v>
      </c>
      <c r="M780">
        <f>IF(F780="INR",1,INDEX('rates'!$B$2:$C$522,MATCH(D780,'rates'!$A$2:$A$522,1),MATCH(F780&amp;"/INR",'rates'!$B$1:$C$1,0)))</f>
        <v>1</v>
      </c>
      <c r="N780">
        <f t="shared" si="64"/>
        <v>29598074</v>
      </c>
      <c r="O780">
        <f t="shared" si="65"/>
        <v>0</v>
      </c>
      <c r="P780">
        <f t="shared" si="66"/>
        <v>0</v>
      </c>
      <c r="Q780">
        <f t="shared" si="63"/>
        <v>21</v>
      </c>
      <c r="R780" t="str">
        <f t="shared" si="67"/>
        <v>Not open</v>
      </c>
    </row>
    <row r="781" spans="1:18" x14ac:dyDescent="0.3">
      <c r="A781" t="s">
        <v>943</v>
      </c>
      <c r="B781" t="s">
        <v>85</v>
      </c>
      <c r="C781" t="s">
        <v>566</v>
      </c>
      <c r="D781" s="1">
        <v>45143</v>
      </c>
      <c r="E781" s="1">
        <v>45173</v>
      </c>
      <c r="F781" t="s">
        <v>13</v>
      </c>
      <c r="G781">
        <v>1409718</v>
      </c>
      <c r="H781" s="1">
        <v>45170</v>
      </c>
      <c r="I781" t="s">
        <v>555</v>
      </c>
      <c r="J781" t="s">
        <v>556</v>
      </c>
      <c r="L781">
        <v>1409718</v>
      </c>
      <c r="M781">
        <f>IF(F781="INR",1,INDEX('rates'!$B$2:$C$522,MATCH(D781,'rates'!$A$2:$A$522,1),MATCH(F781&amp;"/INR",'rates'!$B$1:$C$1,0)))</f>
        <v>1</v>
      </c>
      <c r="N781">
        <f t="shared" si="64"/>
        <v>1409718</v>
      </c>
      <c r="O781">
        <f t="shared" si="65"/>
        <v>0</v>
      </c>
      <c r="P781">
        <f t="shared" si="66"/>
        <v>0</v>
      </c>
      <c r="Q781">
        <f t="shared" si="63"/>
        <v>-3</v>
      </c>
      <c r="R781" t="str">
        <f t="shared" si="67"/>
        <v>Not open</v>
      </c>
    </row>
    <row r="782" spans="1:18" x14ac:dyDescent="0.3">
      <c r="A782" t="s">
        <v>944</v>
      </c>
      <c r="B782" t="s">
        <v>140</v>
      </c>
      <c r="C782" t="s">
        <v>554</v>
      </c>
      <c r="D782" s="1">
        <v>45143</v>
      </c>
      <c r="E782" s="1">
        <v>45203</v>
      </c>
      <c r="F782" t="s">
        <v>13</v>
      </c>
      <c r="G782">
        <v>11770074</v>
      </c>
      <c r="H782" s="1">
        <v>45205</v>
      </c>
      <c r="I782" t="s">
        <v>555</v>
      </c>
      <c r="J782" t="s">
        <v>556</v>
      </c>
      <c r="L782">
        <v>11770074</v>
      </c>
      <c r="M782">
        <f>IF(F782="INR",1,INDEX('rates'!$B$2:$C$522,MATCH(D782,'rates'!$A$2:$A$522,1),MATCH(F782&amp;"/INR",'rates'!$B$1:$C$1,0)))</f>
        <v>1</v>
      </c>
      <c r="N782">
        <f t="shared" si="64"/>
        <v>11770074</v>
      </c>
      <c r="O782">
        <f t="shared" si="65"/>
        <v>0</v>
      </c>
      <c r="P782">
        <f t="shared" si="66"/>
        <v>0</v>
      </c>
      <c r="Q782">
        <f t="shared" si="63"/>
        <v>2</v>
      </c>
      <c r="R782" t="str">
        <f t="shared" si="67"/>
        <v>Not open</v>
      </c>
    </row>
    <row r="783" spans="1:18" x14ac:dyDescent="0.3">
      <c r="A783" t="s">
        <v>945</v>
      </c>
      <c r="B783" t="s">
        <v>154</v>
      </c>
      <c r="C783" t="s">
        <v>566</v>
      </c>
      <c r="D783" s="1">
        <v>45143</v>
      </c>
      <c r="E783" s="1">
        <v>45173</v>
      </c>
      <c r="F783" t="s">
        <v>13</v>
      </c>
      <c r="G783">
        <v>6083661</v>
      </c>
      <c r="H783" s="1">
        <v>45172</v>
      </c>
      <c r="I783" t="s">
        <v>555</v>
      </c>
      <c r="J783" t="s">
        <v>556</v>
      </c>
      <c r="L783">
        <v>6083661</v>
      </c>
      <c r="M783">
        <f>IF(F783="INR",1,INDEX('rates'!$B$2:$C$522,MATCH(D783,'rates'!$A$2:$A$522,1),MATCH(F783&amp;"/INR",'rates'!$B$1:$C$1,0)))</f>
        <v>1</v>
      </c>
      <c r="N783">
        <f t="shared" si="64"/>
        <v>6083661</v>
      </c>
      <c r="O783">
        <f t="shared" si="65"/>
        <v>0</v>
      </c>
      <c r="P783">
        <f t="shared" si="66"/>
        <v>0</v>
      </c>
      <c r="Q783">
        <f t="shared" si="63"/>
        <v>-1</v>
      </c>
      <c r="R783" t="str">
        <f t="shared" si="67"/>
        <v>Not open</v>
      </c>
    </row>
    <row r="784" spans="1:18" x14ac:dyDescent="0.3">
      <c r="A784" t="s">
        <v>946</v>
      </c>
      <c r="B784" t="s">
        <v>258</v>
      </c>
      <c r="C784" t="s">
        <v>558</v>
      </c>
      <c r="D784" s="1">
        <v>45143</v>
      </c>
      <c r="E784" s="1">
        <v>45188</v>
      </c>
      <c r="F784" t="s">
        <v>13</v>
      </c>
      <c r="G784">
        <v>1721320</v>
      </c>
      <c r="H784" s="1">
        <v>45211</v>
      </c>
      <c r="I784" t="s">
        <v>555</v>
      </c>
      <c r="J784" t="s">
        <v>556</v>
      </c>
      <c r="L784">
        <v>1721320</v>
      </c>
      <c r="M784">
        <f>IF(F784="INR",1,INDEX('rates'!$B$2:$C$522,MATCH(D784,'rates'!$A$2:$A$522,1),MATCH(F784&amp;"/INR",'rates'!$B$1:$C$1,0)))</f>
        <v>1</v>
      </c>
      <c r="N784">
        <f t="shared" si="64"/>
        <v>1721320</v>
      </c>
      <c r="O784">
        <f t="shared" si="65"/>
        <v>0</v>
      </c>
      <c r="P784">
        <f t="shared" si="66"/>
        <v>0</v>
      </c>
      <c r="Q784">
        <f t="shared" si="63"/>
        <v>23</v>
      </c>
      <c r="R784" t="str">
        <f t="shared" si="67"/>
        <v>Not open</v>
      </c>
    </row>
    <row r="785" spans="1:18" x14ac:dyDescent="0.3">
      <c r="A785" t="s">
        <v>947</v>
      </c>
      <c r="B785" t="s">
        <v>286</v>
      </c>
      <c r="C785" t="s">
        <v>558</v>
      </c>
      <c r="D785" s="1">
        <v>45143</v>
      </c>
      <c r="E785" s="1">
        <v>45203</v>
      </c>
      <c r="F785" t="s">
        <v>36</v>
      </c>
      <c r="G785">
        <v>204289.13</v>
      </c>
      <c r="H785" s="1">
        <v>45239</v>
      </c>
      <c r="I785" t="s">
        <v>555</v>
      </c>
      <c r="J785" t="s">
        <v>556</v>
      </c>
      <c r="L785">
        <v>204289.13</v>
      </c>
      <c r="M785">
        <f>IF(F785="INR",1,INDEX('rates'!$B$2:$C$522,MATCH(D785,'rates'!$A$2:$A$522,1),MATCH(F785&amp;"/INR",'rates'!$B$1:$C$1,0)))</f>
        <v>82.83</v>
      </c>
      <c r="N785">
        <f t="shared" si="64"/>
        <v>16921268.637899999</v>
      </c>
      <c r="O785">
        <f t="shared" si="65"/>
        <v>0</v>
      </c>
      <c r="P785">
        <f t="shared" si="66"/>
        <v>0</v>
      </c>
      <c r="Q785">
        <f t="shared" si="63"/>
        <v>36</v>
      </c>
      <c r="R785" t="str">
        <f t="shared" si="67"/>
        <v>Not open</v>
      </c>
    </row>
    <row r="786" spans="1:18" x14ac:dyDescent="0.3">
      <c r="A786" t="s">
        <v>948</v>
      </c>
      <c r="B786" t="s">
        <v>442</v>
      </c>
      <c r="C786" t="s">
        <v>575</v>
      </c>
      <c r="D786" s="1">
        <v>45143</v>
      </c>
      <c r="E786" s="1">
        <v>45203</v>
      </c>
      <c r="F786" t="s">
        <v>13</v>
      </c>
      <c r="G786">
        <v>8376952</v>
      </c>
      <c r="H786" s="1">
        <v>45224</v>
      </c>
      <c r="I786" t="s">
        <v>555</v>
      </c>
      <c r="J786" t="s">
        <v>556</v>
      </c>
      <c r="L786">
        <v>8376952</v>
      </c>
      <c r="M786">
        <f>IF(F786="INR",1,INDEX('rates'!$B$2:$C$522,MATCH(D786,'rates'!$A$2:$A$522,1),MATCH(F786&amp;"/INR",'rates'!$B$1:$C$1,0)))</f>
        <v>1</v>
      </c>
      <c r="N786">
        <f t="shared" si="64"/>
        <v>8376952</v>
      </c>
      <c r="O786">
        <f t="shared" si="65"/>
        <v>0</v>
      </c>
      <c r="P786">
        <f t="shared" si="66"/>
        <v>0</v>
      </c>
      <c r="Q786">
        <f t="shared" si="63"/>
        <v>21</v>
      </c>
      <c r="R786" t="str">
        <f t="shared" si="67"/>
        <v>Not open</v>
      </c>
    </row>
    <row r="787" spans="1:18" x14ac:dyDescent="0.3">
      <c r="A787" t="s">
        <v>949</v>
      </c>
      <c r="B787" t="s">
        <v>444</v>
      </c>
      <c r="C787" t="s">
        <v>566</v>
      </c>
      <c r="D787" s="1">
        <v>45143</v>
      </c>
      <c r="E787" s="1">
        <v>45188</v>
      </c>
      <c r="F787" t="s">
        <v>36</v>
      </c>
      <c r="G787">
        <v>64422.080000000002</v>
      </c>
      <c r="H787" s="1">
        <v>45188</v>
      </c>
      <c r="I787" t="s">
        <v>555</v>
      </c>
      <c r="J787" t="s">
        <v>573</v>
      </c>
      <c r="K787">
        <v>83.037099999999995</v>
      </c>
      <c r="L787">
        <v>64422.080000000002</v>
      </c>
      <c r="M787">
        <f>IF(F787="INR",1,INDEX('rates'!$B$2:$C$522,MATCH(D787,'rates'!$A$2:$A$522,1),MATCH(F787&amp;"/INR",'rates'!$B$1:$C$1,0)))</f>
        <v>82.83</v>
      </c>
      <c r="N787">
        <f t="shared" si="64"/>
        <v>5336080.8864000002</v>
      </c>
      <c r="O787">
        <f t="shared" si="65"/>
        <v>0</v>
      </c>
      <c r="P787">
        <f t="shared" si="66"/>
        <v>0</v>
      </c>
      <c r="Q787">
        <f t="shared" si="63"/>
        <v>0</v>
      </c>
      <c r="R787" t="str">
        <f t="shared" si="67"/>
        <v>Not open</v>
      </c>
    </row>
    <row r="788" spans="1:18" x14ac:dyDescent="0.3">
      <c r="A788" t="s">
        <v>950</v>
      </c>
      <c r="B788" t="s">
        <v>508</v>
      </c>
      <c r="C788" t="s">
        <v>554</v>
      </c>
      <c r="D788" s="1">
        <v>45143</v>
      </c>
      <c r="E788" s="1">
        <v>45203</v>
      </c>
      <c r="F788" t="s">
        <v>13</v>
      </c>
      <c r="G788">
        <v>4387366</v>
      </c>
      <c r="H788" s="1">
        <v>45207</v>
      </c>
      <c r="I788" t="s">
        <v>555</v>
      </c>
      <c r="J788" t="s">
        <v>556</v>
      </c>
      <c r="L788">
        <v>4387366</v>
      </c>
      <c r="M788">
        <f>IF(F788="INR",1,INDEX('rates'!$B$2:$C$522,MATCH(D788,'rates'!$A$2:$A$522,1),MATCH(F788&amp;"/INR",'rates'!$B$1:$C$1,0)))</f>
        <v>1</v>
      </c>
      <c r="N788">
        <f t="shared" si="64"/>
        <v>4387366</v>
      </c>
      <c r="O788">
        <f t="shared" si="65"/>
        <v>0</v>
      </c>
      <c r="P788">
        <f t="shared" si="66"/>
        <v>0</v>
      </c>
      <c r="Q788">
        <f t="shared" si="63"/>
        <v>4</v>
      </c>
      <c r="R788" t="str">
        <f t="shared" si="67"/>
        <v>Not open</v>
      </c>
    </row>
    <row r="789" spans="1:18" x14ac:dyDescent="0.3">
      <c r="A789" t="s">
        <v>951</v>
      </c>
      <c r="B789" t="s">
        <v>512</v>
      </c>
      <c r="C789" t="s">
        <v>566</v>
      </c>
      <c r="D789" s="1">
        <v>45143</v>
      </c>
      <c r="E789" s="1">
        <v>45203</v>
      </c>
      <c r="F789" t="s">
        <v>31</v>
      </c>
      <c r="G789">
        <v>38367.35</v>
      </c>
      <c r="H789" s="1"/>
      <c r="I789" t="s">
        <v>717</v>
      </c>
      <c r="J789" t="s">
        <v>573</v>
      </c>
      <c r="K789">
        <v>91.593999999999994</v>
      </c>
      <c r="L789">
        <v>0</v>
      </c>
      <c r="M789">
        <f>IF(F789="INR",1,INDEX('rates'!$B$2:$C$522,MATCH(D789,'rates'!$A$2:$A$522,1),MATCH(F789&amp;"/INR",'rates'!$B$1:$C$1,0)))</f>
        <v>91.411199999999994</v>
      </c>
      <c r="N789">
        <f t="shared" si="64"/>
        <v>3507205.5043199998</v>
      </c>
      <c r="O789">
        <f t="shared" si="65"/>
        <v>0</v>
      </c>
      <c r="P789">
        <f t="shared" si="66"/>
        <v>0</v>
      </c>
      <c r="Q789" t="str">
        <f t="shared" si="63"/>
        <v/>
      </c>
      <c r="R789" t="str">
        <f t="shared" si="67"/>
        <v>Not open</v>
      </c>
    </row>
    <row r="790" spans="1:18" x14ac:dyDescent="0.3">
      <c r="A790" t="s">
        <v>952</v>
      </c>
      <c r="B790" t="s">
        <v>160</v>
      </c>
      <c r="C790" t="s">
        <v>554</v>
      </c>
      <c r="D790" s="1">
        <v>45145</v>
      </c>
      <c r="E790" s="1">
        <v>45190</v>
      </c>
      <c r="F790" t="s">
        <v>13</v>
      </c>
      <c r="G790">
        <v>3994269</v>
      </c>
      <c r="H790" s="1">
        <v>45194</v>
      </c>
      <c r="I790" t="s">
        <v>555</v>
      </c>
      <c r="J790" t="s">
        <v>556</v>
      </c>
      <c r="L790">
        <v>3994269</v>
      </c>
      <c r="M790">
        <f>IF(F790="INR",1,INDEX('rates'!$B$2:$C$522,MATCH(D790,'rates'!$A$2:$A$522,1),MATCH(F790&amp;"/INR",'rates'!$B$1:$C$1,0)))</f>
        <v>1</v>
      </c>
      <c r="N790">
        <f t="shared" si="64"/>
        <v>3994269</v>
      </c>
      <c r="O790">
        <f t="shared" si="65"/>
        <v>0</v>
      </c>
      <c r="P790">
        <f t="shared" si="66"/>
        <v>0</v>
      </c>
      <c r="Q790">
        <f t="shared" si="63"/>
        <v>4</v>
      </c>
      <c r="R790" t="str">
        <f t="shared" si="67"/>
        <v>Not open</v>
      </c>
    </row>
    <row r="791" spans="1:18" x14ac:dyDescent="0.3">
      <c r="A791" t="s">
        <v>953</v>
      </c>
      <c r="B791" t="s">
        <v>436</v>
      </c>
      <c r="C791" t="s">
        <v>566</v>
      </c>
      <c r="D791" s="1">
        <v>45145</v>
      </c>
      <c r="E791" s="1">
        <v>45190</v>
      </c>
      <c r="F791" t="s">
        <v>36</v>
      </c>
      <c r="G791">
        <v>103684.89</v>
      </c>
      <c r="H791" s="1">
        <v>45215</v>
      </c>
      <c r="I791" t="s">
        <v>555</v>
      </c>
      <c r="J791" t="s">
        <v>573</v>
      </c>
      <c r="K791">
        <v>82.956900000000005</v>
      </c>
      <c r="L791">
        <v>103684.89</v>
      </c>
      <c r="M791">
        <f>IF(F791="INR",1,INDEX('rates'!$B$2:$C$522,MATCH(D791,'rates'!$A$2:$A$522,1),MATCH(F791&amp;"/INR",'rates'!$B$1:$C$1,0)))</f>
        <v>82.75</v>
      </c>
      <c r="N791">
        <f t="shared" si="64"/>
        <v>8579924.647499999</v>
      </c>
      <c r="O791">
        <f t="shared" si="65"/>
        <v>0</v>
      </c>
      <c r="P791">
        <f t="shared" si="66"/>
        <v>0</v>
      </c>
      <c r="Q791">
        <f t="shared" si="63"/>
        <v>25</v>
      </c>
      <c r="R791" t="str">
        <f t="shared" si="67"/>
        <v>Not open</v>
      </c>
    </row>
    <row r="792" spans="1:18" x14ac:dyDescent="0.3">
      <c r="A792" t="s">
        <v>954</v>
      </c>
      <c r="B792" t="s">
        <v>46</v>
      </c>
      <c r="C792" t="s">
        <v>558</v>
      </c>
      <c r="D792" s="1">
        <v>45146</v>
      </c>
      <c r="E792" s="1">
        <v>45206</v>
      </c>
      <c r="F792" t="s">
        <v>36</v>
      </c>
      <c r="G792">
        <v>139438</v>
      </c>
      <c r="H792" s="1">
        <v>45223</v>
      </c>
      <c r="I792" t="s">
        <v>555</v>
      </c>
      <c r="J792" t="s">
        <v>573</v>
      </c>
      <c r="K792">
        <v>83.126199999999997</v>
      </c>
      <c r="L792">
        <v>139438</v>
      </c>
      <c r="M792">
        <f>IF(F792="INR",1,INDEX('rates'!$B$2:$C$522,MATCH(D792,'rates'!$A$2:$A$522,1),MATCH(F792&amp;"/INR",'rates'!$B$1:$C$1,0)))</f>
        <v>82.85</v>
      </c>
      <c r="N792">
        <f t="shared" si="64"/>
        <v>11552438.299999999</v>
      </c>
      <c r="O792">
        <f t="shared" si="65"/>
        <v>0</v>
      </c>
      <c r="P792">
        <f t="shared" si="66"/>
        <v>0</v>
      </c>
      <c r="Q792">
        <f t="shared" si="63"/>
        <v>17</v>
      </c>
      <c r="R792" t="str">
        <f t="shared" si="67"/>
        <v>Not open</v>
      </c>
    </row>
    <row r="793" spans="1:18" x14ac:dyDescent="0.3">
      <c r="A793" t="s">
        <v>955</v>
      </c>
      <c r="B793" t="s">
        <v>144</v>
      </c>
      <c r="C793" t="s">
        <v>554</v>
      </c>
      <c r="D793" s="1">
        <v>45146</v>
      </c>
      <c r="E793" s="1">
        <v>45176</v>
      </c>
      <c r="F793" t="s">
        <v>13</v>
      </c>
      <c r="G793">
        <v>6302932</v>
      </c>
      <c r="H793" s="1">
        <v>45193</v>
      </c>
      <c r="I793" t="s">
        <v>555</v>
      </c>
      <c r="J793" t="s">
        <v>556</v>
      </c>
      <c r="L793">
        <v>6302932</v>
      </c>
      <c r="M793">
        <f>IF(F793="INR",1,INDEX('rates'!$B$2:$C$522,MATCH(D793,'rates'!$A$2:$A$522,1),MATCH(F793&amp;"/INR",'rates'!$B$1:$C$1,0)))</f>
        <v>1</v>
      </c>
      <c r="N793">
        <f t="shared" si="64"/>
        <v>6302932</v>
      </c>
      <c r="O793">
        <f t="shared" si="65"/>
        <v>0</v>
      </c>
      <c r="P793">
        <f t="shared" si="66"/>
        <v>0</v>
      </c>
      <c r="Q793">
        <f t="shared" si="63"/>
        <v>17</v>
      </c>
      <c r="R793" t="str">
        <f t="shared" si="67"/>
        <v>Not open</v>
      </c>
    </row>
    <row r="794" spans="1:18" x14ac:dyDescent="0.3">
      <c r="A794" t="s">
        <v>956</v>
      </c>
      <c r="B794" t="s">
        <v>492</v>
      </c>
      <c r="C794" t="s">
        <v>566</v>
      </c>
      <c r="D794" s="1">
        <v>45146</v>
      </c>
      <c r="E794" s="1">
        <v>45191</v>
      </c>
      <c r="F794" t="s">
        <v>13</v>
      </c>
      <c r="G794">
        <v>3093260</v>
      </c>
      <c r="H794" s="1">
        <v>45198</v>
      </c>
      <c r="I794" t="s">
        <v>555</v>
      </c>
      <c r="J794" t="s">
        <v>556</v>
      </c>
      <c r="L794">
        <v>3093260</v>
      </c>
      <c r="M794">
        <f>IF(F794="INR",1,INDEX('rates'!$B$2:$C$522,MATCH(D794,'rates'!$A$2:$A$522,1),MATCH(F794&amp;"/INR",'rates'!$B$1:$C$1,0)))</f>
        <v>1</v>
      </c>
      <c r="N794">
        <f t="shared" si="64"/>
        <v>3093260</v>
      </c>
      <c r="O794">
        <f t="shared" si="65"/>
        <v>0</v>
      </c>
      <c r="P794">
        <f t="shared" si="66"/>
        <v>0</v>
      </c>
      <c r="Q794">
        <f t="shared" si="63"/>
        <v>7</v>
      </c>
      <c r="R794" t="str">
        <f t="shared" si="67"/>
        <v>Not open</v>
      </c>
    </row>
    <row r="795" spans="1:18" x14ac:dyDescent="0.3">
      <c r="A795" t="s">
        <v>957</v>
      </c>
      <c r="B795" t="s">
        <v>528</v>
      </c>
      <c r="C795" t="s">
        <v>566</v>
      </c>
      <c r="D795" s="1">
        <v>45146</v>
      </c>
      <c r="E795" s="1">
        <v>45206</v>
      </c>
      <c r="F795" t="s">
        <v>13</v>
      </c>
      <c r="G795">
        <v>5605635</v>
      </c>
      <c r="H795" s="1">
        <v>45227</v>
      </c>
      <c r="I795" t="s">
        <v>555</v>
      </c>
      <c r="J795" t="s">
        <v>556</v>
      </c>
      <c r="L795">
        <v>5605635</v>
      </c>
      <c r="M795">
        <f>IF(F795="INR",1,INDEX('rates'!$B$2:$C$522,MATCH(D795,'rates'!$A$2:$A$522,1),MATCH(F795&amp;"/INR",'rates'!$B$1:$C$1,0)))</f>
        <v>1</v>
      </c>
      <c r="N795">
        <f t="shared" si="64"/>
        <v>5605635</v>
      </c>
      <c r="O795">
        <f t="shared" si="65"/>
        <v>0</v>
      </c>
      <c r="P795">
        <f t="shared" si="66"/>
        <v>0</v>
      </c>
      <c r="Q795">
        <f t="shared" si="63"/>
        <v>21</v>
      </c>
      <c r="R795" t="str">
        <f t="shared" si="67"/>
        <v>Not open</v>
      </c>
    </row>
    <row r="796" spans="1:18" x14ac:dyDescent="0.3">
      <c r="A796" t="s">
        <v>958</v>
      </c>
      <c r="B796" t="s">
        <v>418</v>
      </c>
      <c r="C796" t="s">
        <v>558</v>
      </c>
      <c r="D796" s="1">
        <v>45147</v>
      </c>
      <c r="E796" s="1">
        <v>45192</v>
      </c>
      <c r="F796" t="s">
        <v>13</v>
      </c>
      <c r="G796">
        <v>3305495</v>
      </c>
      <c r="H796" s="1">
        <v>45215</v>
      </c>
      <c r="I796" t="s">
        <v>555</v>
      </c>
      <c r="J796" t="s">
        <v>556</v>
      </c>
      <c r="L796">
        <v>3305495</v>
      </c>
      <c r="M796">
        <f>IF(F796="INR",1,INDEX('rates'!$B$2:$C$522,MATCH(D796,'rates'!$A$2:$A$522,1),MATCH(F796&amp;"/INR",'rates'!$B$1:$C$1,0)))</f>
        <v>1</v>
      </c>
      <c r="N796">
        <f t="shared" si="64"/>
        <v>3305495</v>
      </c>
      <c r="O796">
        <f t="shared" si="65"/>
        <v>0</v>
      </c>
      <c r="P796">
        <f t="shared" si="66"/>
        <v>0</v>
      </c>
      <c r="Q796">
        <f t="shared" si="63"/>
        <v>23</v>
      </c>
      <c r="R796" t="str">
        <f t="shared" si="67"/>
        <v>Not open</v>
      </c>
    </row>
    <row r="797" spans="1:18" x14ac:dyDescent="0.3">
      <c r="A797" t="s">
        <v>959</v>
      </c>
      <c r="B797" t="s">
        <v>464</v>
      </c>
      <c r="C797" t="s">
        <v>560</v>
      </c>
      <c r="D797" s="1">
        <v>45147</v>
      </c>
      <c r="E797" s="1">
        <v>45237</v>
      </c>
      <c r="F797" t="s">
        <v>13</v>
      </c>
      <c r="G797">
        <v>10005341</v>
      </c>
      <c r="H797" s="1">
        <v>45240</v>
      </c>
      <c r="I797" t="s">
        <v>555</v>
      </c>
      <c r="J797" t="s">
        <v>556</v>
      </c>
      <c r="L797">
        <v>10005341</v>
      </c>
      <c r="M797">
        <f>IF(F797="INR",1,INDEX('rates'!$B$2:$C$522,MATCH(D797,'rates'!$A$2:$A$522,1),MATCH(F797&amp;"/INR",'rates'!$B$1:$C$1,0)))</f>
        <v>1</v>
      </c>
      <c r="N797">
        <f t="shared" si="64"/>
        <v>10005341</v>
      </c>
      <c r="O797">
        <f t="shared" si="65"/>
        <v>0</v>
      </c>
      <c r="P797">
        <f t="shared" si="66"/>
        <v>0</v>
      </c>
      <c r="Q797">
        <f t="shared" si="63"/>
        <v>3</v>
      </c>
      <c r="R797" t="str">
        <f t="shared" si="67"/>
        <v>Not open</v>
      </c>
    </row>
    <row r="798" spans="1:18" x14ac:dyDescent="0.3">
      <c r="A798" t="s">
        <v>960</v>
      </c>
      <c r="B798" t="s">
        <v>200</v>
      </c>
      <c r="C798" t="s">
        <v>575</v>
      </c>
      <c r="D798" s="1">
        <v>45148</v>
      </c>
      <c r="E798" s="1">
        <v>45208</v>
      </c>
      <c r="F798" t="s">
        <v>13</v>
      </c>
      <c r="G798">
        <v>19611255</v>
      </c>
      <c r="H798" s="1">
        <v>45213</v>
      </c>
      <c r="I798" t="s">
        <v>555</v>
      </c>
      <c r="J798" t="s">
        <v>556</v>
      </c>
      <c r="L798">
        <v>19611255</v>
      </c>
      <c r="M798">
        <f>IF(F798="INR",1,INDEX('rates'!$B$2:$C$522,MATCH(D798,'rates'!$A$2:$A$522,1),MATCH(F798&amp;"/INR",'rates'!$B$1:$C$1,0)))</f>
        <v>1</v>
      </c>
      <c r="N798">
        <f t="shared" si="64"/>
        <v>19611255</v>
      </c>
      <c r="O798">
        <f t="shared" si="65"/>
        <v>0</v>
      </c>
      <c r="P798">
        <f t="shared" si="66"/>
        <v>0</v>
      </c>
      <c r="Q798">
        <f t="shared" si="63"/>
        <v>5</v>
      </c>
      <c r="R798" t="str">
        <f t="shared" si="67"/>
        <v>Not open</v>
      </c>
    </row>
    <row r="799" spans="1:18" x14ac:dyDescent="0.3">
      <c r="A799" t="s">
        <v>961</v>
      </c>
      <c r="B799" t="s">
        <v>338</v>
      </c>
      <c r="C799" t="s">
        <v>566</v>
      </c>
      <c r="D799" s="1">
        <v>45148</v>
      </c>
      <c r="E799" s="1">
        <v>45193</v>
      </c>
      <c r="F799" t="s">
        <v>13</v>
      </c>
      <c r="G799">
        <v>13878719</v>
      </c>
      <c r="H799" s="1">
        <v>45195</v>
      </c>
      <c r="I799" t="s">
        <v>555</v>
      </c>
      <c r="J799" t="s">
        <v>556</v>
      </c>
      <c r="L799">
        <v>13878719</v>
      </c>
      <c r="M799">
        <f>IF(F799="INR",1,INDEX('rates'!$B$2:$C$522,MATCH(D799,'rates'!$A$2:$A$522,1),MATCH(F799&amp;"/INR",'rates'!$B$1:$C$1,0)))</f>
        <v>1</v>
      </c>
      <c r="N799">
        <f t="shared" si="64"/>
        <v>13878719</v>
      </c>
      <c r="O799">
        <f t="shared" si="65"/>
        <v>0</v>
      </c>
      <c r="P799">
        <f t="shared" si="66"/>
        <v>0</v>
      </c>
      <c r="Q799">
        <f t="shared" si="63"/>
        <v>2</v>
      </c>
      <c r="R799" t="str">
        <f t="shared" si="67"/>
        <v>Not open</v>
      </c>
    </row>
    <row r="800" spans="1:18" x14ac:dyDescent="0.3">
      <c r="A800" t="s">
        <v>962</v>
      </c>
      <c r="B800" t="s">
        <v>344</v>
      </c>
      <c r="C800" t="s">
        <v>554</v>
      </c>
      <c r="D800" s="1">
        <v>45148</v>
      </c>
      <c r="E800" s="1">
        <v>45208</v>
      </c>
      <c r="F800" t="s">
        <v>13</v>
      </c>
      <c r="G800">
        <v>6020284</v>
      </c>
      <c r="H800" s="1">
        <v>45199</v>
      </c>
      <c r="I800" t="s">
        <v>555</v>
      </c>
      <c r="J800" t="s">
        <v>556</v>
      </c>
      <c r="L800">
        <v>6020284</v>
      </c>
      <c r="M800">
        <f>IF(F800="INR",1,INDEX('rates'!$B$2:$C$522,MATCH(D800,'rates'!$A$2:$A$522,1),MATCH(F800&amp;"/INR",'rates'!$B$1:$C$1,0)))</f>
        <v>1</v>
      </c>
      <c r="N800">
        <f t="shared" si="64"/>
        <v>6020284</v>
      </c>
      <c r="O800">
        <f t="shared" si="65"/>
        <v>0</v>
      </c>
      <c r="P800">
        <f t="shared" si="66"/>
        <v>0</v>
      </c>
      <c r="Q800">
        <f t="shared" si="63"/>
        <v>-9</v>
      </c>
      <c r="R800" t="str">
        <f t="shared" si="67"/>
        <v>Not open</v>
      </c>
    </row>
    <row r="801" spans="1:18" x14ac:dyDescent="0.3">
      <c r="A801" t="s">
        <v>963</v>
      </c>
      <c r="B801" t="s">
        <v>472</v>
      </c>
      <c r="C801" t="s">
        <v>558</v>
      </c>
      <c r="D801" s="1">
        <v>45148</v>
      </c>
      <c r="E801" s="1">
        <v>45208</v>
      </c>
      <c r="F801" t="s">
        <v>36</v>
      </c>
      <c r="G801">
        <v>72012.639999999999</v>
      </c>
      <c r="H801" s="1">
        <v>45218</v>
      </c>
      <c r="I801" t="s">
        <v>555</v>
      </c>
      <c r="J801" t="s">
        <v>556</v>
      </c>
      <c r="L801">
        <v>72012.639999999999</v>
      </c>
      <c r="M801">
        <f>IF(F801="INR",1,INDEX('rates'!$B$2:$C$522,MATCH(D801,'rates'!$A$2:$A$522,1),MATCH(F801&amp;"/INR",'rates'!$B$1:$C$1,0)))</f>
        <v>82.69</v>
      </c>
      <c r="N801">
        <f t="shared" si="64"/>
        <v>5954725.2015999993</v>
      </c>
      <c r="O801">
        <f t="shared" si="65"/>
        <v>0</v>
      </c>
      <c r="P801">
        <f t="shared" si="66"/>
        <v>0</v>
      </c>
      <c r="Q801">
        <f t="shared" si="63"/>
        <v>10</v>
      </c>
      <c r="R801" t="str">
        <f t="shared" si="67"/>
        <v>Not open</v>
      </c>
    </row>
    <row r="802" spans="1:18" x14ac:dyDescent="0.3">
      <c r="A802" t="s">
        <v>964</v>
      </c>
      <c r="B802" t="s">
        <v>524</v>
      </c>
      <c r="C802" t="s">
        <v>554</v>
      </c>
      <c r="D802" s="1">
        <v>45148</v>
      </c>
      <c r="E802" s="1">
        <v>45208</v>
      </c>
      <c r="F802" t="s">
        <v>31</v>
      </c>
      <c r="G802">
        <v>109544.05</v>
      </c>
      <c r="H802" s="1">
        <v>45223</v>
      </c>
      <c r="I802" t="s">
        <v>555</v>
      </c>
      <c r="J802" t="s">
        <v>573</v>
      </c>
      <c r="K802">
        <v>91.273499999999999</v>
      </c>
      <c r="L802">
        <v>109544.05</v>
      </c>
      <c r="M802">
        <f>IF(F802="INR",1,INDEX('rates'!$B$2:$C$522,MATCH(D802,'rates'!$A$2:$A$522,1),MATCH(F802&amp;"/INR",'rates'!$B$1:$C$1,0)))</f>
        <v>91.091300000000004</v>
      </c>
      <c r="N802">
        <f t="shared" si="64"/>
        <v>9978509.9217650015</v>
      </c>
      <c r="O802">
        <f t="shared" si="65"/>
        <v>0</v>
      </c>
      <c r="P802">
        <f t="shared" si="66"/>
        <v>0</v>
      </c>
      <c r="Q802">
        <f t="shared" si="63"/>
        <v>15</v>
      </c>
      <c r="R802" t="str">
        <f t="shared" si="67"/>
        <v>Not open</v>
      </c>
    </row>
    <row r="803" spans="1:18" x14ac:dyDescent="0.3">
      <c r="A803" t="s">
        <v>966</v>
      </c>
      <c r="B803" t="s">
        <v>59</v>
      </c>
      <c r="C803" t="s">
        <v>566</v>
      </c>
      <c r="D803" s="1">
        <v>45149</v>
      </c>
      <c r="E803" s="1">
        <v>45194</v>
      </c>
      <c r="F803" t="s">
        <v>31</v>
      </c>
      <c r="G803">
        <v>91821.5</v>
      </c>
      <c r="H803" s="1">
        <v>45210</v>
      </c>
      <c r="I803" t="s">
        <v>555</v>
      </c>
      <c r="J803" t="s">
        <v>556</v>
      </c>
      <c r="L803">
        <v>91821.5</v>
      </c>
      <c r="M803">
        <f>IF(F803="INR",1,INDEX('rates'!$B$2:$C$522,MATCH(D803,'rates'!$A$2:$A$522,1),MATCH(F803&amp;"/INR",'rates'!$B$1:$C$1,0)))</f>
        <v>90.800700000000006</v>
      </c>
      <c r="N803">
        <f t="shared" si="64"/>
        <v>8337456.4750500005</v>
      </c>
      <c r="O803">
        <f t="shared" si="65"/>
        <v>0</v>
      </c>
      <c r="P803">
        <f t="shared" si="66"/>
        <v>0</v>
      </c>
      <c r="Q803">
        <f t="shared" si="63"/>
        <v>16</v>
      </c>
      <c r="R803" t="str">
        <f t="shared" si="67"/>
        <v>Not open</v>
      </c>
    </row>
    <row r="804" spans="1:18" x14ac:dyDescent="0.3">
      <c r="A804" t="s">
        <v>967</v>
      </c>
      <c r="B804" t="s">
        <v>72</v>
      </c>
      <c r="C804" t="s">
        <v>560</v>
      </c>
      <c r="D804" s="1">
        <v>45149</v>
      </c>
      <c r="E804" s="1">
        <v>45239</v>
      </c>
      <c r="F804" t="s">
        <v>31</v>
      </c>
      <c r="G804">
        <v>53661.26</v>
      </c>
      <c r="H804" s="1">
        <v>45267</v>
      </c>
      <c r="I804" t="s">
        <v>555</v>
      </c>
      <c r="J804" t="s">
        <v>556</v>
      </c>
      <c r="L804">
        <v>53661.26</v>
      </c>
      <c r="M804">
        <f>IF(F804="INR",1,INDEX('rates'!$B$2:$C$522,MATCH(D804,'rates'!$A$2:$A$522,1),MATCH(F804&amp;"/INR",'rates'!$B$1:$C$1,0)))</f>
        <v>90.800700000000006</v>
      </c>
      <c r="N804">
        <f t="shared" si="64"/>
        <v>4872479.9708820004</v>
      </c>
      <c r="O804">
        <f t="shared" si="65"/>
        <v>0</v>
      </c>
      <c r="P804">
        <f t="shared" si="66"/>
        <v>0</v>
      </c>
      <c r="Q804">
        <f t="shared" si="63"/>
        <v>28</v>
      </c>
      <c r="R804" t="str">
        <f t="shared" si="67"/>
        <v>Not open</v>
      </c>
    </row>
    <row r="805" spans="1:18" x14ac:dyDescent="0.3">
      <c r="A805" t="s">
        <v>968</v>
      </c>
      <c r="B805" t="s">
        <v>126</v>
      </c>
      <c r="C805" t="s">
        <v>558</v>
      </c>
      <c r="D805" s="1">
        <v>45149</v>
      </c>
      <c r="E805" s="1">
        <v>45194</v>
      </c>
      <c r="F805" t="s">
        <v>13</v>
      </c>
      <c r="G805">
        <v>8975198</v>
      </c>
      <c r="H805" s="1">
        <v>45207</v>
      </c>
      <c r="I805" t="s">
        <v>555</v>
      </c>
      <c r="J805" t="s">
        <v>556</v>
      </c>
      <c r="L805">
        <v>8975198</v>
      </c>
      <c r="M805">
        <f>IF(F805="INR",1,INDEX('rates'!$B$2:$C$522,MATCH(D805,'rates'!$A$2:$A$522,1),MATCH(F805&amp;"/INR",'rates'!$B$1:$C$1,0)))</f>
        <v>1</v>
      </c>
      <c r="N805">
        <f t="shared" si="64"/>
        <v>8975198</v>
      </c>
      <c r="O805">
        <f t="shared" si="65"/>
        <v>0</v>
      </c>
      <c r="P805">
        <f t="shared" si="66"/>
        <v>0</v>
      </c>
      <c r="Q805">
        <f t="shared" si="63"/>
        <v>13</v>
      </c>
      <c r="R805" t="str">
        <f t="shared" si="67"/>
        <v>Not open</v>
      </c>
    </row>
    <row r="806" spans="1:18" x14ac:dyDescent="0.3">
      <c r="A806" t="s">
        <v>969</v>
      </c>
      <c r="B806" t="s">
        <v>466</v>
      </c>
      <c r="C806" t="s">
        <v>560</v>
      </c>
      <c r="D806" s="1">
        <v>45149</v>
      </c>
      <c r="E806" s="1">
        <v>45209</v>
      </c>
      <c r="F806" t="s">
        <v>31</v>
      </c>
      <c r="G806">
        <v>39831.730000000003</v>
      </c>
      <c r="H806" s="1">
        <v>45214</v>
      </c>
      <c r="I806" t="s">
        <v>555</v>
      </c>
      <c r="J806" t="s">
        <v>556</v>
      </c>
      <c r="L806">
        <v>39831.730000000003</v>
      </c>
      <c r="M806">
        <f>IF(F806="INR",1,INDEX('rates'!$B$2:$C$522,MATCH(D806,'rates'!$A$2:$A$522,1),MATCH(F806&amp;"/INR",'rates'!$B$1:$C$1,0)))</f>
        <v>90.800700000000006</v>
      </c>
      <c r="N806">
        <f t="shared" si="64"/>
        <v>3616748.9662110005</v>
      </c>
      <c r="O806">
        <f t="shared" si="65"/>
        <v>0</v>
      </c>
      <c r="P806">
        <f t="shared" si="66"/>
        <v>0</v>
      </c>
      <c r="Q806">
        <f t="shared" si="63"/>
        <v>5</v>
      </c>
      <c r="R806" t="str">
        <f t="shared" si="67"/>
        <v>Not open</v>
      </c>
    </row>
    <row r="807" spans="1:18" x14ac:dyDescent="0.3">
      <c r="A807" t="s">
        <v>970</v>
      </c>
      <c r="B807" t="s">
        <v>160</v>
      </c>
      <c r="C807" t="s">
        <v>554</v>
      </c>
      <c r="D807" s="1">
        <v>45150</v>
      </c>
      <c r="E807" s="1">
        <v>45195</v>
      </c>
      <c r="F807" t="s">
        <v>13</v>
      </c>
      <c r="G807">
        <v>3039721</v>
      </c>
      <c r="H807" s="1">
        <v>45199</v>
      </c>
      <c r="I807" t="s">
        <v>555</v>
      </c>
      <c r="J807" t="s">
        <v>556</v>
      </c>
      <c r="L807">
        <v>3039721</v>
      </c>
      <c r="M807">
        <f>IF(F807="INR",1,INDEX('rates'!$B$2:$C$522,MATCH(D807,'rates'!$A$2:$A$522,1),MATCH(F807&amp;"/INR",'rates'!$B$1:$C$1,0)))</f>
        <v>1</v>
      </c>
      <c r="N807">
        <f t="shared" si="64"/>
        <v>3039721</v>
      </c>
      <c r="O807">
        <f t="shared" si="65"/>
        <v>0</v>
      </c>
      <c r="P807">
        <f t="shared" si="66"/>
        <v>0</v>
      </c>
      <c r="Q807">
        <f t="shared" si="63"/>
        <v>4</v>
      </c>
      <c r="R807" t="str">
        <f t="shared" si="67"/>
        <v>Not open</v>
      </c>
    </row>
    <row r="808" spans="1:18" x14ac:dyDescent="0.3">
      <c r="A808" t="s">
        <v>971</v>
      </c>
      <c r="B808" t="s">
        <v>336</v>
      </c>
      <c r="C808" t="s">
        <v>554</v>
      </c>
      <c r="D808" s="1">
        <v>45150</v>
      </c>
      <c r="E808" s="1">
        <v>45180</v>
      </c>
      <c r="F808" t="s">
        <v>13</v>
      </c>
      <c r="G808">
        <v>7200764</v>
      </c>
      <c r="H808" s="1">
        <v>45183</v>
      </c>
      <c r="I808" t="s">
        <v>555</v>
      </c>
      <c r="J808" t="s">
        <v>556</v>
      </c>
      <c r="L808">
        <v>7200764</v>
      </c>
      <c r="M808">
        <f>IF(F808="INR",1,INDEX('rates'!$B$2:$C$522,MATCH(D808,'rates'!$A$2:$A$522,1),MATCH(F808&amp;"/INR",'rates'!$B$1:$C$1,0)))</f>
        <v>1</v>
      </c>
      <c r="N808">
        <f t="shared" si="64"/>
        <v>7200764</v>
      </c>
      <c r="O808">
        <f t="shared" si="65"/>
        <v>0</v>
      </c>
      <c r="P808">
        <f t="shared" si="66"/>
        <v>0</v>
      </c>
      <c r="Q808">
        <f t="shared" si="63"/>
        <v>3</v>
      </c>
      <c r="R808" t="str">
        <f t="shared" si="67"/>
        <v>Not open</v>
      </c>
    </row>
    <row r="809" spans="1:18" x14ac:dyDescent="0.3">
      <c r="A809" t="s">
        <v>972</v>
      </c>
      <c r="B809" t="s">
        <v>442</v>
      </c>
      <c r="C809" t="s">
        <v>575</v>
      </c>
      <c r="D809" s="1">
        <v>45150</v>
      </c>
      <c r="E809" s="1">
        <v>45210</v>
      </c>
      <c r="F809" t="s">
        <v>13</v>
      </c>
      <c r="G809">
        <v>6224093</v>
      </c>
      <c r="H809" s="1">
        <v>45253</v>
      </c>
      <c r="I809" t="s">
        <v>555</v>
      </c>
      <c r="J809" t="s">
        <v>556</v>
      </c>
      <c r="L809">
        <v>6224093</v>
      </c>
      <c r="M809">
        <f>IF(F809="INR",1,INDEX('rates'!$B$2:$C$522,MATCH(D809,'rates'!$A$2:$A$522,1),MATCH(F809&amp;"/INR",'rates'!$B$1:$C$1,0)))</f>
        <v>1</v>
      </c>
      <c r="N809">
        <f t="shared" si="64"/>
        <v>6224093</v>
      </c>
      <c r="O809">
        <f t="shared" si="65"/>
        <v>0</v>
      </c>
      <c r="P809">
        <f t="shared" si="66"/>
        <v>0</v>
      </c>
      <c r="Q809">
        <f t="shared" si="63"/>
        <v>43</v>
      </c>
      <c r="R809" t="str">
        <f t="shared" si="67"/>
        <v>Not open</v>
      </c>
    </row>
    <row r="810" spans="1:18" x14ac:dyDescent="0.3">
      <c r="A810" t="s">
        <v>973</v>
      </c>
      <c r="B810" t="s">
        <v>22</v>
      </c>
      <c r="C810" t="s">
        <v>554</v>
      </c>
      <c r="D810" s="1">
        <v>45152</v>
      </c>
      <c r="E810" s="1">
        <v>45197</v>
      </c>
      <c r="F810" t="s">
        <v>13</v>
      </c>
      <c r="G810">
        <v>4224816</v>
      </c>
      <c r="H810" s="1">
        <v>45211</v>
      </c>
      <c r="I810" t="s">
        <v>555</v>
      </c>
      <c r="J810" t="s">
        <v>556</v>
      </c>
      <c r="L810">
        <v>4224816</v>
      </c>
      <c r="M810">
        <f>IF(F810="INR",1,INDEX('rates'!$B$2:$C$522,MATCH(D810,'rates'!$A$2:$A$522,1),MATCH(F810&amp;"/INR",'rates'!$B$1:$C$1,0)))</f>
        <v>1</v>
      </c>
      <c r="N810">
        <f t="shared" si="64"/>
        <v>4224816</v>
      </c>
      <c r="O810">
        <f t="shared" si="65"/>
        <v>0</v>
      </c>
      <c r="P810">
        <f t="shared" si="66"/>
        <v>0</v>
      </c>
      <c r="Q810">
        <f t="shared" si="63"/>
        <v>14</v>
      </c>
      <c r="R810" t="str">
        <f t="shared" si="67"/>
        <v>Not open</v>
      </c>
    </row>
    <row r="811" spans="1:18" x14ac:dyDescent="0.3">
      <c r="A811" t="s">
        <v>974</v>
      </c>
      <c r="B811" t="s">
        <v>156</v>
      </c>
      <c r="C811" t="s">
        <v>566</v>
      </c>
      <c r="D811" s="1">
        <v>45152</v>
      </c>
      <c r="E811" s="1">
        <v>45182</v>
      </c>
      <c r="F811" t="s">
        <v>13</v>
      </c>
      <c r="G811">
        <v>15373091</v>
      </c>
      <c r="H811" s="1">
        <v>45193</v>
      </c>
      <c r="I811" t="s">
        <v>555</v>
      </c>
      <c r="J811" t="s">
        <v>556</v>
      </c>
      <c r="L811">
        <v>15373091</v>
      </c>
      <c r="M811">
        <f>IF(F811="INR",1,INDEX('rates'!$B$2:$C$522,MATCH(D811,'rates'!$A$2:$A$522,1),MATCH(F811&amp;"/INR",'rates'!$B$1:$C$1,0)))</f>
        <v>1</v>
      </c>
      <c r="N811">
        <f t="shared" si="64"/>
        <v>15373091</v>
      </c>
      <c r="O811">
        <f t="shared" si="65"/>
        <v>0</v>
      </c>
      <c r="P811">
        <f t="shared" si="66"/>
        <v>0</v>
      </c>
      <c r="Q811">
        <f t="shared" si="63"/>
        <v>11</v>
      </c>
      <c r="R811" t="str">
        <f t="shared" si="67"/>
        <v>Not open</v>
      </c>
    </row>
    <row r="812" spans="1:18" x14ac:dyDescent="0.3">
      <c r="A812" t="s">
        <v>975</v>
      </c>
      <c r="B812" t="s">
        <v>204</v>
      </c>
      <c r="C812" t="s">
        <v>575</v>
      </c>
      <c r="D812" s="1">
        <v>45152</v>
      </c>
      <c r="E812" s="1">
        <v>45212</v>
      </c>
      <c r="F812" t="s">
        <v>13</v>
      </c>
      <c r="G812">
        <v>12650697</v>
      </c>
      <c r="H812" s="1">
        <v>45226</v>
      </c>
      <c r="I812" t="s">
        <v>555</v>
      </c>
      <c r="J812" t="s">
        <v>556</v>
      </c>
      <c r="L812">
        <v>12650697</v>
      </c>
      <c r="M812">
        <f>IF(F812="INR",1,INDEX('rates'!$B$2:$C$522,MATCH(D812,'rates'!$A$2:$A$522,1),MATCH(F812&amp;"/INR",'rates'!$B$1:$C$1,0)))</f>
        <v>1</v>
      </c>
      <c r="N812">
        <f t="shared" si="64"/>
        <v>12650697</v>
      </c>
      <c r="O812">
        <f t="shared" si="65"/>
        <v>0</v>
      </c>
      <c r="P812">
        <f t="shared" si="66"/>
        <v>0</v>
      </c>
      <c r="Q812">
        <f t="shared" si="63"/>
        <v>14</v>
      </c>
      <c r="R812" t="str">
        <f t="shared" si="67"/>
        <v>Not open</v>
      </c>
    </row>
    <row r="813" spans="1:18" x14ac:dyDescent="0.3">
      <c r="A813" t="s">
        <v>976</v>
      </c>
      <c r="B813" t="s">
        <v>418</v>
      </c>
      <c r="C813" t="s">
        <v>558</v>
      </c>
      <c r="D813" s="1">
        <v>45152</v>
      </c>
      <c r="E813" s="1">
        <v>45197</v>
      </c>
      <c r="F813" t="s">
        <v>13</v>
      </c>
      <c r="G813">
        <v>3924928</v>
      </c>
      <c r="H813" s="1">
        <v>45225</v>
      </c>
      <c r="I813" t="s">
        <v>555</v>
      </c>
      <c r="J813" t="s">
        <v>556</v>
      </c>
      <c r="L813">
        <v>3924928</v>
      </c>
      <c r="M813">
        <f>IF(F813="INR",1,INDEX('rates'!$B$2:$C$522,MATCH(D813,'rates'!$A$2:$A$522,1),MATCH(F813&amp;"/INR",'rates'!$B$1:$C$1,0)))</f>
        <v>1</v>
      </c>
      <c r="N813">
        <f t="shared" si="64"/>
        <v>3924928</v>
      </c>
      <c r="O813">
        <f t="shared" si="65"/>
        <v>0</v>
      </c>
      <c r="P813">
        <f t="shared" si="66"/>
        <v>0</v>
      </c>
      <c r="Q813">
        <f t="shared" si="63"/>
        <v>28</v>
      </c>
      <c r="R813" t="str">
        <f t="shared" si="67"/>
        <v>Not open</v>
      </c>
    </row>
    <row r="814" spans="1:18" x14ac:dyDescent="0.3">
      <c r="A814" t="s">
        <v>977</v>
      </c>
      <c r="B814" t="s">
        <v>430</v>
      </c>
      <c r="C814" t="s">
        <v>575</v>
      </c>
      <c r="D814" s="1">
        <v>45152</v>
      </c>
      <c r="E814" s="1">
        <v>45212</v>
      </c>
      <c r="F814" t="s">
        <v>31</v>
      </c>
      <c r="G814">
        <v>69623.839999999997</v>
      </c>
      <c r="H814" s="1"/>
      <c r="I814" t="s">
        <v>555</v>
      </c>
      <c r="J814" t="s">
        <v>556</v>
      </c>
      <c r="L814">
        <v>69623.839999999997</v>
      </c>
      <c r="M814">
        <f>IF(F814="INR",1,INDEX('rates'!$B$2:$C$522,MATCH(D814,'rates'!$A$2:$A$522,1),MATCH(F814&amp;"/INR",'rates'!$B$1:$C$1,0)))</f>
        <v>90.838300000000004</v>
      </c>
      <c r="N814">
        <f t="shared" si="64"/>
        <v>6324511.2650720002</v>
      </c>
      <c r="O814">
        <f t="shared" si="65"/>
        <v>0</v>
      </c>
      <c r="P814">
        <f t="shared" si="66"/>
        <v>0</v>
      </c>
      <c r="Q814" t="str">
        <f t="shared" si="63"/>
        <v/>
      </c>
      <c r="R814" t="str">
        <f t="shared" si="67"/>
        <v>Not open</v>
      </c>
    </row>
    <row r="815" spans="1:18" x14ac:dyDescent="0.3">
      <c r="A815" t="s">
        <v>978</v>
      </c>
      <c r="B815" t="s">
        <v>536</v>
      </c>
      <c r="C815" t="s">
        <v>575</v>
      </c>
      <c r="D815" s="1">
        <v>45152</v>
      </c>
      <c r="E815" s="1">
        <v>45182</v>
      </c>
      <c r="F815" t="s">
        <v>36</v>
      </c>
      <c r="G815">
        <v>58709.21</v>
      </c>
      <c r="H815" s="1">
        <v>45182</v>
      </c>
      <c r="I815" t="s">
        <v>555</v>
      </c>
      <c r="J815" t="s">
        <v>556</v>
      </c>
      <c r="L815">
        <v>58709.21</v>
      </c>
      <c r="M815">
        <f>IF(F815="INR",1,INDEX('rates'!$B$2:$C$522,MATCH(D815,'rates'!$A$2:$A$522,1),MATCH(F815&amp;"/INR",'rates'!$B$1:$C$1,0)))</f>
        <v>83.17</v>
      </c>
      <c r="N815">
        <f t="shared" si="64"/>
        <v>4882844.9956999999</v>
      </c>
      <c r="O815">
        <f t="shared" si="65"/>
        <v>0</v>
      </c>
      <c r="P815">
        <f t="shared" si="66"/>
        <v>0</v>
      </c>
      <c r="Q815">
        <f t="shared" si="63"/>
        <v>0</v>
      </c>
      <c r="R815" t="str">
        <f t="shared" si="67"/>
        <v>Not open</v>
      </c>
    </row>
    <row r="816" spans="1:18" x14ac:dyDescent="0.3">
      <c r="A816" t="s">
        <v>979</v>
      </c>
      <c r="B816" t="s">
        <v>424</v>
      </c>
      <c r="C816" t="s">
        <v>575</v>
      </c>
      <c r="D816" s="1">
        <v>45153</v>
      </c>
      <c r="E816" s="1">
        <v>45243</v>
      </c>
      <c r="F816" t="s">
        <v>31</v>
      </c>
      <c r="G816">
        <v>110519.3</v>
      </c>
      <c r="H816" s="1">
        <v>45252</v>
      </c>
      <c r="I816" t="s">
        <v>555</v>
      </c>
      <c r="J816" t="s">
        <v>573</v>
      </c>
      <c r="K816">
        <v>90.908699999999996</v>
      </c>
      <c r="L816">
        <v>110519.3</v>
      </c>
      <c r="M816">
        <f>IF(F816="INR",1,INDEX('rates'!$B$2:$C$522,MATCH(D816,'rates'!$A$2:$A$522,1),MATCH(F816&amp;"/INR",'rates'!$B$1:$C$1,0)))</f>
        <v>90.636799999999994</v>
      </c>
      <c r="N816">
        <f t="shared" si="64"/>
        <v>10017115.690239999</v>
      </c>
      <c r="O816">
        <f t="shared" si="65"/>
        <v>0</v>
      </c>
      <c r="P816">
        <f t="shared" si="66"/>
        <v>0</v>
      </c>
      <c r="Q816">
        <f t="shared" si="63"/>
        <v>9</v>
      </c>
      <c r="R816" t="str">
        <f t="shared" si="67"/>
        <v>Not open</v>
      </c>
    </row>
    <row r="817" spans="1:18" x14ac:dyDescent="0.3">
      <c r="A817" t="s">
        <v>980</v>
      </c>
      <c r="B817" t="s">
        <v>496</v>
      </c>
      <c r="C817" t="s">
        <v>566</v>
      </c>
      <c r="D817" s="1">
        <v>45153</v>
      </c>
      <c r="E817" s="1">
        <v>45198</v>
      </c>
      <c r="F817" t="s">
        <v>13</v>
      </c>
      <c r="G817">
        <v>10695647</v>
      </c>
      <c r="H817" s="1">
        <v>45213</v>
      </c>
      <c r="I817" t="s">
        <v>555</v>
      </c>
      <c r="J817" t="s">
        <v>556</v>
      </c>
      <c r="L817">
        <v>10695647</v>
      </c>
      <c r="M817">
        <f>IF(F817="INR",1,INDEX('rates'!$B$2:$C$522,MATCH(D817,'rates'!$A$2:$A$522,1),MATCH(F817&amp;"/INR",'rates'!$B$1:$C$1,0)))</f>
        <v>1</v>
      </c>
      <c r="N817">
        <f t="shared" si="64"/>
        <v>10695647</v>
      </c>
      <c r="O817">
        <f t="shared" si="65"/>
        <v>0</v>
      </c>
      <c r="P817">
        <f t="shared" si="66"/>
        <v>0</v>
      </c>
      <c r="Q817">
        <f t="shared" si="63"/>
        <v>15</v>
      </c>
      <c r="R817" t="str">
        <f t="shared" si="67"/>
        <v>Not open</v>
      </c>
    </row>
    <row r="818" spans="1:18" x14ac:dyDescent="0.3">
      <c r="A818" t="s">
        <v>981</v>
      </c>
      <c r="B818" t="s">
        <v>178</v>
      </c>
      <c r="C818" t="s">
        <v>560</v>
      </c>
      <c r="D818" s="1">
        <v>45154</v>
      </c>
      <c r="E818" s="1">
        <v>45184</v>
      </c>
      <c r="F818" t="s">
        <v>13</v>
      </c>
      <c r="G818">
        <v>14745191</v>
      </c>
      <c r="H818" s="1">
        <v>45188</v>
      </c>
      <c r="I818" t="s">
        <v>555</v>
      </c>
      <c r="J818" t="s">
        <v>556</v>
      </c>
      <c r="L818">
        <v>14745191</v>
      </c>
      <c r="M818">
        <f>IF(F818="INR",1,INDEX('rates'!$B$2:$C$522,MATCH(D818,'rates'!$A$2:$A$522,1),MATCH(F818&amp;"/INR",'rates'!$B$1:$C$1,0)))</f>
        <v>1</v>
      </c>
      <c r="N818">
        <f t="shared" si="64"/>
        <v>14745191</v>
      </c>
      <c r="O818">
        <f t="shared" si="65"/>
        <v>0</v>
      </c>
      <c r="P818">
        <f t="shared" si="66"/>
        <v>0</v>
      </c>
      <c r="Q818">
        <f t="shared" ref="Q818:Q881" si="68">IF(H818="","",H818-E818)</f>
        <v>4</v>
      </c>
      <c r="R818" t="str">
        <f t="shared" si="67"/>
        <v>Not open</v>
      </c>
    </row>
    <row r="819" spans="1:18" x14ac:dyDescent="0.3">
      <c r="A819" t="s">
        <v>982</v>
      </c>
      <c r="B819" t="s">
        <v>188</v>
      </c>
      <c r="C819" t="s">
        <v>554</v>
      </c>
      <c r="D819" s="1">
        <v>45154</v>
      </c>
      <c r="E819" s="1">
        <v>45184</v>
      </c>
      <c r="F819" t="s">
        <v>13</v>
      </c>
      <c r="G819">
        <v>3339321</v>
      </c>
      <c r="H819" s="1">
        <v>45196</v>
      </c>
      <c r="I819" t="s">
        <v>555</v>
      </c>
      <c r="J819" t="s">
        <v>556</v>
      </c>
      <c r="L819">
        <v>3339321</v>
      </c>
      <c r="M819">
        <f>IF(F819="INR",1,INDEX('rates'!$B$2:$C$522,MATCH(D819,'rates'!$A$2:$A$522,1),MATCH(F819&amp;"/INR",'rates'!$B$1:$C$1,0)))</f>
        <v>1</v>
      </c>
      <c r="N819">
        <f t="shared" si="64"/>
        <v>3339321</v>
      </c>
      <c r="O819">
        <f t="shared" si="65"/>
        <v>0</v>
      </c>
      <c r="P819">
        <f t="shared" si="66"/>
        <v>0</v>
      </c>
      <c r="Q819">
        <f t="shared" si="68"/>
        <v>12</v>
      </c>
      <c r="R819" t="str">
        <f t="shared" si="67"/>
        <v>Not open</v>
      </c>
    </row>
    <row r="820" spans="1:18" x14ac:dyDescent="0.3">
      <c r="A820" t="s">
        <v>983</v>
      </c>
      <c r="B820" t="s">
        <v>318</v>
      </c>
      <c r="C820" t="s">
        <v>558</v>
      </c>
      <c r="D820" s="1">
        <v>45154</v>
      </c>
      <c r="E820" s="1">
        <v>45214</v>
      </c>
      <c r="F820" t="s">
        <v>36</v>
      </c>
      <c r="G820">
        <v>102460.88</v>
      </c>
      <c r="H820" s="1">
        <v>45276</v>
      </c>
      <c r="I820" t="s">
        <v>555</v>
      </c>
      <c r="J820" t="s">
        <v>556</v>
      </c>
      <c r="L820">
        <v>102460.88</v>
      </c>
      <c r="M820">
        <f>IF(F820="INR",1,INDEX('rates'!$B$2:$C$522,MATCH(D820,'rates'!$A$2:$A$522,1),MATCH(F820&amp;"/INR",'rates'!$B$1:$C$1,0)))</f>
        <v>83.19</v>
      </c>
      <c r="N820">
        <f t="shared" si="64"/>
        <v>8523720.6072000004</v>
      </c>
      <c r="O820">
        <f t="shared" si="65"/>
        <v>0</v>
      </c>
      <c r="P820">
        <f t="shared" si="66"/>
        <v>0</v>
      </c>
      <c r="Q820">
        <f t="shared" si="68"/>
        <v>62</v>
      </c>
      <c r="R820" t="str">
        <f t="shared" si="67"/>
        <v>Not open</v>
      </c>
    </row>
    <row r="821" spans="1:18" x14ac:dyDescent="0.3">
      <c r="A821" t="s">
        <v>984</v>
      </c>
      <c r="B821" t="s">
        <v>422</v>
      </c>
      <c r="C821" t="s">
        <v>575</v>
      </c>
      <c r="D821" s="1">
        <v>45154</v>
      </c>
      <c r="E821" s="1">
        <v>45199</v>
      </c>
      <c r="F821" t="s">
        <v>31</v>
      </c>
      <c r="G821">
        <v>149478.41</v>
      </c>
      <c r="H821" s="1">
        <v>45206</v>
      </c>
      <c r="I821" t="s">
        <v>555</v>
      </c>
      <c r="J821" t="s">
        <v>573</v>
      </c>
      <c r="K821">
        <v>90.846500000000006</v>
      </c>
      <c r="L821">
        <v>149478.41</v>
      </c>
      <c r="M821">
        <f>IF(F821="INR",1,INDEX('rates'!$B$2:$C$522,MATCH(D821,'rates'!$A$2:$A$522,1),MATCH(F821&amp;"/INR",'rates'!$B$1:$C$1,0)))</f>
        <v>90.710400000000007</v>
      </c>
      <c r="N821">
        <f t="shared" si="64"/>
        <v>13559246.362464001</v>
      </c>
      <c r="O821">
        <f t="shared" si="65"/>
        <v>0</v>
      </c>
      <c r="P821">
        <f t="shared" si="66"/>
        <v>0</v>
      </c>
      <c r="Q821">
        <f t="shared" si="68"/>
        <v>7</v>
      </c>
      <c r="R821" t="str">
        <f t="shared" si="67"/>
        <v>Not open</v>
      </c>
    </row>
    <row r="822" spans="1:18" x14ac:dyDescent="0.3">
      <c r="A822" t="s">
        <v>985</v>
      </c>
      <c r="B822" t="s">
        <v>476</v>
      </c>
      <c r="C822" t="s">
        <v>566</v>
      </c>
      <c r="D822" s="1">
        <v>45155</v>
      </c>
      <c r="E822" s="1">
        <v>45200</v>
      </c>
      <c r="F822" t="s">
        <v>13</v>
      </c>
      <c r="G822">
        <v>5831840</v>
      </c>
      <c r="H822" s="1">
        <v>45218</v>
      </c>
      <c r="I822" t="s">
        <v>555</v>
      </c>
      <c r="J822" t="s">
        <v>556</v>
      </c>
      <c r="L822">
        <v>5831840</v>
      </c>
      <c r="M822">
        <f>IF(F822="INR",1,INDEX('rates'!$B$2:$C$522,MATCH(D822,'rates'!$A$2:$A$522,1),MATCH(F822&amp;"/INR",'rates'!$B$1:$C$1,0)))</f>
        <v>1</v>
      </c>
      <c r="N822">
        <f t="shared" si="64"/>
        <v>5831840</v>
      </c>
      <c r="O822">
        <f t="shared" si="65"/>
        <v>0</v>
      </c>
      <c r="P822">
        <f t="shared" si="66"/>
        <v>0</v>
      </c>
      <c r="Q822">
        <f t="shared" si="68"/>
        <v>18</v>
      </c>
      <c r="R822" t="str">
        <f t="shared" si="67"/>
        <v>Not open</v>
      </c>
    </row>
    <row r="823" spans="1:18" x14ac:dyDescent="0.3">
      <c r="A823" t="s">
        <v>986</v>
      </c>
      <c r="B823" t="s">
        <v>186</v>
      </c>
      <c r="C823" t="s">
        <v>558</v>
      </c>
      <c r="D823" s="1">
        <v>45156</v>
      </c>
      <c r="E823" s="1">
        <v>45186</v>
      </c>
      <c r="F823" t="s">
        <v>36</v>
      </c>
      <c r="G823">
        <v>98987.94</v>
      </c>
      <c r="H823" s="1">
        <v>45189</v>
      </c>
      <c r="I823" t="s">
        <v>555</v>
      </c>
      <c r="J823" t="s">
        <v>556</v>
      </c>
      <c r="L823">
        <v>98987.94</v>
      </c>
      <c r="M823">
        <f>IF(F823="INR",1,INDEX('rates'!$B$2:$C$522,MATCH(D823,'rates'!$A$2:$A$522,1),MATCH(F823&amp;"/INR",'rates'!$B$1:$C$1,0)))</f>
        <v>83.14</v>
      </c>
      <c r="N823">
        <f t="shared" si="64"/>
        <v>8229857.3316000002</v>
      </c>
      <c r="O823">
        <f t="shared" si="65"/>
        <v>0</v>
      </c>
      <c r="P823">
        <f t="shared" si="66"/>
        <v>0</v>
      </c>
      <c r="Q823">
        <f t="shared" si="68"/>
        <v>3</v>
      </c>
      <c r="R823" t="str">
        <f t="shared" si="67"/>
        <v>Not open</v>
      </c>
    </row>
    <row r="824" spans="1:18" x14ac:dyDescent="0.3">
      <c r="A824" t="s">
        <v>987</v>
      </c>
      <c r="B824" t="s">
        <v>286</v>
      </c>
      <c r="C824" t="s">
        <v>558</v>
      </c>
      <c r="D824" s="1">
        <v>45156</v>
      </c>
      <c r="E824" s="1">
        <v>45216</v>
      </c>
      <c r="F824" t="s">
        <v>36</v>
      </c>
      <c r="G824">
        <v>241454.18</v>
      </c>
      <c r="H824" s="1">
        <v>45237</v>
      </c>
      <c r="I824" t="s">
        <v>555</v>
      </c>
      <c r="J824" t="s">
        <v>556</v>
      </c>
      <c r="L824">
        <v>241454.18</v>
      </c>
      <c r="M824">
        <f>IF(F824="INR",1,INDEX('rates'!$B$2:$C$522,MATCH(D824,'rates'!$A$2:$A$522,1),MATCH(F824&amp;"/INR",'rates'!$B$1:$C$1,0)))</f>
        <v>83.14</v>
      </c>
      <c r="N824">
        <f t="shared" si="64"/>
        <v>20074500.525199998</v>
      </c>
      <c r="O824">
        <f t="shared" si="65"/>
        <v>0</v>
      </c>
      <c r="P824">
        <f t="shared" si="66"/>
        <v>0</v>
      </c>
      <c r="Q824">
        <f t="shared" si="68"/>
        <v>21</v>
      </c>
      <c r="R824" t="str">
        <f t="shared" si="67"/>
        <v>Not open</v>
      </c>
    </row>
    <row r="825" spans="1:18" x14ac:dyDescent="0.3">
      <c r="A825" t="s">
        <v>988</v>
      </c>
      <c r="B825" t="s">
        <v>296</v>
      </c>
      <c r="C825" t="s">
        <v>558</v>
      </c>
      <c r="D825" s="1">
        <v>45156</v>
      </c>
      <c r="E825" s="1">
        <v>45186</v>
      </c>
      <c r="F825" t="s">
        <v>13</v>
      </c>
      <c r="G825">
        <v>17297645</v>
      </c>
      <c r="H825" s="1">
        <v>45206</v>
      </c>
      <c r="I825" t="s">
        <v>555</v>
      </c>
      <c r="J825" t="s">
        <v>556</v>
      </c>
      <c r="L825">
        <v>17297645</v>
      </c>
      <c r="M825">
        <f>IF(F825="INR",1,INDEX('rates'!$B$2:$C$522,MATCH(D825,'rates'!$A$2:$A$522,1),MATCH(F825&amp;"/INR",'rates'!$B$1:$C$1,0)))</f>
        <v>1</v>
      </c>
      <c r="N825">
        <f t="shared" si="64"/>
        <v>17297645</v>
      </c>
      <c r="O825">
        <f t="shared" si="65"/>
        <v>0</v>
      </c>
      <c r="P825">
        <f t="shared" si="66"/>
        <v>0</v>
      </c>
      <c r="Q825">
        <f t="shared" si="68"/>
        <v>20</v>
      </c>
      <c r="R825" t="str">
        <f t="shared" si="67"/>
        <v>Not open</v>
      </c>
    </row>
    <row r="826" spans="1:18" x14ac:dyDescent="0.3">
      <c r="A826" t="s">
        <v>989</v>
      </c>
      <c r="B826" t="s">
        <v>496</v>
      </c>
      <c r="C826" t="s">
        <v>554</v>
      </c>
      <c r="D826" s="1">
        <v>45156</v>
      </c>
      <c r="E826" s="1">
        <v>45201</v>
      </c>
      <c r="F826" t="s">
        <v>13</v>
      </c>
      <c r="G826">
        <v>600000</v>
      </c>
      <c r="H826" s="1">
        <v>45209</v>
      </c>
      <c r="I826" t="s">
        <v>555</v>
      </c>
      <c r="J826" t="s">
        <v>556</v>
      </c>
      <c r="L826">
        <v>600000</v>
      </c>
      <c r="M826">
        <f>IF(F826="INR",1,INDEX('rates'!$B$2:$C$522,MATCH(D826,'rates'!$A$2:$A$522,1),MATCH(F826&amp;"/INR",'rates'!$B$1:$C$1,0)))</f>
        <v>1</v>
      </c>
      <c r="N826">
        <f t="shared" si="64"/>
        <v>600000</v>
      </c>
      <c r="O826">
        <f t="shared" si="65"/>
        <v>0</v>
      </c>
      <c r="P826">
        <f t="shared" si="66"/>
        <v>0</v>
      </c>
      <c r="Q826">
        <f t="shared" si="68"/>
        <v>8</v>
      </c>
      <c r="R826" t="str">
        <f t="shared" si="67"/>
        <v>Not open</v>
      </c>
    </row>
    <row r="827" spans="1:18" x14ac:dyDescent="0.3">
      <c r="A827" t="s">
        <v>990</v>
      </c>
      <c r="B827" t="s">
        <v>516</v>
      </c>
      <c r="C827" t="s">
        <v>560</v>
      </c>
      <c r="D827" s="1">
        <v>45156</v>
      </c>
      <c r="E827" s="1">
        <v>45216</v>
      </c>
      <c r="F827" t="s">
        <v>13</v>
      </c>
      <c r="G827">
        <v>4651784</v>
      </c>
      <c r="H827" s="1">
        <v>45218</v>
      </c>
      <c r="I827" t="s">
        <v>555</v>
      </c>
      <c r="J827" t="s">
        <v>556</v>
      </c>
      <c r="L827">
        <v>4651784</v>
      </c>
      <c r="M827">
        <f>IF(F827="INR",1,INDEX('rates'!$B$2:$C$522,MATCH(D827,'rates'!$A$2:$A$522,1),MATCH(F827&amp;"/INR",'rates'!$B$1:$C$1,0)))</f>
        <v>1</v>
      </c>
      <c r="N827">
        <f t="shared" si="64"/>
        <v>4651784</v>
      </c>
      <c r="O827">
        <f t="shared" si="65"/>
        <v>0</v>
      </c>
      <c r="P827">
        <f t="shared" si="66"/>
        <v>0</v>
      </c>
      <c r="Q827">
        <f t="shared" si="68"/>
        <v>2</v>
      </c>
      <c r="R827" t="str">
        <f t="shared" si="67"/>
        <v>Not open</v>
      </c>
    </row>
    <row r="828" spans="1:18" x14ac:dyDescent="0.3">
      <c r="A828" t="s">
        <v>991</v>
      </c>
      <c r="B828" t="s">
        <v>190</v>
      </c>
      <c r="C828" t="s">
        <v>558</v>
      </c>
      <c r="D828" s="1">
        <v>45157</v>
      </c>
      <c r="E828" s="1">
        <v>45187</v>
      </c>
      <c r="F828" t="s">
        <v>13</v>
      </c>
      <c r="G828">
        <v>2751993</v>
      </c>
      <c r="H828" s="1">
        <v>45191</v>
      </c>
      <c r="I828" t="s">
        <v>555</v>
      </c>
      <c r="J828" t="s">
        <v>556</v>
      </c>
      <c r="L828">
        <v>2751993</v>
      </c>
      <c r="M828">
        <f>IF(F828="INR",1,INDEX('rates'!$B$2:$C$522,MATCH(D828,'rates'!$A$2:$A$522,1),MATCH(F828&amp;"/INR",'rates'!$B$1:$C$1,0)))</f>
        <v>1</v>
      </c>
      <c r="N828">
        <f t="shared" si="64"/>
        <v>2751993</v>
      </c>
      <c r="O828">
        <f t="shared" si="65"/>
        <v>0</v>
      </c>
      <c r="P828">
        <f t="shared" si="66"/>
        <v>0</v>
      </c>
      <c r="Q828">
        <f t="shared" si="68"/>
        <v>4</v>
      </c>
      <c r="R828" t="str">
        <f t="shared" si="67"/>
        <v>Not open</v>
      </c>
    </row>
    <row r="829" spans="1:18" x14ac:dyDescent="0.3">
      <c r="A829" t="s">
        <v>992</v>
      </c>
      <c r="B829" t="s">
        <v>254</v>
      </c>
      <c r="C829" t="s">
        <v>558</v>
      </c>
      <c r="D829" s="1">
        <v>45157</v>
      </c>
      <c r="E829" s="1">
        <v>45187</v>
      </c>
      <c r="F829" t="s">
        <v>13</v>
      </c>
      <c r="G829">
        <v>5368146</v>
      </c>
      <c r="H829" s="1">
        <v>45228</v>
      </c>
      <c r="I829" t="s">
        <v>717</v>
      </c>
      <c r="J829" t="s">
        <v>556</v>
      </c>
      <c r="L829">
        <v>1603737.72</v>
      </c>
      <c r="M829">
        <f>IF(F829="INR",1,INDEX('rates'!$B$2:$C$522,MATCH(D829,'rates'!$A$2:$A$522,1),MATCH(F829&amp;"/INR",'rates'!$B$1:$C$1,0)))</f>
        <v>1</v>
      </c>
      <c r="N829">
        <f t="shared" si="64"/>
        <v>5368146</v>
      </c>
      <c r="O829">
        <f t="shared" si="65"/>
        <v>0</v>
      </c>
      <c r="P829">
        <f t="shared" si="66"/>
        <v>0</v>
      </c>
      <c r="Q829">
        <f t="shared" si="68"/>
        <v>41</v>
      </c>
      <c r="R829" t="str">
        <f t="shared" si="67"/>
        <v>Not open</v>
      </c>
    </row>
    <row r="830" spans="1:18" x14ac:dyDescent="0.3">
      <c r="A830" t="s">
        <v>993</v>
      </c>
      <c r="B830" t="s">
        <v>496</v>
      </c>
      <c r="C830" t="s">
        <v>554</v>
      </c>
      <c r="D830" s="1">
        <v>45157</v>
      </c>
      <c r="E830" s="1">
        <v>45202</v>
      </c>
      <c r="F830" t="s">
        <v>13</v>
      </c>
      <c r="G830">
        <v>4555992</v>
      </c>
      <c r="H830" s="1">
        <v>45208</v>
      </c>
      <c r="I830" t="s">
        <v>555</v>
      </c>
      <c r="J830" t="s">
        <v>556</v>
      </c>
      <c r="L830">
        <v>4555992</v>
      </c>
      <c r="M830">
        <f>IF(F830="INR",1,INDEX('rates'!$B$2:$C$522,MATCH(D830,'rates'!$A$2:$A$522,1),MATCH(F830&amp;"/INR",'rates'!$B$1:$C$1,0)))</f>
        <v>1</v>
      </c>
      <c r="N830">
        <f t="shared" si="64"/>
        <v>4555992</v>
      </c>
      <c r="O830">
        <f t="shared" si="65"/>
        <v>0</v>
      </c>
      <c r="P830">
        <f t="shared" si="66"/>
        <v>0</v>
      </c>
      <c r="Q830">
        <f t="shared" si="68"/>
        <v>6</v>
      </c>
      <c r="R830" t="str">
        <f t="shared" si="67"/>
        <v>Not open</v>
      </c>
    </row>
    <row r="831" spans="1:18" x14ac:dyDescent="0.3">
      <c r="A831" t="s">
        <v>994</v>
      </c>
      <c r="B831" t="s">
        <v>222</v>
      </c>
      <c r="C831" t="s">
        <v>560</v>
      </c>
      <c r="D831" s="1">
        <v>45159</v>
      </c>
      <c r="E831" s="1">
        <v>45219</v>
      </c>
      <c r="F831" t="s">
        <v>36</v>
      </c>
      <c r="G831">
        <v>12501.94</v>
      </c>
      <c r="H831" s="1">
        <v>45232</v>
      </c>
      <c r="I831" t="s">
        <v>555</v>
      </c>
      <c r="J831" t="s">
        <v>573</v>
      </c>
      <c r="K831">
        <v>83.376999999999995</v>
      </c>
      <c r="L831">
        <v>12501.94</v>
      </c>
      <c r="M831">
        <f>IF(F831="INR",1,INDEX('rates'!$B$2:$C$522,MATCH(D831,'rates'!$A$2:$A$522,1),MATCH(F831&amp;"/INR",'rates'!$B$1:$C$1,0)))</f>
        <v>83.1</v>
      </c>
      <c r="N831">
        <f t="shared" si="64"/>
        <v>1038911.2139999999</v>
      </c>
      <c r="O831">
        <f t="shared" si="65"/>
        <v>0</v>
      </c>
      <c r="P831">
        <f t="shared" si="66"/>
        <v>0</v>
      </c>
      <c r="Q831">
        <f t="shared" si="68"/>
        <v>13</v>
      </c>
      <c r="R831" t="str">
        <f t="shared" si="67"/>
        <v>Not open</v>
      </c>
    </row>
    <row r="832" spans="1:18" x14ac:dyDescent="0.3">
      <c r="A832" t="s">
        <v>995</v>
      </c>
      <c r="B832" t="s">
        <v>236</v>
      </c>
      <c r="C832" t="s">
        <v>558</v>
      </c>
      <c r="D832" s="1">
        <v>45159</v>
      </c>
      <c r="E832" s="1">
        <v>45249</v>
      </c>
      <c r="F832" t="s">
        <v>13</v>
      </c>
      <c r="G832">
        <v>2264222</v>
      </c>
      <c r="H832" s="1">
        <v>45264</v>
      </c>
      <c r="I832" t="s">
        <v>555</v>
      </c>
      <c r="J832" t="s">
        <v>556</v>
      </c>
      <c r="L832">
        <v>2264222</v>
      </c>
      <c r="M832">
        <f>IF(F832="INR",1,INDEX('rates'!$B$2:$C$522,MATCH(D832,'rates'!$A$2:$A$522,1),MATCH(F832&amp;"/INR",'rates'!$B$1:$C$1,0)))</f>
        <v>1</v>
      </c>
      <c r="N832">
        <f t="shared" si="64"/>
        <v>2264222</v>
      </c>
      <c r="O832">
        <f t="shared" si="65"/>
        <v>0</v>
      </c>
      <c r="P832">
        <f t="shared" si="66"/>
        <v>0</v>
      </c>
      <c r="Q832">
        <f t="shared" si="68"/>
        <v>15</v>
      </c>
      <c r="R832" t="str">
        <f t="shared" si="67"/>
        <v>Not open</v>
      </c>
    </row>
    <row r="833" spans="1:18" x14ac:dyDescent="0.3">
      <c r="A833" t="s">
        <v>996</v>
      </c>
      <c r="B833" t="s">
        <v>310</v>
      </c>
      <c r="C833" t="s">
        <v>558</v>
      </c>
      <c r="D833" s="1">
        <v>45159</v>
      </c>
      <c r="E833" s="1">
        <v>45219</v>
      </c>
      <c r="F833" t="s">
        <v>31</v>
      </c>
      <c r="G833">
        <v>105954.39</v>
      </c>
      <c r="H833" s="1">
        <v>45238</v>
      </c>
      <c r="I833" t="s">
        <v>555</v>
      </c>
      <c r="J833" t="s">
        <v>556</v>
      </c>
      <c r="L833">
        <v>105954.39</v>
      </c>
      <c r="M833">
        <f>IF(F833="INR",1,INDEX('rates'!$B$2:$C$522,MATCH(D833,'rates'!$A$2:$A$522,1),MATCH(F833&amp;"/INR",'rates'!$B$1:$C$1,0)))</f>
        <v>90.479299999999995</v>
      </c>
      <c r="N833">
        <f t="shared" si="64"/>
        <v>9586679.0391269997</v>
      </c>
      <c r="O833">
        <f t="shared" si="65"/>
        <v>0</v>
      </c>
      <c r="P833">
        <f t="shared" si="66"/>
        <v>0</v>
      </c>
      <c r="Q833">
        <f t="shared" si="68"/>
        <v>19</v>
      </c>
      <c r="R833" t="str">
        <f t="shared" si="67"/>
        <v>Not open</v>
      </c>
    </row>
    <row r="834" spans="1:18" x14ac:dyDescent="0.3">
      <c r="A834" t="s">
        <v>998</v>
      </c>
      <c r="B834" t="s">
        <v>178</v>
      </c>
      <c r="C834" t="s">
        <v>560</v>
      </c>
      <c r="D834" s="1">
        <v>45160</v>
      </c>
      <c r="E834" s="1">
        <v>45190</v>
      </c>
      <c r="F834" t="s">
        <v>13</v>
      </c>
      <c r="G834">
        <v>15878330</v>
      </c>
      <c r="H834" s="1">
        <v>45197</v>
      </c>
      <c r="I834" t="s">
        <v>555</v>
      </c>
      <c r="J834" t="s">
        <v>556</v>
      </c>
      <c r="L834">
        <v>15878330</v>
      </c>
      <c r="M834">
        <f>IF(F834="INR",1,INDEX('rates'!$B$2:$C$522,MATCH(D834,'rates'!$A$2:$A$522,1),MATCH(F834&amp;"/INR",'rates'!$B$1:$C$1,0)))</f>
        <v>1</v>
      </c>
      <c r="N834">
        <f t="shared" ref="N834:N897" si="69">G834*M834</f>
        <v>15878330</v>
      </c>
      <c r="O834">
        <f t="shared" ref="O834:O897" si="70">IF(OR(I834="OPEN",I834="PARTIALLY PAID"),(G834-L834)*M834,0)</f>
        <v>0</v>
      </c>
      <c r="P834">
        <f t="shared" ref="P834:P897" si="71">IF(O834&gt;0,MAX(0,DATE(2025,3,31)-E834),0)</f>
        <v>0</v>
      </c>
      <c r="Q834">
        <f t="shared" si="68"/>
        <v>7</v>
      </c>
      <c r="R834" t="str">
        <f t="shared" ref="R834:R897" si="72">IF(O834=0,"Not open",IF(P834=0,"Not yet due",IF(P834&lt;=30,"1-30",IF(P834&lt;=60,"31-60",IF(P834&lt;=90,"61-90","90+")))))</f>
        <v>Not open</v>
      </c>
    </row>
    <row r="835" spans="1:18" x14ac:dyDescent="0.3">
      <c r="A835" t="s">
        <v>999</v>
      </c>
      <c r="B835" t="s">
        <v>186</v>
      </c>
      <c r="C835" t="s">
        <v>558</v>
      </c>
      <c r="D835" s="1">
        <v>45160</v>
      </c>
      <c r="E835" s="1">
        <v>45190</v>
      </c>
      <c r="F835" t="s">
        <v>36</v>
      </c>
      <c r="G835">
        <v>67873.75</v>
      </c>
      <c r="H835" s="1">
        <v>45284</v>
      </c>
      <c r="I835" t="s">
        <v>555</v>
      </c>
      <c r="J835" t="s">
        <v>573</v>
      </c>
      <c r="K835">
        <v>83.078199999999995</v>
      </c>
      <c r="L835">
        <v>67873.75</v>
      </c>
      <c r="M835">
        <f>IF(F835="INR",1,INDEX('rates'!$B$2:$C$522,MATCH(D835,'rates'!$A$2:$A$522,1),MATCH(F835&amp;"/INR",'rates'!$B$1:$C$1,0)))</f>
        <v>82.94</v>
      </c>
      <c r="N835">
        <f t="shared" si="69"/>
        <v>5629448.8250000002</v>
      </c>
      <c r="O835">
        <f t="shared" si="70"/>
        <v>0</v>
      </c>
      <c r="P835">
        <f t="shared" si="71"/>
        <v>0</v>
      </c>
      <c r="Q835">
        <f t="shared" si="68"/>
        <v>94</v>
      </c>
      <c r="R835" t="str">
        <f t="shared" si="72"/>
        <v>Not open</v>
      </c>
    </row>
    <row r="836" spans="1:18" x14ac:dyDescent="0.3">
      <c r="A836" t="s">
        <v>1000</v>
      </c>
      <c r="B836" t="s">
        <v>190</v>
      </c>
      <c r="C836" t="s">
        <v>558</v>
      </c>
      <c r="D836" s="1">
        <v>45160</v>
      </c>
      <c r="E836" s="1">
        <v>45190</v>
      </c>
      <c r="F836" t="s">
        <v>13</v>
      </c>
      <c r="G836">
        <v>14482130</v>
      </c>
      <c r="H836" s="1">
        <v>45213</v>
      </c>
      <c r="I836" t="s">
        <v>555</v>
      </c>
      <c r="J836" t="s">
        <v>556</v>
      </c>
      <c r="L836">
        <v>14482130</v>
      </c>
      <c r="M836">
        <f>IF(F836="INR",1,INDEX('rates'!$B$2:$C$522,MATCH(D836,'rates'!$A$2:$A$522,1),MATCH(F836&amp;"/INR",'rates'!$B$1:$C$1,0)))</f>
        <v>1</v>
      </c>
      <c r="N836">
        <f t="shared" si="69"/>
        <v>14482130</v>
      </c>
      <c r="O836">
        <f t="shared" si="70"/>
        <v>0</v>
      </c>
      <c r="P836">
        <f t="shared" si="71"/>
        <v>0</v>
      </c>
      <c r="Q836">
        <f t="shared" si="68"/>
        <v>23</v>
      </c>
      <c r="R836" t="str">
        <f t="shared" si="72"/>
        <v>Not open</v>
      </c>
    </row>
    <row r="837" spans="1:18" x14ac:dyDescent="0.3">
      <c r="A837" t="s">
        <v>1001</v>
      </c>
      <c r="B837" t="s">
        <v>346</v>
      </c>
      <c r="C837" t="s">
        <v>575</v>
      </c>
      <c r="D837" s="1">
        <v>45160</v>
      </c>
      <c r="E837" s="1">
        <v>45250</v>
      </c>
      <c r="F837" t="s">
        <v>13</v>
      </c>
      <c r="G837">
        <v>12034326</v>
      </c>
      <c r="H837" s="1">
        <v>45255</v>
      </c>
      <c r="I837" t="s">
        <v>555</v>
      </c>
      <c r="J837" t="s">
        <v>556</v>
      </c>
      <c r="L837">
        <v>12034326</v>
      </c>
      <c r="M837">
        <f>IF(F837="INR",1,INDEX('rates'!$B$2:$C$522,MATCH(D837,'rates'!$A$2:$A$522,1),MATCH(F837&amp;"/INR",'rates'!$B$1:$C$1,0)))</f>
        <v>1</v>
      </c>
      <c r="N837">
        <f t="shared" si="69"/>
        <v>12034326</v>
      </c>
      <c r="O837">
        <f t="shared" si="70"/>
        <v>0</v>
      </c>
      <c r="P837">
        <f t="shared" si="71"/>
        <v>0</v>
      </c>
      <c r="Q837">
        <f t="shared" si="68"/>
        <v>5</v>
      </c>
      <c r="R837" t="str">
        <f t="shared" si="72"/>
        <v>Not open</v>
      </c>
    </row>
    <row r="838" spans="1:18" x14ac:dyDescent="0.3">
      <c r="A838" t="s">
        <v>1002</v>
      </c>
      <c r="B838" t="s">
        <v>382</v>
      </c>
      <c r="C838" t="s">
        <v>566</v>
      </c>
      <c r="D838" s="1">
        <v>45160</v>
      </c>
      <c r="E838" s="1">
        <v>45250</v>
      </c>
      <c r="F838" t="s">
        <v>36</v>
      </c>
      <c r="G838">
        <v>64178.720000000001</v>
      </c>
      <c r="H838" s="1">
        <v>45267</v>
      </c>
      <c r="I838" t="s">
        <v>555</v>
      </c>
      <c r="J838" t="s">
        <v>573</v>
      </c>
      <c r="K838">
        <v>83.354699999999994</v>
      </c>
      <c r="L838">
        <v>64178.720000000001</v>
      </c>
      <c r="M838">
        <f>IF(F838="INR",1,INDEX('rates'!$B$2:$C$522,MATCH(D838,'rates'!$A$2:$A$522,1),MATCH(F838&amp;"/INR",'rates'!$B$1:$C$1,0)))</f>
        <v>82.94</v>
      </c>
      <c r="N838">
        <f t="shared" si="69"/>
        <v>5322983.0367999999</v>
      </c>
      <c r="O838">
        <f t="shared" si="70"/>
        <v>0</v>
      </c>
      <c r="P838">
        <f t="shared" si="71"/>
        <v>0</v>
      </c>
      <c r="Q838">
        <f t="shared" si="68"/>
        <v>17</v>
      </c>
      <c r="R838" t="str">
        <f t="shared" si="72"/>
        <v>Not open</v>
      </c>
    </row>
    <row r="839" spans="1:18" x14ac:dyDescent="0.3">
      <c r="A839" t="s">
        <v>1003</v>
      </c>
      <c r="B839" t="s">
        <v>464</v>
      </c>
      <c r="C839" t="s">
        <v>560</v>
      </c>
      <c r="D839" s="1">
        <v>45160</v>
      </c>
      <c r="E839" s="1">
        <v>45250</v>
      </c>
      <c r="F839" t="s">
        <v>13</v>
      </c>
      <c r="G839">
        <v>11133714</v>
      </c>
      <c r="H839" s="1">
        <v>45249</v>
      </c>
      <c r="I839" t="s">
        <v>555</v>
      </c>
      <c r="J839" t="s">
        <v>556</v>
      </c>
      <c r="L839">
        <v>11133714</v>
      </c>
      <c r="M839">
        <f>IF(F839="INR",1,INDEX('rates'!$B$2:$C$522,MATCH(D839,'rates'!$A$2:$A$522,1),MATCH(F839&amp;"/INR",'rates'!$B$1:$C$1,0)))</f>
        <v>1</v>
      </c>
      <c r="N839">
        <f t="shared" si="69"/>
        <v>11133714</v>
      </c>
      <c r="O839">
        <f t="shared" si="70"/>
        <v>0</v>
      </c>
      <c r="P839">
        <f t="shared" si="71"/>
        <v>0</v>
      </c>
      <c r="Q839">
        <f t="shared" si="68"/>
        <v>-1</v>
      </c>
      <c r="R839" t="str">
        <f t="shared" si="72"/>
        <v>Not open</v>
      </c>
    </row>
    <row r="840" spans="1:18" x14ac:dyDescent="0.3">
      <c r="A840" t="s">
        <v>1004</v>
      </c>
      <c r="B840" t="s">
        <v>244</v>
      </c>
      <c r="C840" t="s">
        <v>575</v>
      </c>
      <c r="D840" s="1">
        <v>45161</v>
      </c>
      <c r="E840" s="1">
        <v>45221</v>
      </c>
      <c r="F840" t="s">
        <v>36</v>
      </c>
      <c r="G840">
        <v>163717.18</v>
      </c>
      <c r="H840" s="1">
        <v>45299</v>
      </c>
      <c r="I840" t="s">
        <v>555</v>
      </c>
      <c r="J840" t="s">
        <v>573</v>
      </c>
      <c r="K840">
        <v>82.965599999999995</v>
      </c>
      <c r="L840">
        <v>163717.18</v>
      </c>
      <c r="M840">
        <f>IF(F840="INR",1,INDEX('rates'!$B$2:$C$522,MATCH(D840,'rates'!$A$2:$A$522,1),MATCH(F840&amp;"/INR",'rates'!$B$1:$C$1,0)))</f>
        <v>82.69</v>
      </c>
      <c r="N840">
        <f t="shared" si="69"/>
        <v>13537773.6142</v>
      </c>
      <c r="O840">
        <f t="shared" si="70"/>
        <v>0</v>
      </c>
      <c r="P840">
        <f t="shared" si="71"/>
        <v>0</v>
      </c>
      <c r="Q840">
        <f t="shared" si="68"/>
        <v>78</v>
      </c>
      <c r="R840" t="str">
        <f t="shared" si="72"/>
        <v>Not open</v>
      </c>
    </row>
    <row r="841" spans="1:18" x14ac:dyDescent="0.3">
      <c r="A841" t="s">
        <v>1005</v>
      </c>
      <c r="B841" t="s">
        <v>328</v>
      </c>
      <c r="C841" t="s">
        <v>554</v>
      </c>
      <c r="D841" s="1">
        <v>45161</v>
      </c>
      <c r="E841" s="1">
        <v>45206</v>
      </c>
      <c r="F841" t="s">
        <v>13</v>
      </c>
      <c r="G841">
        <v>4269083</v>
      </c>
      <c r="H841" s="1">
        <v>45202</v>
      </c>
      <c r="I841" t="s">
        <v>555</v>
      </c>
      <c r="J841" t="s">
        <v>556</v>
      </c>
      <c r="L841">
        <v>4269083</v>
      </c>
      <c r="M841">
        <f>IF(F841="INR",1,INDEX('rates'!$B$2:$C$522,MATCH(D841,'rates'!$A$2:$A$522,1),MATCH(F841&amp;"/INR",'rates'!$B$1:$C$1,0)))</f>
        <v>1</v>
      </c>
      <c r="N841">
        <f t="shared" si="69"/>
        <v>4269083</v>
      </c>
      <c r="O841">
        <f t="shared" si="70"/>
        <v>0</v>
      </c>
      <c r="P841">
        <f t="shared" si="71"/>
        <v>0</v>
      </c>
      <c r="Q841">
        <f t="shared" si="68"/>
        <v>-4</v>
      </c>
      <c r="R841" t="str">
        <f t="shared" si="72"/>
        <v>Not open</v>
      </c>
    </row>
    <row r="842" spans="1:18" x14ac:dyDescent="0.3">
      <c r="A842" t="s">
        <v>1006</v>
      </c>
      <c r="B842" t="s">
        <v>154</v>
      </c>
      <c r="C842" t="s">
        <v>566</v>
      </c>
      <c r="D842" s="1">
        <v>45162</v>
      </c>
      <c r="E842" s="1">
        <v>45192</v>
      </c>
      <c r="F842" t="s">
        <v>13</v>
      </c>
      <c r="G842">
        <v>15258571</v>
      </c>
      <c r="H842" s="1">
        <v>45194</v>
      </c>
      <c r="I842" t="s">
        <v>555</v>
      </c>
      <c r="J842" t="s">
        <v>556</v>
      </c>
      <c r="L842">
        <v>15258571</v>
      </c>
      <c r="M842">
        <f>IF(F842="INR",1,INDEX('rates'!$B$2:$C$522,MATCH(D842,'rates'!$A$2:$A$522,1),MATCH(F842&amp;"/INR",'rates'!$B$1:$C$1,0)))</f>
        <v>1</v>
      </c>
      <c r="N842">
        <f t="shared" si="69"/>
        <v>15258571</v>
      </c>
      <c r="O842">
        <f t="shared" si="70"/>
        <v>0</v>
      </c>
      <c r="P842">
        <f t="shared" si="71"/>
        <v>0</v>
      </c>
      <c r="Q842">
        <f t="shared" si="68"/>
        <v>2</v>
      </c>
      <c r="R842" t="str">
        <f t="shared" si="72"/>
        <v>Not open</v>
      </c>
    </row>
    <row r="843" spans="1:18" x14ac:dyDescent="0.3">
      <c r="A843" t="s">
        <v>1007</v>
      </c>
      <c r="B843" t="s">
        <v>178</v>
      </c>
      <c r="C843" t="s">
        <v>560</v>
      </c>
      <c r="D843" s="1">
        <v>45163</v>
      </c>
      <c r="E843" s="1">
        <v>45193</v>
      </c>
      <c r="F843" t="s">
        <v>13</v>
      </c>
      <c r="G843">
        <v>3246775</v>
      </c>
      <c r="H843" s="1">
        <v>45207</v>
      </c>
      <c r="I843" t="s">
        <v>555</v>
      </c>
      <c r="J843" t="s">
        <v>556</v>
      </c>
      <c r="L843">
        <v>3246775</v>
      </c>
      <c r="M843">
        <f>IF(F843="INR",1,INDEX('rates'!$B$2:$C$522,MATCH(D843,'rates'!$A$2:$A$522,1),MATCH(F843&amp;"/INR",'rates'!$B$1:$C$1,0)))</f>
        <v>1</v>
      </c>
      <c r="N843">
        <f t="shared" si="69"/>
        <v>3246775</v>
      </c>
      <c r="O843">
        <f t="shared" si="70"/>
        <v>0</v>
      </c>
      <c r="P843">
        <f t="shared" si="71"/>
        <v>0</v>
      </c>
      <c r="Q843">
        <f t="shared" si="68"/>
        <v>14</v>
      </c>
      <c r="R843" t="str">
        <f t="shared" si="72"/>
        <v>Not open</v>
      </c>
    </row>
    <row r="844" spans="1:18" x14ac:dyDescent="0.3">
      <c r="A844" t="s">
        <v>1008</v>
      </c>
      <c r="B844" t="s">
        <v>428</v>
      </c>
      <c r="C844" t="s">
        <v>566</v>
      </c>
      <c r="D844" s="1">
        <v>45163</v>
      </c>
      <c r="E844" s="1">
        <v>45223</v>
      </c>
      <c r="F844" t="s">
        <v>13</v>
      </c>
      <c r="G844">
        <v>2319104</v>
      </c>
      <c r="H844" s="1">
        <v>45227</v>
      </c>
      <c r="I844" t="s">
        <v>555</v>
      </c>
      <c r="J844" t="s">
        <v>556</v>
      </c>
      <c r="L844">
        <v>2319104</v>
      </c>
      <c r="M844">
        <f>IF(F844="INR",1,INDEX('rates'!$B$2:$C$522,MATCH(D844,'rates'!$A$2:$A$522,1),MATCH(F844&amp;"/INR",'rates'!$B$1:$C$1,0)))</f>
        <v>1</v>
      </c>
      <c r="N844">
        <f t="shared" si="69"/>
        <v>2319104</v>
      </c>
      <c r="O844">
        <f t="shared" si="70"/>
        <v>0</v>
      </c>
      <c r="P844">
        <f t="shared" si="71"/>
        <v>0</v>
      </c>
      <c r="Q844">
        <f t="shared" si="68"/>
        <v>4</v>
      </c>
      <c r="R844" t="str">
        <f t="shared" si="72"/>
        <v>Not open</v>
      </c>
    </row>
    <row r="845" spans="1:18" x14ac:dyDescent="0.3">
      <c r="A845" t="s">
        <v>1009</v>
      </c>
      <c r="B845" t="s">
        <v>528</v>
      </c>
      <c r="C845" t="s">
        <v>566</v>
      </c>
      <c r="D845" s="1">
        <v>45163</v>
      </c>
      <c r="E845" s="1">
        <v>45223</v>
      </c>
      <c r="F845" t="s">
        <v>13</v>
      </c>
      <c r="G845">
        <v>17489769</v>
      </c>
      <c r="H845" s="1">
        <v>45246</v>
      </c>
      <c r="I845" t="s">
        <v>555</v>
      </c>
      <c r="J845" t="s">
        <v>556</v>
      </c>
      <c r="L845">
        <v>17489769</v>
      </c>
      <c r="M845">
        <f>IF(F845="INR",1,INDEX('rates'!$B$2:$C$522,MATCH(D845,'rates'!$A$2:$A$522,1),MATCH(F845&amp;"/INR",'rates'!$B$1:$C$1,0)))</f>
        <v>1</v>
      </c>
      <c r="N845">
        <f t="shared" si="69"/>
        <v>17489769</v>
      </c>
      <c r="O845">
        <f t="shared" si="70"/>
        <v>0</v>
      </c>
      <c r="P845">
        <f t="shared" si="71"/>
        <v>0</v>
      </c>
      <c r="Q845">
        <f t="shared" si="68"/>
        <v>23</v>
      </c>
      <c r="R845" t="str">
        <f t="shared" si="72"/>
        <v>Not open</v>
      </c>
    </row>
    <row r="846" spans="1:18" x14ac:dyDescent="0.3">
      <c r="A846" t="s">
        <v>1010</v>
      </c>
      <c r="B846" t="s">
        <v>142</v>
      </c>
      <c r="C846" t="s">
        <v>560</v>
      </c>
      <c r="D846" s="1">
        <v>45164</v>
      </c>
      <c r="E846" s="1">
        <v>45224</v>
      </c>
      <c r="F846" t="s">
        <v>31</v>
      </c>
      <c r="G846">
        <v>14290.6</v>
      </c>
      <c r="H846" s="1">
        <v>45237</v>
      </c>
      <c r="I846" t="s">
        <v>555</v>
      </c>
      <c r="J846" t="s">
        <v>573</v>
      </c>
      <c r="K846">
        <v>89.322100000000006</v>
      </c>
      <c r="L846">
        <v>14290.6</v>
      </c>
      <c r="M846">
        <f>IF(F846="INR",1,INDEX('rates'!$B$2:$C$522,MATCH(D846,'rates'!$A$2:$A$522,1),MATCH(F846&amp;"/INR",'rates'!$B$1:$C$1,0)))</f>
        <v>89.143799999999999</v>
      </c>
      <c r="N846">
        <f t="shared" si="69"/>
        <v>1273918.3882800001</v>
      </c>
      <c r="O846">
        <f t="shared" si="70"/>
        <v>0</v>
      </c>
      <c r="P846">
        <f t="shared" si="71"/>
        <v>0</v>
      </c>
      <c r="Q846">
        <f t="shared" si="68"/>
        <v>13</v>
      </c>
      <c r="R846" t="str">
        <f t="shared" si="72"/>
        <v>Not open</v>
      </c>
    </row>
    <row r="847" spans="1:18" x14ac:dyDescent="0.3">
      <c r="A847" t="s">
        <v>1011</v>
      </c>
      <c r="B847" t="s">
        <v>154</v>
      </c>
      <c r="C847" t="s">
        <v>566</v>
      </c>
      <c r="D847" s="1">
        <v>45164</v>
      </c>
      <c r="E847" s="1">
        <v>45194</v>
      </c>
      <c r="F847" t="s">
        <v>13</v>
      </c>
      <c r="G847">
        <v>31667859</v>
      </c>
      <c r="H847" s="1">
        <v>45197</v>
      </c>
      <c r="I847" t="s">
        <v>555</v>
      </c>
      <c r="J847" t="s">
        <v>556</v>
      </c>
      <c r="L847">
        <v>31667859</v>
      </c>
      <c r="M847">
        <f>IF(F847="INR",1,INDEX('rates'!$B$2:$C$522,MATCH(D847,'rates'!$A$2:$A$522,1),MATCH(F847&amp;"/INR",'rates'!$B$1:$C$1,0)))</f>
        <v>1</v>
      </c>
      <c r="N847">
        <f t="shared" si="69"/>
        <v>31667859</v>
      </c>
      <c r="O847">
        <f t="shared" si="70"/>
        <v>0</v>
      </c>
      <c r="P847">
        <f t="shared" si="71"/>
        <v>0</v>
      </c>
      <c r="Q847">
        <f t="shared" si="68"/>
        <v>3</v>
      </c>
      <c r="R847" t="str">
        <f t="shared" si="72"/>
        <v>Not open</v>
      </c>
    </row>
    <row r="848" spans="1:18" x14ac:dyDescent="0.3">
      <c r="A848" t="s">
        <v>1012</v>
      </c>
      <c r="B848" t="s">
        <v>426</v>
      </c>
      <c r="C848" t="s">
        <v>566</v>
      </c>
      <c r="D848" s="1">
        <v>45164</v>
      </c>
      <c r="E848" s="1">
        <v>45209</v>
      </c>
      <c r="F848" t="s">
        <v>31</v>
      </c>
      <c r="G848">
        <v>29348.43</v>
      </c>
      <c r="H848" s="1">
        <v>45222</v>
      </c>
      <c r="I848" t="s">
        <v>555</v>
      </c>
      <c r="J848" t="s">
        <v>556</v>
      </c>
      <c r="L848">
        <v>29348.43</v>
      </c>
      <c r="M848">
        <f>IF(F848="INR",1,INDEX('rates'!$B$2:$C$522,MATCH(D848,'rates'!$A$2:$A$522,1),MATCH(F848&amp;"/INR",'rates'!$B$1:$C$1,0)))</f>
        <v>89.143799999999999</v>
      </c>
      <c r="N848">
        <f t="shared" si="69"/>
        <v>2616230.5742339999</v>
      </c>
      <c r="O848">
        <f t="shared" si="70"/>
        <v>0</v>
      </c>
      <c r="P848">
        <f t="shared" si="71"/>
        <v>0</v>
      </c>
      <c r="Q848">
        <f t="shared" si="68"/>
        <v>13</v>
      </c>
      <c r="R848" t="str">
        <f t="shared" si="72"/>
        <v>Not open</v>
      </c>
    </row>
    <row r="849" spans="1:18" x14ac:dyDescent="0.3">
      <c r="A849" t="s">
        <v>1013</v>
      </c>
      <c r="B849" t="s">
        <v>508</v>
      </c>
      <c r="C849" t="s">
        <v>554</v>
      </c>
      <c r="D849" s="1">
        <v>45164</v>
      </c>
      <c r="E849" s="1">
        <v>45224</v>
      </c>
      <c r="F849" t="s">
        <v>13</v>
      </c>
      <c r="G849">
        <v>4703698</v>
      </c>
      <c r="H849" s="1">
        <v>45232</v>
      </c>
      <c r="I849" t="s">
        <v>555</v>
      </c>
      <c r="J849" t="s">
        <v>556</v>
      </c>
      <c r="L849">
        <v>4703698</v>
      </c>
      <c r="M849">
        <f>IF(F849="INR",1,INDEX('rates'!$B$2:$C$522,MATCH(D849,'rates'!$A$2:$A$522,1),MATCH(F849&amp;"/INR",'rates'!$B$1:$C$1,0)))</f>
        <v>1</v>
      </c>
      <c r="N849">
        <f t="shared" si="69"/>
        <v>4703698</v>
      </c>
      <c r="O849">
        <f t="shared" si="70"/>
        <v>0</v>
      </c>
      <c r="P849">
        <f t="shared" si="71"/>
        <v>0</v>
      </c>
      <c r="Q849">
        <f t="shared" si="68"/>
        <v>8</v>
      </c>
      <c r="R849" t="str">
        <f t="shared" si="72"/>
        <v>Not open</v>
      </c>
    </row>
    <row r="850" spans="1:18" x14ac:dyDescent="0.3">
      <c r="A850" t="s">
        <v>1014</v>
      </c>
      <c r="B850" t="s">
        <v>138</v>
      </c>
      <c r="C850" t="s">
        <v>566</v>
      </c>
      <c r="D850" s="1">
        <v>45166</v>
      </c>
      <c r="E850" s="1">
        <v>45196</v>
      </c>
      <c r="F850" t="s">
        <v>13</v>
      </c>
      <c r="G850">
        <v>12492884</v>
      </c>
      <c r="H850" s="1">
        <v>45195</v>
      </c>
      <c r="I850" t="s">
        <v>555</v>
      </c>
      <c r="J850" t="s">
        <v>556</v>
      </c>
      <c r="L850">
        <v>12492884</v>
      </c>
      <c r="M850">
        <f>IF(F850="INR",1,INDEX('rates'!$B$2:$C$522,MATCH(D850,'rates'!$A$2:$A$522,1),MATCH(F850&amp;"/INR",'rates'!$B$1:$C$1,0)))</f>
        <v>1</v>
      </c>
      <c r="N850">
        <f t="shared" si="69"/>
        <v>12492884</v>
      </c>
      <c r="O850">
        <f t="shared" si="70"/>
        <v>0</v>
      </c>
      <c r="P850">
        <f t="shared" si="71"/>
        <v>0</v>
      </c>
      <c r="Q850">
        <f t="shared" si="68"/>
        <v>-1</v>
      </c>
      <c r="R850" t="str">
        <f t="shared" si="72"/>
        <v>Not open</v>
      </c>
    </row>
    <row r="851" spans="1:18" x14ac:dyDescent="0.3">
      <c r="A851" t="s">
        <v>1015</v>
      </c>
      <c r="B851" t="s">
        <v>382</v>
      </c>
      <c r="C851" t="s">
        <v>566</v>
      </c>
      <c r="D851" s="1">
        <v>45166</v>
      </c>
      <c r="E851" s="1">
        <v>45256</v>
      </c>
      <c r="F851" t="s">
        <v>36</v>
      </c>
      <c r="G851">
        <v>86376.47</v>
      </c>
      <c r="H851" s="1">
        <v>45273</v>
      </c>
      <c r="I851" t="s">
        <v>555</v>
      </c>
      <c r="J851" t="s">
        <v>556</v>
      </c>
      <c r="L851">
        <v>86376.47</v>
      </c>
      <c r="M851">
        <f>IF(F851="INR",1,INDEX('rates'!$B$2:$C$522,MATCH(D851,'rates'!$A$2:$A$522,1),MATCH(F851&amp;"/INR",'rates'!$B$1:$C$1,0)))</f>
        <v>82.6</v>
      </c>
      <c r="N851">
        <f t="shared" si="69"/>
        <v>7134696.4219999993</v>
      </c>
      <c r="O851">
        <f t="shared" si="70"/>
        <v>0</v>
      </c>
      <c r="P851">
        <f t="shared" si="71"/>
        <v>0</v>
      </c>
      <c r="Q851">
        <f t="shared" si="68"/>
        <v>17</v>
      </c>
      <c r="R851" t="str">
        <f t="shared" si="72"/>
        <v>Not open</v>
      </c>
    </row>
    <row r="852" spans="1:18" x14ac:dyDescent="0.3">
      <c r="A852" t="s">
        <v>1016</v>
      </c>
      <c r="B852" t="s">
        <v>33</v>
      </c>
      <c r="C852" t="s">
        <v>566</v>
      </c>
      <c r="D852" s="1">
        <v>45167</v>
      </c>
      <c r="E852" s="1">
        <v>45197</v>
      </c>
      <c r="F852" t="s">
        <v>36</v>
      </c>
      <c r="G852">
        <v>48451.4</v>
      </c>
      <c r="H852" s="1">
        <v>45216</v>
      </c>
      <c r="I852" t="s">
        <v>555</v>
      </c>
      <c r="J852" t="s">
        <v>556</v>
      </c>
      <c r="L852">
        <v>48451.4</v>
      </c>
      <c r="M852">
        <f>IF(F852="INR",1,INDEX('rates'!$B$2:$C$522,MATCH(D852,'rates'!$A$2:$A$522,1),MATCH(F852&amp;"/INR",'rates'!$B$1:$C$1,0)))</f>
        <v>82.7</v>
      </c>
      <c r="N852">
        <f t="shared" si="69"/>
        <v>4006930.7800000003</v>
      </c>
      <c r="O852">
        <f t="shared" si="70"/>
        <v>0</v>
      </c>
      <c r="P852">
        <f t="shared" si="71"/>
        <v>0</v>
      </c>
      <c r="Q852">
        <f t="shared" si="68"/>
        <v>19</v>
      </c>
      <c r="R852" t="str">
        <f t="shared" si="72"/>
        <v>Not open</v>
      </c>
    </row>
    <row r="853" spans="1:18" x14ac:dyDescent="0.3">
      <c r="A853" t="s">
        <v>1017</v>
      </c>
      <c r="B853" t="s">
        <v>42</v>
      </c>
      <c r="C853" t="s">
        <v>566</v>
      </c>
      <c r="D853" s="1">
        <v>45167</v>
      </c>
      <c r="E853" s="1">
        <v>45227</v>
      </c>
      <c r="F853" t="s">
        <v>13</v>
      </c>
      <c r="G853">
        <v>4295877</v>
      </c>
      <c r="H853" s="1">
        <v>45229</v>
      </c>
      <c r="I853" t="s">
        <v>555</v>
      </c>
      <c r="J853" t="s">
        <v>556</v>
      </c>
      <c r="L853">
        <v>4295877</v>
      </c>
      <c r="M853">
        <f>IF(F853="INR",1,INDEX('rates'!$B$2:$C$522,MATCH(D853,'rates'!$A$2:$A$522,1),MATCH(F853&amp;"/INR",'rates'!$B$1:$C$1,0)))</f>
        <v>1</v>
      </c>
      <c r="N853">
        <f t="shared" si="69"/>
        <v>4295877</v>
      </c>
      <c r="O853">
        <f t="shared" si="70"/>
        <v>0</v>
      </c>
      <c r="P853">
        <f t="shared" si="71"/>
        <v>0</v>
      </c>
      <c r="Q853">
        <f t="shared" si="68"/>
        <v>2</v>
      </c>
      <c r="R853" t="str">
        <f t="shared" si="72"/>
        <v>Not open</v>
      </c>
    </row>
    <row r="854" spans="1:18" x14ac:dyDescent="0.3">
      <c r="A854" t="s">
        <v>1018</v>
      </c>
      <c r="B854" t="s">
        <v>144</v>
      </c>
      <c r="C854" t="s">
        <v>554</v>
      </c>
      <c r="D854" s="1">
        <v>45167</v>
      </c>
      <c r="E854" s="1">
        <v>45197</v>
      </c>
      <c r="F854" t="s">
        <v>13</v>
      </c>
      <c r="G854">
        <v>7562142</v>
      </c>
      <c r="H854" s="1">
        <v>45214</v>
      </c>
      <c r="I854" t="s">
        <v>555</v>
      </c>
      <c r="J854" t="s">
        <v>556</v>
      </c>
      <c r="L854">
        <v>7562142</v>
      </c>
      <c r="M854">
        <f>IF(F854="INR",1,INDEX('rates'!$B$2:$C$522,MATCH(D854,'rates'!$A$2:$A$522,1),MATCH(F854&amp;"/INR",'rates'!$B$1:$C$1,0)))</f>
        <v>1</v>
      </c>
      <c r="N854">
        <f t="shared" si="69"/>
        <v>7562142</v>
      </c>
      <c r="O854">
        <f t="shared" si="70"/>
        <v>0</v>
      </c>
      <c r="P854">
        <f t="shared" si="71"/>
        <v>0</v>
      </c>
      <c r="Q854">
        <f t="shared" si="68"/>
        <v>17</v>
      </c>
      <c r="R854" t="str">
        <f t="shared" si="72"/>
        <v>Not open</v>
      </c>
    </row>
    <row r="855" spans="1:18" x14ac:dyDescent="0.3">
      <c r="A855" t="s">
        <v>1019</v>
      </c>
      <c r="B855" t="s">
        <v>262</v>
      </c>
      <c r="C855" t="s">
        <v>566</v>
      </c>
      <c r="D855" s="1">
        <v>45167</v>
      </c>
      <c r="E855" s="1">
        <v>45257</v>
      </c>
      <c r="F855" t="s">
        <v>31</v>
      </c>
      <c r="G855">
        <v>98818.07</v>
      </c>
      <c r="H855" s="1">
        <v>45264</v>
      </c>
      <c r="I855" t="s">
        <v>555</v>
      </c>
      <c r="J855" t="s">
        <v>573</v>
      </c>
      <c r="K855">
        <v>90.007000000000005</v>
      </c>
      <c r="L855">
        <v>98818.07</v>
      </c>
      <c r="M855">
        <f>IF(F855="INR",1,INDEX('rates'!$B$2:$C$522,MATCH(D855,'rates'!$A$2:$A$522,1),MATCH(F855&amp;"/INR",'rates'!$B$1:$C$1,0)))</f>
        <v>89.737799999999993</v>
      </c>
      <c r="N855">
        <f t="shared" si="69"/>
        <v>8867716.2020459995</v>
      </c>
      <c r="O855">
        <f t="shared" si="70"/>
        <v>0</v>
      </c>
      <c r="P855">
        <f t="shared" si="71"/>
        <v>0</v>
      </c>
      <c r="Q855">
        <f t="shared" si="68"/>
        <v>7</v>
      </c>
      <c r="R855" t="str">
        <f t="shared" si="72"/>
        <v>Not open</v>
      </c>
    </row>
    <row r="856" spans="1:18" x14ac:dyDescent="0.3">
      <c r="A856" t="s">
        <v>1021</v>
      </c>
      <c r="B856" t="s">
        <v>138</v>
      </c>
      <c r="C856" t="s">
        <v>566</v>
      </c>
      <c r="D856" s="1">
        <v>45169</v>
      </c>
      <c r="E856" s="1">
        <v>45199</v>
      </c>
      <c r="F856" t="s">
        <v>13</v>
      </c>
      <c r="G856">
        <v>10266530</v>
      </c>
      <c r="H856" s="1">
        <v>45199</v>
      </c>
      <c r="I856" t="s">
        <v>555</v>
      </c>
      <c r="J856" t="s">
        <v>556</v>
      </c>
      <c r="L856">
        <v>10266530</v>
      </c>
      <c r="M856">
        <f>IF(F856="INR",1,INDEX('rates'!$B$2:$C$522,MATCH(D856,'rates'!$A$2:$A$522,1),MATCH(F856&amp;"/INR",'rates'!$B$1:$C$1,0)))</f>
        <v>1</v>
      </c>
      <c r="N856">
        <f t="shared" si="69"/>
        <v>10266530</v>
      </c>
      <c r="O856">
        <f t="shared" si="70"/>
        <v>0</v>
      </c>
      <c r="P856">
        <f t="shared" si="71"/>
        <v>0</v>
      </c>
      <c r="Q856">
        <f t="shared" si="68"/>
        <v>0</v>
      </c>
      <c r="R856" t="str">
        <f t="shared" si="72"/>
        <v>Not open</v>
      </c>
    </row>
    <row r="857" spans="1:18" x14ac:dyDescent="0.3">
      <c r="A857" t="s">
        <v>1022</v>
      </c>
      <c r="B857" t="s">
        <v>400</v>
      </c>
      <c r="C857" t="s">
        <v>558</v>
      </c>
      <c r="D857" s="1">
        <v>45169</v>
      </c>
      <c r="E857" s="1">
        <v>45214</v>
      </c>
      <c r="F857" t="s">
        <v>36</v>
      </c>
      <c r="G857">
        <v>59509.4</v>
      </c>
      <c r="H857" s="1">
        <v>45278</v>
      </c>
      <c r="I857" t="s">
        <v>555</v>
      </c>
      <c r="J857" t="s">
        <v>556</v>
      </c>
      <c r="L857">
        <v>59509.4</v>
      </c>
      <c r="M857">
        <f>IF(F857="INR",1,INDEX('rates'!$B$2:$C$522,MATCH(D857,'rates'!$A$2:$A$522,1),MATCH(F857&amp;"/INR",'rates'!$B$1:$C$1,0)))</f>
        <v>82.78</v>
      </c>
      <c r="N857">
        <f t="shared" si="69"/>
        <v>4926188.1320000002</v>
      </c>
      <c r="O857">
        <f t="shared" si="70"/>
        <v>0</v>
      </c>
      <c r="P857">
        <f t="shared" si="71"/>
        <v>0</v>
      </c>
      <c r="Q857">
        <f t="shared" si="68"/>
        <v>64</v>
      </c>
      <c r="R857" t="str">
        <f t="shared" si="72"/>
        <v>Not open</v>
      </c>
    </row>
    <row r="858" spans="1:18" x14ac:dyDescent="0.3">
      <c r="A858" t="s">
        <v>1023</v>
      </c>
      <c r="B858" t="s">
        <v>87</v>
      </c>
      <c r="C858" t="s">
        <v>566</v>
      </c>
      <c r="D858" s="1">
        <v>45170</v>
      </c>
      <c r="E858" s="1">
        <v>45215</v>
      </c>
      <c r="F858" t="s">
        <v>36</v>
      </c>
      <c r="G858">
        <v>52026.86</v>
      </c>
      <c r="H858" s="1">
        <v>45245</v>
      </c>
      <c r="I858" t="s">
        <v>555</v>
      </c>
      <c r="J858" t="s">
        <v>573</v>
      </c>
      <c r="K858">
        <v>82.896699999999996</v>
      </c>
      <c r="L858">
        <v>52026.86</v>
      </c>
      <c r="M858">
        <f>IF(F858="INR",1,INDEX('rates'!$B$2:$C$522,MATCH(D858,'rates'!$A$2:$A$522,1),MATCH(F858&amp;"/INR",'rates'!$B$1:$C$1,0)))</f>
        <v>82.69</v>
      </c>
      <c r="N858">
        <f t="shared" si="69"/>
        <v>4302101.0533999996</v>
      </c>
      <c r="O858">
        <f t="shared" si="70"/>
        <v>0</v>
      </c>
      <c r="P858">
        <f t="shared" si="71"/>
        <v>0</v>
      </c>
      <c r="Q858">
        <f t="shared" si="68"/>
        <v>30</v>
      </c>
      <c r="R858" t="str">
        <f t="shared" si="72"/>
        <v>Not open</v>
      </c>
    </row>
    <row r="859" spans="1:18" x14ac:dyDescent="0.3">
      <c r="A859" t="s">
        <v>1024</v>
      </c>
      <c r="B859" t="s">
        <v>476</v>
      </c>
      <c r="C859" t="s">
        <v>566</v>
      </c>
      <c r="D859" s="1">
        <v>45170</v>
      </c>
      <c r="E859" s="1">
        <v>45215</v>
      </c>
      <c r="F859" t="s">
        <v>13</v>
      </c>
      <c r="G859">
        <v>13570987</v>
      </c>
      <c r="H859" s="1">
        <v>45246</v>
      </c>
      <c r="I859" t="s">
        <v>555</v>
      </c>
      <c r="J859" t="s">
        <v>556</v>
      </c>
      <c r="L859">
        <v>13570987</v>
      </c>
      <c r="M859">
        <f>IF(F859="INR",1,INDEX('rates'!$B$2:$C$522,MATCH(D859,'rates'!$A$2:$A$522,1),MATCH(F859&amp;"/INR",'rates'!$B$1:$C$1,0)))</f>
        <v>1</v>
      </c>
      <c r="N859">
        <f t="shared" si="69"/>
        <v>13570987</v>
      </c>
      <c r="O859">
        <f t="shared" si="70"/>
        <v>0</v>
      </c>
      <c r="P859">
        <f t="shared" si="71"/>
        <v>0</v>
      </c>
      <c r="Q859">
        <f t="shared" si="68"/>
        <v>31</v>
      </c>
      <c r="R859" t="str">
        <f t="shared" si="72"/>
        <v>Not open</v>
      </c>
    </row>
    <row r="860" spans="1:18" x14ac:dyDescent="0.3">
      <c r="A860" t="s">
        <v>1025</v>
      </c>
      <c r="B860" t="s">
        <v>522</v>
      </c>
      <c r="C860" t="s">
        <v>566</v>
      </c>
      <c r="D860" s="1">
        <v>45170</v>
      </c>
      <c r="E860" s="1">
        <v>45230</v>
      </c>
      <c r="F860" t="s">
        <v>31</v>
      </c>
      <c r="G860">
        <v>74155.59</v>
      </c>
      <c r="H860" s="1"/>
      <c r="I860" t="s">
        <v>555</v>
      </c>
      <c r="J860" t="s">
        <v>573</v>
      </c>
      <c r="K860">
        <v>89.376099999999994</v>
      </c>
      <c r="L860">
        <v>74155.59</v>
      </c>
      <c r="M860">
        <f>IF(F860="INR",1,INDEX('rates'!$B$2:$C$522,MATCH(D860,'rates'!$A$2:$A$522,1),MATCH(F860&amp;"/INR",'rates'!$B$1:$C$1,0)))</f>
        <v>89.197699999999998</v>
      </c>
      <c r="N860">
        <f t="shared" si="69"/>
        <v>6614508.0701429993</v>
      </c>
      <c r="O860">
        <f t="shared" si="70"/>
        <v>0</v>
      </c>
      <c r="P860">
        <f t="shared" si="71"/>
        <v>0</v>
      </c>
      <c r="Q860" t="str">
        <f t="shared" si="68"/>
        <v/>
      </c>
      <c r="R860" t="str">
        <f t="shared" si="72"/>
        <v>Not open</v>
      </c>
    </row>
    <row r="861" spans="1:18" x14ac:dyDescent="0.3">
      <c r="A861" t="s">
        <v>1026</v>
      </c>
      <c r="B861" t="s">
        <v>72</v>
      </c>
      <c r="C861" t="s">
        <v>560</v>
      </c>
      <c r="D861" s="1">
        <v>45171</v>
      </c>
      <c r="E861" s="1">
        <v>45261</v>
      </c>
      <c r="F861" t="s">
        <v>31</v>
      </c>
      <c r="G861">
        <v>31033.79</v>
      </c>
      <c r="H861" s="1">
        <v>45284</v>
      </c>
      <c r="I861" t="s">
        <v>555</v>
      </c>
      <c r="J861" t="s">
        <v>573</v>
      </c>
      <c r="K861">
        <v>89.465299999999999</v>
      </c>
      <c r="L861">
        <v>31033.79</v>
      </c>
      <c r="M861">
        <f>IF(F861="INR",1,INDEX('rates'!$B$2:$C$522,MATCH(D861,'rates'!$A$2:$A$522,1),MATCH(F861&amp;"/INR",'rates'!$B$1:$C$1,0)))</f>
        <v>89.197699999999998</v>
      </c>
      <c r="N861">
        <f t="shared" si="69"/>
        <v>2768142.690283</v>
      </c>
      <c r="O861">
        <f t="shared" si="70"/>
        <v>0</v>
      </c>
      <c r="P861">
        <f t="shared" si="71"/>
        <v>0</v>
      </c>
      <c r="Q861">
        <f t="shared" si="68"/>
        <v>23</v>
      </c>
      <c r="R861" t="str">
        <f t="shared" si="72"/>
        <v>Not open</v>
      </c>
    </row>
    <row r="862" spans="1:18" x14ac:dyDescent="0.3">
      <c r="A862" t="s">
        <v>1027</v>
      </c>
      <c r="B862" t="s">
        <v>87</v>
      </c>
      <c r="C862" t="s">
        <v>566</v>
      </c>
      <c r="D862" s="1">
        <v>45171</v>
      </c>
      <c r="E862" s="1">
        <v>45216</v>
      </c>
      <c r="F862" t="s">
        <v>36</v>
      </c>
      <c r="G862">
        <v>69374.210000000006</v>
      </c>
      <c r="H862" s="1">
        <v>45235</v>
      </c>
      <c r="I862" t="s">
        <v>555</v>
      </c>
      <c r="J862" t="s">
        <v>556</v>
      </c>
      <c r="L862">
        <v>69374.210000000006</v>
      </c>
      <c r="M862">
        <f>IF(F862="INR",1,INDEX('rates'!$B$2:$C$522,MATCH(D862,'rates'!$A$2:$A$522,1),MATCH(F862&amp;"/INR",'rates'!$B$1:$C$1,0)))</f>
        <v>82.69</v>
      </c>
      <c r="N862">
        <f t="shared" si="69"/>
        <v>5736553.4249</v>
      </c>
      <c r="O862">
        <f t="shared" si="70"/>
        <v>0</v>
      </c>
      <c r="P862">
        <f t="shared" si="71"/>
        <v>0</v>
      </c>
      <c r="Q862">
        <f t="shared" si="68"/>
        <v>19</v>
      </c>
      <c r="R862" t="str">
        <f t="shared" si="72"/>
        <v>Not open</v>
      </c>
    </row>
    <row r="863" spans="1:18" x14ac:dyDescent="0.3">
      <c r="A863" t="s">
        <v>1028</v>
      </c>
      <c r="B863" t="s">
        <v>184</v>
      </c>
      <c r="C863" t="s">
        <v>575</v>
      </c>
      <c r="D863" s="1">
        <v>45171</v>
      </c>
      <c r="E863" s="1">
        <v>45261</v>
      </c>
      <c r="F863" t="s">
        <v>31</v>
      </c>
      <c r="G863">
        <v>157382.73000000001</v>
      </c>
      <c r="H863" s="1">
        <v>45270</v>
      </c>
      <c r="I863" t="s">
        <v>555</v>
      </c>
      <c r="J863" t="s">
        <v>556</v>
      </c>
      <c r="L863">
        <v>157382.73000000001</v>
      </c>
      <c r="M863">
        <f>IF(F863="INR",1,INDEX('rates'!$B$2:$C$522,MATCH(D863,'rates'!$A$2:$A$522,1),MATCH(F863&amp;"/INR",'rates'!$B$1:$C$1,0)))</f>
        <v>89.197699999999998</v>
      </c>
      <c r="N863">
        <f t="shared" si="69"/>
        <v>14038177.535721</v>
      </c>
      <c r="O863">
        <f t="shared" si="70"/>
        <v>0</v>
      </c>
      <c r="P863">
        <f t="shared" si="71"/>
        <v>0</v>
      </c>
      <c r="Q863">
        <f t="shared" si="68"/>
        <v>9</v>
      </c>
      <c r="R863" t="str">
        <f t="shared" si="72"/>
        <v>Not open</v>
      </c>
    </row>
    <row r="864" spans="1:18" x14ac:dyDescent="0.3">
      <c r="A864" t="s">
        <v>1029</v>
      </c>
      <c r="B864" t="s">
        <v>186</v>
      </c>
      <c r="C864" t="s">
        <v>558</v>
      </c>
      <c r="D864" s="1">
        <v>45171</v>
      </c>
      <c r="E864" s="1">
        <v>45201</v>
      </c>
      <c r="F864" t="s">
        <v>36</v>
      </c>
      <c r="G864">
        <v>74577.22</v>
      </c>
      <c r="H864" s="1">
        <v>45225</v>
      </c>
      <c r="I864" t="s">
        <v>555</v>
      </c>
      <c r="J864" t="s">
        <v>556</v>
      </c>
      <c r="L864">
        <v>74577.22</v>
      </c>
      <c r="M864">
        <f>IF(F864="INR",1,INDEX('rates'!$B$2:$C$522,MATCH(D864,'rates'!$A$2:$A$522,1),MATCH(F864&amp;"/INR",'rates'!$B$1:$C$1,0)))</f>
        <v>82.69</v>
      </c>
      <c r="N864">
        <f t="shared" si="69"/>
        <v>6166790.3218</v>
      </c>
      <c r="O864">
        <f t="shared" si="70"/>
        <v>0</v>
      </c>
      <c r="P864">
        <f t="shared" si="71"/>
        <v>0</v>
      </c>
      <c r="Q864">
        <f t="shared" si="68"/>
        <v>24</v>
      </c>
      <c r="R864" t="str">
        <f t="shared" si="72"/>
        <v>Not open</v>
      </c>
    </row>
    <row r="865" spans="1:18" x14ac:dyDescent="0.3">
      <c r="A865" t="s">
        <v>1031</v>
      </c>
      <c r="B865" t="s">
        <v>306</v>
      </c>
      <c r="C865" t="s">
        <v>558</v>
      </c>
      <c r="D865" s="1">
        <v>45171</v>
      </c>
      <c r="E865" s="1">
        <v>45261</v>
      </c>
      <c r="F865" t="s">
        <v>36</v>
      </c>
      <c r="G865">
        <v>118444.05</v>
      </c>
      <c r="H865" s="1">
        <v>45278</v>
      </c>
      <c r="I865" t="s">
        <v>555</v>
      </c>
      <c r="J865" t="s">
        <v>556</v>
      </c>
      <c r="L865">
        <v>118444.05</v>
      </c>
      <c r="M865">
        <f>IF(F865="INR",1,INDEX('rates'!$B$2:$C$522,MATCH(D865,'rates'!$A$2:$A$522,1),MATCH(F865&amp;"/INR",'rates'!$B$1:$C$1,0)))</f>
        <v>82.69</v>
      </c>
      <c r="N865">
        <f t="shared" si="69"/>
        <v>9794138.4945</v>
      </c>
      <c r="O865">
        <f t="shared" si="70"/>
        <v>0</v>
      </c>
      <c r="P865">
        <f t="shared" si="71"/>
        <v>0</v>
      </c>
      <c r="Q865">
        <f t="shared" si="68"/>
        <v>17</v>
      </c>
      <c r="R865" t="str">
        <f t="shared" si="72"/>
        <v>Not open</v>
      </c>
    </row>
    <row r="866" spans="1:18" x14ac:dyDescent="0.3">
      <c r="A866" t="s">
        <v>1032</v>
      </c>
      <c r="B866" t="s">
        <v>386</v>
      </c>
      <c r="C866" t="s">
        <v>575</v>
      </c>
      <c r="D866" s="1">
        <v>45171</v>
      </c>
      <c r="E866" s="1">
        <v>45231</v>
      </c>
      <c r="F866" t="s">
        <v>31</v>
      </c>
      <c r="G866">
        <v>63491.77</v>
      </c>
      <c r="H866" s="1">
        <v>45255</v>
      </c>
      <c r="I866" t="s">
        <v>555</v>
      </c>
      <c r="J866" t="s">
        <v>556</v>
      </c>
      <c r="L866">
        <v>63491.77</v>
      </c>
      <c r="M866">
        <f>IF(F866="INR",1,INDEX('rates'!$B$2:$C$522,MATCH(D866,'rates'!$A$2:$A$522,1),MATCH(F866&amp;"/INR",'rates'!$B$1:$C$1,0)))</f>
        <v>89.197699999999998</v>
      </c>
      <c r="N866">
        <f t="shared" si="69"/>
        <v>5663319.8529289998</v>
      </c>
      <c r="O866">
        <f t="shared" si="70"/>
        <v>0</v>
      </c>
      <c r="P866">
        <f t="shared" si="71"/>
        <v>0</v>
      </c>
      <c r="Q866">
        <f t="shared" si="68"/>
        <v>24</v>
      </c>
      <c r="R866" t="str">
        <f t="shared" si="72"/>
        <v>Not open</v>
      </c>
    </row>
    <row r="867" spans="1:18" x14ac:dyDescent="0.3">
      <c r="A867" t="s">
        <v>1033</v>
      </c>
      <c r="B867" t="s">
        <v>496</v>
      </c>
      <c r="C867" t="s">
        <v>566</v>
      </c>
      <c r="D867" s="1">
        <v>45171</v>
      </c>
      <c r="E867" s="1">
        <v>45216</v>
      </c>
      <c r="F867" t="s">
        <v>13</v>
      </c>
      <c r="G867">
        <v>3025737</v>
      </c>
      <c r="H867" s="1">
        <v>45222</v>
      </c>
      <c r="I867" t="s">
        <v>555</v>
      </c>
      <c r="J867" t="s">
        <v>556</v>
      </c>
      <c r="L867">
        <v>3025737</v>
      </c>
      <c r="M867">
        <f>IF(F867="INR",1,INDEX('rates'!$B$2:$C$522,MATCH(D867,'rates'!$A$2:$A$522,1),MATCH(F867&amp;"/INR",'rates'!$B$1:$C$1,0)))</f>
        <v>1</v>
      </c>
      <c r="N867">
        <f t="shared" si="69"/>
        <v>3025737</v>
      </c>
      <c r="O867">
        <f t="shared" si="70"/>
        <v>0</v>
      </c>
      <c r="P867">
        <f t="shared" si="71"/>
        <v>0</v>
      </c>
      <c r="Q867">
        <f t="shared" si="68"/>
        <v>6</v>
      </c>
      <c r="R867" t="str">
        <f t="shared" si="72"/>
        <v>Not open</v>
      </c>
    </row>
    <row r="868" spans="1:18" x14ac:dyDescent="0.3">
      <c r="A868" t="s">
        <v>1034</v>
      </c>
      <c r="B868" t="s">
        <v>500</v>
      </c>
      <c r="C868" t="s">
        <v>554</v>
      </c>
      <c r="D868" s="1">
        <v>45171</v>
      </c>
      <c r="E868" s="1">
        <v>45201</v>
      </c>
      <c r="F868" t="s">
        <v>13</v>
      </c>
      <c r="G868">
        <v>2239461</v>
      </c>
      <c r="H868" s="1">
        <v>45207</v>
      </c>
      <c r="I868" t="s">
        <v>555</v>
      </c>
      <c r="J868" t="s">
        <v>556</v>
      </c>
      <c r="L868">
        <v>2239461</v>
      </c>
      <c r="M868">
        <f>IF(F868="INR",1,INDEX('rates'!$B$2:$C$522,MATCH(D868,'rates'!$A$2:$A$522,1),MATCH(F868&amp;"/INR",'rates'!$B$1:$C$1,0)))</f>
        <v>1</v>
      </c>
      <c r="N868">
        <f t="shared" si="69"/>
        <v>2239461</v>
      </c>
      <c r="O868">
        <f t="shared" si="70"/>
        <v>0</v>
      </c>
      <c r="P868">
        <f t="shared" si="71"/>
        <v>0</v>
      </c>
      <c r="Q868">
        <f t="shared" si="68"/>
        <v>6</v>
      </c>
      <c r="R868" t="str">
        <f t="shared" si="72"/>
        <v>Not open</v>
      </c>
    </row>
    <row r="869" spans="1:18" x14ac:dyDescent="0.3">
      <c r="A869" t="s">
        <v>1035</v>
      </c>
      <c r="B869" t="s">
        <v>72</v>
      </c>
      <c r="C869" t="s">
        <v>560</v>
      </c>
      <c r="D869" s="1">
        <v>45173</v>
      </c>
      <c r="E869" s="1">
        <v>45263</v>
      </c>
      <c r="F869" t="s">
        <v>31</v>
      </c>
      <c r="G869">
        <v>144363.03</v>
      </c>
      <c r="H869" s="1">
        <v>45275</v>
      </c>
      <c r="I869" t="s">
        <v>555</v>
      </c>
      <c r="J869" t="s">
        <v>573</v>
      </c>
      <c r="K869">
        <v>89.465299999999999</v>
      </c>
      <c r="L869">
        <v>144363.03</v>
      </c>
      <c r="M869">
        <f>IF(F869="INR",1,INDEX('rates'!$B$2:$C$522,MATCH(D869,'rates'!$A$2:$A$522,1),MATCH(F869&amp;"/INR",'rates'!$B$1:$C$1,0)))</f>
        <v>89.197699999999998</v>
      </c>
      <c r="N869">
        <f t="shared" si="69"/>
        <v>12876850.241031</v>
      </c>
      <c r="O869">
        <f t="shared" si="70"/>
        <v>0</v>
      </c>
      <c r="P869">
        <f t="shared" si="71"/>
        <v>0</v>
      </c>
      <c r="Q869">
        <f t="shared" si="68"/>
        <v>12</v>
      </c>
      <c r="R869" t="str">
        <f t="shared" si="72"/>
        <v>Not open</v>
      </c>
    </row>
    <row r="870" spans="1:18" x14ac:dyDescent="0.3">
      <c r="A870" t="s">
        <v>1036</v>
      </c>
      <c r="B870" t="s">
        <v>105</v>
      </c>
      <c r="C870" t="s">
        <v>560</v>
      </c>
      <c r="D870" s="1">
        <v>45173</v>
      </c>
      <c r="E870" s="1">
        <v>45263</v>
      </c>
      <c r="F870" t="s">
        <v>36</v>
      </c>
      <c r="G870">
        <v>48221.32</v>
      </c>
      <c r="H870" s="1">
        <v>45311</v>
      </c>
      <c r="I870" t="s">
        <v>555</v>
      </c>
      <c r="J870" t="s">
        <v>556</v>
      </c>
      <c r="L870">
        <v>48221.32</v>
      </c>
      <c r="M870">
        <f>IF(F870="INR",1,INDEX('rates'!$B$2:$C$522,MATCH(D870,'rates'!$A$2:$A$522,1),MATCH(F870&amp;"/INR",'rates'!$B$1:$C$1,0)))</f>
        <v>82.69</v>
      </c>
      <c r="N870">
        <f t="shared" si="69"/>
        <v>3987420.9507999998</v>
      </c>
      <c r="O870">
        <f t="shared" si="70"/>
        <v>0</v>
      </c>
      <c r="P870">
        <f t="shared" si="71"/>
        <v>0</v>
      </c>
      <c r="Q870">
        <f t="shared" si="68"/>
        <v>48</v>
      </c>
      <c r="R870" t="str">
        <f t="shared" si="72"/>
        <v>Not open</v>
      </c>
    </row>
    <row r="871" spans="1:18" x14ac:dyDescent="0.3">
      <c r="A871" t="s">
        <v>1037</v>
      </c>
      <c r="B871" t="s">
        <v>156</v>
      </c>
      <c r="C871" t="s">
        <v>566</v>
      </c>
      <c r="D871" s="1">
        <v>45173</v>
      </c>
      <c r="E871" s="1">
        <v>45203</v>
      </c>
      <c r="F871" t="s">
        <v>13</v>
      </c>
      <c r="G871">
        <v>12324948</v>
      </c>
      <c r="H871" s="1">
        <v>45213</v>
      </c>
      <c r="I871" t="s">
        <v>555</v>
      </c>
      <c r="J871" t="s">
        <v>556</v>
      </c>
      <c r="L871">
        <v>12324948</v>
      </c>
      <c r="M871">
        <f>IF(F871="INR",1,INDEX('rates'!$B$2:$C$522,MATCH(D871,'rates'!$A$2:$A$522,1),MATCH(F871&amp;"/INR",'rates'!$B$1:$C$1,0)))</f>
        <v>1</v>
      </c>
      <c r="N871">
        <f t="shared" si="69"/>
        <v>12324948</v>
      </c>
      <c r="O871">
        <f t="shared" si="70"/>
        <v>0</v>
      </c>
      <c r="P871">
        <f t="shared" si="71"/>
        <v>0</v>
      </c>
      <c r="Q871">
        <f t="shared" si="68"/>
        <v>10</v>
      </c>
      <c r="R871" t="str">
        <f t="shared" si="72"/>
        <v>Not open</v>
      </c>
    </row>
    <row r="872" spans="1:18" x14ac:dyDescent="0.3">
      <c r="A872" t="s">
        <v>1038</v>
      </c>
      <c r="B872" t="s">
        <v>190</v>
      </c>
      <c r="C872" t="s">
        <v>558</v>
      </c>
      <c r="D872" s="1">
        <v>45173</v>
      </c>
      <c r="E872" s="1">
        <v>45203</v>
      </c>
      <c r="F872" t="s">
        <v>13</v>
      </c>
      <c r="G872">
        <v>1170936</v>
      </c>
      <c r="H872" s="1">
        <v>45219</v>
      </c>
      <c r="I872" t="s">
        <v>555</v>
      </c>
      <c r="J872" t="s">
        <v>556</v>
      </c>
      <c r="L872">
        <v>1170936</v>
      </c>
      <c r="M872">
        <f>IF(F872="INR",1,INDEX('rates'!$B$2:$C$522,MATCH(D872,'rates'!$A$2:$A$522,1),MATCH(F872&amp;"/INR",'rates'!$B$1:$C$1,0)))</f>
        <v>1</v>
      </c>
      <c r="N872">
        <f t="shared" si="69"/>
        <v>1170936</v>
      </c>
      <c r="O872">
        <f t="shared" si="70"/>
        <v>0</v>
      </c>
      <c r="P872">
        <f t="shared" si="71"/>
        <v>0</v>
      </c>
      <c r="Q872">
        <f t="shared" si="68"/>
        <v>16</v>
      </c>
      <c r="R872" t="str">
        <f t="shared" si="72"/>
        <v>Not open</v>
      </c>
    </row>
    <row r="873" spans="1:18" x14ac:dyDescent="0.3">
      <c r="A873" t="s">
        <v>1039</v>
      </c>
      <c r="B873" t="s">
        <v>200</v>
      </c>
      <c r="C873" t="s">
        <v>554</v>
      </c>
      <c r="D873" s="1">
        <v>45173</v>
      </c>
      <c r="E873" s="1">
        <v>45233</v>
      </c>
      <c r="F873" t="s">
        <v>13</v>
      </c>
      <c r="G873">
        <v>7043539</v>
      </c>
      <c r="H873" s="1">
        <v>45250</v>
      </c>
      <c r="I873" t="s">
        <v>555</v>
      </c>
      <c r="J873" t="s">
        <v>556</v>
      </c>
      <c r="L873">
        <v>7043539</v>
      </c>
      <c r="M873">
        <f>IF(F873="INR",1,INDEX('rates'!$B$2:$C$522,MATCH(D873,'rates'!$A$2:$A$522,1),MATCH(F873&amp;"/INR",'rates'!$B$1:$C$1,0)))</f>
        <v>1</v>
      </c>
      <c r="N873">
        <f t="shared" si="69"/>
        <v>7043539</v>
      </c>
      <c r="O873">
        <f t="shared" si="70"/>
        <v>0</v>
      </c>
      <c r="P873">
        <f t="shared" si="71"/>
        <v>0</v>
      </c>
      <c r="Q873">
        <f t="shared" si="68"/>
        <v>17</v>
      </c>
      <c r="R873" t="str">
        <f t="shared" si="72"/>
        <v>Not open</v>
      </c>
    </row>
    <row r="874" spans="1:18" x14ac:dyDescent="0.3">
      <c r="A874" t="s">
        <v>1040</v>
      </c>
      <c r="B874" t="s">
        <v>302</v>
      </c>
      <c r="C874" t="s">
        <v>558</v>
      </c>
      <c r="D874" s="1">
        <v>45173</v>
      </c>
      <c r="E874" s="1">
        <v>45263</v>
      </c>
      <c r="F874" t="s">
        <v>13</v>
      </c>
      <c r="G874">
        <v>3569459</v>
      </c>
      <c r="H874" s="1">
        <v>45265</v>
      </c>
      <c r="I874" t="s">
        <v>555</v>
      </c>
      <c r="J874" t="s">
        <v>556</v>
      </c>
      <c r="L874">
        <v>3569459</v>
      </c>
      <c r="M874">
        <f>IF(F874="INR",1,INDEX('rates'!$B$2:$C$522,MATCH(D874,'rates'!$A$2:$A$522,1),MATCH(F874&amp;"/INR",'rates'!$B$1:$C$1,0)))</f>
        <v>1</v>
      </c>
      <c r="N874">
        <f t="shared" si="69"/>
        <v>3569459</v>
      </c>
      <c r="O874">
        <f t="shared" si="70"/>
        <v>0</v>
      </c>
      <c r="P874">
        <f t="shared" si="71"/>
        <v>0</v>
      </c>
      <c r="Q874">
        <f t="shared" si="68"/>
        <v>2</v>
      </c>
      <c r="R874" t="str">
        <f t="shared" si="72"/>
        <v>Not open</v>
      </c>
    </row>
    <row r="875" spans="1:18" x14ac:dyDescent="0.3">
      <c r="A875" t="s">
        <v>1041</v>
      </c>
      <c r="B875" t="s">
        <v>524</v>
      </c>
      <c r="C875" t="s">
        <v>554</v>
      </c>
      <c r="D875" s="1">
        <v>45173</v>
      </c>
      <c r="E875" s="1">
        <v>45233</v>
      </c>
      <c r="F875" t="s">
        <v>31</v>
      </c>
      <c r="G875">
        <v>10150.07</v>
      </c>
      <c r="H875" s="1">
        <v>45244</v>
      </c>
      <c r="I875" t="s">
        <v>555</v>
      </c>
      <c r="J875" t="s">
        <v>556</v>
      </c>
      <c r="L875">
        <v>10150.07</v>
      </c>
      <c r="M875">
        <f>IF(F875="INR",1,INDEX('rates'!$B$2:$C$522,MATCH(D875,'rates'!$A$2:$A$522,1),MATCH(F875&amp;"/INR",'rates'!$B$1:$C$1,0)))</f>
        <v>89.197699999999998</v>
      </c>
      <c r="N875">
        <f t="shared" si="69"/>
        <v>905362.89883899991</v>
      </c>
      <c r="O875">
        <f t="shared" si="70"/>
        <v>0</v>
      </c>
      <c r="P875">
        <f t="shared" si="71"/>
        <v>0</v>
      </c>
      <c r="Q875">
        <f t="shared" si="68"/>
        <v>11</v>
      </c>
      <c r="R875" t="str">
        <f t="shared" si="72"/>
        <v>Not open</v>
      </c>
    </row>
    <row r="876" spans="1:18" x14ac:dyDescent="0.3">
      <c r="A876" t="s">
        <v>1042</v>
      </c>
      <c r="B876" t="s">
        <v>146</v>
      </c>
      <c r="C876" t="s">
        <v>560</v>
      </c>
      <c r="D876" s="1">
        <v>45174</v>
      </c>
      <c r="E876" s="1">
        <v>45234</v>
      </c>
      <c r="F876" t="s">
        <v>31</v>
      </c>
      <c r="G876">
        <v>58861.94</v>
      </c>
      <c r="H876" s="1">
        <v>45249</v>
      </c>
      <c r="I876" t="s">
        <v>555</v>
      </c>
      <c r="J876" t="s">
        <v>573</v>
      </c>
      <c r="K876">
        <v>89.244399999999999</v>
      </c>
      <c r="L876">
        <v>58861.94</v>
      </c>
      <c r="M876">
        <f>IF(F876="INR",1,INDEX('rates'!$B$2:$C$522,MATCH(D876,'rates'!$A$2:$A$522,1),MATCH(F876&amp;"/INR",'rates'!$B$1:$C$1,0)))</f>
        <v>89.066299999999998</v>
      </c>
      <c r="N876">
        <f t="shared" si="69"/>
        <v>5242615.2066219999</v>
      </c>
      <c r="O876">
        <f t="shared" si="70"/>
        <v>0</v>
      </c>
      <c r="P876">
        <f t="shared" si="71"/>
        <v>0</v>
      </c>
      <c r="Q876">
        <f t="shared" si="68"/>
        <v>15</v>
      </c>
      <c r="R876" t="str">
        <f t="shared" si="72"/>
        <v>Not open</v>
      </c>
    </row>
    <row r="877" spans="1:18" x14ac:dyDescent="0.3">
      <c r="A877" t="s">
        <v>1043</v>
      </c>
      <c r="B877" t="s">
        <v>298</v>
      </c>
      <c r="C877" t="s">
        <v>560</v>
      </c>
      <c r="D877" s="1">
        <v>45174</v>
      </c>
      <c r="E877" s="1">
        <v>45234</v>
      </c>
      <c r="F877" t="s">
        <v>31</v>
      </c>
      <c r="G877">
        <v>482733.32</v>
      </c>
      <c r="H877" s="1">
        <v>45242</v>
      </c>
      <c r="I877" t="s">
        <v>555</v>
      </c>
      <c r="J877" t="s">
        <v>573</v>
      </c>
      <c r="K877">
        <v>89.244399999999999</v>
      </c>
      <c r="L877">
        <v>482733.32</v>
      </c>
      <c r="M877">
        <f>IF(F877="INR",1,INDEX('rates'!$B$2:$C$522,MATCH(D877,'rates'!$A$2:$A$522,1),MATCH(F877&amp;"/INR",'rates'!$B$1:$C$1,0)))</f>
        <v>89.066299999999998</v>
      </c>
      <c r="N877">
        <f t="shared" si="69"/>
        <v>42995270.699115999</v>
      </c>
      <c r="O877">
        <f t="shared" si="70"/>
        <v>0</v>
      </c>
      <c r="P877">
        <f t="shared" si="71"/>
        <v>0</v>
      </c>
      <c r="Q877">
        <f t="shared" si="68"/>
        <v>8</v>
      </c>
      <c r="R877" t="str">
        <f t="shared" si="72"/>
        <v>Not open</v>
      </c>
    </row>
    <row r="878" spans="1:18" x14ac:dyDescent="0.3">
      <c r="A878" t="s">
        <v>1044</v>
      </c>
      <c r="B878" t="s">
        <v>386</v>
      </c>
      <c r="C878" t="s">
        <v>575</v>
      </c>
      <c r="D878" s="1">
        <v>45174</v>
      </c>
      <c r="E878" s="1">
        <v>45234</v>
      </c>
      <c r="F878" t="s">
        <v>31</v>
      </c>
      <c r="G878">
        <v>278139.07</v>
      </c>
      <c r="H878" s="1">
        <v>45255</v>
      </c>
      <c r="I878" t="s">
        <v>555</v>
      </c>
      <c r="J878" t="s">
        <v>573</v>
      </c>
      <c r="K878">
        <v>89.244399999999999</v>
      </c>
      <c r="L878">
        <v>278139.07</v>
      </c>
      <c r="M878">
        <f>IF(F878="INR",1,INDEX('rates'!$B$2:$C$522,MATCH(D878,'rates'!$A$2:$A$522,1),MATCH(F878&amp;"/INR",'rates'!$B$1:$C$1,0)))</f>
        <v>89.066299999999998</v>
      </c>
      <c r="N878">
        <f t="shared" si="69"/>
        <v>24772817.850341</v>
      </c>
      <c r="O878">
        <f t="shared" si="70"/>
        <v>0</v>
      </c>
      <c r="P878">
        <f t="shared" si="71"/>
        <v>0</v>
      </c>
      <c r="Q878">
        <f t="shared" si="68"/>
        <v>21</v>
      </c>
      <c r="R878" t="str">
        <f t="shared" si="72"/>
        <v>Not open</v>
      </c>
    </row>
    <row r="879" spans="1:18" x14ac:dyDescent="0.3">
      <c r="A879" t="s">
        <v>1045</v>
      </c>
      <c r="B879" t="s">
        <v>230</v>
      </c>
      <c r="C879" t="s">
        <v>558</v>
      </c>
      <c r="D879" s="1">
        <v>45175</v>
      </c>
      <c r="E879" s="1">
        <v>45220</v>
      </c>
      <c r="F879" t="s">
        <v>13</v>
      </c>
      <c r="G879">
        <v>2267829</v>
      </c>
      <c r="H879" s="1">
        <v>45231</v>
      </c>
      <c r="I879" t="s">
        <v>555</v>
      </c>
      <c r="J879" t="s">
        <v>556</v>
      </c>
      <c r="L879">
        <v>2267829</v>
      </c>
      <c r="M879">
        <f>IF(F879="INR",1,INDEX('rates'!$B$2:$C$522,MATCH(D879,'rates'!$A$2:$A$522,1),MATCH(F879&amp;"/INR",'rates'!$B$1:$C$1,0)))</f>
        <v>1</v>
      </c>
      <c r="N879">
        <f t="shared" si="69"/>
        <v>2267829</v>
      </c>
      <c r="O879">
        <f t="shared" si="70"/>
        <v>0</v>
      </c>
      <c r="P879">
        <f t="shared" si="71"/>
        <v>0</v>
      </c>
      <c r="Q879">
        <f t="shared" si="68"/>
        <v>11</v>
      </c>
      <c r="R879" t="str">
        <f t="shared" si="72"/>
        <v>Not open</v>
      </c>
    </row>
    <row r="880" spans="1:18" x14ac:dyDescent="0.3">
      <c r="A880" t="s">
        <v>1046</v>
      </c>
      <c r="B880" t="s">
        <v>376</v>
      </c>
      <c r="C880" t="s">
        <v>566</v>
      </c>
      <c r="D880" s="1">
        <v>45175</v>
      </c>
      <c r="E880" s="1">
        <v>45235</v>
      </c>
      <c r="F880" t="s">
        <v>13</v>
      </c>
      <c r="G880">
        <v>9391176</v>
      </c>
      <c r="H880" s="1">
        <v>45240</v>
      </c>
      <c r="I880" t="s">
        <v>555</v>
      </c>
      <c r="J880" t="s">
        <v>556</v>
      </c>
      <c r="L880">
        <v>9391176</v>
      </c>
      <c r="M880">
        <f>IF(F880="INR",1,INDEX('rates'!$B$2:$C$522,MATCH(D880,'rates'!$A$2:$A$522,1),MATCH(F880&amp;"/INR",'rates'!$B$1:$C$1,0)))</f>
        <v>1</v>
      </c>
      <c r="N880">
        <f t="shared" si="69"/>
        <v>9391176</v>
      </c>
      <c r="O880">
        <f t="shared" si="70"/>
        <v>0</v>
      </c>
      <c r="P880">
        <f t="shared" si="71"/>
        <v>0</v>
      </c>
      <c r="Q880">
        <f t="shared" si="68"/>
        <v>5</v>
      </c>
      <c r="R880" t="str">
        <f t="shared" si="72"/>
        <v>Not open</v>
      </c>
    </row>
    <row r="881" spans="1:18" x14ac:dyDescent="0.3">
      <c r="A881" t="s">
        <v>1047</v>
      </c>
      <c r="B881" t="s">
        <v>528</v>
      </c>
      <c r="C881" t="s">
        <v>566</v>
      </c>
      <c r="D881" s="1">
        <v>45175</v>
      </c>
      <c r="E881" s="1">
        <v>45235</v>
      </c>
      <c r="F881" t="s">
        <v>13</v>
      </c>
      <c r="G881">
        <v>8160072</v>
      </c>
      <c r="H881" s="1">
        <v>45257</v>
      </c>
      <c r="I881" t="s">
        <v>555</v>
      </c>
      <c r="J881" t="s">
        <v>556</v>
      </c>
      <c r="L881">
        <v>8160072</v>
      </c>
      <c r="M881">
        <f>IF(F881="INR",1,INDEX('rates'!$B$2:$C$522,MATCH(D881,'rates'!$A$2:$A$522,1),MATCH(F881&amp;"/INR",'rates'!$B$1:$C$1,0)))</f>
        <v>1</v>
      </c>
      <c r="N881">
        <f t="shared" si="69"/>
        <v>8160072</v>
      </c>
      <c r="O881">
        <f t="shared" si="70"/>
        <v>0</v>
      </c>
      <c r="P881">
        <f t="shared" si="71"/>
        <v>0</v>
      </c>
      <c r="Q881">
        <f t="shared" si="68"/>
        <v>22</v>
      </c>
      <c r="R881" t="str">
        <f t="shared" si="72"/>
        <v>Not open</v>
      </c>
    </row>
    <row r="882" spans="1:18" x14ac:dyDescent="0.3">
      <c r="A882" t="s">
        <v>1048</v>
      </c>
      <c r="B882" t="s">
        <v>238</v>
      </c>
      <c r="C882" t="s">
        <v>566</v>
      </c>
      <c r="D882" s="1">
        <v>45176</v>
      </c>
      <c r="E882" s="1">
        <v>45236</v>
      </c>
      <c r="F882" t="s">
        <v>31</v>
      </c>
      <c r="G882">
        <v>28870.880000000001</v>
      </c>
      <c r="H882" s="1">
        <v>45257</v>
      </c>
      <c r="I882" t="s">
        <v>555</v>
      </c>
      <c r="J882" t="s">
        <v>573</v>
      </c>
      <c r="K882">
        <v>89.246099999999998</v>
      </c>
      <c r="L882">
        <v>28870.880000000001</v>
      </c>
      <c r="M882">
        <f>IF(F882="INR",1,INDEX('rates'!$B$2:$C$522,MATCH(D882,'rates'!$A$2:$A$522,1),MATCH(F882&amp;"/INR",'rates'!$B$1:$C$1,0)))</f>
        <v>89.067999999999998</v>
      </c>
      <c r="N882">
        <f t="shared" si="69"/>
        <v>2571471.5398400002</v>
      </c>
      <c r="O882">
        <f t="shared" si="70"/>
        <v>0</v>
      </c>
      <c r="P882">
        <f t="shared" si="71"/>
        <v>0</v>
      </c>
      <c r="Q882">
        <f t="shared" ref="Q882:Q945" si="73">IF(H882="","",H882-E882)</f>
        <v>21</v>
      </c>
      <c r="R882" t="str">
        <f t="shared" si="72"/>
        <v>Not open</v>
      </c>
    </row>
    <row r="883" spans="1:18" x14ac:dyDescent="0.3">
      <c r="A883" t="s">
        <v>1049</v>
      </c>
      <c r="B883" t="s">
        <v>172</v>
      </c>
      <c r="C883" t="s">
        <v>566</v>
      </c>
      <c r="D883" s="1">
        <v>45177</v>
      </c>
      <c r="E883" s="1">
        <v>45207</v>
      </c>
      <c r="F883" t="s">
        <v>13</v>
      </c>
      <c r="G883">
        <v>4271368</v>
      </c>
      <c r="H883" s="1"/>
      <c r="I883" t="s">
        <v>717</v>
      </c>
      <c r="J883" t="s">
        <v>556</v>
      </c>
      <c r="L883">
        <v>0</v>
      </c>
      <c r="M883">
        <f>IF(F883="INR",1,INDEX('rates'!$B$2:$C$522,MATCH(D883,'rates'!$A$2:$A$522,1),MATCH(F883&amp;"/INR",'rates'!$B$1:$C$1,0)))</f>
        <v>1</v>
      </c>
      <c r="N883">
        <f t="shared" si="69"/>
        <v>4271368</v>
      </c>
      <c r="O883">
        <f t="shared" si="70"/>
        <v>0</v>
      </c>
      <c r="P883">
        <f t="shared" si="71"/>
        <v>0</v>
      </c>
      <c r="Q883" t="str">
        <f t="shared" si="73"/>
        <v/>
      </c>
      <c r="R883" t="str">
        <f t="shared" si="72"/>
        <v>Not open</v>
      </c>
    </row>
    <row r="884" spans="1:18" x14ac:dyDescent="0.3">
      <c r="A884" t="s">
        <v>1050</v>
      </c>
      <c r="B884" t="s">
        <v>322</v>
      </c>
      <c r="C884" t="s">
        <v>558</v>
      </c>
      <c r="D884" s="1">
        <v>45177</v>
      </c>
      <c r="E884" s="1">
        <v>45237</v>
      </c>
      <c r="F884" t="s">
        <v>13</v>
      </c>
      <c r="G884">
        <v>6005343</v>
      </c>
      <c r="H884" s="1">
        <v>45253</v>
      </c>
      <c r="I884" t="s">
        <v>555</v>
      </c>
      <c r="J884" t="s">
        <v>556</v>
      </c>
      <c r="L884">
        <v>6005343</v>
      </c>
      <c r="M884">
        <f>IF(F884="INR",1,INDEX('rates'!$B$2:$C$522,MATCH(D884,'rates'!$A$2:$A$522,1),MATCH(F884&amp;"/INR",'rates'!$B$1:$C$1,0)))</f>
        <v>1</v>
      </c>
      <c r="N884">
        <f t="shared" si="69"/>
        <v>6005343</v>
      </c>
      <c r="O884">
        <f t="shared" si="70"/>
        <v>0</v>
      </c>
      <c r="P884">
        <f t="shared" si="71"/>
        <v>0</v>
      </c>
      <c r="Q884">
        <f t="shared" si="73"/>
        <v>16</v>
      </c>
      <c r="R884" t="str">
        <f t="shared" si="72"/>
        <v>Not open</v>
      </c>
    </row>
    <row r="885" spans="1:18" x14ac:dyDescent="0.3">
      <c r="A885" t="s">
        <v>1051</v>
      </c>
      <c r="B885" t="s">
        <v>478</v>
      </c>
      <c r="C885" t="s">
        <v>560</v>
      </c>
      <c r="D885" s="1">
        <v>45177</v>
      </c>
      <c r="E885" s="1">
        <v>45207</v>
      </c>
      <c r="F885" t="s">
        <v>13</v>
      </c>
      <c r="G885">
        <v>5136677</v>
      </c>
      <c r="H885" s="1">
        <v>45209</v>
      </c>
      <c r="I885" t="s">
        <v>555</v>
      </c>
      <c r="J885" t="s">
        <v>556</v>
      </c>
      <c r="L885">
        <v>5136677</v>
      </c>
      <c r="M885">
        <f>IF(F885="INR",1,INDEX('rates'!$B$2:$C$522,MATCH(D885,'rates'!$A$2:$A$522,1),MATCH(F885&amp;"/INR",'rates'!$B$1:$C$1,0)))</f>
        <v>1</v>
      </c>
      <c r="N885">
        <f t="shared" si="69"/>
        <v>5136677</v>
      </c>
      <c r="O885">
        <f t="shared" si="70"/>
        <v>0</v>
      </c>
      <c r="P885">
        <f t="shared" si="71"/>
        <v>0</v>
      </c>
      <c r="Q885">
        <f t="shared" si="73"/>
        <v>2</v>
      </c>
      <c r="R885" t="str">
        <f t="shared" si="72"/>
        <v>Not open</v>
      </c>
    </row>
    <row r="886" spans="1:18" x14ac:dyDescent="0.3">
      <c r="A886" t="s">
        <v>1052</v>
      </c>
      <c r="B886" t="s">
        <v>124</v>
      </c>
      <c r="C886" t="s">
        <v>566</v>
      </c>
      <c r="D886" s="1">
        <v>45178</v>
      </c>
      <c r="E886" s="1">
        <v>45238</v>
      </c>
      <c r="F886" t="s">
        <v>31</v>
      </c>
      <c r="G886">
        <v>100030.79</v>
      </c>
      <c r="H886" s="1"/>
      <c r="I886" t="s">
        <v>717</v>
      </c>
      <c r="J886" t="s">
        <v>573</v>
      </c>
      <c r="K886">
        <v>88.987300000000005</v>
      </c>
      <c r="L886">
        <v>0</v>
      </c>
      <c r="M886">
        <f>IF(F886="INR",1,INDEX('rates'!$B$2:$C$522,MATCH(D886,'rates'!$A$2:$A$522,1),MATCH(F886&amp;"/INR",'rates'!$B$1:$C$1,0)))</f>
        <v>88.809700000000007</v>
      </c>
      <c r="N886">
        <f t="shared" si="69"/>
        <v>8883704.4506630003</v>
      </c>
      <c r="O886">
        <f t="shared" si="70"/>
        <v>0</v>
      </c>
      <c r="P886">
        <f t="shared" si="71"/>
        <v>0</v>
      </c>
      <c r="Q886" t="str">
        <f t="shared" si="73"/>
        <v/>
      </c>
      <c r="R886" t="str">
        <f t="shared" si="72"/>
        <v>Not open</v>
      </c>
    </row>
    <row r="887" spans="1:18" x14ac:dyDescent="0.3">
      <c r="A887" t="s">
        <v>1053</v>
      </c>
      <c r="B887" t="s">
        <v>410</v>
      </c>
      <c r="C887" t="s">
        <v>566</v>
      </c>
      <c r="D887" s="1">
        <v>45178</v>
      </c>
      <c r="E887" s="1">
        <v>45238</v>
      </c>
      <c r="F887" t="s">
        <v>13</v>
      </c>
      <c r="G887">
        <v>3755956</v>
      </c>
      <c r="H887" s="1">
        <v>45266</v>
      </c>
      <c r="I887" t="s">
        <v>555</v>
      </c>
      <c r="J887" t="s">
        <v>556</v>
      </c>
      <c r="L887">
        <v>3755956</v>
      </c>
      <c r="M887">
        <f>IF(F887="INR",1,INDEX('rates'!$B$2:$C$522,MATCH(D887,'rates'!$A$2:$A$522,1),MATCH(F887&amp;"/INR",'rates'!$B$1:$C$1,0)))</f>
        <v>1</v>
      </c>
      <c r="N887">
        <f t="shared" si="69"/>
        <v>3755956</v>
      </c>
      <c r="O887">
        <f t="shared" si="70"/>
        <v>0</v>
      </c>
      <c r="P887">
        <f t="shared" si="71"/>
        <v>0</v>
      </c>
      <c r="Q887">
        <f t="shared" si="73"/>
        <v>28</v>
      </c>
      <c r="R887" t="str">
        <f t="shared" si="72"/>
        <v>Not open</v>
      </c>
    </row>
    <row r="888" spans="1:18" x14ac:dyDescent="0.3">
      <c r="A888" t="s">
        <v>1054</v>
      </c>
      <c r="B888" t="s">
        <v>85</v>
      </c>
      <c r="C888" t="s">
        <v>566</v>
      </c>
      <c r="D888" s="1">
        <v>45180</v>
      </c>
      <c r="E888" s="1">
        <v>45210</v>
      </c>
      <c r="F888" t="s">
        <v>13</v>
      </c>
      <c r="G888">
        <v>7403659</v>
      </c>
      <c r="H888" s="1">
        <v>45214</v>
      </c>
      <c r="I888" t="s">
        <v>555</v>
      </c>
      <c r="J888" t="s">
        <v>556</v>
      </c>
      <c r="L888">
        <v>7403659</v>
      </c>
      <c r="M888">
        <f>IF(F888="INR",1,INDEX('rates'!$B$2:$C$522,MATCH(D888,'rates'!$A$2:$A$522,1),MATCH(F888&amp;"/INR",'rates'!$B$1:$C$1,0)))</f>
        <v>1</v>
      </c>
      <c r="N888">
        <f t="shared" si="69"/>
        <v>7403659</v>
      </c>
      <c r="O888">
        <f t="shared" si="70"/>
        <v>0</v>
      </c>
      <c r="P888">
        <f t="shared" si="71"/>
        <v>0</v>
      </c>
      <c r="Q888">
        <f t="shared" si="73"/>
        <v>4</v>
      </c>
      <c r="R888" t="str">
        <f t="shared" si="72"/>
        <v>Not open</v>
      </c>
    </row>
    <row r="889" spans="1:18" x14ac:dyDescent="0.3">
      <c r="A889" t="s">
        <v>1055</v>
      </c>
      <c r="B889" t="s">
        <v>154</v>
      </c>
      <c r="C889" t="s">
        <v>566</v>
      </c>
      <c r="D889" s="1">
        <v>45180</v>
      </c>
      <c r="E889" s="1">
        <v>45210</v>
      </c>
      <c r="F889" t="s">
        <v>13</v>
      </c>
      <c r="G889">
        <v>22098766</v>
      </c>
      <c r="H889" s="1">
        <v>45211</v>
      </c>
      <c r="I889" t="s">
        <v>555</v>
      </c>
      <c r="J889" t="s">
        <v>556</v>
      </c>
      <c r="L889">
        <v>22098766</v>
      </c>
      <c r="M889">
        <f>IF(F889="INR",1,INDEX('rates'!$B$2:$C$522,MATCH(D889,'rates'!$A$2:$A$522,1),MATCH(F889&amp;"/INR",'rates'!$B$1:$C$1,0)))</f>
        <v>1</v>
      </c>
      <c r="N889">
        <f t="shared" si="69"/>
        <v>22098766</v>
      </c>
      <c r="O889">
        <f t="shared" si="70"/>
        <v>0</v>
      </c>
      <c r="P889">
        <f t="shared" si="71"/>
        <v>0</v>
      </c>
      <c r="Q889">
        <f t="shared" si="73"/>
        <v>1</v>
      </c>
      <c r="R889" t="str">
        <f t="shared" si="72"/>
        <v>Not open</v>
      </c>
    </row>
    <row r="890" spans="1:18" x14ac:dyDescent="0.3">
      <c r="A890" t="s">
        <v>1056</v>
      </c>
      <c r="B890" t="s">
        <v>154</v>
      </c>
      <c r="C890" t="s">
        <v>566</v>
      </c>
      <c r="D890" s="1">
        <v>45180</v>
      </c>
      <c r="E890" s="1">
        <v>45210</v>
      </c>
      <c r="F890" t="s">
        <v>13</v>
      </c>
      <c r="G890">
        <v>3472841</v>
      </c>
      <c r="H890" s="1">
        <v>45202</v>
      </c>
      <c r="I890" t="s">
        <v>555</v>
      </c>
      <c r="J890" t="s">
        <v>556</v>
      </c>
      <c r="L890">
        <v>3472841</v>
      </c>
      <c r="M890">
        <f>IF(F890="INR",1,INDEX('rates'!$B$2:$C$522,MATCH(D890,'rates'!$A$2:$A$522,1),MATCH(F890&amp;"/INR",'rates'!$B$1:$C$1,0)))</f>
        <v>1</v>
      </c>
      <c r="N890">
        <f t="shared" si="69"/>
        <v>3472841</v>
      </c>
      <c r="O890">
        <f t="shared" si="70"/>
        <v>0</v>
      </c>
      <c r="P890">
        <f t="shared" si="71"/>
        <v>0</v>
      </c>
      <c r="Q890">
        <f t="shared" si="73"/>
        <v>-8</v>
      </c>
      <c r="R890" t="str">
        <f t="shared" si="72"/>
        <v>Not open</v>
      </c>
    </row>
    <row r="891" spans="1:18" x14ac:dyDescent="0.3">
      <c r="A891" t="s">
        <v>1057</v>
      </c>
      <c r="B891" t="s">
        <v>472</v>
      </c>
      <c r="C891" t="s">
        <v>558</v>
      </c>
      <c r="D891" s="1">
        <v>45180</v>
      </c>
      <c r="E891" s="1">
        <v>45240</v>
      </c>
      <c r="F891" t="s">
        <v>36</v>
      </c>
      <c r="G891">
        <v>94823.15</v>
      </c>
      <c r="H891" s="1">
        <v>45245</v>
      </c>
      <c r="I891" t="s">
        <v>555</v>
      </c>
      <c r="J891" t="s">
        <v>556</v>
      </c>
      <c r="L891">
        <v>94823.15</v>
      </c>
      <c r="M891">
        <f>IF(F891="INR",1,INDEX('rates'!$B$2:$C$522,MATCH(D891,'rates'!$A$2:$A$522,1),MATCH(F891&amp;"/INR",'rates'!$B$1:$C$1,0)))</f>
        <v>83.03</v>
      </c>
      <c r="N891">
        <f t="shared" si="69"/>
        <v>7873166.1444999995</v>
      </c>
      <c r="O891">
        <f t="shared" si="70"/>
        <v>0</v>
      </c>
      <c r="P891">
        <f t="shared" si="71"/>
        <v>0</v>
      </c>
      <c r="Q891">
        <f t="shared" si="73"/>
        <v>5</v>
      </c>
      <c r="R891" t="str">
        <f t="shared" si="72"/>
        <v>Not open</v>
      </c>
    </row>
    <row r="892" spans="1:18" x14ac:dyDescent="0.3">
      <c r="A892" t="s">
        <v>1058</v>
      </c>
      <c r="B892" t="s">
        <v>160</v>
      </c>
      <c r="C892" t="s">
        <v>558</v>
      </c>
      <c r="D892" s="1">
        <v>45181</v>
      </c>
      <c r="E892" s="1">
        <v>45226</v>
      </c>
      <c r="F892" t="s">
        <v>13</v>
      </c>
      <c r="G892">
        <v>4445698</v>
      </c>
      <c r="H892" s="1">
        <v>45229</v>
      </c>
      <c r="I892" t="s">
        <v>555</v>
      </c>
      <c r="J892" t="s">
        <v>556</v>
      </c>
      <c r="L892">
        <v>4445698</v>
      </c>
      <c r="M892">
        <f>IF(F892="INR",1,INDEX('rates'!$B$2:$C$522,MATCH(D892,'rates'!$A$2:$A$522,1),MATCH(F892&amp;"/INR",'rates'!$B$1:$C$1,0)))</f>
        <v>1</v>
      </c>
      <c r="N892">
        <f t="shared" si="69"/>
        <v>4445698</v>
      </c>
      <c r="O892">
        <f t="shared" si="70"/>
        <v>0</v>
      </c>
      <c r="P892">
        <f t="shared" si="71"/>
        <v>0</v>
      </c>
      <c r="Q892">
        <f t="shared" si="73"/>
        <v>3</v>
      </c>
      <c r="R892" t="str">
        <f t="shared" si="72"/>
        <v>Not open</v>
      </c>
    </row>
    <row r="893" spans="1:18" x14ac:dyDescent="0.3">
      <c r="A893" t="s">
        <v>1059</v>
      </c>
      <c r="B893" t="s">
        <v>262</v>
      </c>
      <c r="C893" t="s">
        <v>566</v>
      </c>
      <c r="D893" s="1">
        <v>45181</v>
      </c>
      <c r="E893" s="1">
        <v>45271</v>
      </c>
      <c r="F893" t="s">
        <v>31</v>
      </c>
      <c r="G893">
        <v>198398.3</v>
      </c>
      <c r="H893" s="1">
        <v>45323</v>
      </c>
      <c r="I893" t="s">
        <v>555</v>
      </c>
      <c r="J893" t="s">
        <v>573</v>
      </c>
      <c r="K893">
        <v>89.142200000000003</v>
      </c>
      <c r="L893">
        <v>198398.3</v>
      </c>
      <c r="M893">
        <f>IF(F893="INR",1,INDEX('rates'!$B$2:$C$522,MATCH(D893,'rates'!$A$2:$A$522,1),MATCH(F893&amp;"/INR",'rates'!$B$1:$C$1,0)))</f>
        <v>88.875600000000006</v>
      </c>
      <c r="N893">
        <f t="shared" si="69"/>
        <v>17632767.951480001</v>
      </c>
      <c r="O893">
        <f t="shared" si="70"/>
        <v>0</v>
      </c>
      <c r="P893">
        <f t="shared" si="71"/>
        <v>0</v>
      </c>
      <c r="Q893">
        <f t="shared" si="73"/>
        <v>52</v>
      </c>
      <c r="R893" t="str">
        <f t="shared" si="72"/>
        <v>Not open</v>
      </c>
    </row>
    <row r="894" spans="1:18" x14ac:dyDescent="0.3">
      <c r="A894" t="s">
        <v>1060</v>
      </c>
      <c r="B894" t="s">
        <v>400</v>
      </c>
      <c r="C894" t="s">
        <v>554</v>
      </c>
      <c r="D894" s="1">
        <v>45181</v>
      </c>
      <c r="E894" s="1">
        <v>45226</v>
      </c>
      <c r="F894" t="s">
        <v>36</v>
      </c>
      <c r="G894">
        <v>31603.32</v>
      </c>
      <c r="H894" s="1">
        <v>45387</v>
      </c>
      <c r="I894" t="s">
        <v>555</v>
      </c>
      <c r="J894" t="s">
        <v>556</v>
      </c>
      <c r="L894">
        <v>31603.32</v>
      </c>
      <c r="M894">
        <f>IF(F894="INR",1,INDEX('rates'!$B$2:$C$522,MATCH(D894,'rates'!$A$2:$A$522,1),MATCH(F894&amp;"/INR",'rates'!$B$1:$C$1,0)))</f>
        <v>82.86</v>
      </c>
      <c r="N894">
        <f t="shared" si="69"/>
        <v>2618651.0951999999</v>
      </c>
      <c r="O894">
        <f t="shared" si="70"/>
        <v>0</v>
      </c>
      <c r="P894">
        <f t="shared" si="71"/>
        <v>0</v>
      </c>
      <c r="Q894">
        <f t="shared" si="73"/>
        <v>161</v>
      </c>
      <c r="R894" t="str">
        <f t="shared" si="72"/>
        <v>Not open</v>
      </c>
    </row>
    <row r="895" spans="1:18" x14ac:dyDescent="0.3">
      <c r="A895" t="s">
        <v>1061</v>
      </c>
      <c r="B895" t="s">
        <v>466</v>
      </c>
      <c r="C895" t="s">
        <v>560</v>
      </c>
      <c r="D895" s="1">
        <v>45181</v>
      </c>
      <c r="E895" s="1">
        <v>45241</v>
      </c>
      <c r="F895" t="s">
        <v>31</v>
      </c>
      <c r="G895">
        <v>78598.98</v>
      </c>
      <c r="H895" s="1">
        <v>45251</v>
      </c>
      <c r="I895" t="s">
        <v>555</v>
      </c>
      <c r="J895" t="s">
        <v>556</v>
      </c>
      <c r="L895">
        <v>78598.98</v>
      </c>
      <c r="M895">
        <f>IF(F895="INR",1,INDEX('rates'!$B$2:$C$522,MATCH(D895,'rates'!$A$2:$A$522,1),MATCH(F895&amp;"/INR",'rates'!$B$1:$C$1,0)))</f>
        <v>88.875600000000006</v>
      </c>
      <c r="N895">
        <f t="shared" si="69"/>
        <v>6985531.5068880003</v>
      </c>
      <c r="O895">
        <f t="shared" si="70"/>
        <v>0</v>
      </c>
      <c r="P895">
        <f t="shared" si="71"/>
        <v>0</v>
      </c>
      <c r="Q895">
        <f t="shared" si="73"/>
        <v>10</v>
      </c>
      <c r="R895" t="str">
        <f t="shared" si="72"/>
        <v>Not open</v>
      </c>
    </row>
    <row r="896" spans="1:18" x14ac:dyDescent="0.3">
      <c r="A896" t="s">
        <v>1062</v>
      </c>
      <c r="B896" t="s">
        <v>75</v>
      </c>
      <c r="C896" t="s">
        <v>566</v>
      </c>
      <c r="D896" s="1">
        <v>45182</v>
      </c>
      <c r="E896" s="1">
        <v>45272</v>
      </c>
      <c r="F896" t="s">
        <v>36</v>
      </c>
      <c r="G896">
        <v>21294.89</v>
      </c>
      <c r="H896" s="1">
        <v>45429</v>
      </c>
      <c r="I896" t="s">
        <v>555</v>
      </c>
      <c r="J896" t="s">
        <v>556</v>
      </c>
      <c r="L896">
        <v>21294.89</v>
      </c>
      <c r="M896">
        <f>IF(F896="INR",1,INDEX('rates'!$B$2:$C$522,MATCH(D896,'rates'!$A$2:$A$522,1),MATCH(F896&amp;"/INR",'rates'!$B$1:$C$1,0)))</f>
        <v>82.93</v>
      </c>
      <c r="N896">
        <f t="shared" si="69"/>
        <v>1765985.2277000002</v>
      </c>
      <c r="O896">
        <f t="shared" si="70"/>
        <v>0</v>
      </c>
      <c r="P896">
        <f t="shared" si="71"/>
        <v>0</v>
      </c>
      <c r="Q896">
        <f t="shared" si="73"/>
        <v>157</v>
      </c>
      <c r="R896" t="str">
        <f t="shared" si="72"/>
        <v>Not open</v>
      </c>
    </row>
    <row r="897" spans="1:18" x14ac:dyDescent="0.3">
      <c r="A897" t="s">
        <v>1063</v>
      </c>
      <c r="B897" t="s">
        <v>158</v>
      </c>
      <c r="C897" t="s">
        <v>566</v>
      </c>
      <c r="D897" s="1">
        <v>45182</v>
      </c>
      <c r="E897" s="1">
        <v>45212</v>
      </c>
      <c r="F897" t="s">
        <v>13</v>
      </c>
      <c r="G897">
        <v>18604476</v>
      </c>
      <c r="H897" s="1">
        <v>45207</v>
      </c>
      <c r="I897" t="s">
        <v>555</v>
      </c>
      <c r="J897" t="s">
        <v>556</v>
      </c>
      <c r="L897">
        <v>18604476</v>
      </c>
      <c r="M897">
        <f>IF(F897="INR",1,INDEX('rates'!$B$2:$C$522,MATCH(D897,'rates'!$A$2:$A$522,1),MATCH(F897&amp;"/INR",'rates'!$B$1:$C$1,0)))</f>
        <v>1</v>
      </c>
      <c r="N897">
        <f t="shared" si="69"/>
        <v>18604476</v>
      </c>
      <c r="O897">
        <f t="shared" si="70"/>
        <v>0</v>
      </c>
      <c r="P897">
        <f t="shared" si="71"/>
        <v>0</v>
      </c>
      <c r="Q897">
        <f t="shared" si="73"/>
        <v>-5</v>
      </c>
      <c r="R897" t="str">
        <f t="shared" si="72"/>
        <v>Not open</v>
      </c>
    </row>
    <row r="898" spans="1:18" x14ac:dyDescent="0.3">
      <c r="A898" t="s">
        <v>1064</v>
      </c>
      <c r="B898" t="s">
        <v>208</v>
      </c>
      <c r="C898" t="s">
        <v>566</v>
      </c>
      <c r="D898" s="1">
        <v>45182</v>
      </c>
      <c r="E898" s="1">
        <v>45227</v>
      </c>
      <c r="F898" t="s">
        <v>13</v>
      </c>
      <c r="G898">
        <v>4732745</v>
      </c>
      <c r="H898" s="1">
        <v>45227</v>
      </c>
      <c r="I898" t="s">
        <v>555</v>
      </c>
      <c r="J898" t="s">
        <v>556</v>
      </c>
      <c r="L898">
        <v>4732745</v>
      </c>
      <c r="M898">
        <f>IF(F898="INR",1,INDEX('rates'!$B$2:$C$522,MATCH(D898,'rates'!$A$2:$A$522,1),MATCH(F898&amp;"/INR",'rates'!$B$1:$C$1,0)))</f>
        <v>1</v>
      </c>
      <c r="N898">
        <f t="shared" ref="N898:N961" si="74">G898*M898</f>
        <v>4732745</v>
      </c>
      <c r="O898">
        <f t="shared" ref="O898:O961" si="75">IF(OR(I898="OPEN",I898="PARTIALLY PAID"),(G898-L898)*M898,0)</f>
        <v>0</v>
      </c>
      <c r="P898">
        <f t="shared" ref="P898:P961" si="76">IF(O898&gt;0,MAX(0,DATE(2025,3,31)-E898),0)</f>
        <v>0</v>
      </c>
      <c r="Q898">
        <f t="shared" si="73"/>
        <v>0</v>
      </c>
      <c r="R898" t="str">
        <f t="shared" ref="R898:R961" si="77">IF(O898=0,"Not open",IF(P898=0,"Not yet due",IF(P898&lt;=30,"1-30",IF(P898&lt;=60,"31-60",IF(P898&lt;=90,"61-90","90+")))))</f>
        <v>Not open</v>
      </c>
    </row>
    <row r="899" spans="1:18" x14ac:dyDescent="0.3">
      <c r="A899" t="s">
        <v>1065</v>
      </c>
      <c r="B899" t="s">
        <v>348</v>
      </c>
      <c r="C899" t="s">
        <v>554</v>
      </c>
      <c r="D899" s="1">
        <v>45182</v>
      </c>
      <c r="E899" s="1">
        <v>45227</v>
      </c>
      <c r="F899" t="s">
        <v>13</v>
      </c>
      <c r="G899">
        <v>3026956</v>
      </c>
      <c r="H899" s="1">
        <v>45283</v>
      </c>
      <c r="I899" t="s">
        <v>555</v>
      </c>
      <c r="J899" t="s">
        <v>556</v>
      </c>
      <c r="L899">
        <v>3026956</v>
      </c>
      <c r="M899">
        <f>IF(F899="INR",1,INDEX('rates'!$B$2:$C$522,MATCH(D899,'rates'!$A$2:$A$522,1),MATCH(F899&amp;"/INR",'rates'!$B$1:$C$1,0)))</f>
        <v>1</v>
      </c>
      <c r="N899">
        <f t="shared" si="74"/>
        <v>3026956</v>
      </c>
      <c r="O899">
        <f t="shared" si="75"/>
        <v>0</v>
      </c>
      <c r="P899">
        <f t="shared" si="76"/>
        <v>0</v>
      </c>
      <c r="Q899">
        <f t="shared" si="73"/>
        <v>56</v>
      </c>
      <c r="R899" t="str">
        <f t="shared" si="77"/>
        <v>Not open</v>
      </c>
    </row>
    <row r="900" spans="1:18" x14ac:dyDescent="0.3">
      <c r="A900" t="s">
        <v>1066</v>
      </c>
      <c r="B900" t="s">
        <v>492</v>
      </c>
      <c r="C900" t="s">
        <v>566</v>
      </c>
      <c r="D900" s="1">
        <v>45183</v>
      </c>
      <c r="E900" s="1">
        <v>45228</v>
      </c>
      <c r="F900" t="s">
        <v>13</v>
      </c>
      <c r="G900">
        <v>4771522</v>
      </c>
      <c r="H900" s="1">
        <v>45234</v>
      </c>
      <c r="I900" t="s">
        <v>555</v>
      </c>
      <c r="J900" t="s">
        <v>556</v>
      </c>
      <c r="L900">
        <v>4771522</v>
      </c>
      <c r="M900">
        <f>IF(F900="INR",1,INDEX('rates'!$B$2:$C$522,MATCH(D900,'rates'!$A$2:$A$522,1),MATCH(F900&amp;"/INR",'rates'!$B$1:$C$1,0)))</f>
        <v>1</v>
      </c>
      <c r="N900">
        <f t="shared" si="74"/>
        <v>4771522</v>
      </c>
      <c r="O900">
        <f t="shared" si="75"/>
        <v>0</v>
      </c>
      <c r="P900">
        <f t="shared" si="76"/>
        <v>0</v>
      </c>
      <c r="Q900">
        <f t="shared" si="73"/>
        <v>6</v>
      </c>
      <c r="R900" t="str">
        <f t="shared" si="77"/>
        <v>Not open</v>
      </c>
    </row>
    <row r="901" spans="1:18" x14ac:dyDescent="0.3">
      <c r="A901" t="s">
        <v>1067</v>
      </c>
      <c r="B901" t="s">
        <v>506</v>
      </c>
      <c r="C901" t="s">
        <v>554</v>
      </c>
      <c r="D901" s="1">
        <v>45183</v>
      </c>
      <c r="E901" s="1">
        <v>45243</v>
      </c>
      <c r="F901" t="s">
        <v>13</v>
      </c>
      <c r="G901">
        <v>3911574</v>
      </c>
      <c r="H901" s="1">
        <v>45255</v>
      </c>
      <c r="I901" t="s">
        <v>555</v>
      </c>
      <c r="J901" t="s">
        <v>556</v>
      </c>
      <c r="L901">
        <v>3911574</v>
      </c>
      <c r="M901">
        <f>IF(F901="INR",1,INDEX('rates'!$B$2:$C$522,MATCH(D901,'rates'!$A$2:$A$522,1),MATCH(F901&amp;"/INR",'rates'!$B$1:$C$1,0)))</f>
        <v>1</v>
      </c>
      <c r="N901">
        <f t="shared" si="74"/>
        <v>3911574</v>
      </c>
      <c r="O901">
        <f t="shared" si="75"/>
        <v>0</v>
      </c>
      <c r="P901">
        <f t="shared" si="76"/>
        <v>0</v>
      </c>
      <c r="Q901">
        <f t="shared" si="73"/>
        <v>12</v>
      </c>
      <c r="R901" t="str">
        <f t="shared" si="77"/>
        <v>Not open</v>
      </c>
    </row>
    <row r="902" spans="1:18" x14ac:dyDescent="0.3">
      <c r="A902" t="s">
        <v>1068</v>
      </c>
      <c r="B902" t="s">
        <v>496</v>
      </c>
      <c r="C902" t="s">
        <v>554</v>
      </c>
      <c r="D902" s="1">
        <v>45184</v>
      </c>
      <c r="E902" s="1">
        <v>45229</v>
      </c>
      <c r="F902" t="s">
        <v>13</v>
      </c>
      <c r="G902">
        <v>6452125</v>
      </c>
      <c r="H902" s="1">
        <v>45244</v>
      </c>
      <c r="I902" t="s">
        <v>555</v>
      </c>
      <c r="J902" t="s">
        <v>556</v>
      </c>
      <c r="L902">
        <v>6452125</v>
      </c>
      <c r="M902">
        <f>IF(F902="INR",1,INDEX('rates'!$B$2:$C$522,MATCH(D902,'rates'!$A$2:$A$522,1),MATCH(F902&amp;"/INR",'rates'!$B$1:$C$1,0)))</f>
        <v>1</v>
      </c>
      <c r="N902">
        <f t="shared" si="74"/>
        <v>6452125</v>
      </c>
      <c r="O902">
        <f t="shared" si="75"/>
        <v>0</v>
      </c>
      <c r="P902">
        <f t="shared" si="76"/>
        <v>0</v>
      </c>
      <c r="Q902">
        <f t="shared" si="73"/>
        <v>15</v>
      </c>
      <c r="R902" t="str">
        <f t="shared" si="77"/>
        <v>Not open</v>
      </c>
    </row>
    <row r="903" spans="1:18" x14ac:dyDescent="0.3">
      <c r="A903" t="s">
        <v>1069</v>
      </c>
      <c r="B903" t="s">
        <v>87</v>
      </c>
      <c r="C903" t="s">
        <v>566</v>
      </c>
      <c r="D903" s="1">
        <v>45185</v>
      </c>
      <c r="E903" s="1">
        <v>45230</v>
      </c>
      <c r="F903" t="s">
        <v>36</v>
      </c>
      <c r="G903">
        <v>51978.77</v>
      </c>
      <c r="H903" s="1">
        <v>45279</v>
      </c>
      <c r="I903" t="s">
        <v>555</v>
      </c>
      <c r="J903" t="s">
        <v>556</v>
      </c>
      <c r="L903">
        <v>51978.77</v>
      </c>
      <c r="M903">
        <f>IF(F903="INR",1,INDEX('rates'!$B$2:$C$522,MATCH(D903,'rates'!$A$2:$A$522,1),MATCH(F903&amp;"/INR",'rates'!$B$1:$C$1,0)))</f>
        <v>83.15</v>
      </c>
      <c r="N903">
        <f t="shared" si="74"/>
        <v>4322034.7254999997</v>
      </c>
      <c r="O903">
        <f t="shared" si="75"/>
        <v>0</v>
      </c>
      <c r="P903">
        <f t="shared" si="76"/>
        <v>0</v>
      </c>
      <c r="Q903">
        <f t="shared" si="73"/>
        <v>49</v>
      </c>
      <c r="R903" t="str">
        <f t="shared" si="77"/>
        <v>Not open</v>
      </c>
    </row>
    <row r="904" spans="1:18" x14ac:dyDescent="0.3">
      <c r="A904" t="s">
        <v>1070</v>
      </c>
      <c r="B904" t="s">
        <v>105</v>
      </c>
      <c r="C904" t="s">
        <v>560</v>
      </c>
      <c r="D904" s="1">
        <v>45185</v>
      </c>
      <c r="E904" s="1">
        <v>45275</v>
      </c>
      <c r="F904" t="s">
        <v>36</v>
      </c>
      <c r="G904">
        <v>38035.660000000003</v>
      </c>
      <c r="H904" s="1">
        <v>45338</v>
      </c>
      <c r="I904" t="s">
        <v>555</v>
      </c>
      <c r="J904" t="s">
        <v>573</v>
      </c>
      <c r="K904">
        <v>83.565700000000007</v>
      </c>
      <c r="L904">
        <v>38035.660000000003</v>
      </c>
      <c r="M904">
        <f>IF(F904="INR",1,INDEX('rates'!$B$2:$C$522,MATCH(D904,'rates'!$A$2:$A$522,1),MATCH(F904&amp;"/INR",'rates'!$B$1:$C$1,0)))</f>
        <v>83.15</v>
      </c>
      <c r="N904">
        <f t="shared" si="74"/>
        <v>3162665.1290000007</v>
      </c>
      <c r="O904">
        <f t="shared" si="75"/>
        <v>0</v>
      </c>
      <c r="P904">
        <f t="shared" si="76"/>
        <v>0</v>
      </c>
      <c r="Q904">
        <f t="shared" si="73"/>
        <v>63</v>
      </c>
      <c r="R904" t="str">
        <f t="shared" si="77"/>
        <v>Not open</v>
      </c>
    </row>
    <row r="905" spans="1:18" x14ac:dyDescent="0.3">
      <c r="A905" t="s">
        <v>1072</v>
      </c>
      <c r="B905" t="s">
        <v>332</v>
      </c>
      <c r="C905" t="s">
        <v>566</v>
      </c>
      <c r="D905" s="1">
        <v>45185</v>
      </c>
      <c r="E905" s="1">
        <v>45245</v>
      </c>
      <c r="F905" t="s">
        <v>36</v>
      </c>
      <c r="G905">
        <v>94992.9</v>
      </c>
      <c r="H905" s="1">
        <v>45249</v>
      </c>
      <c r="I905" t="s">
        <v>555</v>
      </c>
      <c r="J905" t="s">
        <v>573</v>
      </c>
      <c r="K905">
        <v>83.427199999999999</v>
      </c>
      <c r="L905">
        <v>94992.9</v>
      </c>
      <c r="M905">
        <f>IF(F905="INR",1,INDEX('rates'!$B$2:$C$522,MATCH(D905,'rates'!$A$2:$A$522,1),MATCH(F905&amp;"/INR",'rates'!$B$1:$C$1,0)))</f>
        <v>83.15</v>
      </c>
      <c r="N905">
        <f t="shared" si="74"/>
        <v>7898659.6349999998</v>
      </c>
      <c r="O905">
        <f t="shared" si="75"/>
        <v>0</v>
      </c>
      <c r="P905">
        <f t="shared" si="76"/>
        <v>0</v>
      </c>
      <c r="Q905">
        <f t="shared" si="73"/>
        <v>4</v>
      </c>
      <c r="R905" t="str">
        <f t="shared" si="77"/>
        <v>Not open</v>
      </c>
    </row>
    <row r="906" spans="1:18" x14ac:dyDescent="0.3">
      <c r="A906" t="s">
        <v>1073</v>
      </c>
      <c r="B906" t="s">
        <v>368</v>
      </c>
      <c r="C906" t="s">
        <v>566</v>
      </c>
      <c r="D906" s="1">
        <v>45185</v>
      </c>
      <c r="E906" s="1">
        <v>45245</v>
      </c>
      <c r="F906" t="s">
        <v>36</v>
      </c>
      <c r="G906">
        <v>501185.86</v>
      </c>
      <c r="H906" s="1">
        <v>45252</v>
      </c>
      <c r="I906" t="s">
        <v>555</v>
      </c>
      <c r="J906" t="s">
        <v>573</v>
      </c>
      <c r="K906">
        <v>83.427199999999999</v>
      </c>
      <c r="L906">
        <v>501185.86</v>
      </c>
      <c r="M906">
        <f>IF(F906="INR",1,INDEX('rates'!$B$2:$C$522,MATCH(D906,'rates'!$A$2:$A$522,1),MATCH(F906&amp;"/INR",'rates'!$B$1:$C$1,0)))</f>
        <v>83.15</v>
      </c>
      <c r="N906">
        <f t="shared" si="74"/>
        <v>41673604.259000003</v>
      </c>
      <c r="O906">
        <f t="shared" si="75"/>
        <v>0</v>
      </c>
      <c r="P906">
        <f t="shared" si="76"/>
        <v>0</v>
      </c>
      <c r="Q906">
        <f t="shared" si="73"/>
        <v>7</v>
      </c>
      <c r="R906" t="str">
        <f t="shared" si="77"/>
        <v>Not open</v>
      </c>
    </row>
    <row r="907" spans="1:18" x14ac:dyDescent="0.3">
      <c r="A907" t="s">
        <v>1074</v>
      </c>
      <c r="B907" t="s">
        <v>368</v>
      </c>
      <c r="C907" t="s">
        <v>566</v>
      </c>
      <c r="D907" s="1">
        <v>45185</v>
      </c>
      <c r="E907" s="1">
        <v>45245</v>
      </c>
      <c r="F907" t="s">
        <v>36</v>
      </c>
      <c r="G907">
        <v>36741.51</v>
      </c>
      <c r="H907" s="1">
        <v>45265</v>
      </c>
      <c r="I907" t="s">
        <v>555</v>
      </c>
      <c r="J907" t="s">
        <v>573</v>
      </c>
      <c r="K907">
        <v>83.427199999999999</v>
      </c>
      <c r="L907">
        <v>36741.51</v>
      </c>
      <c r="M907">
        <f>IF(F907="INR",1,INDEX('rates'!$B$2:$C$522,MATCH(D907,'rates'!$A$2:$A$522,1),MATCH(F907&amp;"/INR",'rates'!$B$1:$C$1,0)))</f>
        <v>83.15</v>
      </c>
      <c r="N907">
        <f t="shared" si="74"/>
        <v>3055056.5565000004</v>
      </c>
      <c r="O907">
        <f t="shared" si="75"/>
        <v>0</v>
      </c>
      <c r="P907">
        <f t="shared" si="76"/>
        <v>0</v>
      </c>
      <c r="Q907">
        <f t="shared" si="73"/>
        <v>20</v>
      </c>
      <c r="R907" t="str">
        <f t="shared" si="77"/>
        <v>Not open</v>
      </c>
    </row>
    <row r="908" spans="1:18" x14ac:dyDescent="0.3">
      <c r="A908" t="s">
        <v>1075</v>
      </c>
      <c r="B908" t="s">
        <v>368</v>
      </c>
      <c r="C908" t="s">
        <v>566</v>
      </c>
      <c r="D908" s="1">
        <v>45185</v>
      </c>
      <c r="E908" s="1">
        <v>45245</v>
      </c>
      <c r="F908" t="s">
        <v>36</v>
      </c>
      <c r="G908">
        <v>425726.68</v>
      </c>
      <c r="H908" s="1">
        <v>45253</v>
      </c>
      <c r="I908" t="s">
        <v>555</v>
      </c>
      <c r="J908" t="s">
        <v>573</v>
      </c>
      <c r="K908">
        <v>83.427199999999999</v>
      </c>
      <c r="L908">
        <v>425726.68</v>
      </c>
      <c r="M908">
        <f>IF(F908="INR",1,INDEX('rates'!$B$2:$C$522,MATCH(D908,'rates'!$A$2:$A$522,1),MATCH(F908&amp;"/INR",'rates'!$B$1:$C$1,0)))</f>
        <v>83.15</v>
      </c>
      <c r="N908">
        <f t="shared" si="74"/>
        <v>35399173.442000002</v>
      </c>
      <c r="O908">
        <f t="shared" si="75"/>
        <v>0</v>
      </c>
      <c r="P908">
        <f t="shared" si="76"/>
        <v>0</v>
      </c>
      <c r="Q908">
        <f t="shared" si="73"/>
        <v>8</v>
      </c>
      <c r="R908" t="str">
        <f t="shared" si="77"/>
        <v>Not open</v>
      </c>
    </row>
    <row r="909" spans="1:18" x14ac:dyDescent="0.3">
      <c r="A909" t="s">
        <v>1077</v>
      </c>
      <c r="B909" t="s">
        <v>113</v>
      </c>
      <c r="C909" t="s">
        <v>560</v>
      </c>
      <c r="D909" s="1">
        <v>45187</v>
      </c>
      <c r="E909" s="1">
        <v>45217</v>
      </c>
      <c r="F909" t="s">
        <v>13</v>
      </c>
      <c r="G909">
        <v>4817005</v>
      </c>
      <c r="H909" s="1"/>
      <c r="I909" t="s">
        <v>555</v>
      </c>
      <c r="J909" t="s">
        <v>556</v>
      </c>
      <c r="L909">
        <v>4817005</v>
      </c>
      <c r="M909">
        <f>IF(F909="INR",1,INDEX('rates'!$B$2:$C$522,MATCH(D909,'rates'!$A$2:$A$522,1),MATCH(F909&amp;"/INR",'rates'!$B$1:$C$1,0)))</f>
        <v>1</v>
      </c>
      <c r="N909">
        <f t="shared" si="74"/>
        <v>4817005</v>
      </c>
      <c r="O909">
        <f t="shared" si="75"/>
        <v>0</v>
      </c>
      <c r="P909">
        <f t="shared" si="76"/>
        <v>0</v>
      </c>
      <c r="Q909" t="str">
        <f t="shared" si="73"/>
        <v/>
      </c>
      <c r="R909" t="str">
        <f t="shared" si="77"/>
        <v>Not open</v>
      </c>
    </row>
    <row r="910" spans="1:18" x14ac:dyDescent="0.3">
      <c r="A910" t="s">
        <v>1078</v>
      </c>
      <c r="B910" t="s">
        <v>186</v>
      </c>
      <c r="C910" t="s">
        <v>558</v>
      </c>
      <c r="D910" s="1">
        <v>45187</v>
      </c>
      <c r="E910" s="1">
        <v>45217</v>
      </c>
      <c r="F910" t="s">
        <v>36</v>
      </c>
      <c r="G910">
        <v>121896.08</v>
      </c>
      <c r="H910" s="1">
        <v>45230</v>
      </c>
      <c r="I910" t="s">
        <v>555</v>
      </c>
      <c r="J910" t="s">
        <v>556</v>
      </c>
      <c r="L910">
        <v>121896.08</v>
      </c>
      <c r="M910">
        <f>IF(F910="INR",1,INDEX('rates'!$B$2:$C$522,MATCH(D910,'rates'!$A$2:$A$522,1),MATCH(F910&amp;"/INR",'rates'!$B$1:$C$1,0)))</f>
        <v>83.27</v>
      </c>
      <c r="N910">
        <f t="shared" si="74"/>
        <v>10150286.581599999</v>
      </c>
      <c r="O910">
        <f t="shared" si="75"/>
        <v>0</v>
      </c>
      <c r="P910">
        <f t="shared" si="76"/>
        <v>0</v>
      </c>
      <c r="Q910">
        <f t="shared" si="73"/>
        <v>13</v>
      </c>
      <c r="R910" t="str">
        <f t="shared" si="77"/>
        <v>Not open</v>
      </c>
    </row>
    <row r="911" spans="1:18" x14ac:dyDescent="0.3">
      <c r="A911" t="s">
        <v>1079</v>
      </c>
      <c r="B911" t="s">
        <v>276</v>
      </c>
      <c r="C911" t="s">
        <v>558</v>
      </c>
      <c r="D911" s="1">
        <v>45187</v>
      </c>
      <c r="E911" s="1">
        <v>45247</v>
      </c>
      <c r="F911" t="s">
        <v>13</v>
      </c>
      <c r="G911">
        <v>7180902</v>
      </c>
      <c r="H911" s="1">
        <v>45252</v>
      </c>
      <c r="I911" t="s">
        <v>555</v>
      </c>
      <c r="J911" t="s">
        <v>556</v>
      </c>
      <c r="L911">
        <v>7180902</v>
      </c>
      <c r="M911">
        <f>IF(F911="INR",1,INDEX('rates'!$B$2:$C$522,MATCH(D911,'rates'!$A$2:$A$522,1),MATCH(F911&amp;"/INR",'rates'!$B$1:$C$1,0)))</f>
        <v>1</v>
      </c>
      <c r="N911">
        <f t="shared" si="74"/>
        <v>7180902</v>
      </c>
      <c r="O911">
        <f t="shared" si="75"/>
        <v>0</v>
      </c>
      <c r="P911">
        <f t="shared" si="76"/>
        <v>0</v>
      </c>
      <c r="Q911">
        <f t="shared" si="73"/>
        <v>5</v>
      </c>
      <c r="R911" t="str">
        <f t="shared" si="77"/>
        <v>Not open</v>
      </c>
    </row>
    <row r="912" spans="1:18" x14ac:dyDescent="0.3">
      <c r="A912" t="s">
        <v>1080</v>
      </c>
      <c r="B912" t="s">
        <v>278</v>
      </c>
      <c r="C912" t="s">
        <v>566</v>
      </c>
      <c r="D912" s="1">
        <v>45187</v>
      </c>
      <c r="E912" s="1">
        <v>45247</v>
      </c>
      <c r="F912" t="s">
        <v>13</v>
      </c>
      <c r="G912">
        <v>13250614</v>
      </c>
      <c r="H912" s="1">
        <v>45249</v>
      </c>
      <c r="I912" t="s">
        <v>555</v>
      </c>
      <c r="J912" t="s">
        <v>556</v>
      </c>
      <c r="L912">
        <v>13250614</v>
      </c>
      <c r="M912">
        <f>IF(F912="INR",1,INDEX('rates'!$B$2:$C$522,MATCH(D912,'rates'!$A$2:$A$522,1),MATCH(F912&amp;"/INR",'rates'!$B$1:$C$1,0)))</f>
        <v>1</v>
      </c>
      <c r="N912">
        <f t="shared" si="74"/>
        <v>13250614</v>
      </c>
      <c r="O912">
        <f t="shared" si="75"/>
        <v>0</v>
      </c>
      <c r="P912">
        <f t="shared" si="76"/>
        <v>0</v>
      </c>
      <c r="Q912">
        <f t="shared" si="73"/>
        <v>2</v>
      </c>
      <c r="R912" t="str">
        <f t="shared" si="77"/>
        <v>Not open</v>
      </c>
    </row>
    <row r="913" spans="1:18" x14ac:dyDescent="0.3">
      <c r="A913" t="s">
        <v>1081</v>
      </c>
      <c r="B913" t="s">
        <v>410</v>
      </c>
      <c r="C913" t="s">
        <v>566</v>
      </c>
      <c r="D913" s="1">
        <v>45187</v>
      </c>
      <c r="E913" s="1">
        <v>45247</v>
      </c>
      <c r="F913" t="s">
        <v>13</v>
      </c>
      <c r="G913">
        <v>6682945</v>
      </c>
      <c r="H913" s="1">
        <v>45259</v>
      </c>
      <c r="I913" t="s">
        <v>555</v>
      </c>
      <c r="J913" t="s">
        <v>556</v>
      </c>
      <c r="L913">
        <v>6682945</v>
      </c>
      <c r="M913">
        <f>IF(F913="INR",1,INDEX('rates'!$B$2:$C$522,MATCH(D913,'rates'!$A$2:$A$522,1),MATCH(F913&amp;"/INR",'rates'!$B$1:$C$1,0)))</f>
        <v>1</v>
      </c>
      <c r="N913">
        <f t="shared" si="74"/>
        <v>6682945</v>
      </c>
      <c r="O913">
        <f t="shared" si="75"/>
        <v>0</v>
      </c>
      <c r="P913">
        <f t="shared" si="76"/>
        <v>0</v>
      </c>
      <c r="Q913">
        <f t="shared" si="73"/>
        <v>12</v>
      </c>
      <c r="R913" t="str">
        <f t="shared" si="77"/>
        <v>Not open</v>
      </c>
    </row>
    <row r="914" spans="1:18" x14ac:dyDescent="0.3">
      <c r="A914" t="s">
        <v>1082</v>
      </c>
      <c r="B914" t="s">
        <v>436</v>
      </c>
      <c r="C914" t="s">
        <v>566</v>
      </c>
      <c r="D914" s="1">
        <v>45187</v>
      </c>
      <c r="E914" s="1">
        <v>45232</v>
      </c>
      <c r="F914" t="s">
        <v>36</v>
      </c>
      <c r="G914">
        <v>119264.68</v>
      </c>
      <c r="H914" s="1">
        <v>45257</v>
      </c>
      <c r="I914" t="s">
        <v>555</v>
      </c>
      <c r="J914" t="s">
        <v>573</v>
      </c>
      <c r="K914">
        <v>83.478200000000001</v>
      </c>
      <c r="L914">
        <v>119264.68</v>
      </c>
      <c r="M914">
        <f>IF(F914="INR",1,INDEX('rates'!$B$2:$C$522,MATCH(D914,'rates'!$A$2:$A$522,1),MATCH(F914&amp;"/INR",'rates'!$B$1:$C$1,0)))</f>
        <v>83.27</v>
      </c>
      <c r="N914">
        <f t="shared" si="74"/>
        <v>9931169.9035999998</v>
      </c>
      <c r="O914">
        <f t="shared" si="75"/>
        <v>0</v>
      </c>
      <c r="P914">
        <f t="shared" si="76"/>
        <v>0</v>
      </c>
      <c r="Q914">
        <f t="shared" si="73"/>
        <v>25</v>
      </c>
      <c r="R914" t="str">
        <f t="shared" si="77"/>
        <v>Not open</v>
      </c>
    </row>
    <row r="915" spans="1:18" x14ac:dyDescent="0.3">
      <c r="A915" t="s">
        <v>1083</v>
      </c>
      <c r="B915" t="s">
        <v>508</v>
      </c>
      <c r="C915" t="s">
        <v>554</v>
      </c>
      <c r="D915" s="1">
        <v>45187</v>
      </c>
      <c r="E915" s="1">
        <v>45247</v>
      </c>
      <c r="F915" t="s">
        <v>13</v>
      </c>
      <c r="G915">
        <v>2147129</v>
      </c>
      <c r="H915" s="1">
        <v>45244</v>
      </c>
      <c r="I915" t="s">
        <v>555</v>
      </c>
      <c r="J915" t="s">
        <v>556</v>
      </c>
      <c r="L915">
        <v>2147129</v>
      </c>
      <c r="M915">
        <f>IF(F915="INR",1,INDEX('rates'!$B$2:$C$522,MATCH(D915,'rates'!$A$2:$A$522,1),MATCH(F915&amp;"/INR",'rates'!$B$1:$C$1,0)))</f>
        <v>1</v>
      </c>
      <c r="N915">
        <f t="shared" si="74"/>
        <v>2147129</v>
      </c>
      <c r="O915">
        <f t="shared" si="75"/>
        <v>0</v>
      </c>
      <c r="P915">
        <f t="shared" si="76"/>
        <v>0</v>
      </c>
      <c r="Q915">
        <f t="shared" si="73"/>
        <v>-3</v>
      </c>
      <c r="R915" t="str">
        <f t="shared" si="77"/>
        <v>Not open</v>
      </c>
    </row>
    <row r="916" spans="1:18" x14ac:dyDescent="0.3">
      <c r="A916" t="s">
        <v>1084</v>
      </c>
      <c r="B916" t="s">
        <v>536</v>
      </c>
      <c r="C916" t="s">
        <v>575</v>
      </c>
      <c r="D916" s="1">
        <v>45187</v>
      </c>
      <c r="E916" s="1">
        <v>45217</v>
      </c>
      <c r="F916" t="s">
        <v>36</v>
      </c>
      <c r="G916">
        <v>104811.16</v>
      </c>
      <c r="H916" s="1">
        <v>45225</v>
      </c>
      <c r="I916" t="s">
        <v>555</v>
      </c>
      <c r="J916" t="s">
        <v>573</v>
      </c>
      <c r="K916">
        <v>83.408799999999999</v>
      </c>
      <c r="L916">
        <v>104811.16</v>
      </c>
      <c r="M916">
        <f>IF(F916="INR",1,INDEX('rates'!$B$2:$C$522,MATCH(D916,'rates'!$A$2:$A$522,1),MATCH(F916&amp;"/INR",'rates'!$B$1:$C$1,0)))</f>
        <v>83.27</v>
      </c>
      <c r="N916">
        <f t="shared" si="74"/>
        <v>8727625.2931999993</v>
      </c>
      <c r="O916">
        <f t="shared" si="75"/>
        <v>0</v>
      </c>
      <c r="P916">
        <f t="shared" si="76"/>
        <v>0</v>
      </c>
      <c r="Q916">
        <f t="shared" si="73"/>
        <v>8</v>
      </c>
      <c r="R916" t="str">
        <f t="shared" si="77"/>
        <v>Not open</v>
      </c>
    </row>
    <row r="917" spans="1:18" x14ac:dyDescent="0.3">
      <c r="A917" t="s">
        <v>1085</v>
      </c>
      <c r="B917" t="s">
        <v>124</v>
      </c>
      <c r="C917" t="s">
        <v>575</v>
      </c>
      <c r="D917" s="1">
        <v>45188</v>
      </c>
      <c r="E917" s="1">
        <v>45248</v>
      </c>
      <c r="F917" t="s">
        <v>31</v>
      </c>
      <c r="G917">
        <v>35671.519999999997</v>
      </c>
      <c r="H917" s="1"/>
      <c r="I917" t="s">
        <v>717</v>
      </c>
      <c r="J917" t="s">
        <v>573</v>
      </c>
      <c r="K917">
        <v>89.143600000000006</v>
      </c>
      <c r="L917">
        <v>0</v>
      </c>
      <c r="M917">
        <f>IF(F917="INR",1,INDEX('rates'!$B$2:$C$522,MATCH(D917,'rates'!$A$2:$A$522,1),MATCH(F917&amp;"/INR",'rates'!$B$1:$C$1,0)))</f>
        <v>88.965699999999998</v>
      </c>
      <c r="N917">
        <f t="shared" si="74"/>
        <v>3173541.7468639999</v>
      </c>
      <c r="O917">
        <f t="shared" si="75"/>
        <v>0</v>
      </c>
      <c r="P917">
        <f t="shared" si="76"/>
        <v>0</v>
      </c>
      <c r="Q917" t="str">
        <f t="shared" si="73"/>
        <v/>
      </c>
      <c r="R917" t="str">
        <f t="shared" si="77"/>
        <v>Not open</v>
      </c>
    </row>
    <row r="918" spans="1:18" x14ac:dyDescent="0.3">
      <c r="A918" t="s">
        <v>1086</v>
      </c>
      <c r="B918" t="s">
        <v>464</v>
      </c>
      <c r="C918" t="s">
        <v>560</v>
      </c>
      <c r="D918" s="1">
        <v>45188</v>
      </c>
      <c r="E918" s="1">
        <v>45278</v>
      </c>
      <c r="F918" t="s">
        <v>13</v>
      </c>
      <c r="G918">
        <v>2297183</v>
      </c>
      <c r="H918" s="1">
        <v>45272</v>
      </c>
      <c r="I918" t="s">
        <v>555</v>
      </c>
      <c r="J918" t="s">
        <v>556</v>
      </c>
      <c r="L918">
        <v>2297183</v>
      </c>
      <c r="M918">
        <f>IF(F918="INR",1,INDEX('rates'!$B$2:$C$522,MATCH(D918,'rates'!$A$2:$A$522,1),MATCH(F918&amp;"/INR",'rates'!$B$1:$C$1,0)))</f>
        <v>1</v>
      </c>
      <c r="N918">
        <f t="shared" si="74"/>
        <v>2297183</v>
      </c>
      <c r="O918">
        <f t="shared" si="75"/>
        <v>0</v>
      </c>
      <c r="P918">
        <f t="shared" si="76"/>
        <v>0</v>
      </c>
      <c r="Q918">
        <f t="shared" si="73"/>
        <v>-6</v>
      </c>
      <c r="R918" t="str">
        <f t="shared" si="77"/>
        <v>Not open</v>
      </c>
    </row>
    <row r="919" spans="1:18" x14ac:dyDescent="0.3">
      <c r="A919" t="s">
        <v>1087</v>
      </c>
      <c r="B919" t="s">
        <v>478</v>
      </c>
      <c r="C919" t="s">
        <v>560</v>
      </c>
      <c r="D919" s="1">
        <v>45188</v>
      </c>
      <c r="E919" s="1">
        <v>45218</v>
      </c>
      <c r="F919" t="s">
        <v>13</v>
      </c>
      <c r="G919">
        <v>6838499</v>
      </c>
      <c r="H919" s="1">
        <v>45218</v>
      </c>
      <c r="I919" t="s">
        <v>555</v>
      </c>
      <c r="J919" t="s">
        <v>556</v>
      </c>
      <c r="L919">
        <v>6838499</v>
      </c>
      <c r="M919">
        <f>IF(F919="INR",1,INDEX('rates'!$B$2:$C$522,MATCH(D919,'rates'!$A$2:$A$522,1),MATCH(F919&amp;"/INR",'rates'!$B$1:$C$1,0)))</f>
        <v>1</v>
      </c>
      <c r="N919">
        <f t="shared" si="74"/>
        <v>6838499</v>
      </c>
      <c r="O919">
        <f t="shared" si="75"/>
        <v>0</v>
      </c>
      <c r="P919">
        <f t="shared" si="76"/>
        <v>0</v>
      </c>
      <c r="Q919">
        <f t="shared" si="73"/>
        <v>0</v>
      </c>
      <c r="R919" t="str">
        <f t="shared" si="77"/>
        <v>Not open</v>
      </c>
    </row>
    <row r="920" spans="1:18" x14ac:dyDescent="0.3">
      <c r="A920" t="s">
        <v>1088</v>
      </c>
      <c r="B920" t="s">
        <v>486</v>
      </c>
      <c r="C920" t="s">
        <v>554</v>
      </c>
      <c r="D920" s="1">
        <v>45188</v>
      </c>
      <c r="E920" s="1">
        <v>45233</v>
      </c>
      <c r="F920" t="s">
        <v>13</v>
      </c>
      <c r="G920">
        <v>6789989</v>
      </c>
      <c r="H920" s="1">
        <v>45252</v>
      </c>
      <c r="I920" t="s">
        <v>555</v>
      </c>
      <c r="J920" t="s">
        <v>556</v>
      </c>
      <c r="L920">
        <v>6789989</v>
      </c>
      <c r="M920">
        <f>IF(F920="INR",1,INDEX('rates'!$B$2:$C$522,MATCH(D920,'rates'!$A$2:$A$522,1),MATCH(F920&amp;"/INR",'rates'!$B$1:$C$1,0)))</f>
        <v>1</v>
      </c>
      <c r="N920">
        <f t="shared" si="74"/>
        <v>6789989</v>
      </c>
      <c r="O920">
        <f t="shared" si="75"/>
        <v>0</v>
      </c>
      <c r="P920">
        <f t="shared" si="76"/>
        <v>0</v>
      </c>
      <c r="Q920">
        <f t="shared" si="73"/>
        <v>19</v>
      </c>
      <c r="R920" t="str">
        <f t="shared" si="77"/>
        <v>Not open</v>
      </c>
    </row>
    <row r="921" spans="1:18" x14ac:dyDescent="0.3">
      <c r="A921" t="s">
        <v>1089</v>
      </c>
      <c r="B921" t="s">
        <v>117</v>
      </c>
      <c r="C921" t="s">
        <v>554</v>
      </c>
      <c r="D921" s="1">
        <v>45189</v>
      </c>
      <c r="E921" s="1">
        <v>45249</v>
      </c>
      <c r="F921" t="s">
        <v>13</v>
      </c>
      <c r="G921">
        <v>6088034</v>
      </c>
      <c r="H921" s="1">
        <v>45259</v>
      </c>
      <c r="I921" t="s">
        <v>555</v>
      </c>
      <c r="J921" t="s">
        <v>556</v>
      </c>
      <c r="L921">
        <v>6088034</v>
      </c>
      <c r="M921">
        <f>IF(F921="INR",1,INDEX('rates'!$B$2:$C$522,MATCH(D921,'rates'!$A$2:$A$522,1),MATCH(F921&amp;"/INR",'rates'!$B$1:$C$1,0)))</f>
        <v>1</v>
      </c>
      <c r="N921">
        <f t="shared" si="74"/>
        <v>6088034</v>
      </c>
      <c r="O921">
        <f t="shared" si="75"/>
        <v>0</v>
      </c>
      <c r="P921">
        <f t="shared" si="76"/>
        <v>0</v>
      </c>
      <c r="Q921">
        <f t="shared" si="73"/>
        <v>10</v>
      </c>
      <c r="R921" t="str">
        <f t="shared" si="77"/>
        <v>Not open</v>
      </c>
    </row>
    <row r="922" spans="1:18" x14ac:dyDescent="0.3">
      <c r="A922" t="s">
        <v>1090</v>
      </c>
      <c r="B922" t="s">
        <v>436</v>
      </c>
      <c r="C922" t="s">
        <v>566</v>
      </c>
      <c r="D922" s="1">
        <v>45189</v>
      </c>
      <c r="E922" s="1">
        <v>45234</v>
      </c>
      <c r="F922" t="s">
        <v>36</v>
      </c>
      <c r="G922">
        <v>346828.06</v>
      </c>
      <c r="H922" s="1">
        <v>45254</v>
      </c>
      <c r="I922" t="s">
        <v>555</v>
      </c>
      <c r="J922" t="s">
        <v>573</v>
      </c>
      <c r="K922">
        <v>83.277699999999996</v>
      </c>
      <c r="L922">
        <v>346828.06</v>
      </c>
      <c r="M922">
        <f>IF(F922="INR",1,INDEX('rates'!$B$2:$C$522,MATCH(D922,'rates'!$A$2:$A$522,1),MATCH(F922&amp;"/INR",'rates'!$B$1:$C$1,0)))</f>
        <v>83.07</v>
      </c>
      <c r="N922">
        <f t="shared" si="74"/>
        <v>28811006.944199998</v>
      </c>
      <c r="O922">
        <f t="shared" si="75"/>
        <v>0</v>
      </c>
      <c r="P922">
        <f t="shared" si="76"/>
        <v>0</v>
      </c>
      <c r="Q922">
        <f t="shared" si="73"/>
        <v>20</v>
      </c>
      <c r="R922" t="str">
        <f t="shared" si="77"/>
        <v>Not open</v>
      </c>
    </row>
    <row r="923" spans="1:18" x14ac:dyDescent="0.3">
      <c r="A923" t="s">
        <v>1091</v>
      </c>
      <c r="B923" t="s">
        <v>238</v>
      </c>
      <c r="C923" t="s">
        <v>566</v>
      </c>
      <c r="D923" s="1">
        <v>45190</v>
      </c>
      <c r="E923" s="1">
        <v>45250</v>
      </c>
      <c r="F923" t="s">
        <v>31</v>
      </c>
      <c r="G923">
        <v>237313.68</v>
      </c>
      <c r="H923" s="1"/>
      <c r="I923" t="s">
        <v>555</v>
      </c>
      <c r="J923" t="s">
        <v>573</v>
      </c>
      <c r="K923">
        <v>88.805800000000005</v>
      </c>
      <c r="L923">
        <v>237313.68</v>
      </c>
      <c r="M923">
        <f>IF(F923="INR",1,INDEX('rates'!$B$2:$C$522,MATCH(D923,'rates'!$A$2:$A$522,1),MATCH(F923&amp;"/INR",'rates'!$B$1:$C$1,0)))</f>
        <v>88.628500000000003</v>
      </c>
      <c r="N923">
        <f t="shared" si="74"/>
        <v>21032755.487879999</v>
      </c>
      <c r="O923">
        <f t="shared" si="75"/>
        <v>0</v>
      </c>
      <c r="P923">
        <f t="shared" si="76"/>
        <v>0</v>
      </c>
      <c r="Q923" t="str">
        <f t="shared" si="73"/>
        <v/>
      </c>
      <c r="R923" t="str">
        <f t="shared" si="77"/>
        <v>Not open</v>
      </c>
    </row>
    <row r="924" spans="1:18" x14ac:dyDescent="0.3">
      <c r="A924" t="s">
        <v>1092</v>
      </c>
      <c r="B924" t="s">
        <v>294</v>
      </c>
      <c r="C924" t="s">
        <v>560</v>
      </c>
      <c r="D924" s="1">
        <v>45190</v>
      </c>
      <c r="E924" s="1">
        <v>45250</v>
      </c>
      <c r="F924" t="s">
        <v>13</v>
      </c>
      <c r="G924">
        <v>17923557</v>
      </c>
      <c r="H924" s="1">
        <v>45402</v>
      </c>
      <c r="I924" t="s">
        <v>555</v>
      </c>
      <c r="J924" t="s">
        <v>556</v>
      </c>
      <c r="L924">
        <v>17923557</v>
      </c>
      <c r="M924">
        <f>IF(F924="INR",1,INDEX('rates'!$B$2:$C$522,MATCH(D924,'rates'!$A$2:$A$522,1),MATCH(F924&amp;"/INR",'rates'!$B$1:$C$1,0)))</f>
        <v>1</v>
      </c>
      <c r="N924">
        <f t="shared" si="74"/>
        <v>17923557</v>
      </c>
      <c r="O924">
        <f t="shared" si="75"/>
        <v>0</v>
      </c>
      <c r="P924">
        <f t="shared" si="76"/>
        <v>0</v>
      </c>
      <c r="Q924">
        <f t="shared" si="73"/>
        <v>152</v>
      </c>
      <c r="R924" t="str">
        <f t="shared" si="77"/>
        <v>Not open</v>
      </c>
    </row>
    <row r="925" spans="1:18" x14ac:dyDescent="0.3">
      <c r="A925" t="s">
        <v>1093</v>
      </c>
      <c r="B925" t="s">
        <v>322</v>
      </c>
      <c r="C925" t="s">
        <v>566</v>
      </c>
      <c r="D925" s="1">
        <v>45191</v>
      </c>
      <c r="E925" s="1">
        <v>45251</v>
      </c>
      <c r="F925" t="s">
        <v>13</v>
      </c>
      <c r="G925">
        <v>10266686</v>
      </c>
      <c r="H925" s="1">
        <v>45266</v>
      </c>
      <c r="I925" t="s">
        <v>555</v>
      </c>
      <c r="J925" t="s">
        <v>556</v>
      </c>
      <c r="L925">
        <v>10266686</v>
      </c>
      <c r="M925">
        <f>IF(F925="INR",1,INDEX('rates'!$B$2:$C$522,MATCH(D925,'rates'!$A$2:$A$522,1),MATCH(F925&amp;"/INR",'rates'!$B$1:$C$1,0)))</f>
        <v>1</v>
      </c>
      <c r="N925">
        <f t="shared" si="74"/>
        <v>10266686</v>
      </c>
      <c r="O925">
        <f t="shared" si="75"/>
        <v>0</v>
      </c>
      <c r="P925">
        <f t="shared" si="76"/>
        <v>0</v>
      </c>
      <c r="Q925">
        <f t="shared" si="73"/>
        <v>15</v>
      </c>
      <c r="R925" t="str">
        <f t="shared" si="77"/>
        <v>Not open</v>
      </c>
    </row>
    <row r="926" spans="1:18" x14ac:dyDescent="0.3">
      <c r="A926" t="s">
        <v>1094</v>
      </c>
      <c r="B926" t="s">
        <v>372</v>
      </c>
      <c r="C926" t="s">
        <v>575</v>
      </c>
      <c r="D926" s="1">
        <v>45191</v>
      </c>
      <c r="E926" s="1">
        <v>45281</v>
      </c>
      <c r="F926" t="s">
        <v>13</v>
      </c>
      <c r="G926">
        <v>14514469</v>
      </c>
      <c r="H926" s="1">
        <v>45298</v>
      </c>
      <c r="I926" t="s">
        <v>555</v>
      </c>
      <c r="J926" t="s">
        <v>556</v>
      </c>
      <c r="L926">
        <v>14514469</v>
      </c>
      <c r="M926">
        <f>IF(F926="INR",1,INDEX('rates'!$B$2:$C$522,MATCH(D926,'rates'!$A$2:$A$522,1),MATCH(F926&amp;"/INR",'rates'!$B$1:$C$1,0)))</f>
        <v>1</v>
      </c>
      <c r="N926">
        <f t="shared" si="74"/>
        <v>14514469</v>
      </c>
      <c r="O926">
        <f t="shared" si="75"/>
        <v>0</v>
      </c>
      <c r="P926">
        <f t="shared" si="76"/>
        <v>0</v>
      </c>
      <c r="Q926">
        <f t="shared" si="73"/>
        <v>17</v>
      </c>
      <c r="R926" t="str">
        <f t="shared" si="77"/>
        <v>Not open</v>
      </c>
    </row>
    <row r="927" spans="1:18" x14ac:dyDescent="0.3">
      <c r="A927" t="s">
        <v>1095</v>
      </c>
      <c r="B927" t="s">
        <v>484</v>
      </c>
      <c r="C927" t="s">
        <v>560</v>
      </c>
      <c r="D927" s="1">
        <v>45191</v>
      </c>
      <c r="E927" s="1">
        <v>45251</v>
      </c>
      <c r="F927" t="s">
        <v>31</v>
      </c>
      <c r="G927">
        <v>39309.5</v>
      </c>
      <c r="H927" s="1">
        <v>45279</v>
      </c>
      <c r="I927" t="s">
        <v>555</v>
      </c>
      <c r="J927" t="s">
        <v>556</v>
      </c>
      <c r="L927">
        <v>39309.5</v>
      </c>
      <c r="M927">
        <f>IF(F927="INR",1,INDEX('rates'!$B$2:$C$522,MATCH(D927,'rates'!$A$2:$A$522,1),MATCH(F927&amp;"/INR",'rates'!$B$1:$C$1,0)))</f>
        <v>88.424700000000001</v>
      </c>
      <c r="N927">
        <f t="shared" si="74"/>
        <v>3475930.7446500002</v>
      </c>
      <c r="O927">
        <f t="shared" si="75"/>
        <v>0</v>
      </c>
      <c r="P927">
        <f t="shared" si="76"/>
        <v>0</v>
      </c>
      <c r="Q927">
        <f t="shared" si="73"/>
        <v>28</v>
      </c>
      <c r="R927" t="str">
        <f t="shared" si="77"/>
        <v>Not open</v>
      </c>
    </row>
    <row r="928" spans="1:18" x14ac:dyDescent="0.3">
      <c r="A928" t="s">
        <v>1096</v>
      </c>
      <c r="B928" t="s">
        <v>62</v>
      </c>
      <c r="C928" t="s">
        <v>566</v>
      </c>
      <c r="D928" s="1">
        <v>45192</v>
      </c>
      <c r="E928" s="1">
        <v>45252</v>
      </c>
      <c r="F928" t="s">
        <v>13</v>
      </c>
      <c r="G928">
        <v>27709493</v>
      </c>
      <c r="H928" s="1">
        <v>45249</v>
      </c>
      <c r="I928" t="s">
        <v>555</v>
      </c>
      <c r="J928" t="s">
        <v>556</v>
      </c>
      <c r="L928">
        <v>27709493</v>
      </c>
      <c r="M928">
        <f>IF(F928="INR",1,INDEX('rates'!$B$2:$C$522,MATCH(D928,'rates'!$A$2:$A$522,1),MATCH(F928&amp;"/INR",'rates'!$B$1:$C$1,0)))</f>
        <v>1</v>
      </c>
      <c r="N928">
        <f t="shared" si="74"/>
        <v>27709493</v>
      </c>
      <c r="O928">
        <f t="shared" si="75"/>
        <v>0</v>
      </c>
      <c r="P928">
        <f t="shared" si="76"/>
        <v>0</v>
      </c>
      <c r="Q928">
        <f t="shared" si="73"/>
        <v>-3</v>
      </c>
      <c r="R928" t="str">
        <f t="shared" si="77"/>
        <v>Not open</v>
      </c>
    </row>
    <row r="929" spans="1:18" x14ac:dyDescent="0.3">
      <c r="A929" t="s">
        <v>1097</v>
      </c>
      <c r="B929" t="s">
        <v>70</v>
      </c>
      <c r="C929" t="s">
        <v>554</v>
      </c>
      <c r="D929" s="1">
        <v>45192</v>
      </c>
      <c r="E929" s="1">
        <v>45222</v>
      </c>
      <c r="F929" t="s">
        <v>13</v>
      </c>
      <c r="G929">
        <v>1580020</v>
      </c>
      <c r="H929" s="1">
        <v>45228</v>
      </c>
      <c r="I929" t="s">
        <v>555</v>
      </c>
      <c r="J929" t="s">
        <v>556</v>
      </c>
      <c r="L929">
        <v>1580020</v>
      </c>
      <c r="M929">
        <f>IF(F929="INR",1,INDEX('rates'!$B$2:$C$522,MATCH(D929,'rates'!$A$2:$A$522,1),MATCH(F929&amp;"/INR",'rates'!$B$1:$C$1,0)))</f>
        <v>1</v>
      </c>
      <c r="N929">
        <f t="shared" si="74"/>
        <v>1580020</v>
      </c>
      <c r="O929">
        <f t="shared" si="75"/>
        <v>0</v>
      </c>
      <c r="P929">
        <f t="shared" si="76"/>
        <v>0</v>
      </c>
      <c r="Q929">
        <f t="shared" si="73"/>
        <v>6</v>
      </c>
      <c r="R929" t="str">
        <f t="shared" si="77"/>
        <v>Not open</v>
      </c>
    </row>
    <row r="930" spans="1:18" x14ac:dyDescent="0.3">
      <c r="A930" t="s">
        <v>1098</v>
      </c>
      <c r="B930" t="s">
        <v>166</v>
      </c>
      <c r="C930" t="s">
        <v>560</v>
      </c>
      <c r="D930" s="1">
        <v>45192</v>
      </c>
      <c r="E930" s="1">
        <v>45252</v>
      </c>
      <c r="F930" t="s">
        <v>13</v>
      </c>
      <c r="G930">
        <v>12907430</v>
      </c>
      <c r="H930" s="1">
        <v>45251</v>
      </c>
      <c r="I930" t="s">
        <v>555</v>
      </c>
      <c r="J930" t="s">
        <v>556</v>
      </c>
      <c r="L930">
        <v>12907430</v>
      </c>
      <c r="M930">
        <f>IF(F930="INR",1,INDEX('rates'!$B$2:$C$522,MATCH(D930,'rates'!$A$2:$A$522,1),MATCH(F930&amp;"/INR",'rates'!$B$1:$C$1,0)))</f>
        <v>1</v>
      </c>
      <c r="N930">
        <f t="shared" si="74"/>
        <v>12907430</v>
      </c>
      <c r="O930">
        <f t="shared" si="75"/>
        <v>0</v>
      </c>
      <c r="P930">
        <f t="shared" si="76"/>
        <v>0</v>
      </c>
      <c r="Q930">
        <f t="shared" si="73"/>
        <v>-1</v>
      </c>
      <c r="R930" t="str">
        <f t="shared" si="77"/>
        <v>Not open</v>
      </c>
    </row>
    <row r="931" spans="1:18" x14ac:dyDescent="0.3">
      <c r="A931" t="s">
        <v>1099</v>
      </c>
      <c r="B931" t="s">
        <v>200</v>
      </c>
      <c r="C931" t="s">
        <v>554</v>
      </c>
      <c r="D931" s="1">
        <v>45192</v>
      </c>
      <c r="E931" s="1">
        <v>45252</v>
      </c>
      <c r="F931" t="s">
        <v>13</v>
      </c>
      <c r="G931">
        <v>14737568</v>
      </c>
      <c r="H931" s="1">
        <v>45258</v>
      </c>
      <c r="I931" t="s">
        <v>555</v>
      </c>
      <c r="J931" t="s">
        <v>556</v>
      </c>
      <c r="L931">
        <v>14737568</v>
      </c>
      <c r="M931">
        <f>IF(F931="INR",1,INDEX('rates'!$B$2:$C$522,MATCH(D931,'rates'!$A$2:$A$522,1),MATCH(F931&amp;"/INR",'rates'!$B$1:$C$1,0)))</f>
        <v>1</v>
      </c>
      <c r="N931">
        <f t="shared" si="74"/>
        <v>14737568</v>
      </c>
      <c r="O931">
        <f t="shared" si="75"/>
        <v>0</v>
      </c>
      <c r="P931">
        <f t="shared" si="76"/>
        <v>0</v>
      </c>
      <c r="Q931">
        <f t="shared" si="73"/>
        <v>6</v>
      </c>
      <c r="R931" t="str">
        <f t="shared" si="77"/>
        <v>Not open</v>
      </c>
    </row>
    <row r="932" spans="1:18" x14ac:dyDescent="0.3">
      <c r="A932" t="s">
        <v>1100</v>
      </c>
      <c r="B932" t="s">
        <v>246</v>
      </c>
      <c r="C932" t="s">
        <v>554</v>
      </c>
      <c r="D932" s="1">
        <v>45192</v>
      </c>
      <c r="E932" s="1">
        <v>45252</v>
      </c>
      <c r="F932" t="s">
        <v>13</v>
      </c>
      <c r="G932">
        <v>5879348</v>
      </c>
      <c r="H932" s="1">
        <v>45267</v>
      </c>
      <c r="I932" t="s">
        <v>555</v>
      </c>
      <c r="J932" t="s">
        <v>556</v>
      </c>
      <c r="L932">
        <v>5879348</v>
      </c>
      <c r="M932">
        <f>IF(F932="INR",1,INDEX('rates'!$B$2:$C$522,MATCH(D932,'rates'!$A$2:$A$522,1),MATCH(F932&amp;"/INR",'rates'!$B$1:$C$1,0)))</f>
        <v>1</v>
      </c>
      <c r="N932">
        <f t="shared" si="74"/>
        <v>5879348</v>
      </c>
      <c r="O932">
        <f t="shared" si="75"/>
        <v>0</v>
      </c>
      <c r="P932">
        <f t="shared" si="76"/>
        <v>0</v>
      </c>
      <c r="Q932">
        <f t="shared" si="73"/>
        <v>15</v>
      </c>
      <c r="R932" t="str">
        <f t="shared" si="77"/>
        <v>Not open</v>
      </c>
    </row>
    <row r="933" spans="1:18" x14ac:dyDescent="0.3">
      <c r="A933" t="s">
        <v>1101</v>
      </c>
      <c r="B933" t="s">
        <v>488</v>
      </c>
      <c r="C933" t="s">
        <v>558</v>
      </c>
      <c r="D933" s="1">
        <v>45192</v>
      </c>
      <c r="E933" s="1">
        <v>45222</v>
      </c>
      <c r="F933" t="s">
        <v>31</v>
      </c>
      <c r="G933">
        <v>126940.14</v>
      </c>
      <c r="H933" s="1">
        <v>45266</v>
      </c>
      <c r="I933" t="s">
        <v>555</v>
      </c>
      <c r="J933" t="s">
        <v>556</v>
      </c>
      <c r="L933">
        <v>126940.14</v>
      </c>
      <c r="M933">
        <f>IF(F933="INR",1,INDEX('rates'!$B$2:$C$522,MATCH(D933,'rates'!$A$2:$A$522,1),MATCH(F933&amp;"/INR",'rates'!$B$1:$C$1,0)))</f>
        <v>88.424700000000001</v>
      </c>
      <c r="N933">
        <f t="shared" si="74"/>
        <v>11224643.797458</v>
      </c>
      <c r="O933">
        <f t="shared" si="75"/>
        <v>0</v>
      </c>
      <c r="P933">
        <f t="shared" si="76"/>
        <v>0</v>
      </c>
      <c r="Q933">
        <f t="shared" si="73"/>
        <v>44</v>
      </c>
      <c r="R933" t="str">
        <f t="shared" si="77"/>
        <v>Not open</v>
      </c>
    </row>
    <row r="934" spans="1:18" x14ac:dyDescent="0.3">
      <c r="A934" t="s">
        <v>1102</v>
      </c>
      <c r="B934" t="s">
        <v>536</v>
      </c>
      <c r="C934" t="s">
        <v>575</v>
      </c>
      <c r="D934" s="1">
        <v>45192</v>
      </c>
      <c r="E934" s="1">
        <v>45222</v>
      </c>
      <c r="F934" t="s">
        <v>36</v>
      </c>
      <c r="G934">
        <v>73255.17</v>
      </c>
      <c r="H934" s="1">
        <v>45220</v>
      </c>
      <c r="I934" t="s">
        <v>555</v>
      </c>
      <c r="J934" t="s">
        <v>573</v>
      </c>
      <c r="K934">
        <v>83.088300000000004</v>
      </c>
      <c r="L934">
        <v>73255.17</v>
      </c>
      <c r="M934">
        <f>IF(F934="INR",1,INDEX('rates'!$B$2:$C$522,MATCH(D934,'rates'!$A$2:$A$522,1),MATCH(F934&amp;"/INR",'rates'!$B$1:$C$1,0)))</f>
        <v>82.95</v>
      </c>
      <c r="N934">
        <f t="shared" si="74"/>
        <v>6076516.3514999999</v>
      </c>
      <c r="O934">
        <f t="shared" si="75"/>
        <v>0</v>
      </c>
      <c r="P934">
        <f t="shared" si="76"/>
        <v>0</v>
      </c>
      <c r="Q934">
        <f t="shared" si="73"/>
        <v>-2</v>
      </c>
      <c r="R934" t="str">
        <f t="shared" si="77"/>
        <v>Not open</v>
      </c>
    </row>
    <row r="935" spans="1:18" x14ac:dyDescent="0.3">
      <c r="A935" t="s">
        <v>1103</v>
      </c>
      <c r="B935" t="s">
        <v>51</v>
      </c>
      <c r="C935" t="s">
        <v>566</v>
      </c>
      <c r="D935" s="1">
        <v>45194</v>
      </c>
      <c r="E935" s="1">
        <v>45254</v>
      </c>
      <c r="F935" t="s">
        <v>31</v>
      </c>
      <c r="G935">
        <v>38626.519999999997</v>
      </c>
      <c r="H935" s="1">
        <v>45263</v>
      </c>
      <c r="I935" t="s">
        <v>555</v>
      </c>
      <c r="J935" t="s">
        <v>573</v>
      </c>
      <c r="K935">
        <v>88.197800000000001</v>
      </c>
      <c r="L935">
        <v>38626.519999999997</v>
      </c>
      <c r="M935">
        <f>IF(F935="INR",1,INDEX('rates'!$B$2:$C$522,MATCH(D935,'rates'!$A$2:$A$522,1),MATCH(F935&amp;"/INR",'rates'!$B$1:$C$1,0)))</f>
        <v>88.021799999999999</v>
      </c>
      <c r="N935">
        <f t="shared" si="74"/>
        <v>3399975.8181359996</v>
      </c>
      <c r="O935">
        <f t="shared" si="75"/>
        <v>0</v>
      </c>
      <c r="P935">
        <f t="shared" si="76"/>
        <v>0</v>
      </c>
      <c r="Q935">
        <f t="shared" si="73"/>
        <v>9</v>
      </c>
      <c r="R935" t="str">
        <f t="shared" si="77"/>
        <v>Not open</v>
      </c>
    </row>
    <row r="936" spans="1:18" x14ac:dyDescent="0.3">
      <c r="A936" t="s">
        <v>1104</v>
      </c>
      <c r="B936" t="s">
        <v>436</v>
      </c>
      <c r="C936" t="s">
        <v>566</v>
      </c>
      <c r="D936" s="1">
        <v>45194</v>
      </c>
      <c r="E936" s="1">
        <v>45239</v>
      </c>
      <c r="F936" t="s">
        <v>36</v>
      </c>
      <c r="G936">
        <v>104226.44</v>
      </c>
      <c r="H936" s="1">
        <v>45267</v>
      </c>
      <c r="I936" t="s">
        <v>555</v>
      </c>
      <c r="J936" t="s">
        <v>556</v>
      </c>
      <c r="L936">
        <v>104226.44</v>
      </c>
      <c r="M936">
        <f>IF(F936="INR",1,INDEX('rates'!$B$2:$C$522,MATCH(D936,'rates'!$A$2:$A$522,1),MATCH(F936&amp;"/INR",'rates'!$B$1:$C$1,0)))</f>
        <v>83.11</v>
      </c>
      <c r="N936">
        <f t="shared" si="74"/>
        <v>8662259.4284000006</v>
      </c>
      <c r="O936">
        <f t="shared" si="75"/>
        <v>0</v>
      </c>
      <c r="P936">
        <f t="shared" si="76"/>
        <v>0</v>
      </c>
      <c r="Q936">
        <f t="shared" si="73"/>
        <v>28</v>
      </c>
      <c r="R936" t="str">
        <f t="shared" si="77"/>
        <v>Not open</v>
      </c>
    </row>
    <row r="937" spans="1:18" x14ac:dyDescent="0.3">
      <c r="A937" t="s">
        <v>1105</v>
      </c>
      <c r="B937" t="s">
        <v>454</v>
      </c>
      <c r="C937" t="s">
        <v>575</v>
      </c>
      <c r="D937" s="1">
        <v>45194</v>
      </c>
      <c r="E937" s="1">
        <v>45254</v>
      </c>
      <c r="F937" t="s">
        <v>13</v>
      </c>
      <c r="G937">
        <v>6180277</v>
      </c>
      <c r="H937" s="1">
        <v>45258</v>
      </c>
      <c r="I937" t="s">
        <v>555</v>
      </c>
      <c r="J937" t="s">
        <v>556</v>
      </c>
      <c r="L937">
        <v>6180277</v>
      </c>
      <c r="M937">
        <f>IF(F937="INR",1,INDEX('rates'!$B$2:$C$522,MATCH(D937,'rates'!$A$2:$A$522,1),MATCH(F937&amp;"/INR",'rates'!$B$1:$C$1,0)))</f>
        <v>1</v>
      </c>
      <c r="N937">
        <f t="shared" si="74"/>
        <v>6180277</v>
      </c>
      <c r="O937">
        <f t="shared" si="75"/>
        <v>0</v>
      </c>
      <c r="P937">
        <f t="shared" si="76"/>
        <v>0</v>
      </c>
      <c r="Q937">
        <f t="shared" si="73"/>
        <v>4</v>
      </c>
      <c r="R937" t="str">
        <f t="shared" si="77"/>
        <v>Not open</v>
      </c>
    </row>
    <row r="938" spans="1:18" x14ac:dyDescent="0.3">
      <c r="A938" t="s">
        <v>1106</v>
      </c>
      <c r="B938" t="s">
        <v>33</v>
      </c>
      <c r="C938" t="s">
        <v>566</v>
      </c>
      <c r="D938" s="1">
        <v>45195</v>
      </c>
      <c r="E938" s="1">
        <v>45225</v>
      </c>
      <c r="F938" t="s">
        <v>36</v>
      </c>
      <c r="G938">
        <v>14864.29</v>
      </c>
      <c r="H938" s="1">
        <v>45246</v>
      </c>
      <c r="I938" t="s">
        <v>555</v>
      </c>
      <c r="J938" t="s">
        <v>556</v>
      </c>
      <c r="L938">
        <v>14864.29</v>
      </c>
      <c r="M938">
        <f>IF(F938="INR",1,INDEX('rates'!$B$2:$C$522,MATCH(D938,'rates'!$A$2:$A$522,1),MATCH(F938&amp;"/INR",'rates'!$B$1:$C$1,0)))</f>
        <v>83.24</v>
      </c>
      <c r="N938">
        <f t="shared" si="74"/>
        <v>1237303.4996</v>
      </c>
      <c r="O938">
        <f t="shared" si="75"/>
        <v>0</v>
      </c>
      <c r="P938">
        <f t="shared" si="76"/>
        <v>0</v>
      </c>
      <c r="Q938">
        <f t="shared" si="73"/>
        <v>21</v>
      </c>
      <c r="R938" t="str">
        <f t="shared" si="77"/>
        <v>Not open</v>
      </c>
    </row>
    <row r="939" spans="1:18" x14ac:dyDescent="0.3">
      <c r="A939" t="s">
        <v>1107</v>
      </c>
      <c r="B939" t="s">
        <v>140</v>
      </c>
      <c r="C939" t="s">
        <v>554</v>
      </c>
      <c r="D939" s="1">
        <v>45195</v>
      </c>
      <c r="E939" s="1">
        <v>45255</v>
      </c>
      <c r="F939" t="s">
        <v>13</v>
      </c>
      <c r="G939">
        <v>6928096</v>
      </c>
      <c r="H939" s="1">
        <v>45267</v>
      </c>
      <c r="I939" t="s">
        <v>555</v>
      </c>
      <c r="J939" t="s">
        <v>556</v>
      </c>
      <c r="L939">
        <v>6928096</v>
      </c>
      <c r="M939">
        <f>IF(F939="INR",1,INDEX('rates'!$B$2:$C$522,MATCH(D939,'rates'!$A$2:$A$522,1),MATCH(F939&amp;"/INR",'rates'!$B$1:$C$1,0)))</f>
        <v>1</v>
      </c>
      <c r="N939">
        <f t="shared" si="74"/>
        <v>6928096</v>
      </c>
      <c r="O939">
        <f t="shared" si="75"/>
        <v>0</v>
      </c>
      <c r="P939">
        <f t="shared" si="76"/>
        <v>0</v>
      </c>
      <c r="Q939">
        <f t="shared" si="73"/>
        <v>12</v>
      </c>
      <c r="R939" t="str">
        <f t="shared" si="77"/>
        <v>Not open</v>
      </c>
    </row>
    <row r="940" spans="1:18" x14ac:dyDescent="0.3">
      <c r="A940" t="s">
        <v>1108</v>
      </c>
      <c r="B940" t="s">
        <v>438</v>
      </c>
      <c r="C940" t="s">
        <v>558</v>
      </c>
      <c r="D940" s="1">
        <v>45195</v>
      </c>
      <c r="E940" s="1">
        <v>45255</v>
      </c>
      <c r="F940" t="s">
        <v>36</v>
      </c>
      <c r="G940">
        <v>80026.570000000007</v>
      </c>
      <c r="H940" s="1">
        <v>45273</v>
      </c>
      <c r="I940" t="s">
        <v>555</v>
      </c>
      <c r="J940" t="s">
        <v>573</v>
      </c>
      <c r="K940">
        <v>83.517499999999998</v>
      </c>
      <c r="L940">
        <v>80026.570000000007</v>
      </c>
      <c r="M940">
        <f>IF(F940="INR",1,INDEX('rates'!$B$2:$C$522,MATCH(D940,'rates'!$A$2:$A$522,1),MATCH(F940&amp;"/INR",'rates'!$B$1:$C$1,0)))</f>
        <v>83.24</v>
      </c>
      <c r="N940">
        <f t="shared" si="74"/>
        <v>6661411.6868000003</v>
      </c>
      <c r="O940">
        <f t="shared" si="75"/>
        <v>0</v>
      </c>
      <c r="P940">
        <f t="shared" si="76"/>
        <v>0</v>
      </c>
      <c r="Q940">
        <f t="shared" si="73"/>
        <v>18</v>
      </c>
      <c r="R940" t="str">
        <f t="shared" si="77"/>
        <v>Not open</v>
      </c>
    </row>
    <row r="941" spans="1:18" x14ac:dyDescent="0.3">
      <c r="A941" t="s">
        <v>1110</v>
      </c>
      <c r="B941" t="s">
        <v>160</v>
      </c>
      <c r="C941" t="s">
        <v>554</v>
      </c>
      <c r="D941" s="1">
        <v>45196</v>
      </c>
      <c r="E941" s="1">
        <v>45241</v>
      </c>
      <c r="F941" t="s">
        <v>13</v>
      </c>
      <c r="G941">
        <v>4232592</v>
      </c>
      <c r="H941" s="1">
        <v>45245</v>
      </c>
      <c r="I941" t="s">
        <v>555</v>
      </c>
      <c r="J941" t="s">
        <v>556</v>
      </c>
      <c r="L941">
        <v>4232592</v>
      </c>
      <c r="M941">
        <f>IF(F941="INR",1,INDEX('rates'!$B$2:$C$522,MATCH(D941,'rates'!$A$2:$A$522,1),MATCH(F941&amp;"/INR",'rates'!$B$1:$C$1,0)))</f>
        <v>1</v>
      </c>
      <c r="N941">
        <f t="shared" si="74"/>
        <v>4232592</v>
      </c>
      <c r="O941">
        <f t="shared" si="75"/>
        <v>0</v>
      </c>
      <c r="P941">
        <f t="shared" si="76"/>
        <v>0</v>
      </c>
      <c r="Q941">
        <f t="shared" si="73"/>
        <v>4</v>
      </c>
      <c r="R941" t="str">
        <f t="shared" si="77"/>
        <v>Not open</v>
      </c>
    </row>
    <row r="942" spans="1:18" x14ac:dyDescent="0.3">
      <c r="A942" t="s">
        <v>1111</v>
      </c>
      <c r="B942" t="s">
        <v>466</v>
      </c>
      <c r="C942" t="s">
        <v>560</v>
      </c>
      <c r="D942" s="1">
        <v>45196</v>
      </c>
      <c r="E942" s="1">
        <v>45256</v>
      </c>
      <c r="F942" t="s">
        <v>31</v>
      </c>
      <c r="G942">
        <v>104567.83</v>
      </c>
      <c r="H942" s="1">
        <v>45257</v>
      </c>
      <c r="I942" t="s">
        <v>555</v>
      </c>
      <c r="J942" t="s">
        <v>556</v>
      </c>
      <c r="L942">
        <v>104567.83</v>
      </c>
      <c r="M942">
        <f>IF(F942="INR",1,INDEX('rates'!$B$2:$C$522,MATCH(D942,'rates'!$A$2:$A$522,1),MATCH(F942&amp;"/INR",'rates'!$B$1:$C$1,0)))</f>
        <v>87.422200000000004</v>
      </c>
      <c r="N942">
        <f t="shared" si="74"/>
        <v>9141549.7478260007</v>
      </c>
      <c r="O942">
        <f t="shared" si="75"/>
        <v>0</v>
      </c>
      <c r="P942">
        <f t="shared" si="76"/>
        <v>0</v>
      </c>
      <c r="Q942">
        <f t="shared" si="73"/>
        <v>1</v>
      </c>
      <c r="R942" t="str">
        <f t="shared" si="77"/>
        <v>Not open</v>
      </c>
    </row>
    <row r="943" spans="1:18" x14ac:dyDescent="0.3">
      <c r="A943" t="s">
        <v>1112</v>
      </c>
      <c r="B943" t="s">
        <v>160</v>
      </c>
      <c r="C943" t="s">
        <v>554</v>
      </c>
      <c r="D943" s="1">
        <v>45197</v>
      </c>
      <c r="E943" s="1">
        <v>45242</v>
      </c>
      <c r="F943" t="s">
        <v>13</v>
      </c>
      <c r="G943">
        <v>16360430</v>
      </c>
      <c r="H943" s="1">
        <v>45251</v>
      </c>
      <c r="I943" t="s">
        <v>555</v>
      </c>
      <c r="J943" t="s">
        <v>556</v>
      </c>
      <c r="L943">
        <v>16360430</v>
      </c>
      <c r="M943">
        <f>IF(F943="INR",1,INDEX('rates'!$B$2:$C$522,MATCH(D943,'rates'!$A$2:$A$522,1),MATCH(F943&amp;"/INR",'rates'!$B$1:$C$1,0)))</f>
        <v>1</v>
      </c>
      <c r="N943">
        <f t="shared" si="74"/>
        <v>16360430</v>
      </c>
      <c r="O943">
        <f t="shared" si="75"/>
        <v>0</v>
      </c>
      <c r="P943">
        <f t="shared" si="76"/>
        <v>0</v>
      </c>
      <c r="Q943">
        <f t="shared" si="73"/>
        <v>9</v>
      </c>
      <c r="R943" t="str">
        <f t="shared" si="77"/>
        <v>Not open</v>
      </c>
    </row>
    <row r="944" spans="1:18" x14ac:dyDescent="0.3">
      <c r="A944" t="s">
        <v>1113</v>
      </c>
      <c r="B944" t="s">
        <v>178</v>
      </c>
      <c r="C944" t="s">
        <v>560</v>
      </c>
      <c r="D944" s="1">
        <v>45197</v>
      </c>
      <c r="E944" s="1">
        <v>45227</v>
      </c>
      <c r="F944" t="s">
        <v>13</v>
      </c>
      <c r="G944">
        <v>3090383</v>
      </c>
      <c r="H944" s="1">
        <v>45250</v>
      </c>
      <c r="I944" t="s">
        <v>555</v>
      </c>
      <c r="J944" t="s">
        <v>556</v>
      </c>
      <c r="L944">
        <v>3090383</v>
      </c>
      <c r="M944">
        <f>IF(F944="INR",1,INDEX('rates'!$B$2:$C$522,MATCH(D944,'rates'!$A$2:$A$522,1),MATCH(F944&amp;"/INR",'rates'!$B$1:$C$1,0)))</f>
        <v>1</v>
      </c>
      <c r="N944">
        <f t="shared" si="74"/>
        <v>3090383</v>
      </c>
      <c r="O944">
        <f t="shared" si="75"/>
        <v>0</v>
      </c>
      <c r="P944">
        <f t="shared" si="76"/>
        <v>0</v>
      </c>
      <c r="Q944">
        <f t="shared" si="73"/>
        <v>23</v>
      </c>
      <c r="R944" t="str">
        <f t="shared" si="77"/>
        <v>Not open</v>
      </c>
    </row>
    <row r="945" spans="1:18" x14ac:dyDescent="0.3">
      <c r="A945" t="s">
        <v>1114</v>
      </c>
      <c r="B945" t="s">
        <v>270</v>
      </c>
      <c r="C945" t="s">
        <v>558</v>
      </c>
      <c r="D945" s="1">
        <v>45197</v>
      </c>
      <c r="E945" s="1">
        <v>45257</v>
      </c>
      <c r="F945" t="s">
        <v>31</v>
      </c>
      <c r="G945">
        <v>19876.73</v>
      </c>
      <c r="H945" s="1">
        <v>45315</v>
      </c>
      <c r="I945" t="s">
        <v>717</v>
      </c>
      <c r="J945" t="s">
        <v>556</v>
      </c>
      <c r="L945">
        <v>4478.9799999999996</v>
      </c>
      <c r="M945">
        <f>IF(F945="INR",1,INDEX('rates'!$B$2:$C$522,MATCH(D945,'rates'!$A$2:$A$522,1),MATCH(F945&amp;"/INR",'rates'!$B$1:$C$1,0)))</f>
        <v>87.934899999999999</v>
      </c>
      <c r="N945">
        <f t="shared" si="74"/>
        <v>1747858.2648769999</v>
      </c>
      <c r="O945">
        <f t="shared" si="75"/>
        <v>0</v>
      </c>
      <c r="P945">
        <f t="shared" si="76"/>
        <v>0</v>
      </c>
      <c r="Q945">
        <f t="shared" si="73"/>
        <v>58</v>
      </c>
      <c r="R945" t="str">
        <f t="shared" si="77"/>
        <v>Not open</v>
      </c>
    </row>
    <row r="946" spans="1:18" x14ac:dyDescent="0.3">
      <c r="A946" t="s">
        <v>1115</v>
      </c>
      <c r="B946" t="s">
        <v>296</v>
      </c>
      <c r="C946" t="s">
        <v>554</v>
      </c>
      <c r="D946" s="1">
        <v>45197</v>
      </c>
      <c r="E946" s="1">
        <v>45227</v>
      </c>
      <c r="F946" t="s">
        <v>13</v>
      </c>
      <c r="G946">
        <v>6748592</v>
      </c>
      <c r="H946" s="1">
        <v>45241</v>
      </c>
      <c r="I946" t="s">
        <v>555</v>
      </c>
      <c r="J946" t="s">
        <v>556</v>
      </c>
      <c r="L946">
        <v>6748592</v>
      </c>
      <c r="M946">
        <f>IF(F946="INR",1,INDEX('rates'!$B$2:$C$522,MATCH(D946,'rates'!$A$2:$A$522,1),MATCH(F946&amp;"/INR",'rates'!$B$1:$C$1,0)))</f>
        <v>1</v>
      </c>
      <c r="N946">
        <f t="shared" si="74"/>
        <v>6748592</v>
      </c>
      <c r="O946">
        <f t="shared" si="75"/>
        <v>0</v>
      </c>
      <c r="P946">
        <f t="shared" si="76"/>
        <v>0</v>
      </c>
      <c r="Q946">
        <f t="shared" ref="Q946:Q1009" si="78">IF(H946="","",H946-E946)</f>
        <v>14</v>
      </c>
      <c r="R946" t="str">
        <f t="shared" si="77"/>
        <v>Not open</v>
      </c>
    </row>
    <row r="947" spans="1:18" x14ac:dyDescent="0.3">
      <c r="A947" t="s">
        <v>1116</v>
      </c>
      <c r="B947" t="s">
        <v>72</v>
      </c>
      <c r="C947" t="s">
        <v>560</v>
      </c>
      <c r="D947" s="1">
        <v>45198</v>
      </c>
      <c r="E947" s="1">
        <v>45288</v>
      </c>
      <c r="F947" t="s">
        <v>31</v>
      </c>
      <c r="G947">
        <v>85892.13</v>
      </c>
      <c r="H947" s="1">
        <v>45349</v>
      </c>
      <c r="I947" t="s">
        <v>555</v>
      </c>
      <c r="J947" t="s">
        <v>556</v>
      </c>
      <c r="L947">
        <v>85892.13</v>
      </c>
      <c r="M947">
        <f>IF(F947="INR",1,INDEX('rates'!$B$2:$C$522,MATCH(D947,'rates'!$A$2:$A$522,1),MATCH(F947&amp;"/INR",'rates'!$B$1:$C$1,0)))</f>
        <v>87.931899999999999</v>
      </c>
      <c r="N947">
        <f t="shared" si="74"/>
        <v>7552658.185947</v>
      </c>
      <c r="O947">
        <f t="shared" si="75"/>
        <v>0</v>
      </c>
      <c r="P947">
        <f t="shared" si="76"/>
        <v>0</v>
      </c>
      <c r="Q947">
        <f t="shared" si="78"/>
        <v>61</v>
      </c>
      <c r="R947" t="str">
        <f t="shared" si="77"/>
        <v>Not open</v>
      </c>
    </row>
    <row r="948" spans="1:18" x14ac:dyDescent="0.3">
      <c r="A948" t="s">
        <v>1117</v>
      </c>
      <c r="B948" t="s">
        <v>328</v>
      </c>
      <c r="C948" t="s">
        <v>554</v>
      </c>
      <c r="D948" s="1">
        <v>45198</v>
      </c>
      <c r="E948" s="1">
        <v>45243</v>
      </c>
      <c r="F948" t="s">
        <v>13</v>
      </c>
      <c r="G948">
        <v>23525512</v>
      </c>
      <c r="H948" s="1">
        <v>45249</v>
      </c>
      <c r="I948" t="s">
        <v>555</v>
      </c>
      <c r="J948" t="s">
        <v>556</v>
      </c>
      <c r="L948">
        <v>23525512</v>
      </c>
      <c r="M948">
        <f>IF(F948="INR",1,INDEX('rates'!$B$2:$C$522,MATCH(D948,'rates'!$A$2:$A$522,1),MATCH(F948&amp;"/INR",'rates'!$B$1:$C$1,0)))</f>
        <v>1</v>
      </c>
      <c r="N948">
        <f t="shared" si="74"/>
        <v>23525512</v>
      </c>
      <c r="O948">
        <f t="shared" si="75"/>
        <v>0</v>
      </c>
      <c r="P948">
        <f t="shared" si="76"/>
        <v>0</v>
      </c>
      <c r="Q948">
        <f t="shared" si="78"/>
        <v>6</v>
      </c>
      <c r="R948" t="str">
        <f t="shared" si="77"/>
        <v>Not open</v>
      </c>
    </row>
    <row r="949" spans="1:18" x14ac:dyDescent="0.3">
      <c r="A949" t="s">
        <v>1118</v>
      </c>
      <c r="B949" t="s">
        <v>496</v>
      </c>
      <c r="C949" t="s">
        <v>554</v>
      </c>
      <c r="D949" s="1">
        <v>45198</v>
      </c>
      <c r="E949" s="1">
        <v>45243</v>
      </c>
      <c r="F949" t="s">
        <v>13</v>
      </c>
      <c r="G949">
        <v>8036401</v>
      </c>
      <c r="H949" s="1">
        <v>45272</v>
      </c>
      <c r="I949" t="s">
        <v>555</v>
      </c>
      <c r="J949" t="s">
        <v>556</v>
      </c>
      <c r="L949">
        <v>8036401</v>
      </c>
      <c r="M949">
        <f>IF(F949="INR",1,INDEX('rates'!$B$2:$C$522,MATCH(D949,'rates'!$A$2:$A$522,1),MATCH(F949&amp;"/INR",'rates'!$B$1:$C$1,0)))</f>
        <v>1</v>
      </c>
      <c r="N949">
        <f t="shared" si="74"/>
        <v>8036401</v>
      </c>
      <c r="O949">
        <f t="shared" si="75"/>
        <v>0</v>
      </c>
      <c r="P949">
        <f t="shared" si="76"/>
        <v>0</v>
      </c>
      <c r="Q949">
        <f t="shared" si="78"/>
        <v>29</v>
      </c>
      <c r="R949" t="str">
        <f t="shared" si="77"/>
        <v>Not open</v>
      </c>
    </row>
    <row r="950" spans="1:18" x14ac:dyDescent="0.3">
      <c r="A950" t="s">
        <v>1119</v>
      </c>
      <c r="B950" t="s">
        <v>126</v>
      </c>
      <c r="C950" t="s">
        <v>558</v>
      </c>
      <c r="D950" s="1">
        <v>45199</v>
      </c>
      <c r="E950" s="1">
        <v>45244</v>
      </c>
      <c r="F950" t="s">
        <v>13</v>
      </c>
      <c r="G950">
        <v>3757068</v>
      </c>
      <c r="H950" s="1">
        <v>45248</v>
      </c>
      <c r="I950" t="s">
        <v>555</v>
      </c>
      <c r="J950" t="s">
        <v>556</v>
      </c>
      <c r="L950">
        <v>3757068</v>
      </c>
      <c r="M950">
        <f>IF(F950="INR",1,INDEX('rates'!$B$2:$C$522,MATCH(D950,'rates'!$A$2:$A$522,1),MATCH(F950&amp;"/INR",'rates'!$B$1:$C$1,0)))</f>
        <v>1</v>
      </c>
      <c r="N950">
        <f t="shared" si="74"/>
        <v>3757068</v>
      </c>
      <c r="O950">
        <f t="shared" si="75"/>
        <v>0</v>
      </c>
      <c r="P950">
        <f t="shared" si="76"/>
        <v>0</v>
      </c>
      <c r="Q950">
        <f t="shared" si="78"/>
        <v>4</v>
      </c>
      <c r="R950" t="str">
        <f t="shared" si="77"/>
        <v>Not open</v>
      </c>
    </row>
    <row r="951" spans="1:18" x14ac:dyDescent="0.3">
      <c r="A951" t="s">
        <v>1120</v>
      </c>
      <c r="B951" t="s">
        <v>264</v>
      </c>
      <c r="C951" t="s">
        <v>575</v>
      </c>
      <c r="D951" s="1">
        <v>45199</v>
      </c>
      <c r="E951" s="1">
        <v>45244</v>
      </c>
      <c r="F951" t="s">
        <v>13</v>
      </c>
      <c r="G951">
        <v>3660647</v>
      </c>
      <c r="H951" s="1">
        <v>45484</v>
      </c>
      <c r="I951" t="s">
        <v>555</v>
      </c>
      <c r="J951" t="s">
        <v>556</v>
      </c>
      <c r="L951">
        <v>3660647</v>
      </c>
      <c r="M951">
        <f>IF(F951="INR",1,INDEX('rates'!$B$2:$C$522,MATCH(D951,'rates'!$A$2:$A$522,1),MATCH(F951&amp;"/INR",'rates'!$B$1:$C$1,0)))</f>
        <v>1</v>
      </c>
      <c r="N951">
        <f t="shared" si="74"/>
        <v>3660647</v>
      </c>
      <c r="O951">
        <f t="shared" si="75"/>
        <v>0</v>
      </c>
      <c r="P951">
        <f t="shared" si="76"/>
        <v>0</v>
      </c>
      <c r="Q951">
        <f t="shared" si="78"/>
        <v>240</v>
      </c>
      <c r="R951" t="str">
        <f t="shared" si="77"/>
        <v>Not open</v>
      </c>
    </row>
    <row r="952" spans="1:18" x14ac:dyDescent="0.3">
      <c r="A952" t="s">
        <v>1121</v>
      </c>
      <c r="B952" t="s">
        <v>378</v>
      </c>
      <c r="C952" t="s">
        <v>566</v>
      </c>
      <c r="D952" s="1">
        <v>45199</v>
      </c>
      <c r="E952" s="1">
        <v>45244</v>
      </c>
      <c r="F952" t="s">
        <v>31</v>
      </c>
      <c r="G952">
        <v>16518.650000000001</v>
      </c>
      <c r="H952" s="1">
        <v>45249</v>
      </c>
      <c r="I952" t="s">
        <v>555</v>
      </c>
      <c r="J952" t="s">
        <v>573</v>
      </c>
      <c r="K952">
        <v>88.063800000000001</v>
      </c>
      <c r="L952">
        <v>16518.650000000001</v>
      </c>
      <c r="M952">
        <f>IF(F952="INR",1,INDEX('rates'!$B$2:$C$522,MATCH(D952,'rates'!$A$2:$A$522,1),MATCH(F952&amp;"/INR",'rates'!$B$1:$C$1,0)))</f>
        <v>87.931899999999999</v>
      </c>
      <c r="N952">
        <f t="shared" si="74"/>
        <v>1452516.279935</v>
      </c>
      <c r="O952">
        <f t="shared" si="75"/>
        <v>0</v>
      </c>
      <c r="P952">
        <f t="shared" si="76"/>
        <v>0</v>
      </c>
      <c r="Q952">
        <f t="shared" si="78"/>
        <v>5</v>
      </c>
      <c r="R952" t="str">
        <f t="shared" si="77"/>
        <v>Not open</v>
      </c>
    </row>
    <row r="953" spans="1:18" x14ac:dyDescent="0.3">
      <c r="A953" t="s">
        <v>1122</v>
      </c>
      <c r="B953" t="s">
        <v>454</v>
      </c>
      <c r="C953" t="s">
        <v>575</v>
      </c>
      <c r="D953" s="1">
        <v>45199</v>
      </c>
      <c r="E953" s="1">
        <v>45259</v>
      </c>
      <c r="F953" t="s">
        <v>13</v>
      </c>
      <c r="G953">
        <v>4275791</v>
      </c>
      <c r="H953" s="1">
        <v>45258</v>
      </c>
      <c r="I953" t="s">
        <v>555</v>
      </c>
      <c r="J953" t="s">
        <v>556</v>
      </c>
      <c r="L953">
        <v>4275791</v>
      </c>
      <c r="M953">
        <f>IF(F953="INR",1,INDEX('rates'!$B$2:$C$522,MATCH(D953,'rates'!$A$2:$A$522,1),MATCH(F953&amp;"/INR",'rates'!$B$1:$C$1,0)))</f>
        <v>1</v>
      </c>
      <c r="N953">
        <f t="shared" si="74"/>
        <v>4275791</v>
      </c>
      <c r="O953">
        <f t="shared" si="75"/>
        <v>0</v>
      </c>
      <c r="P953">
        <f t="shared" si="76"/>
        <v>0</v>
      </c>
      <c r="Q953">
        <f t="shared" si="78"/>
        <v>-1</v>
      </c>
      <c r="R953" t="str">
        <f t="shared" si="77"/>
        <v>Not open</v>
      </c>
    </row>
    <row r="954" spans="1:18" x14ac:dyDescent="0.3">
      <c r="A954" t="s">
        <v>1123</v>
      </c>
      <c r="B954" t="s">
        <v>466</v>
      </c>
      <c r="C954" t="s">
        <v>560</v>
      </c>
      <c r="D954" s="1">
        <v>45199</v>
      </c>
      <c r="E954" s="1">
        <v>45259</v>
      </c>
      <c r="F954" t="s">
        <v>31</v>
      </c>
      <c r="G954">
        <v>64937.64</v>
      </c>
      <c r="H954" s="1">
        <v>45252</v>
      </c>
      <c r="I954" t="s">
        <v>555</v>
      </c>
      <c r="J954" t="s">
        <v>556</v>
      </c>
      <c r="L954">
        <v>64937.64</v>
      </c>
      <c r="M954">
        <f>IF(F954="INR",1,INDEX('rates'!$B$2:$C$522,MATCH(D954,'rates'!$A$2:$A$522,1),MATCH(F954&amp;"/INR",'rates'!$B$1:$C$1,0)))</f>
        <v>87.931899999999999</v>
      </c>
      <c r="N954">
        <f t="shared" si="74"/>
        <v>5710090.0667159995</v>
      </c>
      <c r="O954">
        <f t="shared" si="75"/>
        <v>0</v>
      </c>
      <c r="P954">
        <f t="shared" si="76"/>
        <v>0</v>
      </c>
      <c r="Q954">
        <f t="shared" si="78"/>
        <v>-7</v>
      </c>
      <c r="R954" t="str">
        <f t="shared" si="77"/>
        <v>Not open</v>
      </c>
    </row>
    <row r="955" spans="1:18" x14ac:dyDescent="0.3">
      <c r="A955" t="s">
        <v>1124</v>
      </c>
      <c r="B955" t="s">
        <v>532</v>
      </c>
      <c r="C955" t="s">
        <v>575</v>
      </c>
      <c r="D955" s="1">
        <v>45199</v>
      </c>
      <c r="E955" s="1">
        <v>45259</v>
      </c>
      <c r="F955" t="s">
        <v>36</v>
      </c>
      <c r="G955">
        <v>146770.07</v>
      </c>
      <c r="H955" s="1">
        <v>45284</v>
      </c>
      <c r="I955" t="s">
        <v>555</v>
      </c>
      <c r="J955" t="s">
        <v>556</v>
      </c>
      <c r="L955">
        <v>146770.07</v>
      </c>
      <c r="M955">
        <f>IF(F955="INR",1,INDEX('rates'!$B$2:$C$522,MATCH(D955,'rates'!$A$2:$A$522,1),MATCH(F955&amp;"/INR",'rates'!$B$1:$C$1,0)))</f>
        <v>83.08</v>
      </c>
      <c r="N955">
        <f t="shared" si="74"/>
        <v>12193657.4156</v>
      </c>
      <c r="O955">
        <f t="shared" si="75"/>
        <v>0</v>
      </c>
      <c r="P955">
        <f t="shared" si="76"/>
        <v>0</v>
      </c>
      <c r="Q955">
        <f t="shared" si="78"/>
        <v>25</v>
      </c>
      <c r="R955" t="str">
        <f t="shared" si="77"/>
        <v>Not open</v>
      </c>
    </row>
    <row r="956" spans="1:18" x14ac:dyDescent="0.3">
      <c r="A956" t="s">
        <v>1125</v>
      </c>
      <c r="B956" t="s">
        <v>22</v>
      </c>
      <c r="C956" t="s">
        <v>554</v>
      </c>
      <c r="D956" s="1">
        <v>45201</v>
      </c>
      <c r="E956" s="1">
        <v>45246</v>
      </c>
      <c r="F956" t="s">
        <v>13</v>
      </c>
      <c r="G956">
        <v>19522277</v>
      </c>
      <c r="H956" s="1">
        <v>45258</v>
      </c>
      <c r="I956" t="s">
        <v>555</v>
      </c>
      <c r="J956" t="s">
        <v>556</v>
      </c>
      <c r="L956">
        <v>19522277</v>
      </c>
      <c r="M956">
        <f>IF(F956="INR",1,INDEX('rates'!$B$2:$C$522,MATCH(D956,'rates'!$A$2:$A$522,1),MATCH(F956&amp;"/INR",'rates'!$B$1:$C$1,0)))</f>
        <v>1</v>
      </c>
      <c r="N956">
        <f t="shared" si="74"/>
        <v>19522277</v>
      </c>
      <c r="O956">
        <f t="shared" si="75"/>
        <v>0</v>
      </c>
      <c r="P956">
        <f t="shared" si="76"/>
        <v>0</v>
      </c>
      <c r="Q956">
        <f t="shared" si="78"/>
        <v>12</v>
      </c>
      <c r="R956" t="str">
        <f t="shared" si="77"/>
        <v>Not open</v>
      </c>
    </row>
    <row r="957" spans="1:18" x14ac:dyDescent="0.3">
      <c r="A957" t="s">
        <v>1126</v>
      </c>
      <c r="B957" t="s">
        <v>444</v>
      </c>
      <c r="C957" t="s">
        <v>566</v>
      </c>
      <c r="D957" s="1">
        <v>45201</v>
      </c>
      <c r="E957" s="1">
        <v>45246</v>
      </c>
      <c r="F957" t="s">
        <v>36</v>
      </c>
      <c r="G957">
        <v>100566.83</v>
      </c>
      <c r="H957" s="1">
        <v>45247</v>
      </c>
      <c r="I957" t="s">
        <v>555</v>
      </c>
      <c r="J957" t="s">
        <v>573</v>
      </c>
      <c r="K957">
        <v>83.247600000000006</v>
      </c>
      <c r="L957">
        <v>100566.83</v>
      </c>
      <c r="M957">
        <f>IF(F957="INR",1,INDEX('rates'!$B$2:$C$522,MATCH(D957,'rates'!$A$2:$A$522,1),MATCH(F957&amp;"/INR",'rates'!$B$1:$C$1,0)))</f>
        <v>83.04</v>
      </c>
      <c r="N957">
        <f t="shared" si="74"/>
        <v>8351069.5632000007</v>
      </c>
      <c r="O957">
        <f t="shared" si="75"/>
        <v>0</v>
      </c>
      <c r="P957">
        <f t="shared" si="76"/>
        <v>0</v>
      </c>
      <c r="Q957">
        <f t="shared" si="78"/>
        <v>1</v>
      </c>
      <c r="R957" t="str">
        <f t="shared" si="77"/>
        <v>Not open</v>
      </c>
    </row>
    <row r="958" spans="1:18" x14ac:dyDescent="0.3">
      <c r="A958" t="s">
        <v>1127</v>
      </c>
      <c r="B958" t="s">
        <v>466</v>
      </c>
      <c r="C958" t="s">
        <v>558</v>
      </c>
      <c r="D958" s="1">
        <v>45201</v>
      </c>
      <c r="E958" s="1">
        <v>45261</v>
      </c>
      <c r="F958" t="s">
        <v>31</v>
      </c>
      <c r="G958">
        <v>56442.68</v>
      </c>
      <c r="H958" s="1">
        <v>45267</v>
      </c>
      <c r="I958" t="s">
        <v>555</v>
      </c>
      <c r="J958" t="s">
        <v>556</v>
      </c>
      <c r="L958">
        <v>56442.68</v>
      </c>
      <c r="M958">
        <f>IF(F958="INR",1,INDEX('rates'!$B$2:$C$522,MATCH(D958,'rates'!$A$2:$A$522,1),MATCH(F958&amp;"/INR",'rates'!$B$1:$C$1,0)))</f>
        <v>87.191999999999993</v>
      </c>
      <c r="N958">
        <f t="shared" si="74"/>
        <v>4921350.1545599997</v>
      </c>
      <c r="O958">
        <f t="shared" si="75"/>
        <v>0</v>
      </c>
      <c r="P958">
        <f t="shared" si="76"/>
        <v>0</v>
      </c>
      <c r="Q958">
        <f t="shared" si="78"/>
        <v>6</v>
      </c>
      <c r="R958" t="str">
        <f t="shared" si="77"/>
        <v>Not open</v>
      </c>
    </row>
    <row r="959" spans="1:18" x14ac:dyDescent="0.3">
      <c r="A959" t="s">
        <v>1128</v>
      </c>
      <c r="B959" t="s">
        <v>140</v>
      </c>
      <c r="C959" t="s">
        <v>554</v>
      </c>
      <c r="D959" s="1">
        <v>45202</v>
      </c>
      <c r="E959" s="1">
        <v>45262</v>
      </c>
      <c r="F959" t="s">
        <v>13</v>
      </c>
      <c r="G959">
        <v>6261889</v>
      </c>
      <c r="H959" s="1">
        <v>45270</v>
      </c>
      <c r="I959" t="s">
        <v>555</v>
      </c>
      <c r="J959" t="s">
        <v>556</v>
      </c>
      <c r="L959">
        <v>6261889</v>
      </c>
      <c r="M959">
        <f>IF(F959="INR",1,INDEX('rates'!$B$2:$C$522,MATCH(D959,'rates'!$A$2:$A$522,1),MATCH(F959&amp;"/INR",'rates'!$B$1:$C$1,0)))</f>
        <v>1</v>
      </c>
      <c r="N959">
        <f t="shared" si="74"/>
        <v>6261889</v>
      </c>
      <c r="O959">
        <f t="shared" si="75"/>
        <v>0</v>
      </c>
      <c r="P959">
        <f t="shared" si="76"/>
        <v>0</v>
      </c>
      <c r="Q959">
        <f t="shared" si="78"/>
        <v>8</v>
      </c>
      <c r="R959" t="str">
        <f t="shared" si="77"/>
        <v>Not open</v>
      </c>
    </row>
    <row r="960" spans="1:18" x14ac:dyDescent="0.3">
      <c r="A960" t="s">
        <v>1129</v>
      </c>
      <c r="B960" t="s">
        <v>154</v>
      </c>
      <c r="C960" t="s">
        <v>566</v>
      </c>
      <c r="D960" s="1">
        <v>45202</v>
      </c>
      <c r="E960" s="1">
        <v>45232</v>
      </c>
      <c r="F960" t="s">
        <v>13</v>
      </c>
      <c r="G960">
        <v>29870959</v>
      </c>
      <c r="H960" s="1">
        <v>45235</v>
      </c>
      <c r="I960" t="s">
        <v>555</v>
      </c>
      <c r="J960" t="s">
        <v>556</v>
      </c>
      <c r="L960">
        <v>29870959</v>
      </c>
      <c r="M960">
        <f>IF(F960="INR",1,INDEX('rates'!$B$2:$C$522,MATCH(D960,'rates'!$A$2:$A$522,1),MATCH(F960&amp;"/INR",'rates'!$B$1:$C$1,0)))</f>
        <v>1</v>
      </c>
      <c r="N960">
        <f t="shared" si="74"/>
        <v>29870959</v>
      </c>
      <c r="O960">
        <f t="shared" si="75"/>
        <v>0</v>
      </c>
      <c r="P960">
        <f t="shared" si="76"/>
        <v>0</v>
      </c>
      <c r="Q960">
        <f t="shared" si="78"/>
        <v>3</v>
      </c>
      <c r="R960" t="str">
        <f t="shared" si="77"/>
        <v>Not open</v>
      </c>
    </row>
    <row r="961" spans="1:18" x14ac:dyDescent="0.3">
      <c r="A961" t="s">
        <v>1130</v>
      </c>
      <c r="B961" t="s">
        <v>222</v>
      </c>
      <c r="C961" t="s">
        <v>560</v>
      </c>
      <c r="D961" s="1">
        <v>45202</v>
      </c>
      <c r="E961" s="1">
        <v>45262</v>
      </c>
      <c r="F961" t="s">
        <v>36</v>
      </c>
      <c r="G961">
        <v>23305.49</v>
      </c>
      <c r="H961" s="1">
        <v>45281</v>
      </c>
      <c r="I961" t="s">
        <v>555</v>
      </c>
      <c r="J961" t="s">
        <v>556</v>
      </c>
      <c r="L961">
        <v>23305.49</v>
      </c>
      <c r="M961">
        <f>IF(F961="INR",1,INDEX('rates'!$B$2:$C$522,MATCH(D961,'rates'!$A$2:$A$522,1),MATCH(F961&amp;"/INR",'rates'!$B$1:$C$1,0)))</f>
        <v>83.22</v>
      </c>
      <c r="N961">
        <f t="shared" si="74"/>
        <v>1939482.8778000001</v>
      </c>
      <c r="O961">
        <f t="shared" si="75"/>
        <v>0</v>
      </c>
      <c r="P961">
        <f t="shared" si="76"/>
        <v>0</v>
      </c>
      <c r="Q961">
        <f t="shared" si="78"/>
        <v>19</v>
      </c>
      <c r="R961" t="str">
        <f t="shared" si="77"/>
        <v>Not open</v>
      </c>
    </row>
    <row r="962" spans="1:18" x14ac:dyDescent="0.3">
      <c r="A962" t="s">
        <v>1131</v>
      </c>
      <c r="B962" t="s">
        <v>302</v>
      </c>
      <c r="C962" t="s">
        <v>575</v>
      </c>
      <c r="D962" s="1">
        <v>45202</v>
      </c>
      <c r="E962" s="1">
        <v>45292</v>
      </c>
      <c r="F962" t="s">
        <v>13</v>
      </c>
      <c r="G962">
        <v>12150885</v>
      </c>
      <c r="H962" s="1">
        <v>45294</v>
      </c>
      <c r="I962" t="s">
        <v>555</v>
      </c>
      <c r="J962" t="s">
        <v>556</v>
      </c>
      <c r="L962">
        <v>12150885</v>
      </c>
      <c r="M962">
        <f>IF(F962="INR",1,INDEX('rates'!$B$2:$C$522,MATCH(D962,'rates'!$A$2:$A$522,1),MATCH(F962&amp;"/INR",'rates'!$B$1:$C$1,0)))</f>
        <v>1</v>
      </c>
      <c r="N962">
        <f t="shared" ref="N962:N1025" si="79">G962*M962</f>
        <v>12150885</v>
      </c>
      <c r="O962">
        <f t="shared" ref="O962:O1025" si="80">IF(OR(I962="OPEN",I962="PARTIALLY PAID"),(G962-L962)*M962,0)</f>
        <v>0</v>
      </c>
      <c r="P962">
        <f t="shared" ref="P962:P1025" si="81">IF(O962&gt;0,MAX(0,DATE(2025,3,31)-E962),0)</f>
        <v>0</v>
      </c>
      <c r="Q962">
        <f t="shared" si="78"/>
        <v>2</v>
      </c>
      <c r="R962" t="str">
        <f t="shared" ref="R962:R1025" si="82">IF(O962=0,"Not open",IF(P962=0,"Not yet due",IF(P962&lt;=30,"1-30",IF(P962&lt;=60,"31-60",IF(P962&lt;=90,"61-90","90+")))))</f>
        <v>Not open</v>
      </c>
    </row>
    <row r="963" spans="1:18" x14ac:dyDescent="0.3">
      <c r="A963" t="s">
        <v>1132</v>
      </c>
      <c r="B963" t="s">
        <v>352</v>
      </c>
      <c r="C963" t="s">
        <v>554</v>
      </c>
      <c r="D963" s="1">
        <v>45202</v>
      </c>
      <c r="E963" s="1">
        <v>45247</v>
      </c>
      <c r="F963" t="s">
        <v>36</v>
      </c>
      <c r="G963">
        <v>47494.2</v>
      </c>
      <c r="H963" s="1">
        <v>45256</v>
      </c>
      <c r="I963" t="s">
        <v>555</v>
      </c>
      <c r="J963" t="s">
        <v>556</v>
      </c>
      <c r="L963">
        <v>47494.2</v>
      </c>
      <c r="M963">
        <f>IF(F963="INR",1,INDEX('rates'!$B$2:$C$522,MATCH(D963,'rates'!$A$2:$A$522,1),MATCH(F963&amp;"/INR",'rates'!$B$1:$C$1,0)))</f>
        <v>83.22</v>
      </c>
      <c r="N963">
        <f t="shared" si="79"/>
        <v>3952467.3239999996</v>
      </c>
      <c r="O963">
        <f t="shared" si="80"/>
        <v>0</v>
      </c>
      <c r="P963">
        <f t="shared" si="81"/>
        <v>0</v>
      </c>
      <c r="Q963">
        <f t="shared" si="78"/>
        <v>9</v>
      </c>
      <c r="R963" t="str">
        <f t="shared" si="82"/>
        <v>Not open</v>
      </c>
    </row>
    <row r="964" spans="1:18" x14ac:dyDescent="0.3">
      <c r="A964" t="s">
        <v>1133</v>
      </c>
      <c r="B964" t="s">
        <v>454</v>
      </c>
      <c r="C964" t="s">
        <v>575</v>
      </c>
      <c r="D964" s="1">
        <v>45202</v>
      </c>
      <c r="E964" s="1">
        <v>45262</v>
      </c>
      <c r="F964" t="s">
        <v>13</v>
      </c>
      <c r="G964">
        <v>3133410</v>
      </c>
      <c r="H964" s="1">
        <v>45267</v>
      </c>
      <c r="I964" t="s">
        <v>555</v>
      </c>
      <c r="J964" t="s">
        <v>556</v>
      </c>
      <c r="L964">
        <v>3133410</v>
      </c>
      <c r="M964">
        <f>IF(F964="INR",1,INDEX('rates'!$B$2:$C$522,MATCH(D964,'rates'!$A$2:$A$522,1),MATCH(F964&amp;"/INR",'rates'!$B$1:$C$1,0)))</f>
        <v>1</v>
      </c>
      <c r="N964">
        <f t="shared" si="79"/>
        <v>3133410</v>
      </c>
      <c r="O964">
        <f t="shared" si="80"/>
        <v>0</v>
      </c>
      <c r="P964">
        <f t="shared" si="81"/>
        <v>0</v>
      </c>
      <c r="Q964">
        <f t="shared" si="78"/>
        <v>5</v>
      </c>
      <c r="R964" t="str">
        <f t="shared" si="82"/>
        <v>Not open</v>
      </c>
    </row>
    <row r="965" spans="1:18" x14ac:dyDescent="0.3">
      <c r="A965" t="s">
        <v>1134</v>
      </c>
      <c r="B965" t="s">
        <v>22</v>
      </c>
      <c r="C965" t="s">
        <v>554</v>
      </c>
      <c r="D965" s="1">
        <v>45203</v>
      </c>
      <c r="E965" s="1">
        <v>45248</v>
      </c>
      <c r="F965" t="s">
        <v>13</v>
      </c>
      <c r="G965">
        <v>6740690</v>
      </c>
      <c r="H965" s="1">
        <v>45279</v>
      </c>
      <c r="I965" t="s">
        <v>555</v>
      </c>
      <c r="J965" t="s">
        <v>556</v>
      </c>
      <c r="L965">
        <v>6740690</v>
      </c>
      <c r="M965">
        <f>IF(F965="INR",1,INDEX('rates'!$B$2:$C$522,MATCH(D965,'rates'!$A$2:$A$522,1),MATCH(F965&amp;"/INR",'rates'!$B$1:$C$1,0)))</f>
        <v>1</v>
      </c>
      <c r="N965">
        <f t="shared" si="79"/>
        <v>6740690</v>
      </c>
      <c r="O965">
        <f t="shared" si="80"/>
        <v>0</v>
      </c>
      <c r="P965">
        <f t="shared" si="81"/>
        <v>0</v>
      </c>
      <c r="Q965">
        <f t="shared" si="78"/>
        <v>31</v>
      </c>
      <c r="R965" t="str">
        <f t="shared" si="82"/>
        <v>Not open</v>
      </c>
    </row>
    <row r="966" spans="1:18" x14ac:dyDescent="0.3">
      <c r="A966" t="s">
        <v>1135</v>
      </c>
      <c r="B966" t="s">
        <v>72</v>
      </c>
      <c r="C966" t="s">
        <v>560</v>
      </c>
      <c r="D966" s="1">
        <v>45203</v>
      </c>
      <c r="E966" s="1">
        <v>45293</v>
      </c>
      <c r="F966" t="s">
        <v>31</v>
      </c>
      <c r="G966">
        <v>117638.47</v>
      </c>
      <c r="H966" s="1">
        <v>45300</v>
      </c>
      <c r="I966" t="s">
        <v>555</v>
      </c>
      <c r="J966" t="s">
        <v>573</v>
      </c>
      <c r="K966">
        <v>87.825100000000006</v>
      </c>
      <c r="L966">
        <v>117638.47</v>
      </c>
      <c r="M966">
        <f>IF(F966="INR",1,INDEX('rates'!$B$2:$C$522,MATCH(D966,'rates'!$A$2:$A$522,1),MATCH(F966&amp;"/INR",'rates'!$B$1:$C$1,0)))</f>
        <v>87.562399999999997</v>
      </c>
      <c r="N966">
        <f t="shared" si="79"/>
        <v>10300706.765527999</v>
      </c>
      <c r="O966">
        <f t="shared" si="80"/>
        <v>0</v>
      </c>
      <c r="P966">
        <f t="shared" si="81"/>
        <v>0</v>
      </c>
      <c r="Q966">
        <f t="shared" si="78"/>
        <v>7</v>
      </c>
      <c r="R966" t="str">
        <f t="shared" si="82"/>
        <v>Not open</v>
      </c>
    </row>
    <row r="967" spans="1:18" x14ac:dyDescent="0.3">
      <c r="A967" t="s">
        <v>1136</v>
      </c>
      <c r="B967" t="s">
        <v>105</v>
      </c>
      <c r="C967" t="s">
        <v>560</v>
      </c>
      <c r="D967" s="1">
        <v>45203</v>
      </c>
      <c r="E967" s="1">
        <v>45293</v>
      </c>
      <c r="F967" t="s">
        <v>36</v>
      </c>
      <c r="G967">
        <v>491261.32</v>
      </c>
      <c r="H967" s="1">
        <v>45402</v>
      </c>
      <c r="I967" t="s">
        <v>555</v>
      </c>
      <c r="J967" t="s">
        <v>556</v>
      </c>
      <c r="L967">
        <v>491261.32</v>
      </c>
      <c r="M967">
        <f>IF(F967="INR",1,INDEX('rates'!$B$2:$C$522,MATCH(D967,'rates'!$A$2:$A$522,1),MATCH(F967&amp;"/INR",'rates'!$B$1:$C$1,0)))</f>
        <v>83.25</v>
      </c>
      <c r="N967">
        <f t="shared" si="79"/>
        <v>40897504.890000001</v>
      </c>
      <c r="O967">
        <f t="shared" si="80"/>
        <v>0</v>
      </c>
      <c r="P967">
        <f t="shared" si="81"/>
        <v>0</v>
      </c>
      <c r="Q967">
        <f t="shared" si="78"/>
        <v>109</v>
      </c>
      <c r="R967" t="str">
        <f t="shared" si="82"/>
        <v>Not open</v>
      </c>
    </row>
    <row r="968" spans="1:18" x14ac:dyDescent="0.3">
      <c r="A968" t="s">
        <v>1137</v>
      </c>
      <c r="B968" t="s">
        <v>154</v>
      </c>
      <c r="C968" t="s">
        <v>566</v>
      </c>
      <c r="D968" s="1">
        <v>45203</v>
      </c>
      <c r="E968" s="1">
        <v>45233</v>
      </c>
      <c r="F968" t="s">
        <v>13</v>
      </c>
      <c r="G968">
        <v>2092005</v>
      </c>
      <c r="H968" s="1">
        <v>45234</v>
      </c>
      <c r="I968" t="s">
        <v>555</v>
      </c>
      <c r="J968" t="s">
        <v>556</v>
      </c>
      <c r="L968">
        <v>2092005</v>
      </c>
      <c r="M968">
        <f>IF(F968="INR",1,INDEX('rates'!$B$2:$C$522,MATCH(D968,'rates'!$A$2:$A$522,1),MATCH(F968&amp;"/INR",'rates'!$B$1:$C$1,0)))</f>
        <v>1</v>
      </c>
      <c r="N968">
        <f t="shared" si="79"/>
        <v>2092005</v>
      </c>
      <c r="O968">
        <f t="shared" si="80"/>
        <v>0</v>
      </c>
      <c r="P968">
        <f t="shared" si="81"/>
        <v>0</v>
      </c>
      <c r="Q968">
        <f t="shared" si="78"/>
        <v>1</v>
      </c>
      <c r="R968" t="str">
        <f t="shared" si="82"/>
        <v>Not open</v>
      </c>
    </row>
    <row r="969" spans="1:18" x14ac:dyDescent="0.3">
      <c r="A969" t="s">
        <v>1138</v>
      </c>
      <c r="B969" t="s">
        <v>240</v>
      </c>
      <c r="C969" t="s">
        <v>575</v>
      </c>
      <c r="D969" s="1">
        <v>45203</v>
      </c>
      <c r="E969" s="1">
        <v>45263</v>
      </c>
      <c r="F969" t="s">
        <v>36</v>
      </c>
      <c r="G969">
        <v>94599.24</v>
      </c>
      <c r="H969" s="1">
        <v>45282</v>
      </c>
      <c r="I969" t="s">
        <v>555</v>
      </c>
      <c r="J969" t="s">
        <v>556</v>
      </c>
      <c r="L969">
        <v>94599.24</v>
      </c>
      <c r="M969">
        <f>IF(F969="INR",1,INDEX('rates'!$B$2:$C$522,MATCH(D969,'rates'!$A$2:$A$522,1),MATCH(F969&amp;"/INR",'rates'!$B$1:$C$1,0)))</f>
        <v>83.25</v>
      </c>
      <c r="N969">
        <f t="shared" si="79"/>
        <v>7875386.7300000004</v>
      </c>
      <c r="O969">
        <f t="shared" si="80"/>
        <v>0</v>
      </c>
      <c r="P969">
        <f t="shared" si="81"/>
        <v>0</v>
      </c>
      <c r="Q969">
        <f t="shared" si="78"/>
        <v>19</v>
      </c>
      <c r="R969" t="str">
        <f t="shared" si="82"/>
        <v>Not open</v>
      </c>
    </row>
    <row r="970" spans="1:18" x14ac:dyDescent="0.3">
      <c r="A970" t="s">
        <v>1139</v>
      </c>
      <c r="B970" t="s">
        <v>258</v>
      </c>
      <c r="C970" t="s">
        <v>558</v>
      </c>
      <c r="D970" s="1">
        <v>45203</v>
      </c>
      <c r="E970" s="1">
        <v>45248</v>
      </c>
      <c r="F970" t="s">
        <v>13</v>
      </c>
      <c r="G970">
        <v>7155887</v>
      </c>
      <c r="H970" s="1">
        <v>45257</v>
      </c>
      <c r="I970" t="s">
        <v>555</v>
      </c>
      <c r="J970" t="s">
        <v>556</v>
      </c>
      <c r="L970">
        <v>7155887</v>
      </c>
      <c r="M970">
        <f>IF(F970="INR",1,INDEX('rates'!$B$2:$C$522,MATCH(D970,'rates'!$A$2:$A$522,1),MATCH(F970&amp;"/INR",'rates'!$B$1:$C$1,0)))</f>
        <v>1</v>
      </c>
      <c r="N970">
        <f t="shared" si="79"/>
        <v>7155887</v>
      </c>
      <c r="O970">
        <f t="shared" si="80"/>
        <v>0</v>
      </c>
      <c r="P970">
        <f t="shared" si="81"/>
        <v>0</v>
      </c>
      <c r="Q970">
        <f t="shared" si="78"/>
        <v>9</v>
      </c>
      <c r="R970" t="str">
        <f t="shared" si="82"/>
        <v>Not open</v>
      </c>
    </row>
    <row r="971" spans="1:18" x14ac:dyDescent="0.3">
      <c r="A971" t="s">
        <v>1140</v>
      </c>
      <c r="B971" t="s">
        <v>368</v>
      </c>
      <c r="C971" t="s">
        <v>566</v>
      </c>
      <c r="D971" s="1">
        <v>45203</v>
      </c>
      <c r="E971" s="1">
        <v>45263</v>
      </c>
      <c r="F971" t="s">
        <v>36</v>
      </c>
      <c r="G971">
        <v>36868.26</v>
      </c>
      <c r="H971" s="1">
        <v>45305</v>
      </c>
      <c r="I971" t="s">
        <v>555</v>
      </c>
      <c r="J971" t="s">
        <v>556</v>
      </c>
      <c r="L971">
        <v>36868.26</v>
      </c>
      <c r="M971">
        <f>IF(F971="INR",1,INDEX('rates'!$B$2:$C$522,MATCH(D971,'rates'!$A$2:$A$522,1),MATCH(F971&amp;"/INR",'rates'!$B$1:$C$1,0)))</f>
        <v>83.25</v>
      </c>
      <c r="N971">
        <f t="shared" si="79"/>
        <v>3069282.645</v>
      </c>
      <c r="O971">
        <f t="shared" si="80"/>
        <v>0</v>
      </c>
      <c r="P971">
        <f t="shared" si="81"/>
        <v>0</v>
      </c>
      <c r="Q971">
        <f t="shared" si="78"/>
        <v>42</v>
      </c>
      <c r="R971" t="str">
        <f t="shared" si="82"/>
        <v>Not open</v>
      </c>
    </row>
    <row r="972" spans="1:18" x14ac:dyDescent="0.3">
      <c r="A972" t="s">
        <v>1142</v>
      </c>
      <c r="B972" t="s">
        <v>394</v>
      </c>
      <c r="C972" t="s">
        <v>566</v>
      </c>
      <c r="D972" s="1">
        <v>45203</v>
      </c>
      <c r="E972" s="1">
        <v>45263</v>
      </c>
      <c r="F972" t="s">
        <v>31</v>
      </c>
      <c r="G972">
        <v>218701.97</v>
      </c>
      <c r="H972" s="1">
        <v>45269</v>
      </c>
      <c r="I972" t="s">
        <v>555</v>
      </c>
      <c r="J972" t="s">
        <v>556</v>
      </c>
      <c r="L972">
        <v>218701.97</v>
      </c>
      <c r="M972">
        <f>IF(F972="INR",1,INDEX('rates'!$B$2:$C$522,MATCH(D972,'rates'!$A$2:$A$522,1),MATCH(F972&amp;"/INR",'rates'!$B$1:$C$1,0)))</f>
        <v>87.562399999999997</v>
      </c>
      <c r="N972">
        <f t="shared" si="79"/>
        <v>19150069.377928</v>
      </c>
      <c r="O972">
        <f t="shared" si="80"/>
        <v>0</v>
      </c>
      <c r="P972">
        <f t="shared" si="81"/>
        <v>0</v>
      </c>
      <c r="Q972">
        <f t="shared" si="78"/>
        <v>6</v>
      </c>
      <c r="R972" t="str">
        <f t="shared" si="82"/>
        <v>Not open</v>
      </c>
    </row>
    <row r="973" spans="1:18" x14ac:dyDescent="0.3">
      <c r="A973" t="s">
        <v>1143</v>
      </c>
      <c r="B973" t="s">
        <v>444</v>
      </c>
      <c r="C973" t="s">
        <v>566</v>
      </c>
      <c r="D973" s="1">
        <v>45203</v>
      </c>
      <c r="E973" s="1">
        <v>45248</v>
      </c>
      <c r="F973" t="s">
        <v>36</v>
      </c>
      <c r="G973">
        <v>97725.67</v>
      </c>
      <c r="H973" s="1">
        <v>45260</v>
      </c>
      <c r="I973" t="s">
        <v>555</v>
      </c>
      <c r="J973" t="s">
        <v>573</v>
      </c>
      <c r="K973">
        <v>83.458100000000002</v>
      </c>
      <c r="L973">
        <v>97725.67</v>
      </c>
      <c r="M973">
        <f>IF(F973="INR",1,INDEX('rates'!$B$2:$C$522,MATCH(D973,'rates'!$A$2:$A$522,1),MATCH(F973&amp;"/INR",'rates'!$B$1:$C$1,0)))</f>
        <v>83.25</v>
      </c>
      <c r="N973">
        <f t="shared" si="79"/>
        <v>8135662.0274999999</v>
      </c>
      <c r="O973">
        <f t="shared" si="80"/>
        <v>0</v>
      </c>
      <c r="P973">
        <f t="shared" si="81"/>
        <v>0</v>
      </c>
      <c r="Q973">
        <f t="shared" si="78"/>
        <v>12</v>
      </c>
      <c r="R973" t="str">
        <f t="shared" si="82"/>
        <v>Not open</v>
      </c>
    </row>
    <row r="974" spans="1:18" x14ac:dyDescent="0.3">
      <c r="A974" t="s">
        <v>1144</v>
      </c>
      <c r="B974" t="s">
        <v>22</v>
      </c>
      <c r="C974" t="s">
        <v>554</v>
      </c>
      <c r="D974" s="1">
        <v>45204</v>
      </c>
      <c r="E974" s="1">
        <v>45249</v>
      </c>
      <c r="F974" t="s">
        <v>13</v>
      </c>
      <c r="G974">
        <v>8164582</v>
      </c>
      <c r="H974" s="1">
        <v>45263</v>
      </c>
      <c r="I974" t="s">
        <v>555</v>
      </c>
      <c r="J974" t="s">
        <v>556</v>
      </c>
      <c r="L974">
        <v>8164582</v>
      </c>
      <c r="M974">
        <f>IF(F974="INR",1,INDEX('rates'!$B$2:$C$522,MATCH(D974,'rates'!$A$2:$A$522,1),MATCH(F974&amp;"/INR",'rates'!$B$1:$C$1,0)))</f>
        <v>1</v>
      </c>
      <c r="N974">
        <f t="shared" si="79"/>
        <v>8164582</v>
      </c>
      <c r="O974">
        <f t="shared" si="80"/>
        <v>0</v>
      </c>
      <c r="P974">
        <f t="shared" si="81"/>
        <v>0</v>
      </c>
      <c r="Q974">
        <f t="shared" si="78"/>
        <v>14</v>
      </c>
      <c r="R974" t="str">
        <f t="shared" si="82"/>
        <v>Not open</v>
      </c>
    </row>
    <row r="975" spans="1:18" x14ac:dyDescent="0.3">
      <c r="A975" t="s">
        <v>1145</v>
      </c>
      <c r="B975" t="s">
        <v>49</v>
      </c>
      <c r="C975" t="s">
        <v>554</v>
      </c>
      <c r="D975" s="1">
        <v>45204</v>
      </c>
      <c r="E975" s="1">
        <v>45249</v>
      </c>
      <c r="F975" t="s">
        <v>13</v>
      </c>
      <c r="G975">
        <v>6655849</v>
      </c>
      <c r="H975" s="1">
        <v>45263</v>
      </c>
      <c r="I975" t="s">
        <v>555</v>
      </c>
      <c r="J975" t="s">
        <v>556</v>
      </c>
      <c r="L975">
        <v>6655849</v>
      </c>
      <c r="M975">
        <f>IF(F975="INR",1,INDEX('rates'!$B$2:$C$522,MATCH(D975,'rates'!$A$2:$A$522,1),MATCH(F975&amp;"/INR",'rates'!$B$1:$C$1,0)))</f>
        <v>1</v>
      </c>
      <c r="N975">
        <f t="shared" si="79"/>
        <v>6655849</v>
      </c>
      <c r="O975">
        <f t="shared" si="80"/>
        <v>0</v>
      </c>
      <c r="P975">
        <f t="shared" si="81"/>
        <v>0</v>
      </c>
      <c r="Q975">
        <f t="shared" si="78"/>
        <v>14</v>
      </c>
      <c r="R975" t="str">
        <f t="shared" si="82"/>
        <v>Not open</v>
      </c>
    </row>
    <row r="976" spans="1:18" x14ac:dyDescent="0.3">
      <c r="A976" t="s">
        <v>1146</v>
      </c>
      <c r="B976" t="s">
        <v>222</v>
      </c>
      <c r="C976" t="s">
        <v>560</v>
      </c>
      <c r="D976" s="1">
        <v>45204</v>
      </c>
      <c r="E976" s="1">
        <v>45264</v>
      </c>
      <c r="F976" t="s">
        <v>36</v>
      </c>
      <c r="G976">
        <v>34064.160000000003</v>
      </c>
      <c r="H976" s="1">
        <v>45281</v>
      </c>
      <c r="I976" t="s">
        <v>555</v>
      </c>
      <c r="J976" t="s">
        <v>556</v>
      </c>
      <c r="L976">
        <v>34064.160000000003</v>
      </c>
      <c r="M976">
        <f>IF(F976="INR",1,INDEX('rates'!$B$2:$C$522,MATCH(D976,'rates'!$A$2:$A$522,1),MATCH(F976&amp;"/INR",'rates'!$B$1:$C$1,0)))</f>
        <v>83.24</v>
      </c>
      <c r="N976">
        <f t="shared" si="79"/>
        <v>2835500.6784000001</v>
      </c>
      <c r="O976">
        <f t="shared" si="80"/>
        <v>0</v>
      </c>
      <c r="P976">
        <f t="shared" si="81"/>
        <v>0</v>
      </c>
      <c r="Q976">
        <f t="shared" si="78"/>
        <v>17</v>
      </c>
      <c r="R976" t="str">
        <f t="shared" si="82"/>
        <v>Not open</v>
      </c>
    </row>
    <row r="977" spans="1:18" x14ac:dyDescent="0.3">
      <c r="A977" t="s">
        <v>1147</v>
      </c>
      <c r="B977" t="s">
        <v>96</v>
      </c>
      <c r="C977" t="s">
        <v>558</v>
      </c>
      <c r="D977" s="1">
        <v>45205</v>
      </c>
      <c r="E977" s="1">
        <v>45295</v>
      </c>
      <c r="F977" t="s">
        <v>13</v>
      </c>
      <c r="G977">
        <v>14598387</v>
      </c>
      <c r="H977" s="1">
        <v>45301</v>
      </c>
      <c r="I977" t="s">
        <v>555</v>
      </c>
      <c r="J977" t="s">
        <v>556</v>
      </c>
      <c r="L977">
        <v>14598387</v>
      </c>
      <c r="M977">
        <f>IF(F977="INR",1,INDEX('rates'!$B$2:$C$522,MATCH(D977,'rates'!$A$2:$A$522,1),MATCH(F977&amp;"/INR",'rates'!$B$1:$C$1,0)))</f>
        <v>1</v>
      </c>
      <c r="N977">
        <f t="shared" si="79"/>
        <v>14598387</v>
      </c>
      <c r="O977">
        <f t="shared" si="80"/>
        <v>0</v>
      </c>
      <c r="P977">
        <f t="shared" si="81"/>
        <v>0</v>
      </c>
      <c r="Q977">
        <f t="shared" si="78"/>
        <v>6</v>
      </c>
      <c r="R977" t="str">
        <f t="shared" si="82"/>
        <v>Not open</v>
      </c>
    </row>
    <row r="978" spans="1:18" x14ac:dyDescent="0.3">
      <c r="A978" t="s">
        <v>1148</v>
      </c>
      <c r="B978" t="s">
        <v>190</v>
      </c>
      <c r="C978" t="s">
        <v>558</v>
      </c>
      <c r="D978" s="1">
        <v>45205</v>
      </c>
      <c r="E978" s="1">
        <v>45235</v>
      </c>
      <c r="F978" t="s">
        <v>13</v>
      </c>
      <c r="G978">
        <v>5257454</v>
      </c>
      <c r="H978" s="1">
        <v>45250</v>
      </c>
      <c r="I978" t="s">
        <v>555</v>
      </c>
      <c r="J978" t="s">
        <v>556</v>
      </c>
      <c r="L978">
        <v>5257454</v>
      </c>
      <c r="M978">
        <f>IF(F978="INR",1,INDEX('rates'!$B$2:$C$522,MATCH(D978,'rates'!$A$2:$A$522,1),MATCH(F978&amp;"/INR",'rates'!$B$1:$C$1,0)))</f>
        <v>1</v>
      </c>
      <c r="N978">
        <f t="shared" si="79"/>
        <v>5257454</v>
      </c>
      <c r="O978">
        <f t="shared" si="80"/>
        <v>0</v>
      </c>
      <c r="P978">
        <f t="shared" si="81"/>
        <v>0</v>
      </c>
      <c r="Q978">
        <f t="shared" si="78"/>
        <v>15</v>
      </c>
      <c r="R978" t="str">
        <f t="shared" si="82"/>
        <v>Not open</v>
      </c>
    </row>
    <row r="979" spans="1:18" x14ac:dyDescent="0.3">
      <c r="A979" t="s">
        <v>1149</v>
      </c>
      <c r="B979" t="s">
        <v>192</v>
      </c>
      <c r="C979" t="s">
        <v>554</v>
      </c>
      <c r="D979" s="1">
        <v>45205</v>
      </c>
      <c r="E979" s="1">
        <v>45265</v>
      </c>
      <c r="F979" t="s">
        <v>13</v>
      </c>
      <c r="G979">
        <v>1769979</v>
      </c>
      <c r="H979" s="1">
        <v>45382</v>
      </c>
      <c r="I979" t="s">
        <v>555</v>
      </c>
      <c r="J979" t="s">
        <v>556</v>
      </c>
      <c r="L979">
        <v>1769979</v>
      </c>
      <c r="M979">
        <f>IF(F979="INR",1,INDEX('rates'!$B$2:$C$522,MATCH(D979,'rates'!$A$2:$A$522,1),MATCH(F979&amp;"/INR",'rates'!$B$1:$C$1,0)))</f>
        <v>1</v>
      </c>
      <c r="N979">
        <f t="shared" si="79"/>
        <v>1769979</v>
      </c>
      <c r="O979">
        <f t="shared" si="80"/>
        <v>0</v>
      </c>
      <c r="P979">
        <f t="shared" si="81"/>
        <v>0</v>
      </c>
      <c r="Q979">
        <f t="shared" si="78"/>
        <v>117</v>
      </c>
      <c r="R979" t="str">
        <f t="shared" si="82"/>
        <v>Not open</v>
      </c>
    </row>
    <row r="980" spans="1:18" x14ac:dyDescent="0.3">
      <c r="A980" t="s">
        <v>1151</v>
      </c>
      <c r="B980" t="s">
        <v>72</v>
      </c>
      <c r="C980" t="s">
        <v>560</v>
      </c>
      <c r="D980" s="1">
        <v>45206</v>
      </c>
      <c r="E980" s="1">
        <v>45296</v>
      </c>
      <c r="F980" t="s">
        <v>31</v>
      </c>
      <c r="G980">
        <v>57686.45</v>
      </c>
      <c r="H980" s="1">
        <v>45315</v>
      </c>
      <c r="I980" t="s">
        <v>555</v>
      </c>
      <c r="J980" t="s">
        <v>556</v>
      </c>
      <c r="L980">
        <v>57686.45</v>
      </c>
      <c r="M980">
        <f>IF(F980="INR",1,INDEX('rates'!$B$2:$C$522,MATCH(D980,'rates'!$A$2:$A$522,1),MATCH(F980&amp;"/INR",'rates'!$B$1:$C$1,0)))</f>
        <v>88.211699999999993</v>
      </c>
      <c r="N980">
        <f t="shared" si="79"/>
        <v>5088619.8214649996</v>
      </c>
      <c r="O980">
        <f t="shared" si="80"/>
        <v>0</v>
      </c>
      <c r="P980">
        <f t="shared" si="81"/>
        <v>0</v>
      </c>
      <c r="Q980">
        <f t="shared" si="78"/>
        <v>19</v>
      </c>
      <c r="R980" t="str">
        <f t="shared" si="82"/>
        <v>Not open</v>
      </c>
    </row>
    <row r="981" spans="1:18" x14ac:dyDescent="0.3">
      <c r="A981" t="s">
        <v>1152</v>
      </c>
      <c r="B981" t="s">
        <v>172</v>
      </c>
      <c r="C981" t="s">
        <v>566</v>
      </c>
      <c r="D981" s="1">
        <v>45206</v>
      </c>
      <c r="E981" s="1">
        <v>45236</v>
      </c>
      <c r="F981" t="s">
        <v>13</v>
      </c>
      <c r="G981">
        <v>9569686</v>
      </c>
      <c r="H981" s="1">
        <v>45234</v>
      </c>
      <c r="I981" t="s">
        <v>555</v>
      </c>
      <c r="J981" t="s">
        <v>556</v>
      </c>
      <c r="L981">
        <v>9569686</v>
      </c>
      <c r="M981">
        <f>IF(F981="INR",1,INDEX('rates'!$B$2:$C$522,MATCH(D981,'rates'!$A$2:$A$522,1),MATCH(F981&amp;"/INR",'rates'!$B$1:$C$1,0)))</f>
        <v>1</v>
      </c>
      <c r="N981">
        <f t="shared" si="79"/>
        <v>9569686</v>
      </c>
      <c r="O981">
        <f t="shared" si="80"/>
        <v>0</v>
      </c>
      <c r="P981">
        <f t="shared" si="81"/>
        <v>0</v>
      </c>
      <c r="Q981">
        <f t="shared" si="78"/>
        <v>-2</v>
      </c>
      <c r="R981" t="str">
        <f t="shared" si="82"/>
        <v>Not open</v>
      </c>
    </row>
    <row r="982" spans="1:18" x14ac:dyDescent="0.3">
      <c r="A982" t="s">
        <v>1153</v>
      </c>
      <c r="B982" t="s">
        <v>216</v>
      </c>
      <c r="C982" t="s">
        <v>575</v>
      </c>
      <c r="D982" s="1">
        <v>45206</v>
      </c>
      <c r="E982" s="1">
        <v>45251</v>
      </c>
      <c r="F982" t="s">
        <v>13</v>
      </c>
      <c r="G982">
        <v>2503646</v>
      </c>
      <c r="H982" s="1">
        <v>45314</v>
      </c>
      <c r="I982" t="s">
        <v>555</v>
      </c>
      <c r="J982" t="s">
        <v>556</v>
      </c>
      <c r="L982">
        <v>2503646</v>
      </c>
      <c r="M982">
        <f>IF(F982="INR",1,INDEX('rates'!$B$2:$C$522,MATCH(D982,'rates'!$A$2:$A$522,1),MATCH(F982&amp;"/INR",'rates'!$B$1:$C$1,0)))</f>
        <v>1</v>
      </c>
      <c r="N982">
        <f t="shared" si="79"/>
        <v>2503646</v>
      </c>
      <c r="O982">
        <f t="shared" si="80"/>
        <v>0</v>
      </c>
      <c r="P982">
        <f t="shared" si="81"/>
        <v>0</v>
      </c>
      <c r="Q982">
        <f t="shared" si="78"/>
        <v>63</v>
      </c>
      <c r="R982" t="str">
        <f t="shared" si="82"/>
        <v>Not open</v>
      </c>
    </row>
    <row r="983" spans="1:18" x14ac:dyDescent="0.3">
      <c r="A983" t="s">
        <v>1154</v>
      </c>
      <c r="B983" t="s">
        <v>278</v>
      </c>
      <c r="C983" t="s">
        <v>575</v>
      </c>
      <c r="D983" s="1">
        <v>45206</v>
      </c>
      <c r="E983" s="1">
        <v>45266</v>
      </c>
      <c r="F983" t="s">
        <v>13</v>
      </c>
      <c r="G983">
        <v>3417689</v>
      </c>
      <c r="H983" s="1">
        <v>45269</v>
      </c>
      <c r="I983" t="s">
        <v>555</v>
      </c>
      <c r="J983" t="s">
        <v>556</v>
      </c>
      <c r="L983">
        <v>3417689</v>
      </c>
      <c r="M983">
        <f>IF(F983="INR",1,INDEX('rates'!$B$2:$C$522,MATCH(D983,'rates'!$A$2:$A$522,1),MATCH(F983&amp;"/INR",'rates'!$B$1:$C$1,0)))</f>
        <v>1</v>
      </c>
      <c r="N983">
        <f t="shared" si="79"/>
        <v>3417689</v>
      </c>
      <c r="O983">
        <f t="shared" si="80"/>
        <v>0</v>
      </c>
      <c r="P983">
        <f t="shared" si="81"/>
        <v>0</v>
      </c>
      <c r="Q983">
        <f t="shared" si="78"/>
        <v>3</v>
      </c>
      <c r="R983" t="str">
        <f t="shared" si="82"/>
        <v>Not open</v>
      </c>
    </row>
    <row r="984" spans="1:18" x14ac:dyDescent="0.3">
      <c r="A984" t="s">
        <v>1155</v>
      </c>
      <c r="B984" t="s">
        <v>406</v>
      </c>
      <c r="C984" t="s">
        <v>554</v>
      </c>
      <c r="D984" s="1">
        <v>45206</v>
      </c>
      <c r="E984" s="1">
        <v>45296</v>
      </c>
      <c r="F984" t="s">
        <v>13</v>
      </c>
      <c r="G984">
        <v>11043722</v>
      </c>
      <c r="H984" s="1">
        <v>45298</v>
      </c>
      <c r="I984" t="s">
        <v>555</v>
      </c>
      <c r="J984" t="s">
        <v>556</v>
      </c>
      <c r="L984">
        <v>11043722</v>
      </c>
      <c r="M984">
        <f>IF(F984="INR",1,INDEX('rates'!$B$2:$C$522,MATCH(D984,'rates'!$A$2:$A$522,1),MATCH(F984&amp;"/INR",'rates'!$B$1:$C$1,0)))</f>
        <v>1</v>
      </c>
      <c r="N984">
        <f t="shared" si="79"/>
        <v>11043722</v>
      </c>
      <c r="O984">
        <f t="shared" si="80"/>
        <v>0</v>
      </c>
      <c r="P984">
        <f t="shared" si="81"/>
        <v>0</v>
      </c>
      <c r="Q984">
        <f t="shared" si="78"/>
        <v>2</v>
      </c>
      <c r="R984" t="str">
        <f t="shared" si="82"/>
        <v>Not open</v>
      </c>
    </row>
    <row r="985" spans="1:18" x14ac:dyDescent="0.3">
      <c r="A985" t="s">
        <v>1156</v>
      </c>
      <c r="B985" t="s">
        <v>466</v>
      </c>
      <c r="C985" t="s">
        <v>560</v>
      </c>
      <c r="D985" s="1">
        <v>45206</v>
      </c>
      <c r="E985" s="1">
        <v>45266</v>
      </c>
      <c r="F985" t="s">
        <v>31</v>
      </c>
      <c r="G985">
        <v>52719.360000000001</v>
      </c>
      <c r="H985" s="1">
        <v>45278</v>
      </c>
      <c r="I985" t="s">
        <v>555</v>
      </c>
      <c r="J985" t="s">
        <v>556</v>
      </c>
      <c r="L985">
        <v>52719.360000000001</v>
      </c>
      <c r="M985">
        <f>IF(F985="INR",1,INDEX('rates'!$B$2:$C$522,MATCH(D985,'rates'!$A$2:$A$522,1),MATCH(F985&amp;"/INR",'rates'!$B$1:$C$1,0)))</f>
        <v>88.211699999999993</v>
      </c>
      <c r="N985">
        <f t="shared" si="79"/>
        <v>4650464.368512</v>
      </c>
      <c r="O985">
        <f t="shared" si="80"/>
        <v>0</v>
      </c>
      <c r="P985">
        <f t="shared" si="81"/>
        <v>0</v>
      </c>
      <c r="Q985">
        <f t="shared" si="78"/>
        <v>12</v>
      </c>
      <c r="R985" t="str">
        <f t="shared" si="82"/>
        <v>Not open</v>
      </c>
    </row>
    <row r="986" spans="1:18" x14ac:dyDescent="0.3">
      <c r="A986" t="s">
        <v>1157</v>
      </c>
      <c r="B986" t="s">
        <v>528</v>
      </c>
      <c r="C986" t="s">
        <v>566</v>
      </c>
      <c r="D986" s="1">
        <v>45206</v>
      </c>
      <c r="E986" s="1">
        <v>45266</v>
      </c>
      <c r="F986" t="s">
        <v>13</v>
      </c>
      <c r="G986">
        <v>5616192</v>
      </c>
      <c r="H986" s="1">
        <v>45279</v>
      </c>
      <c r="I986" t="s">
        <v>555</v>
      </c>
      <c r="J986" t="s">
        <v>556</v>
      </c>
      <c r="L986">
        <v>5616192</v>
      </c>
      <c r="M986">
        <f>IF(F986="INR",1,INDEX('rates'!$B$2:$C$522,MATCH(D986,'rates'!$A$2:$A$522,1),MATCH(F986&amp;"/INR",'rates'!$B$1:$C$1,0)))</f>
        <v>1</v>
      </c>
      <c r="N986">
        <f t="shared" si="79"/>
        <v>5616192</v>
      </c>
      <c r="O986">
        <f t="shared" si="80"/>
        <v>0</v>
      </c>
      <c r="P986">
        <f t="shared" si="81"/>
        <v>0</v>
      </c>
      <c r="Q986">
        <f t="shared" si="78"/>
        <v>13</v>
      </c>
      <c r="R986" t="str">
        <f t="shared" si="82"/>
        <v>Not open</v>
      </c>
    </row>
    <row r="987" spans="1:18" x14ac:dyDescent="0.3">
      <c r="A987" t="s">
        <v>1158</v>
      </c>
      <c r="B987" t="s">
        <v>62</v>
      </c>
      <c r="C987" t="s">
        <v>566</v>
      </c>
      <c r="D987" s="1">
        <v>45208</v>
      </c>
      <c r="E987" s="1">
        <v>45268</v>
      </c>
      <c r="F987" t="s">
        <v>13</v>
      </c>
      <c r="G987">
        <v>2080943</v>
      </c>
      <c r="H987" s="1">
        <v>45272</v>
      </c>
      <c r="I987" t="s">
        <v>555</v>
      </c>
      <c r="J987" t="s">
        <v>556</v>
      </c>
      <c r="L987">
        <v>2080943</v>
      </c>
      <c r="M987">
        <f>IF(F987="INR",1,INDEX('rates'!$B$2:$C$522,MATCH(D987,'rates'!$A$2:$A$522,1),MATCH(F987&amp;"/INR",'rates'!$B$1:$C$1,0)))</f>
        <v>1</v>
      </c>
      <c r="N987">
        <f t="shared" si="79"/>
        <v>2080943</v>
      </c>
      <c r="O987">
        <f t="shared" si="80"/>
        <v>0</v>
      </c>
      <c r="P987">
        <f t="shared" si="81"/>
        <v>0</v>
      </c>
      <c r="Q987">
        <f t="shared" si="78"/>
        <v>4</v>
      </c>
      <c r="R987" t="str">
        <f t="shared" si="82"/>
        <v>Not open</v>
      </c>
    </row>
    <row r="988" spans="1:18" x14ac:dyDescent="0.3">
      <c r="A988" t="s">
        <v>1159</v>
      </c>
      <c r="B988" t="s">
        <v>286</v>
      </c>
      <c r="C988" t="s">
        <v>558</v>
      </c>
      <c r="D988" s="1">
        <v>45208</v>
      </c>
      <c r="E988" s="1">
        <v>45268</v>
      </c>
      <c r="F988" t="s">
        <v>36</v>
      </c>
      <c r="G988">
        <v>32149.360000000001</v>
      </c>
      <c r="H988" s="1">
        <v>45294</v>
      </c>
      <c r="I988" t="s">
        <v>555</v>
      </c>
      <c r="J988" t="s">
        <v>556</v>
      </c>
      <c r="L988">
        <v>32149.360000000001</v>
      </c>
      <c r="M988">
        <f>IF(F988="INR",1,INDEX('rates'!$B$2:$C$522,MATCH(D988,'rates'!$A$2:$A$522,1),MATCH(F988&amp;"/INR",'rates'!$B$1:$C$1,0)))</f>
        <v>83.25</v>
      </c>
      <c r="N988">
        <f t="shared" si="79"/>
        <v>2676434.2200000002</v>
      </c>
      <c r="O988">
        <f t="shared" si="80"/>
        <v>0</v>
      </c>
      <c r="P988">
        <f t="shared" si="81"/>
        <v>0</v>
      </c>
      <c r="Q988">
        <f t="shared" si="78"/>
        <v>26</v>
      </c>
      <c r="R988" t="str">
        <f t="shared" si="82"/>
        <v>Not open</v>
      </c>
    </row>
    <row r="989" spans="1:18" x14ac:dyDescent="0.3">
      <c r="A989" t="s">
        <v>1160</v>
      </c>
      <c r="B989" t="s">
        <v>496</v>
      </c>
      <c r="C989" t="s">
        <v>554</v>
      </c>
      <c r="D989" s="1">
        <v>45208</v>
      </c>
      <c r="E989" s="1">
        <v>45253</v>
      </c>
      <c r="F989" t="s">
        <v>13</v>
      </c>
      <c r="G989">
        <v>9793588</v>
      </c>
      <c r="H989" s="1">
        <v>45256</v>
      </c>
      <c r="I989" t="s">
        <v>555</v>
      </c>
      <c r="J989" t="s">
        <v>556</v>
      </c>
      <c r="L989">
        <v>9793588</v>
      </c>
      <c r="M989">
        <f>IF(F989="INR",1,INDEX('rates'!$B$2:$C$522,MATCH(D989,'rates'!$A$2:$A$522,1),MATCH(F989&amp;"/INR",'rates'!$B$1:$C$1,0)))</f>
        <v>1</v>
      </c>
      <c r="N989">
        <f t="shared" si="79"/>
        <v>9793588</v>
      </c>
      <c r="O989">
        <f t="shared" si="80"/>
        <v>0</v>
      </c>
      <c r="P989">
        <f t="shared" si="81"/>
        <v>0</v>
      </c>
      <c r="Q989">
        <f t="shared" si="78"/>
        <v>3</v>
      </c>
      <c r="R989" t="str">
        <f t="shared" si="82"/>
        <v>Not open</v>
      </c>
    </row>
    <row r="990" spans="1:18" x14ac:dyDescent="0.3">
      <c r="A990" t="s">
        <v>1161</v>
      </c>
      <c r="B990" t="s">
        <v>268</v>
      </c>
      <c r="C990" t="s">
        <v>566</v>
      </c>
      <c r="D990" s="1">
        <v>45209</v>
      </c>
      <c r="E990" s="1">
        <v>45269</v>
      </c>
      <c r="F990" t="s">
        <v>13</v>
      </c>
      <c r="G990">
        <v>4158749</v>
      </c>
      <c r="H990" s="1">
        <v>45329</v>
      </c>
      <c r="I990" t="s">
        <v>555</v>
      </c>
      <c r="J990" t="s">
        <v>556</v>
      </c>
      <c r="L990">
        <v>4158749</v>
      </c>
      <c r="M990">
        <f>IF(F990="INR",1,INDEX('rates'!$B$2:$C$522,MATCH(D990,'rates'!$A$2:$A$522,1),MATCH(F990&amp;"/INR",'rates'!$B$1:$C$1,0)))</f>
        <v>1</v>
      </c>
      <c r="N990">
        <f t="shared" si="79"/>
        <v>4158749</v>
      </c>
      <c r="O990">
        <f t="shared" si="80"/>
        <v>0</v>
      </c>
      <c r="P990">
        <f t="shared" si="81"/>
        <v>0</v>
      </c>
      <c r="Q990">
        <f t="shared" si="78"/>
        <v>60</v>
      </c>
      <c r="R990" t="str">
        <f t="shared" si="82"/>
        <v>Not open</v>
      </c>
    </row>
    <row r="991" spans="1:18" x14ac:dyDescent="0.3">
      <c r="A991" t="s">
        <v>1162</v>
      </c>
      <c r="B991" t="s">
        <v>160</v>
      </c>
      <c r="C991" t="s">
        <v>554</v>
      </c>
      <c r="D991" s="1">
        <v>45210</v>
      </c>
      <c r="E991" s="1">
        <v>45255</v>
      </c>
      <c r="F991" t="s">
        <v>13</v>
      </c>
      <c r="G991">
        <v>9325727</v>
      </c>
      <c r="H991" s="1">
        <v>45259</v>
      </c>
      <c r="I991" t="s">
        <v>555</v>
      </c>
      <c r="J991" t="s">
        <v>556</v>
      </c>
      <c r="L991">
        <v>9325727</v>
      </c>
      <c r="M991">
        <f>IF(F991="INR",1,INDEX('rates'!$B$2:$C$522,MATCH(D991,'rates'!$A$2:$A$522,1),MATCH(F991&amp;"/INR",'rates'!$B$1:$C$1,0)))</f>
        <v>1</v>
      </c>
      <c r="N991">
        <f t="shared" si="79"/>
        <v>9325727</v>
      </c>
      <c r="O991">
        <f t="shared" si="80"/>
        <v>0</v>
      </c>
      <c r="P991">
        <f t="shared" si="81"/>
        <v>0</v>
      </c>
      <c r="Q991">
        <f t="shared" si="78"/>
        <v>4</v>
      </c>
      <c r="R991" t="str">
        <f t="shared" si="82"/>
        <v>Not open</v>
      </c>
    </row>
    <row r="992" spans="1:18" x14ac:dyDescent="0.3">
      <c r="A992" t="s">
        <v>1163</v>
      </c>
      <c r="B992" t="s">
        <v>304</v>
      </c>
      <c r="C992" t="s">
        <v>566</v>
      </c>
      <c r="D992" s="1">
        <v>45210</v>
      </c>
      <c r="E992" s="1">
        <v>45300</v>
      </c>
      <c r="F992" t="s">
        <v>36</v>
      </c>
      <c r="G992">
        <v>52802.53</v>
      </c>
      <c r="H992" s="1">
        <v>45295</v>
      </c>
      <c r="I992" t="s">
        <v>555</v>
      </c>
      <c r="J992" t="s">
        <v>556</v>
      </c>
      <c r="L992">
        <v>52802.53</v>
      </c>
      <c r="M992">
        <f>IF(F992="INR",1,INDEX('rates'!$B$2:$C$522,MATCH(D992,'rates'!$A$2:$A$522,1),MATCH(F992&amp;"/INR",'rates'!$B$1:$C$1,0)))</f>
        <v>83.18</v>
      </c>
      <c r="N992">
        <f t="shared" si="79"/>
        <v>4392114.4454000005</v>
      </c>
      <c r="O992">
        <f t="shared" si="80"/>
        <v>0</v>
      </c>
      <c r="P992">
        <f t="shared" si="81"/>
        <v>0</v>
      </c>
      <c r="Q992">
        <f t="shared" si="78"/>
        <v>-5</v>
      </c>
      <c r="R992" t="str">
        <f t="shared" si="82"/>
        <v>Not open</v>
      </c>
    </row>
    <row r="993" spans="1:18" x14ac:dyDescent="0.3">
      <c r="A993" t="s">
        <v>1164</v>
      </c>
      <c r="B993" t="s">
        <v>512</v>
      </c>
      <c r="C993" t="s">
        <v>566</v>
      </c>
      <c r="D993" s="1">
        <v>45210</v>
      </c>
      <c r="E993" s="1">
        <v>45270</v>
      </c>
      <c r="F993" t="s">
        <v>31</v>
      </c>
      <c r="G993">
        <v>44185.36</v>
      </c>
      <c r="H993" s="1">
        <v>45366</v>
      </c>
      <c r="I993" t="s">
        <v>555</v>
      </c>
      <c r="J993" t="s">
        <v>556</v>
      </c>
      <c r="L993">
        <v>44185.36</v>
      </c>
      <c r="M993">
        <f>IF(F993="INR",1,INDEX('rates'!$B$2:$C$522,MATCH(D993,'rates'!$A$2:$A$522,1),MATCH(F993&amp;"/INR",'rates'!$B$1:$C$1,0)))</f>
        <v>88.337199999999996</v>
      </c>
      <c r="N993">
        <f t="shared" si="79"/>
        <v>3903210.9833919997</v>
      </c>
      <c r="O993">
        <f t="shared" si="80"/>
        <v>0</v>
      </c>
      <c r="P993">
        <f t="shared" si="81"/>
        <v>0</v>
      </c>
      <c r="Q993">
        <f t="shared" si="78"/>
        <v>96</v>
      </c>
      <c r="R993" t="str">
        <f t="shared" si="82"/>
        <v>Not open</v>
      </c>
    </row>
    <row r="994" spans="1:18" x14ac:dyDescent="0.3">
      <c r="A994" t="s">
        <v>1165</v>
      </c>
      <c r="B994" t="s">
        <v>136</v>
      </c>
      <c r="C994" t="s">
        <v>566</v>
      </c>
      <c r="D994" s="1">
        <v>45211</v>
      </c>
      <c r="E994" s="1">
        <v>45256</v>
      </c>
      <c r="F994" t="s">
        <v>13</v>
      </c>
      <c r="G994">
        <v>4384893</v>
      </c>
      <c r="H994" s="1">
        <v>45359</v>
      </c>
      <c r="I994" t="s">
        <v>555</v>
      </c>
      <c r="J994" t="s">
        <v>556</v>
      </c>
      <c r="L994">
        <v>4384893</v>
      </c>
      <c r="M994">
        <f>IF(F994="INR",1,INDEX('rates'!$B$2:$C$522,MATCH(D994,'rates'!$A$2:$A$522,1),MATCH(F994&amp;"/INR",'rates'!$B$1:$C$1,0)))</f>
        <v>1</v>
      </c>
      <c r="N994">
        <f t="shared" si="79"/>
        <v>4384893</v>
      </c>
      <c r="O994">
        <f t="shared" si="80"/>
        <v>0</v>
      </c>
      <c r="P994">
        <f t="shared" si="81"/>
        <v>0</v>
      </c>
      <c r="Q994">
        <f t="shared" si="78"/>
        <v>103</v>
      </c>
      <c r="R994" t="str">
        <f t="shared" si="82"/>
        <v>Not open</v>
      </c>
    </row>
    <row r="995" spans="1:18" x14ac:dyDescent="0.3">
      <c r="A995" t="s">
        <v>1166</v>
      </c>
      <c r="B995" t="s">
        <v>46</v>
      </c>
      <c r="C995" t="s">
        <v>558</v>
      </c>
      <c r="D995" s="1">
        <v>45212</v>
      </c>
      <c r="E995" s="1">
        <v>45272</v>
      </c>
      <c r="F995" t="s">
        <v>36</v>
      </c>
      <c r="G995">
        <v>97291.59</v>
      </c>
      <c r="H995" s="1">
        <v>45304</v>
      </c>
      <c r="I995" t="s">
        <v>555</v>
      </c>
      <c r="J995" t="s">
        <v>573</v>
      </c>
      <c r="K995">
        <v>83.537499999999994</v>
      </c>
      <c r="L995">
        <v>97291.59</v>
      </c>
      <c r="M995">
        <f>IF(F995="INR",1,INDEX('rates'!$B$2:$C$522,MATCH(D995,'rates'!$A$2:$A$522,1),MATCH(F995&amp;"/INR",'rates'!$B$1:$C$1,0)))</f>
        <v>83.26</v>
      </c>
      <c r="N995">
        <f t="shared" si="79"/>
        <v>8100497.7834000001</v>
      </c>
      <c r="O995">
        <f t="shared" si="80"/>
        <v>0</v>
      </c>
      <c r="P995">
        <f t="shared" si="81"/>
        <v>0</v>
      </c>
      <c r="Q995">
        <f t="shared" si="78"/>
        <v>32</v>
      </c>
      <c r="R995" t="str">
        <f t="shared" si="82"/>
        <v>Not open</v>
      </c>
    </row>
    <row r="996" spans="1:18" x14ac:dyDescent="0.3">
      <c r="A996" t="s">
        <v>1167</v>
      </c>
      <c r="B996" t="s">
        <v>96</v>
      </c>
      <c r="C996" t="s">
        <v>558</v>
      </c>
      <c r="D996" s="1">
        <v>45212</v>
      </c>
      <c r="E996" s="1">
        <v>45302</v>
      </c>
      <c r="F996" t="s">
        <v>13</v>
      </c>
      <c r="G996">
        <v>5140608</v>
      </c>
      <c r="H996" s="1">
        <v>45316</v>
      </c>
      <c r="I996" t="s">
        <v>555</v>
      </c>
      <c r="J996" t="s">
        <v>556</v>
      </c>
      <c r="L996">
        <v>5140608</v>
      </c>
      <c r="M996">
        <f>IF(F996="INR",1,INDEX('rates'!$B$2:$C$522,MATCH(D996,'rates'!$A$2:$A$522,1),MATCH(F996&amp;"/INR",'rates'!$B$1:$C$1,0)))</f>
        <v>1</v>
      </c>
      <c r="N996">
        <f t="shared" si="79"/>
        <v>5140608</v>
      </c>
      <c r="O996">
        <f t="shared" si="80"/>
        <v>0</v>
      </c>
      <c r="P996">
        <f t="shared" si="81"/>
        <v>0</v>
      </c>
      <c r="Q996">
        <f t="shared" si="78"/>
        <v>14</v>
      </c>
      <c r="R996" t="str">
        <f t="shared" si="82"/>
        <v>Not open</v>
      </c>
    </row>
    <row r="997" spans="1:18" x14ac:dyDescent="0.3">
      <c r="A997" t="s">
        <v>1168</v>
      </c>
      <c r="B997" t="s">
        <v>111</v>
      </c>
      <c r="C997" t="s">
        <v>558</v>
      </c>
      <c r="D997" s="1">
        <v>45212</v>
      </c>
      <c r="E997" s="1">
        <v>45257</v>
      </c>
      <c r="F997" t="s">
        <v>13</v>
      </c>
      <c r="G997">
        <v>4194696</v>
      </c>
      <c r="H997" s="1">
        <v>45264</v>
      </c>
      <c r="I997" t="s">
        <v>555</v>
      </c>
      <c r="J997" t="s">
        <v>556</v>
      </c>
      <c r="L997">
        <v>4194696</v>
      </c>
      <c r="M997">
        <f>IF(F997="INR",1,INDEX('rates'!$B$2:$C$522,MATCH(D997,'rates'!$A$2:$A$522,1),MATCH(F997&amp;"/INR",'rates'!$B$1:$C$1,0)))</f>
        <v>1</v>
      </c>
      <c r="N997">
        <f t="shared" si="79"/>
        <v>4194696</v>
      </c>
      <c r="O997">
        <f t="shared" si="80"/>
        <v>0</v>
      </c>
      <c r="P997">
        <f t="shared" si="81"/>
        <v>0</v>
      </c>
      <c r="Q997">
        <f t="shared" si="78"/>
        <v>7</v>
      </c>
      <c r="R997" t="str">
        <f t="shared" si="82"/>
        <v>Not open</v>
      </c>
    </row>
    <row r="998" spans="1:18" x14ac:dyDescent="0.3">
      <c r="A998" t="s">
        <v>1169</v>
      </c>
      <c r="B998" t="s">
        <v>186</v>
      </c>
      <c r="C998" t="s">
        <v>558</v>
      </c>
      <c r="D998" s="1">
        <v>45212</v>
      </c>
      <c r="E998" s="1">
        <v>45242</v>
      </c>
      <c r="F998" t="s">
        <v>36</v>
      </c>
      <c r="G998">
        <v>96239.15</v>
      </c>
      <c r="H998" s="1">
        <v>45271</v>
      </c>
      <c r="I998" t="s">
        <v>555</v>
      </c>
      <c r="J998" t="s">
        <v>573</v>
      </c>
      <c r="K998">
        <v>83.398799999999994</v>
      </c>
      <c r="L998">
        <v>96239.15</v>
      </c>
      <c r="M998">
        <f>IF(F998="INR",1,INDEX('rates'!$B$2:$C$522,MATCH(D998,'rates'!$A$2:$A$522,1),MATCH(F998&amp;"/INR",'rates'!$B$1:$C$1,0)))</f>
        <v>83.26</v>
      </c>
      <c r="N998">
        <f t="shared" si="79"/>
        <v>8012871.6289999997</v>
      </c>
      <c r="O998">
        <f t="shared" si="80"/>
        <v>0</v>
      </c>
      <c r="P998">
        <f t="shared" si="81"/>
        <v>0</v>
      </c>
      <c r="Q998">
        <f t="shared" si="78"/>
        <v>29</v>
      </c>
      <c r="R998" t="str">
        <f t="shared" si="82"/>
        <v>Not open</v>
      </c>
    </row>
    <row r="999" spans="1:18" x14ac:dyDescent="0.3">
      <c r="A999" t="s">
        <v>1170</v>
      </c>
      <c r="B999" t="s">
        <v>42</v>
      </c>
      <c r="C999" t="s">
        <v>566</v>
      </c>
      <c r="D999" s="1">
        <v>45213</v>
      </c>
      <c r="E999" s="1">
        <v>45273</v>
      </c>
      <c r="F999" t="s">
        <v>13</v>
      </c>
      <c r="G999">
        <v>8696302</v>
      </c>
      <c r="H999" s="1">
        <v>45276</v>
      </c>
      <c r="I999" t="s">
        <v>555</v>
      </c>
      <c r="J999" t="s">
        <v>556</v>
      </c>
      <c r="L999">
        <v>8696302</v>
      </c>
      <c r="M999">
        <f>IF(F999="INR",1,INDEX('rates'!$B$2:$C$522,MATCH(D999,'rates'!$A$2:$A$522,1),MATCH(F999&amp;"/INR",'rates'!$B$1:$C$1,0)))</f>
        <v>1</v>
      </c>
      <c r="N999">
        <f t="shared" si="79"/>
        <v>8696302</v>
      </c>
      <c r="O999">
        <f t="shared" si="80"/>
        <v>0</v>
      </c>
      <c r="P999">
        <f t="shared" si="81"/>
        <v>0</v>
      </c>
      <c r="Q999">
        <f t="shared" si="78"/>
        <v>3</v>
      </c>
      <c r="R999" t="str">
        <f t="shared" si="82"/>
        <v>Not open</v>
      </c>
    </row>
    <row r="1000" spans="1:18" x14ac:dyDescent="0.3">
      <c r="A1000" t="s">
        <v>1171</v>
      </c>
      <c r="B1000" t="s">
        <v>42</v>
      </c>
      <c r="C1000" t="s">
        <v>566</v>
      </c>
      <c r="D1000" s="1">
        <v>45213</v>
      </c>
      <c r="E1000" s="1">
        <v>45273</v>
      </c>
      <c r="F1000" t="s">
        <v>13</v>
      </c>
      <c r="G1000">
        <v>5338635</v>
      </c>
      <c r="H1000" s="1">
        <v>45272</v>
      </c>
      <c r="I1000" t="s">
        <v>555</v>
      </c>
      <c r="J1000" t="s">
        <v>556</v>
      </c>
      <c r="L1000">
        <v>5338635</v>
      </c>
      <c r="M1000">
        <f>IF(F1000="INR",1,INDEX('rates'!$B$2:$C$522,MATCH(D1000,'rates'!$A$2:$A$522,1),MATCH(F1000&amp;"/INR",'rates'!$B$1:$C$1,0)))</f>
        <v>1</v>
      </c>
      <c r="N1000">
        <f t="shared" si="79"/>
        <v>5338635</v>
      </c>
      <c r="O1000">
        <f t="shared" si="80"/>
        <v>0</v>
      </c>
      <c r="P1000">
        <f t="shared" si="81"/>
        <v>0</v>
      </c>
      <c r="Q1000">
        <f t="shared" si="78"/>
        <v>-1</v>
      </c>
      <c r="R1000" t="str">
        <f t="shared" si="82"/>
        <v>Not open</v>
      </c>
    </row>
    <row r="1001" spans="1:18" x14ac:dyDescent="0.3">
      <c r="A1001" t="s">
        <v>1172</v>
      </c>
      <c r="B1001" t="s">
        <v>117</v>
      </c>
      <c r="C1001" t="s">
        <v>554</v>
      </c>
      <c r="D1001" s="1">
        <v>45213</v>
      </c>
      <c r="E1001" s="1">
        <v>45273</v>
      </c>
      <c r="F1001" t="s">
        <v>13</v>
      </c>
      <c r="G1001">
        <v>3237121</v>
      </c>
      <c r="H1001" s="1">
        <v>45277</v>
      </c>
      <c r="I1001" t="s">
        <v>555</v>
      </c>
      <c r="J1001" t="s">
        <v>556</v>
      </c>
      <c r="L1001">
        <v>3237121</v>
      </c>
      <c r="M1001">
        <f>IF(F1001="INR",1,INDEX('rates'!$B$2:$C$522,MATCH(D1001,'rates'!$A$2:$A$522,1),MATCH(F1001&amp;"/INR",'rates'!$B$1:$C$1,0)))</f>
        <v>1</v>
      </c>
      <c r="N1001">
        <f t="shared" si="79"/>
        <v>3237121</v>
      </c>
      <c r="O1001">
        <f t="shared" si="80"/>
        <v>0</v>
      </c>
      <c r="P1001">
        <f t="shared" si="81"/>
        <v>0</v>
      </c>
      <c r="Q1001">
        <f t="shared" si="78"/>
        <v>4</v>
      </c>
      <c r="R1001" t="str">
        <f t="shared" si="82"/>
        <v>Not open</v>
      </c>
    </row>
    <row r="1002" spans="1:18" x14ac:dyDescent="0.3">
      <c r="A1002" t="s">
        <v>1173</v>
      </c>
      <c r="B1002" t="s">
        <v>117</v>
      </c>
      <c r="C1002" t="s">
        <v>554</v>
      </c>
      <c r="D1002" s="1">
        <v>45213</v>
      </c>
      <c r="E1002" s="1">
        <v>45273</v>
      </c>
      <c r="F1002" t="s">
        <v>13</v>
      </c>
      <c r="G1002">
        <v>1840960</v>
      </c>
      <c r="H1002" s="1">
        <v>45278</v>
      </c>
      <c r="I1002" t="s">
        <v>555</v>
      </c>
      <c r="J1002" t="s">
        <v>556</v>
      </c>
      <c r="L1002">
        <v>1840960</v>
      </c>
      <c r="M1002">
        <f>IF(F1002="INR",1,INDEX('rates'!$B$2:$C$522,MATCH(D1002,'rates'!$A$2:$A$522,1),MATCH(F1002&amp;"/INR",'rates'!$B$1:$C$1,0)))</f>
        <v>1</v>
      </c>
      <c r="N1002">
        <f t="shared" si="79"/>
        <v>1840960</v>
      </c>
      <c r="O1002">
        <f t="shared" si="80"/>
        <v>0</v>
      </c>
      <c r="P1002">
        <f t="shared" si="81"/>
        <v>0</v>
      </c>
      <c r="Q1002">
        <f t="shared" si="78"/>
        <v>5</v>
      </c>
      <c r="R1002" t="str">
        <f t="shared" si="82"/>
        <v>Not open</v>
      </c>
    </row>
    <row r="1003" spans="1:18" x14ac:dyDescent="0.3">
      <c r="A1003" t="s">
        <v>1174</v>
      </c>
      <c r="B1003" t="s">
        <v>160</v>
      </c>
      <c r="C1003" t="s">
        <v>554</v>
      </c>
      <c r="D1003" s="1">
        <v>45213</v>
      </c>
      <c r="E1003" s="1">
        <v>45258</v>
      </c>
      <c r="F1003" t="s">
        <v>13</v>
      </c>
      <c r="G1003">
        <v>4480396</v>
      </c>
      <c r="H1003" s="1">
        <v>45266</v>
      </c>
      <c r="I1003" t="s">
        <v>555</v>
      </c>
      <c r="J1003" t="s">
        <v>556</v>
      </c>
      <c r="L1003">
        <v>4480396</v>
      </c>
      <c r="M1003">
        <f>IF(F1003="INR",1,INDEX('rates'!$B$2:$C$522,MATCH(D1003,'rates'!$A$2:$A$522,1),MATCH(F1003&amp;"/INR",'rates'!$B$1:$C$1,0)))</f>
        <v>1</v>
      </c>
      <c r="N1003">
        <f t="shared" si="79"/>
        <v>4480396</v>
      </c>
      <c r="O1003">
        <f t="shared" si="80"/>
        <v>0</v>
      </c>
      <c r="P1003">
        <f t="shared" si="81"/>
        <v>0</v>
      </c>
      <c r="Q1003">
        <f t="shared" si="78"/>
        <v>8</v>
      </c>
      <c r="R1003" t="str">
        <f t="shared" si="82"/>
        <v>Not open</v>
      </c>
    </row>
    <row r="1004" spans="1:18" x14ac:dyDescent="0.3">
      <c r="A1004" t="s">
        <v>1175</v>
      </c>
      <c r="B1004" t="s">
        <v>160</v>
      </c>
      <c r="C1004" t="s">
        <v>558</v>
      </c>
      <c r="D1004" s="1">
        <v>45213</v>
      </c>
      <c r="E1004" s="1">
        <v>45258</v>
      </c>
      <c r="F1004" t="s">
        <v>13</v>
      </c>
      <c r="G1004">
        <v>9047992</v>
      </c>
      <c r="H1004" s="1">
        <v>45270</v>
      </c>
      <c r="I1004" t="s">
        <v>555</v>
      </c>
      <c r="J1004" t="s">
        <v>556</v>
      </c>
      <c r="L1004">
        <v>9047992</v>
      </c>
      <c r="M1004">
        <f>IF(F1004="INR",1,INDEX('rates'!$B$2:$C$522,MATCH(D1004,'rates'!$A$2:$A$522,1),MATCH(F1004&amp;"/INR",'rates'!$B$1:$C$1,0)))</f>
        <v>1</v>
      </c>
      <c r="N1004">
        <f t="shared" si="79"/>
        <v>9047992</v>
      </c>
      <c r="O1004">
        <f t="shared" si="80"/>
        <v>0</v>
      </c>
      <c r="P1004">
        <f t="shared" si="81"/>
        <v>0</v>
      </c>
      <c r="Q1004">
        <f t="shared" si="78"/>
        <v>12</v>
      </c>
      <c r="R1004" t="str">
        <f t="shared" si="82"/>
        <v>Not open</v>
      </c>
    </row>
    <row r="1005" spans="1:18" x14ac:dyDescent="0.3">
      <c r="A1005" t="s">
        <v>1176</v>
      </c>
      <c r="B1005" t="s">
        <v>184</v>
      </c>
      <c r="C1005" t="s">
        <v>575</v>
      </c>
      <c r="D1005" s="1">
        <v>45213</v>
      </c>
      <c r="E1005" s="1">
        <v>45303</v>
      </c>
      <c r="F1005" t="s">
        <v>31</v>
      </c>
      <c r="G1005">
        <v>54900.62</v>
      </c>
      <c r="H1005" s="1">
        <v>45317</v>
      </c>
      <c r="I1005" t="s">
        <v>555</v>
      </c>
      <c r="J1005" t="s">
        <v>573</v>
      </c>
      <c r="K1005">
        <v>87.701999999999998</v>
      </c>
      <c r="L1005">
        <v>54900.62</v>
      </c>
      <c r="M1005">
        <f>IF(F1005="INR",1,INDEX('rates'!$B$2:$C$522,MATCH(D1005,'rates'!$A$2:$A$522,1),MATCH(F1005&amp;"/INR",'rates'!$B$1:$C$1,0)))</f>
        <v>87.439700000000002</v>
      </c>
      <c r="N1005">
        <f t="shared" si="79"/>
        <v>4800493.7426140001</v>
      </c>
      <c r="O1005">
        <f t="shared" si="80"/>
        <v>0</v>
      </c>
      <c r="P1005">
        <f t="shared" si="81"/>
        <v>0</v>
      </c>
      <c r="Q1005">
        <f t="shared" si="78"/>
        <v>14</v>
      </c>
      <c r="R1005" t="str">
        <f t="shared" si="82"/>
        <v>Not open</v>
      </c>
    </row>
    <row r="1006" spans="1:18" x14ac:dyDescent="0.3">
      <c r="A1006" t="s">
        <v>1177</v>
      </c>
      <c r="B1006" t="s">
        <v>286</v>
      </c>
      <c r="C1006" t="s">
        <v>558</v>
      </c>
      <c r="D1006" s="1">
        <v>45213</v>
      </c>
      <c r="E1006" s="1">
        <v>45273</v>
      </c>
      <c r="F1006" t="s">
        <v>36</v>
      </c>
      <c r="G1006">
        <v>73333.69</v>
      </c>
      <c r="H1006" s="1">
        <v>45288</v>
      </c>
      <c r="I1006" t="s">
        <v>555</v>
      </c>
      <c r="J1006" t="s">
        <v>556</v>
      </c>
      <c r="L1006">
        <v>73333.69</v>
      </c>
      <c r="M1006">
        <f>IF(F1006="INR",1,INDEX('rates'!$B$2:$C$522,MATCH(D1006,'rates'!$A$2:$A$522,1),MATCH(F1006&amp;"/INR",'rates'!$B$1:$C$1,0)))</f>
        <v>83.26</v>
      </c>
      <c r="N1006">
        <f t="shared" si="79"/>
        <v>6105763.0294000003</v>
      </c>
      <c r="O1006">
        <f t="shared" si="80"/>
        <v>0</v>
      </c>
      <c r="P1006">
        <f t="shared" si="81"/>
        <v>0</v>
      </c>
      <c r="Q1006">
        <f t="shared" si="78"/>
        <v>15</v>
      </c>
      <c r="R1006" t="str">
        <f t="shared" si="82"/>
        <v>Not open</v>
      </c>
    </row>
    <row r="1007" spans="1:18" x14ac:dyDescent="0.3">
      <c r="A1007" t="s">
        <v>1178</v>
      </c>
      <c r="B1007" t="s">
        <v>322</v>
      </c>
      <c r="C1007" t="s">
        <v>566</v>
      </c>
      <c r="D1007" s="1">
        <v>45213</v>
      </c>
      <c r="E1007" s="1">
        <v>45273</v>
      </c>
      <c r="F1007" t="s">
        <v>13</v>
      </c>
      <c r="G1007">
        <v>18323378</v>
      </c>
      <c r="H1007" s="1">
        <v>45279</v>
      </c>
      <c r="I1007" t="s">
        <v>555</v>
      </c>
      <c r="J1007" t="s">
        <v>556</v>
      </c>
      <c r="L1007">
        <v>18323378</v>
      </c>
      <c r="M1007">
        <f>IF(F1007="INR",1,INDEX('rates'!$B$2:$C$522,MATCH(D1007,'rates'!$A$2:$A$522,1),MATCH(F1007&amp;"/INR",'rates'!$B$1:$C$1,0)))</f>
        <v>1</v>
      </c>
      <c r="N1007">
        <f t="shared" si="79"/>
        <v>18323378</v>
      </c>
      <c r="O1007">
        <f t="shared" si="80"/>
        <v>0</v>
      </c>
      <c r="P1007">
        <f t="shared" si="81"/>
        <v>0</v>
      </c>
      <c r="Q1007">
        <f t="shared" si="78"/>
        <v>6</v>
      </c>
      <c r="R1007" t="str">
        <f t="shared" si="82"/>
        <v>Not open</v>
      </c>
    </row>
    <row r="1008" spans="1:18" x14ac:dyDescent="0.3">
      <c r="A1008" t="s">
        <v>1179</v>
      </c>
      <c r="B1008" t="s">
        <v>400</v>
      </c>
      <c r="C1008" t="s">
        <v>558</v>
      </c>
      <c r="D1008" s="1">
        <v>45213</v>
      </c>
      <c r="E1008" s="1">
        <v>45258</v>
      </c>
      <c r="F1008" t="s">
        <v>36</v>
      </c>
      <c r="G1008">
        <v>53657.66</v>
      </c>
      <c r="H1008" s="1">
        <v>45498</v>
      </c>
      <c r="I1008" t="s">
        <v>555</v>
      </c>
      <c r="J1008" t="s">
        <v>573</v>
      </c>
      <c r="K1008">
        <v>83.468100000000007</v>
      </c>
      <c r="L1008">
        <v>53657.66</v>
      </c>
      <c r="M1008">
        <f>IF(F1008="INR",1,INDEX('rates'!$B$2:$C$522,MATCH(D1008,'rates'!$A$2:$A$522,1),MATCH(F1008&amp;"/INR",'rates'!$B$1:$C$1,0)))</f>
        <v>83.26</v>
      </c>
      <c r="N1008">
        <f t="shared" si="79"/>
        <v>4467536.7716000006</v>
      </c>
      <c r="O1008">
        <f t="shared" si="80"/>
        <v>0</v>
      </c>
      <c r="P1008">
        <f t="shared" si="81"/>
        <v>0</v>
      </c>
      <c r="Q1008">
        <f t="shared" si="78"/>
        <v>240</v>
      </c>
      <c r="R1008" t="str">
        <f t="shared" si="82"/>
        <v>Not open</v>
      </c>
    </row>
    <row r="1009" spans="1:18" x14ac:dyDescent="0.3">
      <c r="A1009" t="s">
        <v>1180</v>
      </c>
      <c r="B1009" t="s">
        <v>432</v>
      </c>
      <c r="C1009" t="s">
        <v>560</v>
      </c>
      <c r="D1009" s="1">
        <v>45213</v>
      </c>
      <c r="E1009" s="1">
        <v>45303</v>
      </c>
      <c r="F1009" t="s">
        <v>36</v>
      </c>
      <c r="G1009">
        <v>63685.95</v>
      </c>
      <c r="H1009" s="1">
        <v>45308</v>
      </c>
      <c r="I1009" t="s">
        <v>555</v>
      </c>
      <c r="J1009" t="s">
        <v>556</v>
      </c>
      <c r="L1009">
        <v>63685.95</v>
      </c>
      <c r="M1009">
        <f>IF(F1009="INR",1,INDEX('rates'!$B$2:$C$522,MATCH(D1009,'rates'!$A$2:$A$522,1),MATCH(F1009&amp;"/INR",'rates'!$B$1:$C$1,0)))</f>
        <v>83.26</v>
      </c>
      <c r="N1009">
        <f t="shared" si="79"/>
        <v>5302492.1969999997</v>
      </c>
      <c r="O1009">
        <f t="shared" si="80"/>
        <v>0</v>
      </c>
      <c r="P1009">
        <f t="shared" si="81"/>
        <v>0</v>
      </c>
      <c r="Q1009">
        <f t="shared" si="78"/>
        <v>5</v>
      </c>
      <c r="R1009" t="str">
        <f t="shared" si="82"/>
        <v>Not open</v>
      </c>
    </row>
    <row r="1010" spans="1:18" x14ac:dyDescent="0.3">
      <c r="A1010" t="s">
        <v>1181</v>
      </c>
      <c r="B1010" t="s">
        <v>530</v>
      </c>
      <c r="C1010" t="s">
        <v>560</v>
      </c>
      <c r="D1010" s="1">
        <v>45213</v>
      </c>
      <c r="E1010" s="1">
        <v>45273</v>
      </c>
      <c r="F1010" t="s">
        <v>36</v>
      </c>
      <c r="G1010">
        <v>156532.85</v>
      </c>
      <c r="H1010" s="1">
        <v>45282</v>
      </c>
      <c r="I1010" t="s">
        <v>555</v>
      </c>
      <c r="J1010" t="s">
        <v>556</v>
      </c>
      <c r="L1010">
        <v>156532.85</v>
      </c>
      <c r="M1010">
        <f>IF(F1010="INR",1,INDEX('rates'!$B$2:$C$522,MATCH(D1010,'rates'!$A$2:$A$522,1),MATCH(F1010&amp;"/INR",'rates'!$B$1:$C$1,0)))</f>
        <v>83.26</v>
      </c>
      <c r="N1010">
        <f t="shared" si="79"/>
        <v>13032925.091000002</v>
      </c>
      <c r="O1010">
        <f t="shared" si="80"/>
        <v>0</v>
      </c>
      <c r="P1010">
        <f t="shared" si="81"/>
        <v>0</v>
      </c>
      <c r="Q1010">
        <f t="shared" ref="Q1010:Q1073" si="83">IF(H1010="","",H1010-E1010)</f>
        <v>9</v>
      </c>
      <c r="R1010" t="str">
        <f t="shared" si="82"/>
        <v>Not open</v>
      </c>
    </row>
    <row r="1011" spans="1:18" x14ac:dyDescent="0.3">
      <c r="A1011" t="s">
        <v>1182</v>
      </c>
      <c r="B1011" t="s">
        <v>144</v>
      </c>
      <c r="C1011" t="s">
        <v>554</v>
      </c>
      <c r="D1011" s="1">
        <v>45215</v>
      </c>
      <c r="E1011" s="1">
        <v>45245</v>
      </c>
      <c r="F1011" t="s">
        <v>13</v>
      </c>
      <c r="G1011">
        <v>4089483</v>
      </c>
      <c r="H1011" s="1">
        <v>45268</v>
      </c>
      <c r="I1011" t="s">
        <v>555</v>
      </c>
      <c r="J1011" t="s">
        <v>556</v>
      </c>
      <c r="L1011">
        <v>4089483</v>
      </c>
      <c r="M1011">
        <f>IF(F1011="INR",1,INDEX('rates'!$B$2:$C$522,MATCH(D1011,'rates'!$A$2:$A$522,1),MATCH(F1011&amp;"/INR",'rates'!$B$1:$C$1,0)))</f>
        <v>1</v>
      </c>
      <c r="N1011">
        <f t="shared" si="79"/>
        <v>4089483</v>
      </c>
      <c r="O1011">
        <f t="shared" si="80"/>
        <v>0</v>
      </c>
      <c r="P1011">
        <f t="shared" si="81"/>
        <v>0</v>
      </c>
      <c r="Q1011">
        <f t="shared" si="83"/>
        <v>23</v>
      </c>
      <c r="R1011" t="str">
        <f t="shared" si="82"/>
        <v>Not open</v>
      </c>
    </row>
    <row r="1012" spans="1:18" x14ac:dyDescent="0.3">
      <c r="A1012" t="s">
        <v>1183</v>
      </c>
      <c r="B1012" t="s">
        <v>190</v>
      </c>
      <c r="C1012" t="s">
        <v>558</v>
      </c>
      <c r="D1012" s="1">
        <v>45215</v>
      </c>
      <c r="E1012" s="1">
        <v>45245</v>
      </c>
      <c r="F1012" t="s">
        <v>13</v>
      </c>
      <c r="G1012">
        <v>79177625</v>
      </c>
      <c r="H1012" s="1">
        <v>45278</v>
      </c>
      <c r="I1012" t="s">
        <v>555</v>
      </c>
      <c r="J1012" t="s">
        <v>556</v>
      </c>
      <c r="L1012">
        <v>79177625</v>
      </c>
      <c r="M1012">
        <f>IF(F1012="INR",1,INDEX('rates'!$B$2:$C$522,MATCH(D1012,'rates'!$A$2:$A$522,1),MATCH(F1012&amp;"/INR",'rates'!$B$1:$C$1,0)))</f>
        <v>1</v>
      </c>
      <c r="N1012">
        <f t="shared" si="79"/>
        <v>79177625</v>
      </c>
      <c r="O1012">
        <f t="shared" si="80"/>
        <v>0</v>
      </c>
      <c r="P1012">
        <f t="shared" si="81"/>
        <v>0</v>
      </c>
      <c r="Q1012">
        <f t="shared" si="83"/>
        <v>33</v>
      </c>
      <c r="R1012" t="str">
        <f t="shared" si="82"/>
        <v>Not open</v>
      </c>
    </row>
    <row r="1013" spans="1:18" x14ac:dyDescent="0.3">
      <c r="A1013" t="s">
        <v>1184</v>
      </c>
      <c r="B1013" t="s">
        <v>208</v>
      </c>
      <c r="C1013" t="s">
        <v>566</v>
      </c>
      <c r="D1013" s="1">
        <v>45215</v>
      </c>
      <c r="E1013" s="1">
        <v>45260</v>
      </c>
      <c r="F1013" t="s">
        <v>13</v>
      </c>
      <c r="G1013">
        <v>10094059</v>
      </c>
      <c r="H1013" s="1">
        <v>45258</v>
      </c>
      <c r="I1013" t="s">
        <v>555</v>
      </c>
      <c r="J1013" t="s">
        <v>556</v>
      </c>
      <c r="L1013">
        <v>10094059</v>
      </c>
      <c r="M1013">
        <f>IF(F1013="INR",1,INDEX('rates'!$B$2:$C$522,MATCH(D1013,'rates'!$A$2:$A$522,1),MATCH(F1013&amp;"/INR",'rates'!$B$1:$C$1,0)))</f>
        <v>1</v>
      </c>
      <c r="N1013">
        <f t="shared" si="79"/>
        <v>10094059</v>
      </c>
      <c r="O1013">
        <f t="shared" si="80"/>
        <v>0</v>
      </c>
      <c r="P1013">
        <f t="shared" si="81"/>
        <v>0</v>
      </c>
      <c r="Q1013">
        <f t="shared" si="83"/>
        <v>-2</v>
      </c>
      <c r="R1013" t="str">
        <f t="shared" si="82"/>
        <v>Not open</v>
      </c>
    </row>
    <row r="1014" spans="1:18" x14ac:dyDescent="0.3">
      <c r="A1014" t="s">
        <v>1185</v>
      </c>
      <c r="B1014" t="s">
        <v>238</v>
      </c>
      <c r="C1014" t="s">
        <v>566</v>
      </c>
      <c r="D1014" s="1">
        <v>45215</v>
      </c>
      <c r="E1014" s="1">
        <v>45275</v>
      </c>
      <c r="F1014" t="s">
        <v>31</v>
      </c>
      <c r="G1014">
        <v>531143.36</v>
      </c>
      <c r="H1014" s="1">
        <v>45284</v>
      </c>
      <c r="I1014" t="s">
        <v>555</v>
      </c>
      <c r="J1014" t="s">
        <v>573</v>
      </c>
      <c r="K1014">
        <v>88.002799999999993</v>
      </c>
      <c r="L1014">
        <v>531143.36</v>
      </c>
      <c r="M1014">
        <f>IF(F1014="INR",1,INDEX('rates'!$B$2:$C$522,MATCH(D1014,'rates'!$A$2:$A$522,1),MATCH(F1014&amp;"/INR",'rates'!$B$1:$C$1,0)))</f>
        <v>87.827100000000002</v>
      </c>
      <c r="N1014">
        <f t="shared" si="79"/>
        <v>46648780.993055999</v>
      </c>
      <c r="O1014">
        <f t="shared" si="80"/>
        <v>0</v>
      </c>
      <c r="P1014">
        <f t="shared" si="81"/>
        <v>0</v>
      </c>
      <c r="Q1014">
        <f t="shared" si="83"/>
        <v>9</v>
      </c>
      <c r="R1014" t="str">
        <f t="shared" si="82"/>
        <v>Not open</v>
      </c>
    </row>
    <row r="1015" spans="1:18" x14ac:dyDescent="0.3">
      <c r="A1015" t="s">
        <v>1186</v>
      </c>
      <c r="B1015" t="s">
        <v>334</v>
      </c>
      <c r="C1015" t="s">
        <v>560</v>
      </c>
      <c r="D1015" s="1">
        <v>45215</v>
      </c>
      <c r="E1015" s="1">
        <v>45305</v>
      </c>
      <c r="F1015" t="s">
        <v>13</v>
      </c>
      <c r="G1015">
        <v>6599730</v>
      </c>
      <c r="H1015" s="1">
        <v>45332</v>
      </c>
      <c r="I1015" t="s">
        <v>555</v>
      </c>
      <c r="J1015" t="s">
        <v>556</v>
      </c>
      <c r="L1015">
        <v>6599730</v>
      </c>
      <c r="M1015">
        <f>IF(F1015="INR",1,INDEX('rates'!$B$2:$C$522,MATCH(D1015,'rates'!$A$2:$A$522,1),MATCH(F1015&amp;"/INR",'rates'!$B$1:$C$1,0)))</f>
        <v>1</v>
      </c>
      <c r="N1015">
        <f t="shared" si="79"/>
        <v>6599730</v>
      </c>
      <c r="O1015">
        <f t="shared" si="80"/>
        <v>0</v>
      </c>
      <c r="P1015">
        <f t="shared" si="81"/>
        <v>0</v>
      </c>
      <c r="Q1015">
        <f t="shared" si="83"/>
        <v>27</v>
      </c>
      <c r="R1015" t="str">
        <f t="shared" si="82"/>
        <v>Not open</v>
      </c>
    </row>
    <row r="1016" spans="1:18" x14ac:dyDescent="0.3">
      <c r="A1016" t="s">
        <v>1187</v>
      </c>
      <c r="B1016" t="s">
        <v>522</v>
      </c>
      <c r="C1016" t="s">
        <v>566</v>
      </c>
      <c r="D1016" s="1">
        <v>45215</v>
      </c>
      <c r="E1016" s="1">
        <v>45275</v>
      </c>
      <c r="F1016" t="s">
        <v>31</v>
      </c>
      <c r="G1016">
        <v>84492.7</v>
      </c>
      <c r="H1016" s="1">
        <v>45284</v>
      </c>
      <c r="I1016" t="s">
        <v>555</v>
      </c>
      <c r="J1016" t="s">
        <v>556</v>
      </c>
      <c r="L1016">
        <v>84492.7</v>
      </c>
      <c r="M1016">
        <f>IF(F1016="INR",1,INDEX('rates'!$B$2:$C$522,MATCH(D1016,'rates'!$A$2:$A$522,1),MATCH(F1016&amp;"/INR",'rates'!$B$1:$C$1,0)))</f>
        <v>87.827100000000002</v>
      </c>
      <c r="N1016">
        <f t="shared" si="79"/>
        <v>7420748.8121699998</v>
      </c>
      <c r="O1016">
        <f t="shared" si="80"/>
        <v>0</v>
      </c>
      <c r="P1016">
        <f t="shared" si="81"/>
        <v>0</v>
      </c>
      <c r="Q1016">
        <f t="shared" si="83"/>
        <v>9</v>
      </c>
      <c r="R1016" t="str">
        <f t="shared" si="82"/>
        <v>Not open</v>
      </c>
    </row>
    <row r="1017" spans="1:18" x14ac:dyDescent="0.3">
      <c r="A1017" t="s">
        <v>1188</v>
      </c>
      <c r="B1017" t="s">
        <v>532</v>
      </c>
      <c r="C1017" t="s">
        <v>575</v>
      </c>
      <c r="D1017" s="1">
        <v>45215</v>
      </c>
      <c r="E1017" s="1">
        <v>45275</v>
      </c>
      <c r="F1017" t="s">
        <v>36</v>
      </c>
      <c r="G1017">
        <v>87135.8</v>
      </c>
      <c r="H1017" s="1">
        <v>45310</v>
      </c>
      <c r="I1017" t="s">
        <v>555</v>
      </c>
      <c r="J1017" t="s">
        <v>573</v>
      </c>
      <c r="K1017">
        <v>83.557599999999994</v>
      </c>
      <c r="L1017">
        <v>87135.8</v>
      </c>
      <c r="M1017">
        <f>IF(F1017="INR",1,INDEX('rates'!$B$2:$C$522,MATCH(D1017,'rates'!$A$2:$A$522,1),MATCH(F1017&amp;"/INR",'rates'!$B$1:$C$1,0)))</f>
        <v>83.28</v>
      </c>
      <c r="N1017">
        <f t="shared" si="79"/>
        <v>7256669.4240000006</v>
      </c>
      <c r="O1017">
        <f t="shared" si="80"/>
        <v>0</v>
      </c>
      <c r="P1017">
        <f t="shared" si="81"/>
        <v>0</v>
      </c>
      <c r="Q1017">
        <f t="shared" si="83"/>
        <v>35</v>
      </c>
      <c r="R1017" t="str">
        <f t="shared" si="82"/>
        <v>Not open</v>
      </c>
    </row>
    <row r="1018" spans="1:18" x14ac:dyDescent="0.3">
      <c r="A1018" t="s">
        <v>1189</v>
      </c>
      <c r="B1018" t="s">
        <v>94</v>
      </c>
      <c r="C1018" t="s">
        <v>554</v>
      </c>
      <c r="D1018" s="1">
        <v>45216</v>
      </c>
      <c r="E1018" s="1">
        <v>45246</v>
      </c>
      <c r="F1018" t="s">
        <v>13</v>
      </c>
      <c r="G1018">
        <v>1384615</v>
      </c>
      <c r="H1018" s="1">
        <v>45244</v>
      </c>
      <c r="I1018" t="s">
        <v>555</v>
      </c>
      <c r="J1018" t="s">
        <v>556</v>
      </c>
      <c r="L1018">
        <v>1384615</v>
      </c>
      <c r="M1018">
        <f>IF(F1018="INR",1,INDEX('rates'!$B$2:$C$522,MATCH(D1018,'rates'!$A$2:$A$522,1),MATCH(F1018&amp;"/INR",'rates'!$B$1:$C$1,0)))</f>
        <v>1</v>
      </c>
      <c r="N1018">
        <f t="shared" si="79"/>
        <v>1384615</v>
      </c>
      <c r="O1018">
        <f t="shared" si="80"/>
        <v>0</v>
      </c>
      <c r="P1018">
        <f t="shared" si="81"/>
        <v>0</v>
      </c>
      <c r="Q1018">
        <f t="shared" si="83"/>
        <v>-2</v>
      </c>
      <c r="R1018" t="str">
        <f t="shared" si="82"/>
        <v>Not open</v>
      </c>
    </row>
    <row r="1019" spans="1:18" x14ac:dyDescent="0.3">
      <c r="A1019" t="s">
        <v>1190</v>
      </c>
      <c r="B1019" t="s">
        <v>222</v>
      </c>
      <c r="C1019" t="s">
        <v>560</v>
      </c>
      <c r="D1019" s="1">
        <v>45216</v>
      </c>
      <c r="E1019" s="1">
        <v>45276</v>
      </c>
      <c r="F1019" t="s">
        <v>36</v>
      </c>
      <c r="G1019">
        <v>206356.26</v>
      </c>
      <c r="H1019" s="1">
        <v>45291</v>
      </c>
      <c r="I1019" t="s">
        <v>555</v>
      </c>
      <c r="J1019" t="s">
        <v>556</v>
      </c>
      <c r="L1019">
        <v>206356.26</v>
      </c>
      <c r="M1019">
        <f>IF(F1019="INR",1,INDEX('rates'!$B$2:$C$522,MATCH(D1019,'rates'!$A$2:$A$522,1),MATCH(F1019&amp;"/INR",'rates'!$B$1:$C$1,0)))</f>
        <v>83.22</v>
      </c>
      <c r="N1019">
        <f t="shared" si="79"/>
        <v>17172967.957200002</v>
      </c>
      <c r="O1019">
        <f t="shared" si="80"/>
        <v>0</v>
      </c>
      <c r="P1019">
        <f t="shared" si="81"/>
        <v>0</v>
      </c>
      <c r="Q1019">
        <f t="shared" si="83"/>
        <v>15</v>
      </c>
      <c r="R1019" t="str">
        <f t="shared" si="82"/>
        <v>Not open</v>
      </c>
    </row>
    <row r="1020" spans="1:18" x14ac:dyDescent="0.3">
      <c r="A1020" t="s">
        <v>1191</v>
      </c>
      <c r="B1020" t="s">
        <v>496</v>
      </c>
      <c r="C1020" t="s">
        <v>566</v>
      </c>
      <c r="D1020" s="1">
        <v>45216</v>
      </c>
      <c r="E1020" s="1">
        <v>45261</v>
      </c>
      <c r="F1020" t="s">
        <v>13</v>
      </c>
      <c r="G1020">
        <v>9353784</v>
      </c>
      <c r="H1020" s="1">
        <v>45263</v>
      </c>
      <c r="I1020" t="s">
        <v>555</v>
      </c>
      <c r="J1020" t="s">
        <v>556</v>
      </c>
      <c r="L1020">
        <v>9353784</v>
      </c>
      <c r="M1020">
        <f>IF(F1020="INR",1,INDEX('rates'!$B$2:$C$522,MATCH(D1020,'rates'!$A$2:$A$522,1),MATCH(F1020&amp;"/INR",'rates'!$B$1:$C$1,0)))</f>
        <v>1</v>
      </c>
      <c r="N1020">
        <f t="shared" si="79"/>
        <v>9353784</v>
      </c>
      <c r="O1020">
        <f t="shared" si="80"/>
        <v>0</v>
      </c>
      <c r="P1020">
        <f t="shared" si="81"/>
        <v>0</v>
      </c>
      <c r="Q1020">
        <f t="shared" si="83"/>
        <v>2</v>
      </c>
      <c r="R1020" t="str">
        <f t="shared" si="82"/>
        <v>Not open</v>
      </c>
    </row>
    <row r="1021" spans="1:18" x14ac:dyDescent="0.3">
      <c r="A1021" t="s">
        <v>1192</v>
      </c>
      <c r="B1021" t="s">
        <v>260</v>
      </c>
      <c r="C1021" t="s">
        <v>558</v>
      </c>
      <c r="D1021" s="1">
        <v>45217</v>
      </c>
      <c r="E1021" s="1">
        <v>45277</v>
      </c>
      <c r="F1021" t="s">
        <v>36</v>
      </c>
      <c r="G1021">
        <v>124294.02</v>
      </c>
      <c r="H1021" s="1">
        <v>45286</v>
      </c>
      <c r="I1021" t="s">
        <v>555</v>
      </c>
      <c r="J1021" t="s">
        <v>556</v>
      </c>
      <c r="L1021">
        <v>124294.02</v>
      </c>
      <c r="M1021">
        <f>IF(F1021="INR",1,INDEX('rates'!$B$2:$C$522,MATCH(D1021,'rates'!$A$2:$A$522,1),MATCH(F1021&amp;"/INR",'rates'!$B$1:$C$1,0)))</f>
        <v>83.25</v>
      </c>
      <c r="N1021">
        <f t="shared" si="79"/>
        <v>10347477.165000001</v>
      </c>
      <c r="O1021">
        <f t="shared" si="80"/>
        <v>0</v>
      </c>
      <c r="P1021">
        <f t="shared" si="81"/>
        <v>0</v>
      </c>
      <c r="Q1021">
        <f t="shared" si="83"/>
        <v>9</v>
      </c>
      <c r="R1021" t="str">
        <f t="shared" si="82"/>
        <v>Not open</v>
      </c>
    </row>
    <row r="1022" spans="1:18" x14ac:dyDescent="0.3">
      <c r="A1022" t="s">
        <v>1193</v>
      </c>
      <c r="B1022" t="s">
        <v>318</v>
      </c>
      <c r="C1022" t="s">
        <v>558</v>
      </c>
      <c r="D1022" s="1">
        <v>45217</v>
      </c>
      <c r="E1022" s="1">
        <v>45277</v>
      </c>
      <c r="F1022" t="s">
        <v>36</v>
      </c>
      <c r="G1022">
        <v>41495.760000000002</v>
      </c>
      <c r="H1022" s="1">
        <v>45294</v>
      </c>
      <c r="I1022" t="s">
        <v>555</v>
      </c>
      <c r="J1022" t="s">
        <v>573</v>
      </c>
      <c r="K1022">
        <v>83.527500000000003</v>
      </c>
      <c r="L1022">
        <v>41495.760000000002</v>
      </c>
      <c r="M1022">
        <f>IF(F1022="INR",1,INDEX('rates'!$B$2:$C$522,MATCH(D1022,'rates'!$A$2:$A$522,1),MATCH(F1022&amp;"/INR",'rates'!$B$1:$C$1,0)))</f>
        <v>83.25</v>
      </c>
      <c r="N1022">
        <f t="shared" si="79"/>
        <v>3454522.02</v>
      </c>
      <c r="O1022">
        <f t="shared" si="80"/>
        <v>0</v>
      </c>
      <c r="P1022">
        <f t="shared" si="81"/>
        <v>0</v>
      </c>
      <c r="Q1022">
        <f t="shared" si="83"/>
        <v>17</v>
      </c>
      <c r="R1022" t="str">
        <f t="shared" si="82"/>
        <v>Not open</v>
      </c>
    </row>
    <row r="1023" spans="1:18" x14ac:dyDescent="0.3">
      <c r="A1023" t="s">
        <v>1194</v>
      </c>
      <c r="B1023" t="s">
        <v>418</v>
      </c>
      <c r="C1023" t="s">
        <v>558</v>
      </c>
      <c r="D1023" s="1">
        <v>45217</v>
      </c>
      <c r="E1023" s="1">
        <v>45262</v>
      </c>
      <c r="F1023" t="s">
        <v>13</v>
      </c>
      <c r="G1023">
        <v>15180558</v>
      </c>
      <c r="H1023" s="1">
        <v>45287</v>
      </c>
      <c r="I1023" t="s">
        <v>555</v>
      </c>
      <c r="J1023" t="s">
        <v>556</v>
      </c>
      <c r="L1023">
        <v>15180558</v>
      </c>
      <c r="M1023">
        <f>IF(F1023="INR",1,INDEX('rates'!$B$2:$C$522,MATCH(D1023,'rates'!$A$2:$A$522,1),MATCH(F1023&amp;"/INR",'rates'!$B$1:$C$1,0)))</f>
        <v>1</v>
      </c>
      <c r="N1023">
        <f t="shared" si="79"/>
        <v>15180558</v>
      </c>
      <c r="O1023">
        <f t="shared" si="80"/>
        <v>0</v>
      </c>
      <c r="P1023">
        <f t="shared" si="81"/>
        <v>0</v>
      </c>
      <c r="Q1023">
        <f t="shared" si="83"/>
        <v>25</v>
      </c>
      <c r="R1023" t="str">
        <f t="shared" si="82"/>
        <v>Not open</v>
      </c>
    </row>
    <row r="1024" spans="1:18" x14ac:dyDescent="0.3">
      <c r="A1024" t="s">
        <v>1195</v>
      </c>
      <c r="B1024" t="s">
        <v>470</v>
      </c>
      <c r="C1024" t="s">
        <v>575</v>
      </c>
      <c r="D1024" s="1">
        <v>45217</v>
      </c>
      <c r="E1024" s="1">
        <v>45247</v>
      </c>
      <c r="F1024" t="s">
        <v>36</v>
      </c>
      <c r="G1024">
        <v>34315.839999999997</v>
      </c>
      <c r="H1024" s="1">
        <v>45258</v>
      </c>
      <c r="I1024" t="s">
        <v>555</v>
      </c>
      <c r="J1024" t="s">
        <v>573</v>
      </c>
      <c r="K1024">
        <v>83.388800000000003</v>
      </c>
      <c r="L1024">
        <v>34315.839999999997</v>
      </c>
      <c r="M1024">
        <f>IF(F1024="INR",1,INDEX('rates'!$B$2:$C$522,MATCH(D1024,'rates'!$A$2:$A$522,1),MATCH(F1024&amp;"/INR",'rates'!$B$1:$C$1,0)))</f>
        <v>83.25</v>
      </c>
      <c r="N1024">
        <f t="shared" si="79"/>
        <v>2856793.6799999997</v>
      </c>
      <c r="O1024">
        <f t="shared" si="80"/>
        <v>0</v>
      </c>
      <c r="P1024">
        <f t="shared" si="81"/>
        <v>0</v>
      </c>
      <c r="Q1024">
        <f t="shared" si="83"/>
        <v>11</v>
      </c>
      <c r="R1024" t="str">
        <f t="shared" si="82"/>
        <v>Not open</v>
      </c>
    </row>
    <row r="1025" spans="1:18" x14ac:dyDescent="0.3">
      <c r="A1025" t="s">
        <v>1196</v>
      </c>
      <c r="B1025" t="s">
        <v>117</v>
      </c>
      <c r="C1025" t="s">
        <v>554</v>
      </c>
      <c r="D1025" s="1">
        <v>45218</v>
      </c>
      <c r="E1025" s="1">
        <v>45278</v>
      </c>
      <c r="F1025" t="s">
        <v>13</v>
      </c>
      <c r="G1025">
        <v>5091793</v>
      </c>
      <c r="H1025" s="1">
        <v>45287</v>
      </c>
      <c r="I1025" t="s">
        <v>555</v>
      </c>
      <c r="J1025" t="s">
        <v>556</v>
      </c>
      <c r="L1025">
        <v>5091793</v>
      </c>
      <c r="M1025">
        <f>IF(F1025="INR",1,INDEX('rates'!$B$2:$C$522,MATCH(D1025,'rates'!$A$2:$A$522,1),MATCH(F1025&amp;"/INR",'rates'!$B$1:$C$1,0)))</f>
        <v>1</v>
      </c>
      <c r="N1025">
        <f t="shared" si="79"/>
        <v>5091793</v>
      </c>
      <c r="O1025">
        <f t="shared" si="80"/>
        <v>0</v>
      </c>
      <c r="P1025">
        <f t="shared" si="81"/>
        <v>0</v>
      </c>
      <c r="Q1025">
        <f t="shared" si="83"/>
        <v>9</v>
      </c>
      <c r="R1025" t="str">
        <f t="shared" si="82"/>
        <v>Not open</v>
      </c>
    </row>
    <row r="1026" spans="1:18" x14ac:dyDescent="0.3">
      <c r="A1026" t="s">
        <v>1197</v>
      </c>
      <c r="B1026" t="s">
        <v>154</v>
      </c>
      <c r="C1026" t="s">
        <v>566</v>
      </c>
      <c r="D1026" s="1">
        <v>45218</v>
      </c>
      <c r="E1026" s="1">
        <v>45248</v>
      </c>
      <c r="F1026" t="s">
        <v>13</v>
      </c>
      <c r="G1026">
        <v>9791370</v>
      </c>
      <c r="H1026" s="1">
        <v>45248</v>
      </c>
      <c r="I1026" t="s">
        <v>555</v>
      </c>
      <c r="J1026" t="s">
        <v>556</v>
      </c>
      <c r="L1026">
        <v>9791370</v>
      </c>
      <c r="M1026">
        <f>IF(F1026="INR",1,INDEX('rates'!$B$2:$C$522,MATCH(D1026,'rates'!$A$2:$A$522,1),MATCH(F1026&amp;"/INR",'rates'!$B$1:$C$1,0)))</f>
        <v>1</v>
      </c>
      <c r="N1026">
        <f t="shared" ref="N1026:N1089" si="84">G1026*M1026</f>
        <v>9791370</v>
      </c>
      <c r="O1026">
        <f t="shared" ref="O1026:O1089" si="85">IF(OR(I1026="OPEN",I1026="PARTIALLY PAID"),(G1026-L1026)*M1026,0)</f>
        <v>0</v>
      </c>
      <c r="P1026">
        <f t="shared" ref="P1026:P1089" si="86">IF(O1026&gt;0,MAX(0,DATE(2025,3,31)-E1026),0)</f>
        <v>0</v>
      </c>
      <c r="Q1026">
        <f t="shared" si="83"/>
        <v>0</v>
      </c>
      <c r="R1026" t="str">
        <f t="shared" ref="R1026:R1089" si="87">IF(O1026=0,"Not open",IF(P1026=0,"Not yet due",IF(P1026&lt;=30,"1-30",IF(P1026&lt;=60,"31-60",IF(P1026&lt;=90,"61-90","90+")))))</f>
        <v>Not open</v>
      </c>
    </row>
    <row r="1027" spans="1:18" x14ac:dyDescent="0.3">
      <c r="A1027" t="s">
        <v>1198</v>
      </c>
      <c r="B1027" t="s">
        <v>492</v>
      </c>
      <c r="C1027" t="s">
        <v>566</v>
      </c>
      <c r="D1027" s="1">
        <v>45218</v>
      </c>
      <c r="E1027" s="1">
        <v>45263</v>
      </c>
      <c r="F1027" t="s">
        <v>13</v>
      </c>
      <c r="G1027">
        <v>11373925</v>
      </c>
      <c r="H1027" s="1">
        <v>45264</v>
      </c>
      <c r="I1027" t="s">
        <v>555</v>
      </c>
      <c r="J1027" t="s">
        <v>556</v>
      </c>
      <c r="L1027">
        <v>11373925</v>
      </c>
      <c r="M1027">
        <f>IF(F1027="INR",1,INDEX('rates'!$B$2:$C$522,MATCH(D1027,'rates'!$A$2:$A$522,1),MATCH(F1027&amp;"/INR",'rates'!$B$1:$C$1,0)))</f>
        <v>1</v>
      </c>
      <c r="N1027">
        <f t="shared" si="84"/>
        <v>11373925</v>
      </c>
      <c r="O1027">
        <f t="shared" si="85"/>
        <v>0</v>
      </c>
      <c r="P1027">
        <f t="shared" si="86"/>
        <v>0</v>
      </c>
      <c r="Q1027">
        <f t="shared" si="83"/>
        <v>1</v>
      </c>
      <c r="R1027" t="str">
        <f t="shared" si="87"/>
        <v>Not open</v>
      </c>
    </row>
    <row r="1028" spans="1:18" x14ac:dyDescent="0.3">
      <c r="A1028" t="s">
        <v>1199</v>
      </c>
      <c r="B1028" t="s">
        <v>154</v>
      </c>
      <c r="C1028" t="s">
        <v>566</v>
      </c>
      <c r="D1028" s="1">
        <v>45219</v>
      </c>
      <c r="E1028" s="1">
        <v>45249</v>
      </c>
      <c r="F1028" t="s">
        <v>13</v>
      </c>
      <c r="G1028">
        <v>5004935</v>
      </c>
      <c r="H1028" s="1">
        <v>45246</v>
      </c>
      <c r="I1028" t="s">
        <v>555</v>
      </c>
      <c r="J1028" t="s">
        <v>556</v>
      </c>
      <c r="L1028">
        <v>5004935</v>
      </c>
      <c r="M1028">
        <f>IF(F1028="INR",1,INDEX('rates'!$B$2:$C$522,MATCH(D1028,'rates'!$A$2:$A$522,1),MATCH(F1028&amp;"/INR",'rates'!$B$1:$C$1,0)))</f>
        <v>1</v>
      </c>
      <c r="N1028">
        <f t="shared" si="84"/>
        <v>5004935</v>
      </c>
      <c r="O1028">
        <f t="shared" si="85"/>
        <v>0</v>
      </c>
      <c r="P1028">
        <f t="shared" si="86"/>
        <v>0</v>
      </c>
      <c r="Q1028">
        <f t="shared" si="83"/>
        <v>-3</v>
      </c>
      <c r="R1028" t="str">
        <f t="shared" si="87"/>
        <v>Not open</v>
      </c>
    </row>
    <row r="1029" spans="1:18" x14ac:dyDescent="0.3">
      <c r="A1029" t="s">
        <v>1200</v>
      </c>
      <c r="B1029" t="s">
        <v>160</v>
      </c>
      <c r="C1029" t="s">
        <v>554</v>
      </c>
      <c r="D1029" s="1">
        <v>45219</v>
      </c>
      <c r="E1029" s="1">
        <v>45264</v>
      </c>
      <c r="F1029" t="s">
        <v>13</v>
      </c>
      <c r="G1029">
        <v>5733502</v>
      </c>
      <c r="H1029" s="1">
        <v>45276</v>
      </c>
      <c r="I1029" t="s">
        <v>555</v>
      </c>
      <c r="J1029" t="s">
        <v>556</v>
      </c>
      <c r="L1029">
        <v>5733502</v>
      </c>
      <c r="M1029">
        <f>IF(F1029="INR",1,INDEX('rates'!$B$2:$C$522,MATCH(D1029,'rates'!$A$2:$A$522,1),MATCH(F1029&amp;"/INR",'rates'!$B$1:$C$1,0)))</f>
        <v>1</v>
      </c>
      <c r="N1029">
        <f t="shared" si="84"/>
        <v>5733502</v>
      </c>
      <c r="O1029">
        <f t="shared" si="85"/>
        <v>0</v>
      </c>
      <c r="P1029">
        <f t="shared" si="86"/>
        <v>0</v>
      </c>
      <c r="Q1029">
        <f t="shared" si="83"/>
        <v>12</v>
      </c>
      <c r="R1029" t="str">
        <f t="shared" si="87"/>
        <v>Not open</v>
      </c>
    </row>
    <row r="1030" spans="1:18" x14ac:dyDescent="0.3">
      <c r="A1030" t="s">
        <v>1201</v>
      </c>
      <c r="B1030" t="s">
        <v>210</v>
      </c>
      <c r="C1030" t="s">
        <v>566</v>
      </c>
      <c r="D1030" s="1">
        <v>45219</v>
      </c>
      <c r="E1030" s="1">
        <v>45309</v>
      </c>
      <c r="F1030" t="s">
        <v>31</v>
      </c>
      <c r="G1030">
        <v>59389.06</v>
      </c>
      <c r="H1030" s="1">
        <v>45314</v>
      </c>
      <c r="I1030" t="s">
        <v>555</v>
      </c>
      <c r="J1030" t="s">
        <v>573</v>
      </c>
      <c r="K1030">
        <v>88.326099999999997</v>
      </c>
      <c r="L1030">
        <v>59389.06</v>
      </c>
      <c r="M1030">
        <f>IF(F1030="INR",1,INDEX('rates'!$B$2:$C$522,MATCH(D1030,'rates'!$A$2:$A$522,1),MATCH(F1030&amp;"/INR",'rates'!$B$1:$C$1,0)))</f>
        <v>88.061899999999994</v>
      </c>
      <c r="N1030">
        <f t="shared" si="84"/>
        <v>5229913.4628139995</v>
      </c>
      <c r="O1030">
        <f t="shared" si="85"/>
        <v>0</v>
      </c>
      <c r="P1030">
        <f t="shared" si="86"/>
        <v>0</v>
      </c>
      <c r="Q1030">
        <f t="shared" si="83"/>
        <v>5</v>
      </c>
      <c r="R1030" t="str">
        <f t="shared" si="87"/>
        <v>Not open</v>
      </c>
    </row>
    <row r="1031" spans="1:18" x14ac:dyDescent="0.3">
      <c r="A1031" t="s">
        <v>1202</v>
      </c>
      <c r="B1031" t="s">
        <v>332</v>
      </c>
      <c r="C1031" t="s">
        <v>566</v>
      </c>
      <c r="D1031" s="1">
        <v>45219</v>
      </c>
      <c r="E1031" s="1">
        <v>45279</v>
      </c>
      <c r="F1031" t="s">
        <v>36</v>
      </c>
      <c r="G1031">
        <v>69823.539999999994</v>
      </c>
      <c r="H1031" s="1">
        <v>45289</v>
      </c>
      <c r="I1031" t="s">
        <v>555</v>
      </c>
      <c r="J1031" t="s">
        <v>573</v>
      </c>
      <c r="K1031">
        <v>83.417100000000005</v>
      </c>
      <c r="L1031">
        <v>69823.539999999994</v>
      </c>
      <c r="M1031">
        <f>IF(F1031="INR",1,INDEX('rates'!$B$2:$C$522,MATCH(D1031,'rates'!$A$2:$A$522,1),MATCH(F1031&amp;"/INR",'rates'!$B$1:$C$1,0)))</f>
        <v>83.14</v>
      </c>
      <c r="N1031">
        <f t="shared" si="84"/>
        <v>5805129.1155999992</v>
      </c>
      <c r="O1031">
        <f t="shared" si="85"/>
        <v>0</v>
      </c>
      <c r="P1031">
        <f t="shared" si="86"/>
        <v>0</v>
      </c>
      <c r="Q1031">
        <f t="shared" si="83"/>
        <v>10</v>
      </c>
      <c r="R1031" t="str">
        <f t="shared" si="87"/>
        <v>Not open</v>
      </c>
    </row>
    <row r="1032" spans="1:18" x14ac:dyDescent="0.3">
      <c r="A1032" t="s">
        <v>1204</v>
      </c>
      <c r="B1032" t="s">
        <v>87</v>
      </c>
      <c r="C1032" t="s">
        <v>566</v>
      </c>
      <c r="D1032" s="1">
        <v>45220</v>
      </c>
      <c r="E1032" s="1">
        <v>45265</v>
      </c>
      <c r="F1032" t="s">
        <v>36</v>
      </c>
      <c r="G1032">
        <v>61818.6</v>
      </c>
      <c r="H1032" s="1">
        <v>45277</v>
      </c>
      <c r="I1032" t="s">
        <v>555</v>
      </c>
      <c r="J1032" t="s">
        <v>573</v>
      </c>
      <c r="K1032">
        <v>83.347800000000007</v>
      </c>
      <c r="L1032">
        <v>61818.6</v>
      </c>
      <c r="M1032">
        <f>IF(F1032="INR",1,INDEX('rates'!$B$2:$C$522,MATCH(D1032,'rates'!$A$2:$A$522,1),MATCH(F1032&amp;"/INR",'rates'!$B$1:$C$1,0)))</f>
        <v>83.14</v>
      </c>
      <c r="N1032">
        <f t="shared" si="84"/>
        <v>5139598.4040000001</v>
      </c>
      <c r="O1032">
        <f t="shared" si="85"/>
        <v>0</v>
      </c>
      <c r="P1032">
        <f t="shared" si="86"/>
        <v>0</v>
      </c>
      <c r="Q1032">
        <f t="shared" si="83"/>
        <v>12</v>
      </c>
      <c r="R1032" t="str">
        <f t="shared" si="87"/>
        <v>Not open</v>
      </c>
    </row>
    <row r="1033" spans="1:18" x14ac:dyDescent="0.3">
      <c r="A1033" t="s">
        <v>1205</v>
      </c>
      <c r="B1033" t="s">
        <v>158</v>
      </c>
      <c r="C1033" t="s">
        <v>566</v>
      </c>
      <c r="D1033" s="1">
        <v>45220</v>
      </c>
      <c r="E1033" s="1">
        <v>45250</v>
      </c>
      <c r="F1033" t="s">
        <v>13</v>
      </c>
      <c r="G1033">
        <v>5511637</v>
      </c>
      <c r="H1033" s="1">
        <v>45245</v>
      </c>
      <c r="I1033" t="s">
        <v>555</v>
      </c>
      <c r="J1033" t="s">
        <v>556</v>
      </c>
      <c r="L1033">
        <v>5511637</v>
      </c>
      <c r="M1033">
        <f>IF(F1033="INR",1,INDEX('rates'!$B$2:$C$522,MATCH(D1033,'rates'!$A$2:$A$522,1),MATCH(F1033&amp;"/INR",'rates'!$B$1:$C$1,0)))</f>
        <v>1</v>
      </c>
      <c r="N1033">
        <f t="shared" si="84"/>
        <v>5511637</v>
      </c>
      <c r="O1033">
        <f t="shared" si="85"/>
        <v>0</v>
      </c>
      <c r="P1033">
        <f t="shared" si="86"/>
        <v>0</v>
      </c>
      <c r="Q1033">
        <f t="shared" si="83"/>
        <v>-5</v>
      </c>
      <c r="R1033" t="str">
        <f t="shared" si="87"/>
        <v>Not open</v>
      </c>
    </row>
    <row r="1034" spans="1:18" x14ac:dyDescent="0.3">
      <c r="A1034" t="s">
        <v>1206</v>
      </c>
      <c r="B1034" t="s">
        <v>262</v>
      </c>
      <c r="C1034" t="s">
        <v>566</v>
      </c>
      <c r="D1034" s="1">
        <v>45220</v>
      </c>
      <c r="E1034" s="1">
        <v>45310</v>
      </c>
      <c r="F1034" t="s">
        <v>31</v>
      </c>
      <c r="G1034">
        <v>19584.12</v>
      </c>
      <c r="H1034" s="1">
        <v>45323</v>
      </c>
      <c r="I1034" t="s">
        <v>555</v>
      </c>
      <c r="J1034" t="s">
        <v>556</v>
      </c>
      <c r="L1034">
        <v>19584.12</v>
      </c>
      <c r="M1034">
        <f>IF(F1034="INR",1,INDEX('rates'!$B$2:$C$522,MATCH(D1034,'rates'!$A$2:$A$522,1),MATCH(F1034&amp;"/INR",'rates'!$B$1:$C$1,0)))</f>
        <v>88.061899999999994</v>
      </c>
      <c r="N1034">
        <f t="shared" si="84"/>
        <v>1724614.8170279998</v>
      </c>
      <c r="O1034">
        <f t="shared" si="85"/>
        <v>0</v>
      </c>
      <c r="P1034">
        <f t="shared" si="86"/>
        <v>0</v>
      </c>
      <c r="Q1034">
        <f t="shared" si="83"/>
        <v>13</v>
      </c>
      <c r="R1034" t="str">
        <f t="shared" si="87"/>
        <v>Not open</v>
      </c>
    </row>
    <row r="1035" spans="1:18" x14ac:dyDescent="0.3">
      <c r="A1035" t="s">
        <v>1207</v>
      </c>
      <c r="B1035" t="s">
        <v>476</v>
      </c>
      <c r="C1035" t="s">
        <v>566</v>
      </c>
      <c r="D1035" s="1">
        <v>45220</v>
      </c>
      <c r="E1035" s="1">
        <v>45265</v>
      </c>
      <c r="F1035" t="s">
        <v>13</v>
      </c>
      <c r="G1035">
        <v>7065020</v>
      </c>
      <c r="H1035" s="1">
        <v>45291</v>
      </c>
      <c r="I1035" t="s">
        <v>555</v>
      </c>
      <c r="J1035" t="s">
        <v>556</v>
      </c>
      <c r="L1035">
        <v>7065020</v>
      </c>
      <c r="M1035">
        <f>IF(F1035="INR",1,INDEX('rates'!$B$2:$C$522,MATCH(D1035,'rates'!$A$2:$A$522,1),MATCH(F1035&amp;"/INR",'rates'!$B$1:$C$1,0)))</f>
        <v>1</v>
      </c>
      <c r="N1035">
        <f t="shared" si="84"/>
        <v>7065020</v>
      </c>
      <c r="O1035">
        <f t="shared" si="85"/>
        <v>0</v>
      </c>
      <c r="P1035">
        <f t="shared" si="86"/>
        <v>0</v>
      </c>
      <c r="Q1035">
        <f t="shared" si="83"/>
        <v>26</v>
      </c>
      <c r="R1035" t="str">
        <f t="shared" si="87"/>
        <v>Not open</v>
      </c>
    </row>
    <row r="1036" spans="1:18" x14ac:dyDescent="0.3">
      <c r="A1036" t="s">
        <v>1208</v>
      </c>
      <c r="B1036" t="s">
        <v>476</v>
      </c>
      <c r="C1036" t="s">
        <v>566</v>
      </c>
      <c r="D1036" s="1">
        <v>45220</v>
      </c>
      <c r="E1036" s="1">
        <v>45265</v>
      </c>
      <c r="F1036" t="s">
        <v>13</v>
      </c>
      <c r="G1036">
        <v>1609046</v>
      </c>
      <c r="H1036" s="1">
        <v>45287</v>
      </c>
      <c r="I1036" t="s">
        <v>555</v>
      </c>
      <c r="J1036" t="s">
        <v>556</v>
      </c>
      <c r="L1036">
        <v>1609046</v>
      </c>
      <c r="M1036">
        <f>IF(F1036="INR",1,INDEX('rates'!$B$2:$C$522,MATCH(D1036,'rates'!$A$2:$A$522,1),MATCH(F1036&amp;"/INR",'rates'!$B$1:$C$1,0)))</f>
        <v>1</v>
      </c>
      <c r="N1036">
        <f t="shared" si="84"/>
        <v>1609046</v>
      </c>
      <c r="O1036">
        <f t="shared" si="85"/>
        <v>0</v>
      </c>
      <c r="P1036">
        <f t="shared" si="86"/>
        <v>0</v>
      </c>
      <c r="Q1036">
        <f t="shared" si="83"/>
        <v>22</v>
      </c>
      <c r="R1036" t="str">
        <f t="shared" si="87"/>
        <v>Not open</v>
      </c>
    </row>
    <row r="1037" spans="1:18" x14ac:dyDescent="0.3">
      <c r="A1037" t="s">
        <v>1209</v>
      </c>
      <c r="B1037" t="s">
        <v>528</v>
      </c>
      <c r="C1037" t="s">
        <v>566</v>
      </c>
      <c r="D1037" s="1">
        <v>45220</v>
      </c>
      <c r="E1037" s="1">
        <v>45280</v>
      </c>
      <c r="F1037" t="s">
        <v>13</v>
      </c>
      <c r="G1037">
        <v>1291299</v>
      </c>
      <c r="H1037" s="1">
        <v>45315</v>
      </c>
      <c r="I1037" t="s">
        <v>555</v>
      </c>
      <c r="J1037" t="s">
        <v>556</v>
      </c>
      <c r="L1037">
        <v>1291299</v>
      </c>
      <c r="M1037">
        <f>IF(F1037="INR",1,INDEX('rates'!$B$2:$C$522,MATCH(D1037,'rates'!$A$2:$A$522,1),MATCH(F1037&amp;"/INR",'rates'!$B$1:$C$1,0)))</f>
        <v>1</v>
      </c>
      <c r="N1037">
        <f t="shared" si="84"/>
        <v>1291299</v>
      </c>
      <c r="O1037">
        <f t="shared" si="85"/>
        <v>0</v>
      </c>
      <c r="P1037">
        <f t="shared" si="86"/>
        <v>0</v>
      </c>
      <c r="Q1037">
        <f t="shared" si="83"/>
        <v>35</v>
      </c>
      <c r="R1037" t="str">
        <f t="shared" si="87"/>
        <v>Not open</v>
      </c>
    </row>
    <row r="1038" spans="1:18" x14ac:dyDescent="0.3">
      <c r="A1038" t="s">
        <v>1210</v>
      </c>
      <c r="B1038" t="s">
        <v>117</v>
      </c>
      <c r="C1038" t="s">
        <v>554</v>
      </c>
      <c r="D1038" s="1">
        <v>45222</v>
      </c>
      <c r="E1038" s="1">
        <v>45282</v>
      </c>
      <c r="F1038" t="s">
        <v>13</v>
      </c>
      <c r="G1038">
        <v>1445870</v>
      </c>
      <c r="H1038" s="1">
        <v>45295</v>
      </c>
      <c r="I1038" t="s">
        <v>555</v>
      </c>
      <c r="J1038" t="s">
        <v>556</v>
      </c>
      <c r="L1038">
        <v>1445870</v>
      </c>
      <c r="M1038">
        <f>IF(F1038="INR",1,INDEX('rates'!$B$2:$C$522,MATCH(D1038,'rates'!$A$2:$A$522,1),MATCH(F1038&amp;"/INR",'rates'!$B$1:$C$1,0)))</f>
        <v>1</v>
      </c>
      <c r="N1038">
        <f t="shared" si="84"/>
        <v>1445870</v>
      </c>
      <c r="O1038">
        <f t="shared" si="85"/>
        <v>0</v>
      </c>
      <c r="P1038">
        <f t="shared" si="86"/>
        <v>0</v>
      </c>
      <c r="Q1038">
        <f t="shared" si="83"/>
        <v>13</v>
      </c>
      <c r="R1038" t="str">
        <f t="shared" si="87"/>
        <v>Not open</v>
      </c>
    </row>
    <row r="1039" spans="1:18" x14ac:dyDescent="0.3">
      <c r="A1039" t="s">
        <v>1211</v>
      </c>
      <c r="B1039" t="s">
        <v>234</v>
      </c>
      <c r="C1039" t="s">
        <v>566</v>
      </c>
      <c r="D1039" s="1">
        <v>45222</v>
      </c>
      <c r="E1039" s="1">
        <v>45267</v>
      </c>
      <c r="F1039" t="s">
        <v>13</v>
      </c>
      <c r="G1039">
        <v>4868194</v>
      </c>
      <c r="H1039" s="1">
        <v>45261</v>
      </c>
      <c r="I1039" t="s">
        <v>555</v>
      </c>
      <c r="J1039" t="s">
        <v>556</v>
      </c>
      <c r="L1039">
        <v>4868194</v>
      </c>
      <c r="M1039">
        <f>IF(F1039="INR",1,INDEX('rates'!$B$2:$C$522,MATCH(D1039,'rates'!$A$2:$A$522,1),MATCH(F1039&amp;"/INR",'rates'!$B$1:$C$1,0)))</f>
        <v>1</v>
      </c>
      <c r="N1039">
        <f t="shared" si="84"/>
        <v>4868194</v>
      </c>
      <c r="O1039">
        <f t="shared" si="85"/>
        <v>0</v>
      </c>
      <c r="P1039">
        <f t="shared" si="86"/>
        <v>0</v>
      </c>
      <c r="Q1039">
        <f t="shared" si="83"/>
        <v>-6</v>
      </c>
      <c r="R1039" t="str">
        <f t="shared" si="87"/>
        <v>Not open</v>
      </c>
    </row>
    <row r="1040" spans="1:18" x14ac:dyDescent="0.3">
      <c r="A1040" t="s">
        <v>1212</v>
      </c>
      <c r="B1040" t="s">
        <v>294</v>
      </c>
      <c r="C1040" t="s">
        <v>560</v>
      </c>
      <c r="D1040" s="1">
        <v>45222</v>
      </c>
      <c r="E1040" s="1">
        <v>45282</v>
      </c>
      <c r="F1040" t="s">
        <v>13</v>
      </c>
      <c r="G1040">
        <v>15197666</v>
      </c>
      <c r="H1040" s="1">
        <v>45354</v>
      </c>
      <c r="I1040" t="s">
        <v>555</v>
      </c>
      <c r="J1040" t="s">
        <v>556</v>
      </c>
      <c r="L1040">
        <v>15197666</v>
      </c>
      <c r="M1040">
        <f>IF(F1040="INR",1,INDEX('rates'!$B$2:$C$522,MATCH(D1040,'rates'!$A$2:$A$522,1),MATCH(F1040&amp;"/INR",'rates'!$B$1:$C$1,0)))</f>
        <v>1</v>
      </c>
      <c r="N1040">
        <f t="shared" si="84"/>
        <v>15197666</v>
      </c>
      <c r="O1040">
        <f t="shared" si="85"/>
        <v>0</v>
      </c>
      <c r="P1040">
        <f t="shared" si="86"/>
        <v>0</v>
      </c>
      <c r="Q1040">
        <f t="shared" si="83"/>
        <v>72</v>
      </c>
      <c r="R1040" t="str">
        <f t="shared" si="87"/>
        <v>Not open</v>
      </c>
    </row>
    <row r="1041" spans="1:18" x14ac:dyDescent="0.3">
      <c r="A1041" t="s">
        <v>1213</v>
      </c>
      <c r="B1041" t="s">
        <v>22</v>
      </c>
      <c r="C1041" t="s">
        <v>554</v>
      </c>
      <c r="D1041" s="1">
        <v>45223</v>
      </c>
      <c r="E1041" s="1">
        <v>45268</v>
      </c>
      <c r="F1041" t="s">
        <v>13</v>
      </c>
      <c r="G1041">
        <v>7674624</v>
      </c>
      <c r="H1041" s="1">
        <v>45277</v>
      </c>
      <c r="I1041" t="s">
        <v>555</v>
      </c>
      <c r="J1041" t="s">
        <v>556</v>
      </c>
      <c r="L1041">
        <v>7674624</v>
      </c>
      <c r="M1041">
        <f>IF(F1041="INR",1,INDEX('rates'!$B$2:$C$522,MATCH(D1041,'rates'!$A$2:$A$522,1),MATCH(F1041&amp;"/INR",'rates'!$B$1:$C$1,0)))</f>
        <v>1</v>
      </c>
      <c r="N1041">
        <f t="shared" si="84"/>
        <v>7674624</v>
      </c>
      <c r="O1041">
        <f t="shared" si="85"/>
        <v>0</v>
      </c>
      <c r="P1041">
        <f t="shared" si="86"/>
        <v>0</v>
      </c>
      <c r="Q1041">
        <f t="shared" si="83"/>
        <v>9</v>
      </c>
      <c r="R1041" t="str">
        <f t="shared" si="87"/>
        <v>Not open</v>
      </c>
    </row>
    <row r="1042" spans="1:18" x14ac:dyDescent="0.3">
      <c r="A1042" t="s">
        <v>1214</v>
      </c>
      <c r="B1042" t="s">
        <v>22</v>
      </c>
      <c r="C1042" t="s">
        <v>554</v>
      </c>
      <c r="D1042" s="1">
        <v>45223</v>
      </c>
      <c r="E1042" s="1">
        <v>45268</v>
      </c>
      <c r="F1042" t="s">
        <v>13</v>
      </c>
      <c r="G1042">
        <v>1675129</v>
      </c>
      <c r="H1042" s="1">
        <v>45277</v>
      </c>
      <c r="I1042" t="s">
        <v>555</v>
      </c>
      <c r="J1042" t="s">
        <v>556</v>
      </c>
      <c r="L1042">
        <v>1675129</v>
      </c>
      <c r="M1042">
        <f>IF(F1042="INR",1,INDEX('rates'!$B$2:$C$522,MATCH(D1042,'rates'!$A$2:$A$522,1),MATCH(F1042&amp;"/INR",'rates'!$B$1:$C$1,0)))</f>
        <v>1</v>
      </c>
      <c r="N1042">
        <f t="shared" si="84"/>
        <v>1675129</v>
      </c>
      <c r="O1042">
        <f t="shared" si="85"/>
        <v>0</v>
      </c>
      <c r="P1042">
        <f t="shared" si="86"/>
        <v>0</v>
      </c>
      <c r="Q1042">
        <f t="shared" si="83"/>
        <v>9</v>
      </c>
      <c r="R1042" t="str">
        <f t="shared" si="87"/>
        <v>Not open</v>
      </c>
    </row>
    <row r="1043" spans="1:18" x14ac:dyDescent="0.3">
      <c r="A1043" t="s">
        <v>1215</v>
      </c>
      <c r="B1043" t="s">
        <v>75</v>
      </c>
      <c r="C1043" t="s">
        <v>566</v>
      </c>
      <c r="D1043" s="1">
        <v>45223</v>
      </c>
      <c r="E1043" s="1">
        <v>45313</v>
      </c>
      <c r="F1043" t="s">
        <v>36</v>
      </c>
      <c r="G1043">
        <v>147170.54999999999</v>
      </c>
      <c r="H1043" s="1">
        <v>45353</v>
      </c>
      <c r="I1043" t="s">
        <v>555</v>
      </c>
      <c r="J1043" t="s">
        <v>556</v>
      </c>
      <c r="L1043">
        <v>147170.54999999999</v>
      </c>
      <c r="M1043">
        <f>IF(F1043="INR",1,INDEX('rates'!$B$2:$C$522,MATCH(D1043,'rates'!$A$2:$A$522,1),MATCH(F1043&amp;"/INR",'rates'!$B$1:$C$1,0)))</f>
        <v>83.19</v>
      </c>
      <c r="N1043">
        <f t="shared" si="84"/>
        <v>12243118.054499999</v>
      </c>
      <c r="O1043">
        <f t="shared" si="85"/>
        <v>0</v>
      </c>
      <c r="P1043">
        <f t="shared" si="86"/>
        <v>0</v>
      </c>
      <c r="Q1043">
        <f t="shared" si="83"/>
        <v>40</v>
      </c>
      <c r="R1043" t="str">
        <f t="shared" si="87"/>
        <v>Not open</v>
      </c>
    </row>
    <row r="1044" spans="1:18" x14ac:dyDescent="0.3">
      <c r="A1044" t="s">
        <v>1216</v>
      </c>
      <c r="B1044" t="s">
        <v>113</v>
      </c>
      <c r="C1044" t="s">
        <v>560</v>
      </c>
      <c r="D1044" s="1">
        <v>45223</v>
      </c>
      <c r="E1044" s="1">
        <v>45253</v>
      </c>
      <c r="F1044" t="s">
        <v>13</v>
      </c>
      <c r="G1044">
        <v>3508177</v>
      </c>
      <c r="H1044" s="1">
        <v>45260</v>
      </c>
      <c r="I1044" t="s">
        <v>555</v>
      </c>
      <c r="J1044" t="s">
        <v>556</v>
      </c>
      <c r="L1044">
        <v>3508177</v>
      </c>
      <c r="M1044">
        <f>IF(F1044="INR",1,INDEX('rates'!$B$2:$C$522,MATCH(D1044,'rates'!$A$2:$A$522,1),MATCH(F1044&amp;"/INR",'rates'!$B$1:$C$1,0)))</f>
        <v>1</v>
      </c>
      <c r="N1044">
        <f t="shared" si="84"/>
        <v>3508177</v>
      </c>
      <c r="O1044">
        <f t="shared" si="85"/>
        <v>0</v>
      </c>
      <c r="P1044">
        <f t="shared" si="86"/>
        <v>0</v>
      </c>
      <c r="Q1044">
        <f t="shared" si="83"/>
        <v>7</v>
      </c>
      <c r="R1044" t="str">
        <f t="shared" si="87"/>
        <v>Not open</v>
      </c>
    </row>
    <row r="1045" spans="1:18" x14ac:dyDescent="0.3">
      <c r="A1045" t="s">
        <v>1217</v>
      </c>
      <c r="B1045" t="s">
        <v>144</v>
      </c>
      <c r="C1045" t="s">
        <v>554</v>
      </c>
      <c r="D1045" s="1">
        <v>45223</v>
      </c>
      <c r="E1045" s="1">
        <v>45253</v>
      </c>
      <c r="F1045" t="s">
        <v>13</v>
      </c>
      <c r="G1045">
        <v>9448913</v>
      </c>
      <c r="H1045" s="1">
        <v>45260</v>
      </c>
      <c r="I1045" t="s">
        <v>555</v>
      </c>
      <c r="J1045" t="s">
        <v>556</v>
      </c>
      <c r="L1045">
        <v>9448913</v>
      </c>
      <c r="M1045">
        <f>IF(F1045="INR",1,INDEX('rates'!$B$2:$C$522,MATCH(D1045,'rates'!$A$2:$A$522,1),MATCH(F1045&amp;"/INR",'rates'!$B$1:$C$1,0)))</f>
        <v>1</v>
      </c>
      <c r="N1045">
        <f t="shared" si="84"/>
        <v>9448913</v>
      </c>
      <c r="O1045">
        <f t="shared" si="85"/>
        <v>0</v>
      </c>
      <c r="P1045">
        <f t="shared" si="86"/>
        <v>0</v>
      </c>
      <c r="Q1045">
        <f t="shared" si="83"/>
        <v>7</v>
      </c>
      <c r="R1045" t="str">
        <f t="shared" si="87"/>
        <v>Not open</v>
      </c>
    </row>
    <row r="1046" spans="1:18" x14ac:dyDescent="0.3">
      <c r="A1046" t="s">
        <v>1218</v>
      </c>
      <c r="B1046" t="s">
        <v>406</v>
      </c>
      <c r="C1046" t="s">
        <v>554</v>
      </c>
      <c r="D1046" s="1">
        <v>45223</v>
      </c>
      <c r="E1046" s="1">
        <v>45313</v>
      </c>
      <c r="F1046" t="s">
        <v>13</v>
      </c>
      <c r="G1046">
        <v>8342560</v>
      </c>
      <c r="H1046" s="1">
        <v>45313</v>
      </c>
      <c r="I1046" t="s">
        <v>555</v>
      </c>
      <c r="J1046" t="s">
        <v>556</v>
      </c>
      <c r="L1046">
        <v>8342560</v>
      </c>
      <c r="M1046">
        <f>IF(F1046="INR",1,INDEX('rates'!$B$2:$C$522,MATCH(D1046,'rates'!$A$2:$A$522,1),MATCH(F1046&amp;"/INR",'rates'!$B$1:$C$1,0)))</f>
        <v>1</v>
      </c>
      <c r="N1046">
        <f t="shared" si="84"/>
        <v>8342560</v>
      </c>
      <c r="O1046">
        <f t="shared" si="85"/>
        <v>0</v>
      </c>
      <c r="P1046">
        <f t="shared" si="86"/>
        <v>0</v>
      </c>
      <c r="Q1046">
        <f t="shared" si="83"/>
        <v>0</v>
      </c>
      <c r="R1046" t="str">
        <f t="shared" si="87"/>
        <v>Not open</v>
      </c>
    </row>
    <row r="1047" spans="1:18" x14ac:dyDescent="0.3">
      <c r="A1047" t="s">
        <v>1219</v>
      </c>
      <c r="B1047" t="s">
        <v>490</v>
      </c>
      <c r="C1047" t="s">
        <v>560</v>
      </c>
      <c r="D1047" s="1">
        <v>45223</v>
      </c>
      <c r="E1047" s="1">
        <v>45268</v>
      </c>
      <c r="F1047" t="s">
        <v>36</v>
      </c>
      <c r="G1047">
        <v>49015.23</v>
      </c>
      <c r="H1047" s="1">
        <v>45292</v>
      </c>
      <c r="I1047" t="s">
        <v>555</v>
      </c>
      <c r="J1047" t="s">
        <v>556</v>
      </c>
      <c r="L1047">
        <v>49015.23</v>
      </c>
      <c r="M1047">
        <f>IF(F1047="INR",1,INDEX('rates'!$B$2:$C$522,MATCH(D1047,'rates'!$A$2:$A$522,1),MATCH(F1047&amp;"/INR",'rates'!$B$1:$C$1,0)))</f>
        <v>83.19</v>
      </c>
      <c r="N1047">
        <f t="shared" si="84"/>
        <v>4077576.9837000002</v>
      </c>
      <c r="O1047">
        <f t="shared" si="85"/>
        <v>0</v>
      </c>
      <c r="P1047">
        <f t="shared" si="86"/>
        <v>0</v>
      </c>
      <c r="Q1047">
        <f t="shared" si="83"/>
        <v>24</v>
      </c>
      <c r="R1047" t="str">
        <f t="shared" si="87"/>
        <v>Not open</v>
      </c>
    </row>
    <row r="1048" spans="1:18" x14ac:dyDescent="0.3">
      <c r="A1048" t="s">
        <v>1220</v>
      </c>
      <c r="B1048" t="s">
        <v>28</v>
      </c>
      <c r="C1048" t="s">
        <v>566</v>
      </c>
      <c r="D1048" s="1">
        <v>45224</v>
      </c>
      <c r="E1048" s="1">
        <v>45254</v>
      </c>
      <c r="F1048" t="s">
        <v>31</v>
      </c>
      <c r="G1048">
        <v>128870.07</v>
      </c>
      <c r="H1048" s="1">
        <v>45260</v>
      </c>
      <c r="I1048" t="s">
        <v>555</v>
      </c>
      <c r="J1048" t="s">
        <v>573</v>
      </c>
      <c r="K1048">
        <v>88.117400000000004</v>
      </c>
      <c r="L1048">
        <v>128870.07</v>
      </c>
      <c r="M1048">
        <f>IF(F1048="INR",1,INDEX('rates'!$B$2:$C$522,MATCH(D1048,'rates'!$A$2:$A$522,1),MATCH(F1048&amp;"/INR",'rates'!$B$1:$C$1,0)))</f>
        <v>88.029399999999995</v>
      </c>
      <c r="N1048">
        <f t="shared" si="84"/>
        <v>11344354.940058</v>
      </c>
      <c r="O1048">
        <f t="shared" si="85"/>
        <v>0</v>
      </c>
      <c r="P1048">
        <f t="shared" si="86"/>
        <v>0</v>
      </c>
      <c r="Q1048">
        <f t="shared" si="83"/>
        <v>6</v>
      </c>
      <c r="R1048" t="str">
        <f t="shared" si="87"/>
        <v>Not open</v>
      </c>
    </row>
    <row r="1049" spans="1:18" x14ac:dyDescent="0.3">
      <c r="A1049" t="s">
        <v>1221</v>
      </c>
      <c r="B1049" t="s">
        <v>72</v>
      </c>
      <c r="C1049" t="s">
        <v>560</v>
      </c>
      <c r="D1049" s="1">
        <v>45224</v>
      </c>
      <c r="E1049" s="1">
        <v>45314</v>
      </c>
      <c r="F1049" t="s">
        <v>31</v>
      </c>
      <c r="G1049">
        <v>65755.09</v>
      </c>
      <c r="H1049" s="1">
        <v>45359</v>
      </c>
      <c r="I1049" t="s">
        <v>555</v>
      </c>
      <c r="J1049" t="s">
        <v>573</v>
      </c>
      <c r="K1049">
        <v>88.293499999999995</v>
      </c>
      <c r="L1049">
        <v>65755.09</v>
      </c>
      <c r="M1049">
        <f>IF(F1049="INR",1,INDEX('rates'!$B$2:$C$522,MATCH(D1049,'rates'!$A$2:$A$522,1),MATCH(F1049&amp;"/INR",'rates'!$B$1:$C$1,0)))</f>
        <v>88.029399999999995</v>
      </c>
      <c r="N1049">
        <f t="shared" si="84"/>
        <v>5788381.1196459997</v>
      </c>
      <c r="O1049">
        <f t="shared" si="85"/>
        <v>0</v>
      </c>
      <c r="P1049">
        <f t="shared" si="86"/>
        <v>0</v>
      </c>
      <c r="Q1049">
        <f t="shared" si="83"/>
        <v>45</v>
      </c>
      <c r="R1049" t="str">
        <f t="shared" si="87"/>
        <v>Not open</v>
      </c>
    </row>
    <row r="1050" spans="1:18" x14ac:dyDescent="0.3">
      <c r="A1050" t="s">
        <v>1222</v>
      </c>
      <c r="B1050" t="s">
        <v>464</v>
      </c>
      <c r="C1050" t="s">
        <v>560</v>
      </c>
      <c r="D1050" s="1">
        <v>45224</v>
      </c>
      <c r="E1050" s="1">
        <v>45314</v>
      </c>
      <c r="F1050" t="s">
        <v>13</v>
      </c>
      <c r="G1050">
        <v>2931742</v>
      </c>
      <c r="H1050" s="1">
        <v>45314</v>
      </c>
      <c r="I1050" t="s">
        <v>555</v>
      </c>
      <c r="J1050" t="s">
        <v>556</v>
      </c>
      <c r="L1050">
        <v>2931742</v>
      </c>
      <c r="M1050">
        <f>IF(F1050="INR",1,INDEX('rates'!$B$2:$C$522,MATCH(D1050,'rates'!$A$2:$A$522,1),MATCH(F1050&amp;"/INR",'rates'!$B$1:$C$1,0)))</f>
        <v>1</v>
      </c>
      <c r="N1050">
        <f t="shared" si="84"/>
        <v>2931742</v>
      </c>
      <c r="O1050">
        <f t="shared" si="85"/>
        <v>0</v>
      </c>
      <c r="P1050">
        <f t="shared" si="86"/>
        <v>0</v>
      </c>
      <c r="Q1050">
        <f t="shared" si="83"/>
        <v>0</v>
      </c>
      <c r="R1050" t="str">
        <f t="shared" si="87"/>
        <v>Not open</v>
      </c>
    </row>
    <row r="1051" spans="1:18" x14ac:dyDescent="0.3">
      <c r="A1051" t="s">
        <v>1223</v>
      </c>
      <c r="B1051" t="s">
        <v>536</v>
      </c>
      <c r="C1051" t="s">
        <v>575</v>
      </c>
      <c r="D1051" s="1">
        <v>45224</v>
      </c>
      <c r="E1051" s="1">
        <v>45254</v>
      </c>
      <c r="F1051" t="s">
        <v>36</v>
      </c>
      <c r="G1051">
        <v>46938.89</v>
      </c>
      <c r="H1051" s="1">
        <v>45258</v>
      </c>
      <c r="I1051" t="s">
        <v>555</v>
      </c>
      <c r="J1051" t="s">
        <v>556</v>
      </c>
      <c r="L1051">
        <v>46938.89</v>
      </c>
      <c r="M1051">
        <f>IF(F1051="INR",1,INDEX('rates'!$B$2:$C$522,MATCH(D1051,'rates'!$A$2:$A$522,1),MATCH(F1051&amp;"/INR",'rates'!$B$1:$C$1,0)))</f>
        <v>83.18</v>
      </c>
      <c r="N1051">
        <f t="shared" si="84"/>
        <v>3904376.8702000002</v>
      </c>
      <c r="O1051">
        <f t="shared" si="85"/>
        <v>0</v>
      </c>
      <c r="P1051">
        <f t="shared" si="86"/>
        <v>0</v>
      </c>
      <c r="Q1051">
        <f t="shared" si="83"/>
        <v>4</v>
      </c>
      <c r="R1051" t="str">
        <f t="shared" si="87"/>
        <v>Not open</v>
      </c>
    </row>
    <row r="1052" spans="1:18" x14ac:dyDescent="0.3">
      <c r="A1052" t="s">
        <v>1224</v>
      </c>
      <c r="B1052" t="s">
        <v>33</v>
      </c>
      <c r="C1052" t="s">
        <v>566</v>
      </c>
      <c r="D1052" s="1">
        <v>45225</v>
      </c>
      <c r="E1052" s="1">
        <v>45255</v>
      </c>
      <c r="F1052" t="s">
        <v>36</v>
      </c>
      <c r="G1052">
        <v>198672.97</v>
      </c>
      <c r="H1052" s="1">
        <v>45269</v>
      </c>
      <c r="I1052" t="s">
        <v>555</v>
      </c>
      <c r="J1052" t="s">
        <v>573</v>
      </c>
      <c r="K1052">
        <v>83.378699999999995</v>
      </c>
      <c r="L1052">
        <v>198672.97</v>
      </c>
      <c r="M1052">
        <f>IF(F1052="INR",1,INDEX('rates'!$B$2:$C$522,MATCH(D1052,'rates'!$A$2:$A$522,1),MATCH(F1052&amp;"/INR",'rates'!$B$1:$C$1,0)))</f>
        <v>83.24</v>
      </c>
      <c r="N1052">
        <f t="shared" si="84"/>
        <v>16537538.022799999</v>
      </c>
      <c r="O1052">
        <f t="shared" si="85"/>
        <v>0</v>
      </c>
      <c r="P1052">
        <f t="shared" si="86"/>
        <v>0</v>
      </c>
      <c r="Q1052">
        <f t="shared" si="83"/>
        <v>14</v>
      </c>
      <c r="R1052" t="str">
        <f t="shared" si="87"/>
        <v>Not open</v>
      </c>
    </row>
    <row r="1053" spans="1:18" x14ac:dyDescent="0.3">
      <c r="A1053" t="s">
        <v>1225</v>
      </c>
      <c r="B1053" t="s">
        <v>154</v>
      </c>
      <c r="C1053" t="s">
        <v>566</v>
      </c>
      <c r="D1053" s="1">
        <v>45225</v>
      </c>
      <c r="E1053" s="1">
        <v>45255</v>
      </c>
      <c r="F1053" t="s">
        <v>13</v>
      </c>
      <c r="G1053">
        <v>2896496</v>
      </c>
      <c r="H1053" s="1">
        <v>45253</v>
      </c>
      <c r="I1053" t="s">
        <v>555</v>
      </c>
      <c r="J1053" t="s">
        <v>556</v>
      </c>
      <c r="L1053">
        <v>2896496</v>
      </c>
      <c r="M1053">
        <f>IF(F1053="INR",1,INDEX('rates'!$B$2:$C$522,MATCH(D1053,'rates'!$A$2:$A$522,1),MATCH(F1053&amp;"/INR",'rates'!$B$1:$C$1,0)))</f>
        <v>1</v>
      </c>
      <c r="N1053">
        <f t="shared" si="84"/>
        <v>2896496</v>
      </c>
      <c r="O1053">
        <f t="shared" si="85"/>
        <v>0</v>
      </c>
      <c r="P1053">
        <f t="shared" si="86"/>
        <v>0</v>
      </c>
      <c r="Q1053">
        <f t="shared" si="83"/>
        <v>-2</v>
      </c>
      <c r="R1053" t="str">
        <f t="shared" si="87"/>
        <v>Not open</v>
      </c>
    </row>
    <row r="1054" spans="1:18" x14ac:dyDescent="0.3">
      <c r="A1054" t="s">
        <v>1226</v>
      </c>
      <c r="B1054" t="s">
        <v>154</v>
      </c>
      <c r="C1054" t="s">
        <v>566</v>
      </c>
      <c r="D1054" s="1">
        <v>45225</v>
      </c>
      <c r="E1054" s="1">
        <v>45255</v>
      </c>
      <c r="F1054" t="s">
        <v>13</v>
      </c>
      <c r="G1054">
        <v>5037246</v>
      </c>
      <c r="H1054" s="1">
        <v>45258</v>
      </c>
      <c r="I1054" t="s">
        <v>555</v>
      </c>
      <c r="J1054" t="s">
        <v>556</v>
      </c>
      <c r="L1054">
        <v>5037246</v>
      </c>
      <c r="M1054">
        <f>IF(F1054="INR",1,INDEX('rates'!$B$2:$C$522,MATCH(D1054,'rates'!$A$2:$A$522,1),MATCH(F1054&amp;"/INR",'rates'!$B$1:$C$1,0)))</f>
        <v>1</v>
      </c>
      <c r="N1054">
        <f t="shared" si="84"/>
        <v>5037246</v>
      </c>
      <c r="O1054">
        <f t="shared" si="85"/>
        <v>0</v>
      </c>
      <c r="P1054">
        <f t="shared" si="86"/>
        <v>0</v>
      </c>
      <c r="Q1054">
        <f t="shared" si="83"/>
        <v>3</v>
      </c>
      <c r="R1054" t="str">
        <f t="shared" si="87"/>
        <v>Not open</v>
      </c>
    </row>
    <row r="1055" spans="1:18" x14ac:dyDescent="0.3">
      <c r="A1055" t="s">
        <v>1227</v>
      </c>
      <c r="B1055" t="s">
        <v>346</v>
      </c>
      <c r="C1055" t="s">
        <v>575</v>
      </c>
      <c r="D1055" s="1">
        <v>45225</v>
      </c>
      <c r="E1055" s="1">
        <v>45315</v>
      </c>
      <c r="F1055" t="s">
        <v>13</v>
      </c>
      <c r="G1055">
        <v>4293606</v>
      </c>
      <c r="H1055" s="1">
        <v>45316</v>
      </c>
      <c r="I1055" t="s">
        <v>555</v>
      </c>
      <c r="J1055" t="s">
        <v>556</v>
      </c>
      <c r="L1055">
        <v>4293606</v>
      </c>
      <c r="M1055">
        <f>IF(F1055="INR",1,INDEX('rates'!$B$2:$C$522,MATCH(D1055,'rates'!$A$2:$A$522,1),MATCH(F1055&amp;"/INR",'rates'!$B$1:$C$1,0)))</f>
        <v>1</v>
      </c>
      <c r="N1055">
        <f t="shared" si="84"/>
        <v>4293606</v>
      </c>
      <c r="O1055">
        <f t="shared" si="85"/>
        <v>0</v>
      </c>
      <c r="P1055">
        <f t="shared" si="86"/>
        <v>0</v>
      </c>
      <c r="Q1055">
        <f t="shared" si="83"/>
        <v>1</v>
      </c>
      <c r="R1055" t="str">
        <f t="shared" si="87"/>
        <v>Not open</v>
      </c>
    </row>
    <row r="1056" spans="1:18" x14ac:dyDescent="0.3">
      <c r="A1056" t="s">
        <v>1228</v>
      </c>
      <c r="B1056" t="s">
        <v>138</v>
      </c>
      <c r="C1056" t="s">
        <v>566</v>
      </c>
      <c r="D1056" s="1">
        <v>45226</v>
      </c>
      <c r="E1056" s="1">
        <v>45256</v>
      </c>
      <c r="F1056" t="s">
        <v>13</v>
      </c>
      <c r="G1056">
        <v>28004867</v>
      </c>
      <c r="H1056" s="1">
        <v>45253</v>
      </c>
      <c r="I1056" t="s">
        <v>555</v>
      </c>
      <c r="J1056" t="s">
        <v>556</v>
      </c>
      <c r="L1056">
        <v>28004867</v>
      </c>
      <c r="M1056">
        <f>IF(F1056="INR",1,INDEX('rates'!$B$2:$C$522,MATCH(D1056,'rates'!$A$2:$A$522,1),MATCH(F1056&amp;"/INR",'rates'!$B$1:$C$1,0)))</f>
        <v>1</v>
      </c>
      <c r="N1056">
        <f t="shared" si="84"/>
        <v>28004867</v>
      </c>
      <c r="O1056">
        <f t="shared" si="85"/>
        <v>0</v>
      </c>
      <c r="P1056">
        <f t="shared" si="86"/>
        <v>0</v>
      </c>
      <c r="Q1056">
        <f t="shared" si="83"/>
        <v>-3</v>
      </c>
      <c r="R1056" t="str">
        <f t="shared" si="87"/>
        <v>Not open</v>
      </c>
    </row>
    <row r="1057" spans="1:18" x14ac:dyDescent="0.3">
      <c r="A1057" t="s">
        <v>1229</v>
      </c>
      <c r="B1057" t="s">
        <v>148</v>
      </c>
      <c r="C1057" t="s">
        <v>575</v>
      </c>
      <c r="D1057" s="1">
        <v>45226</v>
      </c>
      <c r="E1057" s="1">
        <v>45286</v>
      </c>
      <c r="F1057" t="s">
        <v>31</v>
      </c>
      <c r="G1057">
        <v>52660.74</v>
      </c>
      <c r="H1057" s="1">
        <v>45301</v>
      </c>
      <c r="I1057" t="s">
        <v>555</v>
      </c>
      <c r="J1057" t="s">
        <v>573</v>
      </c>
      <c r="K1057">
        <v>88.376000000000005</v>
      </c>
      <c r="L1057">
        <v>52660.74</v>
      </c>
      <c r="M1057">
        <f>IF(F1057="INR",1,INDEX('rates'!$B$2:$C$522,MATCH(D1057,'rates'!$A$2:$A$522,1),MATCH(F1057&amp;"/INR",'rates'!$B$1:$C$1,0)))</f>
        <v>88.199600000000004</v>
      </c>
      <c r="N1057">
        <f t="shared" si="84"/>
        <v>4644656.2037040005</v>
      </c>
      <c r="O1057">
        <f t="shared" si="85"/>
        <v>0</v>
      </c>
      <c r="P1057">
        <f t="shared" si="86"/>
        <v>0</v>
      </c>
      <c r="Q1057">
        <f t="shared" si="83"/>
        <v>15</v>
      </c>
      <c r="R1057" t="str">
        <f t="shared" si="87"/>
        <v>Not open</v>
      </c>
    </row>
    <row r="1058" spans="1:18" x14ac:dyDescent="0.3">
      <c r="A1058" t="s">
        <v>1230</v>
      </c>
      <c r="B1058" t="s">
        <v>176</v>
      </c>
      <c r="C1058" t="s">
        <v>566</v>
      </c>
      <c r="D1058" s="1">
        <v>45226</v>
      </c>
      <c r="E1058" s="1">
        <v>45286</v>
      </c>
      <c r="F1058" t="s">
        <v>13</v>
      </c>
      <c r="G1058">
        <v>4730265</v>
      </c>
      <c r="H1058" s="1">
        <v>45314</v>
      </c>
      <c r="I1058" t="s">
        <v>555</v>
      </c>
      <c r="J1058" t="s">
        <v>556</v>
      </c>
      <c r="L1058">
        <v>4730265</v>
      </c>
      <c r="M1058">
        <f>IF(F1058="INR",1,INDEX('rates'!$B$2:$C$522,MATCH(D1058,'rates'!$A$2:$A$522,1),MATCH(F1058&amp;"/INR",'rates'!$B$1:$C$1,0)))</f>
        <v>1</v>
      </c>
      <c r="N1058">
        <f t="shared" si="84"/>
        <v>4730265</v>
      </c>
      <c r="O1058">
        <f t="shared" si="85"/>
        <v>0</v>
      </c>
      <c r="P1058">
        <f t="shared" si="86"/>
        <v>0</v>
      </c>
      <c r="Q1058">
        <f t="shared" si="83"/>
        <v>28</v>
      </c>
      <c r="R1058" t="str">
        <f t="shared" si="87"/>
        <v>Not open</v>
      </c>
    </row>
    <row r="1059" spans="1:18" x14ac:dyDescent="0.3">
      <c r="A1059" t="s">
        <v>1231</v>
      </c>
      <c r="B1059" t="s">
        <v>188</v>
      </c>
      <c r="C1059" t="s">
        <v>554</v>
      </c>
      <c r="D1059" s="1">
        <v>45226</v>
      </c>
      <c r="E1059" s="1">
        <v>45256</v>
      </c>
      <c r="F1059" t="s">
        <v>13</v>
      </c>
      <c r="G1059">
        <v>1509587</v>
      </c>
      <c r="H1059" s="1">
        <v>45263</v>
      </c>
      <c r="I1059" t="s">
        <v>555</v>
      </c>
      <c r="J1059" t="s">
        <v>556</v>
      </c>
      <c r="L1059">
        <v>1509587</v>
      </c>
      <c r="M1059">
        <f>IF(F1059="INR",1,INDEX('rates'!$B$2:$C$522,MATCH(D1059,'rates'!$A$2:$A$522,1),MATCH(F1059&amp;"/INR",'rates'!$B$1:$C$1,0)))</f>
        <v>1</v>
      </c>
      <c r="N1059">
        <f t="shared" si="84"/>
        <v>1509587</v>
      </c>
      <c r="O1059">
        <f t="shared" si="85"/>
        <v>0</v>
      </c>
      <c r="P1059">
        <f t="shared" si="86"/>
        <v>0</v>
      </c>
      <c r="Q1059">
        <f t="shared" si="83"/>
        <v>7</v>
      </c>
      <c r="R1059" t="str">
        <f t="shared" si="87"/>
        <v>Not open</v>
      </c>
    </row>
    <row r="1060" spans="1:18" x14ac:dyDescent="0.3">
      <c r="A1060" t="s">
        <v>1232</v>
      </c>
      <c r="B1060" t="s">
        <v>222</v>
      </c>
      <c r="C1060" t="s">
        <v>560</v>
      </c>
      <c r="D1060" s="1">
        <v>45226</v>
      </c>
      <c r="E1060" s="1">
        <v>45286</v>
      </c>
      <c r="F1060" t="s">
        <v>36</v>
      </c>
      <c r="G1060">
        <v>99848.69</v>
      </c>
      <c r="H1060" s="1">
        <v>45315</v>
      </c>
      <c r="I1060" t="s">
        <v>555</v>
      </c>
      <c r="J1060" t="s">
        <v>573</v>
      </c>
      <c r="K1060">
        <v>83.547600000000003</v>
      </c>
      <c r="L1060">
        <v>99848.69</v>
      </c>
      <c r="M1060">
        <f>IF(F1060="INR",1,INDEX('rates'!$B$2:$C$522,MATCH(D1060,'rates'!$A$2:$A$522,1),MATCH(F1060&amp;"/INR",'rates'!$B$1:$C$1,0)))</f>
        <v>83.27</v>
      </c>
      <c r="N1060">
        <f t="shared" si="84"/>
        <v>8314400.4162999997</v>
      </c>
      <c r="O1060">
        <f t="shared" si="85"/>
        <v>0</v>
      </c>
      <c r="P1060">
        <f t="shared" si="86"/>
        <v>0</v>
      </c>
      <c r="Q1060">
        <f t="shared" si="83"/>
        <v>29</v>
      </c>
      <c r="R1060" t="str">
        <f t="shared" si="87"/>
        <v>Not open</v>
      </c>
    </row>
    <row r="1061" spans="1:18" x14ac:dyDescent="0.3">
      <c r="A1061" t="s">
        <v>1233</v>
      </c>
      <c r="B1061" t="s">
        <v>306</v>
      </c>
      <c r="C1061" t="s">
        <v>558</v>
      </c>
      <c r="D1061" s="1">
        <v>45226</v>
      </c>
      <c r="E1061" s="1">
        <v>45316</v>
      </c>
      <c r="F1061" t="s">
        <v>36</v>
      </c>
      <c r="G1061">
        <v>100442.64</v>
      </c>
      <c r="H1061" s="1">
        <v>45351</v>
      </c>
      <c r="I1061" t="s">
        <v>555</v>
      </c>
      <c r="J1061" t="s">
        <v>556</v>
      </c>
      <c r="L1061">
        <v>100442.64</v>
      </c>
      <c r="M1061">
        <f>IF(F1061="INR",1,INDEX('rates'!$B$2:$C$522,MATCH(D1061,'rates'!$A$2:$A$522,1),MATCH(F1061&amp;"/INR",'rates'!$B$1:$C$1,0)))</f>
        <v>83.27</v>
      </c>
      <c r="N1061">
        <f t="shared" si="84"/>
        <v>8363858.6327999998</v>
      </c>
      <c r="O1061">
        <f t="shared" si="85"/>
        <v>0</v>
      </c>
      <c r="P1061">
        <f t="shared" si="86"/>
        <v>0</v>
      </c>
      <c r="Q1061">
        <f t="shared" si="83"/>
        <v>35</v>
      </c>
      <c r="R1061" t="str">
        <f t="shared" si="87"/>
        <v>Not open</v>
      </c>
    </row>
    <row r="1062" spans="1:18" x14ac:dyDescent="0.3">
      <c r="A1062" t="s">
        <v>1234</v>
      </c>
      <c r="B1062" t="s">
        <v>138</v>
      </c>
      <c r="C1062" t="s">
        <v>566</v>
      </c>
      <c r="D1062" s="1">
        <v>45227</v>
      </c>
      <c r="E1062" s="1">
        <v>45257</v>
      </c>
      <c r="F1062" t="s">
        <v>13</v>
      </c>
      <c r="G1062">
        <v>11983601</v>
      </c>
      <c r="H1062" s="1">
        <v>45254</v>
      </c>
      <c r="I1062" t="s">
        <v>555</v>
      </c>
      <c r="J1062" t="s">
        <v>556</v>
      </c>
      <c r="L1062">
        <v>11983601</v>
      </c>
      <c r="M1062">
        <f>IF(F1062="INR",1,INDEX('rates'!$B$2:$C$522,MATCH(D1062,'rates'!$A$2:$A$522,1),MATCH(F1062&amp;"/INR",'rates'!$B$1:$C$1,0)))</f>
        <v>1</v>
      </c>
      <c r="N1062">
        <f t="shared" si="84"/>
        <v>11983601</v>
      </c>
      <c r="O1062">
        <f t="shared" si="85"/>
        <v>0</v>
      </c>
      <c r="P1062">
        <f t="shared" si="86"/>
        <v>0</v>
      </c>
      <c r="Q1062">
        <f t="shared" si="83"/>
        <v>-3</v>
      </c>
      <c r="R1062" t="str">
        <f t="shared" si="87"/>
        <v>Not open</v>
      </c>
    </row>
    <row r="1063" spans="1:18" x14ac:dyDescent="0.3">
      <c r="A1063" t="s">
        <v>1235</v>
      </c>
      <c r="B1063" t="s">
        <v>154</v>
      </c>
      <c r="C1063" t="s">
        <v>566</v>
      </c>
      <c r="D1063" s="1">
        <v>45227</v>
      </c>
      <c r="E1063" s="1">
        <v>45257</v>
      </c>
      <c r="F1063" t="s">
        <v>13</v>
      </c>
      <c r="G1063">
        <v>17021087</v>
      </c>
      <c r="H1063" s="1">
        <v>45250</v>
      </c>
      <c r="I1063" t="s">
        <v>555</v>
      </c>
      <c r="J1063" t="s">
        <v>556</v>
      </c>
      <c r="L1063">
        <v>17021087</v>
      </c>
      <c r="M1063">
        <f>IF(F1063="INR",1,INDEX('rates'!$B$2:$C$522,MATCH(D1063,'rates'!$A$2:$A$522,1),MATCH(F1063&amp;"/INR",'rates'!$B$1:$C$1,0)))</f>
        <v>1</v>
      </c>
      <c r="N1063">
        <f t="shared" si="84"/>
        <v>17021087</v>
      </c>
      <c r="O1063">
        <f t="shared" si="85"/>
        <v>0</v>
      </c>
      <c r="P1063">
        <f t="shared" si="86"/>
        <v>0</v>
      </c>
      <c r="Q1063">
        <f t="shared" si="83"/>
        <v>-7</v>
      </c>
      <c r="R1063" t="str">
        <f t="shared" si="87"/>
        <v>Not open</v>
      </c>
    </row>
    <row r="1064" spans="1:18" x14ac:dyDescent="0.3">
      <c r="A1064" t="s">
        <v>1236</v>
      </c>
      <c r="B1064" t="s">
        <v>230</v>
      </c>
      <c r="C1064" t="s">
        <v>558</v>
      </c>
      <c r="D1064" s="1">
        <v>45227</v>
      </c>
      <c r="E1064" s="1">
        <v>45272</v>
      </c>
      <c r="F1064" t="s">
        <v>13</v>
      </c>
      <c r="G1064">
        <v>10427540</v>
      </c>
      <c r="H1064" s="1">
        <v>45279</v>
      </c>
      <c r="I1064" t="s">
        <v>555</v>
      </c>
      <c r="J1064" t="s">
        <v>556</v>
      </c>
      <c r="L1064">
        <v>10427540</v>
      </c>
      <c r="M1064">
        <f>IF(F1064="INR",1,INDEX('rates'!$B$2:$C$522,MATCH(D1064,'rates'!$A$2:$A$522,1),MATCH(F1064&amp;"/INR",'rates'!$B$1:$C$1,0)))</f>
        <v>1</v>
      </c>
      <c r="N1064">
        <f t="shared" si="84"/>
        <v>10427540</v>
      </c>
      <c r="O1064">
        <f t="shared" si="85"/>
        <v>0</v>
      </c>
      <c r="P1064">
        <f t="shared" si="86"/>
        <v>0</v>
      </c>
      <c r="Q1064">
        <f t="shared" si="83"/>
        <v>7</v>
      </c>
      <c r="R1064" t="str">
        <f t="shared" si="87"/>
        <v>Not open</v>
      </c>
    </row>
    <row r="1065" spans="1:18" x14ac:dyDescent="0.3">
      <c r="A1065" t="s">
        <v>1237</v>
      </c>
      <c r="B1065" t="s">
        <v>238</v>
      </c>
      <c r="C1065" t="s">
        <v>566</v>
      </c>
      <c r="D1065" s="1">
        <v>45227</v>
      </c>
      <c r="E1065" s="1">
        <v>45287</v>
      </c>
      <c r="F1065" t="s">
        <v>31</v>
      </c>
      <c r="G1065">
        <v>22828.18</v>
      </c>
      <c r="H1065" s="1">
        <v>45326</v>
      </c>
      <c r="I1065" t="s">
        <v>555</v>
      </c>
      <c r="J1065" t="s">
        <v>556</v>
      </c>
      <c r="L1065">
        <v>22828.18</v>
      </c>
      <c r="M1065">
        <f>IF(F1065="INR",1,INDEX('rates'!$B$2:$C$522,MATCH(D1065,'rates'!$A$2:$A$522,1),MATCH(F1065&amp;"/INR",'rates'!$B$1:$C$1,0)))</f>
        <v>88.199600000000004</v>
      </c>
      <c r="N1065">
        <f t="shared" si="84"/>
        <v>2013436.344728</v>
      </c>
      <c r="O1065">
        <f t="shared" si="85"/>
        <v>0</v>
      </c>
      <c r="P1065">
        <f t="shared" si="86"/>
        <v>0</v>
      </c>
      <c r="Q1065">
        <f t="shared" si="83"/>
        <v>39</v>
      </c>
      <c r="R1065" t="str">
        <f t="shared" si="87"/>
        <v>Not open</v>
      </c>
    </row>
    <row r="1066" spans="1:18" x14ac:dyDescent="0.3">
      <c r="A1066" t="s">
        <v>1238</v>
      </c>
      <c r="B1066" t="s">
        <v>378</v>
      </c>
      <c r="C1066" t="s">
        <v>566</v>
      </c>
      <c r="D1066" s="1">
        <v>45227</v>
      </c>
      <c r="E1066" s="1">
        <v>45272</v>
      </c>
      <c r="F1066" t="s">
        <v>31</v>
      </c>
      <c r="G1066">
        <v>94727.38</v>
      </c>
      <c r="H1066" s="1">
        <v>45295</v>
      </c>
      <c r="I1066" t="s">
        <v>555</v>
      </c>
      <c r="J1066" t="s">
        <v>573</v>
      </c>
      <c r="K1066">
        <v>88.331900000000005</v>
      </c>
      <c r="L1066">
        <v>94727.38</v>
      </c>
      <c r="M1066">
        <f>IF(F1066="INR",1,INDEX('rates'!$B$2:$C$522,MATCH(D1066,'rates'!$A$2:$A$522,1),MATCH(F1066&amp;"/INR",'rates'!$B$1:$C$1,0)))</f>
        <v>88.199600000000004</v>
      </c>
      <c r="N1066">
        <f t="shared" si="84"/>
        <v>8354917.0250480007</v>
      </c>
      <c r="O1066">
        <f t="shared" si="85"/>
        <v>0</v>
      </c>
      <c r="P1066">
        <f t="shared" si="86"/>
        <v>0</v>
      </c>
      <c r="Q1066">
        <f t="shared" si="83"/>
        <v>23</v>
      </c>
      <c r="R1066" t="str">
        <f t="shared" si="87"/>
        <v>Not open</v>
      </c>
    </row>
    <row r="1067" spans="1:18" x14ac:dyDescent="0.3">
      <c r="A1067" t="s">
        <v>1239</v>
      </c>
      <c r="B1067" t="s">
        <v>462</v>
      </c>
      <c r="C1067" t="s">
        <v>566</v>
      </c>
      <c r="D1067" s="1">
        <v>45227</v>
      </c>
      <c r="E1067" s="1">
        <v>45272</v>
      </c>
      <c r="F1067" t="s">
        <v>13</v>
      </c>
      <c r="G1067">
        <v>2490789</v>
      </c>
      <c r="H1067" s="1">
        <v>45291</v>
      </c>
      <c r="I1067" t="s">
        <v>555</v>
      </c>
      <c r="J1067" t="s">
        <v>556</v>
      </c>
      <c r="L1067">
        <v>2490789</v>
      </c>
      <c r="M1067">
        <f>IF(F1067="INR",1,INDEX('rates'!$B$2:$C$522,MATCH(D1067,'rates'!$A$2:$A$522,1),MATCH(F1067&amp;"/INR",'rates'!$B$1:$C$1,0)))</f>
        <v>1</v>
      </c>
      <c r="N1067">
        <f t="shared" si="84"/>
        <v>2490789</v>
      </c>
      <c r="O1067">
        <f t="shared" si="85"/>
        <v>0</v>
      </c>
      <c r="P1067">
        <f t="shared" si="86"/>
        <v>0</v>
      </c>
      <c r="Q1067">
        <f t="shared" si="83"/>
        <v>19</v>
      </c>
      <c r="R1067" t="str">
        <f t="shared" si="87"/>
        <v>Not open</v>
      </c>
    </row>
    <row r="1068" spans="1:18" x14ac:dyDescent="0.3">
      <c r="A1068" t="s">
        <v>1240</v>
      </c>
      <c r="B1068" t="s">
        <v>512</v>
      </c>
      <c r="C1068" t="s">
        <v>566</v>
      </c>
      <c r="D1068" s="1">
        <v>45227</v>
      </c>
      <c r="E1068" s="1">
        <v>45287</v>
      </c>
      <c r="F1068" t="s">
        <v>31</v>
      </c>
      <c r="G1068">
        <v>134324.46</v>
      </c>
      <c r="H1068" s="1">
        <v>45305</v>
      </c>
      <c r="I1068" t="s">
        <v>555</v>
      </c>
      <c r="J1068" t="s">
        <v>573</v>
      </c>
      <c r="K1068">
        <v>88.376000000000005</v>
      </c>
      <c r="L1068">
        <v>134324.46</v>
      </c>
      <c r="M1068">
        <f>IF(F1068="INR",1,INDEX('rates'!$B$2:$C$522,MATCH(D1068,'rates'!$A$2:$A$522,1),MATCH(F1068&amp;"/INR",'rates'!$B$1:$C$1,0)))</f>
        <v>88.199600000000004</v>
      </c>
      <c r="N1068">
        <f t="shared" si="84"/>
        <v>11847363.642216001</v>
      </c>
      <c r="O1068">
        <f t="shared" si="85"/>
        <v>0</v>
      </c>
      <c r="P1068">
        <f t="shared" si="86"/>
        <v>0</v>
      </c>
      <c r="Q1068">
        <f t="shared" si="83"/>
        <v>18</v>
      </c>
      <c r="R1068" t="str">
        <f t="shared" si="87"/>
        <v>Not open</v>
      </c>
    </row>
    <row r="1069" spans="1:18" x14ac:dyDescent="0.3">
      <c r="A1069" t="s">
        <v>1241</v>
      </c>
      <c r="B1069" t="s">
        <v>516</v>
      </c>
      <c r="C1069" t="s">
        <v>560</v>
      </c>
      <c r="D1069" s="1">
        <v>45227</v>
      </c>
      <c r="E1069" s="1">
        <v>45287</v>
      </c>
      <c r="F1069" t="s">
        <v>13</v>
      </c>
      <c r="G1069">
        <v>8479942</v>
      </c>
      <c r="H1069" s="1">
        <v>45297</v>
      </c>
      <c r="I1069" t="s">
        <v>555</v>
      </c>
      <c r="J1069" t="s">
        <v>556</v>
      </c>
      <c r="L1069">
        <v>8479942</v>
      </c>
      <c r="M1069">
        <f>IF(F1069="INR",1,INDEX('rates'!$B$2:$C$522,MATCH(D1069,'rates'!$A$2:$A$522,1),MATCH(F1069&amp;"/INR",'rates'!$B$1:$C$1,0)))</f>
        <v>1</v>
      </c>
      <c r="N1069">
        <f t="shared" si="84"/>
        <v>8479942</v>
      </c>
      <c r="O1069">
        <f t="shared" si="85"/>
        <v>0</v>
      </c>
      <c r="P1069">
        <f t="shared" si="86"/>
        <v>0</v>
      </c>
      <c r="Q1069">
        <f t="shared" si="83"/>
        <v>10</v>
      </c>
      <c r="R1069" t="str">
        <f t="shared" si="87"/>
        <v>Not open</v>
      </c>
    </row>
    <row r="1070" spans="1:18" x14ac:dyDescent="0.3">
      <c r="A1070" t="s">
        <v>1242</v>
      </c>
      <c r="B1070" t="s">
        <v>117</v>
      </c>
      <c r="C1070" t="s">
        <v>554</v>
      </c>
      <c r="D1070" s="1">
        <v>45229</v>
      </c>
      <c r="E1070" s="1">
        <v>45289</v>
      </c>
      <c r="F1070" t="s">
        <v>13</v>
      </c>
      <c r="G1070">
        <v>12083592</v>
      </c>
      <c r="H1070" s="1">
        <v>45295</v>
      </c>
      <c r="I1070" t="s">
        <v>555</v>
      </c>
      <c r="J1070" t="s">
        <v>556</v>
      </c>
      <c r="L1070">
        <v>12083592</v>
      </c>
      <c r="M1070">
        <f>IF(F1070="INR",1,INDEX('rates'!$B$2:$C$522,MATCH(D1070,'rates'!$A$2:$A$522,1),MATCH(F1070&amp;"/INR",'rates'!$B$1:$C$1,0)))</f>
        <v>1</v>
      </c>
      <c r="N1070">
        <f t="shared" si="84"/>
        <v>12083592</v>
      </c>
      <c r="O1070">
        <f t="shared" si="85"/>
        <v>0</v>
      </c>
      <c r="P1070">
        <f t="shared" si="86"/>
        <v>0</v>
      </c>
      <c r="Q1070">
        <f t="shared" si="83"/>
        <v>6</v>
      </c>
      <c r="R1070" t="str">
        <f t="shared" si="87"/>
        <v>Not open</v>
      </c>
    </row>
    <row r="1071" spans="1:18" x14ac:dyDescent="0.3">
      <c r="A1071" t="s">
        <v>1243</v>
      </c>
      <c r="B1071" t="s">
        <v>270</v>
      </c>
      <c r="C1071" t="s">
        <v>558</v>
      </c>
      <c r="D1071" s="1">
        <v>45229</v>
      </c>
      <c r="E1071" s="1">
        <v>45289</v>
      </c>
      <c r="F1071" t="s">
        <v>31</v>
      </c>
      <c r="G1071">
        <v>77554.179999999993</v>
      </c>
      <c r="H1071" s="1">
        <v>45351</v>
      </c>
      <c r="I1071" t="s">
        <v>555</v>
      </c>
      <c r="J1071" t="s">
        <v>556</v>
      </c>
      <c r="L1071">
        <v>77554.179999999993</v>
      </c>
      <c r="M1071">
        <f>IF(F1071="INR",1,INDEX('rates'!$B$2:$C$522,MATCH(D1071,'rates'!$A$2:$A$522,1),MATCH(F1071&amp;"/INR",'rates'!$B$1:$C$1,0)))</f>
        <v>88.411500000000004</v>
      </c>
      <c r="N1071">
        <f t="shared" si="84"/>
        <v>6856681.3850699998</v>
      </c>
      <c r="O1071">
        <f t="shared" si="85"/>
        <v>0</v>
      </c>
      <c r="P1071">
        <f t="shared" si="86"/>
        <v>0</v>
      </c>
      <c r="Q1071">
        <f t="shared" si="83"/>
        <v>62</v>
      </c>
      <c r="R1071" t="str">
        <f t="shared" si="87"/>
        <v>Not open</v>
      </c>
    </row>
    <row r="1072" spans="1:18" x14ac:dyDescent="0.3">
      <c r="A1072" t="s">
        <v>1244</v>
      </c>
      <c r="B1072" t="s">
        <v>358</v>
      </c>
      <c r="C1072" t="s">
        <v>575</v>
      </c>
      <c r="D1072" s="1">
        <v>45229</v>
      </c>
      <c r="E1072" s="1">
        <v>45274</v>
      </c>
      <c r="F1072" t="s">
        <v>13</v>
      </c>
      <c r="G1072">
        <v>17400855</v>
      </c>
      <c r="H1072" s="1">
        <v>45275</v>
      </c>
      <c r="I1072" t="s">
        <v>555</v>
      </c>
      <c r="J1072" t="s">
        <v>556</v>
      </c>
      <c r="L1072">
        <v>17400855</v>
      </c>
      <c r="M1072">
        <f>IF(F1072="INR",1,INDEX('rates'!$B$2:$C$522,MATCH(D1072,'rates'!$A$2:$A$522,1),MATCH(F1072&amp;"/INR",'rates'!$B$1:$C$1,0)))</f>
        <v>1</v>
      </c>
      <c r="N1072">
        <f t="shared" si="84"/>
        <v>17400855</v>
      </c>
      <c r="O1072">
        <f t="shared" si="85"/>
        <v>0</v>
      </c>
      <c r="P1072">
        <f t="shared" si="86"/>
        <v>0</v>
      </c>
      <c r="Q1072">
        <f t="shared" si="83"/>
        <v>1</v>
      </c>
      <c r="R1072" t="str">
        <f t="shared" si="87"/>
        <v>Not open</v>
      </c>
    </row>
    <row r="1073" spans="1:18" x14ac:dyDescent="0.3">
      <c r="A1073" t="s">
        <v>1245</v>
      </c>
      <c r="B1073" t="s">
        <v>394</v>
      </c>
      <c r="C1073" t="s">
        <v>575</v>
      </c>
      <c r="D1073" s="1">
        <v>45229</v>
      </c>
      <c r="E1073" s="1">
        <v>45289</v>
      </c>
      <c r="F1073" t="s">
        <v>31</v>
      </c>
      <c r="G1073">
        <v>15569.18</v>
      </c>
      <c r="H1073" s="1">
        <v>45289</v>
      </c>
      <c r="I1073" t="s">
        <v>555</v>
      </c>
      <c r="J1073" t="s">
        <v>556</v>
      </c>
      <c r="L1073">
        <v>15569.18</v>
      </c>
      <c r="M1073">
        <f>IF(F1073="INR",1,INDEX('rates'!$B$2:$C$522,MATCH(D1073,'rates'!$A$2:$A$522,1),MATCH(F1073&amp;"/INR",'rates'!$B$1:$C$1,0)))</f>
        <v>88.411500000000004</v>
      </c>
      <c r="N1073">
        <f t="shared" si="84"/>
        <v>1376494.5575700002</v>
      </c>
      <c r="O1073">
        <f t="shared" si="85"/>
        <v>0</v>
      </c>
      <c r="P1073">
        <f t="shared" si="86"/>
        <v>0</v>
      </c>
      <c r="Q1073">
        <f t="shared" si="83"/>
        <v>0</v>
      </c>
      <c r="R1073" t="str">
        <f t="shared" si="87"/>
        <v>Not open</v>
      </c>
    </row>
    <row r="1074" spans="1:18" x14ac:dyDescent="0.3">
      <c r="A1074" t="s">
        <v>1246</v>
      </c>
      <c r="B1074" t="s">
        <v>442</v>
      </c>
      <c r="C1074" t="s">
        <v>575</v>
      </c>
      <c r="D1074" s="1">
        <v>45229</v>
      </c>
      <c r="E1074" s="1">
        <v>45289</v>
      </c>
      <c r="F1074" t="s">
        <v>13</v>
      </c>
      <c r="G1074">
        <v>6806542</v>
      </c>
      <c r="H1074" s="1">
        <v>45311</v>
      </c>
      <c r="I1074" t="s">
        <v>555</v>
      </c>
      <c r="J1074" t="s">
        <v>556</v>
      </c>
      <c r="L1074">
        <v>6806542</v>
      </c>
      <c r="M1074">
        <f>IF(F1074="INR",1,INDEX('rates'!$B$2:$C$522,MATCH(D1074,'rates'!$A$2:$A$522,1),MATCH(F1074&amp;"/INR",'rates'!$B$1:$C$1,0)))</f>
        <v>1</v>
      </c>
      <c r="N1074">
        <f t="shared" si="84"/>
        <v>6806542</v>
      </c>
      <c r="O1074">
        <f t="shared" si="85"/>
        <v>0</v>
      </c>
      <c r="P1074">
        <f t="shared" si="86"/>
        <v>0</v>
      </c>
      <c r="Q1074">
        <f t="shared" ref="Q1074:Q1137" si="88">IF(H1074="","",H1074-E1074)</f>
        <v>22</v>
      </c>
      <c r="R1074" t="str">
        <f t="shared" si="87"/>
        <v>Not open</v>
      </c>
    </row>
    <row r="1075" spans="1:18" x14ac:dyDescent="0.3">
      <c r="A1075" t="s">
        <v>1247</v>
      </c>
      <c r="B1075" t="s">
        <v>466</v>
      </c>
      <c r="C1075" t="s">
        <v>560</v>
      </c>
      <c r="D1075" s="1">
        <v>45230</v>
      </c>
      <c r="E1075" s="1">
        <v>45290</v>
      </c>
      <c r="F1075" t="s">
        <v>31</v>
      </c>
      <c r="G1075">
        <v>157730.54</v>
      </c>
      <c r="H1075" s="1">
        <v>45293</v>
      </c>
      <c r="I1075" t="s">
        <v>555</v>
      </c>
      <c r="J1075" t="s">
        <v>556</v>
      </c>
      <c r="L1075">
        <v>157730.54</v>
      </c>
      <c r="M1075">
        <f>IF(F1075="INR",1,INDEX('rates'!$B$2:$C$522,MATCH(D1075,'rates'!$A$2:$A$522,1),MATCH(F1075&amp;"/INR",'rates'!$B$1:$C$1,0)))</f>
        <v>87.989199999999997</v>
      </c>
      <c r="N1075">
        <f t="shared" si="84"/>
        <v>13878584.030168001</v>
      </c>
      <c r="O1075">
        <f t="shared" si="85"/>
        <v>0</v>
      </c>
      <c r="P1075">
        <f t="shared" si="86"/>
        <v>0</v>
      </c>
      <c r="Q1075">
        <f t="shared" si="88"/>
        <v>3</v>
      </c>
      <c r="R1075" t="str">
        <f t="shared" si="87"/>
        <v>Not open</v>
      </c>
    </row>
    <row r="1076" spans="1:18" x14ac:dyDescent="0.3">
      <c r="A1076" t="s">
        <v>1248</v>
      </c>
      <c r="B1076" t="s">
        <v>126</v>
      </c>
      <c r="C1076" t="s">
        <v>558</v>
      </c>
      <c r="D1076" s="1">
        <v>45231</v>
      </c>
      <c r="E1076" s="1">
        <v>45276</v>
      </c>
      <c r="F1076" t="s">
        <v>13</v>
      </c>
      <c r="G1076">
        <v>2697494</v>
      </c>
      <c r="H1076" s="1">
        <v>45288</v>
      </c>
      <c r="I1076" t="s">
        <v>555</v>
      </c>
      <c r="J1076" t="s">
        <v>556</v>
      </c>
      <c r="L1076">
        <v>2697494</v>
      </c>
      <c r="M1076">
        <f>IF(F1076="INR",1,INDEX('rates'!$B$2:$C$522,MATCH(D1076,'rates'!$A$2:$A$522,1),MATCH(F1076&amp;"/INR",'rates'!$B$1:$C$1,0)))</f>
        <v>1</v>
      </c>
      <c r="N1076">
        <f t="shared" si="84"/>
        <v>2697494</v>
      </c>
      <c r="O1076">
        <f t="shared" si="85"/>
        <v>0</v>
      </c>
      <c r="P1076">
        <f t="shared" si="86"/>
        <v>0</v>
      </c>
      <c r="Q1076">
        <f t="shared" si="88"/>
        <v>12</v>
      </c>
      <c r="R1076" t="str">
        <f t="shared" si="87"/>
        <v>Not open</v>
      </c>
    </row>
    <row r="1077" spans="1:18" x14ac:dyDescent="0.3">
      <c r="A1077" t="s">
        <v>1249</v>
      </c>
      <c r="B1077" t="s">
        <v>476</v>
      </c>
      <c r="C1077" t="s">
        <v>566</v>
      </c>
      <c r="D1077" s="1">
        <v>45231</v>
      </c>
      <c r="E1077" s="1">
        <v>45276</v>
      </c>
      <c r="F1077" t="s">
        <v>13</v>
      </c>
      <c r="G1077">
        <v>35394399</v>
      </c>
      <c r="H1077" s="1">
        <v>45285</v>
      </c>
      <c r="I1077" t="s">
        <v>555</v>
      </c>
      <c r="J1077" t="s">
        <v>556</v>
      </c>
      <c r="L1077">
        <v>35394399</v>
      </c>
      <c r="M1077">
        <f>IF(F1077="INR",1,INDEX('rates'!$B$2:$C$522,MATCH(D1077,'rates'!$A$2:$A$522,1),MATCH(F1077&amp;"/INR",'rates'!$B$1:$C$1,0)))</f>
        <v>1</v>
      </c>
      <c r="N1077">
        <f t="shared" si="84"/>
        <v>35394399</v>
      </c>
      <c r="O1077">
        <f t="shared" si="85"/>
        <v>0</v>
      </c>
      <c r="P1077">
        <f t="shared" si="86"/>
        <v>0</v>
      </c>
      <c r="Q1077">
        <f t="shared" si="88"/>
        <v>9</v>
      </c>
      <c r="R1077" t="str">
        <f t="shared" si="87"/>
        <v>Not open</v>
      </c>
    </row>
    <row r="1078" spans="1:18" x14ac:dyDescent="0.3">
      <c r="A1078" t="s">
        <v>1250</v>
      </c>
      <c r="B1078" t="s">
        <v>172</v>
      </c>
      <c r="C1078" t="s">
        <v>566</v>
      </c>
      <c r="D1078" s="1">
        <v>45232</v>
      </c>
      <c r="E1078" s="1">
        <v>45262</v>
      </c>
      <c r="F1078" t="s">
        <v>13</v>
      </c>
      <c r="G1078">
        <v>8698598</v>
      </c>
      <c r="H1078" s="1">
        <v>45278</v>
      </c>
      <c r="I1078" t="s">
        <v>555</v>
      </c>
      <c r="J1078" t="s">
        <v>556</v>
      </c>
      <c r="L1078">
        <v>8698598</v>
      </c>
      <c r="M1078">
        <f>IF(F1078="INR",1,INDEX('rates'!$B$2:$C$522,MATCH(D1078,'rates'!$A$2:$A$522,1),MATCH(F1078&amp;"/INR",'rates'!$B$1:$C$1,0)))</f>
        <v>1</v>
      </c>
      <c r="N1078">
        <f t="shared" si="84"/>
        <v>8698598</v>
      </c>
      <c r="O1078">
        <f t="shared" si="85"/>
        <v>0</v>
      </c>
      <c r="P1078">
        <f t="shared" si="86"/>
        <v>0</v>
      </c>
      <c r="Q1078">
        <f t="shared" si="88"/>
        <v>16</v>
      </c>
      <c r="R1078" t="str">
        <f t="shared" si="87"/>
        <v>Not open</v>
      </c>
    </row>
    <row r="1079" spans="1:18" x14ac:dyDescent="0.3">
      <c r="A1079" t="s">
        <v>1251</v>
      </c>
      <c r="B1079" t="s">
        <v>178</v>
      </c>
      <c r="C1079" t="s">
        <v>560</v>
      </c>
      <c r="D1079" s="1">
        <v>45232</v>
      </c>
      <c r="E1079" s="1">
        <v>45262</v>
      </c>
      <c r="F1079" t="s">
        <v>13</v>
      </c>
      <c r="G1079">
        <v>18067496</v>
      </c>
      <c r="H1079" s="1">
        <v>45281</v>
      </c>
      <c r="I1079" t="s">
        <v>555</v>
      </c>
      <c r="J1079" t="s">
        <v>556</v>
      </c>
      <c r="L1079">
        <v>18067496</v>
      </c>
      <c r="M1079">
        <f>IF(F1079="INR",1,INDEX('rates'!$B$2:$C$522,MATCH(D1079,'rates'!$A$2:$A$522,1),MATCH(F1079&amp;"/INR",'rates'!$B$1:$C$1,0)))</f>
        <v>1</v>
      </c>
      <c r="N1079">
        <f t="shared" si="84"/>
        <v>18067496</v>
      </c>
      <c r="O1079">
        <f t="shared" si="85"/>
        <v>0</v>
      </c>
      <c r="P1079">
        <f t="shared" si="86"/>
        <v>0</v>
      </c>
      <c r="Q1079">
        <f t="shared" si="88"/>
        <v>19</v>
      </c>
      <c r="R1079" t="str">
        <f t="shared" si="87"/>
        <v>Not open</v>
      </c>
    </row>
    <row r="1080" spans="1:18" x14ac:dyDescent="0.3">
      <c r="A1080" t="s">
        <v>1252</v>
      </c>
      <c r="B1080" t="s">
        <v>454</v>
      </c>
      <c r="C1080" t="s">
        <v>575</v>
      </c>
      <c r="D1080" s="1">
        <v>45232</v>
      </c>
      <c r="E1080" s="1">
        <v>45292</v>
      </c>
      <c r="F1080" t="s">
        <v>13</v>
      </c>
      <c r="G1080">
        <v>4785755</v>
      </c>
      <c r="H1080" s="1">
        <v>45299</v>
      </c>
      <c r="I1080" t="s">
        <v>555</v>
      </c>
      <c r="J1080" t="s">
        <v>556</v>
      </c>
      <c r="L1080">
        <v>4785755</v>
      </c>
      <c r="M1080">
        <f>IF(F1080="INR",1,INDEX('rates'!$B$2:$C$522,MATCH(D1080,'rates'!$A$2:$A$522,1),MATCH(F1080&amp;"/INR",'rates'!$B$1:$C$1,0)))</f>
        <v>1</v>
      </c>
      <c r="N1080">
        <f t="shared" si="84"/>
        <v>4785755</v>
      </c>
      <c r="O1080">
        <f t="shared" si="85"/>
        <v>0</v>
      </c>
      <c r="P1080">
        <f t="shared" si="86"/>
        <v>0</v>
      </c>
      <c r="Q1080">
        <f t="shared" si="88"/>
        <v>7</v>
      </c>
      <c r="R1080" t="str">
        <f t="shared" si="87"/>
        <v>Not open</v>
      </c>
    </row>
    <row r="1081" spans="1:18" x14ac:dyDescent="0.3">
      <c r="A1081" t="s">
        <v>1253</v>
      </c>
      <c r="B1081" t="s">
        <v>160</v>
      </c>
      <c r="C1081" t="s">
        <v>558</v>
      </c>
      <c r="D1081" s="1">
        <v>45233</v>
      </c>
      <c r="E1081" s="1">
        <v>45278</v>
      </c>
      <c r="F1081" t="s">
        <v>13</v>
      </c>
      <c r="G1081">
        <v>7470236</v>
      </c>
      <c r="H1081" s="1">
        <v>45277</v>
      </c>
      <c r="I1081" t="s">
        <v>555</v>
      </c>
      <c r="J1081" t="s">
        <v>556</v>
      </c>
      <c r="L1081">
        <v>7470236</v>
      </c>
      <c r="M1081">
        <f>IF(F1081="INR",1,INDEX('rates'!$B$2:$C$522,MATCH(D1081,'rates'!$A$2:$A$522,1),MATCH(F1081&amp;"/INR",'rates'!$B$1:$C$1,0)))</f>
        <v>1</v>
      </c>
      <c r="N1081">
        <f t="shared" si="84"/>
        <v>7470236</v>
      </c>
      <c r="O1081">
        <f t="shared" si="85"/>
        <v>0</v>
      </c>
      <c r="P1081">
        <f t="shared" si="86"/>
        <v>0</v>
      </c>
      <c r="Q1081">
        <f t="shared" si="88"/>
        <v>-1</v>
      </c>
      <c r="R1081" t="str">
        <f t="shared" si="87"/>
        <v>Not open</v>
      </c>
    </row>
    <row r="1082" spans="1:18" x14ac:dyDescent="0.3">
      <c r="A1082" t="s">
        <v>1254</v>
      </c>
      <c r="B1082" t="s">
        <v>516</v>
      </c>
      <c r="C1082" t="s">
        <v>560</v>
      </c>
      <c r="D1082" s="1">
        <v>45233</v>
      </c>
      <c r="E1082" s="1">
        <v>45293</v>
      </c>
      <c r="F1082" t="s">
        <v>13</v>
      </c>
      <c r="G1082">
        <v>8146638</v>
      </c>
      <c r="H1082" s="1">
        <v>45296</v>
      </c>
      <c r="I1082" t="s">
        <v>555</v>
      </c>
      <c r="J1082" t="s">
        <v>556</v>
      </c>
      <c r="L1082">
        <v>8146638</v>
      </c>
      <c r="M1082">
        <f>IF(F1082="INR",1,INDEX('rates'!$B$2:$C$522,MATCH(D1082,'rates'!$A$2:$A$522,1),MATCH(F1082&amp;"/INR",'rates'!$B$1:$C$1,0)))</f>
        <v>1</v>
      </c>
      <c r="N1082">
        <f t="shared" si="84"/>
        <v>8146638</v>
      </c>
      <c r="O1082">
        <f t="shared" si="85"/>
        <v>0</v>
      </c>
      <c r="P1082">
        <f t="shared" si="86"/>
        <v>0</v>
      </c>
      <c r="Q1082">
        <f t="shared" si="88"/>
        <v>3</v>
      </c>
      <c r="R1082" t="str">
        <f t="shared" si="87"/>
        <v>Not open</v>
      </c>
    </row>
    <row r="1083" spans="1:18" x14ac:dyDescent="0.3">
      <c r="A1083" t="s">
        <v>1255</v>
      </c>
      <c r="B1083" t="s">
        <v>528</v>
      </c>
      <c r="C1083" t="s">
        <v>566</v>
      </c>
      <c r="D1083" s="1">
        <v>45233</v>
      </c>
      <c r="E1083" s="1">
        <v>45293</v>
      </c>
      <c r="F1083" t="s">
        <v>13</v>
      </c>
      <c r="G1083">
        <v>5494962</v>
      </c>
      <c r="H1083" s="1">
        <v>45320</v>
      </c>
      <c r="I1083" t="s">
        <v>555</v>
      </c>
      <c r="J1083" t="s">
        <v>556</v>
      </c>
      <c r="L1083">
        <v>5494962</v>
      </c>
      <c r="M1083">
        <f>IF(F1083="INR",1,INDEX('rates'!$B$2:$C$522,MATCH(D1083,'rates'!$A$2:$A$522,1),MATCH(F1083&amp;"/INR",'rates'!$B$1:$C$1,0)))</f>
        <v>1</v>
      </c>
      <c r="N1083">
        <f t="shared" si="84"/>
        <v>5494962</v>
      </c>
      <c r="O1083">
        <f t="shared" si="85"/>
        <v>0</v>
      </c>
      <c r="P1083">
        <f t="shared" si="86"/>
        <v>0</v>
      </c>
      <c r="Q1083">
        <f t="shared" si="88"/>
        <v>27</v>
      </c>
      <c r="R1083" t="str">
        <f t="shared" si="87"/>
        <v>Not open</v>
      </c>
    </row>
    <row r="1084" spans="1:18" x14ac:dyDescent="0.3">
      <c r="A1084" t="s">
        <v>1256</v>
      </c>
      <c r="B1084" t="s">
        <v>85</v>
      </c>
      <c r="C1084" t="s">
        <v>566</v>
      </c>
      <c r="D1084" s="1">
        <v>45234</v>
      </c>
      <c r="E1084" s="1">
        <v>45264</v>
      </c>
      <c r="F1084" t="s">
        <v>13</v>
      </c>
      <c r="G1084">
        <v>2754906</v>
      </c>
      <c r="H1084" s="1">
        <v>45263</v>
      </c>
      <c r="I1084" t="s">
        <v>555</v>
      </c>
      <c r="J1084" t="s">
        <v>556</v>
      </c>
      <c r="L1084">
        <v>2754906</v>
      </c>
      <c r="M1084">
        <f>IF(F1084="INR",1,INDEX('rates'!$B$2:$C$522,MATCH(D1084,'rates'!$A$2:$A$522,1),MATCH(F1084&amp;"/INR",'rates'!$B$1:$C$1,0)))</f>
        <v>1</v>
      </c>
      <c r="N1084">
        <f t="shared" si="84"/>
        <v>2754906</v>
      </c>
      <c r="O1084">
        <f t="shared" si="85"/>
        <v>0</v>
      </c>
      <c r="P1084">
        <f t="shared" si="86"/>
        <v>0</v>
      </c>
      <c r="Q1084">
        <f t="shared" si="88"/>
        <v>-1</v>
      </c>
      <c r="R1084" t="str">
        <f t="shared" si="87"/>
        <v>Not open</v>
      </c>
    </row>
    <row r="1085" spans="1:18" x14ac:dyDescent="0.3">
      <c r="A1085" t="s">
        <v>1257</v>
      </c>
      <c r="B1085" t="s">
        <v>87</v>
      </c>
      <c r="C1085" t="s">
        <v>566</v>
      </c>
      <c r="D1085" s="1">
        <v>45234</v>
      </c>
      <c r="E1085" s="1">
        <v>45279</v>
      </c>
      <c r="F1085" t="s">
        <v>36</v>
      </c>
      <c r="G1085">
        <v>278506.89</v>
      </c>
      <c r="H1085" s="1">
        <v>45333</v>
      </c>
      <c r="I1085" t="s">
        <v>555</v>
      </c>
      <c r="J1085" t="s">
        <v>573</v>
      </c>
      <c r="K1085">
        <v>83.347800000000007</v>
      </c>
      <c r="L1085">
        <v>278506.89</v>
      </c>
      <c r="M1085">
        <f>IF(F1085="INR",1,INDEX('rates'!$B$2:$C$522,MATCH(D1085,'rates'!$A$2:$A$522,1),MATCH(F1085&amp;"/INR",'rates'!$B$1:$C$1,0)))</f>
        <v>83.14</v>
      </c>
      <c r="N1085">
        <f t="shared" si="84"/>
        <v>23155062.834600002</v>
      </c>
      <c r="O1085">
        <f t="shared" si="85"/>
        <v>0</v>
      </c>
      <c r="P1085">
        <f t="shared" si="86"/>
        <v>0</v>
      </c>
      <c r="Q1085">
        <f t="shared" si="88"/>
        <v>54</v>
      </c>
      <c r="R1085" t="str">
        <f t="shared" si="87"/>
        <v>Not open</v>
      </c>
    </row>
    <row r="1086" spans="1:18" x14ac:dyDescent="0.3">
      <c r="A1086" t="s">
        <v>1258</v>
      </c>
      <c r="B1086" t="s">
        <v>138</v>
      </c>
      <c r="C1086" t="s">
        <v>566</v>
      </c>
      <c r="D1086" s="1">
        <v>45234</v>
      </c>
      <c r="E1086" s="1">
        <v>45264</v>
      </c>
      <c r="F1086" t="s">
        <v>13</v>
      </c>
      <c r="G1086">
        <v>2605684</v>
      </c>
      <c r="H1086" s="1">
        <v>45254</v>
      </c>
      <c r="I1086" t="s">
        <v>555</v>
      </c>
      <c r="J1086" t="s">
        <v>556</v>
      </c>
      <c r="L1086">
        <v>2605684</v>
      </c>
      <c r="M1086">
        <f>IF(F1086="INR",1,INDEX('rates'!$B$2:$C$522,MATCH(D1086,'rates'!$A$2:$A$522,1),MATCH(F1086&amp;"/INR",'rates'!$B$1:$C$1,0)))</f>
        <v>1</v>
      </c>
      <c r="N1086">
        <f t="shared" si="84"/>
        <v>2605684</v>
      </c>
      <c r="O1086">
        <f t="shared" si="85"/>
        <v>0</v>
      </c>
      <c r="P1086">
        <f t="shared" si="86"/>
        <v>0</v>
      </c>
      <c r="Q1086">
        <f t="shared" si="88"/>
        <v>-10</v>
      </c>
      <c r="R1086" t="str">
        <f t="shared" si="87"/>
        <v>Not open</v>
      </c>
    </row>
    <row r="1087" spans="1:18" x14ac:dyDescent="0.3">
      <c r="A1087" t="s">
        <v>1259</v>
      </c>
      <c r="B1087" t="s">
        <v>162</v>
      </c>
      <c r="C1087" t="s">
        <v>558</v>
      </c>
      <c r="D1087" s="1">
        <v>45234</v>
      </c>
      <c r="E1087" s="1">
        <v>45324</v>
      </c>
      <c r="F1087" t="s">
        <v>13</v>
      </c>
      <c r="G1087">
        <v>1197659</v>
      </c>
      <c r="H1087" s="1">
        <v>45323</v>
      </c>
      <c r="I1087" t="s">
        <v>555</v>
      </c>
      <c r="J1087" t="s">
        <v>556</v>
      </c>
      <c r="L1087">
        <v>1197659</v>
      </c>
      <c r="M1087">
        <f>IF(F1087="INR",1,INDEX('rates'!$B$2:$C$522,MATCH(D1087,'rates'!$A$2:$A$522,1),MATCH(F1087&amp;"/INR",'rates'!$B$1:$C$1,0)))</f>
        <v>1</v>
      </c>
      <c r="N1087">
        <f t="shared" si="84"/>
        <v>1197659</v>
      </c>
      <c r="O1087">
        <f t="shared" si="85"/>
        <v>0</v>
      </c>
      <c r="P1087">
        <f t="shared" si="86"/>
        <v>0</v>
      </c>
      <c r="Q1087">
        <f t="shared" si="88"/>
        <v>-1</v>
      </c>
      <c r="R1087" t="str">
        <f t="shared" si="87"/>
        <v>Not open</v>
      </c>
    </row>
    <row r="1088" spans="1:18" x14ac:dyDescent="0.3">
      <c r="A1088" t="s">
        <v>1260</v>
      </c>
      <c r="B1088" t="s">
        <v>190</v>
      </c>
      <c r="C1088" t="s">
        <v>558</v>
      </c>
      <c r="D1088" s="1">
        <v>45234</v>
      </c>
      <c r="E1088" s="1">
        <v>45264</v>
      </c>
      <c r="F1088" t="s">
        <v>13</v>
      </c>
      <c r="G1088">
        <v>4731682</v>
      </c>
      <c r="H1088" s="1">
        <v>45281</v>
      </c>
      <c r="I1088" t="s">
        <v>555</v>
      </c>
      <c r="J1088" t="s">
        <v>556</v>
      </c>
      <c r="L1088">
        <v>4731682</v>
      </c>
      <c r="M1088">
        <f>IF(F1088="INR",1,INDEX('rates'!$B$2:$C$522,MATCH(D1088,'rates'!$A$2:$A$522,1),MATCH(F1088&amp;"/INR",'rates'!$B$1:$C$1,0)))</f>
        <v>1</v>
      </c>
      <c r="N1088">
        <f t="shared" si="84"/>
        <v>4731682</v>
      </c>
      <c r="O1088">
        <f t="shared" si="85"/>
        <v>0</v>
      </c>
      <c r="P1088">
        <f t="shared" si="86"/>
        <v>0</v>
      </c>
      <c r="Q1088">
        <f t="shared" si="88"/>
        <v>17</v>
      </c>
      <c r="R1088" t="str">
        <f t="shared" si="87"/>
        <v>Not open</v>
      </c>
    </row>
    <row r="1089" spans="1:18" x14ac:dyDescent="0.3">
      <c r="A1089" t="s">
        <v>1261</v>
      </c>
      <c r="B1089" t="s">
        <v>206</v>
      </c>
      <c r="C1089" t="s">
        <v>566</v>
      </c>
      <c r="D1089" s="1">
        <v>45234</v>
      </c>
      <c r="E1089" s="1">
        <v>45279</v>
      </c>
      <c r="F1089" t="s">
        <v>13</v>
      </c>
      <c r="G1089">
        <v>9134969</v>
      </c>
      <c r="H1089" s="1">
        <v>45302</v>
      </c>
      <c r="I1089" t="s">
        <v>555</v>
      </c>
      <c r="J1089" t="s">
        <v>556</v>
      </c>
      <c r="L1089">
        <v>9134969</v>
      </c>
      <c r="M1089">
        <f>IF(F1089="INR",1,INDEX('rates'!$B$2:$C$522,MATCH(D1089,'rates'!$A$2:$A$522,1),MATCH(F1089&amp;"/INR",'rates'!$B$1:$C$1,0)))</f>
        <v>1</v>
      </c>
      <c r="N1089">
        <f t="shared" si="84"/>
        <v>9134969</v>
      </c>
      <c r="O1089">
        <f t="shared" si="85"/>
        <v>0</v>
      </c>
      <c r="P1089">
        <f t="shared" si="86"/>
        <v>0</v>
      </c>
      <c r="Q1089">
        <f t="shared" si="88"/>
        <v>23</v>
      </c>
      <c r="R1089" t="str">
        <f t="shared" si="87"/>
        <v>Not open</v>
      </c>
    </row>
    <row r="1090" spans="1:18" x14ac:dyDescent="0.3">
      <c r="A1090" t="s">
        <v>1262</v>
      </c>
      <c r="B1090" t="s">
        <v>286</v>
      </c>
      <c r="C1090" t="s">
        <v>558</v>
      </c>
      <c r="D1090" s="1">
        <v>45234</v>
      </c>
      <c r="E1090" s="1">
        <v>45294</v>
      </c>
      <c r="F1090" t="s">
        <v>36</v>
      </c>
      <c r="G1090">
        <v>34436.730000000003</v>
      </c>
      <c r="H1090" s="1">
        <v>45312</v>
      </c>
      <c r="I1090" t="s">
        <v>555</v>
      </c>
      <c r="J1090" t="s">
        <v>573</v>
      </c>
      <c r="K1090">
        <v>83.417100000000005</v>
      </c>
      <c r="L1090">
        <v>34436.730000000003</v>
      </c>
      <c r="M1090">
        <f>IF(F1090="INR",1,INDEX('rates'!$B$2:$C$522,MATCH(D1090,'rates'!$A$2:$A$522,1),MATCH(F1090&amp;"/INR",'rates'!$B$1:$C$1,0)))</f>
        <v>83.14</v>
      </c>
      <c r="N1090">
        <f t="shared" ref="N1090:N1153" si="89">G1090*M1090</f>
        <v>2863069.7322000004</v>
      </c>
      <c r="O1090">
        <f t="shared" ref="O1090:O1153" si="90">IF(OR(I1090="OPEN",I1090="PARTIALLY PAID"),(G1090-L1090)*M1090,0)</f>
        <v>0</v>
      </c>
      <c r="P1090">
        <f t="shared" ref="P1090:P1153" si="91">IF(O1090&gt;0,MAX(0,DATE(2025,3,31)-E1090),0)</f>
        <v>0</v>
      </c>
      <c r="Q1090">
        <f t="shared" si="88"/>
        <v>18</v>
      </c>
      <c r="R1090" t="str">
        <f t="shared" ref="R1090:R1153" si="92">IF(O1090=0,"Not open",IF(P1090=0,"Not yet due",IF(P1090&lt;=30,"1-30",IF(P1090&lt;=60,"31-60",IF(P1090&lt;=90,"61-90","90+")))))</f>
        <v>Not open</v>
      </c>
    </row>
    <row r="1091" spans="1:18" x14ac:dyDescent="0.3">
      <c r="A1091" t="s">
        <v>1263</v>
      </c>
      <c r="B1091" t="s">
        <v>360</v>
      </c>
      <c r="C1091" t="s">
        <v>566</v>
      </c>
      <c r="D1091" s="1">
        <v>45234</v>
      </c>
      <c r="E1091" s="1">
        <v>45279</v>
      </c>
      <c r="F1091" t="s">
        <v>13</v>
      </c>
      <c r="G1091">
        <v>1864690</v>
      </c>
      <c r="H1091" s="1">
        <v>45299</v>
      </c>
      <c r="I1091" t="s">
        <v>555</v>
      </c>
      <c r="J1091" t="s">
        <v>556</v>
      </c>
      <c r="L1091">
        <v>1864690</v>
      </c>
      <c r="M1091">
        <f>IF(F1091="INR",1,INDEX('rates'!$B$2:$C$522,MATCH(D1091,'rates'!$A$2:$A$522,1),MATCH(F1091&amp;"/INR",'rates'!$B$1:$C$1,0)))</f>
        <v>1</v>
      </c>
      <c r="N1091">
        <f t="shared" si="89"/>
        <v>1864690</v>
      </c>
      <c r="O1091">
        <f t="shared" si="90"/>
        <v>0</v>
      </c>
      <c r="P1091">
        <f t="shared" si="91"/>
        <v>0</v>
      </c>
      <c r="Q1091">
        <f t="shared" si="88"/>
        <v>20</v>
      </c>
      <c r="R1091" t="str">
        <f t="shared" si="92"/>
        <v>Not open</v>
      </c>
    </row>
    <row r="1092" spans="1:18" x14ac:dyDescent="0.3">
      <c r="A1092" t="s">
        <v>1264</v>
      </c>
      <c r="B1092" t="s">
        <v>386</v>
      </c>
      <c r="C1092" t="s">
        <v>575</v>
      </c>
      <c r="D1092" s="1">
        <v>45234</v>
      </c>
      <c r="E1092" s="1">
        <v>45294</v>
      </c>
      <c r="F1092" t="s">
        <v>31</v>
      </c>
      <c r="G1092">
        <v>144755.64000000001</v>
      </c>
      <c r="H1092" s="1">
        <v>45304</v>
      </c>
      <c r="I1092" t="s">
        <v>555</v>
      </c>
      <c r="J1092" t="s">
        <v>556</v>
      </c>
      <c r="L1092">
        <v>144755.64000000001</v>
      </c>
      <c r="M1092">
        <f>IF(F1092="INR",1,INDEX('rates'!$B$2:$C$522,MATCH(D1092,'rates'!$A$2:$A$522,1),MATCH(F1092&amp;"/INR",'rates'!$B$1:$C$1,0)))</f>
        <v>89.234200000000001</v>
      </c>
      <c r="N1092">
        <f t="shared" si="89"/>
        <v>12917153.730888002</v>
      </c>
      <c r="O1092">
        <f t="shared" si="90"/>
        <v>0</v>
      </c>
      <c r="P1092">
        <f t="shared" si="91"/>
        <v>0</v>
      </c>
      <c r="Q1092">
        <f t="shared" si="88"/>
        <v>10</v>
      </c>
      <c r="R1092" t="str">
        <f t="shared" si="92"/>
        <v>Not open</v>
      </c>
    </row>
    <row r="1093" spans="1:18" x14ac:dyDescent="0.3">
      <c r="A1093" t="s">
        <v>1265</v>
      </c>
      <c r="B1093" t="s">
        <v>406</v>
      </c>
      <c r="C1093" t="s">
        <v>554</v>
      </c>
      <c r="D1093" s="1">
        <v>45234</v>
      </c>
      <c r="E1093" s="1">
        <v>45324</v>
      </c>
      <c r="F1093" t="s">
        <v>13</v>
      </c>
      <c r="G1093">
        <v>2662511</v>
      </c>
      <c r="H1093" s="1">
        <v>45328</v>
      </c>
      <c r="I1093" t="s">
        <v>555</v>
      </c>
      <c r="J1093" t="s">
        <v>556</v>
      </c>
      <c r="L1093">
        <v>2662511</v>
      </c>
      <c r="M1093">
        <f>IF(F1093="INR",1,INDEX('rates'!$B$2:$C$522,MATCH(D1093,'rates'!$A$2:$A$522,1),MATCH(F1093&amp;"/INR",'rates'!$B$1:$C$1,0)))</f>
        <v>1</v>
      </c>
      <c r="N1093">
        <f t="shared" si="89"/>
        <v>2662511</v>
      </c>
      <c r="O1093">
        <f t="shared" si="90"/>
        <v>0</v>
      </c>
      <c r="P1093">
        <f t="shared" si="91"/>
        <v>0</v>
      </c>
      <c r="Q1093">
        <f t="shared" si="88"/>
        <v>4</v>
      </c>
      <c r="R1093" t="str">
        <f t="shared" si="92"/>
        <v>Not open</v>
      </c>
    </row>
    <row r="1094" spans="1:18" x14ac:dyDescent="0.3">
      <c r="A1094" t="s">
        <v>1266</v>
      </c>
      <c r="B1094" t="s">
        <v>466</v>
      </c>
      <c r="C1094" t="s">
        <v>560</v>
      </c>
      <c r="D1094" s="1">
        <v>45234</v>
      </c>
      <c r="E1094" s="1">
        <v>45294</v>
      </c>
      <c r="F1094" t="s">
        <v>31</v>
      </c>
      <c r="G1094">
        <v>28823.5</v>
      </c>
      <c r="H1094" s="1">
        <v>45295</v>
      </c>
      <c r="I1094" t="s">
        <v>555</v>
      </c>
      <c r="J1094" t="s">
        <v>556</v>
      </c>
      <c r="L1094">
        <v>28823.5</v>
      </c>
      <c r="M1094">
        <f>IF(F1094="INR",1,INDEX('rates'!$B$2:$C$522,MATCH(D1094,'rates'!$A$2:$A$522,1),MATCH(F1094&amp;"/INR",'rates'!$B$1:$C$1,0)))</f>
        <v>89.234200000000001</v>
      </c>
      <c r="N1094">
        <f t="shared" si="89"/>
        <v>2572041.9637000002</v>
      </c>
      <c r="O1094">
        <f t="shared" si="90"/>
        <v>0</v>
      </c>
      <c r="P1094">
        <f t="shared" si="91"/>
        <v>0</v>
      </c>
      <c r="Q1094">
        <f t="shared" si="88"/>
        <v>1</v>
      </c>
      <c r="R1094" t="str">
        <f t="shared" si="92"/>
        <v>Not open</v>
      </c>
    </row>
    <row r="1095" spans="1:18" x14ac:dyDescent="0.3">
      <c r="A1095" t="s">
        <v>1267</v>
      </c>
      <c r="B1095" t="s">
        <v>472</v>
      </c>
      <c r="C1095" t="s">
        <v>558</v>
      </c>
      <c r="D1095" s="1">
        <v>45234</v>
      </c>
      <c r="E1095" s="1">
        <v>45294</v>
      </c>
      <c r="F1095" t="s">
        <v>36</v>
      </c>
      <c r="G1095">
        <v>45279.92</v>
      </c>
      <c r="H1095" s="1">
        <v>45304</v>
      </c>
      <c r="I1095" t="s">
        <v>555</v>
      </c>
      <c r="J1095" t="s">
        <v>556</v>
      </c>
      <c r="L1095">
        <v>45279.92</v>
      </c>
      <c r="M1095">
        <f>IF(F1095="INR",1,INDEX('rates'!$B$2:$C$522,MATCH(D1095,'rates'!$A$2:$A$522,1),MATCH(F1095&amp;"/INR",'rates'!$B$1:$C$1,0)))</f>
        <v>83.14</v>
      </c>
      <c r="N1095">
        <f t="shared" si="89"/>
        <v>3764572.5488</v>
      </c>
      <c r="O1095">
        <f t="shared" si="90"/>
        <v>0</v>
      </c>
      <c r="P1095">
        <f t="shared" si="91"/>
        <v>0</v>
      </c>
      <c r="Q1095">
        <f t="shared" si="88"/>
        <v>10</v>
      </c>
      <c r="R1095" t="str">
        <f t="shared" si="92"/>
        <v>Not open</v>
      </c>
    </row>
    <row r="1096" spans="1:18" x14ac:dyDescent="0.3">
      <c r="A1096" t="s">
        <v>1268</v>
      </c>
      <c r="B1096" t="s">
        <v>486</v>
      </c>
      <c r="C1096" t="s">
        <v>554</v>
      </c>
      <c r="D1096" s="1">
        <v>45234</v>
      </c>
      <c r="E1096" s="1">
        <v>45279</v>
      </c>
      <c r="F1096" t="s">
        <v>13</v>
      </c>
      <c r="G1096">
        <v>5251046</v>
      </c>
      <c r="H1096" s="1">
        <v>45314</v>
      </c>
      <c r="I1096" t="s">
        <v>555</v>
      </c>
      <c r="J1096" t="s">
        <v>556</v>
      </c>
      <c r="L1096">
        <v>5251046</v>
      </c>
      <c r="M1096">
        <f>IF(F1096="INR",1,INDEX('rates'!$B$2:$C$522,MATCH(D1096,'rates'!$A$2:$A$522,1),MATCH(F1096&amp;"/INR",'rates'!$B$1:$C$1,0)))</f>
        <v>1</v>
      </c>
      <c r="N1096">
        <f t="shared" si="89"/>
        <v>5251046</v>
      </c>
      <c r="O1096">
        <f t="shared" si="90"/>
        <v>0</v>
      </c>
      <c r="P1096">
        <f t="shared" si="91"/>
        <v>0</v>
      </c>
      <c r="Q1096">
        <f t="shared" si="88"/>
        <v>35</v>
      </c>
      <c r="R1096" t="str">
        <f t="shared" si="92"/>
        <v>Not open</v>
      </c>
    </row>
    <row r="1097" spans="1:18" x14ac:dyDescent="0.3">
      <c r="A1097" t="s">
        <v>1269</v>
      </c>
      <c r="B1097" t="s">
        <v>334</v>
      </c>
      <c r="C1097" t="s">
        <v>566</v>
      </c>
      <c r="D1097" s="1">
        <v>45236</v>
      </c>
      <c r="E1097" s="1">
        <v>45326</v>
      </c>
      <c r="F1097" t="s">
        <v>13</v>
      </c>
      <c r="G1097">
        <v>1452866</v>
      </c>
      <c r="H1097" s="1">
        <v>45331</v>
      </c>
      <c r="I1097" t="s">
        <v>555</v>
      </c>
      <c r="J1097" t="s">
        <v>556</v>
      </c>
      <c r="L1097">
        <v>1452866</v>
      </c>
      <c r="M1097">
        <f>IF(F1097="INR",1,INDEX('rates'!$B$2:$C$522,MATCH(D1097,'rates'!$A$2:$A$522,1),MATCH(F1097&amp;"/INR",'rates'!$B$1:$C$1,0)))</f>
        <v>1</v>
      </c>
      <c r="N1097">
        <f t="shared" si="89"/>
        <v>1452866</v>
      </c>
      <c r="O1097">
        <f t="shared" si="90"/>
        <v>0</v>
      </c>
      <c r="P1097">
        <f t="shared" si="91"/>
        <v>0</v>
      </c>
      <c r="Q1097">
        <f t="shared" si="88"/>
        <v>5</v>
      </c>
      <c r="R1097" t="str">
        <f t="shared" si="92"/>
        <v>Not open</v>
      </c>
    </row>
    <row r="1098" spans="1:18" x14ac:dyDescent="0.3">
      <c r="A1098" t="s">
        <v>1270</v>
      </c>
      <c r="B1098" t="s">
        <v>378</v>
      </c>
      <c r="C1098" t="s">
        <v>566</v>
      </c>
      <c r="D1098" s="1">
        <v>45236</v>
      </c>
      <c r="E1098" s="1">
        <v>45281</v>
      </c>
      <c r="F1098" t="s">
        <v>31</v>
      </c>
      <c r="G1098">
        <v>379142.97</v>
      </c>
      <c r="H1098" s="1">
        <v>45286</v>
      </c>
      <c r="I1098" t="s">
        <v>555</v>
      </c>
      <c r="J1098" t="s">
        <v>573</v>
      </c>
      <c r="K1098">
        <v>89.538399999999996</v>
      </c>
      <c r="L1098">
        <v>379142.97</v>
      </c>
      <c r="M1098">
        <f>IF(F1098="INR",1,INDEX('rates'!$B$2:$C$522,MATCH(D1098,'rates'!$A$2:$A$522,1),MATCH(F1098&amp;"/INR",'rates'!$B$1:$C$1,0)))</f>
        <v>89.404300000000006</v>
      </c>
      <c r="N1098">
        <f t="shared" si="89"/>
        <v>33897011.832771003</v>
      </c>
      <c r="O1098">
        <f t="shared" si="90"/>
        <v>0</v>
      </c>
      <c r="P1098">
        <f t="shared" si="91"/>
        <v>0</v>
      </c>
      <c r="Q1098">
        <f t="shared" si="88"/>
        <v>5</v>
      </c>
      <c r="R1098" t="str">
        <f t="shared" si="92"/>
        <v>Not open</v>
      </c>
    </row>
    <row r="1099" spans="1:18" x14ac:dyDescent="0.3">
      <c r="A1099" t="s">
        <v>1271</v>
      </c>
      <c r="B1099" t="s">
        <v>480</v>
      </c>
      <c r="C1099" t="s">
        <v>558</v>
      </c>
      <c r="D1099" s="1">
        <v>45236</v>
      </c>
      <c r="E1099" s="1">
        <v>45266</v>
      </c>
      <c r="F1099" t="s">
        <v>13</v>
      </c>
      <c r="G1099">
        <v>2379081</v>
      </c>
      <c r="H1099" s="1">
        <v>45282</v>
      </c>
      <c r="I1099" t="s">
        <v>555</v>
      </c>
      <c r="J1099" t="s">
        <v>556</v>
      </c>
      <c r="L1099">
        <v>2379081</v>
      </c>
      <c r="M1099">
        <f>IF(F1099="INR",1,INDEX('rates'!$B$2:$C$522,MATCH(D1099,'rates'!$A$2:$A$522,1),MATCH(F1099&amp;"/INR",'rates'!$B$1:$C$1,0)))</f>
        <v>1</v>
      </c>
      <c r="N1099">
        <f t="shared" si="89"/>
        <v>2379081</v>
      </c>
      <c r="O1099">
        <f t="shared" si="90"/>
        <v>0</v>
      </c>
      <c r="P1099">
        <f t="shared" si="91"/>
        <v>0</v>
      </c>
      <c r="Q1099">
        <f t="shared" si="88"/>
        <v>16</v>
      </c>
      <c r="R1099" t="str">
        <f t="shared" si="92"/>
        <v>Not open</v>
      </c>
    </row>
    <row r="1100" spans="1:18" x14ac:dyDescent="0.3">
      <c r="A1100" t="s">
        <v>1272</v>
      </c>
      <c r="B1100" t="s">
        <v>518</v>
      </c>
      <c r="C1100" t="s">
        <v>558</v>
      </c>
      <c r="D1100" s="1">
        <v>45236</v>
      </c>
      <c r="E1100" s="1">
        <v>45281</v>
      </c>
      <c r="F1100" t="s">
        <v>13</v>
      </c>
      <c r="G1100">
        <v>5592319</v>
      </c>
      <c r="H1100" s="1">
        <v>45324</v>
      </c>
      <c r="I1100" t="s">
        <v>555</v>
      </c>
      <c r="J1100" t="s">
        <v>556</v>
      </c>
      <c r="L1100">
        <v>5592319</v>
      </c>
      <c r="M1100">
        <f>IF(F1100="INR",1,INDEX('rates'!$B$2:$C$522,MATCH(D1100,'rates'!$A$2:$A$522,1),MATCH(F1100&amp;"/INR",'rates'!$B$1:$C$1,0)))</f>
        <v>1</v>
      </c>
      <c r="N1100">
        <f t="shared" si="89"/>
        <v>5592319</v>
      </c>
      <c r="O1100">
        <f t="shared" si="90"/>
        <v>0</v>
      </c>
      <c r="P1100">
        <f t="shared" si="91"/>
        <v>0</v>
      </c>
      <c r="Q1100">
        <f t="shared" si="88"/>
        <v>43</v>
      </c>
      <c r="R1100" t="str">
        <f t="shared" si="92"/>
        <v>Not open</v>
      </c>
    </row>
    <row r="1101" spans="1:18" x14ac:dyDescent="0.3">
      <c r="A1101" t="s">
        <v>1273</v>
      </c>
      <c r="B1101" t="s">
        <v>466</v>
      </c>
      <c r="C1101" t="s">
        <v>558</v>
      </c>
      <c r="D1101" s="1">
        <v>45237</v>
      </c>
      <c r="E1101" s="1">
        <v>45297</v>
      </c>
      <c r="F1101" t="s">
        <v>31</v>
      </c>
      <c r="G1101">
        <v>29688.67</v>
      </c>
      <c r="H1101" s="1">
        <v>45307</v>
      </c>
      <c r="I1101" t="s">
        <v>555</v>
      </c>
      <c r="J1101" t="s">
        <v>556</v>
      </c>
      <c r="L1101">
        <v>29688.67</v>
      </c>
      <c r="M1101">
        <f>IF(F1101="INR",1,INDEX('rates'!$B$2:$C$522,MATCH(D1101,'rates'!$A$2:$A$522,1),MATCH(F1101&amp;"/INR",'rates'!$B$1:$C$1,0)))</f>
        <v>88.937200000000004</v>
      </c>
      <c r="N1101">
        <f t="shared" si="89"/>
        <v>2640427.1815240001</v>
      </c>
      <c r="O1101">
        <f t="shared" si="90"/>
        <v>0</v>
      </c>
      <c r="P1101">
        <f t="shared" si="91"/>
        <v>0</v>
      </c>
      <c r="Q1101">
        <f t="shared" si="88"/>
        <v>10</v>
      </c>
      <c r="R1101" t="str">
        <f t="shared" si="92"/>
        <v>Not open</v>
      </c>
    </row>
    <row r="1102" spans="1:18" x14ac:dyDescent="0.3">
      <c r="A1102" t="s">
        <v>1274</v>
      </c>
      <c r="B1102" t="s">
        <v>482</v>
      </c>
      <c r="C1102" t="s">
        <v>558</v>
      </c>
      <c r="D1102" s="1">
        <v>45237</v>
      </c>
      <c r="E1102" s="1">
        <v>45297</v>
      </c>
      <c r="F1102" t="s">
        <v>13</v>
      </c>
      <c r="G1102">
        <v>2795384</v>
      </c>
      <c r="H1102" s="1">
        <v>45297</v>
      </c>
      <c r="I1102" t="s">
        <v>555</v>
      </c>
      <c r="J1102" t="s">
        <v>556</v>
      </c>
      <c r="L1102">
        <v>2795384</v>
      </c>
      <c r="M1102">
        <f>IF(F1102="INR",1,INDEX('rates'!$B$2:$C$522,MATCH(D1102,'rates'!$A$2:$A$522,1),MATCH(F1102&amp;"/INR",'rates'!$B$1:$C$1,0)))</f>
        <v>1</v>
      </c>
      <c r="N1102">
        <f t="shared" si="89"/>
        <v>2795384</v>
      </c>
      <c r="O1102">
        <f t="shared" si="90"/>
        <v>0</v>
      </c>
      <c r="P1102">
        <f t="shared" si="91"/>
        <v>0</v>
      </c>
      <c r="Q1102">
        <f t="shared" si="88"/>
        <v>0</v>
      </c>
      <c r="R1102" t="str">
        <f t="shared" si="92"/>
        <v>Not open</v>
      </c>
    </row>
    <row r="1103" spans="1:18" x14ac:dyDescent="0.3">
      <c r="A1103" t="s">
        <v>1275</v>
      </c>
      <c r="B1103" t="s">
        <v>496</v>
      </c>
      <c r="C1103" t="s">
        <v>554</v>
      </c>
      <c r="D1103" s="1">
        <v>45237</v>
      </c>
      <c r="E1103" s="1">
        <v>45282</v>
      </c>
      <c r="F1103" t="s">
        <v>13</v>
      </c>
      <c r="G1103">
        <v>1845835</v>
      </c>
      <c r="H1103" s="1">
        <v>45286</v>
      </c>
      <c r="I1103" t="s">
        <v>555</v>
      </c>
      <c r="J1103" t="s">
        <v>556</v>
      </c>
      <c r="L1103">
        <v>1845835</v>
      </c>
      <c r="M1103">
        <f>IF(F1103="INR",1,INDEX('rates'!$B$2:$C$522,MATCH(D1103,'rates'!$A$2:$A$522,1),MATCH(F1103&amp;"/INR",'rates'!$B$1:$C$1,0)))</f>
        <v>1</v>
      </c>
      <c r="N1103">
        <f t="shared" si="89"/>
        <v>1845835</v>
      </c>
      <c r="O1103">
        <f t="shared" si="90"/>
        <v>0</v>
      </c>
      <c r="P1103">
        <f t="shared" si="91"/>
        <v>0</v>
      </c>
      <c r="Q1103">
        <f t="shared" si="88"/>
        <v>4</v>
      </c>
      <c r="R1103" t="str">
        <f t="shared" si="92"/>
        <v>Not open</v>
      </c>
    </row>
    <row r="1104" spans="1:18" x14ac:dyDescent="0.3">
      <c r="A1104" t="s">
        <v>1276</v>
      </c>
      <c r="B1104" t="s">
        <v>464</v>
      </c>
      <c r="C1104" t="s">
        <v>560</v>
      </c>
      <c r="D1104" s="1">
        <v>45238</v>
      </c>
      <c r="E1104" s="1">
        <v>45328</v>
      </c>
      <c r="F1104" t="s">
        <v>13</v>
      </c>
      <c r="G1104">
        <v>9688491</v>
      </c>
      <c r="H1104" s="1">
        <v>45323</v>
      </c>
      <c r="I1104" t="s">
        <v>555</v>
      </c>
      <c r="J1104" t="s">
        <v>556</v>
      </c>
      <c r="L1104">
        <v>9688491</v>
      </c>
      <c r="M1104">
        <f>IF(F1104="INR",1,INDEX('rates'!$B$2:$C$522,MATCH(D1104,'rates'!$A$2:$A$522,1),MATCH(F1104&amp;"/INR",'rates'!$B$1:$C$1,0)))</f>
        <v>1</v>
      </c>
      <c r="N1104">
        <f t="shared" si="89"/>
        <v>9688491</v>
      </c>
      <c r="O1104">
        <f t="shared" si="90"/>
        <v>0</v>
      </c>
      <c r="P1104">
        <f t="shared" si="91"/>
        <v>0</v>
      </c>
      <c r="Q1104">
        <f t="shared" si="88"/>
        <v>-5</v>
      </c>
      <c r="R1104" t="str">
        <f t="shared" si="92"/>
        <v>Not open</v>
      </c>
    </row>
    <row r="1105" spans="1:18" x14ac:dyDescent="0.3">
      <c r="A1105" t="s">
        <v>1277</v>
      </c>
      <c r="B1105" t="s">
        <v>262</v>
      </c>
      <c r="C1105" t="s">
        <v>566</v>
      </c>
      <c r="D1105" s="1">
        <v>45239</v>
      </c>
      <c r="E1105" s="1">
        <v>45329</v>
      </c>
      <c r="F1105" t="s">
        <v>31</v>
      </c>
      <c r="G1105">
        <v>316065.94</v>
      </c>
      <c r="H1105" s="1">
        <v>45343</v>
      </c>
      <c r="I1105" t="s">
        <v>555</v>
      </c>
      <c r="J1105" t="s">
        <v>573</v>
      </c>
      <c r="K1105">
        <v>89.428200000000004</v>
      </c>
      <c r="L1105">
        <v>316065.94</v>
      </c>
      <c r="M1105">
        <f>IF(F1105="INR",1,INDEX('rates'!$B$2:$C$522,MATCH(D1105,'rates'!$A$2:$A$522,1),MATCH(F1105&amp;"/INR",'rates'!$B$1:$C$1,0)))</f>
        <v>89.160700000000006</v>
      </c>
      <c r="N1105">
        <f t="shared" si="89"/>
        <v>28180660.456558</v>
      </c>
      <c r="O1105">
        <f t="shared" si="90"/>
        <v>0</v>
      </c>
      <c r="P1105">
        <f t="shared" si="91"/>
        <v>0</v>
      </c>
      <c r="Q1105">
        <f t="shared" si="88"/>
        <v>14</v>
      </c>
      <c r="R1105" t="str">
        <f t="shared" si="92"/>
        <v>Not open</v>
      </c>
    </row>
    <row r="1106" spans="1:18" x14ac:dyDescent="0.3">
      <c r="A1106" t="s">
        <v>1278</v>
      </c>
      <c r="B1106" t="s">
        <v>498</v>
      </c>
      <c r="C1106" t="s">
        <v>566</v>
      </c>
      <c r="D1106" s="1">
        <v>45239</v>
      </c>
      <c r="E1106" s="1">
        <v>45329</v>
      </c>
      <c r="F1106" t="s">
        <v>36</v>
      </c>
      <c r="G1106">
        <v>86399.62</v>
      </c>
      <c r="H1106" s="1">
        <v>45338</v>
      </c>
      <c r="I1106" t="s">
        <v>555</v>
      </c>
      <c r="J1106" t="s">
        <v>556</v>
      </c>
      <c r="L1106">
        <v>86399.62</v>
      </c>
      <c r="M1106">
        <f>IF(F1106="INR",1,INDEX('rates'!$B$2:$C$522,MATCH(D1106,'rates'!$A$2:$A$522,1),MATCH(F1106&amp;"/INR",'rates'!$B$1:$C$1,0)))</f>
        <v>83.25</v>
      </c>
      <c r="N1106">
        <f t="shared" si="89"/>
        <v>7192768.3649999993</v>
      </c>
      <c r="O1106">
        <f t="shared" si="90"/>
        <v>0</v>
      </c>
      <c r="P1106">
        <f t="shared" si="91"/>
        <v>0</v>
      </c>
      <c r="Q1106">
        <f t="shared" si="88"/>
        <v>9</v>
      </c>
      <c r="R1106" t="str">
        <f t="shared" si="92"/>
        <v>Not open</v>
      </c>
    </row>
    <row r="1107" spans="1:18" x14ac:dyDescent="0.3">
      <c r="A1107" t="s">
        <v>1279</v>
      </c>
      <c r="B1107" t="s">
        <v>46</v>
      </c>
      <c r="C1107" t="s">
        <v>558</v>
      </c>
      <c r="D1107" s="1">
        <v>45240</v>
      </c>
      <c r="E1107" s="1">
        <v>45300</v>
      </c>
      <c r="F1107" t="s">
        <v>36</v>
      </c>
      <c r="G1107">
        <v>69261.86</v>
      </c>
      <c r="H1107" s="1">
        <v>45309</v>
      </c>
      <c r="I1107" t="s">
        <v>555</v>
      </c>
      <c r="J1107" t="s">
        <v>556</v>
      </c>
      <c r="L1107">
        <v>69261.86</v>
      </c>
      <c r="M1107">
        <f>IF(F1107="INR",1,INDEX('rates'!$B$2:$C$522,MATCH(D1107,'rates'!$A$2:$A$522,1),MATCH(F1107&amp;"/INR",'rates'!$B$1:$C$1,0)))</f>
        <v>83.25</v>
      </c>
      <c r="N1107">
        <f t="shared" si="89"/>
        <v>5766049.8449999997</v>
      </c>
      <c r="O1107">
        <f t="shared" si="90"/>
        <v>0</v>
      </c>
      <c r="P1107">
        <f t="shared" si="91"/>
        <v>0</v>
      </c>
      <c r="Q1107">
        <f t="shared" si="88"/>
        <v>9</v>
      </c>
      <c r="R1107" t="str">
        <f t="shared" si="92"/>
        <v>Not open</v>
      </c>
    </row>
    <row r="1108" spans="1:18" x14ac:dyDescent="0.3">
      <c r="A1108" t="s">
        <v>1280</v>
      </c>
      <c r="B1108" t="s">
        <v>67</v>
      </c>
      <c r="C1108" t="s">
        <v>575</v>
      </c>
      <c r="D1108" s="1">
        <v>45240</v>
      </c>
      <c r="E1108" s="1">
        <v>45300</v>
      </c>
      <c r="F1108" t="s">
        <v>36</v>
      </c>
      <c r="G1108">
        <v>67887.399999999994</v>
      </c>
      <c r="H1108" s="1">
        <v>45307</v>
      </c>
      <c r="I1108" t="s">
        <v>555</v>
      </c>
      <c r="J1108" t="s">
        <v>573</v>
      </c>
      <c r="K1108">
        <v>83.527500000000003</v>
      </c>
      <c r="L1108">
        <v>67887.399999999994</v>
      </c>
      <c r="M1108">
        <f>IF(F1108="INR",1,INDEX('rates'!$B$2:$C$522,MATCH(D1108,'rates'!$A$2:$A$522,1),MATCH(F1108&amp;"/INR",'rates'!$B$1:$C$1,0)))</f>
        <v>83.25</v>
      </c>
      <c r="N1108">
        <f t="shared" si="89"/>
        <v>5651626.0499999998</v>
      </c>
      <c r="O1108">
        <f t="shared" si="90"/>
        <v>0</v>
      </c>
      <c r="P1108">
        <f t="shared" si="91"/>
        <v>0</v>
      </c>
      <c r="Q1108">
        <f t="shared" si="88"/>
        <v>7</v>
      </c>
      <c r="R1108" t="str">
        <f t="shared" si="92"/>
        <v>Not open</v>
      </c>
    </row>
    <row r="1109" spans="1:18" x14ac:dyDescent="0.3">
      <c r="A1109" t="s">
        <v>1281</v>
      </c>
      <c r="B1109" t="s">
        <v>124</v>
      </c>
      <c r="C1109" t="s">
        <v>566</v>
      </c>
      <c r="D1109" s="1">
        <v>45240</v>
      </c>
      <c r="E1109" s="1">
        <v>45300</v>
      </c>
      <c r="F1109" t="s">
        <v>31</v>
      </c>
      <c r="G1109">
        <v>51260.08</v>
      </c>
      <c r="H1109" s="1">
        <v>45343</v>
      </c>
      <c r="I1109" t="s">
        <v>555</v>
      </c>
      <c r="J1109" t="s">
        <v>556</v>
      </c>
      <c r="L1109">
        <v>51260.08</v>
      </c>
      <c r="M1109">
        <f>IF(F1109="INR",1,INDEX('rates'!$B$2:$C$522,MATCH(D1109,'rates'!$A$2:$A$522,1),MATCH(F1109&amp;"/INR",'rates'!$B$1:$C$1,0)))</f>
        <v>89.160700000000006</v>
      </c>
      <c r="N1109">
        <f t="shared" si="89"/>
        <v>4570384.6148560001</v>
      </c>
      <c r="O1109">
        <f t="shared" si="90"/>
        <v>0</v>
      </c>
      <c r="P1109">
        <f t="shared" si="91"/>
        <v>0</v>
      </c>
      <c r="Q1109">
        <f t="shared" si="88"/>
        <v>43</v>
      </c>
      <c r="R1109" t="str">
        <f t="shared" si="92"/>
        <v>Not open</v>
      </c>
    </row>
    <row r="1110" spans="1:18" x14ac:dyDescent="0.3">
      <c r="A1110" t="s">
        <v>1282</v>
      </c>
      <c r="B1110" t="s">
        <v>446</v>
      </c>
      <c r="C1110" t="s">
        <v>558</v>
      </c>
      <c r="D1110" s="1">
        <v>45240</v>
      </c>
      <c r="E1110" s="1">
        <v>45285</v>
      </c>
      <c r="F1110" t="s">
        <v>13</v>
      </c>
      <c r="G1110">
        <v>6299227</v>
      </c>
      <c r="H1110" s="1">
        <v>45287</v>
      </c>
      <c r="I1110" t="s">
        <v>555</v>
      </c>
      <c r="J1110" t="s">
        <v>556</v>
      </c>
      <c r="L1110">
        <v>6299227</v>
      </c>
      <c r="M1110">
        <f>IF(F1110="INR",1,INDEX('rates'!$B$2:$C$522,MATCH(D1110,'rates'!$A$2:$A$522,1),MATCH(F1110&amp;"/INR",'rates'!$B$1:$C$1,0)))</f>
        <v>1</v>
      </c>
      <c r="N1110">
        <f t="shared" si="89"/>
        <v>6299227</v>
      </c>
      <c r="O1110">
        <f t="shared" si="90"/>
        <v>0</v>
      </c>
      <c r="P1110">
        <f t="shared" si="91"/>
        <v>0</v>
      </c>
      <c r="Q1110">
        <f t="shared" si="88"/>
        <v>2</v>
      </c>
      <c r="R1110" t="str">
        <f t="shared" si="92"/>
        <v>Not open</v>
      </c>
    </row>
    <row r="1111" spans="1:18" x14ac:dyDescent="0.3">
      <c r="A1111" t="s">
        <v>1283</v>
      </c>
      <c r="B1111" t="s">
        <v>512</v>
      </c>
      <c r="C1111" t="s">
        <v>566</v>
      </c>
      <c r="D1111" s="1">
        <v>45240</v>
      </c>
      <c r="E1111" s="1">
        <v>45300</v>
      </c>
      <c r="F1111" t="s">
        <v>31</v>
      </c>
      <c r="G1111">
        <v>35428.080000000002</v>
      </c>
      <c r="H1111" s="1">
        <v>45343</v>
      </c>
      <c r="I1111" t="s">
        <v>555</v>
      </c>
      <c r="J1111" t="s">
        <v>556</v>
      </c>
      <c r="L1111">
        <v>35428.080000000002</v>
      </c>
      <c r="M1111">
        <f>IF(F1111="INR",1,INDEX('rates'!$B$2:$C$522,MATCH(D1111,'rates'!$A$2:$A$522,1),MATCH(F1111&amp;"/INR",'rates'!$B$1:$C$1,0)))</f>
        <v>89.160700000000006</v>
      </c>
      <c r="N1111">
        <f t="shared" si="89"/>
        <v>3158792.4124560002</v>
      </c>
      <c r="O1111">
        <f t="shared" si="90"/>
        <v>0</v>
      </c>
      <c r="P1111">
        <f t="shared" si="91"/>
        <v>0</v>
      </c>
      <c r="Q1111">
        <f t="shared" si="88"/>
        <v>43</v>
      </c>
      <c r="R1111" t="str">
        <f t="shared" si="92"/>
        <v>Not open</v>
      </c>
    </row>
    <row r="1112" spans="1:18" x14ac:dyDescent="0.3">
      <c r="A1112" t="s">
        <v>1284</v>
      </c>
      <c r="B1112" t="s">
        <v>65</v>
      </c>
      <c r="C1112" t="s">
        <v>558</v>
      </c>
      <c r="D1112" s="1">
        <v>45241</v>
      </c>
      <c r="E1112" s="1">
        <v>45271</v>
      </c>
      <c r="F1112" t="s">
        <v>13</v>
      </c>
      <c r="G1112">
        <v>3091325</v>
      </c>
      <c r="H1112" s="1">
        <v>45275</v>
      </c>
      <c r="I1112" t="s">
        <v>555</v>
      </c>
      <c r="J1112" t="s">
        <v>556</v>
      </c>
      <c r="L1112">
        <v>3091325</v>
      </c>
      <c r="M1112">
        <f>IF(F1112="INR",1,INDEX('rates'!$B$2:$C$522,MATCH(D1112,'rates'!$A$2:$A$522,1),MATCH(F1112&amp;"/INR",'rates'!$B$1:$C$1,0)))</f>
        <v>1</v>
      </c>
      <c r="N1112">
        <f t="shared" si="89"/>
        <v>3091325</v>
      </c>
      <c r="O1112">
        <f t="shared" si="90"/>
        <v>0</v>
      </c>
      <c r="P1112">
        <f t="shared" si="91"/>
        <v>0</v>
      </c>
      <c r="Q1112">
        <f t="shared" si="88"/>
        <v>4</v>
      </c>
      <c r="R1112" t="str">
        <f t="shared" si="92"/>
        <v>Not open</v>
      </c>
    </row>
    <row r="1113" spans="1:18" x14ac:dyDescent="0.3">
      <c r="A1113" t="s">
        <v>1285</v>
      </c>
      <c r="B1113" t="s">
        <v>126</v>
      </c>
      <c r="C1113" t="s">
        <v>558</v>
      </c>
      <c r="D1113" s="1">
        <v>45241</v>
      </c>
      <c r="E1113" s="1">
        <v>45286</v>
      </c>
      <c r="F1113" t="s">
        <v>13</v>
      </c>
      <c r="G1113">
        <v>2122375</v>
      </c>
      <c r="H1113" s="1">
        <v>45284</v>
      </c>
      <c r="I1113" t="s">
        <v>555</v>
      </c>
      <c r="J1113" t="s">
        <v>556</v>
      </c>
      <c r="L1113">
        <v>2122375</v>
      </c>
      <c r="M1113">
        <f>IF(F1113="INR",1,INDEX('rates'!$B$2:$C$522,MATCH(D1113,'rates'!$A$2:$A$522,1),MATCH(F1113&amp;"/INR",'rates'!$B$1:$C$1,0)))</f>
        <v>1</v>
      </c>
      <c r="N1113">
        <f t="shared" si="89"/>
        <v>2122375</v>
      </c>
      <c r="O1113">
        <f t="shared" si="90"/>
        <v>0</v>
      </c>
      <c r="P1113">
        <f t="shared" si="91"/>
        <v>0</v>
      </c>
      <c r="Q1113">
        <f t="shared" si="88"/>
        <v>-2</v>
      </c>
      <c r="R1113" t="str">
        <f t="shared" si="92"/>
        <v>Not open</v>
      </c>
    </row>
    <row r="1114" spans="1:18" x14ac:dyDescent="0.3">
      <c r="A1114" t="s">
        <v>1287</v>
      </c>
      <c r="B1114" t="s">
        <v>242</v>
      </c>
      <c r="C1114" t="s">
        <v>575</v>
      </c>
      <c r="D1114" s="1">
        <v>45241</v>
      </c>
      <c r="E1114" s="1">
        <v>45301</v>
      </c>
      <c r="F1114" t="s">
        <v>36</v>
      </c>
      <c r="G1114">
        <v>135485.38</v>
      </c>
      <c r="H1114" s="1">
        <v>45321</v>
      </c>
      <c r="I1114" t="s">
        <v>555</v>
      </c>
      <c r="J1114" t="s">
        <v>573</v>
      </c>
      <c r="K1114">
        <v>83.527500000000003</v>
      </c>
      <c r="L1114">
        <v>135485.38</v>
      </c>
      <c r="M1114">
        <f>IF(F1114="INR",1,INDEX('rates'!$B$2:$C$522,MATCH(D1114,'rates'!$A$2:$A$522,1),MATCH(F1114&amp;"/INR",'rates'!$B$1:$C$1,0)))</f>
        <v>83.25</v>
      </c>
      <c r="N1114">
        <f t="shared" si="89"/>
        <v>11279157.885</v>
      </c>
      <c r="O1114">
        <f t="shared" si="90"/>
        <v>0</v>
      </c>
      <c r="P1114">
        <f t="shared" si="91"/>
        <v>0</v>
      </c>
      <c r="Q1114">
        <f t="shared" si="88"/>
        <v>20</v>
      </c>
      <c r="R1114" t="str">
        <f t="shared" si="92"/>
        <v>Not open</v>
      </c>
    </row>
    <row r="1115" spans="1:18" x14ac:dyDescent="0.3">
      <c r="A1115" t="s">
        <v>1289</v>
      </c>
      <c r="B1115" t="s">
        <v>286</v>
      </c>
      <c r="C1115" t="s">
        <v>558</v>
      </c>
      <c r="D1115" s="1">
        <v>45241</v>
      </c>
      <c r="E1115" s="1">
        <v>45301</v>
      </c>
      <c r="F1115" t="s">
        <v>36</v>
      </c>
      <c r="G1115">
        <v>29407.63</v>
      </c>
      <c r="H1115" s="1">
        <v>45323</v>
      </c>
      <c r="I1115" t="s">
        <v>555</v>
      </c>
      <c r="J1115" t="s">
        <v>573</v>
      </c>
      <c r="K1115">
        <v>83.527500000000003</v>
      </c>
      <c r="L1115">
        <v>29407.63</v>
      </c>
      <c r="M1115">
        <f>IF(F1115="INR",1,INDEX('rates'!$B$2:$C$522,MATCH(D1115,'rates'!$A$2:$A$522,1),MATCH(F1115&amp;"/INR",'rates'!$B$1:$C$1,0)))</f>
        <v>83.25</v>
      </c>
      <c r="N1115">
        <f t="shared" si="89"/>
        <v>2448185.1975000002</v>
      </c>
      <c r="O1115">
        <f t="shared" si="90"/>
        <v>0</v>
      </c>
      <c r="P1115">
        <f t="shared" si="91"/>
        <v>0</v>
      </c>
      <c r="Q1115">
        <f t="shared" si="88"/>
        <v>22</v>
      </c>
      <c r="R1115" t="str">
        <f t="shared" si="92"/>
        <v>Not open</v>
      </c>
    </row>
    <row r="1116" spans="1:18" x14ac:dyDescent="0.3">
      <c r="A1116" t="s">
        <v>1290</v>
      </c>
      <c r="B1116" t="s">
        <v>492</v>
      </c>
      <c r="C1116" t="s">
        <v>566</v>
      </c>
      <c r="D1116" s="1">
        <v>45241</v>
      </c>
      <c r="E1116" s="1">
        <v>45286</v>
      </c>
      <c r="F1116" t="s">
        <v>13</v>
      </c>
      <c r="G1116">
        <v>48562739</v>
      </c>
      <c r="H1116" s="1">
        <v>45284</v>
      </c>
      <c r="I1116" t="s">
        <v>555</v>
      </c>
      <c r="J1116" t="s">
        <v>556</v>
      </c>
      <c r="L1116">
        <v>48562739</v>
      </c>
      <c r="M1116">
        <f>IF(F1116="INR",1,INDEX('rates'!$B$2:$C$522,MATCH(D1116,'rates'!$A$2:$A$522,1),MATCH(F1116&amp;"/INR",'rates'!$B$1:$C$1,0)))</f>
        <v>1</v>
      </c>
      <c r="N1116">
        <f t="shared" si="89"/>
        <v>48562739</v>
      </c>
      <c r="O1116">
        <f t="shared" si="90"/>
        <v>0</v>
      </c>
      <c r="P1116">
        <f t="shared" si="91"/>
        <v>0</v>
      </c>
      <c r="Q1116">
        <f t="shared" si="88"/>
        <v>-2</v>
      </c>
      <c r="R1116" t="str">
        <f t="shared" si="92"/>
        <v>Not open</v>
      </c>
    </row>
    <row r="1117" spans="1:18" x14ac:dyDescent="0.3">
      <c r="A1117" t="s">
        <v>1292</v>
      </c>
      <c r="B1117" t="s">
        <v>154</v>
      </c>
      <c r="C1117" t="s">
        <v>566</v>
      </c>
      <c r="D1117" s="1">
        <v>45243</v>
      </c>
      <c r="E1117" s="1">
        <v>45273</v>
      </c>
      <c r="F1117" t="s">
        <v>13</v>
      </c>
      <c r="G1117">
        <v>25465579</v>
      </c>
      <c r="H1117" s="1">
        <v>45268</v>
      </c>
      <c r="I1117" t="s">
        <v>555</v>
      </c>
      <c r="J1117" t="s">
        <v>556</v>
      </c>
      <c r="L1117">
        <v>25465579</v>
      </c>
      <c r="M1117">
        <f>IF(F1117="INR",1,INDEX('rates'!$B$2:$C$522,MATCH(D1117,'rates'!$A$2:$A$522,1),MATCH(F1117&amp;"/INR",'rates'!$B$1:$C$1,0)))</f>
        <v>1</v>
      </c>
      <c r="N1117">
        <f t="shared" si="89"/>
        <v>25465579</v>
      </c>
      <c r="O1117">
        <f t="shared" si="90"/>
        <v>0</v>
      </c>
      <c r="P1117">
        <f t="shared" si="91"/>
        <v>0</v>
      </c>
      <c r="Q1117">
        <f t="shared" si="88"/>
        <v>-5</v>
      </c>
      <c r="R1117" t="str">
        <f t="shared" si="92"/>
        <v>Not open</v>
      </c>
    </row>
    <row r="1118" spans="1:18" x14ac:dyDescent="0.3">
      <c r="A1118" t="s">
        <v>1293</v>
      </c>
      <c r="B1118" t="s">
        <v>184</v>
      </c>
      <c r="C1118" t="s">
        <v>575</v>
      </c>
      <c r="D1118" s="1">
        <v>45243</v>
      </c>
      <c r="E1118" s="1">
        <v>45333</v>
      </c>
      <c r="F1118" t="s">
        <v>31</v>
      </c>
      <c r="G1118">
        <v>31270.09</v>
      </c>
      <c r="H1118" s="1">
        <v>45336</v>
      </c>
      <c r="I1118" t="s">
        <v>555</v>
      </c>
      <c r="J1118" t="s">
        <v>573</v>
      </c>
      <c r="K1118">
        <v>89.419899999999998</v>
      </c>
      <c r="L1118">
        <v>31270.09</v>
      </c>
      <c r="M1118">
        <f>IF(F1118="INR",1,INDEX('rates'!$B$2:$C$522,MATCH(D1118,'rates'!$A$2:$A$522,1),MATCH(F1118&amp;"/INR",'rates'!$B$1:$C$1,0)))</f>
        <v>89.1524</v>
      </c>
      <c r="N1118">
        <f t="shared" si="89"/>
        <v>2787803.5717159999</v>
      </c>
      <c r="O1118">
        <f t="shared" si="90"/>
        <v>0</v>
      </c>
      <c r="P1118">
        <f t="shared" si="91"/>
        <v>0</v>
      </c>
      <c r="Q1118">
        <f t="shared" si="88"/>
        <v>3</v>
      </c>
      <c r="R1118" t="str">
        <f t="shared" si="92"/>
        <v>Not open</v>
      </c>
    </row>
    <row r="1119" spans="1:18" x14ac:dyDescent="0.3">
      <c r="A1119" t="s">
        <v>1294</v>
      </c>
      <c r="B1119" t="s">
        <v>444</v>
      </c>
      <c r="C1119" t="s">
        <v>566</v>
      </c>
      <c r="D1119" s="1">
        <v>45243</v>
      </c>
      <c r="E1119" s="1">
        <v>45288</v>
      </c>
      <c r="F1119" t="s">
        <v>36</v>
      </c>
      <c r="G1119">
        <v>37106.42</v>
      </c>
      <c r="H1119" s="1">
        <v>45297</v>
      </c>
      <c r="I1119" t="s">
        <v>555</v>
      </c>
      <c r="J1119" t="s">
        <v>573</v>
      </c>
      <c r="K1119">
        <v>83.528300000000002</v>
      </c>
      <c r="L1119">
        <v>37106.42</v>
      </c>
      <c r="M1119">
        <f>IF(F1119="INR",1,INDEX('rates'!$B$2:$C$522,MATCH(D1119,'rates'!$A$2:$A$522,1),MATCH(F1119&amp;"/INR",'rates'!$B$1:$C$1,0)))</f>
        <v>83.32</v>
      </c>
      <c r="N1119">
        <f t="shared" si="89"/>
        <v>3091706.9143999997</v>
      </c>
      <c r="O1119">
        <f t="shared" si="90"/>
        <v>0</v>
      </c>
      <c r="P1119">
        <f t="shared" si="91"/>
        <v>0</v>
      </c>
      <c r="Q1119">
        <f t="shared" si="88"/>
        <v>9</v>
      </c>
      <c r="R1119" t="str">
        <f t="shared" si="92"/>
        <v>Not open</v>
      </c>
    </row>
    <row r="1120" spans="1:18" x14ac:dyDescent="0.3">
      <c r="A1120" t="s">
        <v>1295</v>
      </c>
      <c r="B1120" t="s">
        <v>72</v>
      </c>
      <c r="C1120" t="s">
        <v>560</v>
      </c>
      <c r="D1120" s="1">
        <v>45244</v>
      </c>
      <c r="E1120" s="1">
        <v>45334</v>
      </c>
      <c r="F1120" t="s">
        <v>31</v>
      </c>
      <c r="G1120">
        <v>61204.23</v>
      </c>
      <c r="H1120" s="1">
        <v>45339</v>
      </c>
      <c r="I1120" t="s">
        <v>555</v>
      </c>
      <c r="J1120" t="s">
        <v>556</v>
      </c>
      <c r="L1120">
        <v>61204.23</v>
      </c>
      <c r="M1120">
        <f>IF(F1120="INR",1,INDEX('rates'!$B$2:$C$522,MATCH(D1120,'rates'!$A$2:$A$522,1),MATCH(F1120&amp;"/INR",'rates'!$B$1:$C$1,0)))</f>
        <v>90.493899999999996</v>
      </c>
      <c r="N1120">
        <f t="shared" si="89"/>
        <v>5538609.4691970004</v>
      </c>
      <c r="O1120">
        <f t="shared" si="90"/>
        <v>0</v>
      </c>
      <c r="P1120">
        <f t="shared" si="91"/>
        <v>0</v>
      </c>
      <c r="Q1120">
        <f t="shared" si="88"/>
        <v>5</v>
      </c>
      <c r="R1120" t="str">
        <f t="shared" si="92"/>
        <v>Not open</v>
      </c>
    </row>
    <row r="1121" spans="1:18" x14ac:dyDescent="0.3">
      <c r="A1121" t="s">
        <v>1296</v>
      </c>
      <c r="B1121" t="s">
        <v>186</v>
      </c>
      <c r="C1121" t="s">
        <v>558</v>
      </c>
      <c r="D1121" s="1">
        <v>45244</v>
      </c>
      <c r="E1121" s="1">
        <v>45274</v>
      </c>
      <c r="F1121" t="s">
        <v>36</v>
      </c>
      <c r="G1121">
        <v>26390.51</v>
      </c>
      <c r="H1121" s="1"/>
      <c r="I1121" t="s">
        <v>555</v>
      </c>
      <c r="J1121" t="s">
        <v>556</v>
      </c>
      <c r="L1121">
        <v>26390.51</v>
      </c>
      <c r="M1121">
        <f>IF(F1121="INR",1,INDEX('rates'!$B$2:$C$522,MATCH(D1121,'rates'!$A$2:$A$522,1),MATCH(F1121&amp;"/INR",'rates'!$B$1:$C$1,0)))</f>
        <v>83.32</v>
      </c>
      <c r="N1121">
        <f t="shared" si="89"/>
        <v>2198857.2931999997</v>
      </c>
      <c r="O1121">
        <f t="shared" si="90"/>
        <v>0</v>
      </c>
      <c r="P1121">
        <f t="shared" si="91"/>
        <v>0</v>
      </c>
      <c r="Q1121" t="str">
        <f t="shared" si="88"/>
        <v/>
      </c>
      <c r="R1121" t="str">
        <f t="shared" si="92"/>
        <v>Not open</v>
      </c>
    </row>
    <row r="1122" spans="1:18" x14ac:dyDescent="0.3">
      <c r="A1122" t="s">
        <v>1297</v>
      </c>
      <c r="B1122" t="s">
        <v>368</v>
      </c>
      <c r="C1122" t="s">
        <v>566</v>
      </c>
      <c r="D1122" s="1">
        <v>45244</v>
      </c>
      <c r="E1122" s="1">
        <v>45304</v>
      </c>
      <c r="F1122" t="s">
        <v>36</v>
      </c>
      <c r="G1122">
        <v>34340</v>
      </c>
      <c r="H1122" s="1">
        <v>45308</v>
      </c>
      <c r="I1122" t="s">
        <v>555</v>
      </c>
      <c r="J1122" t="s">
        <v>556</v>
      </c>
      <c r="L1122">
        <v>34340</v>
      </c>
      <c r="M1122">
        <f>IF(F1122="INR",1,INDEX('rates'!$B$2:$C$522,MATCH(D1122,'rates'!$A$2:$A$522,1),MATCH(F1122&amp;"/INR",'rates'!$B$1:$C$1,0)))</f>
        <v>83.32</v>
      </c>
      <c r="N1122">
        <f t="shared" si="89"/>
        <v>2861208.8</v>
      </c>
      <c r="O1122">
        <f t="shared" si="90"/>
        <v>0</v>
      </c>
      <c r="P1122">
        <f t="shared" si="91"/>
        <v>0</v>
      </c>
      <c r="Q1122">
        <f t="shared" si="88"/>
        <v>4</v>
      </c>
      <c r="R1122" t="str">
        <f t="shared" si="92"/>
        <v>Not open</v>
      </c>
    </row>
    <row r="1123" spans="1:18" x14ac:dyDescent="0.3">
      <c r="A1123" t="s">
        <v>1298</v>
      </c>
      <c r="B1123" t="s">
        <v>492</v>
      </c>
      <c r="C1123" t="s">
        <v>566</v>
      </c>
      <c r="D1123" s="1">
        <v>45244</v>
      </c>
      <c r="E1123" s="1">
        <v>45289</v>
      </c>
      <c r="F1123" t="s">
        <v>13</v>
      </c>
      <c r="G1123">
        <v>9850880</v>
      </c>
      <c r="H1123" s="1">
        <v>45295</v>
      </c>
      <c r="I1123" t="s">
        <v>555</v>
      </c>
      <c r="J1123" t="s">
        <v>556</v>
      </c>
      <c r="L1123">
        <v>9850880</v>
      </c>
      <c r="M1123">
        <f>IF(F1123="INR",1,INDEX('rates'!$B$2:$C$522,MATCH(D1123,'rates'!$A$2:$A$522,1),MATCH(F1123&amp;"/INR",'rates'!$B$1:$C$1,0)))</f>
        <v>1</v>
      </c>
      <c r="N1123">
        <f t="shared" si="89"/>
        <v>9850880</v>
      </c>
      <c r="O1123">
        <f t="shared" si="90"/>
        <v>0</v>
      </c>
      <c r="P1123">
        <f t="shared" si="91"/>
        <v>0</v>
      </c>
      <c r="Q1123">
        <f t="shared" si="88"/>
        <v>6</v>
      </c>
      <c r="R1123" t="str">
        <f t="shared" si="92"/>
        <v>Not open</v>
      </c>
    </row>
    <row r="1124" spans="1:18" x14ac:dyDescent="0.3">
      <c r="A1124" t="s">
        <v>1299</v>
      </c>
      <c r="B1124" t="s">
        <v>386</v>
      </c>
      <c r="C1124" t="s">
        <v>575</v>
      </c>
      <c r="D1124" s="1">
        <v>45245</v>
      </c>
      <c r="E1124" s="1">
        <v>45305</v>
      </c>
      <c r="F1124" t="s">
        <v>31</v>
      </c>
      <c r="G1124">
        <v>123576.11</v>
      </c>
      <c r="H1124" s="1">
        <v>45318</v>
      </c>
      <c r="I1124" t="s">
        <v>555</v>
      </c>
      <c r="J1124" t="s">
        <v>573</v>
      </c>
      <c r="K1124">
        <v>90.3797</v>
      </c>
      <c r="L1124">
        <v>123576.11</v>
      </c>
      <c r="M1124">
        <f>IF(F1124="INR",1,INDEX('rates'!$B$2:$C$522,MATCH(D1124,'rates'!$A$2:$A$522,1),MATCH(F1124&amp;"/INR",'rates'!$B$1:$C$1,0)))</f>
        <v>90.199299999999994</v>
      </c>
      <c r="N1124">
        <f t="shared" si="89"/>
        <v>11146478.618722999</v>
      </c>
      <c r="O1124">
        <f t="shared" si="90"/>
        <v>0</v>
      </c>
      <c r="P1124">
        <f t="shared" si="91"/>
        <v>0</v>
      </c>
      <c r="Q1124">
        <f t="shared" si="88"/>
        <v>13</v>
      </c>
      <c r="R1124" t="str">
        <f t="shared" si="92"/>
        <v>Not open</v>
      </c>
    </row>
    <row r="1125" spans="1:18" x14ac:dyDescent="0.3">
      <c r="A1125" t="s">
        <v>1300</v>
      </c>
      <c r="B1125" t="s">
        <v>436</v>
      </c>
      <c r="C1125" t="s">
        <v>566</v>
      </c>
      <c r="D1125" s="1">
        <v>45245</v>
      </c>
      <c r="E1125" s="1">
        <v>45290</v>
      </c>
      <c r="F1125" t="s">
        <v>36</v>
      </c>
      <c r="G1125">
        <v>134836.22</v>
      </c>
      <c r="H1125" s="1">
        <v>45341</v>
      </c>
      <c r="I1125" t="s">
        <v>555</v>
      </c>
      <c r="J1125" t="s">
        <v>556</v>
      </c>
      <c r="L1125">
        <v>134836.22</v>
      </c>
      <c r="M1125">
        <f>IF(F1125="INR",1,INDEX('rates'!$B$2:$C$522,MATCH(D1125,'rates'!$A$2:$A$522,1),MATCH(F1125&amp;"/INR",'rates'!$B$1:$C$1,0)))</f>
        <v>83.11</v>
      </c>
      <c r="N1125">
        <f t="shared" si="89"/>
        <v>11206238.244200001</v>
      </c>
      <c r="O1125">
        <f t="shared" si="90"/>
        <v>0</v>
      </c>
      <c r="P1125">
        <f t="shared" si="91"/>
        <v>0</v>
      </c>
      <c r="Q1125">
        <f t="shared" si="88"/>
        <v>51</v>
      </c>
      <c r="R1125" t="str">
        <f t="shared" si="92"/>
        <v>Not open</v>
      </c>
    </row>
    <row r="1126" spans="1:18" x14ac:dyDescent="0.3">
      <c r="A1126" t="s">
        <v>1301</v>
      </c>
      <c r="B1126" t="s">
        <v>496</v>
      </c>
      <c r="C1126" t="s">
        <v>554</v>
      </c>
      <c r="D1126" s="1">
        <v>45245</v>
      </c>
      <c r="E1126" s="1">
        <v>45290</v>
      </c>
      <c r="F1126" t="s">
        <v>13</v>
      </c>
      <c r="G1126">
        <v>11205089</v>
      </c>
      <c r="H1126" s="1">
        <v>45304</v>
      </c>
      <c r="I1126" t="s">
        <v>555</v>
      </c>
      <c r="J1126" t="s">
        <v>556</v>
      </c>
      <c r="L1126">
        <v>11205089</v>
      </c>
      <c r="M1126">
        <f>IF(F1126="INR",1,INDEX('rates'!$B$2:$C$522,MATCH(D1126,'rates'!$A$2:$A$522,1),MATCH(F1126&amp;"/INR",'rates'!$B$1:$C$1,0)))</f>
        <v>1</v>
      </c>
      <c r="N1126">
        <f t="shared" si="89"/>
        <v>11205089</v>
      </c>
      <c r="O1126">
        <f t="shared" si="90"/>
        <v>0</v>
      </c>
      <c r="P1126">
        <f t="shared" si="91"/>
        <v>0</v>
      </c>
      <c r="Q1126">
        <f t="shared" si="88"/>
        <v>14</v>
      </c>
      <c r="R1126" t="str">
        <f t="shared" si="92"/>
        <v>Not open</v>
      </c>
    </row>
    <row r="1127" spans="1:18" x14ac:dyDescent="0.3">
      <c r="A1127" t="s">
        <v>1302</v>
      </c>
      <c r="B1127" t="s">
        <v>19</v>
      </c>
      <c r="C1127" t="s">
        <v>554</v>
      </c>
      <c r="D1127" s="1">
        <v>45246</v>
      </c>
      <c r="E1127" s="1">
        <v>45291</v>
      </c>
      <c r="F1127" t="s">
        <v>13</v>
      </c>
      <c r="G1127">
        <v>2392124</v>
      </c>
      <c r="H1127" s="1">
        <v>45319</v>
      </c>
      <c r="I1127" t="s">
        <v>555</v>
      </c>
      <c r="J1127" t="s">
        <v>556</v>
      </c>
      <c r="L1127">
        <v>2392124</v>
      </c>
      <c r="M1127">
        <f>IF(F1127="INR",1,INDEX('rates'!$B$2:$C$522,MATCH(D1127,'rates'!$A$2:$A$522,1),MATCH(F1127&amp;"/INR",'rates'!$B$1:$C$1,0)))</f>
        <v>1</v>
      </c>
      <c r="N1127">
        <f t="shared" si="89"/>
        <v>2392124</v>
      </c>
      <c r="O1127">
        <f t="shared" si="90"/>
        <v>0</v>
      </c>
      <c r="P1127">
        <f t="shared" si="91"/>
        <v>0</v>
      </c>
      <c r="Q1127">
        <f t="shared" si="88"/>
        <v>28</v>
      </c>
      <c r="R1127" t="str">
        <f t="shared" si="92"/>
        <v>Not open</v>
      </c>
    </row>
    <row r="1128" spans="1:18" x14ac:dyDescent="0.3">
      <c r="A1128" t="s">
        <v>1303</v>
      </c>
      <c r="B1128" t="s">
        <v>117</v>
      </c>
      <c r="C1128" t="s">
        <v>554</v>
      </c>
      <c r="D1128" s="1">
        <v>45246</v>
      </c>
      <c r="E1128" s="1">
        <v>45306</v>
      </c>
      <c r="F1128" t="s">
        <v>13</v>
      </c>
      <c r="G1128">
        <v>9393579</v>
      </c>
      <c r="H1128" s="1">
        <v>45317</v>
      </c>
      <c r="I1128" t="s">
        <v>555</v>
      </c>
      <c r="J1128" t="s">
        <v>556</v>
      </c>
      <c r="L1128">
        <v>9393579</v>
      </c>
      <c r="M1128">
        <f>IF(F1128="INR",1,INDEX('rates'!$B$2:$C$522,MATCH(D1128,'rates'!$A$2:$A$522,1),MATCH(F1128&amp;"/INR",'rates'!$B$1:$C$1,0)))</f>
        <v>1</v>
      </c>
      <c r="N1128">
        <f t="shared" si="89"/>
        <v>9393579</v>
      </c>
      <c r="O1128">
        <f t="shared" si="90"/>
        <v>0</v>
      </c>
      <c r="P1128">
        <f t="shared" si="91"/>
        <v>0</v>
      </c>
      <c r="Q1128">
        <f t="shared" si="88"/>
        <v>11</v>
      </c>
      <c r="R1128" t="str">
        <f t="shared" si="92"/>
        <v>Not open</v>
      </c>
    </row>
    <row r="1129" spans="1:18" x14ac:dyDescent="0.3">
      <c r="A1129" t="s">
        <v>1304</v>
      </c>
      <c r="B1129" t="s">
        <v>258</v>
      </c>
      <c r="C1129" t="s">
        <v>558</v>
      </c>
      <c r="D1129" s="1">
        <v>45246</v>
      </c>
      <c r="E1129" s="1">
        <v>45291</v>
      </c>
      <c r="F1129" t="s">
        <v>13</v>
      </c>
      <c r="G1129">
        <v>4474714</v>
      </c>
      <c r="H1129" s="1">
        <v>45310</v>
      </c>
      <c r="I1129" t="s">
        <v>555</v>
      </c>
      <c r="J1129" t="s">
        <v>556</v>
      </c>
      <c r="L1129">
        <v>4474714</v>
      </c>
      <c r="M1129">
        <f>IF(F1129="INR",1,INDEX('rates'!$B$2:$C$522,MATCH(D1129,'rates'!$A$2:$A$522,1),MATCH(F1129&amp;"/INR",'rates'!$B$1:$C$1,0)))</f>
        <v>1</v>
      </c>
      <c r="N1129">
        <f t="shared" si="89"/>
        <v>4474714</v>
      </c>
      <c r="O1129">
        <f t="shared" si="90"/>
        <v>0</v>
      </c>
      <c r="P1129">
        <f t="shared" si="91"/>
        <v>0</v>
      </c>
      <c r="Q1129">
        <f t="shared" si="88"/>
        <v>19</v>
      </c>
      <c r="R1129" t="str">
        <f t="shared" si="92"/>
        <v>Not open</v>
      </c>
    </row>
    <row r="1130" spans="1:18" x14ac:dyDescent="0.3">
      <c r="A1130" t="s">
        <v>1305</v>
      </c>
      <c r="B1130" t="s">
        <v>402</v>
      </c>
      <c r="C1130" t="s">
        <v>558</v>
      </c>
      <c r="D1130" s="1">
        <v>45246</v>
      </c>
      <c r="E1130" s="1">
        <v>45306</v>
      </c>
      <c r="F1130" t="s">
        <v>13</v>
      </c>
      <c r="G1130">
        <v>1798863</v>
      </c>
      <c r="H1130" s="1">
        <v>45314</v>
      </c>
      <c r="I1130" t="s">
        <v>555</v>
      </c>
      <c r="J1130" t="s">
        <v>556</v>
      </c>
      <c r="L1130">
        <v>1798863</v>
      </c>
      <c r="M1130">
        <f>IF(F1130="INR",1,INDEX('rates'!$B$2:$C$522,MATCH(D1130,'rates'!$A$2:$A$522,1),MATCH(F1130&amp;"/INR",'rates'!$B$1:$C$1,0)))</f>
        <v>1</v>
      </c>
      <c r="N1130">
        <f t="shared" si="89"/>
        <v>1798863</v>
      </c>
      <c r="O1130">
        <f t="shared" si="90"/>
        <v>0</v>
      </c>
      <c r="P1130">
        <f t="shared" si="91"/>
        <v>0</v>
      </c>
      <c r="Q1130">
        <f t="shared" si="88"/>
        <v>8</v>
      </c>
      <c r="R1130" t="str">
        <f t="shared" si="92"/>
        <v>Not open</v>
      </c>
    </row>
    <row r="1131" spans="1:18" x14ac:dyDescent="0.3">
      <c r="A1131" t="s">
        <v>1306</v>
      </c>
      <c r="B1131" t="s">
        <v>180</v>
      </c>
      <c r="C1131" t="s">
        <v>558</v>
      </c>
      <c r="D1131" s="1">
        <v>45247</v>
      </c>
      <c r="E1131" s="1">
        <v>45292</v>
      </c>
      <c r="F1131" t="s">
        <v>13</v>
      </c>
      <c r="G1131">
        <v>12779482</v>
      </c>
      <c r="H1131" s="1">
        <v>45317</v>
      </c>
      <c r="I1131" t="s">
        <v>555</v>
      </c>
      <c r="J1131" t="s">
        <v>556</v>
      </c>
      <c r="L1131">
        <v>12779482</v>
      </c>
      <c r="M1131">
        <f>IF(F1131="INR",1,INDEX('rates'!$B$2:$C$522,MATCH(D1131,'rates'!$A$2:$A$522,1),MATCH(F1131&amp;"/INR",'rates'!$B$1:$C$1,0)))</f>
        <v>1</v>
      </c>
      <c r="N1131">
        <f t="shared" si="89"/>
        <v>12779482</v>
      </c>
      <c r="O1131">
        <f t="shared" si="90"/>
        <v>0</v>
      </c>
      <c r="P1131">
        <f t="shared" si="91"/>
        <v>0</v>
      </c>
      <c r="Q1131">
        <f t="shared" si="88"/>
        <v>25</v>
      </c>
      <c r="R1131" t="str">
        <f t="shared" si="92"/>
        <v>Not open</v>
      </c>
    </row>
    <row r="1132" spans="1:18" x14ac:dyDescent="0.3">
      <c r="A1132" t="s">
        <v>1307</v>
      </c>
      <c r="B1132" t="s">
        <v>250</v>
      </c>
      <c r="C1132" t="s">
        <v>560</v>
      </c>
      <c r="D1132" s="1">
        <v>45247</v>
      </c>
      <c r="E1132" s="1">
        <v>45337</v>
      </c>
      <c r="F1132" t="s">
        <v>13</v>
      </c>
      <c r="G1132">
        <v>7221988</v>
      </c>
      <c r="H1132" s="1">
        <v>45344</v>
      </c>
      <c r="I1132" t="s">
        <v>555</v>
      </c>
      <c r="J1132" t="s">
        <v>556</v>
      </c>
      <c r="L1132">
        <v>7221988</v>
      </c>
      <c r="M1132">
        <f>IF(F1132="INR",1,INDEX('rates'!$B$2:$C$522,MATCH(D1132,'rates'!$A$2:$A$522,1),MATCH(F1132&amp;"/INR",'rates'!$B$1:$C$1,0)))</f>
        <v>1</v>
      </c>
      <c r="N1132">
        <f t="shared" si="89"/>
        <v>7221988</v>
      </c>
      <c r="O1132">
        <f t="shared" si="90"/>
        <v>0</v>
      </c>
      <c r="P1132">
        <f t="shared" si="91"/>
        <v>0</v>
      </c>
      <c r="Q1132">
        <f t="shared" si="88"/>
        <v>7</v>
      </c>
      <c r="R1132" t="str">
        <f t="shared" si="92"/>
        <v>Not open</v>
      </c>
    </row>
    <row r="1133" spans="1:18" x14ac:dyDescent="0.3">
      <c r="A1133" t="s">
        <v>1308</v>
      </c>
      <c r="B1133" t="s">
        <v>372</v>
      </c>
      <c r="C1133" t="s">
        <v>575</v>
      </c>
      <c r="D1133" s="1">
        <v>45247</v>
      </c>
      <c r="E1133" s="1">
        <v>45337</v>
      </c>
      <c r="F1133" t="s">
        <v>13</v>
      </c>
      <c r="G1133">
        <v>9338380</v>
      </c>
      <c r="H1133" s="1">
        <v>45349</v>
      </c>
      <c r="I1133" t="s">
        <v>555</v>
      </c>
      <c r="J1133" t="s">
        <v>556</v>
      </c>
      <c r="L1133">
        <v>9338380</v>
      </c>
      <c r="M1133">
        <f>IF(F1133="INR",1,INDEX('rates'!$B$2:$C$522,MATCH(D1133,'rates'!$A$2:$A$522,1),MATCH(F1133&amp;"/INR",'rates'!$B$1:$C$1,0)))</f>
        <v>1</v>
      </c>
      <c r="N1133">
        <f t="shared" si="89"/>
        <v>9338380</v>
      </c>
      <c r="O1133">
        <f t="shared" si="90"/>
        <v>0</v>
      </c>
      <c r="P1133">
        <f t="shared" si="91"/>
        <v>0</v>
      </c>
      <c r="Q1133">
        <f t="shared" si="88"/>
        <v>12</v>
      </c>
      <c r="R1133" t="str">
        <f t="shared" si="92"/>
        <v>Not open</v>
      </c>
    </row>
    <row r="1134" spans="1:18" x14ac:dyDescent="0.3">
      <c r="A1134" t="s">
        <v>1309</v>
      </c>
      <c r="B1134" t="s">
        <v>392</v>
      </c>
      <c r="C1134" t="s">
        <v>554</v>
      </c>
      <c r="D1134" s="1">
        <v>45247</v>
      </c>
      <c r="E1134" s="1">
        <v>45277</v>
      </c>
      <c r="F1134" t="s">
        <v>13</v>
      </c>
      <c r="G1134">
        <v>2576148</v>
      </c>
      <c r="H1134" s="1"/>
      <c r="I1134" t="s">
        <v>555</v>
      </c>
      <c r="J1134" t="s">
        <v>556</v>
      </c>
      <c r="L1134">
        <v>2576148</v>
      </c>
      <c r="M1134">
        <f>IF(F1134="INR",1,INDEX('rates'!$B$2:$C$522,MATCH(D1134,'rates'!$A$2:$A$522,1),MATCH(F1134&amp;"/INR",'rates'!$B$1:$C$1,0)))</f>
        <v>1</v>
      </c>
      <c r="N1134">
        <f t="shared" si="89"/>
        <v>2576148</v>
      </c>
      <c r="O1134">
        <f t="shared" si="90"/>
        <v>0</v>
      </c>
      <c r="P1134">
        <f t="shared" si="91"/>
        <v>0</v>
      </c>
      <c r="Q1134" t="str">
        <f t="shared" si="88"/>
        <v/>
      </c>
      <c r="R1134" t="str">
        <f t="shared" si="92"/>
        <v>Not open</v>
      </c>
    </row>
    <row r="1135" spans="1:18" x14ac:dyDescent="0.3">
      <c r="A1135" t="s">
        <v>1310</v>
      </c>
      <c r="B1135" t="s">
        <v>536</v>
      </c>
      <c r="C1135" t="s">
        <v>575</v>
      </c>
      <c r="D1135" s="1">
        <v>45247</v>
      </c>
      <c r="E1135" s="1">
        <v>45277</v>
      </c>
      <c r="F1135" t="s">
        <v>36</v>
      </c>
      <c r="G1135">
        <v>15608.66</v>
      </c>
      <c r="H1135" s="1">
        <v>45283</v>
      </c>
      <c r="I1135" t="s">
        <v>555</v>
      </c>
      <c r="J1135" t="s">
        <v>556</v>
      </c>
      <c r="L1135">
        <v>15608.66</v>
      </c>
      <c r="M1135">
        <f>IF(F1135="INR",1,INDEX('rates'!$B$2:$C$522,MATCH(D1135,'rates'!$A$2:$A$522,1),MATCH(F1135&amp;"/INR",'rates'!$B$1:$C$1,0)))</f>
        <v>83.25</v>
      </c>
      <c r="N1135">
        <f t="shared" si="89"/>
        <v>1299420.9450000001</v>
      </c>
      <c r="O1135">
        <f t="shared" si="90"/>
        <v>0</v>
      </c>
      <c r="P1135">
        <f t="shared" si="91"/>
        <v>0</v>
      </c>
      <c r="Q1135">
        <f t="shared" si="88"/>
        <v>6</v>
      </c>
      <c r="R1135" t="str">
        <f t="shared" si="92"/>
        <v>Not open</v>
      </c>
    </row>
    <row r="1136" spans="1:18" x14ac:dyDescent="0.3">
      <c r="A1136" t="s">
        <v>1311</v>
      </c>
      <c r="B1136" t="s">
        <v>75</v>
      </c>
      <c r="C1136" t="s">
        <v>566</v>
      </c>
      <c r="D1136" s="1">
        <v>45248</v>
      </c>
      <c r="E1136" s="1">
        <v>45338</v>
      </c>
      <c r="F1136" t="s">
        <v>36</v>
      </c>
      <c r="G1136">
        <v>282342.3</v>
      </c>
      <c r="H1136" s="1">
        <v>45420</v>
      </c>
      <c r="I1136" t="s">
        <v>555</v>
      </c>
      <c r="J1136" t="s">
        <v>573</v>
      </c>
      <c r="K1136">
        <v>83.666200000000003</v>
      </c>
      <c r="L1136">
        <v>282342.3</v>
      </c>
      <c r="M1136">
        <f>IF(F1136="INR",1,INDEX('rates'!$B$2:$C$522,MATCH(D1136,'rates'!$A$2:$A$522,1),MATCH(F1136&amp;"/INR",'rates'!$B$1:$C$1,0)))</f>
        <v>83.25</v>
      </c>
      <c r="N1136">
        <f t="shared" si="89"/>
        <v>23504996.474999998</v>
      </c>
      <c r="O1136">
        <f t="shared" si="90"/>
        <v>0</v>
      </c>
      <c r="P1136">
        <f t="shared" si="91"/>
        <v>0</v>
      </c>
      <c r="Q1136">
        <f t="shared" si="88"/>
        <v>82</v>
      </c>
      <c r="R1136" t="str">
        <f t="shared" si="92"/>
        <v>Not open</v>
      </c>
    </row>
    <row r="1137" spans="1:18" x14ac:dyDescent="0.3">
      <c r="A1137" t="s">
        <v>1312</v>
      </c>
      <c r="B1137" t="s">
        <v>138</v>
      </c>
      <c r="C1137" t="s">
        <v>566</v>
      </c>
      <c r="D1137" s="1">
        <v>45248</v>
      </c>
      <c r="E1137" s="1">
        <v>45278</v>
      </c>
      <c r="F1137" t="s">
        <v>13</v>
      </c>
      <c r="G1137">
        <v>12361727</v>
      </c>
      <c r="H1137" s="1">
        <v>45273</v>
      </c>
      <c r="I1137" t="s">
        <v>555</v>
      </c>
      <c r="J1137" t="s">
        <v>556</v>
      </c>
      <c r="L1137">
        <v>12361727</v>
      </c>
      <c r="M1137">
        <f>IF(F1137="INR",1,INDEX('rates'!$B$2:$C$522,MATCH(D1137,'rates'!$A$2:$A$522,1),MATCH(F1137&amp;"/INR",'rates'!$B$1:$C$1,0)))</f>
        <v>1</v>
      </c>
      <c r="N1137">
        <f t="shared" si="89"/>
        <v>12361727</v>
      </c>
      <c r="O1137">
        <f t="shared" si="90"/>
        <v>0</v>
      </c>
      <c r="P1137">
        <f t="shared" si="91"/>
        <v>0</v>
      </c>
      <c r="Q1137">
        <f t="shared" si="88"/>
        <v>-5</v>
      </c>
      <c r="R1137" t="str">
        <f t="shared" si="92"/>
        <v>Not open</v>
      </c>
    </row>
    <row r="1138" spans="1:18" x14ac:dyDescent="0.3">
      <c r="A1138" t="s">
        <v>1313</v>
      </c>
      <c r="B1138" t="s">
        <v>230</v>
      </c>
      <c r="C1138" t="s">
        <v>558</v>
      </c>
      <c r="D1138" s="1">
        <v>45248</v>
      </c>
      <c r="E1138" s="1">
        <v>45293</v>
      </c>
      <c r="F1138" t="s">
        <v>13</v>
      </c>
      <c r="G1138">
        <v>9217814</v>
      </c>
      <c r="H1138" s="1">
        <v>45310</v>
      </c>
      <c r="I1138" t="s">
        <v>555</v>
      </c>
      <c r="J1138" t="s">
        <v>556</v>
      </c>
      <c r="L1138">
        <v>9217814</v>
      </c>
      <c r="M1138">
        <f>IF(F1138="INR",1,INDEX('rates'!$B$2:$C$522,MATCH(D1138,'rates'!$A$2:$A$522,1),MATCH(F1138&amp;"/INR",'rates'!$B$1:$C$1,0)))</f>
        <v>1</v>
      </c>
      <c r="N1138">
        <f t="shared" si="89"/>
        <v>9217814</v>
      </c>
      <c r="O1138">
        <f t="shared" si="90"/>
        <v>0</v>
      </c>
      <c r="P1138">
        <f t="shared" si="91"/>
        <v>0</v>
      </c>
      <c r="Q1138">
        <f t="shared" ref="Q1138:Q1201" si="93">IF(H1138="","",H1138-E1138)</f>
        <v>17</v>
      </c>
      <c r="R1138" t="str">
        <f t="shared" si="92"/>
        <v>Not open</v>
      </c>
    </row>
    <row r="1139" spans="1:18" x14ac:dyDescent="0.3">
      <c r="A1139" t="s">
        <v>1314</v>
      </c>
      <c r="B1139" t="s">
        <v>286</v>
      </c>
      <c r="C1139" t="s">
        <v>558</v>
      </c>
      <c r="D1139" s="1">
        <v>45248</v>
      </c>
      <c r="E1139" s="1">
        <v>45308</v>
      </c>
      <c r="F1139" t="s">
        <v>36</v>
      </c>
      <c r="G1139">
        <v>25895.19</v>
      </c>
      <c r="H1139" s="1">
        <v>45370</v>
      </c>
      <c r="I1139" t="s">
        <v>555</v>
      </c>
      <c r="J1139" t="s">
        <v>556</v>
      </c>
      <c r="L1139">
        <v>25895.19</v>
      </c>
      <c r="M1139">
        <f>IF(F1139="INR",1,INDEX('rates'!$B$2:$C$522,MATCH(D1139,'rates'!$A$2:$A$522,1),MATCH(F1139&amp;"/INR",'rates'!$B$1:$C$1,0)))</f>
        <v>83.25</v>
      </c>
      <c r="N1139">
        <f t="shared" si="89"/>
        <v>2155774.5674999999</v>
      </c>
      <c r="O1139">
        <f t="shared" si="90"/>
        <v>0</v>
      </c>
      <c r="P1139">
        <f t="shared" si="91"/>
        <v>0</v>
      </c>
      <c r="Q1139">
        <f t="shared" si="93"/>
        <v>62</v>
      </c>
      <c r="R1139" t="str">
        <f t="shared" si="92"/>
        <v>Not open</v>
      </c>
    </row>
    <row r="1140" spans="1:18" x14ac:dyDescent="0.3">
      <c r="A1140" t="s">
        <v>1316</v>
      </c>
      <c r="B1140" t="s">
        <v>360</v>
      </c>
      <c r="C1140" t="s">
        <v>566</v>
      </c>
      <c r="D1140" s="1">
        <v>45248</v>
      </c>
      <c r="E1140" s="1">
        <v>45293</v>
      </c>
      <c r="F1140" t="s">
        <v>13</v>
      </c>
      <c r="G1140">
        <v>4916972</v>
      </c>
      <c r="H1140" s="1">
        <v>45300</v>
      </c>
      <c r="I1140" t="s">
        <v>555</v>
      </c>
      <c r="J1140" t="s">
        <v>556</v>
      </c>
      <c r="L1140">
        <v>4916972</v>
      </c>
      <c r="M1140">
        <f>IF(F1140="INR",1,INDEX('rates'!$B$2:$C$522,MATCH(D1140,'rates'!$A$2:$A$522,1),MATCH(F1140&amp;"/INR",'rates'!$B$1:$C$1,0)))</f>
        <v>1</v>
      </c>
      <c r="N1140">
        <f t="shared" si="89"/>
        <v>4916972</v>
      </c>
      <c r="O1140">
        <f t="shared" si="90"/>
        <v>0</v>
      </c>
      <c r="P1140">
        <f t="shared" si="91"/>
        <v>0</v>
      </c>
      <c r="Q1140">
        <f t="shared" si="93"/>
        <v>7</v>
      </c>
      <c r="R1140" t="str">
        <f t="shared" si="92"/>
        <v>Not open</v>
      </c>
    </row>
    <row r="1141" spans="1:18" x14ac:dyDescent="0.3">
      <c r="A1141" t="s">
        <v>1317</v>
      </c>
      <c r="B1141" t="s">
        <v>372</v>
      </c>
      <c r="C1141" t="s">
        <v>575</v>
      </c>
      <c r="D1141" s="1">
        <v>45248</v>
      </c>
      <c r="E1141" s="1">
        <v>45338</v>
      </c>
      <c r="F1141" t="s">
        <v>13</v>
      </c>
      <c r="G1141">
        <v>4387218</v>
      </c>
      <c r="H1141" s="1">
        <v>45356</v>
      </c>
      <c r="I1141" t="s">
        <v>555</v>
      </c>
      <c r="J1141" t="s">
        <v>556</v>
      </c>
      <c r="L1141">
        <v>4387218</v>
      </c>
      <c r="M1141">
        <f>IF(F1141="INR",1,INDEX('rates'!$B$2:$C$522,MATCH(D1141,'rates'!$A$2:$A$522,1),MATCH(F1141&amp;"/INR",'rates'!$B$1:$C$1,0)))</f>
        <v>1</v>
      </c>
      <c r="N1141">
        <f t="shared" si="89"/>
        <v>4387218</v>
      </c>
      <c r="O1141">
        <f t="shared" si="90"/>
        <v>0</v>
      </c>
      <c r="P1141">
        <f t="shared" si="91"/>
        <v>0</v>
      </c>
      <c r="Q1141">
        <f t="shared" si="93"/>
        <v>18</v>
      </c>
      <c r="R1141" t="str">
        <f t="shared" si="92"/>
        <v>Not open</v>
      </c>
    </row>
    <row r="1142" spans="1:18" x14ac:dyDescent="0.3">
      <c r="A1142" t="s">
        <v>1318</v>
      </c>
      <c r="B1142" t="s">
        <v>490</v>
      </c>
      <c r="C1142" t="s">
        <v>560</v>
      </c>
      <c r="D1142" s="1">
        <v>45248</v>
      </c>
      <c r="E1142" s="1">
        <v>45293</v>
      </c>
      <c r="F1142" t="s">
        <v>36</v>
      </c>
      <c r="G1142">
        <v>28893.88</v>
      </c>
      <c r="H1142" s="1">
        <v>45301</v>
      </c>
      <c r="I1142" t="s">
        <v>555</v>
      </c>
      <c r="J1142" t="s">
        <v>556</v>
      </c>
      <c r="L1142">
        <v>28893.88</v>
      </c>
      <c r="M1142">
        <f>IF(F1142="INR",1,INDEX('rates'!$B$2:$C$522,MATCH(D1142,'rates'!$A$2:$A$522,1),MATCH(F1142&amp;"/INR",'rates'!$B$1:$C$1,0)))</f>
        <v>83.25</v>
      </c>
      <c r="N1142">
        <f t="shared" si="89"/>
        <v>2405415.5100000002</v>
      </c>
      <c r="O1142">
        <f t="shared" si="90"/>
        <v>0</v>
      </c>
      <c r="P1142">
        <f t="shared" si="91"/>
        <v>0</v>
      </c>
      <c r="Q1142">
        <f t="shared" si="93"/>
        <v>8</v>
      </c>
      <c r="R1142" t="str">
        <f t="shared" si="92"/>
        <v>Not open</v>
      </c>
    </row>
    <row r="1143" spans="1:18" x14ac:dyDescent="0.3">
      <c r="A1143" t="s">
        <v>1320</v>
      </c>
      <c r="B1143" t="s">
        <v>496</v>
      </c>
      <c r="C1143" t="s">
        <v>566</v>
      </c>
      <c r="D1143" s="1">
        <v>45248</v>
      </c>
      <c r="E1143" s="1">
        <v>45293</v>
      </c>
      <c r="F1143" t="s">
        <v>13</v>
      </c>
      <c r="G1143">
        <v>2521326</v>
      </c>
      <c r="H1143" s="1">
        <v>45305</v>
      </c>
      <c r="I1143" t="s">
        <v>555</v>
      </c>
      <c r="J1143" t="s">
        <v>556</v>
      </c>
      <c r="L1143">
        <v>2521326</v>
      </c>
      <c r="M1143">
        <f>IF(F1143="INR",1,INDEX('rates'!$B$2:$C$522,MATCH(D1143,'rates'!$A$2:$A$522,1),MATCH(F1143&amp;"/INR",'rates'!$B$1:$C$1,0)))</f>
        <v>1</v>
      </c>
      <c r="N1143">
        <f t="shared" si="89"/>
        <v>2521326</v>
      </c>
      <c r="O1143">
        <f t="shared" si="90"/>
        <v>0</v>
      </c>
      <c r="P1143">
        <f t="shared" si="91"/>
        <v>0</v>
      </c>
      <c r="Q1143">
        <f t="shared" si="93"/>
        <v>12</v>
      </c>
      <c r="R1143" t="str">
        <f t="shared" si="92"/>
        <v>Not open</v>
      </c>
    </row>
    <row r="1144" spans="1:18" x14ac:dyDescent="0.3">
      <c r="A1144" t="s">
        <v>1321</v>
      </c>
      <c r="B1144" t="s">
        <v>498</v>
      </c>
      <c r="C1144" t="s">
        <v>566</v>
      </c>
      <c r="D1144" s="1">
        <v>45248</v>
      </c>
      <c r="E1144" s="1">
        <v>45338</v>
      </c>
      <c r="F1144" t="s">
        <v>36</v>
      </c>
      <c r="G1144">
        <v>139319</v>
      </c>
      <c r="H1144" s="1">
        <v>45359</v>
      </c>
      <c r="I1144" t="s">
        <v>555</v>
      </c>
      <c r="J1144" t="s">
        <v>556</v>
      </c>
      <c r="L1144">
        <v>139319</v>
      </c>
      <c r="M1144">
        <f>IF(F1144="INR",1,INDEX('rates'!$B$2:$C$522,MATCH(D1144,'rates'!$A$2:$A$522,1),MATCH(F1144&amp;"/INR",'rates'!$B$1:$C$1,0)))</f>
        <v>83.25</v>
      </c>
      <c r="N1144">
        <f t="shared" si="89"/>
        <v>11598306.75</v>
      </c>
      <c r="O1144">
        <f t="shared" si="90"/>
        <v>0</v>
      </c>
      <c r="P1144">
        <f t="shared" si="91"/>
        <v>0</v>
      </c>
      <c r="Q1144">
        <f t="shared" si="93"/>
        <v>21</v>
      </c>
      <c r="R1144" t="str">
        <f t="shared" si="92"/>
        <v>Not open</v>
      </c>
    </row>
    <row r="1145" spans="1:18" x14ac:dyDescent="0.3">
      <c r="A1145" t="s">
        <v>1323</v>
      </c>
      <c r="B1145" t="s">
        <v>516</v>
      </c>
      <c r="C1145" t="s">
        <v>560</v>
      </c>
      <c r="D1145" s="1">
        <v>45248</v>
      </c>
      <c r="E1145" s="1">
        <v>45308</v>
      </c>
      <c r="F1145" t="s">
        <v>13</v>
      </c>
      <c r="G1145">
        <v>2082344</v>
      </c>
      <c r="H1145" s="1">
        <v>45317</v>
      </c>
      <c r="I1145" t="s">
        <v>555</v>
      </c>
      <c r="J1145" t="s">
        <v>556</v>
      </c>
      <c r="L1145">
        <v>2082344</v>
      </c>
      <c r="M1145">
        <f>IF(F1145="INR",1,INDEX('rates'!$B$2:$C$522,MATCH(D1145,'rates'!$A$2:$A$522,1),MATCH(F1145&amp;"/INR",'rates'!$B$1:$C$1,0)))</f>
        <v>1</v>
      </c>
      <c r="N1145">
        <f t="shared" si="89"/>
        <v>2082344</v>
      </c>
      <c r="O1145">
        <f t="shared" si="90"/>
        <v>0</v>
      </c>
      <c r="P1145">
        <f t="shared" si="91"/>
        <v>0</v>
      </c>
      <c r="Q1145">
        <f t="shared" si="93"/>
        <v>9</v>
      </c>
      <c r="R1145" t="str">
        <f t="shared" si="92"/>
        <v>Not open</v>
      </c>
    </row>
    <row r="1146" spans="1:18" x14ac:dyDescent="0.3">
      <c r="A1146" t="s">
        <v>1325</v>
      </c>
      <c r="B1146" t="s">
        <v>250</v>
      </c>
      <c r="C1146" t="s">
        <v>558</v>
      </c>
      <c r="D1146" s="1">
        <v>45250</v>
      </c>
      <c r="E1146" s="1">
        <v>45340</v>
      </c>
      <c r="F1146" t="s">
        <v>13</v>
      </c>
      <c r="G1146">
        <v>1061177</v>
      </c>
      <c r="H1146" s="1">
        <v>45368</v>
      </c>
      <c r="I1146" t="s">
        <v>555</v>
      </c>
      <c r="J1146" t="s">
        <v>556</v>
      </c>
      <c r="L1146">
        <v>1061177</v>
      </c>
      <c r="M1146">
        <f>IF(F1146="INR",1,INDEX('rates'!$B$2:$C$522,MATCH(D1146,'rates'!$A$2:$A$522,1),MATCH(F1146&amp;"/INR",'rates'!$B$1:$C$1,0)))</f>
        <v>1</v>
      </c>
      <c r="N1146">
        <f t="shared" si="89"/>
        <v>1061177</v>
      </c>
      <c r="O1146">
        <f t="shared" si="90"/>
        <v>0</v>
      </c>
      <c r="P1146">
        <f t="shared" si="91"/>
        <v>0</v>
      </c>
      <c r="Q1146">
        <f t="shared" si="93"/>
        <v>28</v>
      </c>
      <c r="R1146" t="str">
        <f t="shared" si="92"/>
        <v>Not open</v>
      </c>
    </row>
    <row r="1147" spans="1:18" x14ac:dyDescent="0.3">
      <c r="A1147" t="s">
        <v>1327</v>
      </c>
      <c r="B1147" t="s">
        <v>434</v>
      </c>
      <c r="C1147" t="s">
        <v>554</v>
      </c>
      <c r="D1147" s="1">
        <v>45250</v>
      </c>
      <c r="E1147" s="1">
        <v>45295</v>
      </c>
      <c r="F1147" t="s">
        <v>13</v>
      </c>
      <c r="G1147">
        <v>6029378</v>
      </c>
      <c r="H1147" s="1">
        <v>45296</v>
      </c>
      <c r="I1147" t="s">
        <v>555</v>
      </c>
      <c r="J1147" t="s">
        <v>556</v>
      </c>
      <c r="L1147">
        <v>6029378</v>
      </c>
      <c r="M1147">
        <f>IF(F1147="INR",1,INDEX('rates'!$B$2:$C$522,MATCH(D1147,'rates'!$A$2:$A$522,1),MATCH(F1147&amp;"/INR",'rates'!$B$1:$C$1,0)))</f>
        <v>1</v>
      </c>
      <c r="N1147">
        <f t="shared" si="89"/>
        <v>6029378</v>
      </c>
      <c r="O1147">
        <f t="shared" si="90"/>
        <v>0</v>
      </c>
      <c r="P1147">
        <f t="shared" si="91"/>
        <v>0</v>
      </c>
      <c r="Q1147">
        <f t="shared" si="93"/>
        <v>1</v>
      </c>
      <c r="R1147" t="str">
        <f t="shared" si="92"/>
        <v>Not open</v>
      </c>
    </row>
    <row r="1148" spans="1:18" x14ac:dyDescent="0.3">
      <c r="A1148" t="s">
        <v>1328</v>
      </c>
      <c r="B1148" t="s">
        <v>466</v>
      </c>
      <c r="C1148" t="s">
        <v>558</v>
      </c>
      <c r="D1148" s="1">
        <v>45250</v>
      </c>
      <c r="E1148" s="1">
        <v>45310</v>
      </c>
      <c r="F1148" t="s">
        <v>31</v>
      </c>
      <c r="G1148">
        <v>58185.120000000003</v>
      </c>
      <c r="H1148" s="1">
        <v>45311</v>
      </c>
      <c r="I1148" t="s">
        <v>555</v>
      </c>
      <c r="J1148" t="s">
        <v>556</v>
      </c>
      <c r="L1148">
        <v>58185.120000000003</v>
      </c>
      <c r="M1148">
        <f>IF(F1148="INR",1,INDEX('rates'!$B$2:$C$522,MATCH(D1148,'rates'!$A$2:$A$522,1),MATCH(F1148&amp;"/INR",'rates'!$B$1:$C$1,0)))</f>
        <v>91.204700000000003</v>
      </c>
      <c r="N1148">
        <f t="shared" si="89"/>
        <v>5306756.4140640004</v>
      </c>
      <c r="O1148">
        <f t="shared" si="90"/>
        <v>0</v>
      </c>
      <c r="P1148">
        <f t="shared" si="91"/>
        <v>0</v>
      </c>
      <c r="Q1148">
        <f t="shared" si="93"/>
        <v>1</v>
      </c>
      <c r="R1148" t="str">
        <f t="shared" si="92"/>
        <v>Not open</v>
      </c>
    </row>
    <row r="1149" spans="1:18" x14ac:dyDescent="0.3">
      <c r="A1149" t="s">
        <v>1329</v>
      </c>
      <c r="B1149" t="s">
        <v>492</v>
      </c>
      <c r="C1149" t="s">
        <v>566</v>
      </c>
      <c r="D1149" s="1">
        <v>45251</v>
      </c>
      <c r="E1149" s="1">
        <v>45296</v>
      </c>
      <c r="F1149" t="s">
        <v>13</v>
      </c>
      <c r="G1149">
        <v>5889595</v>
      </c>
      <c r="H1149" s="1">
        <v>45299</v>
      </c>
      <c r="I1149" t="s">
        <v>555</v>
      </c>
      <c r="J1149" t="s">
        <v>556</v>
      </c>
      <c r="L1149">
        <v>5889595</v>
      </c>
      <c r="M1149">
        <f>IF(F1149="INR",1,INDEX('rates'!$B$2:$C$522,MATCH(D1149,'rates'!$A$2:$A$522,1),MATCH(F1149&amp;"/INR",'rates'!$B$1:$C$1,0)))</f>
        <v>1</v>
      </c>
      <c r="N1149">
        <f t="shared" si="89"/>
        <v>5889595</v>
      </c>
      <c r="O1149">
        <f t="shared" si="90"/>
        <v>0</v>
      </c>
      <c r="P1149">
        <f t="shared" si="91"/>
        <v>0</v>
      </c>
      <c r="Q1149">
        <f t="shared" si="93"/>
        <v>3</v>
      </c>
      <c r="R1149" t="str">
        <f t="shared" si="92"/>
        <v>Not open</v>
      </c>
    </row>
    <row r="1150" spans="1:18" x14ac:dyDescent="0.3">
      <c r="A1150" t="s">
        <v>1330</v>
      </c>
      <c r="B1150" t="s">
        <v>19</v>
      </c>
      <c r="C1150" t="s">
        <v>554</v>
      </c>
      <c r="D1150" s="1">
        <v>45252</v>
      </c>
      <c r="E1150" s="1">
        <v>45297</v>
      </c>
      <c r="F1150" t="s">
        <v>13</v>
      </c>
      <c r="G1150">
        <v>7046019</v>
      </c>
      <c r="H1150" s="1">
        <v>45339</v>
      </c>
      <c r="I1150" t="s">
        <v>555</v>
      </c>
      <c r="J1150" t="s">
        <v>556</v>
      </c>
      <c r="L1150">
        <v>7046019</v>
      </c>
      <c r="M1150">
        <f>IF(F1150="INR",1,INDEX('rates'!$B$2:$C$522,MATCH(D1150,'rates'!$A$2:$A$522,1),MATCH(F1150&amp;"/INR",'rates'!$B$1:$C$1,0)))</f>
        <v>1</v>
      </c>
      <c r="N1150">
        <f t="shared" si="89"/>
        <v>7046019</v>
      </c>
      <c r="O1150">
        <f t="shared" si="90"/>
        <v>0</v>
      </c>
      <c r="P1150">
        <f t="shared" si="91"/>
        <v>0</v>
      </c>
      <c r="Q1150">
        <f t="shared" si="93"/>
        <v>42</v>
      </c>
      <c r="R1150" t="str">
        <f t="shared" si="92"/>
        <v>Not open</v>
      </c>
    </row>
    <row r="1151" spans="1:18" x14ac:dyDescent="0.3">
      <c r="A1151" t="s">
        <v>1331</v>
      </c>
      <c r="B1151" t="s">
        <v>176</v>
      </c>
      <c r="C1151" t="s">
        <v>566</v>
      </c>
      <c r="D1151" s="1">
        <v>45252</v>
      </c>
      <c r="E1151" s="1">
        <v>45312</v>
      </c>
      <c r="F1151" t="s">
        <v>13</v>
      </c>
      <c r="G1151">
        <v>2155969</v>
      </c>
      <c r="H1151" s="1">
        <v>45336</v>
      </c>
      <c r="I1151" t="s">
        <v>555</v>
      </c>
      <c r="J1151" t="s">
        <v>556</v>
      </c>
      <c r="L1151">
        <v>2155969</v>
      </c>
      <c r="M1151">
        <f>IF(F1151="INR",1,INDEX('rates'!$B$2:$C$522,MATCH(D1151,'rates'!$A$2:$A$522,1),MATCH(F1151&amp;"/INR",'rates'!$B$1:$C$1,0)))</f>
        <v>1</v>
      </c>
      <c r="N1151">
        <f t="shared" si="89"/>
        <v>2155969</v>
      </c>
      <c r="O1151">
        <f t="shared" si="90"/>
        <v>0</v>
      </c>
      <c r="P1151">
        <f t="shared" si="91"/>
        <v>0</v>
      </c>
      <c r="Q1151">
        <f t="shared" si="93"/>
        <v>24</v>
      </c>
      <c r="R1151" t="str">
        <f t="shared" si="92"/>
        <v>Not open</v>
      </c>
    </row>
    <row r="1152" spans="1:18" x14ac:dyDescent="0.3">
      <c r="A1152" t="s">
        <v>1332</v>
      </c>
      <c r="B1152" t="s">
        <v>494</v>
      </c>
      <c r="C1152" t="s">
        <v>560</v>
      </c>
      <c r="D1152" s="1">
        <v>45252</v>
      </c>
      <c r="E1152" s="1">
        <v>45297</v>
      </c>
      <c r="F1152" t="s">
        <v>13</v>
      </c>
      <c r="G1152">
        <v>9293589</v>
      </c>
      <c r="H1152" s="1">
        <v>45305</v>
      </c>
      <c r="I1152" t="s">
        <v>555</v>
      </c>
      <c r="J1152" t="s">
        <v>556</v>
      </c>
      <c r="L1152">
        <v>9293589</v>
      </c>
      <c r="M1152">
        <f>IF(F1152="INR",1,INDEX('rates'!$B$2:$C$522,MATCH(D1152,'rates'!$A$2:$A$522,1),MATCH(F1152&amp;"/INR",'rates'!$B$1:$C$1,0)))</f>
        <v>1</v>
      </c>
      <c r="N1152">
        <f t="shared" si="89"/>
        <v>9293589</v>
      </c>
      <c r="O1152">
        <f t="shared" si="90"/>
        <v>0</v>
      </c>
      <c r="P1152">
        <f t="shared" si="91"/>
        <v>0</v>
      </c>
      <c r="Q1152">
        <f t="shared" si="93"/>
        <v>8</v>
      </c>
      <c r="R1152" t="str">
        <f t="shared" si="92"/>
        <v>Not open</v>
      </c>
    </row>
    <row r="1153" spans="1:18" x14ac:dyDescent="0.3">
      <c r="A1153" t="s">
        <v>1333</v>
      </c>
      <c r="B1153" t="s">
        <v>19</v>
      </c>
      <c r="C1153" t="s">
        <v>554</v>
      </c>
      <c r="D1153" s="1">
        <v>45253</v>
      </c>
      <c r="E1153" s="1">
        <v>45298</v>
      </c>
      <c r="F1153" t="s">
        <v>13</v>
      </c>
      <c r="G1153">
        <v>7118456</v>
      </c>
      <c r="H1153" s="1">
        <v>45339</v>
      </c>
      <c r="I1153" t="s">
        <v>555</v>
      </c>
      <c r="J1153" t="s">
        <v>556</v>
      </c>
      <c r="L1153">
        <v>7118456</v>
      </c>
      <c r="M1153">
        <f>IF(F1153="INR",1,INDEX('rates'!$B$2:$C$522,MATCH(D1153,'rates'!$A$2:$A$522,1),MATCH(F1153&amp;"/INR",'rates'!$B$1:$C$1,0)))</f>
        <v>1</v>
      </c>
      <c r="N1153">
        <f t="shared" si="89"/>
        <v>7118456</v>
      </c>
      <c r="O1153">
        <f t="shared" si="90"/>
        <v>0</v>
      </c>
      <c r="P1153">
        <f t="shared" si="91"/>
        <v>0</v>
      </c>
      <c r="Q1153">
        <f t="shared" si="93"/>
        <v>41</v>
      </c>
      <c r="R1153" t="str">
        <f t="shared" si="92"/>
        <v>Not open</v>
      </c>
    </row>
    <row r="1154" spans="1:18" x14ac:dyDescent="0.3">
      <c r="A1154" t="s">
        <v>1334</v>
      </c>
      <c r="B1154" t="s">
        <v>83</v>
      </c>
      <c r="C1154" t="s">
        <v>558</v>
      </c>
      <c r="D1154" s="1">
        <v>45253</v>
      </c>
      <c r="E1154" s="1">
        <v>45298</v>
      </c>
      <c r="F1154" t="s">
        <v>13</v>
      </c>
      <c r="G1154">
        <v>4883624</v>
      </c>
      <c r="H1154" s="1">
        <v>45341</v>
      </c>
      <c r="I1154" t="s">
        <v>555</v>
      </c>
      <c r="J1154" t="s">
        <v>556</v>
      </c>
      <c r="L1154">
        <v>4883624</v>
      </c>
      <c r="M1154">
        <f>IF(F1154="INR",1,INDEX('rates'!$B$2:$C$522,MATCH(D1154,'rates'!$A$2:$A$522,1),MATCH(F1154&amp;"/INR",'rates'!$B$1:$C$1,0)))</f>
        <v>1</v>
      </c>
      <c r="N1154">
        <f t="shared" ref="N1154:N1217" si="94">G1154*M1154</f>
        <v>4883624</v>
      </c>
      <c r="O1154">
        <f t="shared" ref="O1154:O1217" si="95">IF(OR(I1154="OPEN",I1154="PARTIALLY PAID"),(G1154-L1154)*M1154,0)</f>
        <v>0</v>
      </c>
      <c r="P1154">
        <f t="shared" ref="P1154:P1217" si="96">IF(O1154&gt;0,MAX(0,DATE(2025,3,31)-E1154),0)</f>
        <v>0</v>
      </c>
      <c r="Q1154">
        <f t="shared" si="93"/>
        <v>43</v>
      </c>
      <c r="R1154" t="str">
        <f t="shared" ref="R1154:R1217" si="97">IF(O1154=0,"Not open",IF(P1154=0,"Not yet due",IF(P1154&lt;=30,"1-30",IF(P1154&lt;=60,"31-60",IF(P1154&lt;=90,"61-90","90+")))))</f>
        <v>Not open</v>
      </c>
    </row>
    <row r="1155" spans="1:18" x14ac:dyDescent="0.3">
      <c r="A1155" t="s">
        <v>1336</v>
      </c>
      <c r="B1155" t="s">
        <v>410</v>
      </c>
      <c r="C1155" t="s">
        <v>566</v>
      </c>
      <c r="D1155" s="1">
        <v>45253</v>
      </c>
      <c r="E1155" s="1">
        <v>45313</v>
      </c>
      <c r="F1155" t="s">
        <v>13</v>
      </c>
      <c r="G1155">
        <v>3299566</v>
      </c>
      <c r="H1155" s="1">
        <v>45314</v>
      </c>
      <c r="I1155" t="s">
        <v>555</v>
      </c>
      <c r="J1155" t="s">
        <v>556</v>
      </c>
      <c r="L1155">
        <v>3299566</v>
      </c>
      <c r="M1155">
        <f>IF(F1155="INR",1,INDEX('rates'!$B$2:$C$522,MATCH(D1155,'rates'!$A$2:$A$522,1),MATCH(F1155&amp;"/INR",'rates'!$B$1:$C$1,0)))</f>
        <v>1</v>
      </c>
      <c r="N1155">
        <f t="shared" si="94"/>
        <v>3299566</v>
      </c>
      <c r="O1155">
        <f t="shared" si="95"/>
        <v>0</v>
      </c>
      <c r="P1155">
        <f t="shared" si="96"/>
        <v>0</v>
      </c>
      <c r="Q1155">
        <f t="shared" si="93"/>
        <v>1</v>
      </c>
      <c r="R1155" t="str">
        <f t="shared" si="97"/>
        <v>Not open</v>
      </c>
    </row>
    <row r="1156" spans="1:18" x14ac:dyDescent="0.3">
      <c r="A1156" t="s">
        <v>1337</v>
      </c>
      <c r="B1156" t="s">
        <v>140</v>
      </c>
      <c r="C1156" t="s">
        <v>554</v>
      </c>
      <c r="D1156" s="1">
        <v>45254</v>
      </c>
      <c r="E1156" s="1">
        <v>45314</v>
      </c>
      <c r="F1156" t="s">
        <v>13</v>
      </c>
      <c r="G1156">
        <v>7125485</v>
      </c>
      <c r="H1156" s="1">
        <v>45322</v>
      </c>
      <c r="I1156" t="s">
        <v>555</v>
      </c>
      <c r="J1156" t="s">
        <v>556</v>
      </c>
      <c r="L1156">
        <v>7125485</v>
      </c>
      <c r="M1156">
        <f>IF(F1156="INR",1,INDEX('rates'!$B$2:$C$522,MATCH(D1156,'rates'!$A$2:$A$522,1),MATCH(F1156&amp;"/INR",'rates'!$B$1:$C$1,0)))</f>
        <v>1</v>
      </c>
      <c r="N1156">
        <f t="shared" si="94"/>
        <v>7125485</v>
      </c>
      <c r="O1156">
        <f t="shared" si="95"/>
        <v>0</v>
      </c>
      <c r="P1156">
        <f t="shared" si="96"/>
        <v>0</v>
      </c>
      <c r="Q1156">
        <f t="shared" si="93"/>
        <v>8</v>
      </c>
      <c r="R1156" t="str">
        <f t="shared" si="97"/>
        <v>Not open</v>
      </c>
    </row>
    <row r="1157" spans="1:18" x14ac:dyDescent="0.3">
      <c r="A1157" t="s">
        <v>1338</v>
      </c>
      <c r="B1157" t="s">
        <v>154</v>
      </c>
      <c r="C1157" t="s">
        <v>566</v>
      </c>
      <c r="D1157" s="1">
        <v>45254</v>
      </c>
      <c r="E1157" s="1">
        <v>45284</v>
      </c>
      <c r="F1157" t="s">
        <v>13</v>
      </c>
      <c r="G1157">
        <v>9480681</v>
      </c>
      <c r="H1157" s="1">
        <v>45286</v>
      </c>
      <c r="I1157" t="s">
        <v>555</v>
      </c>
      <c r="J1157" t="s">
        <v>556</v>
      </c>
      <c r="L1157">
        <v>9480681</v>
      </c>
      <c r="M1157">
        <f>IF(F1157="INR",1,INDEX('rates'!$B$2:$C$522,MATCH(D1157,'rates'!$A$2:$A$522,1),MATCH(F1157&amp;"/INR",'rates'!$B$1:$C$1,0)))</f>
        <v>1</v>
      </c>
      <c r="N1157">
        <f t="shared" si="94"/>
        <v>9480681</v>
      </c>
      <c r="O1157">
        <f t="shared" si="95"/>
        <v>0</v>
      </c>
      <c r="P1157">
        <f t="shared" si="96"/>
        <v>0</v>
      </c>
      <c r="Q1157">
        <f t="shared" si="93"/>
        <v>2</v>
      </c>
      <c r="R1157" t="str">
        <f t="shared" si="97"/>
        <v>Not open</v>
      </c>
    </row>
    <row r="1158" spans="1:18" x14ac:dyDescent="0.3">
      <c r="A1158" t="s">
        <v>1339</v>
      </c>
      <c r="B1158" t="s">
        <v>156</v>
      </c>
      <c r="C1158" t="s">
        <v>566</v>
      </c>
      <c r="D1158" s="1">
        <v>45254</v>
      </c>
      <c r="E1158" s="1">
        <v>45284</v>
      </c>
      <c r="F1158" t="s">
        <v>13</v>
      </c>
      <c r="G1158">
        <v>6306388</v>
      </c>
      <c r="H1158" s="1">
        <v>45289</v>
      </c>
      <c r="I1158" t="s">
        <v>555</v>
      </c>
      <c r="J1158" t="s">
        <v>556</v>
      </c>
      <c r="L1158">
        <v>6306388</v>
      </c>
      <c r="M1158">
        <f>IF(F1158="INR",1,INDEX('rates'!$B$2:$C$522,MATCH(D1158,'rates'!$A$2:$A$522,1),MATCH(F1158&amp;"/INR",'rates'!$B$1:$C$1,0)))</f>
        <v>1</v>
      </c>
      <c r="N1158">
        <f t="shared" si="94"/>
        <v>6306388</v>
      </c>
      <c r="O1158">
        <f t="shared" si="95"/>
        <v>0</v>
      </c>
      <c r="P1158">
        <f t="shared" si="96"/>
        <v>0</v>
      </c>
      <c r="Q1158">
        <f t="shared" si="93"/>
        <v>5</v>
      </c>
      <c r="R1158" t="str">
        <f t="shared" si="97"/>
        <v>Not open</v>
      </c>
    </row>
    <row r="1159" spans="1:18" x14ac:dyDescent="0.3">
      <c r="A1159" t="s">
        <v>1340</v>
      </c>
      <c r="B1159" t="s">
        <v>204</v>
      </c>
      <c r="C1159" t="s">
        <v>575</v>
      </c>
      <c r="D1159" s="1">
        <v>45254</v>
      </c>
      <c r="E1159" s="1">
        <v>45314</v>
      </c>
      <c r="F1159" t="s">
        <v>13</v>
      </c>
      <c r="G1159">
        <v>24182621</v>
      </c>
      <c r="H1159" s="1">
        <v>45321</v>
      </c>
      <c r="I1159" t="s">
        <v>555</v>
      </c>
      <c r="J1159" t="s">
        <v>556</v>
      </c>
      <c r="L1159">
        <v>24182621</v>
      </c>
      <c r="M1159">
        <f>IF(F1159="INR",1,INDEX('rates'!$B$2:$C$522,MATCH(D1159,'rates'!$A$2:$A$522,1),MATCH(F1159&amp;"/INR",'rates'!$B$1:$C$1,0)))</f>
        <v>1</v>
      </c>
      <c r="N1159">
        <f t="shared" si="94"/>
        <v>24182621</v>
      </c>
      <c r="O1159">
        <f t="shared" si="95"/>
        <v>0</v>
      </c>
      <c r="P1159">
        <f t="shared" si="96"/>
        <v>0</v>
      </c>
      <c r="Q1159">
        <f t="shared" si="93"/>
        <v>7</v>
      </c>
      <c r="R1159" t="str">
        <f t="shared" si="97"/>
        <v>Not open</v>
      </c>
    </row>
    <row r="1160" spans="1:18" x14ac:dyDescent="0.3">
      <c r="A1160" t="s">
        <v>1341</v>
      </c>
      <c r="B1160" t="s">
        <v>75</v>
      </c>
      <c r="C1160" t="s">
        <v>560</v>
      </c>
      <c r="D1160" s="1">
        <v>45255</v>
      </c>
      <c r="E1160" s="1">
        <v>45345</v>
      </c>
      <c r="F1160" t="s">
        <v>36</v>
      </c>
      <c r="G1160">
        <v>47349.24</v>
      </c>
      <c r="H1160" s="1">
        <v>45426</v>
      </c>
      <c r="I1160" t="s">
        <v>555</v>
      </c>
      <c r="J1160" t="s">
        <v>573</v>
      </c>
      <c r="K1160">
        <v>83.756699999999995</v>
      </c>
      <c r="L1160">
        <v>47349.24</v>
      </c>
      <c r="M1160">
        <f>IF(F1160="INR",1,INDEX('rates'!$B$2:$C$522,MATCH(D1160,'rates'!$A$2:$A$522,1),MATCH(F1160&amp;"/INR",'rates'!$B$1:$C$1,0)))</f>
        <v>83.34</v>
      </c>
      <c r="N1160">
        <f t="shared" si="94"/>
        <v>3946085.6615999998</v>
      </c>
      <c r="O1160">
        <f t="shared" si="95"/>
        <v>0</v>
      </c>
      <c r="P1160">
        <f t="shared" si="96"/>
        <v>0</v>
      </c>
      <c r="Q1160">
        <f t="shared" si="93"/>
        <v>81</v>
      </c>
      <c r="R1160" t="str">
        <f t="shared" si="97"/>
        <v>Not open</v>
      </c>
    </row>
    <row r="1161" spans="1:18" x14ac:dyDescent="0.3">
      <c r="A1161" t="s">
        <v>1342</v>
      </c>
      <c r="B1161" t="s">
        <v>200</v>
      </c>
      <c r="C1161" t="s">
        <v>554</v>
      </c>
      <c r="D1161" s="1">
        <v>45255</v>
      </c>
      <c r="E1161" s="1">
        <v>45315</v>
      </c>
      <c r="F1161" t="s">
        <v>13</v>
      </c>
      <c r="G1161">
        <v>7325279</v>
      </c>
      <c r="H1161" s="1">
        <v>45322</v>
      </c>
      <c r="I1161" t="s">
        <v>555</v>
      </c>
      <c r="J1161" t="s">
        <v>556</v>
      </c>
      <c r="L1161">
        <v>7325279</v>
      </c>
      <c r="M1161">
        <f>IF(F1161="INR",1,INDEX('rates'!$B$2:$C$522,MATCH(D1161,'rates'!$A$2:$A$522,1),MATCH(F1161&amp;"/INR",'rates'!$B$1:$C$1,0)))</f>
        <v>1</v>
      </c>
      <c r="N1161">
        <f t="shared" si="94"/>
        <v>7325279</v>
      </c>
      <c r="O1161">
        <f t="shared" si="95"/>
        <v>0</v>
      </c>
      <c r="P1161">
        <f t="shared" si="96"/>
        <v>0</v>
      </c>
      <c r="Q1161">
        <f t="shared" si="93"/>
        <v>7</v>
      </c>
      <c r="R1161" t="str">
        <f t="shared" si="97"/>
        <v>Not open</v>
      </c>
    </row>
    <row r="1162" spans="1:18" x14ac:dyDescent="0.3">
      <c r="A1162" t="s">
        <v>1343</v>
      </c>
      <c r="B1162" t="s">
        <v>246</v>
      </c>
      <c r="C1162" t="s">
        <v>554</v>
      </c>
      <c r="D1162" s="1">
        <v>45255</v>
      </c>
      <c r="E1162" s="1">
        <v>45315</v>
      </c>
      <c r="F1162" t="s">
        <v>13</v>
      </c>
      <c r="G1162">
        <v>5860307</v>
      </c>
      <c r="H1162" s="1">
        <v>45333</v>
      </c>
      <c r="I1162" t="s">
        <v>555</v>
      </c>
      <c r="J1162" t="s">
        <v>556</v>
      </c>
      <c r="L1162">
        <v>5860307</v>
      </c>
      <c r="M1162">
        <f>IF(F1162="INR",1,INDEX('rates'!$B$2:$C$522,MATCH(D1162,'rates'!$A$2:$A$522,1),MATCH(F1162&amp;"/INR",'rates'!$B$1:$C$1,0)))</f>
        <v>1</v>
      </c>
      <c r="N1162">
        <f t="shared" si="94"/>
        <v>5860307</v>
      </c>
      <c r="O1162">
        <f t="shared" si="95"/>
        <v>0</v>
      </c>
      <c r="P1162">
        <f t="shared" si="96"/>
        <v>0</v>
      </c>
      <c r="Q1162">
        <f t="shared" si="93"/>
        <v>18</v>
      </c>
      <c r="R1162" t="str">
        <f t="shared" si="97"/>
        <v>Not open</v>
      </c>
    </row>
    <row r="1163" spans="1:18" x14ac:dyDescent="0.3">
      <c r="A1163" t="s">
        <v>1344</v>
      </c>
      <c r="B1163" t="s">
        <v>258</v>
      </c>
      <c r="C1163" t="s">
        <v>558</v>
      </c>
      <c r="D1163" s="1">
        <v>45255</v>
      </c>
      <c r="E1163" s="1">
        <v>45300</v>
      </c>
      <c r="F1163" t="s">
        <v>13</v>
      </c>
      <c r="G1163">
        <v>11174148</v>
      </c>
      <c r="H1163" s="1">
        <v>45307</v>
      </c>
      <c r="I1163" t="s">
        <v>555</v>
      </c>
      <c r="J1163" t="s">
        <v>556</v>
      </c>
      <c r="L1163">
        <v>11174148</v>
      </c>
      <c r="M1163">
        <f>IF(F1163="INR",1,INDEX('rates'!$B$2:$C$522,MATCH(D1163,'rates'!$A$2:$A$522,1),MATCH(F1163&amp;"/INR",'rates'!$B$1:$C$1,0)))</f>
        <v>1</v>
      </c>
      <c r="N1163">
        <f t="shared" si="94"/>
        <v>11174148</v>
      </c>
      <c r="O1163">
        <f t="shared" si="95"/>
        <v>0</v>
      </c>
      <c r="P1163">
        <f t="shared" si="96"/>
        <v>0</v>
      </c>
      <c r="Q1163">
        <f t="shared" si="93"/>
        <v>7</v>
      </c>
      <c r="R1163" t="str">
        <f t="shared" si="97"/>
        <v>Not open</v>
      </c>
    </row>
    <row r="1164" spans="1:18" x14ac:dyDescent="0.3">
      <c r="A1164" t="s">
        <v>1345</v>
      </c>
      <c r="B1164" t="s">
        <v>524</v>
      </c>
      <c r="C1164" t="s">
        <v>554</v>
      </c>
      <c r="D1164" s="1">
        <v>45255</v>
      </c>
      <c r="E1164" s="1">
        <v>45315</v>
      </c>
      <c r="F1164" t="s">
        <v>31</v>
      </c>
      <c r="G1164">
        <v>110823.45</v>
      </c>
      <c r="H1164" s="1">
        <v>45328</v>
      </c>
      <c r="I1164" t="s">
        <v>555</v>
      </c>
      <c r="J1164" t="s">
        <v>573</v>
      </c>
      <c r="K1164">
        <v>91.306200000000004</v>
      </c>
      <c r="L1164">
        <v>110823.45</v>
      </c>
      <c r="M1164">
        <f>IF(F1164="INR",1,INDEX('rates'!$B$2:$C$522,MATCH(D1164,'rates'!$A$2:$A$522,1),MATCH(F1164&amp;"/INR",'rates'!$B$1:$C$1,0)))</f>
        <v>91.123999999999995</v>
      </c>
      <c r="N1164">
        <f t="shared" si="94"/>
        <v>10098676.057799999</v>
      </c>
      <c r="O1164">
        <f t="shared" si="95"/>
        <v>0</v>
      </c>
      <c r="P1164">
        <f t="shared" si="96"/>
        <v>0</v>
      </c>
      <c r="Q1164">
        <f t="shared" si="93"/>
        <v>13</v>
      </c>
      <c r="R1164" t="str">
        <f t="shared" si="97"/>
        <v>Not open</v>
      </c>
    </row>
    <row r="1165" spans="1:18" x14ac:dyDescent="0.3">
      <c r="A1165" t="s">
        <v>1346</v>
      </c>
      <c r="B1165" t="s">
        <v>536</v>
      </c>
      <c r="C1165" t="s">
        <v>575</v>
      </c>
      <c r="D1165" s="1">
        <v>45255</v>
      </c>
      <c r="E1165" s="1">
        <v>45285</v>
      </c>
      <c r="F1165" t="s">
        <v>36</v>
      </c>
      <c r="G1165">
        <v>77408.679999999993</v>
      </c>
      <c r="H1165" s="1">
        <v>45291</v>
      </c>
      <c r="I1165" t="s">
        <v>555</v>
      </c>
      <c r="J1165" t="s">
        <v>556</v>
      </c>
      <c r="L1165">
        <v>77408.679999999993</v>
      </c>
      <c r="M1165">
        <f>IF(F1165="INR",1,INDEX('rates'!$B$2:$C$522,MATCH(D1165,'rates'!$A$2:$A$522,1),MATCH(F1165&amp;"/INR",'rates'!$B$1:$C$1,0)))</f>
        <v>83.34</v>
      </c>
      <c r="N1165">
        <f t="shared" si="94"/>
        <v>6451239.3911999995</v>
      </c>
      <c r="O1165">
        <f t="shared" si="95"/>
        <v>0</v>
      </c>
      <c r="P1165">
        <f t="shared" si="96"/>
        <v>0</v>
      </c>
      <c r="Q1165">
        <f t="shared" si="93"/>
        <v>6</v>
      </c>
      <c r="R1165" t="str">
        <f t="shared" si="97"/>
        <v>Not open</v>
      </c>
    </row>
    <row r="1166" spans="1:18" x14ac:dyDescent="0.3">
      <c r="A1166" t="s">
        <v>1347</v>
      </c>
      <c r="B1166" t="s">
        <v>87</v>
      </c>
      <c r="C1166" t="s">
        <v>566</v>
      </c>
      <c r="D1166" s="1">
        <v>45257</v>
      </c>
      <c r="E1166" s="1">
        <v>45302</v>
      </c>
      <c r="F1166" t="s">
        <v>36</v>
      </c>
      <c r="G1166">
        <v>47690.33</v>
      </c>
      <c r="H1166" s="1">
        <v>45335</v>
      </c>
      <c r="I1166" t="s">
        <v>555</v>
      </c>
      <c r="J1166" t="s">
        <v>573</v>
      </c>
      <c r="K1166">
        <v>83.548299999999998</v>
      </c>
      <c r="L1166">
        <v>47690.33</v>
      </c>
      <c r="M1166">
        <f>IF(F1166="INR",1,INDEX('rates'!$B$2:$C$522,MATCH(D1166,'rates'!$A$2:$A$522,1),MATCH(F1166&amp;"/INR",'rates'!$B$1:$C$1,0)))</f>
        <v>83.34</v>
      </c>
      <c r="N1166">
        <f t="shared" si="94"/>
        <v>3974512.1022000001</v>
      </c>
      <c r="O1166">
        <f t="shared" si="95"/>
        <v>0</v>
      </c>
      <c r="P1166">
        <f t="shared" si="96"/>
        <v>0</v>
      </c>
      <c r="Q1166">
        <f t="shared" si="93"/>
        <v>33</v>
      </c>
      <c r="R1166" t="str">
        <f t="shared" si="97"/>
        <v>Not open</v>
      </c>
    </row>
    <row r="1167" spans="1:18" x14ac:dyDescent="0.3">
      <c r="A1167" t="s">
        <v>1348</v>
      </c>
      <c r="B1167" t="s">
        <v>87</v>
      </c>
      <c r="C1167" t="s">
        <v>566</v>
      </c>
      <c r="D1167" s="1">
        <v>45257</v>
      </c>
      <c r="E1167" s="1">
        <v>45302</v>
      </c>
      <c r="F1167" t="s">
        <v>36</v>
      </c>
      <c r="G1167">
        <v>60443.75</v>
      </c>
      <c r="H1167" s="1">
        <v>45337</v>
      </c>
      <c r="I1167" t="s">
        <v>555</v>
      </c>
      <c r="J1167" t="s">
        <v>573</v>
      </c>
      <c r="K1167">
        <v>83.548299999999998</v>
      </c>
      <c r="L1167">
        <v>60443.75</v>
      </c>
      <c r="M1167">
        <f>IF(F1167="INR",1,INDEX('rates'!$B$2:$C$522,MATCH(D1167,'rates'!$A$2:$A$522,1),MATCH(F1167&amp;"/INR",'rates'!$B$1:$C$1,0)))</f>
        <v>83.34</v>
      </c>
      <c r="N1167">
        <f t="shared" si="94"/>
        <v>5037382.125</v>
      </c>
      <c r="O1167">
        <f t="shared" si="95"/>
        <v>0</v>
      </c>
      <c r="P1167">
        <f t="shared" si="96"/>
        <v>0</v>
      </c>
      <c r="Q1167">
        <f t="shared" si="93"/>
        <v>35</v>
      </c>
      <c r="R1167" t="str">
        <f t="shared" si="97"/>
        <v>Not open</v>
      </c>
    </row>
    <row r="1168" spans="1:18" x14ac:dyDescent="0.3">
      <c r="A1168" t="s">
        <v>1349</v>
      </c>
      <c r="B1168" t="s">
        <v>119</v>
      </c>
      <c r="C1168" t="s">
        <v>560</v>
      </c>
      <c r="D1168" s="1">
        <v>45257</v>
      </c>
      <c r="E1168" s="1">
        <v>45287</v>
      </c>
      <c r="F1168" t="s">
        <v>31</v>
      </c>
      <c r="G1168">
        <v>43203.4</v>
      </c>
      <c r="H1168" s="1">
        <v>45305</v>
      </c>
      <c r="I1168" t="s">
        <v>555</v>
      </c>
      <c r="J1168" t="s">
        <v>556</v>
      </c>
      <c r="L1168">
        <v>43203.4</v>
      </c>
      <c r="M1168">
        <f>IF(F1168="INR",1,INDEX('rates'!$B$2:$C$522,MATCH(D1168,'rates'!$A$2:$A$522,1),MATCH(F1168&amp;"/INR",'rates'!$B$1:$C$1,0)))</f>
        <v>91.149000000000001</v>
      </c>
      <c r="N1168">
        <f t="shared" si="94"/>
        <v>3937946.7066000002</v>
      </c>
      <c r="O1168">
        <f t="shared" si="95"/>
        <v>0</v>
      </c>
      <c r="P1168">
        <f t="shared" si="96"/>
        <v>0</v>
      </c>
      <c r="Q1168">
        <f t="shared" si="93"/>
        <v>18</v>
      </c>
      <c r="R1168" t="str">
        <f t="shared" si="97"/>
        <v>Not open</v>
      </c>
    </row>
    <row r="1169" spans="1:18" x14ac:dyDescent="0.3">
      <c r="A1169" t="s">
        <v>1350</v>
      </c>
      <c r="B1169" t="s">
        <v>160</v>
      </c>
      <c r="C1169" t="s">
        <v>554</v>
      </c>
      <c r="D1169" s="1">
        <v>45257</v>
      </c>
      <c r="E1169" s="1">
        <v>45302</v>
      </c>
      <c r="F1169" t="s">
        <v>13</v>
      </c>
      <c r="G1169">
        <v>5743925</v>
      </c>
      <c r="H1169" s="1">
        <v>45317</v>
      </c>
      <c r="I1169" t="s">
        <v>555</v>
      </c>
      <c r="J1169" t="s">
        <v>556</v>
      </c>
      <c r="L1169">
        <v>5743925</v>
      </c>
      <c r="M1169">
        <f>IF(F1169="INR",1,INDEX('rates'!$B$2:$C$522,MATCH(D1169,'rates'!$A$2:$A$522,1),MATCH(F1169&amp;"/INR",'rates'!$B$1:$C$1,0)))</f>
        <v>1</v>
      </c>
      <c r="N1169">
        <f t="shared" si="94"/>
        <v>5743925</v>
      </c>
      <c r="O1169">
        <f t="shared" si="95"/>
        <v>0</v>
      </c>
      <c r="P1169">
        <f t="shared" si="96"/>
        <v>0</v>
      </c>
      <c r="Q1169">
        <f t="shared" si="93"/>
        <v>15</v>
      </c>
      <c r="R1169" t="str">
        <f t="shared" si="97"/>
        <v>Not open</v>
      </c>
    </row>
    <row r="1170" spans="1:18" x14ac:dyDescent="0.3">
      <c r="A1170" t="s">
        <v>1351</v>
      </c>
      <c r="B1170" t="s">
        <v>160</v>
      </c>
      <c r="C1170" t="s">
        <v>554</v>
      </c>
      <c r="D1170" s="1">
        <v>45257</v>
      </c>
      <c r="E1170" s="1">
        <v>45302</v>
      </c>
      <c r="F1170" t="s">
        <v>13</v>
      </c>
      <c r="G1170">
        <v>3967797</v>
      </c>
      <c r="H1170" s="1">
        <v>45318</v>
      </c>
      <c r="I1170" t="s">
        <v>555</v>
      </c>
      <c r="J1170" t="s">
        <v>556</v>
      </c>
      <c r="L1170">
        <v>3967797</v>
      </c>
      <c r="M1170">
        <f>IF(F1170="INR",1,INDEX('rates'!$B$2:$C$522,MATCH(D1170,'rates'!$A$2:$A$522,1),MATCH(F1170&amp;"/INR",'rates'!$B$1:$C$1,0)))</f>
        <v>1</v>
      </c>
      <c r="N1170">
        <f t="shared" si="94"/>
        <v>3967797</v>
      </c>
      <c r="O1170">
        <f t="shared" si="95"/>
        <v>0</v>
      </c>
      <c r="P1170">
        <f t="shared" si="96"/>
        <v>0</v>
      </c>
      <c r="Q1170">
        <f t="shared" si="93"/>
        <v>16</v>
      </c>
      <c r="R1170" t="str">
        <f t="shared" si="97"/>
        <v>Not open</v>
      </c>
    </row>
    <row r="1171" spans="1:18" x14ac:dyDescent="0.3">
      <c r="A1171" t="s">
        <v>1352</v>
      </c>
      <c r="B1171" t="s">
        <v>336</v>
      </c>
      <c r="C1171" t="s">
        <v>554</v>
      </c>
      <c r="D1171" s="1">
        <v>45257</v>
      </c>
      <c r="E1171" s="1">
        <v>45287</v>
      </c>
      <c r="F1171" t="s">
        <v>13</v>
      </c>
      <c r="G1171">
        <v>3761744</v>
      </c>
      <c r="H1171" s="1">
        <v>45293</v>
      </c>
      <c r="I1171" t="s">
        <v>555</v>
      </c>
      <c r="J1171" t="s">
        <v>556</v>
      </c>
      <c r="L1171">
        <v>3761744</v>
      </c>
      <c r="M1171">
        <f>IF(F1171="INR",1,INDEX('rates'!$B$2:$C$522,MATCH(D1171,'rates'!$A$2:$A$522,1),MATCH(F1171&amp;"/INR",'rates'!$B$1:$C$1,0)))</f>
        <v>1</v>
      </c>
      <c r="N1171">
        <f t="shared" si="94"/>
        <v>3761744</v>
      </c>
      <c r="O1171">
        <f t="shared" si="95"/>
        <v>0</v>
      </c>
      <c r="P1171">
        <f t="shared" si="96"/>
        <v>0</v>
      </c>
      <c r="Q1171">
        <f t="shared" si="93"/>
        <v>6</v>
      </c>
      <c r="R1171" t="str">
        <f t="shared" si="97"/>
        <v>Not open</v>
      </c>
    </row>
    <row r="1172" spans="1:18" x14ac:dyDescent="0.3">
      <c r="A1172" t="s">
        <v>1353</v>
      </c>
      <c r="B1172" t="s">
        <v>496</v>
      </c>
      <c r="C1172" t="s">
        <v>554</v>
      </c>
      <c r="D1172" s="1">
        <v>45257</v>
      </c>
      <c r="E1172" s="1">
        <v>45302</v>
      </c>
      <c r="F1172" t="s">
        <v>13</v>
      </c>
      <c r="G1172">
        <v>6623799</v>
      </c>
      <c r="H1172" s="1">
        <v>45305</v>
      </c>
      <c r="I1172" t="s">
        <v>555</v>
      </c>
      <c r="J1172" t="s">
        <v>556</v>
      </c>
      <c r="L1172">
        <v>6623799</v>
      </c>
      <c r="M1172">
        <f>IF(F1172="INR",1,INDEX('rates'!$B$2:$C$522,MATCH(D1172,'rates'!$A$2:$A$522,1),MATCH(F1172&amp;"/INR",'rates'!$B$1:$C$1,0)))</f>
        <v>1</v>
      </c>
      <c r="N1172">
        <f t="shared" si="94"/>
        <v>6623799</v>
      </c>
      <c r="O1172">
        <f t="shared" si="95"/>
        <v>0</v>
      </c>
      <c r="P1172">
        <f t="shared" si="96"/>
        <v>0</v>
      </c>
      <c r="Q1172">
        <f t="shared" si="93"/>
        <v>3</v>
      </c>
      <c r="R1172" t="str">
        <f t="shared" si="97"/>
        <v>Not open</v>
      </c>
    </row>
    <row r="1173" spans="1:18" x14ac:dyDescent="0.3">
      <c r="A1173" t="s">
        <v>1354</v>
      </c>
      <c r="B1173" t="s">
        <v>22</v>
      </c>
      <c r="C1173" t="s">
        <v>554</v>
      </c>
      <c r="D1173" s="1">
        <v>45258</v>
      </c>
      <c r="E1173" s="1">
        <v>45303</v>
      </c>
      <c r="F1173" t="s">
        <v>13</v>
      </c>
      <c r="G1173">
        <v>1032886</v>
      </c>
      <c r="H1173" s="1">
        <v>45319</v>
      </c>
      <c r="I1173" t="s">
        <v>555</v>
      </c>
      <c r="J1173" t="s">
        <v>556</v>
      </c>
      <c r="L1173">
        <v>1032886</v>
      </c>
      <c r="M1173">
        <f>IF(F1173="INR",1,INDEX('rates'!$B$2:$C$522,MATCH(D1173,'rates'!$A$2:$A$522,1),MATCH(F1173&amp;"/INR",'rates'!$B$1:$C$1,0)))</f>
        <v>1</v>
      </c>
      <c r="N1173">
        <f t="shared" si="94"/>
        <v>1032886</v>
      </c>
      <c r="O1173">
        <f t="shared" si="95"/>
        <v>0</v>
      </c>
      <c r="P1173">
        <f t="shared" si="96"/>
        <v>0</v>
      </c>
      <c r="Q1173">
        <f t="shared" si="93"/>
        <v>16</v>
      </c>
      <c r="R1173" t="str">
        <f t="shared" si="97"/>
        <v>Not open</v>
      </c>
    </row>
    <row r="1174" spans="1:18" x14ac:dyDescent="0.3">
      <c r="A1174" t="s">
        <v>1355</v>
      </c>
      <c r="B1174" t="s">
        <v>184</v>
      </c>
      <c r="C1174" t="s">
        <v>575</v>
      </c>
      <c r="D1174" s="1">
        <v>45258</v>
      </c>
      <c r="E1174" s="1">
        <v>45348</v>
      </c>
      <c r="F1174" t="s">
        <v>31</v>
      </c>
      <c r="G1174">
        <v>100899.26</v>
      </c>
      <c r="H1174" s="1">
        <v>45353</v>
      </c>
      <c r="I1174" t="s">
        <v>555</v>
      </c>
      <c r="J1174" t="s">
        <v>556</v>
      </c>
      <c r="L1174">
        <v>100899.26</v>
      </c>
      <c r="M1174">
        <f>IF(F1174="INR",1,INDEX('rates'!$B$2:$C$522,MATCH(D1174,'rates'!$A$2:$A$522,1),MATCH(F1174&amp;"/INR",'rates'!$B$1:$C$1,0)))</f>
        <v>91.721299999999999</v>
      </c>
      <c r="N1174">
        <f t="shared" si="94"/>
        <v>9254611.2962379996</v>
      </c>
      <c r="O1174">
        <f t="shared" si="95"/>
        <v>0</v>
      </c>
      <c r="P1174">
        <f t="shared" si="96"/>
        <v>0</v>
      </c>
      <c r="Q1174">
        <f t="shared" si="93"/>
        <v>5</v>
      </c>
      <c r="R1174" t="str">
        <f t="shared" si="97"/>
        <v>Not open</v>
      </c>
    </row>
    <row r="1175" spans="1:18" x14ac:dyDescent="0.3">
      <c r="A1175" t="s">
        <v>1356</v>
      </c>
      <c r="B1175" t="s">
        <v>260</v>
      </c>
      <c r="C1175" t="s">
        <v>558</v>
      </c>
      <c r="D1175" s="1">
        <v>45258</v>
      </c>
      <c r="E1175" s="1">
        <v>45318</v>
      </c>
      <c r="F1175" t="s">
        <v>36</v>
      </c>
      <c r="G1175">
        <v>163607.20000000001</v>
      </c>
      <c r="H1175" s="1">
        <v>45339</v>
      </c>
      <c r="I1175" t="s">
        <v>555</v>
      </c>
      <c r="J1175" t="s">
        <v>573</v>
      </c>
      <c r="K1175">
        <v>83.607799999999997</v>
      </c>
      <c r="L1175">
        <v>163607.20000000001</v>
      </c>
      <c r="M1175">
        <f>IF(F1175="INR",1,INDEX('rates'!$B$2:$C$522,MATCH(D1175,'rates'!$A$2:$A$522,1),MATCH(F1175&amp;"/INR",'rates'!$B$1:$C$1,0)))</f>
        <v>83.33</v>
      </c>
      <c r="N1175">
        <f t="shared" si="94"/>
        <v>13633387.976</v>
      </c>
      <c r="O1175">
        <f t="shared" si="95"/>
        <v>0</v>
      </c>
      <c r="P1175">
        <f t="shared" si="96"/>
        <v>0</v>
      </c>
      <c r="Q1175">
        <f t="shared" si="93"/>
        <v>21</v>
      </c>
      <c r="R1175" t="str">
        <f t="shared" si="97"/>
        <v>Not open</v>
      </c>
    </row>
    <row r="1176" spans="1:18" x14ac:dyDescent="0.3">
      <c r="A1176" t="s">
        <v>1357</v>
      </c>
      <c r="B1176" t="s">
        <v>320</v>
      </c>
      <c r="C1176" t="s">
        <v>575</v>
      </c>
      <c r="D1176" s="1">
        <v>45258</v>
      </c>
      <c r="E1176" s="1">
        <v>45303</v>
      </c>
      <c r="F1176" t="s">
        <v>13</v>
      </c>
      <c r="G1176">
        <v>6709757</v>
      </c>
      <c r="H1176" s="1">
        <v>45361</v>
      </c>
      <c r="I1176" t="s">
        <v>555</v>
      </c>
      <c r="J1176" t="s">
        <v>556</v>
      </c>
      <c r="L1176">
        <v>6709757</v>
      </c>
      <c r="M1176">
        <f>IF(F1176="INR",1,INDEX('rates'!$B$2:$C$522,MATCH(D1176,'rates'!$A$2:$A$522,1),MATCH(F1176&amp;"/INR",'rates'!$B$1:$C$1,0)))</f>
        <v>1</v>
      </c>
      <c r="N1176">
        <f t="shared" si="94"/>
        <v>6709757</v>
      </c>
      <c r="O1176">
        <f t="shared" si="95"/>
        <v>0</v>
      </c>
      <c r="P1176">
        <f t="shared" si="96"/>
        <v>0</v>
      </c>
      <c r="Q1176">
        <f t="shared" si="93"/>
        <v>58</v>
      </c>
      <c r="R1176" t="str">
        <f t="shared" si="97"/>
        <v>Not open</v>
      </c>
    </row>
    <row r="1177" spans="1:18" x14ac:dyDescent="0.3">
      <c r="A1177" t="s">
        <v>1358</v>
      </c>
      <c r="B1177" t="s">
        <v>438</v>
      </c>
      <c r="C1177" t="s">
        <v>558</v>
      </c>
      <c r="D1177" s="1">
        <v>45258</v>
      </c>
      <c r="E1177" s="1">
        <v>45318</v>
      </c>
      <c r="F1177" t="s">
        <v>36</v>
      </c>
      <c r="G1177">
        <v>16056.7</v>
      </c>
      <c r="H1177" s="1">
        <v>45334</v>
      </c>
      <c r="I1177" t="s">
        <v>555</v>
      </c>
      <c r="J1177" t="s">
        <v>556</v>
      </c>
      <c r="L1177">
        <v>16056.7</v>
      </c>
      <c r="M1177">
        <f>IF(F1177="INR",1,INDEX('rates'!$B$2:$C$522,MATCH(D1177,'rates'!$A$2:$A$522,1),MATCH(F1177&amp;"/INR",'rates'!$B$1:$C$1,0)))</f>
        <v>83.33</v>
      </c>
      <c r="N1177">
        <f t="shared" si="94"/>
        <v>1338004.811</v>
      </c>
      <c r="O1177">
        <f t="shared" si="95"/>
        <v>0</v>
      </c>
      <c r="P1177">
        <f t="shared" si="96"/>
        <v>0</v>
      </c>
      <c r="Q1177">
        <f t="shared" si="93"/>
        <v>16</v>
      </c>
      <c r="R1177" t="str">
        <f t="shared" si="97"/>
        <v>Not open</v>
      </c>
    </row>
    <row r="1178" spans="1:18" x14ac:dyDescent="0.3">
      <c r="A1178" t="s">
        <v>1359</v>
      </c>
      <c r="B1178" t="s">
        <v>472</v>
      </c>
      <c r="C1178" t="s">
        <v>558</v>
      </c>
      <c r="D1178" s="1">
        <v>45258</v>
      </c>
      <c r="E1178" s="1">
        <v>45318</v>
      </c>
      <c r="F1178" t="s">
        <v>36</v>
      </c>
      <c r="G1178">
        <v>305893.62</v>
      </c>
      <c r="H1178" s="1">
        <v>45326</v>
      </c>
      <c r="I1178" t="s">
        <v>555</v>
      </c>
      <c r="J1178" t="s">
        <v>556</v>
      </c>
      <c r="L1178">
        <v>305893.62</v>
      </c>
      <c r="M1178">
        <f>IF(F1178="INR",1,INDEX('rates'!$B$2:$C$522,MATCH(D1178,'rates'!$A$2:$A$522,1),MATCH(F1178&amp;"/INR",'rates'!$B$1:$C$1,0)))</f>
        <v>83.33</v>
      </c>
      <c r="N1178">
        <f t="shared" si="94"/>
        <v>25490115.354599997</v>
      </c>
      <c r="O1178">
        <f t="shared" si="95"/>
        <v>0</v>
      </c>
      <c r="P1178">
        <f t="shared" si="96"/>
        <v>0</v>
      </c>
      <c r="Q1178">
        <f t="shared" si="93"/>
        <v>8</v>
      </c>
      <c r="R1178" t="str">
        <f t="shared" si="97"/>
        <v>Not open</v>
      </c>
    </row>
    <row r="1179" spans="1:18" x14ac:dyDescent="0.3">
      <c r="A1179" t="s">
        <v>1360</v>
      </c>
      <c r="B1179" t="s">
        <v>113</v>
      </c>
      <c r="C1179" t="s">
        <v>554</v>
      </c>
      <c r="D1179" s="1">
        <v>45259</v>
      </c>
      <c r="E1179" s="1">
        <v>45289</v>
      </c>
      <c r="F1179" t="s">
        <v>13</v>
      </c>
      <c r="G1179">
        <v>4890527</v>
      </c>
      <c r="H1179" s="1">
        <v>45292</v>
      </c>
      <c r="I1179" t="s">
        <v>555</v>
      </c>
      <c r="J1179" t="s">
        <v>556</v>
      </c>
      <c r="L1179">
        <v>4890527</v>
      </c>
      <c r="M1179">
        <f>IF(F1179="INR",1,INDEX('rates'!$B$2:$C$522,MATCH(D1179,'rates'!$A$2:$A$522,1),MATCH(F1179&amp;"/INR",'rates'!$B$1:$C$1,0)))</f>
        <v>1</v>
      </c>
      <c r="N1179">
        <f t="shared" si="94"/>
        <v>4890527</v>
      </c>
      <c r="O1179">
        <f t="shared" si="95"/>
        <v>0</v>
      </c>
      <c r="P1179">
        <f t="shared" si="96"/>
        <v>0</v>
      </c>
      <c r="Q1179">
        <f t="shared" si="93"/>
        <v>3</v>
      </c>
      <c r="R1179" t="str">
        <f t="shared" si="97"/>
        <v>Not open</v>
      </c>
    </row>
    <row r="1180" spans="1:18" x14ac:dyDescent="0.3">
      <c r="A1180" t="s">
        <v>1361</v>
      </c>
      <c r="B1180" t="s">
        <v>117</v>
      </c>
      <c r="C1180" t="s">
        <v>554</v>
      </c>
      <c r="D1180" s="1">
        <v>45259</v>
      </c>
      <c r="E1180" s="1">
        <v>45319</v>
      </c>
      <c r="F1180" t="s">
        <v>13</v>
      </c>
      <c r="G1180">
        <v>10365389</v>
      </c>
      <c r="H1180" s="1">
        <v>45324</v>
      </c>
      <c r="I1180" t="s">
        <v>555</v>
      </c>
      <c r="J1180" t="s">
        <v>556</v>
      </c>
      <c r="L1180">
        <v>10365389</v>
      </c>
      <c r="M1180">
        <f>IF(F1180="INR",1,INDEX('rates'!$B$2:$C$522,MATCH(D1180,'rates'!$A$2:$A$522,1),MATCH(F1180&amp;"/INR",'rates'!$B$1:$C$1,0)))</f>
        <v>1</v>
      </c>
      <c r="N1180">
        <f t="shared" si="94"/>
        <v>10365389</v>
      </c>
      <c r="O1180">
        <f t="shared" si="95"/>
        <v>0</v>
      </c>
      <c r="P1180">
        <f t="shared" si="96"/>
        <v>0</v>
      </c>
      <c r="Q1180">
        <f t="shared" si="93"/>
        <v>5</v>
      </c>
      <c r="R1180" t="str">
        <f t="shared" si="97"/>
        <v>Not open</v>
      </c>
    </row>
    <row r="1181" spans="1:18" x14ac:dyDescent="0.3">
      <c r="A1181" t="s">
        <v>1362</v>
      </c>
      <c r="B1181" t="s">
        <v>138</v>
      </c>
      <c r="C1181" t="s">
        <v>566</v>
      </c>
      <c r="D1181" s="1">
        <v>45259</v>
      </c>
      <c r="E1181" s="1">
        <v>45289</v>
      </c>
      <c r="F1181" t="s">
        <v>13</v>
      </c>
      <c r="G1181">
        <v>13277193</v>
      </c>
      <c r="H1181" s="1">
        <v>45289</v>
      </c>
      <c r="I1181" t="s">
        <v>555</v>
      </c>
      <c r="J1181" t="s">
        <v>556</v>
      </c>
      <c r="L1181">
        <v>13277193</v>
      </c>
      <c r="M1181">
        <f>IF(F1181="INR",1,INDEX('rates'!$B$2:$C$522,MATCH(D1181,'rates'!$A$2:$A$522,1),MATCH(F1181&amp;"/INR",'rates'!$B$1:$C$1,0)))</f>
        <v>1</v>
      </c>
      <c r="N1181">
        <f t="shared" si="94"/>
        <v>13277193</v>
      </c>
      <c r="O1181">
        <f t="shared" si="95"/>
        <v>0</v>
      </c>
      <c r="P1181">
        <f t="shared" si="96"/>
        <v>0</v>
      </c>
      <c r="Q1181">
        <f t="shared" si="93"/>
        <v>0</v>
      </c>
      <c r="R1181" t="str">
        <f t="shared" si="97"/>
        <v>Not open</v>
      </c>
    </row>
    <row r="1182" spans="1:18" x14ac:dyDescent="0.3">
      <c r="A1182" t="s">
        <v>1363</v>
      </c>
      <c r="B1182" t="s">
        <v>308</v>
      </c>
      <c r="C1182" t="s">
        <v>554</v>
      </c>
      <c r="D1182" s="1">
        <v>45259</v>
      </c>
      <c r="E1182" s="1">
        <v>45349</v>
      </c>
      <c r="F1182" t="s">
        <v>13</v>
      </c>
      <c r="G1182">
        <v>600000</v>
      </c>
      <c r="H1182" s="1">
        <v>45354</v>
      </c>
      <c r="I1182" t="s">
        <v>555</v>
      </c>
      <c r="J1182" t="s">
        <v>556</v>
      </c>
      <c r="L1182">
        <v>600000</v>
      </c>
      <c r="M1182">
        <f>IF(F1182="INR",1,INDEX('rates'!$B$2:$C$522,MATCH(D1182,'rates'!$A$2:$A$522,1),MATCH(F1182&amp;"/INR",'rates'!$B$1:$C$1,0)))</f>
        <v>1</v>
      </c>
      <c r="N1182">
        <f t="shared" si="94"/>
        <v>600000</v>
      </c>
      <c r="O1182">
        <f t="shared" si="95"/>
        <v>0</v>
      </c>
      <c r="P1182">
        <f t="shared" si="96"/>
        <v>0</v>
      </c>
      <c r="Q1182">
        <f t="shared" si="93"/>
        <v>5</v>
      </c>
      <c r="R1182" t="str">
        <f t="shared" si="97"/>
        <v>Not open</v>
      </c>
    </row>
    <row r="1183" spans="1:18" x14ac:dyDescent="0.3">
      <c r="A1183" t="s">
        <v>1364</v>
      </c>
      <c r="B1183" t="s">
        <v>154</v>
      </c>
      <c r="C1183" t="s">
        <v>566</v>
      </c>
      <c r="D1183" s="1">
        <v>45260</v>
      </c>
      <c r="E1183" s="1">
        <v>45290</v>
      </c>
      <c r="F1183" t="s">
        <v>13</v>
      </c>
      <c r="G1183">
        <v>14364851</v>
      </c>
      <c r="H1183" s="1">
        <v>45293</v>
      </c>
      <c r="I1183" t="s">
        <v>555</v>
      </c>
      <c r="J1183" t="s">
        <v>556</v>
      </c>
      <c r="L1183">
        <v>14364851</v>
      </c>
      <c r="M1183">
        <f>IF(F1183="INR",1,INDEX('rates'!$B$2:$C$522,MATCH(D1183,'rates'!$A$2:$A$522,1),MATCH(F1183&amp;"/INR",'rates'!$B$1:$C$1,0)))</f>
        <v>1</v>
      </c>
      <c r="N1183">
        <f t="shared" si="94"/>
        <v>14364851</v>
      </c>
      <c r="O1183">
        <f t="shared" si="95"/>
        <v>0</v>
      </c>
      <c r="P1183">
        <f t="shared" si="96"/>
        <v>0</v>
      </c>
      <c r="Q1183">
        <f t="shared" si="93"/>
        <v>3</v>
      </c>
      <c r="R1183" t="str">
        <f t="shared" si="97"/>
        <v>Not open</v>
      </c>
    </row>
    <row r="1184" spans="1:18" x14ac:dyDescent="0.3">
      <c r="A1184" t="s">
        <v>1365</v>
      </c>
      <c r="B1184" t="s">
        <v>322</v>
      </c>
      <c r="C1184" t="s">
        <v>566</v>
      </c>
      <c r="D1184" s="1">
        <v>45260</v>
      </c>
      <c r="E1184" s="1">
        <v>45320</v>
      </c>
      <c r="F1184" t="s">
        <v>13</v>
      </c>
      <c r="G1184">
        <v>7445510</v>
      </c>
      <c r="H1184" s="1">
        <v>45332</v>
      </c>
      <c r="I1184" t="s">
        <v>555</v>
      </c>
      <c r="J1184" t="s">
        <v>556</v>
      </c>
      <c r="L1184">
        <v>7445510</v>
      </c>
      <c r="M1184">
        <f>IF(F1184="INR",1,INDEX('rates'!$B$2:$C$522,MATCH(D1184,'rates'!$A$2:$A$522,1),MATCH(F1184&amp;"/INR",'rates'!$B$1:$C$1,0)))</f>
        <v>1</v>
      </c>
      <c r="N1184">
        <f t="shared" si="94"/>
        <v>7445510</v>
      </c>
      <c r="O1184">
        <f t="shared" si="95"/>
        <v>0</v>
      </c>
      <c r="P1184">
        <f t="shared" si="96"/>
        <v>0</v>
      </c>
      <c r="Q1184">
        <f t="shared" si="93"/>
        <v>12</v>
      </c>
      <c r="R1184" t="str">
        <f t="shared" si="97"/>
        <v>Not open</v>
      </c>
    </row>
    <row r="1185" spans="1:18" x14ac:dyDescent="0.3">
      <c r="A1185" t="s">
        <v>1366</v>
      </c>
      <c r="B1185" t="s">
        <v>476</v>
      </c>
      <c r="C1185" t="s">
        <v>566</v>
      </c>
      <c r="D1185" s="1">
        <v>45260</v>
      </c>
      <c r="E1185" s="1">
        <v>45305</v>
      </c>
      <c r="F1185" t="s">
        <v>13</v>
      </c>
      <c r="G1185">
        <v>2171890</v>
      </c>
      <c r="H1185" s="1">
        <v>45325</v>
      </c>
      <c r="I1185" t="s">
        <v>555</v>
      </c>
      <c r="J1185" t="s">
        <v>556</v>
      </c>
      <c r="L1185">
        <v>2171890</v>
      </c>
      <c r="M1185">
        <f>IF(F1185="INR",1,INDEX('rates'!$B$2:$C$522,MATCH(D1185,'rates'!$A$2:$A$522,1),MATCH(F1185&amp;"/INR",'rates'!$B$1:$C$1,0)))</f>
        <v>1</v>
      </c>
      <c r="N1185">
        <f t="shared" si="94"/>
        <v>2171890</v>
      </c>
      <c r="O1185">
        <f t="shared" si="95"/>
        <v>0</v>
      </c>
      <c r="P1185">
        <f t="shared" si="96"/>
        <v>0</v>
      </c>
      <c r="Q1185">
        <f t="shared" si="93"/>
        <v>20</v>
      </c>
      <c r="R1185" t="str">
        <f t="shared" si="97"/>
        <v>Not open</v>
      </c>
    </row>
    <row r="1186" spans="1:18" x14ac:dyDescent="0.3">
      <c r="A1186" t="s">
        <v>1367</v>
      </c>
      <c r="B1186" t="s">
        <v>262</v>
      </c>
      <c r="C1186" t="s">
        <v>566</v>
      </c>
      <c r="D1186" s="1">
        <v>45261</v>
      </c>
      <c r="E1186" s="1">
        <v>45351</v>
      </c>
      <c r="F1186" t="s">
        <v>31</v>
      </c>
      <c r="G1186">
        <v>150678.19</v>
      </c>
      <c r="H1186" s="1">
        <v>45378</v>
      </c>
      <c r="I1186" t="s">
        <v>555</v>
      </c>
      <c r="J1186" t="s">
        <v>573</v>
      </c>
      <c r="K1186">
        <v>90.852800000000002</v>
      </c>
      <c r="L1186">
        <v>150678.19</v>
      </c>
      <c r="M1186">
        <f>IF(F1186="INR",1,INDEX('rates'!$B$2:$C$522,MATCH(D1186,'rates'!$A$2:$A$522,1),MATCH(F1186&amp;"/INR",'rates'!$B$1:$C$1,0)))</f>
        <v>90.581100000000006</v>
      </c>
      <c r="N1186">
        <f t="shared" si="94"/>
        <v>13648596.196209</v>
      </c>
      <c r="O1186">
        <f t="shared" si="95"/>
        <v>0</v>
      </c>
      <c r="P1186">
        <f t="shared" si="96"/>
        <v>0</v>
      </c>
      <c r="Q1186">
        <f t="shared" si="93"/>
        <v>27</v>
      </c>
      <c r="R1186" t="str">
        <f t="shared" si="97"/>
        <v>Not open</v>
      </c>
    </row>
    <row r="1187" spans="1:18" x14ac:dyDescent="0.3">
      <c r="A1187" t="s">
        <v>1368</v>
      </c>
      <c r="B1187" t="s">
        <v>524</v>
      </c>
      <c r="C1187" t="s">
        <v>554</v>
      </c>
      <c r="D1187" s="1">
        <v>45261</v>
      </c>
      <c r="E1187" s="1">
        <v>45321</v>
      </c>
      <c r="F1187" t="s">
        <v>31</v>
      </c>
      <c r="G1187">
        <v>57090.91</v>
      </c>
      <c r="H1187" s="1">
        <v>45343</v>
      </c>
      <c r="I1187" t="s">
        <v>555</v>
      </c>
      <c r="J1187" t="s">
        <v>573</v>
      </c>
      <c r="K1187">
        <v>90.762299999999996</v>
      </c>
      <c r="L1187">
        <v>57090.91</v>
      </c>
      <c r="M1187">
        <f>IF(F1187="INR",1,INDEX('rates'!$B$2:$C$522,MATCH(D1187,'rates'!$A$2:$A$522,1),MATCH(F1187&amp;"/INR",'rates'!$B$1:$C$1,0)))</f>
        <v>90.581100000000006</v>
      </c>
      <c r="N1187">
        <f t="shared" si="94"/>
        <v>5171357.4278010009</v>
      </c>
      <c r="O1187">
        <f t="shared" si="95"/>
        <v>0</v>
      </c>
      <c r="P1187">
        <f t="shared" si="96"/>
        <v>0</v>
      </c>
      <c r="Q1187">
        <f t="shared" si="93"/>
        <v>22</v>
      </c>
      <c r="R1187" t="str">
        <f t="shared" si="97"/>
        <v>Not open</v>
      </c>
    </row>
    <row r="1188" spans="1:18" x14ac:dyDescent="0.3">
      <c r="A1188" t="s">
        <v>1369</v>
      </c>
      <c r="B1188" t="s">
        <v>42</v>
      </c>
      <c r="C1188" t="s">
        <v>566</v>
      </c>
      <c r="D1188" s="1">
        <v>45262</v>
      </c>
      <c r="E1188" s="1">
        <v>45322</v>
      </c>
      <c r="F1188" t="s">
        <v>13</v>
      </c>
      <c r="G1188">
        <v>14028177</v>
      </c>
      <c r="H1188" s="1">
        <v>45327</v>
      </c>
      <c r="I1188" t="s">
        <v>555</v>
      </c>
      <c r="J1188" t="s">
        <v>556</v>
      </c>
      <c r="L1188">
        <v>14028177</v>
      </c>
      <c r="M1188">
        <f>IF(F1188="INR",1,INDEX('rates'!$B$2:$C$522,MATCH(D1188,'rates'!$A$2:$A$522,1),MATCH(F1188&amp;"/INR",'rates'!$B$1:$C$1,0)))</f>
        <v>1</v>
      </c>
      <c r="N1188">
        <f t="shared" si="94"/>
        <v>14028177</v>
      </c>
      <c r="O1188">
        <f t="shared" si="95"/>
        <v>0</v>
      </c>
      <c r="P1188">
        <f t="shared" si="96"/>
        <v>0</v>
      </c>
      <c r="Q1188">
        <f t="shared" si="93"/>
        <v>5</v>
      </c>
      <c r="R1188" t="str">
        <f t="shared" si="97"/>
        <v>Not open</v>
      </c>
    </row>
    <row r="1189" spans="1:18" x14ac:dyDescent="0.3">
      <c r="A1189" t="s">
        <v>1370</v>
      </c>
      <c r="B1189" t="s">
        <v>103</v>
      </c>
      <c r="C1189" t="s">
        <v>554</v>
      </c>
      <c r="D1189" s="1">
        <v>45262</v>
      </c>
      <c r="E1189" s="1">
        <v>45322</v>
      </c>
      <c r="F1189" t="s">
        <v>13</v>
      </c>
      <c r="G1189">
        <v>1984245</v>
      </c>
      <c r="H1189" s="1">
        <v>45330</v>
      </c>
      <c r="I1189" t="s">
        <v>555</v>
      </c>
      <c r="J1189" t="s">
        <v>556</v>
      </c>
      <c r="L1189">
        <v>1984245</v>
      </c>
      <c r="M1189">
        <f>IF(F1189="INR",1,INDEX('rates'!$B$2:$C$522,MATCH(D1189,'rates'!$A$2:$A$522,1),MATCH(F1189&amp;"/INR",'rates'!$B$1:$C$1,0)))</f>
        <v>1</v>
      </c>
      <c r="N1189">
        <f t="shared" si="94"/>
        <v>1984245</v>
      </c>
      <c r="O1189">
        <f t="shared" si="95"/>
        <v>0</v>
      </c>
      <c r="P1189">
        <f t="shared" si="96"/>
        <v>0</v>
      </c>
      <c r="Q1189">
        <f t="shared" si="93"/>
        <v>8</v>
      </c>
      <c r="R1189" t="str">
        <f t="shared" si="97"/>
        <v>Not open</v>
      </c>
    </row>
    <row r="1190" spans="1:18" x14ac:dyDescent="0.3">
      <c r="A1190" t="s">
        <v>1371</v>
      </c>
      <c r="B1190" t="s">
        <v>154</v>
      </c>
      <c r="C1190" t="s">
        <v>566</v>
      </c>
      <c r="D1190" s="1">
        <v>45262</v>
      </c>
      <c r="E1190" s="1">
        <v>45292</v>
      </c>
      <c r="F1190" t="s">
        <v>13</v>
      </c>
      <c r="G1190">
        <v>37849074</v>
      </c>
      <c r="H1190" s="1">
        <v>45295</v>
      </c>
      <c r="I1190" t="s">
        <v>555</v>
      </c>
      <c r="J1190" t="s">
        <v>556</v>
      </c>
      <c r="L1190">
        <v>37849074</v>
      </c>
      <c r="M1190">
        <f>IF(F1190="INR",1,INDEX('rates'!$B$2:$C$522,MATCH(D1190,'rates'!$A$2:$A$522,1),MATCH(F1190&amp;"/INR",'rates'!$B$1:$C$1,0)))</f>
        <v>1</v>
      </c>
      <c r="N1190">
        <f t="shared" si="94"/>
        <v>37849074</v>
      </c>
      <c r="O1190">
        <f t="shared" si="95"/>
        <v>0</v>
      </c>
      <c r="P1190">
        <f t="shared" si="96"/>
        <v>0</v>
      </c>
      <c r="Q1190">
        <f t="shared" si="93"/>
        <v>3</v>
      </c>
      <c r="R1190" t="str">
        <f t="shared" si="97"/>
        <v>Not open</v>
      </c>
    </row>
    <row r="1191" spans="1:18" x14ac:dyDescent="0.3">
      <c r="A1191" t="s">
        <v>1372</v>
      </c>
      <c r="B1191" t="s">
        <v>186</v>
      </c>
      <c r="C1191" t="s">
        <v>558</v>
      </c>
      <c r="D1191" s="1">
        <v>45262</v>
      </c>
      <c r="E1191" s="1">
        <v>45292</v>
      </c>
      <c r="F1191" t="s">
        <v>36</v>
      </c>
      <c r="G1191">
        <v>57882.45</v>
      </c>
      <c r="H1191" s="1">
        <v>45323</v>
      </c>
      <c r="I1191" t="s">
        <v>555</v>
      </c>
      <c r="J1191" t="s">
        <v>556</v>
      </c>
      <c r="L1191">
        <v>57882.45</v>
      </c>
      <c r="M1191">
        <f>IF(F1191="INR",1,INDEX('rates'!$B$2:$C$522,MATCH(D1191,'rates'!$A$2:$A$522,1),MATCH(F1191&amp;"/INR",'rates'!$B$1:$C$1,0)))</f>
        <v>83.27</v>
      </c>
      <c r="N1191">
        <f t="shared" si="94"/>
        <v>4819871.6114999996</v>
      </c>
      <c r="O1191">
        <f t="shared" si="95"/>
        <v>0</v>
      </c>
      <c r="P1191">
        <f t="shared" si="96"/>
        <v>0</v>
      </c>
      <c r="Q1191">
        <f t="shared" si="93"/>
        <v>31</v>
      </c>
      <c r="R1191" t="str">
        <f t="shared" si="97"/>
        <v>Not open</v>
      </c>
    </row>
    <row r="1192" spans="1:18" x14ac:dyDescent="0.3">
      <c r="A1192" t="s">
        <v>1373</v>
      </c>
      <c r="B1192" t="s">
        <v>242</v>
      </c>
      <c r="C1192" t="s">
        <v>560</v>
      </c>
      <c r="D1192" s="1">
        <v>45262</v>
      </c>
      <c r="E1192" s="1">
        <v>45322</v>
      </c>
      <c r="F1192" t="s">
        <v>36</v>
      </c>
      <c r="G1192">
        <v>121205.33</v>
      </c>
      <c r="H1192" s="1">
        <v>45375</v>
      </c>
      <c r="I1192" t="s">
        <v>555</v>
      </c>
      <c r="J1192" t="s">
        <v>556</v>
      </c>
      <c r="L1192">
        <v>121205.33</v>
      </c>
      <c r="M1192">
        <f>IF(F1192="INR",1,INDEX('rates'!$B$2:$C$522,MATCH(D1192,'rates'!$A$2:$A$522,1),MATCH(F1192&amp;"/INR",'rates'!$B$1:$C$1,0)))</f>
        <v>83.27</v>
      </c>
      <c r="N1192">
        <f t="shared" si="94"/>
        <v>10092767.8291</v>
      </c>
      <c r="O1192">
        <f t="shared" si="95"/>
        <v>0</v>
      </c>
      <c r="P1192">
        <f t="shared" si="96"/>
        <v>0</v>
      </c>
      <c r="Q1192">
        <f t="shared" si="93"/>
        <v>53</v>
      </c>
      <c r="R1192" t="str">
        <f t="shared" si="97"/>
        <v>Not open</v>
      </c>
    </row>
    <row r="1193" spans="1:18" x14ac:dyDescent="0.3">
      <c r="A1193" t="s">
        <v>1374</v>
      </c>
      <c r="B1193" t="s">
        <v>332</v>
      </c>
      <c r="C1193" t="s">
        <v>566</v>
      </c>
      <c r="D1193" s="1">
        <v>45262</v>
      </c>
      <c r="E1193" s="1">
        <v>45322</v>
      </c>
      <c r="F1193" t="s">
        <v>36</v>
      </c>
      <c r="G1193">
        <v>229473.1</v>
      </c>
      <c r="H1193" s="1">
        <v>45329</v>
      </c>
      <c r="I1193" t="s">
        <v>555</v>
      </c>
      <c r="J1193" t="s">
        <v>556</v>
      </c>
      <c r="L1193">
        <v>229473.1</v>
      </c>
      <c r="M1193">
        <f>IF(F1193="INR",1,INDEX('rates'!$B$2:$C$522,MATCH(D1193,'rates'!$A$2:$A$522,1),MATCH(F1193&amp;"/INR",'rates'!$B$1:$C$1,0)))</f>
        <v>83.27</v>
      </c>
      <c r="N1193">
        <f t="shared" si="94"/>
        <v>19108225.037</v>
      </c>
      <c r="O1193">
        <f t="shared" si="95"/>
        <v>0</v>
      </c>
      <c r="P1193">
        <f t="shared" si="96"/>
        <v>0</v>
      </c>
      <c r="Q1193">
        <f t="shared" si="93"/>
        <v>7</v>
      </c>
      <c r="R1193" t="str">
        <f t="shared" si="97"/>
        <v>Not open</v>
      </c>
    </row>
    <row r="1194" spans="1:18" x14ac:dyDescent="0.3">
      <c r="A1194" t="s">
        <v>1375</v>
      </c>
      <c r="B1194" t="s">
        <v>356</v>
      </c>
      <c r="C1194" t="s">
        <v>554</v>
      </c>
      <c r="D1194" s="1">
        <v>45262</v>
      </c>
      <c r="E1194" s="1">
        <v>45322</v>
      </c>
      <c r="F1194" t="s">
        <v>13</v>
      </c>
      <c r="G1194">
        <v>10373723</v>
      </c>
      <c r="H1194" s="1">
        <v>45330</v>
      </c>
      <c r="I1194" t="s">
        <v>555</v>
      </c>
      <c r="J1194" t="s">
        <v>556</v>
      </c>
      <c r="L1194">
        <v>10373723</v>
      </c>
      <c r="M1194">
        <f>IF(F1194="INR",1,INDEX('rates'!$B$2:$C$522,MATCH(D1194,'rates'!$A$2:$A$522,1),MATCH(F1194&amp;"/INR",'rates'!$B$1:$C$1,0)))</f>
        <v>1</v>
      </c>
      <c r="N1194">
        <f t="shared" si="94"/>
        <v>10373723</v>
      </c>
      <c r="O1194">
        <f t="shared" si="95"/>
        <v>0</v>
      </c>
      <c r="P1194">
        <f t="shared" si="96"/>
        <v>0</v>
      </c>
      <c r="Q1194">
        <f t="shared" si="93"/>
        <v>8</v>
      </c>
      <c r="R1194" t="str">
        <f t="shared" si="97"/>
        <v>Not open</v>
      </c>
    </row>
    <row r="1195" spans="1:18" x14ac:dyDescent="0.3">
      <c r="A1195" t="s">
        <v>1376</v>
      </c>
      <c r="B1195" t="s">
        <v>372</v>
      </c>
      <c r="C1195" t="s">
        <v>575</v>
      </c>
      <c r="D1195" s="1">
        <v>45262</v>
      </c>
      <c r="E1195" s="1">
        <v>45352</v>
      </c>
      <c r="F1195" t="s">
        <v>13</v>
      </c>
      <c r="G1195">
        <v>16455917</v>
      </c>
      <c r="H1195" s="1"/>
      <c r="I1195" t="s">
        <v>555</v>
      </c>
      <c r="J1195" t="s">
        <v>556</v>
      </c>
      <c r="L1195">
        <v>16455917</v>
      </c>
      <c r="M1195">
        <f>IF(F1195="INR",1,INDEX('rates'!$B$2:$C$522,MATCH(D1195,'rates'!$A$2:$A$522,1),MATCH(F1195&amp;"/INR",'rates'!$B$1:$C$1,0)))</f>
        <v>1</v>
      </c>
      <c r="N1195">
        <f t="shared" si="94"/>
        <v>16455917</v>
      </c>
      <c r="O1195">
        <f t="shared" si="95"/>
        <v>0</v>
      </c>
      <c r="P1195">
        <f t="shared" si="96"/>
        <v>0</v>
      </c>
      <c r="Q1195" t="str">
        <f t="shared" si="93"/>
        <v/>
      </c>
      <c r="R1195" t="str">
        <f t="shared" si="97"/>
        <v>Not open</v>
      </c>
    </row>
    <row r="1196" spans="1:18" x14ac:dyDescent="0.3">
      <c r="A1196" t="s">
        <v>1377</v>
      </c>
      <c r="B1196" t="s">
        <v>402</v>
      </c>
      <c r="C1196" t="s">
        <v>558</v>
      </c>
      <c r="D1196" s="1">
        <v>45262</v>
      </c>
      <c r="E1196" s="1">
        <v>45322</v>
      </c>
      <c r="F1196" t="s">
        <v>13</v>
      </c>
      <c r="G1196">
        <v>6474862</v>
      </c>
      <c r="H1196" s="1">
        <v>45333</v>
      </c>
      <c r="I1196" t="s">
        <v>555</v>
      </c>
      <c r="J1196" t="s">
        <v>556</v>
      </c>
      <c r="L1196">
        <v>6474862</v>
      </c>
      <c r="M1196">
        <f>IF(F1196="INR",1,INDEX('rates'!$B$2:$C$522,MATCH(D1196,'rates'!$A$2:$A$522,1),MATCH(F1196&amp;"/INR",'rates'!$B$1:$C$1,0)))</f>
        <v>1</v>
      </c>
      <c r="N1196">
        <f t="shared" si="94"/>
        <v>6474862</v>
      </c>
      <c r="O1196">
        <f t="shared" si="95"/>
        <v>0</v>
      </c>
      <c r="P1196">
        <f t="shared" si="96"/>
        <v>0</v>
      </c>
      <c r="Q1196">
        <f t="shared" si="93"/>
        <v>11</v>
      </c>
      <c r="R1196" t="str">
        <f t="shared" si="97"/>
        <v>Not open</v>
      </c>
    </row>
    <row r="1197" spans="1:18" x14ac:dyDescent="0.3">
      <c r="A1197" t="s">
        <v>1378</v>
      </c>
      <c r="B1197" t="s">
        <v>404</v>
      </c>
      <c r="C1197" t="s">
        <v>554</v>
      </c>
      <c r="D1197" s="1">
        <v>45262</v>
      </c>
      <c r="E1197" s="1">
        <v>45322</v>
      </c>
      <c r="F1197" t="s">
        <v>13</v>
      </c>
      <c r="G1197">
        <v>8820006</v>
      </c>
      <c r="H1197" s="1">
        <v>45328</v>
      </c>
      <c r="I1197" t="s">
        <v>555</v>
      </c>
      <c r="J1197" t="s">
        <v>556</v>
      </c>
      <c r="L1197">
        <v>8820006</v>
      </c>
      <c r="M1197">
        <f>IF(F1197="INR",1,INDEX('rates'!$B$2:$C$522,MATCH(D1197,'rates'!$A$2:$A$522,1),MATCH(F1197&amp;"/INR",'rates'!$B$1:$C$1,0)))</f>
        <v>1</v>
      </c>
      <c r="N1197">
        <f t="shared" si="94"/>
        <v>8820006</v>
      </c>
      <c r="O1197">
        <f t="shared" si="95"/>
        <v>0</v>
      </c>
      <c r="P1197">
        <f t="shared" si="96"/>
        <v>0</v>
      </c>
      <c r="Q1197">
        <f t="shared" si="93"/>
        <v>6</v>
      </c>
      <c r="R1197" t="str">
        <f t="shared" si="97"/>
        <v>Not open</v>
      </c>
    </row>
    <row r="1198" spans="1:18" x14ac:dyDescent="0.3">
      <c r="A1198" t="s">
        <v>1379</v>
      </c>
      <c r="B1198" t="s">
        <v>436</v>
      </c>
      <c r="C1198" t="s">
        <v>566</v>
      </c>
      <c r="D1198" s="1">
        <v>45262</v>
      </c>
      <c r="E1198" s="1">
        <v>45307</v>
      </c>
      <c r="F1198" t="s">
        <v>36</v>
      </c>
      <c r="G1198">
        <v>105596.24</v>
      </c>
      <c r="H1198" s="1">
        <v>45334</v>
      </c>
      <c r="I1198" t="s">
        <v>555</v>
      </c>
      <c r="J1198" t="s">
        <v>573</v>
      </c>
      <c r="K1198">
        <v>83.478200000000001</v>
      </c>
      <c r="L1198">
        <v>105596.24</v>
      </c>
      <c r="M1198">
        <f>IF(F1198="INR",1,INDEX('rates'!$B$2:$C$522,MATCH(D1198,'rates'!$A$2:$A$522,1),MATCH(F1198&amp;"/INR",'rates'!$B$1:$C$1,0)))</f>
        <v>83.27</v>
      </c>
      <c r="N1198">
        <f t="shared" si="94"/>
        <v>8792998.9047999997</v>
      </c>
      <c r="O1198">
        <f t="shared" si="95"/>
        <v>0</v>
      </c>
      <c r="P1198">
        <f t="shared" si="96"/>
        <v>0</v>
      </c>
      <c r="Q1198">
        <f t="shared" si="93"/>
        <v>27</v>
      </c>
      <c r="R1198" t="str">
        <f t="shared" si="97"/>
        <v>Not open</v>
      </c>
    </row>
    <row r="1199" spans="1:18" x14ac:dyDescent="0.3">
      <c r="A1199" t="s">
        <v>1380</v>
      </c>
      <c r="B1199" t="s">
        <v>520</v>
      </c>
      <c r="C1199" t="s">
        <v>560</v>
      </c>
      <c r="D1199" s="1">
        <v>45262</v>
      </c>
      <c r="E1199" s="1">
        <v>45292</v>
      </c>
      <c r="F1199" t="s">
        <v>13</v>
      </c>
      <c r="G1199">
        <v>9072958</v>
      </c>
      <c r="H1199" s="1">
        <v>45300</v>
      </c>
      <c r="I1199" t="s">
        <v>555</v>
      </c>
      <c r="J1199" t="s">
        <v>556</v>
      </c>
      <c r="L1199">
        <v>9072958</v>
      </c>
      <c r="M1199">
        <f>IF(F1199="INR",1,INDEX('rates'!$B$2:$C$522,MATCH(D1199,'rates'!$A$2:$A$522,1),MATCH(F1199&amp;"/INR",'rates'!$B$1:$C$1,0)))</f>
        <v>1</v>
      </c>
      <c r="N1199">
        <f t="shared" si="94"/>
        <v>9072958</v>
      </c>
      <c r="O1199">
        <f t="shared" si="95"/>
        <v>0</v>
      </c>
      <c r="P1199">
        <f t="shared" si="96"/>
        <v>0</v>
      </c>
      <c r="Q1199">
        <f t="shared" si="93"/>
        <v>8</v>
      </c>
      <c r="R1199" t="str">
        <f t="shared" si="97"/>
        <v>Not open</v>
      </c>
    </row>
    <row r="1200" spans="1:18" x14ac:dyDescent="0.3">
      <c r="A1200" t="s">
        <v>1381</v>
      </c>
      <c r="B1200" t="s">
        <v>152</v>
      </c>
      <c r="C1200" t="s">
        <v>558</v>
      </c>
      <c r="D1200" s="1">
        <v>45264</v>
      </c>
      <c r="E1200" s="1">
        <v>45324</v>
      </c>
      <c r="F1200" t="s">
        <v>13</v>
      </c>
      <c r="G1200">
        <v>14221201</v>
      </c>
      <c r="H1200" s="1">
        <v>45336</v>
      </c>
      <c r="I1200" t="s">
        <v>555</v>
      </c>
      <c r="J1200" t="s">
        <v>556</v>
      </c>
      <c r="L1200">
        <v>14221201</v>
      </c>
      <c r="M1200">
        <f>IF(F1200="INR",1,INDEX('rates'!$B$2:$C$522,MATCH(D1200,'rates'!$A$2:$A$522,1),MATCH(F1200&amp;"/INR",'rates'!$B$1:$C$1,0)))</f>
        <v>1</v>
      </c>
      <c r="N1200">
        <f t="shared" si="94"/>
        <v>14221201</v>
      </c>
      <c r="O1200">
        <f t="shared" si="95"/>
        <v>0</v>
      </c>
      <c r="P1200">
        <f t="shared" si="96"/>
        <v>0</v>
      </c>
      <c r="Q1200">
        <f t="shared" si="93"/>
        <v>12</v>
      </c>
      <c r="R1200" t="str">
        <f t="shared" si="97"/>
        <v>Not open</v>
      </c>
    </row>
    <row r="1201" spans="1:18" x14ac:dyDescent="0.3">
      <c r="A1201" t="s">
        <v>1382</v>
      </c>
      <c r="B1201" t="s">
        <v>394</v>
      </c>
      <c r="C1201" t="s">
        <v>566</v>
      </c>
      <c r="D1201" s="1">
        <v>45264</v>
      </c>
      <c r="E1201" s="1">
        <v>45324</v>
      </c>
      <c r="F1201" t="s">
        <v>31</v>
      </c>
      <c r="G1201">
        <v>140957.31</v>
      </c>
      <c r="H1201" s="1">
        <v>45330</v>
      </c>
      <c r="I1201" t="s">
        <v>555</v>
      </c>
      <c r="J1201" t="s">
        <v>573</v>
      </c>
      <c r="K1201">
        <v>90.452699999999993</v>
      </c>
      <c r="L1201">
        <v>140957.31</v>
      </c>
      <c r="M1201">
        <f>IF(F1201="INR",1,INDEX('rates'!$B$2:$C$522,MATCH(D1201,'rates'!$A$2:$A$522,1),MATCH(F1201&amp;"/INR",'rates'!$B$1:$C$1,0)))</f>
        <v>90.272199999999998</v>
      </c>
      <c r="N1201">
        <f t="shared" si="94"/>
        <v>12724526.479782</v>
      </c>
      <c r="O1201">
        <f t="shared" si="95"/>
        <v>0</v>
      </c>
      <c r="P1201">
        <f t="shared" si="96"/>
        <v>0</v>
      </c>
      <c r="Q1201">
        <f t="shared" si="93"/>
        <v>6</v>
      </c>
      <c r="R1201" t="str">
        <f t="shared" si="97"/>
        <v>Not open</v>
      </c>
    </row>
    <row r="1202" spans="1:18" x14ac:dyDescent="0.3">
      <c r="A1202" t="s">
        <v>1383</v>
      </c>
      <c r="B1202" t="s">
        <v>478</v>
      </c>
      <c r="C1202" t="s">
        <v>560</v>
      </c>
      <c r="D1202" s="1">
        <v>45264</v>
      </c>
      <c r="E1202" s="1">
        <v>45294</v>
      </c>
      <c r="F1202" t="s">
        <v>13</v>
      </c>
      <c r="G1202">
        <v>2940128</v>
      </c>
      <c r="H1202" s="1">
        <v>45299</v>
      </c>
      <c r="I1202" t="s">
        <v>555</v>
      </c>
      <c r="J1202" t="s">
        <v>556</v>
      </c>
      <c r="L1202">
        <v>2940128</v>
      </c>
      <c r="M1202">
        <f>IF(F1202="INR",1,INDEX('rates'!$B$2:$C$522,MATCH(D1202,'rates'!$A$2:$A$522,1),MATCH(F1202&amp;"/INR",'rates'!$B$1:$C$1,0)))</f>
        <v>1</v>
      </c>
      <c r="N1202">
        <f t="shared" si="94"/>
        <v>2940128</v>
      </c>
      <c r="O1202">
        <f t="shared" si="95"/>
        <v>0</v>
      </c>
      <c r="P1202">
        <f t="shared" si="96"/>
        <v>0</v>
      </c>
      <c r="Q1202">
        <f t="shared" ref="Q1202:Q1215" si="98">IF(H1202="","",H1202-E1202)</f>
        <v>5</v>
      </c>
      <c r="R1202" t="str">
        <f t="shared" si="97"/>
        <v>Not open</v>
      </c>
    </row>
    <row r="1203" spans="1:18" x14ac:dyDescent="0.3">
      <c r="A1203" t="s">
        <v>1385</v>
      </c>
      <c r="B1203" t="s">
        <v>186</v>
      </c>
      <c r="C1203" t="s">
        <v>558</v>
      </c>
      <c r="D1203" s="1">
        <v>45265</v>
      </c>
      <c r="E1203" s="1">
        <v>45295</v>
      </c>
      <c r="F1203" t="s">
        <v>36</v>
      </c>
      <c r="G1203">
        <v>87246.2</v>
      </c>
      <c r="H1203" s="1">
        <v>45312</v>
      </c>
      <c r="I1203" t="s">
        <v>555</v>
      </c>
      <c r="J1203" t="s">
        <v>556</v>
      </c>
      <c r="L1203">
        <v>87246.2</v>
      </c>
      <c r="M1203">
        <f>IF(F1203="INR",1,INDEX('rates'!$B$2:$C$522,MATCH(D1203,'rates'!$A$2:$A$522,1),MATCH(F1203&amp;"/INR",'rates'!$B$1:$C$1,0)))</f>
        <v>83.33</v>
      </c>
      <c r="N1203">
        <f t="shared" si="94"/>
        <v>7270225.8459999999</v>
      </c>
      <c r="O1203">
        <f t="shared" si="95"/>
        <v>0</v>
      </c>
      <c r="P1203">
        <f t="shared" si="96"/>
        <v>0</v>
      </c>
      <c r="Q1203">
        <f t="shared" si="98"/>
        <v>17</v>
      </c>
      <c r="R1203" t="str">
        <f t="shared" si="97"/>
        <v>Not open</v>
      </c>
    </row>
    <row r="1204" spans="1:18" x14ac:dyDescent="0.3">
      <c r="A1204" t="s">
        <v>1386</v>
      </c>
      <c r="B1204" t="s">
        <v>206</v>
      </c>
      <c r="C1204" t="s">
        <v>566</v>
      </c>
      <c r="D1204" s="1">
        <v>45265</v>
      </c>
      <c r="E1204" s="1">
        <v>45310</v>
      </c>
      <c r="F1204" t="s">
        <v>13</v>
      </c>
      <c r="G1204">
        <v>5883921</v>
      </c>
      <c r="H1204" s="1">
        <v>45370</v>
      </c>
      <c r="I1204" t="s">
        <v>555</v>
      </c>
      <c r="J1204" t="s">
        <v>556</v>
      </c>
      <c r="L1204">
        <v>5883921</v>
      </c>
      <c r="M1204">
        <f>IF(F1204="INR",1,INDEX('rates'!$B$2:$C$522,MATCH(D1204,'rates'!$A$2:$A$522,1),MATCH(F1204&amp;"/INR",'rates'!$B$1:$C$1,0)))</f>
        <v>1</v>
      </c>
      <c r="N1204">
        <f t="shared" si="94"/>
        <v>5883921</v>
      </c>
      <c r="O1204">
        <f t="shared" si="95"/>
        <v>0</v>
      </c>
      <c r="P1204">
        <f t="shared" si="96"/>
        <v>0</v>
      </c>
      <c r="Q1204">
        <f t="shared" si="98"/>
        <v>60</v>
      </c>
      <c r="R1204" t="str">
        <f t="shared" si="97"/>
        <v>Not open</v>
      </c>
    </row>
    <row r="1205" spans="1:18" x14ac:dyDescent="0.3">
      <c r="A1205" t="s">
        <v>1387</v>
      </c>
      <c r="B1205" t="s">
        <v>244</v>
      </c>
      <c r="C1205" t="s">
        <v>560</v>
      </c>
      <c r="D1205" s="1">
        <v>45265</v>
      </c>
      <c r="E1205" s="1">
        <v>45325</v>
      </c>
      <c r="F1205" t="s">
        <v>36</v>
      </c>
      <c r="G1205">
        <v>56364.06</v>
      </c>
      <c r="H1205" s="1">
        <v>45535</v>
      </c>
      <c r="I1205" t="s">
        <v>555</v>
      </c>
      <c r="J1205" t="s">
        <v>556</v>
      </c>
      <c r="L1205">
        <v>56364.06</v>
      </c>
      <c r="M1205">
        <f>IF(F1205="INR",1,INDEX('rates'!$B$2:$C$522,MATCH(D1205,'rates'!$A$2:$A$522,1),MATCH(F1205&amp;"/INR",'rates'!$B$1:$C$1,0)))</f>
        <v>83.33</v>
      </c>
      <c r="N1205">
        <f t="shared" si="94"/>
        <v>4696817.1197999995</v>
      </c>
      <c r="O1205">
        <f t="shared" si="95"/>
        <v>0</v>
      </c>
      <c r="P1205">
        <f t="shared" si="96"/>
        <v>0</v>
      </c>
      <c r="Q1205">
        <f t="shared" si="98"/>
        <v>210</v>
      </c>
      <c r="R1205" t="str">
        <f t="shared" si="97"/>
        <v>Not open</v>
      </c>
    </row>
    <row r="1206" spans="1:18" x14ac:dyDescent="0.3">
      <c r="A1206" t="s">
        <v>1388</v>
      </c>
      <c r="B1206" t="s">
        <v>256</v>
      </c>
      <c r="C1206" t="s">
        <v>554</v>
      </c>
      <c r="D1206" s="1">
        <v>45265</v>
      </c>
      <c r="E1206" s="1">
        <v>45310</v>
      </c>
      <c r="F1206" t="s">
        <v>13</v>
      </c>
      <c r="G1206">
        <v>3136341</v>
      </c>
      <c r="H1206" s="1">
        <v>45306</v>
      </c>
      <c r="I1206" t="s">
        <v>555</v>
      </c>
      <c r="J1206" t="s">
        <v>556</v>
      </c>
      <c r="L1206">
        <v>3136341</v>
      </c>
      <c r="M1206">
        <f>IF(F1206="INR",1,INDEX('rates'!$B$2:$C$522,MATCH(D1206,'rates'!$A$2:$A$522,1),MATCH(F1206&amp;"/INR",'rates'!$B$1:$C$1,0)))</f>
        <v>1</v>
      </c>
      <c r="N1206">
        <f t="shared" si="94"/>
        <v>3136341</v>
      </c>
      <c r="O1206">
        <f t="shared" si="95"/>
        <v>0</v>
      </c>
      <c r="P1206">
        <f t="shared" si="96"/>
        <v>0</v>
      </c>
      <c r="Q1206">
        <f t="shared" si="98"/>
        <v>-4</v>
      </c>
      <c r="R1206" t="str">
        <f t="shared" si="97"/>
        <v>Not open</v>
      </c>
    </row>
    <row r="1207" spans="1:18" x14ac:dyDescent="0.3">
      <c r="A1207" t="s">
        <v>1389</v>
      </c>
      <c r="B1207" t="s">
        <v>490</v>
      </c>
      <c r="C1207" t="s">
        <v>560</v>
      </c>
      <c r="D1207" s="1">
        <v>45266</v>
      </c>
      <c r="E1207" s="1">
        <v>45311</v>
      </c>
      <c r="F1207" t="s">
        <v>36</v>
      </c>
      <c r="G1207">
        <v>62486.29</v>
      </c>
      <c r="H1207" s="1">
        <v>45310</v>
      </c>
      <c r="I1207" t="s">
        <v>555</v>
      </c>
      <c r="J1207" t="s">
        <v>573</v>
      </c>
      <c r="K1207">
        <v>83.528300000000002</v>
      </c>
      <c r="L1207">
        <v>62486.29</v>
      </c>
      <c r="M1207">
        <f>IF(F1207="INR",1,INDEX('rates'!$B$2:$C$522,MATCH(D1207,'rates'!$A$2:$A$522,1),MATCH(F1207&amp;"/INR",'rates'!$B$1:$C$1,0)))</f>
        <v>83.32</v>
      </c>
      <c r="N1207">
        <f t="shared" si="94"/>
        <v>5206357.6827999996</v>
      </c>
      <c r="O1207">
        <f t="shared" si="95"/>
        <v>0</v>
      </c>
      <c r="P1207">
        <f t="shared" si="96"/>
        <v>0</v>
      </c>
      <c r="Q1207">
        <f t="shared" si="98"/>
        <v>-1</v>
      </c>
      <c r="R1207" t="str">
        <f t="shared" si="97"/>
        <v>Not open</v>
      </c>
    </row>
    <row r="1208" spans="1:18" x14ac:dyDescent="0.3">
      <c r="A1208" t="s">
        <v>1390</v>
      </c>
      <c r="B1208" t="s">
        <v>516</v>
      </c>
      <c r="C1208" t="s">
        <v>560</v>
      </c>
      <c r="D1208" s="1">
        <v>45266</v>
      </c>
      <c r="E1208" s="1">
        <v>45326</v>
      </c>
      <c r="F1208" t="s">
        <v>13</v>
      </c>
      <c r="G1208">
        <v>7949767</v>
      </c>
      <c r="H1208" s="1">
        <v>45331</v>
      </c>
      <c r="I1208" t="s">
        <v>555</v>
      </c>
      <c r="J1208" t="s">
        <v>556</v>
      </c>
      <c r="L1208">
        <v>7949767</v>
      </c>
      <c r="M1208">
        <f>IF(F1208="INR",1,INDEX('rates'!$B$2:$C$522,MATCH(D1208,'rates'!$A$2:$A$522,1),MATCH(F1208&amp;"/INR",'rates'!$B$1:$C$1,0)))</f>
        <v>1</v>
      </c>
      <c r="N1208">
        <f t="shared" si="94"/>
        <v>7949767</v>
      </c>
      <c r="O1208">
        <f t="shared" si="95"/>
        <v>0</v>
      </c>
      <c r="P1208">
        <f t="shared" si="96"/>
        <v>0</v>
      </c>
      <c r="Q1208">
        <f t="shared" si="98"/>
        <v>5</v>
      </c>
      <c r="R1208" t="str">
        <f t="shared" si="97"/>
        <v>Not open</v>
      </c>
    </row>
    <row r="1209" spans="1:18" x14ac:dyDescent="0.3">
      <c r="A1209" t="s">
        <v>1391</v>
      </c>
      <c r="B1209" t="s">
        <v>75</v>
      </c>
      <c r="C1209" t="s">
        <v>566</v>
      </c>
      <c r="D1209" s="1">
        <v>45267</v>
      </c>
      <c r="E1209" s="1">
        <v>45357</v>
      </c>
      <c r="F1209" t="s">
        <v>36</v>
      </c>
      <c r="G1209">
        <v>187476.09</v>
      </c>
      <c r="H1209" s="1">
        <v>45428</v>
      </c>
      <c r="I1209" t="s">
        <v>555</v>
      </c>
      <c r="J1209" t="s">
        <v>573</v>
      </c>
      <c r="K1209">
        <v>83.736599999999996</v>
      </c>
      <c r="L1209">
        <v>187476.09</v>
      </c>
      <c r="M1209">
        <f>IF(F1209="INR",1,INDEX('rates'!$B$2:$C$522,MATCH(D1209,'rates'!$A$2:$A$522,1),MATCH(F1209&amp;"/INR",'rates'!$B$1:$C$1,0)))</f>
        <v>83.32</v>
      </c>
      <c r="N1209">
        <f t="shared" si="94"/>
        <v>15620507.818799999</v>
      </c>
      <c r="O1209">
        <f t="shared" si="95"/>
        <v>0</v>
      </c>
      <c r="P1209">
        <f t="shared" si="96"/>
        <v>0</v>
      </c>
      <c r="Q1209">
        <f t="shared" si="98"/>
        <v>71</v>
      </c>
      <c r="R1209" t="str">
        <f t="shared" si="97"/>
        <v>Not open</v>
      </c>
    </row>
    <row r="1210" spans="1:18" x14ac:dyDescent="0.3">
      <c r="A1210" t="s">
        <v>1392</v>
      </c>
      <c r="B1210" t="s">
        <v>344</v>
      </c>
      <c r="C1210" t="s">
        <v>554</v>
      </c>
      <c r="D1210" s="1">
        <v>45267</v>
      </c>
      <c r="E1210" s="1">
        <v>45327</v>
      </c>
      <c r="F1210" t="s">
        <v>13</v>
      </c>
      <c r="G1210">
        <v>5540286</v>
      </c>
      <c r="H1210" s="1">
        <v>45323</v>
      </c>
      <c r="I1210" t="s">
        <v>555</v>
      </c>
      <c r="J1210" t="s">
        <v>556</v>
      </c>
      <c r="L1210">
        <v>5540286</v>
      </c>
      <c r="M1210">
        <f>IF(F1210="INR",1,INDEX('rates'!$B$2:$C$522,MATCH(D1210,'rates'!$A$2:$A$522,1),MATCH(F1210&amp;"/INR",'rates'!$B$1:$C$1,0)))</f>
        <v>1</v>
      </c>
      <c r="N1210">
        <f t="shared" si="94"/>
        <v>5540286</v>
      </c>
      <c r="O1210">
        <f t="shared" si="95"/>
        <v>0</v>
      </c>
      <c r="P1210">
        <f t="shared" si="96"/>
        <v>0</v>
      </c>
      <c r="Q1210">
        <f t="shared" si="98"/>
        <v>-4</v>
      </c>
      <c r="R1210" t="str">
        <f t="shared" si="97"/>
        <v>Not open</v>
      </c>
    </row>
    <row r="1211" spans="1:18" x14ac:dyDescent="0.3">
      <c r="A1211" t="s">
        <v>1393</v>
      </c>
      <c r="B1211" t="s">
        <v>528</v>
      </c>
      <c r="C1211" t="s">
        <v>566</v>
      </c>
      <c r="D1211" s="1">
        <v>45267</v>
      </c>
      <c r="E1211" s="1">
        <v>45327</v>
      </c>
      <c r="F1211" t="s">
        <v>13</v>
      </c>
      <c r="G1211">
        <v>3740738</v>
      </c>
      <c r="H1211" s="1">
        <v>45354</v>
      </c>
      <c r="I1211" t="s">
        <v>555</v>
      </c>
      <c r="J1211" t="s">
        <v>556</v>
      </c>
      <c r="L1211">
        <v>3740738</v>
      </c>
      <c r="M1211">
        <f>IF(F1211="INR",1,INDEX('rates'!$B$2:$C$522,MATCH(D1211,'rates'!$A$2:$A$522,1),MATCH(F1211&amp;"/INR",'rates'!$B$1:$C$1,0)))</f>
        <v>1</v>
      </c>
      <c r="N1211">
        <f t="shared" si="94"/>
        <v>3740738</v>
      </c>
      <c r="O1211">
        <f t="shared" si="95"/>
        <v>0</v>
      </c>
      <c r="P1211">
        <f t="shared" si="96"/>
        <v>0</v>
      </c>
      <c r="Q1211">
        <f t="shared" si="98"/>
        <v>27</v>
      </c>
      <c r="R1211" t="str">
        <f t="shared" si="97"/>
        <v>Not open</v>
      </c>
    </row>
    <row r="1212" spans="1:18" x14ac:dyDescent="0.3">
      <c r="A1212" t="s">
        <v>1394</v>
      </c>
      <c r="B1212" t="s">
        <v>19</v>
      </c>
      <c r="C1212" t="s">
        <v>554</v>
      </c>
      <c r="D1212" s="1">
        <v>45268</v>
      </c>
      <c r="E1212" s="1">
        <v>45313</v>
      </c>
      <c r="F1212" t="s">
        <v>13</v>
      </c>
      <c r="G1212">
        <v>12282727</v>
      </c>
      <c r="H1212" s="1">
        <v>45329</v>
      </c>
      <c r="I1212" t="s">
        <v>555</v>
      </c>
      <c r="J1212" t="s">
        <v>556</v>
      </c>
      <c r="L1212">
        <v>12282727</v>
      </c>
      <c r="M1212">
        <f>IF(F1212="INR",1,INDEX('rates'!$B$2:$C$522,MATCH(D1212,'rates'!$A$2:$A$522,1),MATCH(F1212&amp;"/INR",'rates'!$B$1:$C$1,0)))</f>
        <v>1</v>
      </c>
      <c r="N1212">
        <f t="shared" si="94"/>
        <v>12282727</v>
      </c>
      <c r="O1212">
        <f t="shared" si="95"/>
        <v>0</v>
      </c>
      <c r="P1212">
        <f t="shared" si="96"/>
        <v>0</v>
      </c>
      <c r="Q1212">
        <f t="shared" si="98"/>
        <v>16</v>
      </c>
      <c r="R1212" t="str">
        <f t="shared" si="97"/>
        <v>Not open</v>
      </c>
    </row>
    <row r="1213" spans="1:18" x14ac:dyDescent="0.3">
      <c r="A1213" t="s">
        <v>1395</v>
      </c>
      <c r="B1213" t="s">
        <v>105</v>
      </c>
      <c r="C1213" t="s">
        <v>560</v>
      </c>
      <c r="D1213" s="1">
        <v>45268</v>
      </c>
      <c r="E1213" s="1">
        <v>45358</v>
      </c>
      <c r="F1213" t="s">
        <v>36</v>
      </c>
      <c r="G1213">
        <v>21392.93</v>
      </c>
      <c r="H1213" s="1">
        <v>45418</v>
      </c>
      <c r="I1213" t="s">
        <v>555</v>
      </c>
      <c r="J1213" t="s">
        <v>556</v>
      </c>
      <c r="L1213">
        <v>21392.93</v>
      </c>
      <c r="M1213">
        <f>IF(F1213="INR",1,INDEX('rates'!$B$2:$C$522,MATCH(D1213,'rates'!$A$2:$A$522,1),MATCH(F1213&amp;"/INR",'rates'!$B$1:$C$1,0)))</f>
        <v>83.38</v>
      </c>
      <c r="N1213">
        <f t="shared" si="94"/>
        <v>1783742.5033999998</v>
      </c>
      <c r="O1213">
        <f t="shared" si="95"/>
        <v>0</v>
      </c>
      <c r="P1213">
        <f t="shared" si="96"/>
        <v>0</v>
      </c>
      <c r="Q1213">
        <f t="shared" si="98"/>
        <v>60</v>
      </c>
      <c r="R1213" t="str">
        <f t="shared" si="97"/>
        <v>Not open</v>
      </c>
    </row>
    <row r="1214" spans="1:18" x14ac:dyDescent="0.3">
      <c r="A1214" t="s">
        <v>1396</v>
      </c>
      <c r="B1214" t="s">
        <v>154</v>
      </c>
      <c r="C1214" t="s">
        <v>566</v>
      </c>
      <c r="D1214" s="1">
        <v>45268</v>
      </c>
      <c r="E1214" s="1">
        <v>45298</v>
      </c>
      <c r="F1214" t="s">
        <v>13</v>
      </c>
      <c r="G1214">
        <v>48260514</v>
      </c>
      <c r="H1214" s="1">
        <v>45298</v>
      </c>
      <c r="I1214" t="s">
        <v>555</v>
      </c>
      <c r="J1214" t="s">
        <v>556</v>
      </c>
      <c r="L1214">
        <v>48260514</v>
      </c>
      <c r="M1214">
        <f>IF(F1214="INR",1,INDEX('rates'!$B$2:$C$522,MATCH(D1214,'rates'!$A$2:$A$522,1),MATCH(F1214&amp;"/INR",'rates'!$B$1:$C$1,0)))</f>
        <v>1</v>
      </c>
      <c r="N1214">
        <f t="shared" si="94"/>
        <v>48260514</v>
      </c>
      <c r="O1214">
        <f t="shared" si="95"/>
        <v>0</v>
      </c>
      <c r="P1214">
        <f t="shared" si="96"/>
        <v>0</v>
      </c>
      <c r="Q1214">
        <f t="shared" si="98"/>
        <v>0</v>
      </c>
      <c r="R1214" t="str">
        <f t="shared" si="97"/>
        <v>Not open</v>
      </c>
    </row>
    <row r="1215" spans="1:18" x14ac:dyDescent="0.3">
      <c r="A1215" t="s">
        <v>1397</v>
      </c>
      <c r="B1215" t="s">
        <v>370</v>
      </c>
      <c r="C1215" t="s">
        <v>566</v>
      </c>
      <c r="D1215" s="1">
        <v>45268</v>
      </c>
      <c r="E1215" s="1">
        <v>45298</v>
      </c>
      <c r="F1215" t="s">
        <v>36</v>
      </c>
      <c r="G1215">
        <v>107633.47</v>
      </c>
      <c r="H1215" s="1">
        <v>45314</v>
      </c>
      <c r="I1215" t="s">
        <v>555</v>
      </c>
      <c r="J1215" t="s">
        <v>573</v>
      </c>
      <c r="K1215">
        <v>83.519000000000005</v>
      </c>
      <c r="L1215">
        <v>107633.47</v>
      </c>
      <c r="M1215">
        <f>IF(F1215="INR",1,INDEX('rates'!$B$2:$C$522,MATCH(D1215,'rates'!$A$2:$A$522,1),MATCH(F1215&amp;"/INR",'rates'!$B$1:$C$1,0)))</f>
        <v>83.38</v>
      </c>
      <c r="N1215">
        <f t="shared" si="94"/>
        <v>8974478.7285999991</v>
      </c>
      <c r="O1215">
        <f t="shared" si="95"/>
        <v>0</v>
      </c>
      <c r="P1215">
        <f t="shared" si="96"/>
        <v>0</v>
      </c>
      <c r="Q1215">
        <f t="shared" si="98"/>
        <v>16</v>
      </c>
      <c r="R1215" t="str">
        <f t="shared" si="97"/>
        <v>Not open</v>
      </c>
    </row>
    <row r="1216" spans="1:18" x14ac:dyDescent="0.3">
      <c r="A1216" t="s">
        <v>1398</v>
      </c>
      <c r="B1216" t="s">
        <v>392</v>
      </c>
      <c r="C1216" t="s">
        <v>554</v>
      </c>
      <c r="D1216" s="1">
        <v>45268</v>
      </c>
      <c r="E1216" s="1">
        <v>45298</v>
      </c>
      <c r="F1216" t="s">
        <v>13</v>
      </c>
      <c r="G1216">
        <v>2693094</v>
      </c>
      <c r="H1216" s="1"/>
      <c r="I1216" t="s">
        <v>555</v>
      </c>
      <c r="J1216" t="s">
        <v>556</v>
      </c>
      <c r="L1216">
        <v>2693094</v>
      </c>
      <c r="M1216">
        <f>IF(F1216="INR",1,INDEX('rates'!$B$2:$C$522,MATCH(D1216,'rates'!$A$2:$A$522,1),MATCH(F1216&amp;"/INR",'rates'!$B$1:$C$1,0)))</f>
        <v>1</v>
      </c>
      <c r="N1216">
        <f t="shared" si="94"/>
        <v>2693094</v>
      </c>
      <c r="O1216">
        <f t="shared" si="95"/>
        <v>0</v>
      </c>
      <c r="P1216">
        <f t="shared" si="96"/>
        <v>0</v>
      </c>
      <c r="R1216" t="str">
        <f t="shared" si="97"/>
        <v>Not open</v>
      </c>
    </row>
    <row r="1217" spans="1:18" x14ac:dyDescent="0.3">
      <c r="A1217" t="s">
        <v>1399</v>
      </c>
      <c r="B1217" t="s">
        <v>442</v>
      </c>
      <c r="C1217" t="s">
        <v>575</v>
      </c>
      <c r="D1217" s="1">
        <v>45268</v>
      </c>
      <c r="E1217" s="1">
        <v>45328</v>
      </c>
      <c r="F1217" t="s">
        <v>13</v>
      </c>
      <c r="G1217">
        <v>8442874</v>
      </c>
      <c r="H1217" s="1">
        <v>45336</v>
      </c>
      <c r="I1217" t="s">
        <v>555</v>
      </c>
      <c r="J1217" t="s">
        <v>556</v>
      </c>
      <c r="L1217">
        <v>8442874</v>
      </c>
      <c r="M1217">
        <f>IF(F1217="INR",1,INDEX('rates'!$B$2:$C$522,MATCH(D1217,'rates'!$A$2:$A$522,1),MATCH(F1217&amp;"/INR",'rates'!$B$1:$C$1,0)))</f>
        <v>1</v>
      </c>
      <c r="N1217">
        <f t="shared" si="94"/>
        <v>8442874</v>
      </c>
      <c r="O1217">
        <f t="shared" si="95"/>
        <v>0</v>
      </c>
      <c r="P1217">
        <f t="shared" si="96"/>
        <v>0</v>
      </c>
      <c r="Q1217">
        <f t="shared" ref="Q1217:Q1248" si="99">IF(H1217="","",H1217-E1217)</f>
        <v>8</v>
      </c>
      <c r="R1217" t="str">
        <f t="shared" si="97"/>
        <v>Not open</v>
      </c>
    </row>
    <row r="1218" spans="1:18" x14ac:dyDescent="0.3">
      <c r="A1218" t="s">
        <v>1400</v>
      </c>
      <c r="B1218" t="s">
        <v>482</v>
      </c>
      <c r="C1218" t="s">
        <v>558</v>
      </c>
      <c r="D1218" s="1">
        <v>45268</v>
      </c>
      <c r="E1218" s="1">
        <v>45328</v>
      </c>
      <c r="F1218" t="s">
        <v>13</v>
      </c>
      <c r="G1218">
        <v>3180803</v>
      </c>
      <c r="H1218" s="1">
        <v>45341</v>
      </c>
      <c r="I1218" t="s">
        <v>555</v>
      </c>
      <c r="J1218" t="s">
        <v>556</v>
      </c>
      <c r="L1218">
        <v>3180803</v>
      </c>
      <c r="M1218">
        <f>IF(F1218="INR",1,INDEX('rates'!$B$2:$C$522,MATCH(D1218,'rates'!$A$2:$A$522,1),MATCH(F1218&amp;"/INR",'rates'!$B$1:$C$1,0)))</f>
        <v>1</v>
      </c>
      <c r="N1218">
        <f t="shared" ref="N1218:N1281" si="100">G1218*M1218</f>
        <v>3180803</v>
      </c>
      <c r="O1218">
        <f t="shared" ref="O1218:O1281" si="101">IF(OR(I1218="OPEN",I1218="PARTIALLY PAID"),(G1218-L1218)*M1218,0)</f>
        <v>0</v>
      </c>
      <c r="P1218">
        <f t="shared" ref="P1218:P1281" si="102">IF(O1218&gt;0,MAX(0,DATE(2025,3,31)-E1218),0)</f>
        <v>0</v>
      </c>
      <c r="Q1218">
        <f t="shared" si="99"/>
        <v>13</v>
      </c>
      <c r="R1218" t="str">
        <f t="shared" ref="R1218:R1281" si="103">IF(O1218=0,"Not open",IF(P1218=0,"Not yet due",IF(P1218&lt;=30,"1-30",IF(P1218&lt;=60,"31-60",IF(P1218&lt;=90,"61-90","90+")))))</f>
        <v>Not open</v>
      </c>
    </row>
    <row r="1219" spans="1:18" x14ac:dyDescent="0.3">
      <c r="A1219" t="s">
        <v>1401</v>
      </c>
      <c r="B1219" t="s">
        <v>33</v>
      </c>
      <c r="C1219" t="s">
        <v>566</v>
      </c>
      <c r="D1219" s="1">
        <v>45269</v>
      </c>
      <c r="E1219" s="1">
        <v>45299</v>
      </c>
      <c r="F1219" t="s">
        <v>36</v>
      </c>
      <c r="G1219">
        <v>67311.710000000006</v>
      </c>
      <c r="H1219" s="1">
        <v>45314</v>
      </c>
      <c r="I1219" t="s">
        <v>555</v>
      </c>
      <c r="J1219" t="s">
        <v>573</v>
      </c>
      <c r="K1219">
        <v>83.519000000000005</v>
      </c>
      <c r="L1219">
        <v>67311.710000000006</v>
      </c>
      <c r="M1219">
        <f>IF(F1219="INR",1,INDEX('rates'!$B$2:$C$522,MATCH(D1219,'rates'!$A$2:$A$522,1),MATCH(F1219&amp;"/INR",'rates'!$B$1:$C$1,0)))</f>
        <v>83.38</v>
      </c>
      <c r="N1219">
        <f t="shared" si="100"/>
        <v>5612450.3798000002</v>
      </c>
      <c r="O1219">
        <f t="shared" si="101"/>
        <v>0</v>
      </c>
      <c r="P1219">
        <f t="shared" si="102"/>
        <v>0</v>
      </c>
      <c r="Q1219">
        <f t="shared" si="99"/>
        <v>15</v>
      </c>
      <c r="R1219" t="str">
        <f t="shared" si="103"/>
        <v>Not open</v>
      </c>
    </row>
    <row r="1220" spans="1:18" x14ac:dyDescent="0.3">
      <c r="A1220" t="s">
        <v>1402</v>
      </c>
      <c r="B1220" t="s">
        <v>154</v>
      </c>
      <c r="C1220" t="s">
        <v>566</v>
      </c>
      <c r="D1220" s="1">
        <v>45269</v>
      </c>
      <c r="E1220" s="1">
        <v>45299</v>
      </c>
      <c r="F1220" t="s">
        <v>13</v>
      </c>
      <c r="G1220">
        <v>23086223</v>
      </c>
      <c r="H1220" s="1">
        <v>45299</v>
      </c>
      <c r="I1220" t="s">
        <v>555</v>
      </c>
      <c r="J1220" t="s">
        <v>556</v>
      </c>
      <c r="L1220">
        <v>23086223</v>
      </c>
      <c r="M1220">
        <f>IF(F1220="INR",1,INDEX('rates'!$B$2:$C$522,MATCH(D1220,'rates'!$A$2:$A$522,1),MATCH(F1220&amp;"/INR",'rates'!$B$1:$C$1,0)))</f>
        <v>1</v>
      </c>
      <c r="N1220">
        <f t="shared" si="100"/>
        <v>23086223</v>
      </c>
      <c r="O1220">
        <f t="shared" si="101"/>
        <v>0</v>
      </c>
      <c r="P1220">
        <f t="shared" si="102"/>
        <v>0</v>
      </c>
      <c r="Q1220">
        <f t="shared" si="99"/>
        <v>0</v>
      </c>
      <c r="R1220" t="str">
        <f t="shared" si="103"/>
        <v>Not open</v>
      </c>
    </row>
    <row r="1221" spans="1:18" x14ac:dyDescent="0.3">
      <c r="A1221" t="s">
        <v>1404</v>
      </c>
      <c r="B1221" t="s">
        <v>190</v>
      </c>
      <c r="C1221" t="s">
        <v>558</v>
      </c>
      <c r="D1221" s="1">
        <v>45269</v>
      </c>
      <c r="E1221" s="1">
        <v>45299</v>
      </c>
      <c r="F1221" t="s">
        <v>13</v>
      </c>
      <c r="G1221">
        <v>19402591</v>
      </c>
      <c r="H1221" s="1">
        <v>45335</v>
      </c>
      <c r="I1221" t="s">
        <v>555</v>
      </c>
      <c r="J1221" t="s">
        <v>556</v>
      </c>
      <c r="L1221">
        <v>19402591</v>
      </c>
      <c r="M1221">
        <f>IF(F1221="INR",1,INDEX('rates'!$B$2:$C$522,MATCH(D1221,'rates'!$A$2:$A$522,1),MATCH(F1221&amp;"/INR",'rates'!$B$1:$C$1,0)))</f>
        <v>1</v>
      </c>
      <c r="N1221">
        <f t="shared" si="100"/>
        <v>19402591</v>
      </c>
      <c r="O1221">
        <f t="shared" si="101"/>
        <v>0</v>
      </c>
      <c r="P1221">
        <f t="shared" si="102"/>
        <v>0</v>
      </c>
      <c r="Q1221">
        <f t="shared" si="99"/>
        <v>36</v>
      </c>
      <c r="R1221" t="str">
        <f t="shared" si="103"/>
        <v>Not open</v>
      </c>
    </row>
    <row r="1222" spans="1:18" x14ac:dyDescent="0.3">
      <c r="A1222" t="s">
        <v>1405</v>
      </c>
      <c r="B1222" t="s">
        <v>236</v>
      </c>
      <c r="C1222" t="s">
        <v>558</v>
      </c>
      <c r="D1222" s="1">
        <v>45269</v>
      </c>
      <c r="E1222" s="1">
        <v>45359</v>
      </c>
      <c r="F1222" t="s">
        <v>13</v>
      </c>
      <c r="G1222">
        <v>9054846</v>
      </c>
      <c r="H1222" s="1">
        <v>45370</v>
      </c>
      <c r="I1222" t="s">
        <v>555</v>
      </c>
      <c r="J1222" t="s">
        <v>556</v>
      </c>
      <c r="L1222">
        <v>9054846</v>
      </c>
      <c r="M1222">
        <f>IF(F1222="INR",1,INDEX('rates'!$B$2:$C$522,MATCH(D1222,'rates'!$A$2:$A$522,1),MATCH(F1222&amp;"/INR",'rates'!$B$1:$C$1,0)))</f>
        <v>1</v>
      </c>
      <c r="N1222">
        <f t="shared" si="100"/>
        <v>9054846</v>
      </c>
      <c r="O1222">
        <f t="shared" si="101"/>
        <v>0</v>
      </c>
      <c r="P1222">
        <f t="shared" si="102"/>
        <v>0</v>
      </c>
      <c r="Q1222">
        <f t="shared" si="99"/>
        <v>11</v>
      </c>
      <c r="R1222" t="str">
        <f t="shared" si="103"/>
        <v>Not open</v>
      </c>
    </row>
    <row r="1223" spans="1:18" x14ac:dyDescent="0.3">
      <c r="A1223" t="s">
        <v>1406</v>
      </c>
      <c r="B1223" t="s">
        <v>262</v>
      </c>
      <c r="C1223" t="s">
        <v>566</v>
      </c>
      <c r="D1223" s="1">
        <v>45269</v>
      </c>
      <c r="E1223" s="1">
        <v>45359</v>
      </c>
      <c r="F1223" t="s">
        <v>31</v>
      </c>
      <c r="G1223">
        <v>56695.53</v>
      </c>
      <c r="H1223" s="1">
        <v>45393</v>
      </c>
      <c r="I1223" t="s">
        <v>555</v>
      </c>
      <c r="J1223" t="s">
        <v>573</v>
      </c>
      <c r="K1223">
        <v>89.868899999999996</v>
      </c>
      <c r="L1223">
        <v>56695.53</v>
      </c>
      <c r="M1223">
        <f>IF(F1223="INR",1,INDEX('rates'!$B$2:$C$522,MATCH(D1223,'rates'!$A$2:$A$522,1),MATCH(F1223&amp;"/INR",'rates'!$B$1:$C$1,0)))</f>
        <v>89.600099999999998</v>
      </c>
      <c r="N1223">
        <f t="shared" si="100"/>
        <v>5079925.1575529994</v>
      </c>
      <c r="O1223">
        <f t="shared" si="101"/>
        <v>0</v>
      </c>
      <c r="P1223">
        <f t="shared" si="102"/>
        <v>0</v>
      </c>
      <c r="Q1223">
        <f t="shared" si="99"/>
        <v>34</v>
      </c>
      <c r="R1223" t="str">
        <f t="shared" si="103"/>
        <v>Not open</v>
      </c>
    </row>
    <row r="1224" spans="1:18" x14ac:dyDescent="0.3">
      <c r="A1224" t="s">
        <v>1407</v>
      </c>
      <c r="B1224" t="s">
        <v>332</v>
      </c>
      <c r="C1224" t="s">
        <v>566</v>
      </c>
      <c r="D1224" s="1">
        <v>45269</v>
      </c>
      <c r="E1224" s="1">
        <v>45329</v>
      </c>
      <c r="F1224" t="s">
        <v>36</v>
      </c>
      <c r="G1224">
        <v>106541.04</v>
      </c>
      <c r="H1224" s="1">
        <v>45334</v>
      </c>
      <c r="I1224" t="s">
        <v>555</v>
      </c>
      <c r="J1224" t="s">
        <v>573</v>
      </c>
      <c r="K1224">
        <v>83.657899999999998</v>
      </c>
      <c r="L1224">
        <v>106541.04</v>
      </c>
      <c r="M1224">
        <f>IF(F1224="INR",1,INDEX('rates'!$B$2:$C$522,MATCH(D1224,'rates'!$A$2:$A$522,1),MATCH(F1224&amp;"/INR",'rates'!$B$1:$C$1,0)))</f>
        <v>83.38</v>
      </c>
      <c r="N1224">
        <f t="shared" si="100"/>
        <v>8883391.9151999988</v>
      </c>
      <c r="O1224">
        <f t="shared" si="101"/>
        <v>0</v>
      </c>
      <c r="P1224">
        <f t="shared" si="102"/>
        <v>0</v>
      </c>
      <c r="Q1224">
        <f t="shared" si="99"/>
        <v>5</v>
      </c>
      <c r="R1224" t="str">
        <f t="shared" si="103"/>
        <v>Not open</v>
      </c>
    </row>
    <row r="1225" spans="1:18" x14ac:dyDescent="0.3">
      <c r="A1225" t="s">
        <v>1408</v>
      </c>
      <c r="B1225" t="s">
        <v>472</v>
      </c>
      <c r="C1225" t="s">
        <v>558</v>
      </c>
      <c r="D1225" s="1">
        <v>45269</v>
      </c>
      <c r="E1225" s="1">
        <v>45329</v>
      </c>
      <c r="F1225" t="s">
        <v>36</v>
      </c>
      <c r="G1225">
        <v>144885.98000000001</v>
      </c>
      <c r="H1225" s="1">
        <v>45351</v>
      </c>
      <c r="I1225" t="s">
        <v>555</v>
      </c>
      <c r="J1225" t="s">
        <v>573</v>
      </c>
      <c r="K1225">
        <v>83.657899999999998</v>
      </c>
      <c r="L1225">
        <v>144885.98000000001</v>
      </c>
      <c r="M1225">
        <f>IF(F1225="INR",1,INDEX('rates'!$B$2:$C$522,MATCH(D1225,'rates'!$A$2:$A$522,1),MATCH(F1225&amp;"/INR",'rates'!$B$1:$C$1,0)))</f>
        <v>83.38</v>
      </c>
      <c r="N1225">
        <f t="shared" si="100"/>
        <v>12080593.012399999</v>
      </c>
      <c r="O1225">
        <f t="shared" si="101"/>
        <v>0</v>
      </c>
      <c r="P1225">
        <f t="shared" si="102"/>
        <v>0</v>
      </c>
      <c r="Q1225">
        <f t="shared" si="99"/>
        <v>22</v>
      </c>
      <c r="R1225" t="str">
        <f t="shared" si="103"/>
        <v>Not open</v>
      </c>
    </row>
    <row r="1226" spans="1:18" x14ac:dyDescent="0.3">
      <c r="A1226" t="s">
        <v>1409</v>
      </c>
      <c r="B1226" t="s">
        <v>512</v>
      </c>
      <c r="C1226" t="s">
        <v>558</v>
      </c>
      <c r="D1226" s="1">
        <v>45269</v>
      </c>
      <c r="E1226" s="1">
        <v>45329</v>
      </c>
      <c r="F1226" t="s">
        <v>31</v>
      </c>
      <c r="G1226">
        <v>94973.31</v>
      </c>
      <c r="H1226" s="1">
        <v>45367</v>
      </c>
      <c r="I1226" t="s">
        <v>555</v>
      </c>
      <c r="J1226" t="s">
        <v>556</v>
      </c>
      <c r="L1226">
        <v>94973.31</v>
      </c>
      <c r="M1226">
        <f>IF(F1226="INR",1,INDEX('rates'!$B$2:$C$522,MATCH(D1226,'rates'!$A$2:$A$522,1),MATCH(F1226&amp;"/INR",'rates'!$B$1:$C$1,0)))</f>
        <v>89.600099999999998</v>
      </c>
      <c r="N1226">
        <f t="shared" si="100"/>
        <v>8509618.0733310003</v>
      </c>
      <c r="O1226">
        <f t="shared" si="101"/>
        <v>0</v>
      </c>
      <c r="P1226">
        <f t="shared" si="102"/>
        <v>0</v>
      </c>
      <c r="Q1226">
        <f t="shared" si="99"/>
        <v>38</v>
      </c>
      <c r="R1226" t="str">
        <f t="shared" si="103"/>
        <v>Not open</v>
      </c>
    </row>
    <row r="1227" spans="1:18" x14ac:dyDescent="0.3">
      <c r="A1227" t="s">
        <v>1410</v>
      </c>
      <c r="B1227" t="s">
        <v>512</v>
      </c>
      <c r="C1227" t="s">
        <v>566</v>
      </c>
      <c r="D1227" s="1">
        <v>45269</v>
      </c>
      <c r="E1227" s="1">
        <v>45329</v>
      </c>
      <c r="F1227" t="s">
        <v>31</v>
      </c>
      <c r="G1227">
        <v>43272.84</v>
      </c>
      <c r="H1227" s="1">
        <v>45403</v>
      </c>
      <c r="I1227" t="s">
        <v>555</v>
      </c>
      <c r="J1227" t="s">
        <v>573</v>
      </c>
      <c r="K1227">
        <v>89.779300000000006</v>
      </c>
      <c r="L1227">
        <v>43272.84</v>
      </c>
      <c r="M1227">
        <f>IF(F1227="INR",1,INDEX('rates'!$B$2:$C$522,MATCH(D1227,'rates'!$A$2:$A$522,1),MATCH(F1227&amp;"/INR",'rates'!$B$1:$C$1,0)))</f>
        <v>89.600099999999998</v>
      </c>
      <c r="N1227">
        <f t="shared" si="100"/>
        <v>3877250.7912839996</v>
      </c>
      <c r="O1227">
        <f t="shared" si="101"/>
        <v>0</v>
      </c>
      <c r="P1227">
        <f t="shared" si="102"/>
        <v>0</v>
      </c>
      <c r="Q1227">
        <f t="shared" si="99"/>
        <v>74</v>
      </c>
      <c r="R1227" t="str">
        <f t="shared" si="103"/>
        <v>Not open</v>
      </c>
    </row>
    <row r="1228" spans="1:18" x14ac:dyDescent="0.3">
      <c r="A1228" t="s">
        <v>1411</v>
      </c>
      <c r="B1228" t="s">
        <v>22</v>
      </c>
      <c r="C1228" t="s">
        <v>554</v>
      </c>
      <c r="D1228" s="1">
        <v>45271</v>
      </c>
      <c r="E1228" s="1">
        <v>45316</v>
      </c>
      <c r="F1228" t="s">
        <v>13</v>
      </c>
      <c r="G1228">
        <v>13545372</v>
      </c>
      <c r="H1228" s="1">
        <v>45330</v>
      </c>
      <c r="I1228" t="s">
        <v>555</v>
      </c>
      <c r="J1228" t="s">
        <v>556</v>
      </c>
      <c r="L1228">
        <v>13545372</v>
      </c>
      <c r="M1228">
        <f>IF(F1228="INR",1,INDEX('rates'!$B$2:$C$522,MATCH(D1228,'rates'!$A$2:$A$522,1),MATCH(F1228&amp;"/INR",'rates'!$B$1:$C$1,0)))</f>
        <v>1</v>
      </c>
      <c r="N1228">
        <f t="shared" si="100"/>
        <v>13545372</v>
      </c>
      <c r="O1228">
        <f t="shared" si="101"/>
        <v>0</v>
      </c>
      <c r="P1228">
        <f t="shared" si="102"/>
        <v>0</v>
      </c>
      <c r="Q1228">
        <f t="shared" si="99"/>
        <v>14</v>
      </c>
      <c r="R1228" t="str">
        <f t="shared" si="103"/>
        <v>Not open</v>
      </c>
    </row>
    <row r="1229" spans="1:18" x14ac:dyDescent="0.3">
      <c r="A1229" t="s">
        <v>1412</v>
      </c>
      <c r="B1229" t="s">
        <v>75</v>
      </c>
      <c r="C1229" t="s">
        <v>560</v>
      </c>
      <c r="D1229" s="1">
        <v>45271</v>
      </c>
      <c r="E1229" s="1">
        <v>45361</v>
      </c>
      <c r="F1229" t="s">
        <v>36</v>
      </c>
      <c r="G1229">
        <v>45796.72</v>
      </c>
      <c r="H1229" s="1">
        <v>45481</v>
      </c>
      <c r="I1229" t="s">
        <v>555</v>
      </c>
      <c r="J1229" t="s">
        <v>573</v>
      </c>
      <c r="K1229">
        <v>83.796899999999994</v>
      </c>
      <c r="L1229">
        <v>45796.72</v>
      </c>
      <c r="M1229">
        <f>IF(F1229="INR",1,INDEX('rates'!$B$2:$C$522,MATCH(D1229,'rates'!$A$2:$A$522,1),MATCH(F1229&amp;"/INR",'rates'!$B$1:$C$1,0)))</f>
        <v>83.38</v>
      </c>
      <c r="N1229">
        <f t="shared" si="100"/>
        <v>3818530.5135999997</v>
      </c>
      <c r="O1229">
        <f t="shared" si="101"/>
        <v>0</v>
      </c>
      <c r="P1229">
        <f t="shared" si="102"/>
        <v>0</v>
      </c>
      <c r="Q1229">
        <f t="shared" si="99"/>
        <v>120</v>
      </c>
      <c r="R1229" t="str">
        <f t="shared" si="103"/>
        <v>Not open</v>
      </c>
    </row>
    <row r="1230" spans="1:18" x14ac:dyDescent="0.3">
      <c r="A1230" t="s">
        <v>1413</v>
      </c>
      <c r="B1230" t="s">
        <v>322</v>
      </c>
      <c r="C1230" t="s">
        <v>566</v>
      </c>
      <c r="D1230" s="1">
        <v>45271</v>
      </c>
      <c r="E1230" s="1">
        <v>45331</v>
      </c>
      <c r="F1230" t="s">
        <v>13</v>
      </c>
      <c r="G1230">
        <v>5644653</v>
      </c>
      <c r="H1230" s="1">
        <v>45344</v>
      </c>
      <c r="I1230" t="s">
        <v>555</v>
      </c>
      <c r="J1230" t="s">
        <v>556</v>
      </c>
      <c r="L1230">
        <v>5644653</v>
      </c>
      <c r="M1230">
        <f>IF(F1230="INR",1,INDEX('rates'!$B$2:$C$522,MATCH(D1230,'rates'!$A$2:$A$522,1),MATCH(F1230&amp;"/INR",'rates'!$B$1:$C$1,0)))</f>
        <v>1</v>
      </c>
      <c r="N1230">
        <f t="shared" si="100"/>
        <v>5644653</v>
      </c>
      <c r="O1230">
        <f t="shared" si="101"/>
        <v>0</v>
      </c>
      <c r="P1230">
        <f t="shared" si="102"/>
        <v>0</v>
      </c>
      <c r="Q1230">
        <f t="shared" si="99"/>
        <v>13</v>
      </c>
      <c r="R1230" t="str">
        <f t="shared" si="103"/>
        <v>Not open</v>
      </c>
    </row>
    <row r="1231" spans="1:18" x14ac:dyDescent="0.3">
      <c r="A1231" t="s">
        <v>1414</v>
      </c>
      <c r="B1231" t="s">
        <v>148</v>
      </c>
      <c r="C1231" t="s">
        <v>575</v>
      </c>
      <c r="D1231" s="1">
        <v>45272</v>
      </c>
      <c r="E1231" s="1">
        <v>45332</v>
      </c>
      <c r="F1231" t="s">
        <v>31</v>
      </c>
      <c r="G1231">
        <v>127531.8</v>
      </c>
      <c r="H1231" s="1">
        <v>45343</v>
      </c>
      <c r="I1231" t="s">
        <v>555</v>
      </c>
      <c r="J1231" t="s">
        <v>573</v>
      </c>
      <c r="K1231">
        <v>90.136099999999999</v>
      </c>
      <c r="L1231">
        <v>127531.8</v>
      </c>
      <c r="M1231">
        <f>IF(F1231="INR",1,INDEX('rates'!$B$2:$C$522,MATCH(D1231,'rates'!$A$2:$A$522,1),MATCH(F1231&amp;"/INR",'rates'!$B$1:$C$1,0)))</f>
        <v>89.956199999999995</v>
      </c>
      <c r="N1231">
        <f t="shared" si="100"/>
        <v>11472276.10716</v>
      </c>
      <c r="O1231">
        <f t="shared" si="101"/>
        <v>0</v>
      </c>
      <c r="P1231">
        <f t="shared" si="102"/>
        <v>0</v>
      </c>
      <c r="Q1231">
        <f t="shared" si="99"/>
        <v>11</v>
      </c>
      <c r="R1231" t="str">
        <f t="shared" si="103"/>
        <v>Not open</v>
      </c>
    </row>
    <row r="1232" spans="1:18" x14ac:dyDescent="0.3">
      <c r="A1232" t="s">
        <v>1415</v>
      </c>
      <c r="B1232" t="s">
        <v>262</v>
      </c>
      <c r="C1232" t="s">
        <v>566</v>
      </c>
      <c r="D1232" s="1">
        <v>45272</v>
      </c>
      <c r="E1232" s="1">
        <v>45362</v>
      </c>
      <c r="F1232" t="s">
        <v>31</v>
      </c>
      <c r="G1232">
        <v>220346.1</v>
      </c>
      <c r="H1232" s="1">
        <v>45374</v>
      </c>
      <c r="I1232" t="s">
        <v>555</v>
      </c>
      <c r="J1232" t="s">
        <v>573</v>
      </c>
      <c r="K1232">
        <v>90.226100000000002</v>
      </c>
      <c r="L1232">
        <v>220346.1</v>
      </c>
      <c r="M1232">
        <f>IF(F1232="INR",1,INDEX('rates'!$B$2:$C$522,MATCH(D1232,'rates'!$A$2:$A$522,1),MATCH(F1232&amp;"/INR",'rates'!$B$1:$C$1,0)))</f>
        <v>89.956199999999995</v>
      </c>
      <c r="N1232">
        <f t="shared" si="100"/>
        <v>19821497.84082</v>
      </c>
      <c r="O1232">
        <f t="shared" si="101"/>
        <v>0</v>
      </c>
      <c r="P1232">
        <f t="shared" si="102"/>
        <v>0</v>
      </c>
      <c r="Q1232">
        <f t="shared" si="99"/>
        <v>12</v>
      </c>
      <c r="R1232" t="str">
        <f t="shared" si="103"/>
        <v>Not open</v>
      </c>
    </row>
    <row r="1233" spans="1:18" x14ac:dyDescent="0.3">
      <c r="A1233" t="s">
        <v>1416</v>
      </c>
      <c r="B1233" t="s">
        <v>380</v>
      </c>
      <c r="C1233" t="s">
        <v>560</v>
      </c>
      <c r="D1233" s="1">
        <v>45273</v>
      </c>
      <c r="E1233" s="1">
        <v>45333</v>
      </c>
      <c r="F1233" t="s">
        <v>13</v>
      </c>
      <c r="G1233">
        <v>1839734</v>
      </c>
      <c r="H1233" s="1">
        <v>45336</v>
      </c>
      <c r="I1233" t="s">
        <v>555</v>
      </c>
      <c r="J1233" t="s">
        <v>556</v>
      </c>
      <c r="L1233">
        <v>1839734</v>
      </c>
      <c r="M1233">
        <f>IF(F1233="INR",1,INDEX('rates'!$B$2:$C$522,MATCH(D1233,'rates'!$A$2:$A$522,1),MATCH(F1233&amp;"/INR",'rates'!$B$1:$C$1,0)))</f>
        <v>1</v>
      </c>
      <c r="N1233">
        <f t="shared" si="100"/>
        <v>1839734</v>
      </c>
      <c r="O1233">
        <f t="shared" si="101"/>
        <v>0</v>
      </c>
      <c r="P1233">
        <f t="shared" si="102"/>
        <v>0</v>
      </c>
      <c r="Q1233">
        <f t="shared" si="99"/>
        <v>3</v>
      </c>
      <c r="R1233" t="str">
        <f t="shared" si="103"/>
        <v>Not open</v>
      </c>
    </row>
    <row r="1234" spans="1:18" x14ac:dyDescent="0.3">
      <c r="A1234" t="s">
        <v>1417</v>
      </c>
      <c r="B1234" t="s">
        <v>368</v>
      </c>
      <c r="C1234" t="s">
        <v>566</v>
      </c>
      <c r="D1234" s="1">
        <v>45274</v>
      </c>
      <c r="E1234" s="1">
        <v>45334</v>
      </c>
      <c r="F1234" t="s">
        <v>36</v>
      </c>
      <c r="G1234">
        <v>227874.03</v>
      </c>
      <c r="H1234" s="1">
        <v>45353</v>
      </c>
      <c r="I1234" t="s">
        <v>555</v>
      </c>
      <c r="J1234" t="s">
        <v>573</v>
      </c>
      <c r="K1234">
        <v>83.557599999999994</v>
      </c>
      <c r="L1234">
        <v>227874.03</v>
      </c>
      <c r="M1234">
        <f>IF(F1234="INR",1,INDEX('rates'!$B$2:$C$522,MATCH(D1234,'rates'!$A$2:$A$522,1),MATCH(F1234&amp;"/INR",'rates'!$B$1:$C$1,0)))</f>
        <v>83.28</v>
      </c>
      <c r="N1234">
        <f t="shared" si="100"/>
        <v>18977349.218400002</v>
      </c>
      <c r="O1234">
        <f t="shared" si="101"/>
        <v>0</v>
      </c>
      <c r="P1234">
        <f t="shared" si="102"/>
        <v>0</v>
      </c>
      <c r="Q1234">
        <f t="shared" si="99"/>
        <v>19</v>
      </c>
      <c r="R1234" t="str">
        <f t="shared" si="103"/>
        <v>Not open</v>
      </c>
    </row>
    <row r="1235" spans="1:18" x14ac:dyDescent="0.3">
      <c r="A1235" t="s">
        <v>1418</v>
      </c>
      <c r="B1235" t="s">
        <v>422</v>
      </c>
      <c r="C1235" t="s">
        <v>575</v>
      </c>
      <c r="D1235" s="1">
        <v>45274</v>
      </c>
      <c r="E1235" s="1">
        <v>45319</v>
      </c>
      <c r="F1235" t="s">
        <v>31</v>
      </c>
      <c r="G1235">
        <v>139711.47</v>
      </c>
      <c r="H1235" s="1">
        <v>45318</v>
      </c>
      <c r="I1235" t="s">
        <v>555</v>
      </c>
      <c r="J1235" t="s">
        <v>573</v>
      </c>
      <c r="K1235">
        <v>91.720399999999998</v>
      </c>
      <c r="L1235">
        <v>139711.47</v>
      </c>
      <c r="M1235">
        <f>IF(F1235="INR",1,INDEX('rates'!$B$2:$C$522,MATCH(D1235,'rates'!$A$2:$A$522,1),MATCH(F1235&amp;"/INR",'rates'!$B$1:$C$1,0)))</f>
        <v>91.582999999999998</v>
      </c>
      <c r="N1235">
        <f t="shared" si="100"/>
        <v>12795195.557010001</v>
      </c>
      <c r="O1235">
        <f t="shared" si="101"/>
        <v>0</v>
      </c>
      <c r="P1235">
        <f t="shared" si="102"/>
        <v>0</v>
      </c>
      <c r="Q1235">
        <f t="shared" si="99"/>
        <v>-1</v>
      </c>
      <c r="R1235" t="str">
        <f t="shared" si="103"/>
        <v>Not open</v>
      </c>
    </row>
    <row r="1236" spans="1:18" x14ac:dyDescent="0.3">
      <c r="A1236" t="s">
        <v>1419</v>
      </c>
      <c r="B1236" t="s">
        <v>524</v>
      </c>
      <c r="C1236" t="s">
        <v>554</v>
      </c>
      <c r="D1236" s="1">
        <v>45274</v>
      </c>
      <c r="E1236" s="1">
        <v>45334</v>
      </c>
      <c r="F1236" t="s">
        <v>31</v>
      </c>
      <c r="G1236">
        <v>144456.38</v>
      </c>
      <c r="H1236" s="1">
        <v>45346</v>
      </c>
      <c r="I1236" t="s">
        <v>555</v>
      </c>
      <c r="J1236" t="s">
        <v>573</v>
      </c>
      <c r="K1236">
        <v>91.766199999999998</v>
      </c>
      <c r="L1236">
        <v>144456.38</v>
      </c>
      <c r="M1236">
        <f>IF(F1236="INR",1,INDEX('rates'!$B$2:$C$522,MATCH(D1236,'rates'!$A$2:$A$522,1),MATCH(F1236&amp;"/INR",'rates'!$B$1:$C$1,0)))</f>
        <v>91.582999999999998</v>
      </c>
      <c r="N1236">
        <f t="shared" si="100"/>
        <v>13229748.64954</v>
      </c>
      <c r="O1236">
        <f t="shared" si="101"/>
        <v>0</v>
      </c>
      <c r="P1236">
        <f t="shared" si="102"/>
        <v>0</v>
      </c>
      <c r="Q1236">
        <f t="shared" si="99"/>
        <v>12</v>
      </c>
      <c r="R1236" t="str">
        <f t="shared" si="103"/>
        <v>Not open</v>
      </c>
    </row>
    <row r="1237" spans="1:18" x14ac:dyDescent="0.3">
      <c r="A1237" t="s">
        <v>1420</v>
      </c>
      <c r="B1237" t="s">
        <v>262</v>
      </c>
      <c r="C1237" t="s">
        <v>566</v>
      </c>
      <c r="D1237" s="1">
        <v>45275</v>
      </c>
      <c r="E1237" s="1">
        <v>45365</v>
      </c>
      <c r="F1237" t="s">
        <v>31</v>
      </c>
      <c r="G1237">
        <v>197951.54</v>
      </c>
      <c r="H1237" s="1">
        <v>45405</v>
      </c>
      <c r="I1237" t="s">
        <v>555</v>
      </c>
      <c r="J1237" t="s">
        <v>556</v>
      </c>
      <c r="L1237">
        <v>197951.54</v>
      </c>
      <c r="M1237">
        <f>IF(F1237="INR",1,INDEX('rates'!$B$2:$C$522,MATCH(D1237,'rates'!$A$2:$A$522,1),MATCH(F1237&amp;"/INR",'rates'!$B$1:$C$1,0)))</f>
        <v>90.541600000000003</v>
      </c>
      <c r="N1237">
        <f t="shared" si="100"/>
        <v>17922849.154064</v>
      </c>
      <c r="O1237">
        <f t="shared" si="101"/>
        <v>0</v>
      </c>
      <c r="P1237">
        <f t="shared" si="102"/>
        <v>0</v>
      </c>
      <c r="Q1237">
        <f t="shared" si="99"/>
        <v>40</v>
      </c>
      <c r="R1237" t="str">
        <f t="shared" si="103"/>
        <v>Not open</v>
      </c>
    </row>
    <row r="1238" spans="1:18" x14ac:dyDescent="0.3">
      <c r="A1238" t="s">
        <v>1421</v>
      </c>
      <c r="B1238" t="s">
        <v>33</v>
      </c>
      <c r="C1238" t="s">
        <v>566</v>
      </c>
      <c r="D1238" s="1">
        <v>45276</v>
      </c>
      <c r="E1238" s="1">
        <v>45306</v>
      </c>
      <c r="F1238" t="s">
        <v>36</v>
      </c>
      <c r="G1238">
        <v>45600.480000000003</v>
      </c>
      <c r="H1238" s="1">
        <v>45329</v>
      </c>
      <c r="I1238" t="s">
        <v>555</v>
      </c>
      <c r="J1238" t="s">
        <v>573</v>
      </c>
      <c r="K1238">
        <v>83.1584</v>
      </c>
      <c r="L1238">
        <v>45600.480000000003</v>
      </c>
      <c r="M1238">
        <f>IF(F1238="INR",1,INDEX('rates'!$B$2:$C$522,MATCH(D1238,'rates'!$A$2:$A$522,1),MATCH(F1238&amp;"/INR",'rates'!$B$1:$C$1,0)))</f>
        <v>83.02</v>
      </c>
      <c r="N1238">
        <f t="shared" si="100"/>
        <v>3785751.8496000003</v>
      </c>
      <c r="O1238">
        <f t="shared" si="101"/>
        <v>0</v>
      </c>
      <c r="P1238">
        <f t="shared" si="102"/>
        <v>0</v>
      </c>
      <c r="Q1238">
        <f t="shared" si="99"/>
        <v>23</v>
      </c>
      <c r="R1238" t="str">
        <f t="shared" si="103"/>
        <v>Not open</v>
      </c>
    </row>
    <row r="1239" spans="1:18" x14ac:dyDescent="0.3">
      <c r="A1239" t="s">
        <v>1422</v>
      </c>
      <c r="B1239" t="s">
        <v>140</v>
      </c>
      <c r="C1239" t="s">
        <v>554</v>
      </c>
      <c r="D1239" s="1">
        <v>45276</v>
      </c>
      <c r="E1239" s="1">
        <v>45336</v>
      </c>
      <c r="F1239" t="s">
        <v>13</v>
      </c>
      <c r="G1239">
        <v>13533120</v>
      </c>
      <c r="H1239" s="1">
        <v>45342</v>
      </c>
      <c r="I1239" t="s">
        <v>555</v>
      </c>
      <c r="J1239" t="s">
        <v>556</v>
      </c>
      <c r="L1239">
        <v>13533120</v>
      </c>
      <c r="M1239">
        <f>IF(F1239="INR",1,INDEX('rates'!$B$2:$C$522,MATCH(D1239,'rates'!$A$2:$A$522,1),MATCH(F1239&amp;"/INR",'rates'!$B$1:$C$1,0)))</f>
        <v>1</v>
      </c>
      <c r="N1239">
        <f t="shared" si="100"/>
        <v>13533120</v>
      </c>
      <c r="O1239">
        <f t="shared" si="101"/>
        <v>0</v>
      </c>
      <c r="P1239">
        <f t="shared" si="102"/>
        <v>0</v>
      </c>
      <c r="Q1239">
        <f t="shared" si="99"/>
        <v>6</v>
      </c>
      <c r="R1239" t="str">
        <f t="shared" si="103"/>
        <v>Not open</v>
      </c>
    </row>
    <row r="1240" spans="1:18" x14ac:dyDescent="0.3">
      <c r="A1240" t="s">
        <v>1423</v>
      </c>
      <c r="B1240" t="s">
        <v>160</v>
      </c>
      <c r="C1240" t="s">
        <v>554</v>
      </c>
      <c r="D1240" s="1">
        <v>45276</v>
      </c>
      <c r="E1240" s="1">
        <v>45321</v>
      </c>
      <c r="F1240" t="s">
        <v>13</v>
      </c>
      <c r="G1240">
        <v>4479136</v>
      </c>
      <c r="H1240" s="1">
        <v>45329</v>
      </c>
      <c r="I1240" t="s">
        <v>555</v>
      </c>
      <c r="J1240" t="s">
        <v>556</v>
      </c>
      <c r="L1240">
        <v>4479136</v>
      </c>
      <c r="M1240">
        <f>IF(F1240="INR",1,INDEX('rates'!$B$2:$C$522,MATCH(D1240,'rates'!$A$2:$A$522,1),MATCH(F1240&amp;"/INR",'rates'!$B$1:$C$1,0)))</f>
        <v>1</v>
      </c>
      <c r="N1240">
        <f t="shared" si="100"/>
        <v>4479136</v>
      </c>
      <c r="O1240">
        <f t="shared" si="101"/>
        <v>0</v>
      </c>
      <c r="P1240">
        <f t="shared" si="102"/>
        <v>0</v>
      </c>
      <c r="Q1240">
        <f t="shared" si="99"/>
        <v>8</v>
      </c>
      <c r="R1240" t="str">
        <f t="shared" si="103"/>
        <v>Not open</v>
      </c>
    </row>
    <row r="1241" spans="1:18" x14ac:dyDescent="0.3">
      <c r="A1241" t="s">
        <v>1424</v>
      </c>
      <c r="B1241" t="s">
        <v>192</v>
      </c>
      <c r="C1241" t="s">
        <v>554</v>
      </c>
      <c r="D1241" s="1">
        <v>45276</v>
      </c>
      <c r="E1241" s="1">
        <v>45336</v>
      </c>
      <c r="F1241" t="s">
        <v>13</v>
      </c>
      <c r="G1241">
        <v>2545273</v>
      </c>
      <c r="H1241" s="1">
        <v>45478</v>
      </c>
      <c r="I1241" t="s">
        <v>555</v>
      </c>
      <c r="J1241" t="s">
        <v>556</v>
      </c>
      <c r="L1241">
        <v>2545273</v>
      </c>
      <c r="M1241">
        <f>IF(F1241="INR",1,INDEX('rates'!$B$2:$C$522,MATCH(D1241,'rates'!$A$2:$A$522,1),MATCH(F1241&amp;"/INR",'rates'!$B$1:$C$1,0)))</f>
        <v>1</v>
      </c>
      <c r="N1241">
        <f t="shared" si="100"/>
        <v>2545273</v>
      </c>
      <c r="O1241">
        <f t="shared" si="101"/>
        <v>0</v>
      </c>
      <c r="P1241">
        <f t="shared" si="102"/>
        <v>0</v>
      </c>
      <c r="Q1241">
        <f t="shared" si="99"/>
        <v>142</v>
      </c>
      <c r="R1241" t="str">
        <f t="shared" si="103"/>
        <v>Not open</v>
      </c>
    </row>
    <row r="1242" spans="1:18" x14ac:dyDescent="0.3">
      <c r="A1242" t="s">
        <v>1425</v>
      </c>
      <c r="B1242" t="s">
        <v>228</v>
      </c>
      <c r="C1242" t="s">
        <v>554</v>
      </c>
      <c r="D1242" s="1">
        <v>45276</v>
      </c>
      <c r="E1242" s="1">
        <v>45321</v>
      </c>
      <c r="F1242" t="s">
        <v>13</v>
      </c>
      <c r="G1242">
        <v>3534672</v>
      </c>
      <c r="H1242" s="1">
        <v>45324</v>
      </c>
      <c r="I1242" t="s">
        <v>555</v>
      </c>
      <c r="J1242" t="s">
        <v>556</v>
      </c>
      <c r="L1242">
        <v>3534672</v>
      </c>
      <c r="M1242">
        <f>IF(F1242="INR",1,INDEX('rates'!$B$2:$C$522,MATCH(D1242,'rates'!$A$2:$A$522,1),MATCH(F1242&amp;"/INR",'rates'!$B$1:$C$1,0)))</f>
        <v>1</v>
      </c>
      <c r="N1242">
        <f t="shared" si="100"/>
        <v>3534672</v>
      </c>
      <c r="O1242">
        <f t="shared" si="101"/>
        <v>0</v>
      </c>
      <c r="P1242">
        <f t="shared" si="102"/>
        <v>0</v>
      </c>
      <c r="Q1242">
        <f t="shared" si="99"/>
        <v>3</v>
      </c>
      <c r="R1242" t="str">
        <f t="shared" si="103"/>
        <v>Not open</v>
      </c>
    </row>
    <row r="1243" spans="1:18" x14ac:dyDescent="0.3">
      <c r="A1243" t="s">
        <v>1426</v>
      </c>
      <c r="B1243" t="s">
        <v>262</v>
      </c>
      <c r="C1243" t="s">
        <v>566</v>
      </c>
      <c r="D1243" s="1">
        <v>45276</v>
      </c>
      <c r="E1243" s="1">
        <v>45366</v>
      </c>
      <c r="F1243" t="s">
        <v>31</v>
      </c>
      <c r="G1243">
        <v>126911.74</v>
      </c>
      <c r="H1243" s="1"/>
      <c r="I1243" t="s">
        <v>717</v>
      </c>
      <c r="J1243" t="s">
        <v>573</v>
      </c>
      <c r="K1243">
        <v>90.813199999999995</v>
      </c>
      <c r="L1243">
        <v>0</v>
      </c>
      <c r="M1243">
        <f>IF(F1243="INR",1,INDEX('rates'!$B$2:$C$522,MATCH(D1243,'rates'!$A$2:$A$522,1),MATCH(F1243&amp;"/INR",'rates'!$B$1:$C$1,0)))</f>
        <v>90.541600000000003</v>
      </c>
      <c r="N1243">
        <f t="shared" si="100"/>
        <v>11490791.998384001</v>
      </c>
      <c r="O1243">
        <f t="shared" si="101"/>
        <v>0</v>
      </c>
      <c r="P1243">
        <f t="shared" si="102"/>
        <v>0</v>
      </c>
      <c r="Q1243" t="str">
        <f t="shared" si="99"/>
        <v/>
      </c>
      <c r="R1243" t="str">
        <f t="shared" si="103"/>
        <v>Not open</v>
      </c>
    </row>
    <row r="1244" spans="1:18" x14ac:dyDescent="0.3">
      <c r="A1244" t="s">
        <v>1427</v>
      </c>
      <c r="B1244" t="s">
        <v>294</v>
      </c>
      <c r="C1244" t="s">
        <v>560</v>
      </c>
      <c r="D1244" s="1">
        <v>45276</v>
      </c>
      <c r="E1244" s="1">
        <v>45336</v>
      </c>
      <c r="F1244" t="s">
        <v>13</v>
      </c>
      <c r="G1244">
        <v>4257680</v>
      </c>
      <c r="H1244" s="1">
        <v>45515</v>
      </c>
      <c r="I1244" t="s">
        <v>555</v>
      </c>
      <c r="J1244" t="s">
        <v>556</v>
      </c>
      <c r="L1244">
        <v>4257680</v>
      </c>
      <c r="M1244">
        <f>IF(F1244="INR",1,INDEX('rates'!$B$2:$C$522,MATCH(D1244,'rates'!$A$2:$A$522,1),MATCH(F1244&amp;"/INR",'rates'!$B$1:$C$1,0)))</f>
        <v>1</v>
      </c>
      <c r="N1244">
        <f t="shared" si="100"/>
        <v>4257680</v>
      </c>
      <c r="O1244">
        <f t="shared" si="101"/>
        <v>0</v>
      </c>
      <c r="P1244">
        <f t="shared" si="102"/>
        <v>0</v>
      </c>
      <c r="Q1244">
        <f t="shared" si="99"/>
        <v>179</v>
      </c>
      <c r="R1244" t="str">
        <f t="shared" si="103"/>
        <v>Not open</v>
      </c>
    </row>
    <row r="1245" spans="1:18" x14ac:dyDescent="0.3">
      <c r="A1245" t="s">
        <v>1428</v>
      </c>
      <c r="B1245" t="s">
        <v>322</v>
      </c>
      <c r="C1245" t="s">
        <v>566</v>
      </c>
      <c r="D1245" s="1">
        <v>45276</v>
      </c>
      <c r="E1245" s="1">
        <v>45336</v>
      </c>
      <c r="F1245" t="s">
        <v>13</v>
      </c>
      <c r="G1245">
        <v>1320354</v>
      </c>
      <c r="H1245" s="1">
        <v>45345</v>
      </c>
      <c r="I1245" t="s">
        <v>555</v>
      </c>
      <c r="J1245" t="s">
        <v>556</v>
      </c>
      <c r="L1245">
        <v>1320354</v>
      </c>
      <c r="M1245">
        <f>IF(F1245="INR",1,INDEX('rates'!$B$2:$C$522,MATCH(D1245,'rates'!$A$2:$A$522,1),MATCH(F1245&amp;"/INR",'rates'!$B$1:$C$1,0)))</f>
        <v>1</v>
      </c>
      <c r="N1245">
        <f t="shared" si="100"/>
        <v>1320354</v>
      </c>
      <c r="O1245">
        <f t="shared" si="101"/>
        <v>0</v>
      </c>
      <c r="P1245">
        <f t="shared" si="102"/>
        <v>0</v>
      </c>
      <c r="Q1245">
        <f t="shared" si="99"/>
        <v>9</v>
      </c>
      <c r="R1245" t="str">
        <f t="shared" si="103"/>
        <v>Not open</v>
      </c>
    </row>
    <row r="1246" spans="1:18" x14ac:dyDescent="0.3">
      <c r="A1246" t="s">
        <v>1429</v>
      </c>
      <c r="B1246" t="s">
        <v>336</v>
      </c>
      <c r="C1246" t="s">
        <v>554</v>
      </c>
      <c r="D1246" s="1">
        <v>45276</v>
      </c>
      <c r="E1246" s="1">
        <v>45306</v>
      </c>
      <c r="F1246" t="s">
        <v>13</v>
      </c>
      <c r="G1246">
        <v>2489504</v>
      </c>
      <c r="H1246" s="1">
        <v>45313</v>
      </c>
      <c r="I1246" t="s">
        <v>555</v>
      </c>
      <c r="J1246" t="s">
        <v>556</v>
      </c>
      <c r="L1246">
        <v>2489504</v>
      </c>
      <c r="M1246">
        <f>IF(F1246="INR",1,INDEX('rates'!$B$2:$C$522,MATCH(D1246,'rates'!$A$2:$A$522,1),MATCH(F1246&amp;"/INR",'rates'!$B$1:$C$1,0)))</f>
        <v>1</v>
      </c>
      <c r="N1246">
        <f t="shared" si="100"/>
        <v>2489504</v>
      </c>
      <c r="O1246">
        <f t="shared" si="101"/>
        <v>0</v>
      </c>
      <c r="P1246">
        <f t="shared" si="102"/>
        <v>0</v>
      </c>
      <c r="Q1246">
        <f t="shared" si="99"/>
        <v>7</v>
      </c>
      <c r="R1246" t="str">
        <f t="shared" si="103"/>
        <v>Not open</v>
      </c>
    </row>
    <row r="1247" spans="1:18" x14ac:dyDescent="0.3">
      <c r="A1247" t="s">
        <v>1430</v>
      </c>
      <c r="B1247" t="s">
        <v>370</v>
      </c>
      <c r="C1247" t="s">
        <v>566</v>
      </c>
      <c r="D1247" s="1">
        <v>45276</v>
      </c>
      <c r="E1247" s="1">
        <v>45306</v>
      </c>
      <c r="F1247" t="s">
        <v>36</v>
      </c>
      <c r="G1247">
        <v>72975.429999999993</v>
      </c>
      <c r="H1247" s="1">
        <v>45313</v>
      </c>
      <c r="I1247" t="s">
        <v>555</v>
      </c>
      <c r="J1247" t="s">
        <v>573</v>
      </c>
      <c r="K1247">
        <v>83.1584</v>
      </c>
      <c r="L1247">
        <v>72975.429999999993</v>
      </c>
      <c r="M1247">
        <f>IF(F1247="INR",1,INDEX('rates'!$B$2:$C$522,MATCH(D1247,'rates'!$A$2:$A$522,1),MATCH(F1247&amp;"/INR",'rates'!$B$1:$C$1,0)))</f>
        <v>83.02</v>
      </c>
      <c r="N1247">
        <f t="shared" si="100"/>
        <v>6058420.1985999988</v>
      </c>
      <c r="O1247">
        <f t="shared" si="101"/>
        <v>0</v>
      </c>
      <c r="P1247">
        <f t="shared" si="102"/>
        <v>0</v>
      </c>
      <c r="Q1247">
        <f t="shared" si="99"/>
        <v>7</v>
      </c>
      <c r="R1247" t="str">
        <f t="shared" si="103"/>
        <v>Not open</v>
      </c>
    </row>
    <row r="1248" spans="1:18" x14ac:dyDescent="0.3">
      <c r="A1248" t="s">
        <v>1431</v>
      </c>
      <c r="B1248" t="s">
        <v>394</v>
      </c>
      <c r="C1248" t="s">
        <v>575</v>
      </c>
      <c r="D1248" s="1">
        <v>45276</v>
      </c>
      <c r="E1248" s="1">
        <v>45336</v>
      </c>
      <c r="F1248" t="s">
        <v>31</v>
      </c>
      <c r="G1248">
        <v>175083.08</v>
      </c>
      <c r="H1248" s="1">
        <v>45346</v>
      </c>
      <c r="I1248" t="s">
        <v>555</v>
      </c>
      <c r="J1248" t="s">
        <v>556</v>
      </c>
      <c r="L1248">
        <v>175083.08</v>
      </c>
      <c r="M1248">
        <f>IF(F1248="INR",1,INDEX('rates'!$B$2:$C$522,MATCH(D1248,'rates'!$A$2:$A$522,1),MATCH(F1248&amp;"/INR",'rates'!$B$1:$C$1,0)))</f>
        <v>90.541600000000003</v>
      </c>
      <c r="N1248">
        <f t="shared" si="100"/>
        <v>15852302.196128</v>
      </c>
      <c r="O1248">
        <f t="shared" si="101"/>
        <v>0</v>
      </c>
      <c r="P1248">
        <f t="shared" si="102"/>
        <v>0</v>
      </c>
      <c r="Q1248">
        <f t="shared" si="99"/>
        <v>10</v>
      </c>
      <c r="R1248" t="str">
        <f t="shared" si="103"/>
        <v>Not open</v>
      </c>
    </row>
    <row r="1249" spans="1:18" x14ac:dyDescent="0.3">
      <c r="A1249" t="s">
        <v>1432</v>
      </c>
      <c r="B1249" t="s">
        <v>496</v>
      </c>
      <c r="C1249" t="s">
        <v>554</v>
      </c>
      <c r="D1249" s="1">
        <v>45276</v>
      </c>
      <c r="E1249" s="1">
        <v>45321</v>
      </c>
      <c r="F1249" t="s">
        <v>13</v>
      </c>
      <c r="G1249">
        <v>6195243</v>
      </c>
      <c r="H1249" s="1">
        <v>45325</v>
      </c>
      <c r="I1249" t="s">
        <v>555</v>
      </c>
      <c r="J1249" t="s">
        <v>556</v>
      </c>
      <c r="L1249">
        <v>6195243</v>
      </c>
      <c r="M1249">
        <f>IF(F1249="INR",1,INDEX('rates'!$B$2:$C$522,MATCH(D1249,'rates'!$A$2:$A$522,1),MATCH(F1249&amp;"/INR",'rates'!$B$1:$C$1,0)))</f>
        <v>1</v>
      </c>
      <c r="N1249">
        <f t="shared" si="100"/>
        <v>6195243</v>
      </c>
      <c r="O1249">
        <f t="shared" si="101"/>
        <v>0</v>
      </c>
      <c r="P1249">
        <f t="shared" si="102"/>
        <v>0</v>
      </c>
      <c r="Q1249">
        <f t="shared" ref="Q1249:Q1280" si="104">IF(H1249="","",H1249-E1249)</f>
        <v>4</v>
      </c>
      <c r="R1249" t="str">
        <f t="shared" si="103"/>
        <v>Not open</v>
      </c>
    </row>
    <row r="1250" spans="1:18" x14ac:dyDescent="0.3">
      <c r="A1250" t="s">
        <v>1433</v>
      </c>
      <c r="B1250" t="s">
        <v>528</v>
      </c>
      <c r="C1250" t="s">
        <v>566</v>
      </c>
      <c r="D1250" s="1">
        <v>45276</v>
      </c>
      <c r="E1250" s="1">
        <v>45336</v>
      </c>
      <c r="F1250" t="s">
        <v>13</v>
      </c>
      <c r="G1250">
        <v>29459743</v>
      </c>
      <c r="H1250" s="1">
        <v>45398</v>
      </c>
      <c r="I1250" t="s">
        <v>555</v>
      </c>
      <c r="J1250" t="s">
        <v>556</v>
      </c>
      <c r="L1250">
        <v>29459743</v>
      </c>
      <c r="M1250">
        <f>IF(F1250="INR",1,INDEX('rates'!$B$2:$C$522,MATCH(D1250,'rates'!$A$2:$A$522,1),MATCH(F1250&amp;"/INR",'rates'!$B$1:$C$1,0)))</f>
        <v>1</v>
      </c>
      <c r="N1250">
        <f t="shared" si="100"/>
        <v>29459743</v>
      </c>
      <c r="O1250">
        <f t="shared" si="101"/>
        <v>0</v>
      </c>
      <c r="P1250">
        <f t="shared" si="102"/>
        <v>0</v>
      </c>
      <c r="Q1250">
        <f t="shared" si="104"/>
        <v>62</v>
      </c>
      <c r="R1250" t="str">
        <f t="shared" si="103"/>
        <v>Not open</v>
      </c>
    </row>
    <row r="1251" spans="1:18" x14ac:dyDescent="0.3">
      <c r="A1251" t="s">
        <v>1434</v>
      </c>
      <c r="B1251" t="s">
        <v>240</v>
      </c>
      <c r="C1251" t="s">
        <v>575</v>
      </c>
      <c r="D1251" s="1">
        <v>45278</v>
      </c>
      <c r="E1251" s="1">
        <v>45338</v>
      </c>
      <c r="F1251" t="s">
        <v>36</v>
      </c>
      <c r="G1251">
        <v>38373.26</v>
      </c>
      <c r="H1251" s="1">
        <v>45346</v>
      </c>
      <c r="I1251" t="s">
        <v>555</v>
      </c>
      <c r="J1251" t="s">
        <v>573</v>
      </c>
      <c r="K1251">
        <v>83.316800000000001</v>
      </c>
      <c r="L1251">
        <v>38373.26</v>
      </c>
      <c r="M1251">
        <f>IF(F1251="INR",1,INDEX('rates'!$B$2:$C$522,MATCH(D1251,'rates'!$A$2:$A$522,1),MATCH(F1251&amp;"/INR",'rates'!$B$1:$C$1,0)))</f>
        <v>83.04</v>
      </c>
      <c r="N1251">
        <f t="shared" si="100"/>
        <v>3186515.5104000005</v>
      </c>
      <c r="O1251">
        <f t="shared" si="101"/>
        <v>0</v>
      </c>
      <c r="P1251">
        <f t="shared" si="102"/>
        <v>0</v>
      </c>
      <c r="Q1251">
        <f t="shared" si="104"/>
        <v>8</v>
      </c>
      <c r="R1251" t="str">
        <f t="shared" si="103"/>
        <v>Not open</v>
      </c>
    </row>
    <row r="1252" spans="1:18" x14ac:dyDescent="0.3">
      <c r="A1252" t="s">
        <v>1435</v>
      </c>
      <c r="B1252" t="s">
        <v>444</v>
      </c>
      <c r="C1252" t="s">
        <v>575</v>
      </c>
      <c r="D1252" s="1">
        <v>45278</v>
      </c>
      <c r="E1252" s="1">
        <v>45323</v>
      </c>
      <c r="F1252" t="s">
        <v>36</v>
      </c>
      <c r="G1252">
        <v>238394.32</v>
      </c>
      <c r="H1252" s="1">
        <v>45331</v>
      </c>
      <c r="I1252" t="s">
        <v>555</v>
      </c>
      <c r="J1252" t="s">
        <v>556</v>
      </c>
      <c r="L1252">
        <v>238394.32</v>
      </c>
      <c r="M1252">
        <f>IF(F1252="INR",1,INDEX('rates'!$B$2:$C$522,MATCH(D1252,'rates'!$A$2:$A$522,1),MATCH(F1252&amp;"/INR",'rates'!$B$1:$C$1,0)))</f>
        <v>83.04</v>
      </c>
      <c r="N1252">
        <f t="shared" si="100"/>
        <v>19796264.332800001</v>
      </c>
      <c r="O1252">
        <f t="shared" si="101"/>
        <v>0</v>
      </c>
      <c r="P1252">
        <f t="shared" si="102"/>
        <v>0</v>
      </c>
      <c r="Q1252">
        <f t="shared" si="104"/>
        <v>8</v>
      </c>
      <c r="R1252" t="str">
        <f t="shared" si="103"/>
        <v>Not open</v>
      </c>
    </row>
    <row r="1253" spans="1:18" x14ac:dyDescent="0.3">
      <c r="A1253" t="s">
        <v>1436</v>
      </c>
      <c r="B1253" t="s">
        <v>482</v>
      </c>
      <c r="C1253" t="s">
        <v>558</v>
      </c>
      <c r="D1253" s="1">
        <v>45278</v>
      </c>
      <c r="E1253" s="1">
        <v>45338</v>
      </c>
      <c r="F1253" t="s">
        <v>13</v>
      </c>
      <c r="G1253">
        <v>3867150</v>
      </c>
      <c r="H1253" s="1">
        <v>45345</v>
      </c>
      <c r="I1253" t="s">
        <v>555</v>
      </c>
      <c r="J1253" t="s">
        <v>556</v>
      </c>
      <c r="L1253">
        <v>3867150</v>
      </c>
      <c r="M1253">
        <f>IF(F1253="INR",1,INDEX('rates'!$B$2:$C$522,MATCH(D1253,'rates'!$A$2:$A$522,1),MATCH(F1253&amp;"/INR",'rates'!$B$1:$C$1,0)))</f>
        <v>1</v>
      </c>
      <c r="N1253">
        <f t="shared" si="100"/>
        <v>3867150</v>
      </c>
      <c r="O1253">
        <f t="shared" si="101"/>
        <v>0</v>
      </c>
      <c r="P1253">
        <f t="shared" si="102"/>
        <v>0</v>
      </c>
      <c r="Q1253">
        <f t="shared" si="104"/>
        <v>7</v>
      </c>
      <c r="R1253" t="str">
        <f t="shared" si="103"/>
        <v>Not open</v>
      </c>
    </row>
    <row r="1254" spans="1:18" x14ac:dyDescent="0.3">
      <c r="A1254" t="s">
        <v>1438</v>
      </c>
      <c r="B1254" t="s">
        <v>316</v>
      </c>
      <c r="C1254" t="s">
        <v>575</v>
      </c>
      <c r="D1254" s="1">
        <v>45279</v>
      </c>
      <c r="E1254" s="1">
        <v>45309</v>
      </c>
      <c r="F1254" t="s">
        <v>13</v>
      </c>
      <c r="G1254">
        <v>2089749</v>
      </c>
      <c r="H1254" s="1">
        <v>45307</v>
      </c>
      <c r="I1254" t="s">
        <v>555</v>
      </c>
      <c r="J1254" t="s">
        <v>556</v>
      </c>
      <c r="L1254">
        <v>2089749</v>
      </c>
      <c r="M1254">
        <f>IF(F1254="INR",1,INDEX('rates'!$B$2:$C$522,MATCH(D1254,'rates'!$A$2:$A$522,1),MATCH(F1254&amp;"/INR",'rates'!$B$1:$C$1,0)))</f>
        <v>1</v>
      </c>
      <c r="N1254">
        <f t="shared" si="100"/>
        <v>2089749</v>
      </c>
      <c r="O1254">
        <f t="shared" si="101"/>
        <v>0</v>
      </c>
      <c r="P1254">
        <f t="shared" si="102"/>
        <v>0</v>
      </c>
      <c r="Q1254">
        <f t="shared" si="104"/>
        <v>-2</v>
      </c>
      <c r="R1254" t="str">
        <f t="shared" si="103"/>
        <v>Not open</v>
      </c>
    </row>
    <row r="1255" spans="1:18" x14ac:dyDescent="0.3">
      <c r="A1255" t="s">
        <v>1439</v>
      </c>
      <c r="B1255" t="s">
        <v>374</v>
      </c>
      <c r="C1255" t="s">
        <v>575</v>
      </c>
      <c r="D1255" s="1">
        <v>45279</v>
      </c>
      <c r="E1255" s="1">
        <v>45309</v>
      </c>
      <c r="F1255" t="s">
        <v>13</v>
      </c>
      <c r="G1255">
        <v>6601716</v>
      </c>
      <c r="H1255" s="1">
        <v>45322</v>
      </c>
      <c r="I1255" t="s">
        <v>555</v>
      </c>
      <c r="J1255" t="s">
        <v>556</v>
      </c>
      <c r="L1255">
        <v>6601716</v>
      </c>
      <c r="M1255">
        <f>IF(F1255="INR",1,INDEX('rates'!$B$2:$C$522,MATCH(D1255,'rates'!$A$2:$A$522,1),MATCH(F1255&amp;"/INR",'rates'!$B$1:$C$1,0)))</f>
        <v>1</v>
      </c>
      <c r="N1255">
        <f t="shared" si="100"/>
        <v>6601716</v>
      </c>
      <c r="O1255">
        <f t="shared" si="101"/>
        <v>0</v>
      </c>
      <c r="P1255">
        <f t="shared" si="102"/>
        <v>0</v>
      </c>
      <c r="Q1255">
        <f t="shared" si="104"/>
        <v>13</v>
      </c>
      <c r="R1255" t="str">
        <f t="shared" si="103"/>
        <v>Not open</v>
      </c>
    </row>
    <row r="1256" spans="1:18" x14ac:dyDescent="0.3">
      <c r="A1256" t="s">
        <v>1440</v>
      </c>
      <c r="B1256" t="s">
        <v>502</v>
      </c>
      <c r="C1256" t="s">
        <v>554</v>
      </c>
      <c r="D1256" s="1">
        <v>45279</v>
      </c>
      <c r="E1256" s="1">
        <v>45309</v>
      </c>
      <c r="F1256" t="s">
        <v>13</v>
      </c>
      <c r="G1256">
        <v>3203905</v>
      </c>
      <c r="H1256" s="1">
        <v>45324</v>
      </c>
      <c r="I1256" t="s">
        <v>555</v>
      </c>
      <c r="J1256" t="s">
        <v>556</v>
      </c>
      <c r="L1256">
        <v>3203905</v>
      </c>
      <c r="M1256">
        <f>IF(F1256="INR",1,INDEX('rates'!$B$2:$C$522,MATCH(D1256,'rates'!$A$2:$A$522,1),MATCH(F1256&amp;"/INR",'rates'!$B$1:$C$1,0)))</f>
        <v>1</v>
      </c>
      <c r="N1256">
        <f t="shared" si="100"/>
        <v>3203905</v>
      </c>
      <c r="O1256">
        <f t="shared" si="101"/>
        <v>0</v>
      </c>
      <c r="P1256">
        <f t="shared" si="102"/>
        <v>0</v>
      </c>
      <c r="Q1256">
        <f t="shared" si="104"/>
        <v>15</v>
      </c>
      <c r="R1256" t="str">
        <f t="shared" si="103"/>
        <v>Not open</v>
      </c>
    </row>
    <row r="1257" spans="1:18" x14ac:dyDescent="0.3">
      <c r="A1257" t="s">
        <v>1441</v>
      </c>
      <c r="B1257" t="s">
        <v>19</v>
      </c>
      <c r="C1257" t="s">
        <v>554</v>
      </c>
      <c r="D1257" s="1">
        <v>45280</v>
      </c>
      <c r="E1257" s="1">
        <v>45325</v>
      </c>
      <c r="F1257" t="s">
        <v>13</v>
      </c>
      <c r="G1257">
        <v>21102226</v>
      </c>
      <c r="H1257" s="1">
        <v>45371</v>
      </c>
      <c r="I1257" t="s">
        <v>555</v>
      </c>
      <c r="J1257" t="s">
        <v>556</v>
      </c>
      <c r="L1257">
        <v>21102226</v>
      </c>
      <c r="M1257">
        <f>IF(F1257="INR",1,INDEX('rates'!$B$2:$C$522,MATCH(D1257,'rates'!$A$2:$A$522,1),MATCH(F1257&amp;"/INR",'rates'!$B$1:$C$1,0)))</f>
        <v>1</v>
      </c>
      <c r="N1257">
        <f t="shared" si="100"/>
        <v>21102226</v>
      </c>
      <c r="O1257">
        <f t="shared" si="101"/>
        <v>0</v>
      </c>
      <c r="P1257">
        <f t="shared" si="102"/>
        <v>0</v>
      </c>
      <c r="Q1257">
        <f t="shared" si="104"/>
        <v>46</v>
      </c>
      <c r="R1257" t="str">
        <f t="shared" si="103"/>
        <v>Not open</v>
      </c>
    </row>
    <row r="1258" spans="1:18" x14ac:dyDescent="0.3">
      <c r="A1258" t="s">
        <v>1442</v>
      </c>
      <c r="B1258" t="s">
        <v>19</v>
      </c>
      <c r="C1258" t="s">
        <v>554</v>
      </c>
      <c r="D1258" s="1">
        <v>45280</v>
      </c>
      <c r="E1258" s="1">
        <v>45325</v>
      </c>
      <c r="F1258" t="s">
        <v>13</v>
      </c>
      <c r="G1258">
        <v>5192840</v>
      </c>
      <c r="H1258" s="1">
        <v>45443</v>
      </c>
      <c r="I1258" t="s">
        <v>555</v>
      </c>
      <c r="J1258" t="s">
        <v>556</v>
      </c>
      <c r="L1258">
        <v>5192840</v>
      </c>
      <c r="M1258">
        <f>IF(F1258="INR",1,INDEX('rates'!$B$2:$C$522,MATCH(D1258,'rates'!$A$2:$A$522,1),MATCH(F1258&amp;"/INR",'rates'!$B$1:$C$1,0)))</f>
        <v>1</v>
      </c>
      <c r="N1258">
        <f t="shared" si="100"/>
        <v>5192840</v>
      </c>
      <c r="O1258">
        <f t="shared" si="101"/>
        <v>0</v>
      </c>
      <c r="P1258">
        <f t="shared" si="102"/>
        <v>0</v>
      </c>
      <c r="Q1258">
        <f t="shared" si="104"/>
        <v>118</v>
      </c>
      <c r="R1258" t="str">
        <f t="shared" si="103"/>
        <v>Not open</v>
      </c>
    </row>
    <row r="1259" spans="1:18" x14ac:dyDescent="0.3">
      <c r="A1259" t="s">
        <v>1443</v>
      </c>
      <c r="B1259" t="s">
        <v>190</v>
      </c>
      <c r="C1259" t="s">
        <v>558</v>
      </c>
      <c r="D1259" s="1">
        <v>45280</v>
      </c>
      <c r="E1259" s="1">
        <v>45310</v>
      </c>
      <c r="F1259" t="s">
        <v>13</v>
      </c>
      <c r="G1259">
        <v>4736787</v>
      </c>
      <c r="H1259" s="1">
        <v>45326</v>
      </c>
      <c r="I1259" t="s">
        <v>555</v>
      </c>
      <c r="J1259" t="s">
        <v>556</v>
      </c>
      <c r="L1259">
        <v>4736787</v>
      </c>
      <c r="M1259">
        <f>IF(F1259="INR",1,INDEX('rates'!$B$2:$C$522,MATCH(D1259,'rates'!$A$2:$A$522,1),MATCH(F1259&amp;"/INR",'rates'!$B$1:$C$1,0)))</f>
        <v>1</v>
      </c>
      <c r="N1259">
        <f t="shared" si="100"/>
        <v>4736787</v>
      </c>
      <c r="O1259">
        <f t="shared" si="101"/>
        <v>0</v>
      </c>
      <c r="P1259">
        <f t="shared" si="102"/>
        <v>0</v>
      </c>
      <c r="Q1259">
        <f t="shared" si="104"/>
        <v>16</v>
      </c>
      <c r="R1259" t="str">
        <f t="shared" si="103"/>
        <v>Not open</v>
      </c>
    </row>
    <row r="1260" spans="1:18" x14ac:dyDescent="0.3">
      <c r="A1260" t="s">
        <v>1444</v>
      </c>
      <c r="B1260" t="s">
        <v>302</v>
      </c>
      <c r="C1260" t="s">
        <v>558</v>
      </c>
      <c r="D1260" s="1">
        <v>45280</v>
      </c>
      <c r="E1260" s="1">
        <v>45370</v>
      </c>
      <c r="F1260" t="s">
        <v>13</v>
      </c>
      <c r="G1260">
        <v>1786333</v>
      </c>
      <c r="H1260" s="1">
        <v>45382</v>
      </c>
      <c r="I1260" t="s">
        <v>555</v>
      </c>
      <c r="J1260" t="s">
        <v>556</v>
      </c>
      <c r="L1260">
        <v>1786333</v>
      </c>
      <c r="M1260">
        <f>IF(F1260="INR",1,INDEX('rates'!$B$2:$C$522,MATCH(D1260,'rates'!$A$2:$A$522,1),MATCH(F1260&amp;"/INR",'rates'!$B$1:$C$1,0)))</f>
        <v>1</v>
      </c>
      <c r="N1260">
        <f t="shared" si="100"/>
        <v>1786333</v>
      </c>
      <c r="O1260">
        <f t="shared" si="101"/>
        <v>0</v>
      </c>
      <c r="P1260">
        <f t="shared" si="102"/>
        <v>0</v>
      </c>
      <c r="Q1260">
        <f t="shared" si="104"/>
        <v>12</v>
      </c>
      <c r="R1260" t="str">
        <f t="shared" si="103"/>
        <v>Not open</v>
      </c>
    </row>
    <row r="1261" spans="1:18" x14ac:dyDescent="0.3">
      <c r="A1261" t="s">
        <v>1446</v>
      </c>
      <c r="B1261" t="s">
        <v>526</v>
      </c>
      <c r="C1261" t="s">
        <v>566</v>
      </c>
      <c r="D1261" s="1">
        <v>45280</v>
      </c>
      <c r="E1261" s="1">
        <v>45340</v>
      </c>
      <c r="F1261" t="s">
        <v>31</v>
      </c>
      <c r="G1261">
        <v>34896.47</v>
      </c>
      <c r="H1261" s="1">
        <v>45358</v>
      </c>
      <c r="I1261" t="s">
        <v>555</v>
      </c>
      <c r="J1261" t="s">
        <v>573</v>
      </c>
      <c r="K1261">
        <v>91.278700000000001</v>
      </c>
      <c r="L1261">
        <v>34896.47</v>
      </c>
      <c r="M1261">
        <f>IF(F1261="INR",1,INDEX('rates'!$B$2:$C$522,MATCH(D1261,'rates'!$A$2:$A$522,1),MATCH(F1261&amp;"/INR",'rates'!$B$1:$C$1,0)))</f>
        <v>91.096500000000006</v>
      </c>
      <c r="N1261">
        <f t="shared" si="100"/>
        <v>3178946.2793550002</v>
      </c>
      <c r="O1261">
        <f t="shared" si="101"/>
        <v>0</v>
      </c>
      <c r="P1261">
        <f t="shared" si="102"/>
        <v>0</v>
      </c>
      <c r="Q1261">
        <f t="shared" si="104"/>
        <v>18</v>
      </c>
      <c r="R1261" t="str">
        <f t="shared" si="103"/>
        <v>Not open</v>
      </c>
    </row>
    <row r="1262" spans="1:18" x14ac:dyDescent="0.3">
      <c r="A1262" t="s">
        <v>1447</v>
      </c>
      <c r="B1262" t="s">
        <v>89</v>
      </c>
      <c r="C1262" t="s">
        <v>575</v>
      </c>
      <c r="D1262" s="1">
        <v>45281</v>
      </c>
      <c r="E1262" s="1">
        <v>45311</v>
      </c>
      <c r="F1262" t="s">
        <v>13</v>
      </c>
      <c r="G1262">
        <v>6949984</v>
      </c>
      <c r="H1262" s="1">
        <v>45322</v>
      </c>
      <c r="I1262" t="s">
        <v>555</v>
      </c>
      <c r="J1262" t="s">
        <v>556</v>
      </c>
      <c r="L1262">
        <v>6949984</v>
      </c>
      <c r="M1262">
        <f>IF(F1262="INR",1,INDEX('rates'!$B$2:$C$522,MATCH(D1262,'rates'!$A$2:$A$522,1),MATCH(F1262&amp;"/INR",'rates'!$B$1:$C$1,0)))</f>
        <v>1</v>
      </c>
      <c r="N1262">
        <f t="shared" si="100"/>
        <v>6949984</v>
      </c>
      <c r="O1262">
        <f t="shared" si="101"/>
        <v>0</v>
      </c>
      <c r="P1262">
        <f t="shared" si="102"/>
        <v>0</v>
      </c>
      <c r="Q1262">
        <f t="shared" si="104"/>
        <v>11</v>
      </c>
      <c r="R1262" t="str">
        <f t="shared" si="103"/>
        <v>Not open</v>
      </c>
    </row>
    <row r="1263" spans="1:18" x14ac:dyDescent="0.3">
      <c r="A1263" t="s">
        <v>1448</v>
      </c>
      <c r="B1263" t="s">
        <v>200</v>
      </c>
      <c r="C1263" t="s">
        <v>554</v>
      </c>
      <c r="D1263" s="1">
        <v>45281</v>
      </c>
      <c r="E1263" s="1">
        <v>45341</v>
      </c>
      <c r="F1263" t="s">
        <v>13</v>
      </c>
      <c r="G1263">
        <v>2834258</v>
      </c>
      <c r="H1263" s="1">
        <v>45345</v>
      </c>
      <c r="I1263" t="s">
        <v>555</v>
      </c>
      <c r="J1263" t="s">
        <v>556</v>
      </c>
      <c r="L1263">
        <v>2834258</v>
      </c>
      <c r="M1263">
        <f>IF(F1263="INR",1,INDEX('rates'!$B$2:$C$522,MATCH(D1263,'rates'!$A$2:$A$522,1),MATCH(F1263&amp;"/INR",'rates'!$B$1:$C$1,0)))</f>
        <v>1</v>
      </c>
      <c r="N1263">
        <f t="shared" si="100"/>
        <v>2834258</v>
      </c>
      <c r="O1263">
        <f t="shared" si="101"/>
        <v>0</v>
      </c>
      <c r="P1263">
        <f t="shared" si="102"/>
        <v>0</v>
      </c>
      <c r="Q1263">
        <f t="shared" si="104"/>
        <v>4</v>
      </c>
      <c r="R1263" t="str">
        <f t="shared" si="103"/>
        <v>Not open</v>
      </c>
    </row>
    <row r="1264" spans="1:18" x14ac:dyDescent="0.3">
      <c r="A1264" t="s">
        <v>1449</v>
      </c>
      <c r="B1264" t="s">
        <v>332</v>
      </c>
      <c r="C1264" t="s">
        <v>566</v>
      </c>
      <c r="D1264" s="1">
        <v>45281</v>
      </c>
      <c r="E1264" s="1">
        <v>45341</v>
      </c>
      <c r="F1264" t="s">
        <v>36</v>
      </c>
      <c r="G1264">
        <v>121788.9</v>
      </c>
      <c r="H1264" s="1">
        <v>45344</v>
      </c>
      <c r="I1264" t="s">
        <v>555</v>
      </c>
      <c r="J1264" t="s">
        <v>556</v>
      </c>
      <c r="L1264">
        <v>121788.9</v>
      </c>
      <c r="M1264">
        <f>IF(F1264="INR",1,INDEX('rates'!$B$2:$C$522,MATCH(D1264,'rates'!$A$2:$A$522,1),MATCH(F1264&amp;"/INR",'rates'!$B$1:$C$1,0)))</f>
        <v>83.27</v>
      </c>
      <c r="N1264">
        <f t="shared" si="100"/>
        <v>10141361.703</v>
      </c>
      <c r="O1264">
        <f t="shared" si="101"/>
        <v>0</v>
      </c>
      <c r="P1264">
        <f t="shared" si="102"/>
        <v>0</v>
      </c>
      <c r="Q1264">
        <f t="shared" si="104"/>
        <v>3</v>
      </c>
      <c r="R1264" t="str">
        <f t="shared" si="103"/>
        <v>Not open</v>
      </c>
    </row>
    <row r="1265" spans="1:18" x14ac:dyDescent="0.3">
      <c r="A1265" t="s">
        <v>1450</v>
      </c>
      <c r="B1265" t="s">
        <v>436</v>
      </c>
      <c r="C1265" t="s">
        <v>566</v>
      </c>
      <c r="D1265" s="1">
        <v>45281</v>
      </c>
      <c r="E1265" s="1">
        <v>45326</v>
      </c>
      <c r="F1265" t="s">
        <v>36</v>
      </c>
      <c r="G1265">
        <v>84826.49</v>
      </c>
      <c r="H1265" s="1">
        <v>45370</v>
      </c>
      <c r="I1265" t="s">
        <v>555</v>
      </c>
      <c r="J1265" t="s">
        <v>556</v>
      </c>
      <c r="L1265">
        <v>84826.49</v>
      </c>
      <c r="M1265">
        <f>IF(F1265="INR",1,INDEX('rates'!$B$2:$C$522,MATCH(D1265,'rates'!$A$2:$A$522,1),MATCH(F1265&amp;"/INR",'rates'!$B$1:$C$1,0)))</f>
        <v>83.27</v>
      </c>
      <c r="N1265">
        <f t="shared" si="100"/>
        <v>7063501.8223000001</v>
      </c>
      <c r="O1265">
        <f t="shared" si="101"/>
        <v>0</v>
      </c>
      <c r="P1265">
        <f t="shared" si="102"/>
        <v>0</v>
      </c>
      <c r="Q1265">
        <f t="shared" si="104"/>
        <v>44</v>
      </c>
      <c r="R1265" t="str">
        <f t="shared" si="103"/>
        <v>Not open</v>
      </c>
    </row>
    <row r="1266" spans="1:18" x14ac:dyDescent="0.3">
      <c r="A1266" t="s">
        <v>1451</v>
      </c>
      <c r="B1266" t="s">
        <v>506</v>
      </c>
      <c r="C1266" t="s">
        <v>554</v>
      </c>
      <c r="D1266" s="1">
        <v>45281</v>
      </c>
      <c r="E1266" s="1">
        <v>45341</v>
      </c>
      <c r="F1266" t="s">
        <v>13</v>
      </c>
      <c r="G1266">
        <v>7741197</v>
      </c>
      <c r="H1266" s="1">
        <v>45353</v>
      </c>
      <c r="I1266" t="s">
        <v>555</v>
      </c>
      <c r="J1266" t="s">
        <v>556</v>
      </c>
      <c r="L1266">
        <v>7741197</v>
      </c>
      <c r="M1266">
        <f>IF(F1266="INR",1,INDEX('rates'!$B$2:$C$522,MATCH(D1266,'rates'!$A$2:$A$522,1),MATCH(F1266&amp;"/INR",'rates'!$B$1:$C$1,0)))</f>
        <v>1</v>
      </c>
      <c r="N1266">
        <f t="shared" si="100"/>
        <v>7741197</v>
      </c>
      <c r="O1266">
        <f t="shared" si="101"/>
        <v>0</v>
      </c>
      <c r="P1266">
        <f t="shared" si="102"/>
        <v>0</v>
      </c>
      <c r="Q1266">
        <f t="shared" si="104"/>
        <v>12</v>
      </c>
      <c r="R1266" t="str">
        <f t="shared" si="103"/>
        <v>Not open</v>
      </c>
    </row>
    <row r="1267" spans="1:18" x14ac:dyDescent="0.3">
      <c r="A1267" t="s">
        <v>1452</v>
      </c>
      <c r="B1267" t="s">
        <v>512</v>
      </c>
      <c r="C1267" t="s">
        <v>566</v>
      </c>
      <c r="D1267" s="1">
        <v>45281</v>
      </c>
      <c r="E1267" s="1">
        <v>45341</v>
      </c>
      <c r="F1267" t="s">
        <v>31</v>
      </c>
      <c r="G1267">
        <v>92363.85</v>
      </c>
      <c r="H1267" s="1">
        <v>45381</v>
      </c>
      <c r="I1267" t="s">
        <v>555</v>
      </c>
      <c r="J1267" t="s">
        <v>573</v>
      </c>
      <c r="K1267">
        <v>91.696700000000007</v>
      </c>
      <c r="L1267">
        <v>92363.85</v>
      </c>
      <c r="M1267">
        <f>IF(F1267="INR",1,INDEX('rates'!$B$2:$C$522,MATCH(D1267,'rates'!$A$2:$A$522,1),MATCH(F1267&amp;"/INR",'rates'!$B$1:$C$1,0)))</f>
        <v>91.5137</v>
      </c>
      <c r="N1267">
        <f t="shared" si="100"/>
        <v>8452557.6597450003</v>
      </c>
      <c r="O1267">
        <f t="shared" si="101"/>
        <v>0</v>
      </c>
      <c r="P1267">
        <f t="shared" si="102"/>
        <v>0</v>
      </c>
      <c r="Q1267">
        <f t="shared" si="104"/>
        <v>40</v>
      </c>
      <c r="R1267" t="str">
        <f t="shared" si="103"/>
        <v>Not open</v>
      </c>
    </row>
    <row r="1268" spans="1:18" x14ac:dyDescent="0.3">
      <c r="A1268" t="s">
        <v>1453</v>
      </c>
      <c r="B1268" t="s">
        <v>140</v>
      </c>
      <c r="C1268" t="s">
        <v>554</v>
      </c>
      <c r="D1268" s="1">
        <v>45282</v>
      </c>
      <c r="E1268" s="1">
        <v>45342</v>
      </c>
      <c r="F1268" t="s">
        <v>13</v>
      </c>
      <c r="G1268">
        <v>5034319</v>
      </c>
      <c r="H1268" s="1">
        <v>45345</v>
      </c>
      <c r="I1268" t="s">
        <v>555</v>
      </c>
      <c r="J1268" t="s">
        <v>556</v>
      </c>
      <c r="L1268">
        <v>5034319</v>
      </c>
      <c r="M1268">
        <f>IF(F1268="INR",1,INDEX('rates'!$B$2:$C$522,MATCH(D1268,'rates'!$A$2:$A$522,1),MATCH(F1268&amp;"/INR",'rates'!$B$1:$C$1,0)))</f>
        <v>1</v>
      </c>
      <c r="N1268">
        <f t="shared" si="100"/>
        <v>5034319</v>
      </c>
      <c r="O1268">
        <f t="shared" si="101"/>
        <v>0</v>
      </c>
      <c r="P1268">
        <f t="shared" si="102"/>
        <v>0</v>
      </c>
      <c r="Q1268">
        <f t="shared" si="104"/>
        <v>3</v>
      </c>
      <c r="R1268" t="str">
        <f t="shared" si="103"/>
        <v>Not open</v>
      </c>
    </row>
    <row r="1269" spans="1:18" x14ac:dyDescent="0.3">
      <c r="A1269" t="s">
        <v>1454</v>
      </c>
      <c r="B1269" t="s">
        <v>466</v>
      </c>
      <c r="C1269" t="s">
        <v>558</v>
      </c>
      <c r="D1269" s="1">
        <v>45283</v>
      </c>
      <c r="E1269" s="1">
        <v>45343</v>
      </c>
      <c r="F1269" t="s">
        <v>31</v>
      </c>
      <c r="G1269">
        <v>187418.68</v>
      </c>
      <c r="H1269" s="1">
        <v>45345</v>
      </c>
      <c r="I1269" t="s">
        <v>555</v>
      </c>
      <c r="J1269" t="s">
        <v>556</v>
      </c>
      <c r="L1269">
        <v>187418.68</v>
      </c>
      <c r="M1269">
        <f>IF(F1269="INR",1,INDEX('rates'!$B$2:$C$522,MATCH(D1269,'rates'!$A$2:$A$522,1),MATCH(F1269&amp;"/INR",'rates'!$B$1:$C$1,0)))</f>
        <v>91.498500000000007</v>
      </c>
      <c r="N1269">
        <f t="shared" si="100"/>
        <v>17148528.091979999</v>
      </c>
      <c r="O1269">
        <f t="shared" si="101"/>
        <v>0</v>
      </c>
      <c r="P1269">
        <f t="shared" si="102"/>
        <v>0</v>
      </c>
      <c r="Q1269">
        <f t="shared" si="104"/>
        <v>2</v>
      </c>
      <c r="R1269" t="str">
        <f t="shared" si="103"/>
        <v>Not open</v>
      </c>
    </row>
    <row r="1270" spans="1:18" x14ac:dyDescent="0.3">
      <c r="A1270" t="s">
        <v>1455</v>
      </c>
      <c r="B1270" t="s">
        <v>498</v>
      </c>
      <c r="C1270" t="s">
        <v>566</v>
      </c>
      <c r="D1270" s="1">
        <v>45283</v>
      </c>
      <c r="E1270" s="1">
        <v>45373</v>
      </c>
      <c r="F1270" t="s">
        <v>36</v>
      </c>
      <c r="G1270">
        <v>32993.58</v>
      </c>
      <c r="H1270" s="1">
        <v>45381</v>
      </c>
      <c r="I1270" t="s">
        <v>555</v>
      </c>
      <c r="J1270" t="s">
        <v>573</v>
      </c>
      <c r="K1270">
        <v>83.535600000000002</v>
      </c>
      <c r="L1270">
        <v>32993.58</v>
      </c>
      <c r="M1270">
        <f>IF(F1270="INR",1,INDEX('rates'!$B$2:$C$522,MATCH(D1270,'rates'!$A$2:$A$522,1),MATCH(F1270&amp;"/INR",'rates'!$B$1:$C$1,0)))</f>
        <v>83.12</v>
      </c>
      <c r="N1270">
        <f t="shared" si="100"/>
        <v>2742426.3696000003</v>
      </c>
      <c r="O1270">
        <f t="shared" si="101"/>
        <v>0</v>
      </c>
      <c r="P1270">
        <f t="shared" si="102"/>
        <v>0</v>
      </c>
      <c r="Q1270">
        <f t="shared" si="104"/>
        <v>8</v>
      </c>
      <c r="R1270" t="str">
        <f t="shared" si="103"/>
        <v>Not open</v>
      </c>
    </row>
    <row r="1271" spans="1:18" x14ac:dyDescent="0.3">
      <c r="A1271" t="s">
        <v>1456</v>
      </c>
      <c r="B1271" t="s">
        <v>512</v>
      </c>
      <c r="C1271" t="s">
        <v>566</v>
      </c>
      <c r="D1271" s="1">
        <v>45283</v>
      </c>
      <c r="E1271" s="1">
        <v>45343</v>
      </c>
      <c r="F1271" t="s">
        <v>31</v>
      </c>
      <c r="G1271">
        <v>336765.8</v>
      </c>
      <c r="H1271" s="1">
        <v>45427</v>
      </c>
      <c r="I1271" t="s">
        <v>717</v>
      </c>
      <c r="J1271" t="s">
        <v>573</v>
      </c>
      <c r="K1271">
        <v>91.6815</v>
      </c>
      <c r="L1271">
        <v>83197.75</v>
      </c>
      <c r="M1271">
        <f>IF(F1271="INR",1,INDEX('rates'!$B$2:$C$522,MATCH(D1271,'rates'!$A$2:$A$522,1),MATCH(F1271&amp;"/INR",'rates'!$B$1:$C$1,0)))</f>
        <v>91.498500000000007</v>
      </c>
      <c r="N1271">
        <f t="shared" si="100"/>
        <v>30813565.5513</v>
      </c>
      <c r="O1271">
        <f t="shared" si="101"/>
        <v>0</v>
      </c>
      <c r="P1271">
        <f t="shared" si="102"/>
        <v>0</v>
      </c>
      <c r="Q1271">
        <f t="shared" si="104"/>
        <v>84</v>
      </c>
      <c r="R1271" t="str">
        <f t="shared" si="103"/>
        <v>Not open</v>
      </c>
    </row>
    <row r="1272" spans="1:18" x14ac:dyDescent="0.3">
      <c r="A1272" t="s">
        <v>1458</v>
      </c>
      <c r="B1272" t="s">
        <v>258</v>
      </c>
      <c r="C1272" t="s">
        <v>558</v>
      </c>
      <c r="D1272" s="1">
        <v>45285</v>
      </c>
      <c r="E1272" s="1">
        <v>45330</v>
      </c>
      <c r="F1272" t="s">
        <v>13</v>
      </c>
      <c r="G1272">
        <v>20316221</v>
      </c>
      <c r="H1272" s="1">
        <v>45336</v>
      </c>
      <c r="I1272" t="s">
        <v>555</v>
      </c>
      <c r="J1272" t="s">
        <v>556</v>
      </c>
      <c r="L1272">
        <v>20316221</v>
      </c>
      <c r="M1272">
        <f>IF(F1272="INR",1,INDEX('rates'!$B$2:$C$522,MATCH(D1272,'rates'!$A$2:$A$522,1),MATCH(F1272&amp;"/INR",'rates'!$B$1:$C$1,0)))</f>
        <v>1</v>
      </c>
      <c r="N1272">
        <f t="shared" si="100"/>
        <v>20316221</v>
      </c>
      <c r="O1272">
        <f t="shared" si="101"/>
        <v>0</v>
      </c>
      <c r="P1272">
        <f t="shared" si="102"/>
        <v>0</v>
      </c>
      <c r="Q1272">
        <f t="shared" si="104"/>
        <v>6</v>
      </c>
      <c r="R1272" t="str">
        <f t="shared" si="103"/>
        <v>Not open</v>
      </c>
    </row>
    <row r="1273" spans="1:18" x14ac:dyDescent="0.3">
      <c r="A1273" t="s">
        <v>1459</v>
      </c>
      <c r="B1273" t="s">
        <v>276</v>
      </c>
      <c r="C1273" t="s">
        <v>558</v>
      </c>
      <c r="D1273" s="1">
        <v>45285</v>
      </c>
      <c r="E1273" s="1">
        <v>45345</v>
      </c>
      <c r="F1273" t="s">
        <v>13</v>
      </c>
      <c r="G1273">
        <v>9837586</v>
      </c>
      <c r="H1273" s="1">
        <v>45363</v>
      </c>
      <c r="I1273" t="s">
        <v>555</v>
      </c>
      <c r="J1273" t="s">
        <v>556</v>
      </c>
      <c r="L1273">
        <v>9837586</v>
      </c>
      <c r="M1273">
        <f>IF(F1273="INR",1,INDEX('rates'!$B$2:$C$522,MATCH(D1273,'rates'!$A$2:$A$522,1),MATCH(F1273&amp;"/INR",'rates'!$B$1:$C$1,0)))</f>
        <v>1</v>
      </c>
      <c r="N1273">
        <f t="shared" si="100"/>
        <v>9837586</v>
      </c>
      <c r="O1273">
        <f t="shared" si="101"/>
        <v>0</v>
      </c>
      <c r="P1273">
        <f t="shared" si="102"/>
        <v>0</v>
      </c>
      <c r="Q1273">
        <f t="shared" si="104"/>
        <v>18</v>
      </c>
      <c r="R1273" t="str">
        <f t="shared" si="103"/>
        <v>Not open</v>
      </c>
    </row>
    <row r="1274" spans="1:18" x14ac:dyDescent="0.3">
      <c r="A1274" t="s">
        <v>1460</v>
      </c>
      <c r="B1274" t="s">
        <v>25</v>
      </c>
      <c r="C1274" t="s">
        <v>560</v>
      </c>
      <c r="D1274" s="1">
        <v>45286</v>
      </c>
      <c r="E1274" s="1">
        <v>45316</v>
      </c>
      <c r="F1274" t="s">
        <v>13</v>
      </c>
      <c r="G1274">
        <v>4190048</v>
      </c>
      <c r="H1274" s="1">
        <v>45332</v>
      </c>
      <c r="I1274" t="s">
        <v>555</v>
      </c>
      <c r="J1274" t="s">
        <v>556</v>
      </c>
      <c r="L1274">
        <v>4190048</v>
      </c>
      <c r="M1274">
        <f>IF(F1274="INR",1,INDEX('rates'!$B$2:$C$522,MATCH(D1274,'rates'!$A$2:$A$522,1),MATCH(F1274&amp;"/INR",'rates'!$B$1:$C$1,0)))</f>
        <v>1</v>
      </c>
      <c r="N1274">
        <f t="shared" si="100"/>
        <v>4190048</v>
      </c>
      <c r="O1274">
        <f t="shared" si="101"/>
        <v>0</v>
      </c>
      <c r="P1274">
        <f t="shared" si="102"/>
        <v>0</v>
      </c>
      <c r="Q1274">
        <f t="shared" si="104"/>
        <v>16</v>
      </c>
      <c r="R1274" t="str">
        <f t="shared" si="103"/>
        <v>Not open</v>
      </c>
    </row>
    <row r="1275" spans="1:18" x14ac:dyDescent="0.3">
      <c r="A1275" t="s">
        <v>1461</v>
      </c>
      <c r="B1275" t="s">
        <v>172</v>
      </c>
      <c r="C1275" t="s">
        <v>566</v>
      </c>
      <c r="D1275" s="1">
        <v>45286</v>
      </c>
      <c r="E1275" s="1">
        <v>45316</v>
      </c>
      <c r="F1275" t="s">
        <v>13</v>
      </c>
      <c r="G1275">
        <v>21717928</v>
      </c>
      <c r="H1275" s="1">
        <v>45327</v>
      </c>
      <c r="I1275" t="s">
        <v>555</v>
      </c>
      <c r="J1275" t="s">
        <v>556</v>
      </c>
      <c r="L1275">
        <v>21717928</v>
      </c>
      <c r="M1275">
        <f>IF(F1275="INR",1,INDEX('rates'!$B$2:$C$522,MATCH(D1275,'rates'!$A$2:$A$522,1),MATCH(F1275&amp;"/INR",'rates'!$B$1:$C$1,0)))</f>
        <v>1</v>
      </c>
      <c r="N1275">
        <f t="shared" si="100"/>
        <v>21717928</v>
      </c>
      <c r="O1275">
        <f t="shared" si="101"/>
        <v>0</v>
      </c>
      <c r="P1275">
        <f t="shared" si="102"/>
        <v>0</v>
      </c>
      <c r="Q1275">
        <f t="shared" si="104"/>
        <v>11</v>
      </c>
      <c r="R1275" t="str">
        <f t="shared" si="103"/>
        <v>Not open</v>
      </c>
    </row>
    <row r="1276" spans="1:18" x14ac:dyDescent="0.3">
      <c r="A1276" t="s">
        <v>1462</v>
      </c>
      <c r="B1276" t="s">
        <v>436</v>
      </c>
      <c r="C1276" t="s">
        <v>566</v>
      </c>
      <c r="D1276" s="1">
        <v>45286</v>
      </c>
      <c r="E1276" s="1">
        <v>45331</v>
      </c>
      <c r="F1276" t="s">
        <v>36</v>
      </c>
      <c r="G1276">
        <v>312161.21999999997</v>
      </c>
      <c r="H1276" s="1">
        <v>45346</v>
      </c>
      <c r="I1276" t="s">
        <v>555</v>
      </c>
      <c r="J1276" t="s">
        <v>556</v>
      </c>
      <c r="L1276">
        <v>312161.21999999997</v>
      </c>
      <c r="M1276">
        <f>IF(F1276="INR",1,INDEX('rates'!$B$2:$C$522,MATCH(D1276,'rates'!$A$2:$A$522,1),MATCH(F1276&amp;"/INR",'rates'!$B$1:$C$1,0)))</f>
        <v>83.17</v>
      </c>
      <c r="N1276">
        <f t="shared" si="100"/>
        <v>25962448.667399999</v>
      </c>
      <c r="O1276">
        <f t="shared" si="101"/>
        <v>0</v>
      </c>
      <c r="P1276">
        <f t="shared" si="102"/>
        <v>0</v>
      </c>
      <c r="Q1276">
        <f t="shared" si="104"/>
        <v>15</v>
      </c>
      <c r="R1276" t="str">
        <f t="shared" si="103"/>
        <v>Not open</v>
      </c>
    </row>
    <row r="1277" spans="1:18" x14ac:dyDescent="0.3">
      <c r="A1277" t="s">
        <v>1463</v>
      </c>
      <c r="B1277" t="s">
        <v>512</v>
      </c>
      <c r="C1277" t="s">
        <v>566</v>
      </c>
      <c r="D1277" s="1">
        <v>45286</v>
      </c>
      <c r="E1277" s="1">
        <v>45346</v>
      </c>
      <c r="F1277" t="s">
        <v>31</v>
      </c>
      <c r="G1277">
        <v>13953.74</v>
      </c>
      <c r="H1277" s="1">
        <v>45391</v>
      </c>
      <c r="I1277" t="s">
        <v>555</v>
      </c>
      <c r="J1277" t="s">
        <v>573</v>
      </c>
      <c r="K1277">
        <v>91.961699999999993</v>
      </c>
      <c r="L1277">
        <v>13953.74</v>
      </c>
      <c r="M1277">
        <f>IF(F1277="INR",1,INDEX('rates'!$B$2:$C$522,MATCH(D1277,'rates'!$A$2:$A$522,1),MATCH(F1277&amp;"/INR",'rates'!$B$1:$C$1,0)))</f>
        <v>91.778099999999995</v>
      </c>
      <c r="N1277">
        <f t="shared" si="100"/>
        <v>1280647.7450939999</v>
      </c>
      <c r="O1277">
        <f t="shared" si="101"/>
        <v>0</v>
      </c>
      <c r="P1277">
        <f t="shared" si="102"/>
        <v>0</v>
      </c>
      <c r="Q1277">
        <f t="shared" si="104"/>
        <v>45</v>
      </c>
      <c r="R1277" t="str">
        <f t="shared" si="103"/>
        <v>Not open</v>
      </c>
    </row>
    <row r="1278" spans="1:18" x14ac:dyDescent="0.3">
      <c r="A1278" t="s">
        <v>1464</v>
      </c>
      <c r="B1278" t="s">
        <v>75</v>
      </c>
      <c r="C1278" t="s">
        <v>566</v>
      </c>
      <c r="D1278" s="1">
        <v>45287</v>
      </c>
      <c r="E1278" s="1">
        <v>45377</v>
      </c>
      <c r="F1278" t="s">
        <v>36</v>
      </c>
      <c r="G1278">
        <v>12548.67</v>
      </c>
      <c r="H1278" s="1">
        <v>45409</v>
      </c>
      <c r="I1278" t="s">
        <v>555</v>
      </c>
      <c r="J1278" t="s">
        <v>573</v>
      </c>
      <c r="K1278">
        <v>83.7667</v>
      </c>
      <c r="L1278">
        <v>12548.67</v>
      </c>
      <c r="M1278">
        <f>IF(F1278="INR",1,INDEX('rates'!$B$2:$C$522,MATCH(D1278,'rates'!$A$2:$A$522,1),MATCH(F1278&amp;"/INR",'rates'!$B$1:$C$1,0)))</f>
        <v>83.35</v>
      </c>
      <c r="N1278">
        <f t="shared" si="100"/>
        <v>1045931.6444999999</v>
      </c>
      <c r="O1278">
        <f t="shared" si="101"/>
        <v>0</v>
      </c>
      <c r="P1278">
        <f t="shared" si="102"/>
        <v>0</v>
      </c>
      <c r="Q1278">
        <f t="shared" si="104"/>
        <v>32</v>
      </c>
      <c r="R1278" t="str">
        <f t="shared" si="103"/>
        <v>Not open</v>
      </c>
    </row>
    <row r="1279" spans="1:18" x14ac:dyDescent="0.3">
      <c r="A1279" t="s">
        <v>1465</v>
      </c>
      <c r="B1279" t="s">
        <v>362</v>
      </c>
      <c r="C1279" t="s">
        <v>566</v>
      </c>
      <c r="D1279" s="1">
        <v>45287</v>
      </c>
      <c r="E1279" s="1">
        <v>45377</v>
      </c>
      <c r="F1279" t="s">
        <v>36</v>
      </c>
      <c r="G1279">
        <v>52842.81</v>
      </c>
      <c r="H1279" s="1">
        <v>45386</v>
      </c>
      <c r="I1279" t="s">
        <v>555</v>
      </c>
      <c r="J1279" t="s">
        <v>573</v>
      </c>
      <c r="K1279">
        <v>83.7667</v>
      </c>
      <c r="L1279">
        <v>52842.81</v>
      </c>
      <c r="M1279">
        <f>IF(F1279="INR",1,INDEX('rates'!$B$2:$C$522,MATCH(D1279,'rates'!$A$2:$A$522,1),MATCH(F1279&amp;"/INR",'rates'!$B$1:$C$1,0)))</f>
        <v>83.35</v>
      </c>
      <c r="N1279">
        <f t="shared" si="100"/>
        <v>4404448.2134999996</v>
      </c>
      <c r="O1279">
        <f t="shared" si="101"/>
        <v>0</v>
      </c>
      <c r="P1279">
        <f t="shared" si="102"/>
        <v>0</v>
      </c>
      <c r="Q1279">
        <f t="shared" si="104"/>
        <v>9</v>
      </c>
      <c r="R1279" t="str">
        <f t="shared" si="103"/>
        <v>Not open</v>
      </c>
    </row>
    <row r="1280" spans="1:18" x14ac:dyDescent="0.3">
      <c r="A1280" t="s">
        <v>1466</v>
      </c>
      <c r="B1280" t="s">
        <v>406</v>
      </c>
      <c r="C1280" t="s">
        <v>554</v>
      </c>
      <c r="D1280" s="1">
        <v>45287</v>
      </c>
      <c r="E1280" s="1">
        <v>45377</v>
      </c>
      <c r="F1280" t="s">
        <v>13</v>
      </c>
      <c r="G1280">
        <v>6003548</v>
      </c>
      <c r="H1280" s="1">
        <v>45377</v>
      </c>
      <c r="I1280" t="s">
        <v>555</v>
      </c>
      <c r="J1280" t="s">
        <v>556</v>
      </c>
      <c r="L1280">
        <v>6003548</v>
      </c>
      <c r="M1280">
        <f>IF(F1280="INR",1,INDEX('rates'!$B$2:$C$522,MATCH(D1280,'rates'!$A$2:$A$522,1),MATCH(F1280&amp;"/INR",'rates'!$B$1:$C$1,0)))</f>
        <v>1</v>
      </c>
      <c r="N1280">
        <f t="shared" si="100"/>
        <v>6003548</v>
      </c>
      <c r="O1280">
        <f t="shared" si="101"/>
        <v>0</v>
      </c>
      <c r="P1280">
        <f t="shared" si="102"/>
        <v>0</v>
      </c>
      <c r="Q1280">
        <f t="shared" si="104"/>
        <v>0</v>
      </c>
      <c r="R1280" t="str">
        <f t="shared" si="103"/>
        <v>Not open</v>
      </c>
    </row>
    <row r="1281" spans="1:18" x14ac:dyDescent="0.3">
      <c r="A1281" t="s">
        <v>1467</v>
      </c>
      <c r="B1281" t="s">
        <v>466</v>
      </c>
      <c r="C1281" t="s">
        <v>560</v>
      </c>
      <c r="D1281" s="1">
        <v>45287</v>
      </c>
      <c r="E1281" s="1">
        <v>45347</v>
      </c>
      <c r="F1281" t="s">
        <v>31</v>
      </c>
      <c r="G1281">
        <v>107407.77</v>
      </c>
      <c r="H1281" s="1">
        <v>45355</v>
      </c>
      <c r="I1281" t="s">
        <v>555</v>
      </c>
      <c r="J1281" t="s">
        <v>556</v>
      </c>
      <c r="L1281">
        <v>107407.77</v>
      </c>
      <c r="M1281">
        <f>IF(F1281="INR",1,INDEX('rates'!$B$2:$C$522,MATCH(D1281,'rates'!$A$2:$A$522,1),MATCH(F1281&amp;"/INR",'rates'!$B$1:$C$1,0)))</f>
        <v>92.635199999999998</v>
      </c>
      <c r="N1281">
        <f t="shared" si="100"/>
        <v>9949740.2555040009</v>
      </c>
      <c r="O1281">
        <f t="shared" si="101"/>
        <v>0</v>
      </c>
      <c r="P1281">
        <f t="shared" si="102"/>
        <v>0</v>
      </c>
      <c r="Q1281">
        <f t="shared" ref="Q1281:Q1312" si="105">IF(H1281="","",H1281-E1281)</f>
        <v>8</v>
      </c>
      <c r="R1281" t="str">
        <f t="shared" si="103"/>
        <v>Not open</v>
      </c>
    </row>
    <row r="1282" spans="1:18" x14ac:dyDescent="0.3">
      <c r="A1282" t="s">
        <v>1468</v>
      </c>
      <c r="B1282" t="s">
        <v>138</v>
      </c>
      <c r="C1282" t="s">
        <v>566</v>
      </c>
      <c r="D1282" s="1">
        <v>45288</v>
      </c>
      <c r="E1282" s="1">
        <v>45318</v>
      </c>
      <c r="F1282" t="s">
        <v>13</v>
      </c>
      <c r="G1282">
        <v>7002078</v>
      </c>
      <c r="H1282" s="1">
        <v>45314</v>
      </c>
      <c r="I1282" t="s">
        <v>555</v>
      </c>
      <c r="J1282" t="s">
        <v>556</v>
      </c>
      <c r="L1282">
        <v>7002078</v>
      </c>
      <c r="M1282">
        <f>IF(F1282="INR",1,INDEX('rates'!$B$2:$C$522,MATCH(D1282,'rates'!$A$2:$A$522,1),MATCH(F1282&amp;"/INR",'rates'!$B$1:$C$1,0)))</f>
        <v>1</v>
      </c>
      <c r="N1282">
        <f t="shared" ref="N1282:N1345" si="106">G1282*M1282</f>
        <v>7002078</v>
      </c>
      <c r="O1282">
        <f t="shared" ref="O1282:O1345" si="107">IF(OR(I1282="OPEN",I1282="PARTIALLY PAID"),(G1282-L1282)*M1282,0)</f>
        <v>0</v>
      </c>
      <c r="P1282">
        <f t="shared" ref="P1282:P1345" si="108">IF(O1282&gt;0,MAX(0,DATE(2025,3,31)-E1282),0)</f>
        <v>0</v>
      </c>
      <c r="Q1282">
        <f t="shared" si="105"/>
        <v>-4</v>
      </c>
      <c r="R1282" t="str">
        <f t="shared" ref="R1282:R1345" si="109">IF(O1282=0,"Not open",IF(P1282=0,"Not yet due",IF(P1282&lt;=30,"1-30",IF(P1282&lt;=60,"31-60",IF(P1282&lt;=90,"61-90","90+")))))</f>
        <v>Not open</v>
      </c>
    </row>
    <row r="1283" spans="1:18" x14ac:dyDescent="0.3">
      <c r="A1283" t="s">
        <v>1469</v>
      </c>
      <c r="B1283" t="s">
        <v>202</v>
      </c>
      <c r="C1283" t="s">
        <v>554</v>
      </c>
      <c r="D1283" s="1">
        <v>45288</v>
      </c>
      <c r="E1283" s="1">
        <v>45318</v>
      </c>
      <c r="F1283" t="s">
        <v>13</v>
      </c>
      <c r="G1283">
        <v>16367713</v>
      </c>
      <c r="H1283" s="1">
        <v>45439</v>
      </c>
      <c r="I1283" t="s">
        <v>555</v>
      </c>
      <c r="J1283" t="s">
        <v>556</v>
      </c>
      <c r="L1283">
        <v>16367713</v>
      </c>
      <c r="M1283">
        <f>IF(F1283="INR",1,INDEX('rates'!$B$2:$C$522,MATCH(D1283,'rates'!$A$2:$A$522,1),MATCH(F1283&amp;"/INR",'rates'!$B$1:$C$1,0)))</f>
        <v>1</v>
      </c>
      <c r="N1283">
        <f t="shared" si="106"/>
        <v>16367713</v>
      </c>
      <c r="O1283">
        <f t="shared" si="107"/>
        <v>0</v>
      </c>
      <c r="P1283">
        <f t="shared" si="108"/>
        <v>0</v>
      </c>
      <c r="Q1283">
        <f t="shared" si="105"/>
        <v>121</v>
      </c>
      <c r="R1283" t="str">
        <f t="shared" si="109"/>
        <v>Not open</v>
      </c>
    </row>
    <row r="1284" spans="1:18" x14ac:dyDescent="0.3">
      <c r="A1284" t="s">
        <v>1471</v>
      </c>
      <c r="B1284" t="s">
        <v>65</v>
      </c>
      <c r="C1284" t="s">
        <v>575</v>
      </c>
      <c r="D1284" s="1">
        <v>45289</v>
      </c>
      <c r="E1284" s="1">
        <v>45319</v>
      </c>
      <c r="F1284" t="s">
        <v>13</v>
      </c>
      <c r="G1284">
        <v>7955036</v>
      </c>
      <c r="H1284" s="1">
        <v>45340</v>
      </c>
      <c r="I1284" t="s">
        <v>555</v>
      </c>
      <c r="J1284" t="s">
        <v>556</v>
      </c>
      <c r="L1284">
        <v>7955036</v>
      </c>
      <c r="M1284">
        <f>IF(F1284="INR",1,INDEX('rates'!$B$2:$C$522,MATCH(D1284,'rates'!$A$2:$A$522,1),MATCH(F1284&amp;"/INR",'rates'!$B$1:$C$1,0)))</f>
        <v>1</v>
      </c>
      <c r="N1284">
        <f t="shared" si="106"/>
        <v>7955036</v>
      </c>
      <c r="O1284">
        <f t="shared" si="107"/>
        <v>0</v>
      </c>
      <c r="P1284">
        <f t="shared" si="108"/>
        <v>0</v>
      </c>
      <c r="Q1284">
        <f t="shared" si="105"/>
        <v>21</v>
      </c>
      <c r="R1284" t="str">
        <f t="shared" si="109"/>
        <v>Not open</v>
      </c>
    </row>
    <row r="1285" spans="1:18" x14ac:dyDescent="0.3">
      <c r="A1285" t="s">
        <v>1472</v>
      </c>
      <c r="B1285" t="s">
        <v>117</v>
      </c>
      <c r="C1285" t="s">
        <v>554</v>
      </c>
      <c r="D1285" s="1">
        <v>45289</v>
      </c>
      <c r="E1285" s="1">
        <v>45349</v>
      </c>
      <c r="F1285" t="s">
        <v>13</v>
      </c>
      <c r="G1285">
        <v>21961710</v>
      </c>
      <c r="H1285" s="1"/>
      <c r="I1285" t="s">
        <v>555</v>
      </c>
      <c r="J1285" t="s">
        <v>556</v>
      </c>
      <c r="L1285">
        <v>21961710</v>
      </c>
      <c r="M1285">
        <f>IF(F1285="INR",1,INDEX('rates'!$B$2:$C$522,MATCH(D1285,'rates'!$A$2:$A$522,1),MATCH(F1285&amp;"/INR",'rates'!$B$1:$C$1,0)))</f>
        <v>1</v>
      </c>
      <c r="N1285">
        <f t="shared" si="106"/>
        <v>21961710</v>
      </c>
      <c r="O1285">
        <f t="shared" si="107"/>
        <v>0</v>
      </c>
      <c r="P1285">
        <f t="shared" si="108"/>
        <v>0</v>
      </c>
      <c r="Q1285" t="str">
        <f t="shared" si="105"/>
        <v/>
      </c>
      <c r="R1285" t="str">
        <f t="shared" si="109"/>
        <v>Not open</v>
      </c>
    </row>
    <row r="1286" spans="1:18" x14ac:dyDescent="0.3">
      <c r="A1286" t="s">
        <v>1474</v>
      </c>
      <c r="B1286" t="s">
        <v>256</v>
      </c>
      <c r="C1286" t="s">
        <v>554</v>
      </c>
      <c r="D1286" s="1">
        <v>45289</v>
      </c>
      <c r="E1286" s="1">
        <v>45334</v>
      </c>
      <c r="F1286" t="s">
        <v>13</v>
      </c>
      <c r="G1286">
        <v>3197597</v>
      </c>
      <c r="H1286" s="1">
        <v>45330</v>
      </c>
      <c r="I1286" t="s">
        <v>555</v>
      </c>
      <c r="J1286" t="s">
        <v>556</v>
      </c>
      <c r="L1286">
        <v>3197597</v>
      </c>
      <c r="M1286">
        <f>IF(F1286="INR",1,INDEX('rates'!$B$2:$C$522,MATCH(D1286,'rates'!$A$2:$A$522,1),MATCH(F1286&amp;"/INR",'rates'!$B$1:$C$1,0)))</f>
        <v>1</v>
      </c>
      <c r="N1286">
        <f t="shared" si="106"/>
        <v>3197597</v>
      </c>
      <c r="O1286">
        <f t="shared" si="107"/>
        <v>0</v>
      </c>
      <c r="P1286">
        <f t="shared" si="108"/>
        <v>0</v>
      </c>
      <c r="Q1286">
        <f t="shared" si="105"/>
        <v>-4</v>
      </c>
      <c r="R1286" t="str">
        <f t="shared" si="109"/>
        <v>Not open</v>
      </c>
    </row>
    <row r="1287" spans="1:18" x14ac:dyDescent="0.3">
      <c r="A1287" t="s">
        <v>1475</v>
      </c>
      <c r="B1287" t="s">
        <v>302</v>
      </c>
      <c r="C1287" t="s">
        <v>575</v>
      </c>
      <c r="D1287" s="1">
        <v>45289</v>
      </c>
      <c r="E1287" s="1">
        <v>45379</v>
      </c>
      <c r="F1287" t="s">
        <v>13</v>
      </c>
      <c r="G1287">
        <v>9177973</v>
      </c>
      <c r="H1287" s="1">
        <v>45385</v>
      </c>
      <c r="I1287" t="s">
        <v>555</v>
      </c>
      <c r="J1287" t="s">
        <v>556</v>
      </c>
      <c r="L1287">
        <v>9177973</v>
      </c>
      <c r="M1287">
        <f>IF(F1287="INR",1,INDEX('rates'!$B$2:$C$522,MATCH(D1287,'rates'!$A$2:$A$522,1),MATCH(F1287&amp;"/INR",'rates'!$B$1:$C$1,0)))</f>
        <v>1</v>
      </c>
      <c r="N1287">
        <f t="shared" si="106"/>
        <v>9177973</v>
      </c>
      <c r="O1287">
        <f t="shared" si="107"/>
        <v>0</v>
      </c>
      <c r="P1287">
        <f t="shared" si="108"/>
        <v>0</v>
      </c>
      <c r="Q1287">
        <f t="shared" si="105"/>
        <v>6</v>
      </c>
      <c r="R1287" t="str">
        <f t="shared" si="109"/>
        <v>Not open</v>
      </c>
    </row>
    <row r="1288" spans="1:18" x14ac:dyDescent="0.3">
      <c r="A1288" t="s">
        <v>1476</v>
      </c>
      <c r="B1288" t="s">
        <v>472</v>
      </c>
      <c r="C1288" t="s">
        <v>558</v>
      </c>
      <c r="D1288" s="1">
        <v>45289</v>
      </c>
      <c r="E1288" s="1">
        <v>45349</v>
      </c>
      <c r="F1288" t="s">
        <v>36</v>
      </c>
      <c r="G1288">
        <v>338666.38</v>
      </c>
      <c r="H1288" s="1">
        <v>45360</v>
      </c>
      <c r="I1288" t="s">
        <v>555</v>
      </c>
      <c r="J1288" t="s">
        <v>556</v>
      </c>
      <c r="L1288">
        <v>338666.38</v>
      </c>
      <c r="M1288">
        <f>IF(F1288="INR",1,INDEX('rates'!$B$2:$C$522,MATCH(D1288,'rates'!$A$2:$A$522,1),MATCH(F1288&amp;"/INR",'rates'!$B$1:$C$1,0)))</f>
        <v>83.19</v>
      </c>
      <c r="N1288">
        <f t="shared" si="106"/>
        <v>28173656.152199998</v>
      </c>
      <c r="O1288">
        <f t="shared" si="107"/>
        <v>0</v>
      </c>
      <c r="P1288">
        <f t="shared" si="108"/>
        <v>0</v>
      </c>
      <c r="Q1288">
        <f t="shared" si="105"/>
        <v>11</v>
      </c>
      <c r="R1288" t="str">
        <f t="shared" si="109"/>
        <v>Not open</v>
      </c>
    </row>
    <row r="1289" spans="1:18" x14ac:dyDescent="0.3">
      <c r="A1289" t="s">
        <v>1477</v>
      </c>
      <c r="B1289" t="s">
        <v>536</v>
      </c>
      <c r="C1289" t="s">
        <v>575</v>
      </c>
      <c r="D1289" s="1">
        <v>45289</v>
      </c>
      <c r="E1289" s="1">
        <v>45319</v>
      </c>
      <c r="F1289" t="s">
        <v>36</v>
      </c>
      <c r="G1289">
        <v>180856.18</v>
      </c>
      <c r="H1289" s="1">
        <v>45323</v>
      </c>
      <c r="I1289" t="s">
        <v>555</v>
      </c>
      <c r="J1289" t="s">
        <v>573</v>
      </c>
      <c r="K1289">
        <v>83.328599999999994</v>
      </c>
      <c r="L1289">
        <v>180856.18</v>
      </c>
      <c r="M1289">
        <f>IF(F1289="INR",1,INDEX('rates'!$B$2:$C$522,MATCH(D1289,'rates'!$A$2:$A$522,1),MATCH(F1289&amp;"/INR",'rates'!$B$1:$C$1,0)))</f>
        <v>83.19</v>
      </c>
      <c r="N1289">
        <f t="shared" si="106"/>
        <v>15045425.6142</v>
      </c>
      <c r="O1289">
        <f t="shared" si="107"/>
        <v>0</v>
      </c>
      <c r="P1289">
        <f t="shared" si="108"/>
        <v>0</v>
      </c>
      <c r="Q1289">
        <f t="shared" si="105"/>
        <v>4</v>
      </c>
      <c r="R1289" t="str">
        <f t="shared" si="109"/>
        <v>Not open</v>
      </c>
    </row>
    <row r="1290" spans="1:18" x14ac:dyDescent="0.3">
      <c r="A1290" t="s">
        <v>1478</v>
      </c>
      <c r="B1290" t="s">
        <v>72</v>
      </c>
      <c r="C1290" t="s">
        <v>560</v>
      </c>
      <c r="D1290" s="1">
        <v>45290</v>
      </c>
      <c r="E1290" s="1">
        <v>45380</v>
      </c>
      <c r="F1290" t="s">
        <v>31</v>
      </c>
      <c r="G1290">
        <v>197997.01</v>
      </c>
      <c r="H1290" s="1">
        <v>45423</v>
      </c>
      <c r="I1290" t="s">
        <v>555</v>
      </c>
      <c r="J1290" t="s">
        <v>556</v>
      </c>
      <c r="L1290">
        <v>197997.01</v>
      </c>
      <c r="M1290">
        <f>IF(F1290="INR",1,INDEX('rates'!$B$2:$C$522,MATCH(D1290,'rates'!$A$2:$A$522,1),MATCH(F1290&amp;"/INR",'rates'!$B$1:$C$1,0)))</f>
        <v>92.024799999999999</v>
      </c>
      <c r="N1290">
        <f t="shared" si="106"/>
        <v>18220635.245848</v>
      </c>
      <c r="O1290">
        <f t="shared" si="107"/>
        <v>0</v>
      </c>
      <c r="P1290">
        <f t="shared" si="108"/>
        <v>0</v>
      </c>
      <c r="Q1290">
        <f t="shared" si="105"/>
        <v>43</v>
      </c>
      <c r="R1290" t="str">
        <f t="shared" si="109"/>
        <v>Not open</v>
      </c>
    </row>
    <row r="1291" spans="1:18" x14ac:dyDescent="0.3">
      <c r="A1291" t="s">
        <v>1479</v>
      </c>
      <c r="B1291" t="s">
        <v>150</v>
      </c>
      <c r="C1291" t="s">
        <v>558</v>
      </c>
      <c r="D1291" s="1">
        <v>45290</v>
      </c>
      <c r="E1291" s="1">
        <v>45335</v>
      </c>
      <c r="F1291" t="s">
        <v>13</v>
      </c>
      <c r="G1291">
        <v>4790940</v>
      </c>
      <c r="H1291" s="1">
        <v>45337</v>
      </c>
      <c r="I1291" t="s">
        <v>555</v>
      </c>
      <c r="J1291" t="s">
        <v>556</v>
      </c>
      <c r="L1291">
        <v>4790940</v>
      </c>
      <c r="M1291">
        <f>IF(F1291="INR",1,INDEX('rates'!$B$2:$C$522,MATCH(D1291,'rates'!$A$2:$A$522,1),MATCH(F1291&amp;"/INR",'rates'!$B$1:$C$1,0)))</f>
        <v>1</v>
      </c>
      <c r="N1291">
        <f t="shared" si="106"/>
        <v>4790940</v>
      </c>
      <c r="O1291">
        <f t="shared" si="107"/>
        <v>0</v>
      </c>
      <c r="P1291">
        <f t="shared" si="108"/>
        <v>0</v>
      </c>
      <c r="Q1291">
        <f t="shared" si="105"/>
        <v>2</v>
      </c>
      <c r="R1291" t="str">
        <f t="shared" si="109"/>
        <v>Not open</v>
      </c>
    </row>
    <row r="1292" spans="1:18" x14ac:dyDescent="0.3">
      <c r="A1292" t="s">
        <v>1480</v>
      </c>
      <c r="B1292" t="s">
        <v>186</v>
      </c>
      <c r="C1292" t="s">
        <v>558</v>
      </c>
      <c r="D1292" s="1">
        <v>45290</v>
      </c>
      <c r="E1292" s="1">
        <v>45320</v>
      </c>
      <c r="F1292" t="s">
        <v>36</v>
      </c>
      <c r="G1292">
        <v>209316.56</v>
      </c>
      <c r="H1292" s="1">
        <v>45340</v>
      </c>
      <c r="I1292" t="s">
        <v>555</v>
      </c>
      <c r="J1292" t="s">
        <v>556</v>
      </c>
      <c r="L1292">
        <v>209316.56</v>
      </c>
      <c r="M1292">
        <f>IF(F1292="INR",1,INDEX('rates'!$B$2:$C$522,MATCH(D1292,'rates'!$A$2:$A$522,1),MATCH(F1292&amp;"/INR",'rates'!$B$1:$C$1,0)))</f>
        <v>83.19</v>
      </c>
      <c r="N1292">
        <f t="shared" si="106"/>
        <v>17413044.626399998</v>
      </c>
      <c r="O1292">
        <f t="shared" si="107"/>
        <v>0</v>
      </c>
      <c r="P1292">
        <f t="shared" si="108"/>
        <v>0</v>
      </c>
      <c r="Q1292">
        <f t="shared" si="105"/>
        <v>20</v>
      </c>
      <c r="R1292" t="str">
        <f t="shared" si="109"/>
        <v>Not open</v>
      </c>
    </row>
    <row r="1293" spans="1:18" x14ac:dyDescent="0.3">
      <c r="A1293" t="s">
        <v>1481</v>
      </c>
      <c r="B1293" t="s">
        <v>372</v>
      </c>
      <c r="C1293" t="s">
        <v>575</v>
      </c>
      <c r="D1293" s="1">
        <v>45290</v>
      </c>
      <c r="E1293" s="1">
        <v>45380</v>
      </c>
      <c r="F1293" t="s">
        <v>13</v>
      </c>
      <c r="G1293">
        <v>4433706</v>
      </c>
      <c r="H1293" s="1">
        <v>45407</v>
      </c>
      <c r="I1293" t="s">
        <v>555</v>
      </c>
      <c r="J1293" t="s">
        <v>556</v>
      </c>
      <c r="L1293">
        <v>4433706</v>
      </c>
      <c r="M1293">
        <f>IF(F1293="INR",1,INDEX('rates'!$B$2:$C$522,MATCH(D1293,'rates'!$A$2:$A$522,1),MATCH(F1293&amp;"/INR",'rates'!$B$1:$C$1,0)))</f>
        <v>1</v>
      </c>
      <c r="N1293">
        <f t="shared" si="106"/>
        <v>4433706</v>
      </c>
      <c r="O1293">
        <f t="shared" si="107"/>
        <v>0</v>
      </c>
      <c r="P1293">
        <f t="shared" si="108"/>
        <v>0</v>
      </c>
      <c r="Q1293">
        <f t="shared" si="105"/>
        <v>27</v>
      </c>
      <c r="R1293" t="str">
        <f t="shared" si="109"/>
        <v>Not open</v>
      </c>
    </row>
    <row r="1294" spans="1:18" x14ac:dyDescent="0.3">
      <c r="A1294" t="s">
        <v>1482</v>
      </c>
      <c r="B1294" t="s">
        <v>436</v>
      </c>
      <c r="C1294" t="s">
        <v>566</v>
      </c>
      <c r="D1294" s="1">
        <v>45290</v>
      </c>
      <c r="E1294" s="1">
        <v>45335</v>
      </c>
      <c r="F1294" t="s">
        <v>36</v>
      </c>
      <c r="G1294">
        <v>48263.56</v>
      </c>
      <c r="H1294" s="1">
        <v>45349</v>
      </c>
      <c r="I1294" t="s">
        <v>555</v>
      </c>
      <c r="J1294" t="s">
        <v>573</v>
      </c>
      <c r="K1294">
        <v>83.397999999999996</v>
      </c>
      <c r="L1294">
        <v>48263.56</v>
      </c>
      <c r="M1294">
        <f>IF(F1294="INR",1,INDEX('rates'!$B$2:$C$522,MATCH(D1294,'rates'!$A$2:$A$522,1),MATCH(F1294&amp;"/INR",'rates'!$B$1:$C$1,0)))</f>
        <v>83.19</v>
      </c>
      <c r="N1294">
        <f t="shared" si="106"/>
        <v>4015045.5563999997</v>
      </c>
      <c r="O1294">
        <f t="shared" si="107"/>
        <v>0</v>
      </c>
      <c r="P1294">
        <f t="shared" si="108"/>
        <v>0</v>
      </c>
      <c r="Q1294">
        <f t="shared" si="105"/>
        <v>14</v>
      </c>
      <c r="R1294" t="str">
        <f t="shared" si="109"/>
        <v>Not open</v>
      </c>
    </row>
    <row r="1295" spans="1:18" x14ac:dyDescent="0.3">
      <c r="A1295" t="s">
        <v>1483</v>
      </c>
      <c r="B1295" t="s">
        <v>470</v>
      </c>
      <c r="C1295" t="s">
        <v>575</v>
      </c>
      <c r="D1295" s="1">
        <v>45290</v>
      </c>
      <c r="E1295" s="1">
        <v>45320</v>
      </c>
      <c r="F1295" t="s">
        <v>36</v>
      </c>
      <c r="G1295">
        <v>33982.32</v>
      </c>
      <c r="H1295" s="1">
        <v>45319</v>
      </c>
      <c r="I1295" t="s">
        <v>555</v>
      </c>
      <c r="J1295" t="s">
        <v>573</v>
      </c>
      <c r="K1295">
        <v>83.328599999999994</v>
      </c>
      <c r="L1295">
        <v>33982.32</v>
      </c>
      <c r="M1295">
        <f>IF(F1295="INR",1,INDEX('rates'!$B$2:$C$522,MATCH(D1295,'rates'!$A$2:$A$522,1),MATCH(F1295&amp;"/INR",'rates'!$B$1:$C$1,0)))</f>
        <v>83.19</v>
      </c>
      <c r="N1295">
        <f t="shared" si="106"/>
        <v>2826989.2007999998</v>
      </c>
      <c r="O1295">
        <f t="shared" si="107"/>
        <v>0</v>
      </c>
      <c r="P1295">
        <f t="shared" si="108"/>
        <v>0</v>
      </c>
      <c r="Q1295">
        <f t="shared" si="105"/>
        <v>-1</v>
      </c>
      <c r="R1295" t="str">
        <f t="shared" si="109"/>
        <v>Not open</v>
      </c>
    </row>
    <row r="1296" spans="1:18" x14ac:dyDescent="0.3">
      <c r="A1296" t="s">
        <v>1484</v>
      </c>
      <c r="B1296" t="s">
        <v>496</v>
      </c>
      <c r="C1296" t="s">
        <v>554</v>
      </c>
      <c r="D1296" s="1">
        <v>45290</v>
      </c>
      <c r="E1296" s="1">
        <v>45335</v>
      </c>
      <c r="F1296" t="s">
        <v>13</v>
      </c>
      <c r="G1296">
        <v>9291451</v>
      </c>
      <c r="H1296" s="1">
        <v>45347</v>
      </c>
      <c r="I1296" t="s">
        <v>555</v>
      </c>
      <c r="J1296" t="s">
        <v>556</v>
      </c>
      <c r="L1296">
        <v>9291451</v>
      </c>
      <c r="M1296">
        <f>IF(F1296="INR",1,INDEX('rates'!$B$2:$C$522,MATCH(D1296,'rates'!$A$2:$A$522,1),MATCH(F1296&amp;"/INR",'rates'!$B$1:$C$1,0)))</f>
        <v>1</v>
      </c>
      <c r="N1296">
        <f t="shared" si="106"/>
        <v>9291451</v>
      </c>
      <c r="O1296">
        <f t="shared" si="107"/>
        <v>0</v>
      </c>
      <c r="P1296">
        <f t="shared" si="108"/>
        <v>0</v>
      </c>
      <c r="Q1296">
        <f t="shared" si="105"/>
        <v>12</v>
      </c>
      <c r="R1296" t="str">
        <f t="shared" si="109"/>
        <v>Not open</v>
      </c>
    </row>
    <row r="1297" spans="1:18" x14ac:dyDescent="0.3">
      <c r="A1297" t="s">
        <v>1485</v>
      </c>
      <c r="B1297" t="s">
        <v>534</v>
      </c>
      <c r="C1297" t="s">
        <v>575</v>
      </c>
      <c r="D1297" s="1">
        <v>45290</v>
      </c>
      <c r="E1297" s="1">
        <v>45335</v>
      </c>
      <c r="F1297" t="s">
        <v>36</v>
      </c>
      <c r="G1297">
        <v>141114.01</v>
      </c>
      <c r="H1297" s="1">
        <v>45352</v>
      </c>
      <c r="I1297" t="s">
        <v>555</v>
      </c>
      <c r="J1297" t="s">
        <v>573</v>
      </c>
      <c r="K1297">
        <v>83.397999999999996</v>
      </c>
      <c r="L1297">
        <v>141114.01</v>
      </c>
      <c r="M1297">
        <f>IF(F1297="INR",1,INDEX('rates'!$B$2:$C$522,MATCH(D1297,'rates'!$A$2:$A$522,1),MATCH(F1297&amp;"/INR",'rates'!$B$1:$C$1,0)))</f>
        <v>83.19</v>
      </c>
      <c r="N1297">
        <f t="shared" si="106"/>
        <v>11739274.491900001</v>
      </c>
      <c r="O1297">
        <f t="shared" si="107"/>
        <v>0</v>
      </c>
      <c r="P1297">
        <f t="shared" si="108"/>
        <v>0</v>
      </c>
      <c r="Q1297">
        <f t="shared" si="105"/>
        <v>17</v>
      </c>
      <c r="R1297" t="str">
        <f t="shared" si="109"/>
        <v>Not open</v>
      </c>
    </row>
    <row r="1298" spans="1:18" x14ac:dyDescent="0.3">
      <c r="A1298" t="s">
        <v>1486</v>
      </c>
      <c r="B1298" t="s">
        <v>75</v>
      </c>
      <c r="C1298" t="s">
        <v>566</v>
      </c>
      <c r="D1298" s="1">
        <v>45293</v>
      </c>
      <c r="E1298" s="1">
        <v>45383</v>
      </c>
      <c r="F1298" t="s">
        <v>36</v>
      </c>
      <c r="G1298">
        <v>88232.68</v>
      </c>
      <c r="H1298" s="1">
        <v>45517</v>
      </c>
      <c r="I1298" t="s">
        <v>555</v>
      </c>
      <c r="J1298" t="s">
        <v>573</v>
      </c>
      <c r="K1298">
        <v>83.726500000000001</v>
      </c>
      <c r="L1298">
        <v>88232.68</v>
      </c>
      <c r="M1298">
        <f>IF(F1298="INR",1,INDEX('rates'!$B$2:$C$522,MATCH(D1298,'rates'!$A$2:$A$522,1),MATCH(F1298&amp;"/INR",'rates'!$B$1:$C$1,0)))</f>
        <v>83.31</v>
      </c>
      <c r="N1298">
        <f t="shared" si="106"/>
        <v>7350664.5707999999</v>
      </c>
      <c r="O1298">
        <f t="shared" si="107"/>
        <v>0</v>
      </c>
      <c r="P1298">
        <f t="shared" si="108"/>
        <v>0</v>
      </c>
      <c r="Q1298">
        <f t="shared" si="105"/>
        <v>134</v>
      </c>
      <c r="R1298" t="str">
        <f t="shared" si="109"/>
        <v>Not open</v>
      </c>
    </row>
    <row r="1299" spans="1:18" x14ac:dyDescent="0.3">
      <c r="A1299" t="s">
        <v>1487</v>
      </c>
      <c r="B1299" t="s">
        <v>378</v>
      </c>
      <c r="C1299" t="s">
        <v>566</v>
      </c>
      <c r="D1299" s="1">
        <v>45293</v>
      </c>
      <c r="E1299" s="1">
        <v>45338</v>
      </c>
      <c r="F1299" t="s">
        <v>31</v>
      </c>
      <c r="G1299">
        <v>21159.05</v>
      </c>
      <c r="H1299" s="1">
        <v>45350</v>
      </c>
      <c r="I1299" t="s">
        <v>555</v>
      </c>
      <c r="J1299" t="s">
        <v>573</v>
      </c>
      <c r="K1299">
        <v>91.419700000000006</v>
      </c>
      <c r="L1299">
        <v>21159.05</v>
      </c>
      <c r="M1299">
        <f>IF(F1299="INR",1,INDEX('rates'!$B$2:$C$522,MATCH(D1299,'rates'!$A$2:$A$522,1),MATCH(F1299&amp;"/INR",'rates'!$B$1:$C$1,0)))</f>
        <v>91.282799999999995</v>
      </c>
      <c r="N1299">
        <f t="shared" si="106"/>
        <v>1931457.3293399997</v>
      </c>
      <c r="O1299">
        <f t="shared" si="107"/>
        <v>0</v>
      </c>
      <c r="P1299">
        <f t="shared" si="108"/>
        <v>0</v>
      </c>
      <c r="Q1299">
        <f t="shared" si="105"/>
        <v>12</v>
      </c>
      <c r="R1299" t="str">
        <f t="shared" si="109"/>
        <v>Not open</v>
      </c>
    </row>
    <row r="1300" spans="1:18" x14ac:dyDescent="0.3">
      <c r="A1300" t="s">
        <v>1488</v>
      </c>
      <c r="B1300" t="s">
        <v>22</v>
      </c>
      <c r="C1300" t="s">
        <v>554</v>
      </c>
      <c r="D1300" s="1">
        <v>45294</v>
      </c>
      <c r="E1300" s="1">
        <v>45339</v>
      </c>
      <c r="F1300" t="s">
        <v>13</v>
      </c>
      <c r="G1300">
        <v>3870732</v>
      </c>
      <c r="H1300" s="1">
        <v>45346</v>
      </c>
      <c r="I1300" t="s">
        <v>555</v>
      </c>
      <c r="J1300" t="s">
        <v>556</v>
      </c>
      <c r="L1300">
        <v>3870732</v>
      </c>
      <c r="M1300">
        <f>IF(F1300="INR",1,INDEX('rates'!$B$2:$C$522,MATCH(D1300,'rates'!$A$2:$A$522,1),MATCH(F1300&amp;"/INR",'rates'!$B$1:$C$1,0)))</f>
        <v>1</v>
      </c>
      <c r="N1300">
        <f t="shared" si="106"/>
        <v>3870732</v>
      </c>
      <c r="O1300">
        <f t="shared" si="107"/>
        <v>0</v>
      </c>
      <c r="P1300">
        <f t="shared" si="108"/>
        <v>0</v>
      </c>
      <c r="Q1300">
        <f t="shared" si="105"/>
        <v>7</v>
      </c>
      <c r="R1300" t="str">
        <f t="shared" si="109"/>
        <v>Not open</v>
      </c>
    </row>
    <row r="1301" spans="1:18" x14ac:dyDescent="0.3">
      <c r="A1301" t="s">
        <v>1489</v>
      </c>
      <c r="B1301" t="s">
        <v>25</v>
      </c>
      <c r="C1301" t="s">
        <v>560</v>
      </c>
      <c r="D1301" s="1">
        <v>45294</v>
      </c>
      <c r="E1301" s="1">
        <v>45324</v>
      </c>
      <c r="F1301" t="s">
        <v>13</v>
      </c>
      <c r="G1301">
        <v>5230288</v>
      </c>
      <c r="H1301" s="1">
        <v>45344</v>
      </c>
      <c r="I1301" t="s">
        <v>555</v>
      </c>
      <c r="J1301" t="s">
        <v>556</v>
      </c>
      <c r="L1301">
        <v>5230288</v>
      </c>
      <c r="M1301">
        <f>IF(F1301="INR",1,INDEX('rates'!$B$2:$C$522,MATCH(D1301,'rates'!$A$2:$A$522,1),MATCH(F1301&amp;"/INR",'rates'!$B$1:$C$1,0)))</f>
        <v>1</v>
      </c>
      <c r="N1301">
        <f t="shared" si="106"/>
        <v>5230288</v>
      </c>
      <c r="O1301">
        <f t="shared" si="107"/>
        <v>0</v>
      </c>
      <c r="P1301">
        <f t="shared" si="108"/>
        <v>0</v>
      </c>
      <c r="Q1301">
        <f t="shared" si="105"/>
        <v>20</v>
      </c>
      <c r="R1301" t="str">
        <f t="shared" si="109"/>
        <v>Not open</v>
      </c>
    </row>
    <row r="1302" spans="1:18" x14ac:dyDescent="0.3">
      <c r="A1302" t="s">
        <v>1490</v>
      </c>
      <c r="B1302" t="s">
        <v>72</v>
      </c>
      <c r="C1302" t="s">
        <v>560</v>
      </c>
      <c r="D1302" s="1">
        <v>45294</v>
      </c>
      <c r="E1302" s="1">
        <v>45384</v>
      </c>
      <c r="F1302" t="s">
        <v>31</v>
      </c>
      <c r="G1302">
        <v>33567.32</v>
      </c>
      <c r="H1302" s="1">
        <v>45404</v>
      </c>
      <c r="I1302" t="s">
        <v>555</v>
      </c>
      <c r="J1302" t="s">
        <v>556</v>
      </c>
      <c r="L1302">
        <v>33567.32</v>
      </c>
      <c r="M1302">
        <f>IF(F1302="INR",1,INDEX('rates'!$B$2:$C$522,MATCH(D1302,'rates'!$A$2:$A$522,1),MATCH(F1302&amp;"/INR",'rates'!$B$1:$C$1,0)))</f>
        <v>90.872</v>
      </c>
      <c r="N1302">
        <f t="shared" si="106"/>
        <v>3050329.5030399999</v>
      </c>
      <c r="O1302">
        <f t="shared" si="107"/>
        <v>0</v>
      </c>
      <c r="P1302">
        <f t="shared" si="108"/>
        <v>0</v>
      </c>
      <c r="Q1302">
        <f t="shared" si="105"/>
        <v>20</v>
      </c>
      <c r="R1302" t="str">
        <f t="shared" si="109"/>
        <v>Not open</v>
      </c>
    </row>
    <row r="1303" spans="1:18" x14ac:dyDescent="0.3">
      <c r="A1303" t="s">
        <v>1491</v>
      </c>
      <c r="B1303" t="s">
        <v>294</v>
      </c>
      <c r="C1303" t="s">
        <v>560</v>
      </c>
      <c r="D1303" s="1">
        <v>45294</v>
      </c>
      <c r="E1303" s="1">
        <v>45354</v>
      </c>
      <c r="F1303" t="s">
        <v>13</v>
      </c>
      <c r="G1303">
        <v>6239954</v>
      </c>
      <c r="H1303" s="1">
        <v>45442</v>
      </c>
      <c r="I1303" t="s">
        <v>555</v>
      </c>
      <c r="J1303" t="s">
        <v>556</v>
      </c>
      <c r="L1303">
        <v>6239954</v>
      </c>
      <c r="M1303">
        <f>IF(F1303="INR",1,INDEX('rates'!$B$2:$C$522,MATCH(D1303,'rates'!$A$2:$A$522,1),MATCH(F1303&amp;"/INR",'rates'!$B$1:$C$1,0)))</f>
        <v>1</v>
      </c>
      <c r="N1303">
        <f t="shared" si="106"/>
        <v>6239954</v>
      </c>
      <c r="O1303">
        <f t="shared" si="107"/>
        <v>0</v>
      </c>
      <c r="P1303">
        <f t="shared" si="108"/>
        <v>0</v>
      </c>
      <c r="Q1303">
        <f t="shared" si="105"/>
        <v>88</v>
      </c>
      <c r="R1303" t="str">
        <f t="shared" si="109"/>
        <v>Not open</v>
      </c>
    </row>
    <row r="1304" spans="1:18" x14ac:dyDescent="0.3">
      <c r="A1304" t="s">
        <v>1492</v>
      </c>
      <c r="B1304" t="s">
        <v>466</v>
      </c>
      <c r="C1304" t="s">
        <v>558</v>
      </c>
      <c r="D1304" s="1">
        <v>45294</v>
      </c>
      <c r="E1304" s="1">
        <v>45354</v>
      </c>
      <c r="F1304" t="s">
        <v>31</v>
      </c>
      <c r="G1304">
        <v>98845.22</v>
      </c>
      <c r="H1304" s="1">
        <v>45364</v>
      </c>
      <c r="I1304" t="s">
        <v>555</v>
      </c>
      <c r="J1304" t="s">
        <v>573</v>
      </c>
      <c r="K1304">
        <v>91.053700000000006</v>
      </c>
      <c r="L1304">
        <v>98845.22</v>
      </c>
      <c r="M1304">
        <f>IF(F1304="INR",1,INDEX('rates'!$B$2:$C$522,MATCH(D1304,'rates'!$A$2:$A$522,1),MATCH(F1304&amp;"/INR",'rates'!$B$1:$C$1,0)))</f>
        <v>90.872</v>
      </c>
      <c r="N1304">
        <f t="shared" si="106"/>
        <v>8982262.8318399992</v>
      </c>
      <c r="O1304">
        <f t="shared" si="107"/>
        <v>0</v>
      </c>
      <c r="P1304">
        <f t="shared" si="108"/>
        <v>0</v>
      </c>
      <c r="Q1304">
        <f t="shared" si="105"/>
        <v>10</v>
      </c>
      <c r="R1304" t="str">
        <f t="shared" si="109"/>
        <v>Not open</v>
      </c>
    </row>
    <row r="1305" spans="1:18" x14ac:dyDescent="0.3">
      <c r="A1305" t="s">
        <v>1493</v>
      </c>
      <c r="B1305" t="s">
        <v>468</v>
      </c>
      <c r="C1305" t="s">
        <v>558</v>
      </c>
      <c r="D1305" s="1">
        <v>45294</v>
      </c>
      <c r="E1305" s="1">
        <v>45324</v>
      </c>
      <c r="F1305" t="s">
        <v>13</v>
      </c>
      <c r="G1305">
        <v>5621586</v>
      </c>
      <c r="H1305" s="1">
        <v>45323</v>
      </c>
      <c r="I1305" t="s">
        <v>555</v>
      </c>
      <c r="J1305" t="s">
        <v>556</v>
      </c>
      <c r="L1305">
        <v>5621586</v>
      </c>
      <c r="M1305">
        <f>IF(F1305="INR",1,INDEX('rates'!$B$2:$C$522,MATCH(D1305,'rates'!$A$2:$A$522,1),MATCH(F1305&amp;"/INR",'rates'!$B$1:$C$1,0)))</f>
        <v>1</v>
      </c>
      <c r="N1305">
        <f t="shared" si="106"/>
        <v>5621586</v>
      </c>
      <c r="O1305">
        <f t="shared" si="107"/>
        <v>0</v>
      </c>
      <c r="P1305">
        <f t="shared" si="108"/>
        <v>0</v>
      </c>
      <c r="Q1305">
        <f t="shared" si="105"/>
        <v>-1</v>
      </c>
      <c r="R1305" t="str">
        <f t="shared" si="109"/>
        <v>Not open</v>
      </c>
    </row>
    <row r="1306" spans="1:18" x14ac:dyDescent="0.3">
      <c r="A1306" t="s">
        <v>1494</v>
      </c>
      <c r="B1306" t="s">
        <v>22</v>
      </c>
      <c r="C1306" t="s">
        <v>554</v>
      </c>
      <c r="D1306" s="1">
        <v>45295</v>
      </c>
      <c r="E1306" s="1">
        <v>45340</v>
      </c>
      <c r="F1306" t="s">
        <v>13</v>
      </c>
      <c r="G1306">
        <v>7866225</v>
      </c>
      <c r="H1306" s="1">
        <v>45342</v>
      </c>
      <c r="I1306" t="s">
        <v>555</v>
      </c>
      <c r="J1306" t="s">
        <v>556</v>
      </c>
      <c r="L1306">
        <v>7866225</v>
      </c>
      <c r="M1306">
        <f>IF(F1306="INR",1,INDEX('rates'!$B$2:$C$522,MATCH(D1306,'rates'!$A$2:$A$522,1),MATCH(F1306&amp;"/INR",'rates'!$B$1:$C$1,0)))</f>
        <v>1</v>
      </c>
      <c r="N1306">
        <f t="shared" si="106"/>
        <v>7866225</v>
      </c>
      <c r="O1306">
        <f t="shared" si="107"/>
        <v>0</v>
      </c>
      <c r="P1306">
        <f t="shared" si="108"/>
        <v>0</v>
      </c>
      <c r="Q1306">
        <f t="shared" si="105"/>
        <v>2</v>
      </c>
      <c r="R1306" t="str">
        <f t="shared" si="109"/>
        <v>Not open</v>
      </c>
    </row>
    <row r="1307" spans="1:18" x14ac:dyDescent="0.3">
      <c r="A1307" t="s">
        <v>1495</v>
      </c>
      <c r="B1307" t="s">
        <v>140</v>
      </c>
      <c r="C1307" t="s">
        <v>554</v>
      </c>
      <c r="D1307" s="1">
        <v>45295</v>
      </c>
      <c r="E1307" s="1">
        <v>45355</v>
      </c>
      <c r="F1307" t="s">
        <v>13</v>
      </c>
      <c r="G1307">
        <v>7469351</v>
      </c>
      <c r="H1307" s="1">
        <v>45360</v>
      </c>
      <c r="I1307" t="s">
        <v>555</v>
      </c>
      <c r="J1307" t="s">
        <v>556</v>
      </c>
      <c r="L1307">
        <v>7469351</v>
      </c>
      <c r="M1307">
        <f>IF(F1307="INR",1,INDEX('rates'!$B$2:$C$522,MATCH(D1307,'rates'!$A$2:$A$522,1),MATCH(F1307&amp;"/INR",'rates'!$B$1:$C$1,0)))</f>
        <v>1</v>
      </c>
      <c r="N1307">
        <f t="shared" si="106"/>
        <v>7469351</v>
      </c>
      <c r="O1307">
        <f t="shared" si="107"/>
        <v>0</v>
      </c>
      <c r="P1307">
        <f t="shared" si="108"/>
        <v>0</v>
      </c>
      <c r="Q1307">
        <f t="shared" si="105"/>
        <v>5</v>
      </c>
      <c r="R1307" t="str">
        <f t="shared" si="109"/>
        <v>Not open</v>
      </c>
    </row>
    <row r="1308" spans="1:18" x14ac:dyDescent="0.3">
      <c r="A1308" t="s">
        <v>1496</v>
      </c>
      <c r="B1308" t="s">
        <v>160</v>
      </c>
      <c r="C1308" t="s">
        <v>554</v>
      </c>
      <c r="D1308" s="1">
        <v>45295</v>
      </c>
      <c r="E1308" s="1">
        <v>45340</v>
      </c>
      <c r="F1308" t="s">
        <v>13</v>
      </c>
      <c r="G1308">
        <v>11674739</v>
      </c>
      <c r="H1308" s="1">
        <v>45348</v>
      </c>
      <c r="I1308" t="s">
        <v>555</v>
      </c>
      <c r="J1308" t="s">
        <v>556</v>
      </c>
      <c r="L1308">
        <v>11674739</v>
      </c>
      <c r="M1308">
        <f>IF(F1308="INR",1,INDEX('rates'!$B$2:$C$522,MATCH(D1308,'rates'!$A$2:$A$522,1),MATCH(F1308&amp;"/INR",'rates'!$B$1:$C$1,0)))</f>
        <v>1</v>
      </c>
      <c r="N1308">
        <f t="shared" si="106"/>
        <v>11674739</v>
      </c>
      <c r="O1308">
        <f t="shared" si="107"/>
        <v>0</v>
      </c>
      <c r="P1308">
        <f t="shared" si="108"/>
        <v>0</v>
      </c>
      <c r="Q1308">
        <f t="shared" si="105"/>
        <v>8</v>
      </c>
      <c r="R1308" t="str">
        <f t="shared" si="109"/>
        <v>Not open</v>
      </c>
    </row>
    <row r="1309" spans="1:18" x14ac:dyDescent="0.3">
      <c r="A1309" t="s">
        <v>1497</v>
      </c>
      <c r="B1309" t="s">
        <v>222</v>
      </c>
      <c r="C1309" t="s">
        <v>560</v>
      </c>
      <c r="D1309" s="1">
        <v>45295</v>
      </c>
      <c r="E1309" s="1">
        <v>45355</v>
      </c>
      <c r="F1309" t="s">
        <v>36</v>
      </c>
      <c r="G1309">
        <v>70930.55</v>
      </c>
      <c r="H1309" s="1">
        <v>45356</v>
      </c>
      <c r="I1309" t="s">
        <v>555</v>
      </c>
      <c r="J1309" t="s">
        <v>556</v>
      </c>
      <c r="L1309">
        <v>70930.55</v>
      </c>
      <c r="M1309">
        <f>IF(F1309="INR",1,INDEX('rates'!$B$2:$C$522,MATCH(D1309,'rates'!$A$2:$A$522,1),MATCH(F1309&amp;"/INR",'rates'!$B$1:$C$1,0)))</f>
        <v>83.21</v>
      </c>
      <c r="N1309">
        <f t="shared" si="106"/>
        <v>5902131.0654999996</v>
      </c>
      <c r="O1309">
        <f t="shared" si="107"/>
        <v>0</v>
      </c>
      <c r="P1309">
        <f t="shared" si="108"/>
        <v>0</v>
      </c>
      <c r="Q1309">
        <f t="shared" si="105"/>
        <v>1</v>
      </c>
      <c r="R1309" t="str">
        <f t="shared" si="109"/>
        <v>Not open</v>
      </c>
    </row>
    <row r="1310" spans="1:18" x14ac:dyDescent="0.3">
      <c r="A1310" t="s">
        <v>1498</v>
      </c>
      <c r="B1310" t="s">
        <v>472</v>
      </c>
      <c r="C1310" t="s">
        <v>558</v>
      </c>
      <c r="D1310" s="1">
        <v>45295</v>
      </c>
      <c r="E1310" s="1">
        <v>45355</v>
      </c>
      <c r="F1310" t="s">
        <v>36</v>
      </c>
      <c r="G1310">
        <v>18146.21</v>
      </c>
      <c r="H1310" s="1">
        <v>45402</v>
      </c>
      <c r="I1310" t="s">
        <v>555</v>
      </c>
      <c r="J1310" t="s">
        <v>556</v>
      </c>
      <c r="L1310">
        <v>18146.21</v>
      </c>
      <c r="M1310">
        <f>IF(F1310="INR",1,INDEX('rates'!$B$2:$C$522,MATCH(D1310,'rates'!$A$2:$A$522,1),MATCH(F1310&amp;"/INR",'rates'!$B$1:$C$1,0)))</f>
        <v>83.21</v>
      </c>
      <c r="N1310">
        <f t="shared" si="106"/>
        <v>1509946.1340999999</v>
      </c>
      <c r="O1310">
        <f t="shared" si="107"/>
        <v>0</v>
      </c>
      <c r="P1310">
        <f t="shared" si="108"/>
        <v>0</v>
      </c>
      <c r="Q1310">
        <f t="shared" si="105"/>
        <v>47</v>
      </c>
      <c r="R1310" t="str">
        <f t="shared" si="109"/>
        <v>Not open</v>
      </c>
    </row>
    <row r="1311" spans="1:18" x14ac:dyDescent="0.3">
      <c r="A1311" t="s">
        <v>1499</v>
      </c>
      <c r="B1311" t="s">
        <v>482</v>
      </c>
      <c r="C1311" t="s">
        <v>558</v>
      </c>
      <c r="D1311" s="1">
        <v>45295</v>
      </c>
      <c r="E1311" s="1">
        <v>45355</v>
      </c>
      <c r="F1311" t="s">
        <v>13</v>
      </c>
      <c r="G1311">
        <v>6191375</v>
      </c>
      <c r="H1311" s="1">
        <v>45369</v>
      </c>
      <c r="I1311" t="s">
        <v>555</v>
      </c>
      <c r="J1311" t="s">
        <v>556</v>
      </c>
      <c r="L1311">
        <v>6191375</v>
      </c>
      <c r="M1311">
        <f>IF(F1311="INR",1,INDEX('rates'!$B$2:$C$522,MATCH(D1311,'rates'!$A$2:$A$522,1),MATCH(F1311&amp;"/INR",'rates'!$B$1:$C$1,0)))</f>
        <v>1</v>
      </c>
      <c r="N1311">
        <f t="shared" si="106"/>
        <v>6191375</v>
      </c>
      <c r="O1311">
        <f t="shared" si="107"/>
        <v>0</v>
      </c>
      <c r="P1311">
        <f t="shared" si="108"/>
        <v>0</v>
      </c>
      <c r="Q1311">
        <f t="shared" si="105"/>
        <v>14</v>
      </c>
      <c r="R1311" t="str">
        <f t="shared" si="109"/>
        <v>Not open</v>
      </c>
    </row>
    <row r="1312" spans="1:18" x14ac:dyDescent="0.3">
      <c r="A1312" t="s">
        <v>1500</v>
      </c>
      <c r="B1312" t="s">
        <v>528</v>
      </c>
      <c r="C1312" t="s">
        <v>566</v>
      </c>
      <c r="D1312" s="1">
        <v>45295</v>
      </c>
      <c r="E1312" s="1">
        <v>45355</v>
      </c>
      <c r="F1312" t="s">
        <v>13</v>
      </c>
      <c r="G1312">
        <v>11382181</v>
      </c>
      <c r="H1312" s="1">
        <v>45365</v>
      </c>
      <c r="I1312" t="s">
        <v>555</v>
      </c>
      <c r="J1312" t="s">
        <v>556</v>
      </c>
      <c r="L1312">
        <v>11382181</v>
      </c>
      <c r="M1312">
        <f>IF(F1312="INR",1,INDEX('rates'!$B$2:$C$522,MATCH(D1312,'rates'!$A$2:$A$522,1),MATCH(F1312&amp;"/INR",'rates'!$B$1:$C$1,0)))</f>
        <v>1</v>
      </c>
      <c r="N1312">
        <f t="shared" si="106"/>
        <v>11382181</v>
      </c>
      <c r="O1312">
        <f t="shared" si="107"/>
        <v>0</v>
      </c>
      <c r="P1312">
        <f t="shared" si="108"/>
        <v>0</v>
      </c>
      <c r="Q1312">
        <f t="shared" si="105"/>
        <v>10</v>
      </c>
      <c r="R1312" t="str">
        <f t="shared" si="109"/>
        <v>Not open</v>
      </c>
    </row>
    <row r="1313" spans="1:18" x14ac:dyDescent="0.3">
      <c r="A1313" t="s">
        <v>1501</v>
      </c>
      <c r="B1313" t="s">
        <v>72</v>
      </c>
      <c r="C1313" t="s">
        <v>560</v>
      </c>
      <c r="D1313" s="1">
        <v>45296</v>
      </c>
      <c r="E1313" s="1">
        <v>45386</v>
      </c>
      <c r="F1313" t="s">
        <v>31</v>
      </c>
      <c r="G1313">
        <v>20856.330000000002</v>
      </c>
      <c r="H1313" s="1">
        <v>45396</v>
      </c>
      <c r="I1313" t="s">
        <v>555</v>
      </c>
      <c r="J1313" t="s">
        <v>573</v>
      </c>
      <c r="K1313">
        <v>91.391800000000003</v>
      </c>
      <c r="L1313">
        <v>20856.330000000002</v>
      </c>
      <c r="M1313">
        <f>IF(F1313="INR",1,INDEX('rates'!$B$2:$C$522,MATCH(D1313,'rates'!$A$2:$A$522,1),MATCH(F1313&amp;"/INR",'rates'!$B$1:$C$1,0)))</f>
        <v>91.118399999999994</v>
      </c>
      <c r="N1313">
        <f t="shared" si="106"/>
        <v>1900395.4194720001</v>
      </c>
      <c r="O1313">
        <f t="shared" si="107"/>
        <v>0</v>
      </c>
      <c r="P1313">
        <f t="shared" si="108"/>
        <v>0</v>
      </c>
      <c r="Q1313">
        <f t="shared" ref="Q1313:Q1344" si="110">IF(H1313="","",H1313-E1313)</f>
        <v>10</v>
      </c>
      <c r="R1313" t="str">
        <f t="shared" si="109"/>
        <v>Not open</v>
      </c>
    </row>
    <row r="1314" spans="1:18" x14ac:dyDescent="0.3">
      <c r="A1314" t="s">
        <v>1502</v>
      </c>
      <c r="B1314" t="s">
        <v>186</v>
      </c>
      <c r="C1314" t="s">
        <v>558</v>
      </c>
      <c r="D1314" s="1">
        <v>45296</v>
      </c>
      <c r="E1314" s="1">
        <v>45326</v>
      </c>
      <c r="F1314" t="s">
        <v>36</v>
      </c>
      <c r="G1314">
        <v>270383.78000000003</v>
      </c>
      <c r="H1314" s="1">
        <v>45351</v>
      </c>
      <c r="I1314" t="s">
        <v>555</v>
      </c>
      <c r="J1314" t="s">
        <v>556</v>
      </c>
      <c r="L1314">
        <v>270383.78000000003</v>
      </c>
      <c r="M1314">
        <f>IF(F1314="INR",1,INDEX('rates'!$B$2:$C$522,MATCH(D1314,'rates'!$A$2:$A$522,1),MATCH(F1314&amp;"/INR",'rates'!$B$1:$C$1,0)))</f>
        <v>83.16</v>
      </c>
      <c r="N1314">
        <f t="shared" si="106"/>
        <v>22485115.1448</v>
      </c>
      <c r="O1314">
        <f t="shared" si="107"/>
        <v>0</v>
      </c>
      <c r="P1314">
        <f t="shared" si="108"/>
        <v>0</v>
      </c>
      <c r="Q1314">
        <f t="shared" si="110"/>
        <v>25</v>
      </c>
      <c r="R1314" t="str">
        <f t="shared" si="109"/>
        <v>Not open</v>
      </c>
    </row>
    <row r="1315" spans="1:18" x14ac:dyDescent="0.3">
      <c r="A1315" t="s">
        <v>1503</v>
      </c>
      <c r="B1315" t="s">
        <v>336</v>
      </c>
      <c r="C1315" t="s">
        <v>554</v>
      </c>
      <c r="D1315" s="1">
        <v>45296</v>
      </c>
      <c r="E1315" s="1">
        <v>45326</v>
      </c>
      <c r="F1315" t="s">
        <v>13</v>
      </c>
      <c r="G1315">
        <v>8377273</v>
      </c>
      <c r="H1315" s="1">
        <v>45333</v>
      </c>
      <c r="I1315" t="s">
        <v>555</v>
      </c>
      <c r="J1315" t="s">
        <v>556</v>
      </c>
      <c r="L1315">
        <v>8377273</v>
      </c>
      <c r="M1315">
        <f>IF(F1315="INR",1,INDEX('rates'!$B$2:$C$522,MATCH(D1315,'rates'!$A$2:$A$522,1),MATCH(F1315&amp;"/INR",'rates'!$B$1:$C$1,0)))</f>
        <v>1</v>
      </c>
      <c r="N1315">
        <f t="shared" si="106"/>
        <v>8377273</v>
      </c>
      <c r="O1315">
        <f t="shared" si="107"/>
        <v>0</v>
      </c>
      <c r="P1315">
        <f t="shared" si="108"/>
        <v>0</v>
      </c>
      <c r="Q1315">
        <f t="shared" si="110"/>
        <v>7</v>
      </c>
      <c r="R1315" t="str">
        <f t="shared" si="109"/>
        <v>Not open</v>
      </c>
    </row>
    <row r="1316" spans="1:18" x14ac:dyDescent="0.3">
      <c r="A1316" t="s">
        <v>1504</v>
      </c>
      <c r="B1316" t="s">
        <v>380</v>
      </c>
      <c r="C1316" t="s">
        <v>560</v>
      </c>
      <c r="D1316" s="1">
        <v>45296</v>
      </c>
      <c r="E1316" s="1">
        <v>45356</v>
      </c>
      <c r="F1316" t="s">
        <v>13</v>
      </c>
      <c r="G1316">
        <v>9216324</v>
      </c>
      <c r="H1316" s="1">
        <v>45373</v>
      </c>
      <c r="I1316" t="s">
        <v>555</v>
      </c>
      <c r="J1316" t="s">
        <v>556</v>
      </c>
      <c r="L1316">
        <v>9216324</v>
      </c>
      <c r="M1316">
        <f>IF(F1316="INR",1,INDEX('rates'!$B$2:$C$522,MATCH(D1316,'rates'!$A$2:$A$522,1),MATCH(F1316&amp;"/INR",'rates'!$B$1:$C$1,0)))</f>
        <v>1</v>
      </c>
      <c r="N1316">
        <f t="shared" si="106"/>
        <v>9216324</v>
      </c>
      <c r="O1316">
        <f t="shared" si="107"/>
        <v>0</v>
      </c>
      <c r="P1316">
        <f t="shared" si="108"/>
        <v>0</v>
      </c>
      <c r="Q1316">
        <f t="shared" si="110"/>
        <v>17</v>
      </c>
      <c r="R1316" t="str">
        <f t="shared" si="109"/>
        <v>Not open</v>
      </c>
    </row>
    <row r="1317" spans="1:18" x14ac:dyDescent="0.3">
      <c r="A1317" t="s">
        <v>1505</v>
      </c>
      <c r="B1317" t="s">
        <v>414</v>
      </c>
      <c r="C1317" t="s">
        <v>566</v>
      </c>
      <c r="D1317" s="1">
        <v>45296</v>
      </c>
      <c r="E1317" s="1">
        <v>45341</v>
      </c>
      <c r="F1317" t="s">
        <v>13</v>
      </c>
      <c r="G1317">
        <v>3050307</v>
      </c>
      <c r="H1317" s="1">
        <v>45341</v>
      </c>
      <c r="I1317" t="s">
        <v>555</v>
      </c>
      <c r="J1317" t="s">
        <v>556</v>
      </c>
      <c r="L1317">
        <v>3050307</v>
      </c>
      <c r="M1317">
        <f>IF(F1317="INR",1,INDEX('rates'!$B$2:$C$522,MATCH(D1317,'rates'!$A$2:$A$522,1),MATCH(F1317&amp;"/INR",'rates'!$B$1:$C$1,0)))</f>
        <v>1</v>
      </c>
      <c r="N1317">
        <f t="shared" si="106"/>
        <v>3050307</v>
      </c>
      <c r="O1317">
        <f t="shared" si="107"/>
        <v>0</v>
      </c>
      <c r="P1317">
        <f t="shared" si="108"/>
        <v>0</v>
      </c>
      <c r="Q1317">
        <f t="shared" si="110"/>
        <v>0</v>
      </c>
      <c r="R1317" t="str">
        <f t="shared" si="109"/>
        <v>Not open</v>
      </c>
    </row>
    <row r="1318" spans="1:18" x14ac:dyDescent="0.3">
      <c r="A1318" t="s">
        <v>1506</v>
      </c>
      <c r="B1318" t="s">
        <v>532</v>
      </c>
      <c r="C1318" t="s">
        <v>575</v>
      </c>
      <c r="D1318" s="1">
        <v>45296</v>
      </c>
      <c r="E1318" s="1">
        <v>45356</v>
      </c>
      <c r="F1318" t="s">
        <v>36</v>
      </c>
      <c r="G1318">
        <v>63136.07</v>
      </c>
      <c r="H1318" s="1">
        <v>45371</v>
      </c>
      <c r="I1318" t="s">
        <v>555</v>
      </c>
      <c r="J1318" t="s">
        <v>573</v>
      </c>
      <c r="K1318">
        <v>83.437200000000004</v>
      </c>
      <c r="L1318">
        <v>63136.07</v>
      </c>
      <c r="M1318">
        <f>IF(F1318="INR",1,INDEX('rates'!$B$2:$C$522,MATCH(D1318,'rates'!$A$2:$A$522,1),MATCH(F1318&amp;"/INR",'rates'!$B$1:$C$1,0)))</f>
        <v>83.16</v>
      </c>
      <c r="N1318">
        <f t="shared" si="106"/>
        <v>5250395.5811999999</v>
      </c>
      <c r="O1318">
        <f t="shared" si="107"/>
        <v>0</v>
      </c>
      <c r="P1318">
        <f t="shared" si="108"/>
        <v>0</v>
      </c>
      <c r="Q1318">
        <f t="shared" si="110"/>
        <v>15</v>
      </c>
      <c r="R1318" t="str">
        <f t="shared" si="109"/>
        <v>Not open</v>
      </c>
    </row>
    <row r="1319" spans="1:18" x14ac:dyDescent="0.3">
      <c r="A1319" t="s">
        <v>1507</v>
      </c>
      <c r="B1319" t="s">
        <v>19</v>
      </c>
      <c r="C1319" t="s">
        <v>554</v>
      </c>
      <c r="D1319" s="1">
        <v>45297</v>
      </c>
      <c r="E1319" s="1">
        <v>45342</v>
      </c>
      <c r="F1319" t="s">
        <v>13</v>
      </c>
      <c r="G1319">
        <v>8930293</v>
      </c>
      <c r="H1319" s="1"/>
      <c r="I1319" t="s">
        <v>717</v>
      </c>
      <c r="J1319" t="s">
        <v>556</v>
      </c>
      <c r="L1319">
        <v>0</v>
      </c>
      <c r="M1319">
        <f>IF(F1319="INR",1,INDEX('rates'!$B$2:$C$522,MATCH(D1319,'rates'!$A$2:$A$522,1),MATCH(F1319&amp;"/INR",'rates'!$B$1:$C$1,0)))</f>
        <v>1</v>
      </c>
      <c r="N1319">
        <f t="shared" si="106"/>
        <v>8930293</v>
      </c>
      <c r="O1319">
        <f t="shared" si="107"/>
        <v>0</v>
      </c>
      <c r="P1319">
        <f t="shared" si="108"/>
        <v>0</v>
      </c>
      <c r="Q1319" t="str">
        <f t="shared" si="110"/>
        <v/>
      </c>
      <c r="R1319" t="str">
        <f t="shared" si="109"/>
        <v>Not open</v>
      </c>
    </row>
    <row r="1320" spans="1:18" x14ac:dyDescent="0.3">
      <c r="A1320" t="s">
        <v>1508</v>
      </c>
      <c r="B1320" t="s">
        <v>87</v>
      </c>
      <c r="C1320" t="s">
        <v>566</v>
      </c>
      <c r="D1320" s="1">
        <v>45297</v>
      </c>
      <c r="E1320" s="1">
        <v>45342</v>
      </c>
      <c r="F1320" t="s">
        <v>36</v>
      </c>
      <c r="G1320">
        <v>553002.74</v>
      </c>
      <c r="H1320" s="1">
        <v>45380</v>
      </c>
      <c r="I1320" t="s">
        <v>555</v>
      </c>
      <c r="J1320" t="s">
        <v>573</v>
      </c>
      <c r="K1320">
        <v>83.367900000000006</v>
      </c>
      <c r="L1320">
        <v>553002.74</v>
      </c>
      <c r="M1320">
        <f>IF(F1320="INR",1,INDEX('rates'!$B$2:$C$522,MATCH(D1320,'rates'!$A$2:$A$522,1),MATCH(F1320&amp;"/INR",'rates'!$B$1:$C$1,0)))</f>
        <v>83.16</v>
      </c>
      <c r="N1320">
        <f t="shared" si="106"/>
        <v>45987707.858399995</v>
      </c>
      <c r="O1320">
        <f t="shared" si="107"/>
        <v>0</v>
      </c>
      <c r="P1320">
        <f t="shared" si="108"/>
        <v>0</v>
      </c>
      <c r="Q1320">
        <f t="shared" si="110"/>
        <v>38</v>
      </c>
      <c r="R1320" t="str">
        <f t="shared" si="109"/>
        <v>Not open</v>
      </c>
    </row>
    <row r="1321" spans="1:18" x14ac:dyDescent="0.3">
      <c r="A1321" t="s">
        <v>1509</v>
      </c>
      <c r="B1321" t="s">
        <v>96</v>
      </c>
      <c r="C1321" t="s">
        <v>558</v>
      </c>
      <c r="D1321" s="1">
        <v>45297</v>
      </c>
      <c r="E1321" s="1">
        <v>45387</v>
      </c>
      <c r="F1321" t="s">
        <v>13</v>
      </c>
      <c r="G1321">
        <v>2541104</v>
      </c>
      <c r="H1321" s="1">
        <v>45380</v>
      </c>
      <c r="I1321" t="s">
        <v>555</v>
      </c>
      <c r="J1321" t="s">
        <v>556</v>
      </c>
      <c r="L1321">
        <v>2541104</v>
      </c>
      <c r="M1321">
        <f>IF(F1321="INR",1,INDEX('rates'!$B$2:$C$522,MATCH(D1321,'rates'!$A$2:$A$522,1),MATCH(F1321&amp;"/INR",'rates'!$B$1:$C$1,0)))</f>
        <v>1</v>
      </c>
      <c r="N1321">
        <f t="shared" si="106"/>
        <v>2541104</v>
      </c>
      <c r="O1321">
        <f t="shared" si="107"/>
        <v>0</v>
      </c>
      <c r="P1321">
        <f t="shared" si="108"/>
        <v>0</v>
      </c>
      <c r="Q1321">
        <f t="shared" si="110"/>
        <v>-7</v>
      </c>
      <c r="R1321" t="str">
        <f t="shared" si="109"/>
        <v>Not open</v>
      </c>
    </row>
    <row r="1322" spans="1:18" x14ac:dyDescent="0.3">
      <c r="A1322" t="s">
        <v>1510</v>
      </c>
      <c r="B1322" t="s">
        <v>276</v>
      </c>
      <c r="C1322" t="s">
        <v>558</v>
      </c>
      <c r="D1322" s="1">
        <v>45297</v>
      </c>
      <c r="E1322" s="1">
        <v>45357</v>
      </c>
      <c r="F1322" t="s">
        <v>13</v>
      </c>
      <c r="G1322">
        <v>4848609</v>
      </c>
      <c r="H1322" s="1">
        <v>45374</v>
      </c>
      <c r="I1322" t="s">
        <v>555</v>
      </c>
      <c r="J1322" t="s">
        <v>556</v>
      </c>
      <c r="L1322">
        <v>4848609</v>
      </c>
      <c r="M1322">
        <f>IF(F1322="INR",1,INDEX('rates'!$B$2:$C$522,MATCH(D1322,'rates'!$A$2:$A$522,1),MATCH(F1322&amp;"/INR",'rates'!$B$1:$C$1,0)))</f>
        <v>1</v>
      </c>
      <c r="N1322">
        <f t="shared" si="106"/>
        <v>4848609</v>
      </c>
      <c r="O1322">
        <f t="shared" si="107"/>
        <v>0</v>
      </c>
      <c r="P1322">
        <f t="shared" si="108"/>
        <v>0</v>
      </c>
      <c r="Q1322">
        <f t="shared" si="110"/>
        <v>17</v>
      </c>
      <c r="R1322" t="str">
        <f t="shared" si="109"/>
        <v>Not open</v>
      </c>
    </row>
    <row r="1323" spans="1:18" x14ac:dyDescent="0.3">
      <c r="A1323" t="s">
        <v>1511</v>
      </c>
      <c r="B1323" t="s">
        <v>280</v>
      </c>
      <c r="C1323" t="s">
        <v>558</v>
      </c>
      <c r="D1323" s="1">
        <v>45297</v>
      </c>
      <c r="E1323" s="1">
        <v>45357</v>
      </c>
      <c r="F1323" t="s">
        <v>36</v>
      </c>
      <c r="G1323">
        <v>15449.97</v>
      </c>
      <c r="H1323" s="1">
        <v>45378</v>
      </c>
      <c r="I1323" t="s">
        <v>555</v>
      </c>
      <c r="J1323" t="s">
        <v>573</v>
      </c>
      <c r="K1323">
        <v>83.437200000000004</v>
      </c>
      <c r="L1323">
        <v>15449.97</v>
      </c>
      <c r="M1323">
        <f>IF(F1323="INR",1,INDEX('rates'!$B$2:$C$522,MATCH(D1323,'rates'!$A$2:$A$522,1),MATCH(F1323&amp;"/INR",'rates'!$B$1:$C$1,0)))</f>
        <v>83.16</v>
      </c>
      <c r="N1323">
        <f t="shared" si="106"/>
        <v>1284819.5051999998</v>
      </c>
      <c r="O1323">
        <f t="shared" si="107"/>
        <v>0</v>
      </c>
      <c r="P1323">
        <f t="shared" si="108"/>
        <v>0</v>
      </c>
      <c r="Q1323">
        <f t="shared" si="110"/>
        <v>21</v>
      </c>
      <c r="R1323" t="str">
        <f t="shared" si="109"/>
        <v>Not open</v>
      </c>
    </row>
    <row r="1324" spans="1:18" x14ac:dyDescent="0.3">
      <c r="A1324" t="s">
        <v>1512</v>
      </c>
      <c r="B1324" t="s">
        <v>458</v>
      </c>
      <c r="C1324" t="s">
        <v>554</v>
      </c>
      <c r="D1324" s="1">
        <v>45297</v>
      </c>
      <c r="E1324" s="1">
        <v>45387</v>
      </c>
      <c r="F1324" t="s">
        <v>13</v>
      </c>
      <c r="G1324">
        <v>5890686</v>
      </c>
      <c r="H1324" s="1">
        <v>45393</v>
      </c>
      <c r="I1324" t="s">
        <v>555</v>
      </c>
      <c r="J1324" t="s">
        <v>556</v>
      </c>
      <c r="L1324">
        <v>5890686</v>
      </c>
      <c r="M1324">
        <f>IF(F1324="INR",1,INDEX('rates'!$B$2:$C$522,MATCH(D1324,'rates'!$A$2:$A$522,1),MATCH(F1324&amp;"/INR",'rates'!$B$1:$C$1,0)))</f>
        <v>1</v>
      </c>
      <c r="N1324">
        <f t="shared" si="106"/>
        <v>5890686</v>
      </c>
      <c r="O1324">
        <f t="shared" si="107"/>
        <v>0</v>
      </c>
      <c r="P1324">
        <f t="shared" si="108"/>
        <v>0</v>
      </c>
      <c r="Q1324">
        <f t="shared" si="110"/>
        <v>6</v>
      </c>
      <c r="R1324" t="str">
        <f t="shared" si="109"/>
        <v>Not open</v>
      </c>
    </row>
    <row r="1325" spans="1:18" x14ac:dyDescent="0.3">
      <c r="A1325" t="s">
        <v>1513</v>
      </c>
      <c r="B1325" t="s">
        <v>472</v>
      </c>
      <c r="C1325" t="s">
        <v>558</v>
      </c>
      <c r="D1325" s="1">
        <v>45297</v>
      </c>
      <c r="E1325" s="1">
        <v>45357</v>
      </c>
      <c r="F1325" t="s">
        <v>36</v>
      </c>
      <c r="G1325">
        <v>123381.44</v>
      </c>
      <c r="H1325" s="1">
        <v>45379</v>
      </c>
      <c r="I1325" t="s">
        <v>555</v>
      </c>
      <c r="J1325" t="s">
        <v>556</v>
      </c>
      <c r="L1325">
        <v>123381.44</v>
      </c>
      <c r="M1325">
        <f>IF(F1325="INR",1,INDEX('rates'!$B$2:$C$522,MATCH(D1325,'rates'!$A$2:$A$522,1),MATCH(F1325&amp;"/INR",'rates'!$B$1:$C$1,0)))</f>
        <v>83.16</v>
      </c>
      <c r="N1325">
        <f t="shared" si="106"/>
        <v>10260400.5504</v>
      </c>
      <c r="O1325">
        <f t="shared" si="107"/>
        <v>0</v>
      </c>
      <c r="P1325">
        <f t="shared" si="108"/>
        <v>0</v>
      </c>
      <c r="Q1325">
        <f t="shared" si="110"/>
        <v>22</v>
      </c>
      <c r="R1325" t="str">
        <f t="shared" si="109"/>
        <v>Not open</v>
      </c>
    </row>
    <row r="1326" spans="1:18" x14ac:dyDescent="0.3">
      <c r="A1326" t="s">
        <v>1514</v>
      </c>
      <c r="B1326" t="s">
        <v>482</v>
      </c>
      <c r="C1326" t="s">
        <v>558</v>
      </c>
      <c r="D1326" s="1">
        <v>45297</v>
      </c>
      <c r="E1326" s="1">
        <v>45357</v>
      </c>
      <c r="F1326" t="s">
        <v>13</v>
      </c>
      <c r="G1326">
        <v>1023880</v>
      </c>
      <c r="H1326" s="1">
        <v>45369</v>
      </c>
      <c r="I1326" t="s">
        <v>555</v>
      </c>
      <c r="J1326" t="s">
        <v>556</v>
      </c>
      <c r="L1326">
        <v>1023880</v>
      </c>
      <c r="M1326">
        <f>IF(F1326="INR",1,INDEX('rates'!$B$2:$C$522,MATCH(D1326,'rates'!$A$2:$A$522,1),MATCH(F1326&amp;"/INR",'rates'!$B$1:$C$1,0)))</f>
        <v>1</v>
      </c>
      <c r="N1326">
        <f t="shared" si="106"/>
        <v>1023880</v>
      </c>
      <c r="O1326">
        <f t="shared" si="107"/>
        <v>0</v>
      </c>
      <c r="P1326">
        <f t="shared" si="108"/>
        <v>0</v>
      </c>
      <c r="Q1326">
        <f t="shared" si="110"/>
        <v>12</v>
      </c>
      <c r="R1326" t="str">
        <f t="shared" si="109"/>
        <v>Not open</v>
      </c>
    </row>
    <row r="1327" spans="1:18" x14ac:dyDescent="0.3">
      <c r="A1327" t="s">
        <v>1515</v>
      </c>
      <c r="B1327" t="s">
        <v>486</v>
      </c>
      <c r="C1327" t="s">
        <v>554</v>
      </c>
      <c r="D1327" s="1">
        <v>45297</v>
      </c>
      <c r="E1327" s="1">
        <v>45342</v>
      </c>
      <c r="F1327" t="s">
        <v>13</v>
      </c>
      <c r="G1327">
        <v>1929418</v>
      </c>
      <c r="H1327" s="1">
        <v>45436</v>
      </c>
      <c r="I1327" t="s">
        <v>555</v>
      </c>
      <c r="J1327" t="s">
        <v>556</v>
      </c>
      <c r="L1327">
        <v>1929418</v>
      </c>
      <c r="M1327">
        <f>IF(F1327="INR",1,INDEX('rates'!$B$2:$C$522,MATCH(D1327,'rates'!$A$2:$A$522,1),MATCH(F1327&amp;"/INR",'rates'!$B$1:$C$1,0)))</f>
        <v>1</v>
      </c>
      <c r="N1327">
        <f t="shared" si="106"/>
        <v>1929418</v>
      </c>
      <c r="O1327">
        <f t="shared" si="107"/>
        <v>0</v>
      </c>
      <c r="P1327">
        <f t="shared" si="108"/>
        <v>0</v>
      </c>
      <c r="Q1327">
        <f t="shared" si="110"/>
        <v>94</v>
      </c>
      <c r="R1327" t="str">
        <f t="shared" si="109"/>
        <v>Not open</v>
      </c>
    </row>
    <row r="1328" spans="1:18" x14ac:dyDescent="0.3">
      <c r="A1328" t="s">
        <v>1516</v>
      </c>
      <c r="B1328" t="s">
        <v>117</v>
      </c>
      <c r="C1328" t="s">
        <v>554</v>
      </c>
      <c r="D1328" s="1">
        <v>45299</v>
      </c>
      <c r="E1328" s="1">
        <v>45359</v>
      </c>
      <c r="F1328" t="s">
        <v>13</v>
      </c>
      <c r="G1328">
        <v>14717621</v>
      </c>
      <c r="H1328" s="1">
        <v>45363</v>
      </c>
      <c r="I1328" t="s">
        <v>555</v>
      </c>
      <c r="J1328" t="s">
        <v>556</v>
      </c>
      <c r="L1328">
        <v>14717621</v>
      </c>
      <c r="M1328">
        <f>IF(F1328="INR",1,INDEX('rates'!$B$2:$C$522,MATCH(D1328,'rates'!$A$2:$A$522,1),MATCH(F1328&amp;"/INR",'rates'!$B$1:$C$1,0)))</f>
        <v>1</v>
      </c>
      <c r="N1328">
        <f t="shared" si="106"/>
        <v>14717621</v>
      </c>
      <c r="O1328">
        <f t="shared" si="107"/>
        <v>0</v>
      </c>
      <c r="P1328">
        <f t="shared" si="108"/>
        <v>0</v>
      </c>
      <c r="Q1328">
        <f t="shared" si="110"/>
        <v>4</v>
      </c>
      <c r="R1328" t="str">
        <f t="shared" si="109"/>
        <v>Not open</v>
      </c>
    </row>
    <row r="1329" spans="1:18" x14ac:dyDescent="0.3">
      <c r="A1329" t="s">
        <v>1517</v>
      </c>
      <c r="B1329" t="s">
        <v>464</v>
      </c>
      <c r="C1329" t="s">
        <v>560</v>
      </c>
      <c r="D1329" s="1">
        <v>45299</v>
      </c>
      <c r="E1329" s="1">
        <v>45389</v>
      </c>
      <c r="F1329" t="s">
        <v>13</v>
      </c>
      <c r="G1329">
        <v>4984018</v>
      </c>
      <c r="H1329" s="1">
        <v>45388</v>
      </c>
      <c r="I1329" t="s">
        <v>555</v>
      </c>
      <c r="J1329" t="s">
        <v>556</v>
      </c>
      <c r="L1329">
        <v>4984018</v>
      </c>
      <c r="M1329">
        <f>IF(F1329="INR",1,INDEX('rates'!$B$2:$C$522,MATCH(D1329,'rates'!$A$2:$A$522,1),MATCH(F1329&amp;"/INR",'rates'!$B$1:$C$1,0)))</f>
        <v>1</v>
      </c>
      <c r="N1329">
        <f t="shared" si="106"/>
        <v>4984018</v>
      </c>
      <c r="O1329">
        <f t="shared" si="107"/>
        <v>0</v>
      </c>
      <c r="P1329">
        <f t="shared" si="108"/>
        <v>0</v>
      </c>
      <c r="Q1329">
        <f t="shared" si="110"/>
        <v>-1</v>
      </c>
      <c r="R1329" t="str">
        <f t="shared" si="109"/>
        <v>Not open</v>
      </c>
    </row>
    <row r="1330" spans="1:18" x14ac:dyDescent="0.3">
      <c r="A1330" t="s">
        <v>1518</v>
      </c>
      <c r="B1330" t="s">
        <v>484</v>
      </c>
      <c r="C1330" t="s">
        <v>560</v>
      </c>
      <c r="D1330" s="1">
        <v>45299</v>
      </c>
      <c r="E1330" s="1">
        <v>45359</v>
      </c>
      <c r="F1330" t="s">
        <v>31</v>
      </c>
      <c r="G1330">
        <v>50818.76</v>
      </c>
      <c r="H1330" s="1">
        <v>45376</v>
      </c>
      <c r="I1330" t="s">
        <v>555</v>
      </c>
      <c r="J1330" t="s">
        <v>573</v>
      </c>
      <c r="K1330">
        <v>91.426000000000002</v>
      </c>
      <c r="L1330">
        <v>50818.76</v>
      </c>
      <c r="M1330">
        <f>IF(F1330="INR",1,INDEX('rates'!$B$2:$C$522,MATCH(D1330,'rates'!$A$2:$A$522,1),MATCH(F1330&amp;"/INR",'rates'!$B$1:$C$1,0)))</f>
        <v>91.243499999999997</v>
      </c>
      <c r="N1330">
        <f t="shared" si="106"/>
        <v>4636881.5280600004</v>
      </c>
      <c r="O1330">
        <f t="shared" si="107"/>
        <v>0</v>
      </c>
      <c r="P1330">
        <f t="shared" si="108"/>
        <v>0</v>
      </c>
      <c r="Q1330">
        <f t="shared" si="110"/>
        <v>17</v>
      </c>
      <c r="R1330" t="str">
        <f t="shared" si="109"/>
        <v>Not open</v>
      </c>
    </row>
    <row r="1331" spans="1:18" x14ac:dyDescent="0.3">
      <c r="A1331" t="s">
        <v>1519</v>
      </c>
      <c r="B1331" t="s">
        <v>516</v>
      </c>
      <c r="C1331" t="s">
        <v>560</v>
      </c>
      <c r="D1331" s="1">
        <v>45299</v>
      </c>
      <c r="E1331" s="1">
        <v>45359</v>
      </c>
      <c r="F1331" t="s">
        <v>13</v>
      </c>
      <c r="G1331">
        <v>4445166</v>
      </c>
      <c r="H1331" s="1">
        <v>45368</v>
      </c>
      <c r="I1331" t="s">
        <v>555</v>
      </c>
      <c r="J1331" t="s">
        <v>556</v>
      </c>
      <c r="L1331">
        <v>4445166</v>
      </c>
      <c r="M1331">
        <f>IF(F1331="INR",1,INDEX('rates'!$B$2:$C$522,MATCH(D1331,'rates'!$A$2:$A$522,1),MATCH(F1331&amp;"/INR",'rates'!$B$1:$C$1,0)))</f>
        <v>1</v>
      </c>
      <c r="N1331">
        <f t="shared" si="106"/>
        <v>4445166</v>
      </c>
      <c r="O1331">
        <f t="shared" si="107"/>
        <v>0</v>
      </c>
      <c r="P1331">
        <f t="shared" si="108"/>
        <v>0</v>
      </c>
      <c r="Q1331">
        <f t="shared" si="110"/>
        <v>9</v>
      </c>
      <c r="R1331" t="str">
        <f t="shared" si="109"/>
        <v>Not open</v>
      </c>
    </row>
    <row r="1332" spans="1:18" x14ac:dyDescent="0.3">
      <c r="A1332" t="s">
        <v>1520</v>
      </c>
      <c r="B1332" t="s">
        <v>134</v>
      </c>
      <c r="C1332" t="s">
        <v>575</v>
      </c>
      <c r="D1332" s="1">
        <v>45300</v>
      </c>
      <c r="E1332" s="1">
        <v>45390</v>
      </c>
      <c r="F1332" t="s">
        <v>36</v>
      </c>
      <c r="G1332">
        <v>53226.01</v>
      </c>
      <c r="H1332" s="1">
        <v>45397</v>
      </c>
      <c r="I1332" t="s">
        <v>555</v>
      </c>
      <c r="J1332" t="s">
        <v>556</v>
      </c>
      <c r="L1332">
        <v>53226.01</v>
      </c>
      <c r="M1332">
        <f>IF(F1332="INR",1,INDEX('rates'!$B$2:$C$522,MATCH(D1332,'rates'!$A$2:$A$522,1),MATCH(F1332&amp;"/INR",'rates'!$B$1:$C$1,0)))</f>
        <v>83.09</v>
      </c>
      <c r="N1332">
        <f t="shared" si="106"/>
        <v>4422549.1709000003</v>
      </c>
      <c r="O1332">
        <f t="shared" si="107"/>
        <v>0</v>
      </c>
      <c r="P1332">
        <f t="shared" si="108"/>
        <v>0</v>
      </c>
      <c r="Q1332">
        <f t="shared" si="110"/>
        <v>7</v>
      </c>
      <c r="R1332" t="str">
        <f t="shared" si="109"/>
        <v>Not open</v>
      </c>
    </row>
    <row r="1333" spans="1:18" x14ac:dyDescent="0.3">
      <c r="A1333" t="s">
        <v>1521</v>
      </c>
      <c r="B1333" t="s">
        <v>352</v>
      </c>
      <c r="C1333" t="s">
        <v>554</v>
      </c>
      <c r="D1333" s="1">
        <v>45300</v>
      </c>
      <c r="E1333" s="1">
        <v>45345</v>
      </c>
      <c r="F1333" t="s">
        <v>36</v>
      </c>
      <c r="G1333">
        <v>42714.45</v>
      </c>
      <c r="H1333" s="1">
        <v>45372</v>
      </c>
      <c r="I1333" t="s">
        <v>555</v>
      </c>
      <c r="J1333" t="s">
        <v>573</v>
      </c>
      <c r="K1333">
        <v>83.297700000000006</v>
      </c>
      <c r="L1333">
        <v>42714.45</v>
      </c>
      <c r="M1333">
        <f>IF(F1333="INR",1,INDEX('rates'!$B$2:$C$522,MATCH(D1333,'rates'!$A$2:$A$522,1),MATCH(F1333&amp;"/INR",'rates'!$B$1:$C$1,0)))</f>
        <v>83.09</v>
      </c>
      <c r="N1333">
        <f t="shared" si="106"/>
        <v>3549143.6505</v>
      </c>
      <c r="O1333">
        <f t="shared" si="107"/>
        <v>0</v>
      </c>
      <c r="P1333">
        <f t="shared" si="108"/>
        <v>0</v>
      </c>
      <c r="Q1333">
        <f t="shared" si="110"/>
        <v>27</v>
      </c>
      <c r="R1333" t="str">
        <f t="shared" si="109"/>
        <v>Not open</v>
      </c>
    </row>
    <row r="1334" spans="1:18" x14ac:dyDescent="0.3">
      <c r="A1334" t="s">
        <v>1522</v>
      </c>
      <c r="B1334" t="s">
        <v>368</v>
      </c>
      <c r="C1334" t="s">
        <v>566</v>
      </c>
      <c r="D1334" s="1">
        <v>45300</v>
      </c>
      <c r="E1334" s="1">
        <v>45360</v>
      </c>
      <c r="F1334" t="s">
        <v>36</v>
      </c>
      <c r="G1334">
        <v>148883.59</v>
      </c>
      <c r="H1334" s="1">
        <v>45366</v>
      </c>
      <c r="I1334" t="s">
        <v>555</v>
      </c>
      <c r="J1334" t="s">
        <v>573</v>
      </c>
      <c r="K1334">
        <v>83.367000000000004</v>
      </c>
      <c r="L1334">
        <v>148883.59</v>
      </c>
      <c r="M1334">
        <f>IF(F1334="INR",1,INDEX('rates'!$B$2:$C$522,MATCH(D1334,'rates'!$A$2:$A$522,1),MATCH(F1334&amp;"/INR",'rates'!$B$1:$C$1,0)))</f>
        <v>83.09</v>
      </c>
      <c r="N1334">
        <f t="shared" si="106"/>
        <v>12370737.493100001</v>
      </c>
      <c r="O1334">
        <f t="shared" si="107"/>
        <v>0</v>
      </c>
      <c r="P1334">
        <f t="shared" si="108"/>
        <v>0</v>
      </c>
      <c r="Q1334">
        <f t="shared" si="110"/>
        <v>6</v>
      </c>
      <c r="R1334" t="str">
        <f t="shared" si="109"/>
        <v>Not open</v>
      </c>
    </row>
    <row r="1335" spans="1:18" x14ac:dyDescent="0.3">
      <c r="A1335" t="s">
        <v>1523</v>
      </c>
      <c r="B1335" t="s">
        <v>394</v>
      </c>
      <c r="C1335" t="s">
        <v>566</v>
      </c>
      <c r="D1335" s="1">
        <v>45300</v>
      </c>
      <c r="E1335" s="1">
        <v>45360</v>
      </c>
      <c r="F1335" t="s">
        <v>31</v>
      </c>
      <c r="G1335">
        <v>62669.37</v>
      </c>
      <c r="H1335" s="1">
        <v>45361</v>
      </c>
      <c r="I1335" t="s">
        <v>555</v>
      </c>
      <c r="J1335" t="s">
        <v>556</v>
      </c>
      <c r="L1335">
        <v>62669.37</v>
      </c>
      <c r="M1335">
        <f>IF(F1335="INR",1,INDEX('rates'!$B$2:$C$522,MATCH(D1335,'rates'!$A$2:$A$522,1),MATCH(F1335&amp;"/INR",'rates'!$B$1:$C$1,0)))</f>
        <v>90.858900000000006</v>
      </c>
      <c r="N1335">
        <f t="shared" si="106"/>
        <v>5694070.0218930002</v>
      </c>
      <c r="O1335">
        <f t="shared" si="107"/>
        <v>0</v>
      </c>
      <c r="P1335">
        <f t="shared" si="108"/>
        <v>0</v>
      </c>
      <c r="Q1335">
        <f t="shared" si="110"/>
        <v>1</v>
      </c>
      <c r="R1335" t="str">
        <f t="shared" si="109"/>
        <v>Not open</v>
      </c>
    </row>
    <row r="1336" spans="1:18" x14ac:dyDescent="0.3">
      <c r="A1336" t="s">
        <v>1524</v>
      </c>
      <c r="B1336" t="s">
        <v>454</v>
      </c>
      <c r="C1336" t="s">
        <v>575</v>
      </c>
      <c r="D1336" s="1">
        <v>45300</v>
      </c>
      <c r="E1336" s="1">
        <v>45360</v>
      </c>
      <c r="F1336" t="s">
        <v>13</v>
      </c>
      <c r="G1336">
        <v>10887177</v>
      </c>
      <c r="H1336" s="1">
        <v>45363</v>
      </c>
      <c r="I1336" t="s">
        <v>555</v>
      </c>
      <c r="J1336" t="s">
        <v>556</v>
      </c>
      <c r="L1336">
        <v>10887177</v>
      </c>
      <c r="M1336">
        <f>IF(F1336="INR",1,INDEX('rates'!$B$2:$C$522,MATCH(D1336,'rates'!$A$2:$A$522,1),MATCH(F1336&amp;"/INR",'rates'!$B$1:$C$1,0)))</f>
        <v>1</v>
      </c>
      <c r="N1336">
        <f t="shared" si="106"/>
        <v>10887177</v>
      </c>
      <c r="O1336">
        <f t="shared" si="107"/>
        <v>0</v>
      </c>
      <c r="P1336">
        <f t="shared" si="108"/>
        <v>0</v>
      </c>
      <c r="Q1336">
        <f t="shared" si="110"/>
        <v>3</v>
      </c>
      <c r="R1336" t="str">
        <f t="shared" si="109"/>
        <v>Not open</v>
      </c>
    </row>
    <row r="1337" spans="1:18" x14ac:dyDescent="0.3">
      <c r="A1337" t="s">
        <v>1525</v>
      </c>
      <c r="B1337" t="s">
        <v>49</v>
      </c>
      <c r="C1337" t="s">
        <v>558</v>
      </c>
      <c r="D1337" s="1">
        <v>45301</v>
      </c>
      <c r="E1337" s="1">
        <v>45346</v>
      </c>
      <c r="F1337" t="s">
        <v>13</v>
      </c>
      <c r="G1337">
        <v>5584436</v>
      </c>
      <c r="H1337" s="1">
        <v>45355</v>
      </c>
      <c r="I1337" t="s">
        <v>555</v>
      </c>
      <c r="J1337" t="s">
        <v>556</v>
      </c>
      <c r="L1337">
        <v>5584436</v>
      </c>
      <c r="M1337">
        <f>IF(F1337="INR",1,INDEX('rates'!$B$2:$C$522,MATCH(D1337,'rates'!$A$2:$A$522,1),MATCH(F1337&amp;"/INR",'rates'!$B$1:$C$1,0)))</f>
        <v>1</v>
      </c>
      <c r="N1337">
        <f t="shared" si="106"/>
        <v>5584436</v>
      </c>
      <c r="O1337">
        <f t="shared" si="107"/>
        <v>0</v>
      </c>
      <c r="P1337">
        <f t="shared" si="108"/>
        <v>0</v>
      </c>
      <c r="Q1337">
        <f t="shared" si="110"/>
        <v>9</v>
      </c>
      <c r="R1337" t="str">
        <f t="shared" si="109"/>
        <v>Not open</v>
      </c>
    </row>
    <row r="1338" spans="1:18" x14ac:dyDescent="0.3">
      <c r="A1338" t="s">
        <v>1526</v>
      </c>
      <c r="B1338" t="s">
        <v>126</v>
      </c>
      <c r="C1338" t="s">
        <v>558</v>
      </c>
      <c r="D1338" s="1">
        <v>45301</v>
      </c>
      <c r="E1338" s="1">
        <v>45346</v>
      </c>
      <c r="F1338" t="s">
        <v>13</v>
      </c>
      <c r="G1338">
        <v>5134748</v>
      </c>
      <c r="H1338" s="1">
        <v>45376</v>
      </c>
      <c r="I1338" t="s">
        <v>555</v>
      </c>
      <c r="J1338" t="s">
        <v>556</v>
      </c>
      <c r="L1338">
        <v>5134748</v>
      </c>
      <c r="M1338">
        <f>IF(F1338="INR",1,INDEX('rates'!$B$2:$C$522,MATCH(D1338,'rates'!$A$2:$A$522,1),MATCH(F1338&amp;"/INR",'rates'!$B$1:$C$1,0)))</f>
        <v>1</v>
      </c>
      <c r="N1338">
        <f t="shared" si="106"/>
        <v>5134748</v>
      </c>
      <c r="O1338">
        <f t="shared" si="107"/>
        <v>0</v>
      </c>
      <c r="P1338">
        <f t="shared" si="108"/>
        <v>0</v>
      </c>
      <c r="Q1338">
        <f t="shared" si="110"/>
        <v>30</v>
      </c>
      <c r="R1338" t="str">
        <f t="shared" si="109"/>
        <v>Not open</v>
      </c>
    </row>
    <row r="1339" spans="1:18" x14ac:dyDescent="0.3">
      <c r="A1339" t="s">
        <v>1527</v>
      </c>
      <c r="B1339" t="s">
        <v>218</v>
      </c>
      <c r="C1339" t="s">
        <v>566</v>
      </c>
      <c r="D1339" s="1">
        <v>45301</v>
      </c>
      <c r="E1339" s="1">
        <v>45391</v>
      </c>
      <c r="F1339" t="s">
        <v>36</v>
      </c>
      <c r="G1339">
        <v>44610.21</v>
      </c>
      <c r="H1339" s="1">
        <v>45403</v>
      </c>
      <c r="I1339" t="s">
        <v>555</v>
      </c>
      <c r="J1339" t="s">
        <v>573</v>
      </c>
      <c r="K1339">
        <v>83.424999999999997</v>
      </c>
      <c r="L1339">
        <v>44610.21</v>
      </c>
      <c r="M1339">
        <f>IF(F1339="INR",1,INDEX('rates'!$B$2:$C$522,MATCH(D1339,'rates'!$A$2:$A$522,1),MATCH(F1339&amp;"/INR",'rates'!$B$1:$C$1,0)))</f>
        <v>83.01</v>
      </c>
      <c r="N1339">
        <f t="shared" si="106"/>
        <v>3703093.5321</v>
      </c>
      <c r="O1339">
        <f t="shared" si="107"/>
        <v>0</v>
      </c>
      <c r="P1339">
        <f t="shared" si="108"/>
        <v>0</v>
      </c>
      <c r="Q1339">
        <f t="shared" si="110"/>
        <v>12</v>
      </c>
      <c r="R1339" t="str">
        <f t="shared" si="109"/>
        <v>Not open</v>
      </c>
    </row>
    <row r="1340" spans="1:18" x14ac:dyDescent="0.3">
      <c r="A1340" t="s">
        <v>1528</v>
      </c>
      <c r="B1340" t="s">
        <v>262</v>
      </c>
      <c r="C1340" t="s">
        <v>566</v>
      </c>
      <c r="D1340" s="1">
        <v>45301</v>
      </c>
      <c r="E1340" s="1">
        <v>45391</v>
      </c>
      <c r="F1340" t="s">
        <v>31</v>
      </c>
      <c r="G1340">
        <v>168149.27</v>
      </c>
      <c r="H1340" s="1">
        <v>45437</v>
      </c>
      <c r="I1340" t="s">
        <v>555</v>
      </c>
      <c r="J1340" t="s">
        <v>573</v>
      </c>
      <c r="K1340">
        <v>91.251900000000006</v>
      </c>
      <c r="L1340">
        <v>168149.27</v>
      </c>
      <c r="M1340">
        <f>IF(F1340="INR",1,INDEX('rates'!$B$2:$C$522,MATCH(D1340,'rates'!$A$2:$A$522,1),MATCH(F1340&amp;"/INR",'rates'!$B$1:$C$1,0)))</f>
        <v>90.978999999999999</v>
      </c>
      <c r="N1340">
        <f t="shared" si="106"/>
        <v>15298052.43533</v>
      </c>
      <c r="O1340">
        <f t="shared" si="107"/>
        <v>0</v>
      </c>
      <c r="P1340">
        <f t="shared" si="108"/>
        <v>0</v>
      </c>
      <c r="Q1340">
        <f t="shared" si="110"/>
        <v>46</v>
      </c>
      <c r="R1340" t="str">
        <f t="shared" si="109"/>
        <v>Not open</v>
      </c>
    </row>
    <row r="1341" spans="1:18" x14ac:dyDescent="0.3">
      <c r="A1341" t="s">
        <v>1529</v>
      </c>
      <c r="B1341" t="s">
        <v>310</v>
      </c>
      <c r="C1341" t="s">
        <v>558</v>
      </c>
      <c r="D1341" s="1">
        <v>45301</v>
      </c>
      <c r="E1341" s="1">
        <v>45361</v>
      </c>
      <c r="F1341" t="s">
        <v>31</v>
      </c>
      <c r="G1341">
        <v>39558.879999999997</v>
      </c>
      <c r="H1341" s="1">
        <v>45442</v>
      </c>
      <c r="I1341" t="s">
        <v>717</v>
      </c>
      <c r="J1341" t="s">
        <v>573</v>
      </c>
      <c r="K1341">
        <v>91.161000000000001</v>
      </c>
      <c r="L1341">
        <v>9421.58</v>
      </c>
      <c r="M1341">
        <f>IF(F1341="INR",1,INDEX('rates'!$B$2:$C$522,MATCH(D1341,'rates'!$A$2:$A$522,1),MATCH(F1341&amp;"/INR",'rates'!$B$1:$C$1,0)))</f>
        <v>90.978999999999999</v>
      </c>
      <c r="N1341">
        <f t="shared" si="106"/>
        <v>3599027.3435199996</v>
      </c>
      <c r="O1341">
        <f t="shared" si="107"/>
        <v>0</v>
      </c>
      <c r="P1341">
        <f t="shared" si="108"/>
        <v>0</v>
      </c>
      <c r="Q1341">
        <f t="shared" si="110"/>
        <v>81</v>
      </c>
      <c r="R1341" t="str">
        <f t="shared" si="109"/>
        <v>Not open</v>
      </c>
    </row>
    <row r="1342" spans="1:18" x14ac:dyDescent="0.3">
      <c r="A1342" t="s">
        <v>1530</v>
      </c>
      <c r="B1342" t="s">
        <v>516</v>
      </c>
      <c r="C1342" t="s">
        <v>560</v>
      </c>
      <c r="D1342" s="1">
        <v>45301</v>
      </c>
      <c r="E1342" s="1">
        <v>45361</v>
      </c>
      <c r="F1342" t="s">
        <v>13</v>
      </c>
      <c r="G1342">
        <v>16868143</v>
      </c>
      <c r="H1342" s="1">
        <v>45365</v>
      </c>
      <c r="I1342" t="s">
        <v>555</v>
      </c>
      <c r="J1342" t="s">
        <v>556</v>
      </c>
      <c r="L1342">
        <v>16868143</v>
      </c>
      <c r="M1342">
        <f>IF(F1342="INR",1,INDEX('rates'!$B$2:$C$522,MATCH(D1342,'rates'!$A$2:$A$522,1),MATCH(F1342&amp;"/INR",'rates'!$B$1:$C$1,0)))</f>
        <v>1</v>
      </c>
      <c r="N1342">
        <f t="shared" si="106"/>
        <v>16868143</v>
      </c>
      <c r="O1342">
        <f t="shared" si="107"/>
        <v>0</v>
      </c>
      <c r="P1342">
        <f t="shared" si="108"/>
        <v>0</v>
      </c>
      <c r="Q1342">
        <f t="shared" si="110"/>
        <v>4</v>
      </c>
      <c r="R1342" t="str">
        <f t="shared" si="109"/>
        <v>Not open</v>
      </c>
    </row>
    <row r="1343" spans="1:18" x14ac:dyDescent="0.3">
      <c r="A1343" t="s">
        <v>1531</v>
      </c>
      <c r="B1343" t="s">
        <v>204</v>
      </c>
      <c r="C1343" t="s">
        <v>575</v>
      </c>
      <c r="D1343" s="1">
        <v>45302</v>
      </c>
      <c r="E1343" s="1">
        <v>45362</v>
      </c>
      <c r="F1343" t="s">
        <v>13</v>
      </c>
      <c r="G1343">
        <v>4060971</v>
      </c>
      <c r="H1343" s="1">
        <v>45376</v>
      </c>
      <c r="I1343" t="s">
        <v>555</v>
      </c>
      <c r="J1343" t="s">
        <v>556</v>
      </c>
      <c r="L1343">
        <v>4060971</v>
      </c>
      <c r="M1343">
        <f>IF(F1343="INR",1,INDEX('rates'!$B$2:$C$522,MATCH(D1343,'rates'!$A$2:$A$522,1),MATCH(F1343&amp;"/INR",'rates'!$B$1:$C$1,0)))</f>
        <v>1</v>
      </c>
      <c r="N1343">
        <f t="shared" si="106"/>
        <v>4060971</v>
      </c>
      <c r="O1343">
        <f t="shared" si="107"/>
        <v>0</v>
      </c>
      <c r="P1343">
        <f t="shared" si="108"/>
        <v>0</v>
      </c>
      <c r="Q1343">
        <f t="shared" si="110"/>
        <v>14</v>
      </c>
      <c r="R1343" t="str">
        <f t="shared" si="109"/>
        <v>Not open</v>
      </c>
    </row>
    <row r="1344" spans="1:18" x14ac:dyDescent="0.3">
      <c r="A1344" t="s">
        <v>1532</v>
      </c>
      <c r="B1344" t="s">
        <v>140</v>
      </c>
      <c r="C1344" t="s">
        <v>554</v>
      </c>
      <c r="D1344" s="1">
        <v>45303</v>
      </c>
      <c r="E1344" s="1">
        <v>45363</v>
      </c>
      <c r="F1344" t="s">
        <v>13</v>
      </c>
      <c r="G1344">
        <v>4010360</v>
      </c>
      <c r="H1344" s="1">
        <v>45364</v>
      </c>
      <c r="I1344" t="s">
        <v>555</v>
      </c>
      <c r="J1344" t="s">
        <v>556</v>
      </c>
      <c r="L1344">
        <v>4010360</v>
      </c>
      <c r="M1344">
        <f>IF(F1344="INR",1,INDEX('rates'!$B$2:$C$522,MATCH(D1344,'rates'!$A$2:$A$522,1),MATCH(F1344&amp;"/INR",'rates'!$B$1:$C$1,0)))</f>
        <v>1</v>
      </c>
      <c r="N1344">
        <f t="shared" si="106"/>
        <v>4010360</v>
      </c>
      <c r="O1344">
        <f t="shared" si="107"/>
        <v>0</v>
      </c>
      <c r="P1344">
        <f t="shared" si="108"/>
        <v>0</v>
      </c>
      <c r="Q1344">
        <f t="shared" si="110"/>
        <v>1</v>
      </c>
      <c r="R1344" t="str">
        <f t="shared" si="109"/>
        <v>Not open</v>
      </c>
    </row>
    <row r="1345" spans="1:18" x14ac:dyDescent="0.3">
      <c r="A1345" t="s">
        <v>1533</v>
      </c>
      <c r="B1345" t="s">
        <v>394</v>
      </c>
      <c r="C1345" t="s">
        <v>566</v>
      </c>
      <c r="D1345" s="1">
        <v>45303</v>
      </c>
      <c r="E1345" s="1">
        <v>45363</v>
      </c>
      <c r="F1345" t="s">
        <v>31</v>
      </c>
      <c r="G1345">
        <v>102699.05</v>
      </c>
      <c r="H1345" s="1">
        <v>45364</v>
      </c>
      <c r="I1345" t="s">
        <v>555</v>
      </c>
      <c r="J1345" t="s">
        <v>556</v>
      </c>
      <c r="L1345">
        <v>102699.05</v>
      </c>
      <c r="M1345">
        <f>IF(F1345="INR",1,INDEX('rates'!$B$2:$C$522,MATCH(D1345,'rates'!$A$2:$A$522,1),MATCH(F1345&amp;"/INR",'rates'!$B$1:$C$1,0)))</f>
        <v>90.872</v>
      </c>
      <c r="N1345">
        <f t="shared" si="106"/>
        <v>9332468.0715999994</v>
      </c>
      <c r="O1345">
        <f t="shared" si="107"/>
        <v>0</v>
      </c>
      <c r="P1345">
        <f t="shared" si="108"/>
        <v>0</v>
      </c>
      <c r="Q1345">
        <f t="shared" ref="Q1345:Q1381" si="111">IF(H1345="","",H1345-E1345)</f>
        <v>1</v>
      </c>
      <c r="R1345" t="str">
        <f t="shared" si="109"/>
        <v>Not open</v>
      </c>
    </row>
    <row r="1346" spans="1:18" x14ac:dyDescent="0.3">
      <c r="A1346" t="s">
        <v>1534</v>
      </c>
      <c r="B1346" t="s">
        <v>476</v>
      </c>
      <c r="C1346" t="s">
        <v>566</v>
      </c>
      <c r="D1346" s="1">
        <v>45303</v>
      </c>
      <c r="E1346" s="1">
        <v>45348</v>
      </c>
      <c r="F1346" t="s">
        <v>13</v>
      </c>
      <c r="G1346">
        <v>8674648</v>
      </c>
      <c r="H1346" s="1"/>
      <c r="I1346" t="s">
        <v>717</v>
      </c>
      <c r="J1346" t="s">
        <v>556</v>
      </c>
      <c r="L1346">
        <v>0</v>
      </c>
      <c r="M1346">
        <f>IF(F1346="INR",1,INDEX('rates'!$B$2:$C$522,MATCH(D1346,'rates'!$A$2:$A$522,1),MATCH(F1346&amp;"/INR",'rates'!$B$1:$C$1,0)))</f>
        <v>1</v>
      </c>
      <c r="N1346">
        <f t="shared" ref="N1346:N1409" si="112">G1346*M1346</f>
        <v>8674648</v>
      </c>
      <c r="O1346">
        <f t="shared" ref="O1346:O1409" si="113">IF(OR(I1346="OPEN",I1346="PARTIALLY PAID"),(G1346-L1346)*M1346,0)</f>
        <v>0</v>
      </c>
      <c r="P1346">
        <f t="shared" ref="P1346:P1409" si="114">IF(O1346&gt;0,MAX(0,DATE(2025,3,31)-E1346),0)</f>
        <v>0</v>
      </c>
      <c r="Q1346" t="str">
        <f t="shared" si="111"/>
        <v/>
      </c>
      <c r="R1346" t="str">
        <f t="shared" ref="R1346:R1409" si="115">IF(O1346=0,"Not open",IF(P1346=0,"Not yet due",IF(P1346&lt;=30,"1-30",IF(P1346&lt;=60,"31-60",IF(P1346&lt;=90,"61-90","90+")))))</f>
        <v>Not open</v>
      </c>
    </row>
    <row r="1347" spans="1:18" x14ac:dyDescent="0.3">
      <c r="A1347" t="s">
        <v>1535</v>
      </c>
      <c r="B1347" t="s">
        <v>81</v>
      </c>
      <c r="C1347" t="s">
        <v>575</v>
      </c>
      <c r="D1347" s="1">
        <v>45304</v>
      </c>
      <c r="E1347" s="1">
        <v>45334</v>
      </c>
      <c r="F1347" t="s">
        <v>13</v>
      </c>
      <c r="G1347">
        <v>2201748</v>
      </c>
      <c r="H1347" s="1">
        <v>45349</v>
      </c>
      <c r="I1347" t="s">
        <v>555</v>
      </c>
      <c r="J1347" t="s">
        <v>556</v>
      </c>
      <c r="L1347">
        <v>2201748</v>
      </c>
      <c r="M1347">
        <f>IF(F1347="INR",1,INDEX('rates'!$B$2:$C$522,MATCH(D1347,'rates'!$A$2:$A$522,1),MATCH(F1347&amp;"/INR",'rates'!$B$1:$C$1,0)))</f>
        <v>1</v>
      </c>
      <c r="N1347">
        <f t="shared" si="112"/>
        <v>2201748</v>
      </c>
      <c r="O1347">
        <f t="shared" si="113"/>
        <v>0</v>
      </c>
      <c r="P1347">
        <f t="shared" si="114"/>
        <v>0</v>
      </c>
      <c r="Q1347">
        <f t="shared" si="111"/>
        <v>15</v>
      </c>
      <c r="R1347" t="str">
        <f t="shared" si="115"/>
        <v>Not open</v>
      </c>
    </row>
    <row r="1348" spans="1:18" x14ac:dyDescent="0.3">
      <c r="A1348" t="s">
        <v>1536</v>
      </c>
      <c r="B1348" t="s">
        <v>109</v>
      </c>
      <c r="C1348" t="s">
        <v>554</v>
      </c>
      <c r="D1348" s="1">
        <v>45304</v>
      </c>
      <c r="E1348" s="1">
        <v>45349</v>
      </c>
      <c r="F1348" t="s">
        <v>13</v>
      </c>
      <c r="G1348">
        <v>3954057</v>
      </c>
      <c r="H1348" s="1">
        <v>45351</v>
      </c>
      <c r="I1348" t="s">
        <v>555</v>
      </c>
      <c r="J1348" t="s">
        <v>556</v>
      </c>
      <c r="L1348">
        <v>3954057</v>
      </c>
      <c r="M1348">
        <f>IF(F1348="INR",1,INDEX('rates'!$B$2:$C$522,MATCH(D1348,'rates'!$A$2:$A$522,1),MATCH(F1348&amp;"/INR",'rates'!$B$1:$C$1,0)))</f>
        <v>1</v>
      </c>
      <c r="N1348">
        <f t="shared" si="112"/>
        <v>3954057</v>
      </c>
      <c r="O1348">
        <f t="shared" si="113"/>
        <v>0</v>
      </c>
      <c r="P1348">
        <f t="shared" si="114"/>
        <v>0</v>
      </c>
      <c r="Q1348">
        <f t="shared" si="111"/>
        <v>2</v>
      </c>
      <c r="R1348" t="str">
        <f t="shared" si="115"/>
        <v>Not open</v>
      </c>
    </row>
    <row r="1349" spans="1:18" x14ac:dyDescent="0.3">
      <c r="A1349" t="s">
        <v>1537</v>
      </c>
      <c r="B1349" t="s">
        <v>117</v>
      </c>
      <c r="C1349" t="s">
        <v>554</v>
      </c>
      <c r="D1349" s="1">
        <v>45304</v>
      </c>
      <c r="E1349" s="1">
        <v>45364</v>
      </c>
      <c r="F1349" t="s">
        <v>13</v>
      </c>
      <c r="G1349">
        <v>4433099</v>
      </c>
      <c r="H1349" s="1">
        <v>45376</v>
      </c>
      <c r="I1349" t="s">
        <v>555</v>
      </c>
      <c r="J1349" t="s">
        <v>556</v>
      </c>
      <c r="L1349">
        <v>4433099</v>
      </c>
      <c r="M1349">
        <f>IF(F1349="INR",1,INDEX('rates'!$B$2:$C$522,MATCH(D1349,'rates'!$A$2:$A$522,1),MATCH(F1349&amp;"/INR",'rates'!$B$1:$C$1,0)))</f>
        <v>1</v>
      </c>
      <c r="N1349">
        <f t="shared" si="112"/>
        <v>4433099</v>
      </c>
      <c r="O1349">
        <f t="shared" si="113"/>
        <v>0</v>
      </c>
      <c r="P1349">
        <f t="shared" si="114"/>
        <v>0</v>
      </c>
      <c r="Q1349">
        <f t="shared" si="111"/>
        <v>12</v>
      </c>
      <c r="R1349" t="str">
        <f t="shared" si="115"/>
        <v>Not open</v>
      </c>
    </row>
    <row r="1350" spans="1:18" x14ac:dyDescent="0.3">
      <c r="A1350" t="s">
        <v>1538</v>
      </c>
      <c r="B1350" t="s">
        <v>152</v>
      </c>
      <c r="C1350" t="s">
        <v>566</v>
      </c>
      <c r="D1350" s="1">
        <v>45304</v>
      </c>
      <c r="E1350" s="1">
        <v>45364</v>
      </c>
      <c r="F1350" t="s">
        <v>13</v>
      </c>
      <c r="G1350">
        <v>10531475</v>
      </c>
      <c r="H1350" s="1">
        <v>45370</v>
      </c>
      <c r="I1350" t="s">
        <v>555</v>
      </c>
      <c r="J1350" t="s">
        <v>556</v>
      </c>
      <c r="L1350">
        <v>10531475</v>
      </c>
      <c r="M1350">
        <f>IF(F1350="INR",1,INDEX('rates'!$B$2:$C$522,MATCH(D1350,'rates'!$A$2:$A$522,1),MATCH(F1350&amp;"/INR",'rates'!$B$1:$C$1,0)))</f>
        <v>1</v>
      </c>
      <c r="N1350">
        <f t="shared" si="112"/>
        <v>10531475</v>
      </c>
      <c r="O1350">
        <f t="shared" si="113"/>
        <v>0</v>
      </c>
      <c r="P1350">
        <f t="shared" si="114"/>
        <v>0</v>
      </c>
      <c r="Q1350">
        <f t="shared" si="111"/>
        <v>6</v>
      </c>
      <c r="R1350" t="str">
        <f t="shared" si="115"/>
        <v>Not open</v>
      </c>
    </row>
    <row r="1351" spans="1:18" x14ac:dyDescent="0.3">
      <c r="A1351" t="s">
        <v>1539</v>
      </c>
      <c r="B1351" t="s">
        <v>236</v>
      </c>
      <c r="C1351" t="s">
        <v>558</v>
      </c>
      <c r="D1351" s="1">
        <v>45304</v>
      </c>
      <c r="E1351" s="1">
        <v>45394</v>
      </c>
      <c r="F1351" t="s">
        <v>13</v>
      </c>
      <c r="G1351">
        <v>3869285</v>
      </c>
      <c r="H1351" s="1">
        <v>45407</v>
      </c>
      <c r="I1351" t="s">
        <v>555</v>
      </c>
      <c r="J1351" t="s">
        <v>556</v>
      </c>
      <c r="L1351">
        <v>3869285</v>
      </c>
      <c r="M1351">
        <f>IF(F1351="INR",1,INDEX('rates'!$B$2:$C$522,MATCH(D1351,'rates'!$A$2:$A$522,1),MATCH(F1351&amp;"/INR",'rates'!$B$1:$C$1,0)))</f>
        <v>1</v>
      </c>
      <c r="N1351">
        <f t="shared" si="112"/>
        <v>3869285</v>
      </c>
      <c r="O1351">
        <f t="shared" si="113"/>
        <v>0</v>
      </c>
      <c r="P1351">
        <f t="shared" si="114"/>
        <v>0</v>
      </c>
      <c r="Q1351">
        <f t="shared" si="111"/>
        <v>13</v>
      </c>
      <c r="R1351" t="str">
        <f t="shared" si="115"/>
        <v>Not open</v>
      </c>
    </row>
    <row r="1352" spans="1:18" x14ac:dyDescent="0.3">
      <c r="A1352" t="s">
        <v>1540</v>
      </c>
      <c r="B1352" t="s">
        <v>238</v>
      </c>
      <c r="C1352" t="s">
        <v>566</v>
      </c>
      <c r="D1352" s="1">
        <v>45304</v>
      </c>
      <c r="E1352" s="1">
        <v>45364</v>
      </c>
      <c r="F1352" t="s">
        <v>31</v>
      </c>
      <c r="G1352">
        <v>154215.67000000001</v>
      </c>
      <c r="H1352" s="1">
        <v>45401</v>
      </c>
      <c r="I1352" t="s">
        <v>555</v>
      </c>
      <c r="J1352" t="s">
        <v>573</v>
      </c>
      <c r="K1352">
        <v>91.053700000000006</v>
      </c>
      <c r="L1352">
        <v>154215.67000000001</v>
      </c>
      <c r="M1352">
        <f>IF(F1352="INR",1,INDEX('rates'!$B$2:$C$522,MATCH(D1352,'rates'!$A$2:$A$522,1),MATCH(F1352&amp;"/INR",'rates'!$B$1:$C$1,0)))</f>
        <v>90.872</v>
      </c>
      <c r="N1352">
        <f t="shared" si="112"/>
        <v>14013886.364240002</v>
      </c>
      <c r="O1352">
        <f t="shared" si="113"/>
        <v>0</v>
      </c>
      <c r="P1352">
        <f t="shared" si="114"/>
        <v>0</v>
      </c>
      <c r="Q1352">
        <f t="shared" si="111"/>
        <v>37</v>
      </c>
      <c r="R1352" t="str">
        <f t="shared" si="115"/>
        <v>Not open</v>
      </c>
    </row>
    <row r="1353" spans="1:18" x14ac:dyDescent="0.3">
      <c r="A1353" t="s">
        <v>1541</v>
      </c>
      <c r="B1353" t="s">
        <v>256</v>
      </c>
      <c r="C1353" t="s">
        <v>554</v>
      </c>
      <c r="D1353" s="1">
        <v>45304</v>
      </c>
      <c r="E1353" s="1">
        <v>45349</v>
      </c>
      <c r="F1353" t="s">
        <v>13</v>
      </c>
      <c r="G1353">
        <v>2890448</v>
      </c>
      <c r="H1353" s="1">
        <v>45345</v>
      </c>
      <c r="I1353" t="s">
        <v>555</v>
      </c>
      <c r="J1353" t="s">
        <v>556</v>
      </c>
      <c r="L1353">
        <v>2890448</v>
      </c>
      <c r="M1353">
        <f>IF(F1353="INR",1,INDEX('rates'!$B$2:$C$522,MATCH(D1353,'rates'!$A$2:$A$522,1),MATCH(F1353&amp;"/INR",'rates'!$B$1:$C$1,0)))</f>
        <v>1</v>
      </c>
      <c r="N1353">
        <f t="shared" si="112"/>
        <v>2890448</v>
      </c>
      <c r="O1353">
        <f t="shared" si="113"/>
        <v>0</v>
      </c>
      <c r="P1353">
        <f t="shared" si="114"/>
        <v>0</v>
      </c>
      <c r="Q1353">
        <f t="shared" si="111"/>
        <v>-4</v>
      </c>
      <c r="R1353" t="str">
        <f t="shared" si="115"/>
        <v>Not open</v>
      </c>
    </row>
    <row r="1354" spans="1:18" x14ac:dyDescent="0.3">
      <c r="A1354" t="s">
        <v>1542</v>
      </c>
      <c r="B1354" t="s">
        <v>272</v>
      </c>
      <c r="C1354" t="s">
        <v>575</v>
      </c>
      <c r="D1354" s="1">
        <v>45304</v>
      </c>
      <c r="E1354" s="1">
        <v>45349</v>
      </c>
      <c r="F1354" t="s">
        <v>13</v>
      </c>
      <c r="G1354">
        <v>2160737</v>
      </c>
      <c r="H1354" s="1">
        <v>45398</v>
      </c>
      <c r="I1354" t="s">
        <v>555</v>
      </c>
      <c r="J1354" t="s">
        <v>556</v>
      </c>
      <c r="L1354">
        <v>2160737</v>
      </c>
      <c r="M1354">
        <f>IF(F1354="INR",1,INDEX('rates'!$B$2:$C$522,MATCH(D1354,'rates'!$A$2:$A$522,1),MATCH(F1354&amp;"/INR",'rates'!$B$1:$C$1,0)))</f>
        <v>1</v>
      </c>
      <c r="N1354">
        <f t="shared" si="112"/>
        <v>2160737</v>
      </c>
      <c r="O1354">
        <f t="shared" si="113"/>
        <v>0</v>
      </c>
      <c r="P1354">
        <f t="shared" si="114"/>
        <v>0</v>
      </c>
      <c r="Q1354">
        <f t="shared" si="111"/>
        <v>49</v>
      </c>
      <c r="R1354" t="str">
        <f t="shared" si="115"/>
        <v>Not open</v>
      </c>
    </row>
    <row r="1355" spans="1:18" x14ac:dyDescent="0.3">
      <c r="A1355" t="s">
        <v>1543</v>
      </c>
      <c r="B1355" t="s">
        <v>368</v>
      </c>
      <c r="C1355" t="s">
        <v>566</v>
      </c>
      <c r="D1355" s="1">
        <v>45304</v>
      </c>
      <c r="E1355" s="1">
        <v>45364</v>
      </c>
      <c r="F1355" t="s">
        <v>36</v>
      </c>
      <c r="G1355">
        <v>49322.85</v>
      </c>
      <c r="H1355" s="1">
        <v>45385</v>
      </c>
      <c r="I1355" t="s">
        <v>555</v>
      </c>
      <c r="J1355" t="s">
        <v>556</v>
      </c>
      <c r="L1355">
        <v>49322.85</v>
      </c>
      <c r="M1355">
        <f>IF(F1355="INR",1,INDEX('rates'!$B$2:$C$522,MATCH(D1355,'rates'!$A$2:$A$522,1),MATCH(F1355&amp;"/INR",'rates'!$B$1:$C$1,0)))</f>
        <v>82.92</v>
      </c>
      <c r="N1355">
        <f t="shared" si="112"/>
        <v>4089850.7220000001</v>
      </c>
      <c r="O1355">
        <f t="shared" si="113"/>
        <v>0</v>
      </c>
      <c r="P1355">
        <f t="shared" si="114"/>
        <v>0</v>
      </c>
      <c r="Q1355">
        <f t="shared" si="111"/>
        <v>21</v>
      </c>
      <c r="R1355" t="str">
        <f t="shared" si="115"/>
        <v>Not open</v>
      </c>
    </row>
    <row r="1356" spans="1:18" x14ac:dyDescent="0.3">
      <c r="A1356" t="s">
        <v>1544</v>
      </c>
      <c r="B1356" t="s">
        <v>406</v>
      </c>
      <c r="C1356" t="s">
        <v>554</v>
      </c>
      <c r="D1356" s="1">
        <v>45304</v>
      </c>
      <c r="E1356" s="1">
        <v>45394</v>
      </c>
      <c r="F1356" t="s">
        <v>13</v>
      </c>
      <c r="G1356">
        <v>2024029</v>
      </c>
      <c r="H1356" s="1">
        <v>45398</v>
      </c>
      <c r="I1356" t="s">
        <v>555</v>
      </c>
      <c r="J1356" t="s">
        <v>556</v>
      </c>
      <c r="L1356">
        <v>2024029</v>
      </c>
      <c r="M1356">
        <f>IF(F1356="INR",1,INDEX('rates'!$B$2:$C$522,MATCH(D1356,'rates'!$A$2:$A$522,1),MATCH(F1356&amp;"/INR",'rates'!$B$1:$C$1,0)))</f>
        <v>1</v>
      </c>
      <c r="N1356">
        <f t="shared" si="112"/>
        <v>2024029</v>
      </c>
      <c r="O1356">
        <f t="shared" si="113"/>
        <v>0</v>
      </c>
      <c r="P1356">
        <f t="shared" si="114"/>
        <v>0</v>
      </c>
      <c r="Q1356">
        <f t="shared" si="111"/>
        <v>4</v>
      </c>
      <c r="R1356" t="str">
        <f t="shared" si="115"/>
        <v>Not open</v>
      </c>
    </row>
    <row r="1357" spans="1:18" x14ac:dyDescent="0.3">
      <c r="A1357" t="s">
        <v>1546</v>
      </c>
      <c r="B1357" t="s">
        <v>454</v>
      </c>
      <c r="C1357" t="s">
        <v>575</v>
      </c>
      <c r="D1357" s="1">
        <v>45304</v>
      </c>
      <c r="E1357" s="1">
        <v>45364</v>
      </c>
      <c r="F1357" t="s">
        <v>13</v>
      </c>
      <c r="G1357">
        <v>2286993</v>
      </c>
      <c r="H1357" s="1"/>
      <c r="I1357" t="s">
        <v>555</v>
      </c>
      <c r="J1357" t="s">
        <v>556</v>
      </c>
      <c r="L1357">
        <v>2286993</v>
      </c>
      <c r="M1357">
        <f>IF(F1357="INR",1,INDEX('rates'!$B$2:$C$522,MATCH(D1357,'rates'!$A$2:$A$522,1),MATCH(F1357&amp;"/INR",'rates'!$B$1:$C$1,0)))</f>
        <v>1</v>
      </c>
      <c r="N1357">
        <f t="shared" si="112"/>
        <v>2286993</v>
      </c>
      <c r="O1357">
        <f t="shared" si="113"/>
        <v>0</v>
      </c>
      <c r="P1357">
        <f t="shared" si="114"/>
        <v>0</v>
      </c>
      <c r="Q1357" t="str">
        <f t="shared" si="111"/>
        <v/>
      </c>
      <c r="R1357" t="str">
        <f t="shared" si="115"/>
        <v>Not open</v>
      </c>
    </row>
    <row r="1358" spans="1:18" x14ac:dyDescent="0.3">
      <c r="A1358" t="s">
        <v>1547</v>
      </c>
      <c r="B1358" t="s">
        <v>496</v>
      </c>
      <c r="C1358" t="s">
        <v>554</v>
      </c>
      <c r="D1358" s="1">
        <v>45304</v>
      </c>
      <c r="E1358" s="1">
        <v>45349</v>
      </c>
      <c r="F1358" t="s">
        <v>13</v>
      </c>
      <c r="G1358">
        <v>7021644</v>
      </c>
      <c r="H1358" s="1">
        <v>45351</v>
      </c>
      <c r="I1358" t="s">
        <v>555</v>
      </c>
      <c r="J1358" t="s">
        <v>556</v>
      </c>
      <c r="L1358">
        <v>7021644</v>
      </c>
      <c r="M1358">
        <f>IF(F1358="INR",1,INDEX('rates'!$B$2:$C$522,MATCH(D1358,'rates'!$A$2:$A$522,1),MATCH(F1358&amp;"/INR",'rates'!$B$1:$C$1,0)))</f>
        <v>1</v>
      </c>
      <c r="N1358">
        <f t="shared" si="112"/>
        <v>7021644</v>
      </c>
      <c r="O1358">
        <f t="shared" si="113"/>
        <v>0</v>
      </c>
      <c r="P1358">
        <f t="shared" si="114"/>
        <v>0</v>
      </c>
      <c r="Q1358">
        <f t="shared" si="111"/>
        <v>2</v>
      </c>
      <c r="R1358" t="str">
        <f t="shared" si="115"/>
        <v>Not open</v>
      </c>
    </row>
    <row r="1359" spans="1:18" x14ac:dyDescent="0.3">
      <c r="A1359" t="s">
        <v>1548</v>
      </c>
      <c r="B1359" t="s">
        <v>154</v>
      </c>
      <c r="C1359" t="s">
        <v>566</v>
      </c>
      <c r="D1359" s="1">
        <v>45306</v>
      </c>
      <c r="E1359" s="1">
        <v>45336</v>
      </c>
      <c r="F1359" t="s">
        <v>13</v>
      </c>
      <c r="G1359">
        <v>8274213</v>
      </c>
      <c r="H1359" s="1">
        <v>45334</v>
      </c>
      <c r="I1359" t="s">
        <v>555</v>
      </c>
      <c r="J1359" t="s">
        <v>556</v>
      </c>
      <c r="L1359">
        <v>8274213</v>
      </c>
      <c r="M1359">
        <f>IF(F1359="INR",1,INDEX('rates'!$B$2:$C$522,MATCH(D1359,'rates'!$A$2:$A$522,1),MATCH(F1359&amp;"/INR",'rates'!$B$1:$C$1,0)))</f>
        <v>1</v>
      </c>
      <c r="N1359">
        <f t="shared" si="112"/>
        <v>8274213</v>
      </c>
      <c r="O1359">
        <f t="shared" si="113"/>
        <v>0</v>
      </c>
      <c r="P1359">
        <f t="shared" si="114"/>
        <v>0</v>
      </c>
      <c r="Q1359">
        <f t="shared" si="111"/>
        <v>-2</v>
      </c>
      <c r="R1359" t="str">
        <f t="shared" si="115"/>
        <v>Not open</v>
      </c>
    </row>
    <row r="1360" spans="1:18" x14ac:dyDescent="0.3">
      <c r="A1360" t="s">
        <v>1549</v>
      </c>
      <c r="B1360" t="s">
        <v>420</v>
      </c>
      <c r="C1360" t="s">
        <v>575</v>
      </c>
      <c r="D1360" s="1">
        <v>45306</v>
      </c>
      <c r="E1360" s="1">
        <v>45336</v>
      </c>
      <c r="F1360" t="s">
        <v>13</v>
      </c>
      <c r="G1360">
        <v>6071020</v>
      </c>
      <c r="H1360" s="1">
        <v>45335</v>
      </c>
      <c r="I1360" t="s">
        <v>555</v>
      </c>
      <c r="J1360" t="s">
        <v>556</v>
      </c>
      <c r="L1360">
        <v>6071020</v>
      </c>
      <c r="M1360">
        <f>IF(F1360="INR",1,INDEX('rates'!$B$2:$C$522,MATCH(D1360,'rates'!$A$2:$A$522,1),MATCH(F1360&amp;"/INR",'rates'!$B$1:$C$1,0)))</f>
        <v>1</v>
      </c>
      <c r="N1360">
        <f t="shared" si="112"/>
        <v>6071020</v>
      </c>
      <c r="O1360">
        <f t="shared" si="113"/>
        <v>0</v>
      </c>
      <c r="P1360">
        <f t="shared" si="114"/>
        <v>0</v>
      </c>
      <c r="Q1360">
        <f t="shared" si="111"/>
        <v>-1</v>
      </c>
      <c r="R1360" t="str">
        <f t="shared" si="115"/>
        <v>Not open</v>
      </c>
    </row>
    <row r="1361" spans="1:18" x14ac:dyDescent="0.3">
      <c r="A1361" t="s">
        <v>1550</v>
      </c>
      <c r="B1361" t="s">
        <v>55</v>
      </c>
      <c r="C1361" t="s">
        <v>575</v>
      </c>
      <c r="D1361" s="1">
        <v>45307</v>
      </c>
      <c r="E1361" s="1">
        <v>45352</v>
      </c>
      <c r="F1361" t="s">
        <v>36</v>
      </c>
      <c r="G1361">
        <v>308770.63</v>
      </c>
      <c r="H1361" s="1">
        <v>45368</v>
      </c>
      <c r="I1361" t="s">
        <v>555</v>
      </c>
      <c r="J1361" t="s">
        <v>556</v>
      </c>
      <c r="L1361">
        <v>308770.63</v>
      </c>
      <c r="M1361">
        <f>IF(F1361="INR",1,INDEX('rates'!$B$2:$C$522,MATCH(D1361,'rates'!$A$2:$A$522,1),MATCH(F1361&amp;"/INR",'rates'!$B$1:$C$1,0)))</f>
        <v>83.05</v>
      </c>
      <c r="N1361">
        <f t="shared" si="112"/>
        <v>25643400.8215</v>
      </c>
      <c r="O1361">
        <f t="shared" si="113"/>
        <v>0</v>
      </c>
      <c r="P1361">
        <f t="shared" si="114"/>
        <v>0</v>
      </c>
      <c r="Q1361">
        <f t="shared" si="111"/>
        <v>16</v>
      </c>
      <c r="R1361" t="str">
        <f t="shared" si="115"/>
        <v>Not open</v>
      </c>
    </row>
    <row r="1362" spans="1:18" x14ac:dyDescent="0.3">
      <c r="A1362" t="s">
        <v>1551</v>
      </c>
      <c r="B1362" t="s">
        <v>72</v>
      </c>
      <c r="C1362" t="s">
        <v>560</v>
      </c>
      <c r="D1362" s="1">
        <v>45307</v>
      </c>
      <c r="E1362" s="1">
        <v>45397</v>
      </c>
      <c r="F1362" t="s">
        <v>31</v>
      </c>
      <c r="G1362">
        <v>44963.77</v>
      </c>
      <c r="H1362" s="1">
        <v>45425</v>
      </c>
      <c r="I1362" t="s">
        <v>555</v>
      </c>
      <c r="J1362" t="s">
        <v>556</v>
      </c>
      <c r="L1362">
        <v>44963.77</v>
      </c>
      <c r="M1362">
        <f>IF(F1362="INR",1,INDEX('rates'!$B$2:$C$522,MATCH(D1362,'rates'!$A$2:$A$522,1),MATCH(F1362&amp;"/INR",'rates'!$B$1:$C$1,0)))</f>
        <v>90.375</v>
      </c>
      <c r="N1362">
        <f t="shared" si="112"/>
        <v>4063600.7137499996</v>
      </c>
      <c r="O1362">
        <f t="shared" si="113"/>
        <v>0</v>
      </c>
      <c r="P1362">
        <f t="shared" si="114"/>
        <v>0</v>
      </c>
      <c r="Q1362">
        <f t="shared" si="111"/>
        <v>28</v>
      </c>
      <c r="R1362" t="str">
        <f t="shared" si="115"/>
        <v>Not open</v>
      </c>
    </row>
    <row r="1363" spans="1:18" x14ac:dyDescent="0.3">
      <c r="A1363" t="s">
        <v>1552</v>
      </c>
      <c r="B1363" t="s">
        <v>158</v>
      </c>
      <c r="C1363" t="s">
        <v>566</v>
      </c>
      <c r="D1363" s="1">
        <v>45307</v>
      </c>
      <c r="E1363" s="1">
        <v>45337</v>
      </c>
      <c r="F1363" t="s">
        <v>13</v>
      </c>
      <c r="G1363">
        <v>11568224</v>
      </c>
      <c r="H1363" s="1">
        <v>45342</v>
      </c>
      <c r="I1363" t="s">
        <v>555</v>
      </c>
      <c r="J1363" t="s">
        <v>556</v>
      </c>
      <c r="L1363">
        <v>11568224</v>
      </c>
      <c r="M1363">
        <f>IF(F1363="INR",1,INDEX('rates'!$B$2:$C$522,MATCH(D1363,'rates'!$A$2:$A$522,1),MATCH(F1363&amp;"/INR",'rates'!$B$1:$C$1,0)))</f>
        <v>1</v>
      </c>
      <c r="N1363">
        <f t="shared" si="112"/>
        <v>11568224</v>
      </c>
      <c r="O1363">
        <f t="shared" si="113"/>
        <v>0</v>
      </c>
      <c r="P1363">
        <f t="shared" si="114"/>
        <v>0</v>
      </c>
      <c r="Q1363">
        <f t="shared" si="111"/>
        <v>5</v>
      </c>
      <c r="R1363" t="str">
        <f t="shared" si="115"/>
        <v>Not open</v>
      </c>
    </row>
    <row r="1364" spans="1:18" x14ac:dyDescent="0.3">
      <c r="A1364" t="s">
        <v>1553</v>
      </c>
      <c r="B1364" t="s">
        <v>190</v>
      </c>
      <c r="C1364" t="s">
        <v>558</v>
      </c>
      <c r="D1364" s="1">
        <v>45307</v>
      </c>
      <c r="E1364" s="1">
        <v>45337</v>
      </c>
      <c r="F1364" t="s">
        <v>13</v>
      </c>
      <c r="G1364">
        <v>15838899</v>
      </c>
      <c r="H1364" s="1">
        <v>45366</v>
      </c>
      <c r="I1364" t="s">
        <v>555</v>
      </c>
      <c r="J1364" t="s">
        <v>556</v>
      </c>
      <c r="L1364">
        <v>15838899</v>
      </c>
      <c r="M1364">
        <f>IF(F1364="INR",1,INDEX('rates'!$B$2:$C$522,MATCH(D1364,'rates'!$A$2:$A$522,1),MATCH(F1364&amp;"/INR",'rates'!$B$1:$C$1,0)))</f>
        <v>1</v>
      </c>
      <c r="N1364">
        <f t="shared" si="112"/>
        <v>15838899</v>
      </c>
      <c r="O1364">
        <f t="shared" si="113"/>
        <v>0</v>
      </c>
      <c r="P1364">
        <f t="shared" si="114"/>
        <v>0</v>
      </c>
      <c r="Q1364">
        <f t="shared" si="111"/>
        <v>29</v>
      </c>
      <c r="R1364" t="str">
        <f t="shared" si="115"/>
        <v>Not open</v>
      </c>
    </row>
    <row r="1365" spans="1:18" x14ac:dyDescent="0.3">
      <c r="A1365" t="s">
        <v>1554</v>
      </c>
      <c r="B1365" t="s">
        <v>117</v>
      </c>
      <c r="C1365" t="s">
        <v>554</v>
      </c>
      <c r="D1365" s="1">
        <v>45308</v>
      </c>
      <c r="E1365" s="1">
        <v>45368</v>
      </c>
      <c r="F1365" t="s">
        <v>13</v>
      </c>
      <c r="G1365">
        <v>15524460</v>
      </c>
      <c r="H1365" s="1">
        <v>45378</v>
      </c>
      <c r="I1365" t="s">
        <v>555</v>
      </c>
      <c r="J1365" t="s">
        <v>556</v>
      </c>
      <c r="L1365">
        <v>15524460</v>
      </c>
      <c r="M1365">
        <f>IF(F1365="INR",1,INDEX('rates'!$B$2:$C$522,MATCH(D1365,'rates'!$A$2:$A$522,1),MATCH(F1365&amp;"/INR",'rates'!$B$1:$C$1,0)))</f>
        <v>1</v>
      </c>
      <c r="N1365">
        <f t="shared" si="112"/>
        <v>15524460</v>
      </c>
      <c r="O1365">
        <f t="shared" si="113"/>
        <v>0</v>
      </c>
      <c r="P1365">
        <f t="shared" si="114"/>
        <v>0</v>
      </c>
      <c r="Q1365">
        <f t="shared" si="111"/>
        <v>10</v>
      </c>
      <c r="R1365" t="str">
        <f t="shared" si="115"/>
        <v>Not open</v>
      </c>
    </row>
    <row r="1366" spans="1:18" x14ac:dyDescent="0.3">
      <c r="A1366" t="s">
        <v>1555</v>
      </c>
      <c r="B1366" t="s">
        <v>134</v>
      </c>
      <c r="C1366" t="s">
        <v>575</v>
      </c>
      <c r="D1366" s="1">
        <v>45308</v>
      </c>
      <c r="E1366" s="1">
        <v>45398</v>
      </c>
      <c r="F1366" t="s">
        <v>36</v>
      </c>
      <c r="G1366">
        <v>36854.11</v>
      </c>
      <c r="H1366" s="1">
        <v>45397</v>
      </c>
      <c r="I1366" t="s">
        <v>555</v>
      </c>
      <c r="J1366" t="s">
        <v>573</v>
      </c>
      <c r="K1366">
        <v>83.555700000000002</v>
      </c>
      <c r="L1366">
        <v>36854.11</v>
      </c>
      <c r="M1366">
        <f>IF(F1366="INR",1,INDEX('rates'!$B$2:$C$522,MATCH(D1366,'rates'!$A$2:$A$522,1),MATCH(F1366&amp;"/INR",'rates'!$B$1:$C$1,0)))</f>
        <v>83.14</v>
      </c>
      <c r="N1366">
        <f t="shared" si="112"/>
        <v>3064050.7053999999</v>
      </c>
      <c r="O1366">
        <f t="shared" si="113"/>
        <v>0</v>
      </c>
      <c r="P1366">
        <f t="shared" si="114"/>
        <v>0</v>
      </c>
      <c r="Q1366">
        <f t="shared" si="111"/>
        <v>-1</v>
      </c>
      <c r="R1366" t="str">
        <f t="shared" si="115"/>
        <v>Not open</v>
      </c>
    </row>
    <row r="1367" spans="1:18" x14ac:dyDescent="0.3">
      <c r="A1367" t="s">
        <v>1556</v>
      </c>
      <c r="B1367" t="s">
        <v>144</v>
      </c>
      <c r="C1367" t="s">
        <v>554</v>
      </c>
      <c r="D1367" s="1">
        <v>45308</v>
      </c>
      <c r="E1367" s="1">
        <v>45338</v>
      </c>
      <c r="F1367" t="s">
        <v>13</v>
      </c>
      <c r="G1367">
        <v>29595418</v>
      </c>
      <c r="H1367" s="1">
        <v>45348</v>
      </c>
      <c r="I1367" t="s">
        <v>555</v>
      </c>
      <c r="J1367" t="s">
        <v>556</v>
      </c>
      <c r="L1367">
        <v>29595418</v>
      </c>
      <c r="M1367">
        <f>IF(F1367="INR",1,INDEX('rates'!$B$2:$C$522,MATCH(D1367,'rates'!$A$2:$A$522,1),MATCH(F1367&amp;"/INR",'rates'!$B$1:$C$1,0)))</f>
        <v>1</v>
      </c>
      <c r="N1367">
        <f t="shared" si="112"/>
        <v>29595418</v>
      </c>
      <c r="O1367">
        <f t="shared" si="113"/>
        <v>0</v>
      </c>
      <c r="P1367">
        <f t="shared" si="114"/>
        <v>0</v>
      </c>
      <c r="Q1367">
        <f t="shared" si="111"/>
        <v>10</v>
      </c>
      <c r="R1367" t="str">
        <f t="shared" si="115"/>
        <v>Not open</v>
      </c>
    </row>
    <row r="1368" spans="1:18" x14ac:dyDescent="0.3">
      <c r="A1368" t="s">
        <v>1557</v>
      </c>
      <c r="B1368" t="s">
        <v>138</v>
      </c>
      <c r="C1368" t="s">
        <v>566</v>
      </c>
      <c r="D1368" s="1">
        <v>45309</v>
      </c>
      <c r="E1368" s="1">
        <v>45339</v>
      </c>
      <c r="F1368" t="s">
        <v>13</v>
      </c>
      <c r="G1368">
        <v>12080767</v>
      </c>
      <c r="H1368" s="1">
        <v>45334</v>
      </c>
      <c r="I1368" t="s">
        <v>555</v>
      </c>
      <c r="J1368" t="s">
        <v>556</v>
      </c>
      <c r="L1368">
        <v>12080767</v>
      </c>
      <c r="M1368">
        <f>IF(F1368="INR",1,INDEX('rates'!$B$2:$C$522,MATCH(D1368,'rates'!$A$2:$A$522,1),MATCH(F1368&amp;"/INR",'rates'!$B$1:$C$1,0)))</f>
        <v>1</v>
      </c>
      <c r="N1368">
        <f t="shared" si="112"/>
        <v>12080767</v>
      </c>
      <c r="O1368">
        <f t="shared" si="113"/>
        <v>0</v>
      </c>
      <c r="P1368">
        <f t="shared" si="114"/>
        <v>0</v>
      </c>
      <c r="Q1368">
        <f t="shared" si="111"/>
        <v>-5</v>
      </c>
      <c r="R1368" t="str">
        <f t="shared" si="115"/>
        <v>Not open</v>
      </c>
    </row>
    <row r="1369" spans="1:18" x14ac:dyDescent="0.3">
      <c r="A1369" t="s">
        <v>1558</v>
      </c>
      <c r="B1369" t="s">
        <v>332</v>
      </c>
      <c r="C1369" t="s">
        <v>566</v>
      </c>
      <c r="D1369" s="1">
        <v>45309</v>
      </c>
      <c r="E1369" s="1">
        <v>45369</v>
      </c>
      <c r="F1369" t="s">
        <v>36</v>
      </c>
      <c r="G1369">
        <v>99013.42</v>
      </c>
      <c r="H1369" s="1">
        <v>45370</v>
      </c>
      <c r="I1369" t="s">
        <v>555</v>
      </c>
      <c r="J1369" t="s">
        <v>556</v>
      </c>
      <c r="L1369">
        <v>99013.42</v>
      </c>
      <c r="M1369">
        <f>IF(F1369="INR",1,INDEX('rates'!$B$2:$C$522,MATCH(D1369,'rates'!$A$2:$A$522,1),MATCH(F1369&amp;"/INR",'rates'!$B$1:$C$1,0)))</f>
        <v>83.15</v>
      </c>
      <c r="N1369">
        <f t="shared" si="112"/>
        <v>8232965.8730000006</v>
      </c>
      <c r="O1369">
        <f t="shared" si="113"/>
        <v>0</v>
      </c>
      <c r="P1369">
        <f t="shared" si="114"/>
        <v>0</v>
      </c>
      <c r="Q1369">
        <f t="shared" si="111"/>
        <v>1</v>
      </c>
      <c r="R1369" t="str">
        <f t="shared" si="115"/>
        <v>Not open</v>
      </c>
    </row>
    <row r="1370" spans="1:18" x14ac:dyDescent="0.3">
      <c r="A1370" t="s">
        <v>1559</v>
      </c>
      <c r="B1370" t="s">
        <v>424</v>
      </c>
      <c r="C1370" t="s">
        <v>575</v>
      </c>
      <c r="D1370" s="1">
        <v>45309</v>
      </c>
      <c r="E1370" s="1">
        <v>45399</v>
      </c>
      <c r="F1370" t="s">
        <v>31</v>
      </c>
      <c r="G1370">
        <v>81728.77</v>
      </c>
      <c r="H1370" s="1">
        <v>45402</v>
      </c>
      <c r="I1370" t="s">
        <v>555</v>
      </c>
      <c r="J1370" t="s">
        <v>556</v>
      </c>
      <c r="L1370">
        <v>81728.77</v>
      </c>
      <c r="M1370">
        <f>IF(F1370="INR",1,INDEX('rates'!$B$2:$C$522,MATCH(D1370,'rates'!$A$2:$A$522,1),MATCH(F1370&amp;"/INR",'rates'!$B$1:$C$1,0)))</f>
        <v>90.325800000000001</v>
      </c>
      <c r="N1370">
        <f t="shared" si="112"/>
        <v>7382216.5332660004</v>
      </c>
      <c r="O1370">
        <f t="shared" si="113"/>
        <v>0</v>
      </c>
      <c r="P1370">
        <f t="shared" si="114"/>
        <v>0</v>
      </c>
      <c r="Q1370">
        <f t="shared" si="111"/>
        <v>3</v>
      </c>
      <c r="R1370" t="str">
        <f t="shared" si="115"/>
        <v>Not open</v>
      </c>
    </row>
    <row r="1371" spans="1:18" x14ac:dyDescent="0.3">
      <c r="A1371" t="s">
        <v>1560</v>
      </c>
      <c r="B1371" t="s">
        <v>434</v>
      </c>
      <c r="C1371" t="s">
        <v>554</v>
      </c>
      <c r="D1371" s="1">
        <v>45309</v>
      </c>
      <c r="E1371" s="1">
        <v>45354</v>
      </c>
      <c r="F1371" t="s">
        <v>13</v>
      </c>
      <c r="G1371">
        <v>9658422</v>
      </c>
      <c r="H1371" s="1">
        <v>45358</v>
      </c>
      <c r="I1371" t="s">
        <v>555</v>
      </c>
      <c r="J1371" t="s">
        <v>556</v>
      </c>
      <c r="L1371">
        <v>9658422</v>
      </c>
      <c r="M1371">
        <f>IF(F1371="INR",1,INDEX('rates'!$B$2:$C$522,MATCH(D1371,'rates'!$A$2:$A$522,1),MATCH(F1371&amp;"/INR",'rates'!$B$1:$C$1,0)))</f>
        <v>1</v>
      </c>
      <c r="N1371">
        <f t="shared" si="112"/>
        <v>9658422</v>
      </c>
      <c r="O1371">
        <f t="shared" si="113"/>
        <v>0</v>
      </c>
      <c r="P1371">
        <f t="shared" si="114"/>
        <v>0</v>
      </c>
      <c r="Q1371">
        <f t="shared" si="111"/>
        <v>4</v>
      </c>
      <c r="R1371" t="str">
        <f t="shared" si="115"/>
        <v>Not open</v>
      </c>
    </row>
    <row r="1372" spans="1:18" x14ac:dyDescent="0.3">
      <c r="A1372" t="s">
        <v>1561</v>
      </c>
      <c r="B1372" t="s">
        <v>436</v>
      </c>
      <c r="C1372" t="s">
        <v>566</v>
      </c>
      <c r="D1372" s="1">
        <v>45309</v>
      </c>
      <c r="E1372" s="1">
        <v>45354</v>
      </c>
      <c r="F1372" t="s">
        <v>36</v>
      </c>
      <c r="G1372">
        <v>46427.59</v>
      </c>
      <c r="H1372" s="1">
        <v>45387</v>
      </c>
      <c r="I1372" t="s">
        <v>555</v>
      </c>
      <c r="J1372" t="s">
        <v>573</v>
      </c>
      <c r="K1372">
        <v>83.357900000000001</v>
      </c>
      <c r="L1372">
        <v>46427.59</v>
      </c>
      <c r="M1372">
        <f>IF(F1372="INR",1,INDEX('rates'!$B$2:$C$522,MATCH(D1372,'rates'!$A$2:$A$522,1),MATCH(F1372&amp;"/INR",'rates'!$B$1:$C$1,0)))</f>
        <v>83.15</v>
      </c>
      <c r="N1372">
        <f t="shared" si="112"/>
        <v>3860454.1085000001</v>
      </c>
      <c r="O1372">
        <f t="shared" si="113"/>
        <v>0</v>
      </c>
      <c r="P1372">
        <f t="shared" si="114"/>
        <v>0</v>
      </c>
      <c r="Q1372">
        <f t="shared" si="111"/>
        <v>33</v>
      </c>
      <c r="R1372" t="str">
        <f t="shared" si="115"/>
        <v>Not open</v>
      </c>
    </row>
    <row r="1373" spans="1:18" x14ac:dyDescent="0.3">
      <c r="A1373" t="s">
        <v>1562</v>
      </c>
      <c r="B1373" t="s">
        <v>446</v>
      </c>
      <c r="C1373" t="s">
        <v>554</v>
      </c>
      <c r="D1373" s="1">
        <v>45309</v>
      </c>
      <c r="E1373" s="1">
        <v>45354</v>
      </c>
      <c r="F1373" t="s">
        <v>13</v>
      </c>
      <c r="G1373">
        <v>2201322</v>
      </c>
      <c r="H1373" s="1">
        <v>45359</v>
      </c>
      <c r="I1373" t="s">
        <v>555</v>
      </c>
      <c r="J1373" t="s">
        <v>556</v>
      </c>
      <c r="L1373">
        <v>2201322</v>
      </c>
      <c r="M1373">
        <f>IF(F1373="INR",1,INDEX('rates'!$B$2:$C$522,MATCH(D1373,'rates'!$A$2:$A$522,1),MATCH(F1373&amp;"/INR",'rates'!$B$1:$C$1,0)))</f>
        <v>1</v>
      </c>
      <c r="N1373">
        <f t="shared" si="112"/>
        <v>2201322</v>
      </c>
      <c r="O1373">
        <f t="shared" si="113"/>
        <v>0</v>
      </c>
      <c r="P1373">
        <f t="shared" si="114"/>
        <v>0</v>
      </c>
      <c r="Q1373">
        <f t="shared" si="111"/>
        <v>5</v>
      </c>
      <c r="R1373" t="str">
        <f t="shared" si="115"/>
        <v>Not open</v>
      </c>
    </row>
    <row r="1374" spans="1:18" x14ac:dyDescent="0.3">
      <c r="A1374" t="s">
        <v>1563</v>
      </c>
      <c r="B1374" t="s">
        <v>202</v>
      </c>
      <c r="C1374" t="s">
        <v>554</v>
      </c>
      <c r="D1374" s="1">
        <v>45310</v>
      </c>
      <c r="E1374" s="1">
        <v>45340</v>
      </c>
      <c r="F1374" t="s">
        <v>13</v>
      </c>
      <c r="G1374">
        <v>11921348</v>
      </c>
      <c r="H1374" s="1">
        <v>45344</v>
      </c>
      <c r="I1374" t="s">
        <v>555</v>
      </c>
      <c r="J1374" t="s">
        <v>556</v>
      </c>
      <c r="L1374">
        <v>11921348</v>
      </c>
      <c r="M1374">
        <f>IF(F1374="INR",1,INDEX('rates'!$B$2:$C$522,MATCH(D1374,'rates'!$A$2:$A$522,1),MATCH(F1374&amp;"/INR",'rates'!$B$1:$C$1,0)))</f>
        <v>1</v>
      </c>
      <c r="N1374">
        <f t="shared" si="112"/>
        <v>11921348</v>
      </c>
      <c r="O1374">
        <f t="shared" si="113"/>
        <v>0</v>
      </c>
      <c r="P1374">
        <f t="shared" si="114"/>
        <v>0</v>
      </c>
      <c r="Q1374">
        <f t="shared" si="111"/>
        <v>4</v>
      </c>
      <c r="R1374" t="str">
        <f t="shared" si="115"/>
        <v>Not open</v>
      </c>
    </row>
    <row r="1375" spans="1:18" x14ac:dyDescent="0.3">
      <c r="A1375" t="s">
        <v>1564</v>
      </c>
      <c r="B1375" t="s">
        <v>348</v>
      </c>
      <c r="C1375" t="s">
        <v>554</v>
      </c>
      <c r="D1375" s="1">
        <v>45310</v>
      </c>
      <c r="E1375" s="1">
        <v>45355</v>
      </c>
      <c r="F1375" t="s">
        <v>13</v>
      </c>
      <c r="G1375">
        <v>1302498</v>
      </c>
      <c r="H1375" s="1">
        <v>45417</v>
      </c>
      <c r="I1375" t="s">
        <v>555</v>
      </c>
      <c r="J1375" t="s">
        <v>556</v>
      </c>
      <c r="L1375">
        <v>1302498</v>
      </c>
      <c r="M1375">
        <f>IF(F1375="INR",1,INDEX('rates'!$B$2:$C$522,MATCH(D1375,'rates'!$A$2:$A$522,1),MATCH(F1375&amp;"/INR",'rates'!$B$1:$C$1,0)))</f>
        <v>1</v>
      </c>
      <c r="N1375">
        <f t="shared" si="112"/>
        <v>1302498</v>
      </c>
      <c r="O1375">
        <f t="shared" si="113"/>
        <v>0</v>
      </c>
      <c r="P1375">
        <f t="shared" si="114"/>
        <v>0</v>
      </c>
      <c r="Q1375">
        <f t="shared" si="111"/>
        <v>62</v>
      </c>
      <c r="R1375" t="str">
        <f t="shared" si="115"/>
        <v>Not open</v>
      </c>
    </row>
    <row r="1376" spans="1:18" x14ac:dyDescent="0.3">
      <c r="A1376" t="s">
        <v>1565</v>
      </c>
      <c r="B1376" t="s">
        <v>466</v>
      </c>
      <c r="C1376" t="s">
        <v>558</v>
      </c>
      <c r="D1376" s="1">
        <v>45310</v>
      </c>
      <c r="E1376" s="1">
        <v>45370</v>
      </c>
      <c r="F1376" t="s">
        <v>31</v>
      </c>
      <c r="G1376">
        <v>99865.38</v>
      </c>
      <c r="H1376" s="1">
        <v>45373</v>
      </c>
      <c r="I1376" t="s">
        <v>555</v>
      </c>
      <c r="J1376" t="s">
        <v>556</v>
      </c>
      <c r="L1376">
        <v>99865.38</v>
      </c>
      <c r="M1376">
        <f>IF(F1376="INR",1,INDEX('rates'!$B$2:$C$522,MATCH(D1376,'rates'!$A$2:$A$522,1),MATCH(F1376&amp;"/INR",'rates'!$B$1:$C$1,0)))</f>
        <v>90.460099999999997</v>
      </c>
      <c r="N1376">
        <f t="shared" si="112"/>
        <v>9033832.2613379993</v>
      </c>
      <c r="O1376">
        <f t="shared" si="113"/>
        <v>0</v>
      </c>
      <c r="P1376">
        <f t="shared" si="114"/>
        <v>0</v>
      </c>
      <c r="Q1376">
        <f t="shared" si="111"/>
        <v>3</v>
      </c>
      <c r="R1376" t="str">
        <f t="shared" si="115"/>
        <v>Not open</v>
      </c>
    </row>
    <row r="1377" spans="1:18" x14ac:dyDescent="0.3">
      <c r="A1377" t="s">
        <v>1566</v>
      </c>
      <c r="B1377" t="s">
        <v>160</v>
      </c>
      <c r="C1377" t="s">
        <v>554</v>
      </c>
      <c r="D1377" s="1">
        <v>45311</v>
      </c>
      <c r="E1377" s="1">
        <v>45356</v>
      </c>
      <c r="F1377" t="s">
        <v>13</v>
      </c>
      <c r="G1377">
        <v>6836655</v>
      </c>
      <c r="H1377" s="1">
        <v>45362</v>
      </c>
      <c r="I1377" t="s">
        <v>555</v>
      </c>
      <c r="J1377" t="s">
        <v>556</v>
      </c>
      <c r="L1377">
        <v>6836655</v>
      </c>
      <c r="M1377">
        <f>IF(F1377="INR",1,INDEX('rates'!$B$2:$C$522,MATCH(D1377,'rates'!$A$2:$A$522,1),MATCH(F1377&amp;"/INR",'rates'!$B$1:$C$1,0)))</f>
        <v>1</v>
      </c>
      <c r="N1377">
        <f t="shared" si="112"/>
        <v>6836655</v>
      </c>
      <c r="O1377">
        <f t="shared" si="113"/>
        <v>0</v>
      </c>
      <c r="P1377">
        <f t="shared" si="114"/>
        <v>0</v>
      </c>
      <c r="Q1377">
        <f t="shared" si="111"/>
        <v>6</v>
      </c>
      <c r="R1377" t="str">
        <f t="shared" si="115"/>
        <v>Not open</v>
      </c>
    </row>
    <row r="1378" spans="1:18" x14ac:dyDescent="0.3">
      <c r="A1378" t="s">
        <v>1567</v>
      </c>
      <c r="B1378" t="s">
        <v>182</v>
      </c>
      <c r="C1378" t="s">
        <v>558</v>
      </c>
      <c r="D1378" s="1">
        <v>45311</v>
      </c>
      <c r="E1378" s="1">
        <v>45371</v>
      </c>
      <c r="F1378" t="s">
        <v>36</v>
      </c>
      <c r="G1378">
        <v>120313.08</v>
      </c>
      <c r="H1378" s="1"/>
      <c r="I1378" t="s">
        <v>717</v>
      </c>
      <c r="J1378" t="s">
        <v>573</v>
      </c>
      <c r="K1378">
        <v>83.367000000000004</v>
      </c>
      <c r="L1378">
        <v>0</v>
      </c>
      <c r="M1378">
        <f>IF(F1378="INR",1,INDEX('rates'!$B$2:$C$522,MATCH(D1378,'rates'!$A$2:$A$522,1),MATCH(F1378&amp;"/INR",'rates'!$B$1:$C$1,0)))</f>
        <v>83.09</v>
      </c>
      <c r="N1378">
        <f t="shared" si="112"/>
        <v>9996813.8172000013</v>
      </c>
      <c r="O1378">
        <f t="shared" si="113"/>
        <v>0</v>
      </c>
      <c r="P1378">
        <f t="shared" si="114"/>
        <v>0</v>
      </c>
      <c r="Q1378" t="str">
        <f t="shared" si="111"/>
        <v/>
      </c>
      <c r="R1378" t="str">
        <f t="shared" si="115"/>
        <v>Not open</v>
      </c>
    </row>
    <row r="1379" spans="1:18" x14ac:dyDescent="0.3">
      <c r="A1379" t="s">
        <v>1568</v>
      </c>
      <c r="B1379" t="s">
        <v>462</v>
      </c>
      <c r="C1379" t="s">
        <v>566</v>
      </c>
      <c r="D1379" s="1">
        <v>45311</v>
      </c>
      <c r="E1379" s="1">
        <v>45356</v>
      </c>
      <c r="F1379" t="s">
        <v>13</v>
      </c>
      <c r="G1379">
        <v>3479638</v>
      </c>
      <c r="H1379" s="1">
        <v>45366</v>
      </c>
      <c r="I1379" t="s">
        <v>555</v>
      </c>
      <c r="J1379" t="s">
        <v>556</v>
      </c>
      <c r="L1379">
        <v>3479638</v>
      </c>
      <c r="M1379">
        <f>IF(F1379="INR",1,INDEX('rates'!$B$2:$C$522,MATCH(D1379,'rates'!$A$2:$A$522,1),MATCH(F1379&amp;"/INR",'rates'!$B$1:$C$1,0)))</f>
        <v>1</v>
      </c>
      <c r="N1379">
        <f t="shared" si="112"/>
        <v>3479638</v>
      </c>
      <c r="O1379">
        <f t="shared" si="113"/>
        <v>0</v>
      </c>
      <c r="P1379">
        <f t="shared" si="114"/>
        <v>0</v>
      </c>
      <c r="Q1379">
        <f t="shared" si="111"/>
        <v>10</v>
      </c>
      <c r="R1379" t="str">
        <f t="shared" si="115"/>
        <v>Not open</v>
      </c>
    </row>
    <row r="1380" spans="1:18" x14ac:dyDescent="0.3">
      <c r="A1380" t="s">
        <v>1569</v>
      </c>
      <c r="B1380" t="s">
        <v>516</v>
      </c>
      <c r="C1380" t="s">
        <v>560</v>
      </c>
      <c r="D1380" s="1">
        <v>45311</v>
      </c>
      <c r="E1380" s="1">
        <v>45371</v>
      </c>
      <c r="F1380" t="s">
        <v>13</v>
      </c>
      <c r="G1380">
        <v>8544848</v>
      </c>
      <c r="H1380" s="1">
        <v>45376</v>
      </c>
      <c r="I1380" t="s">
        <v>555</v>
      </c>
      <c r="J1380" t="s">
        <v>556</v>
      </c>
      <c r="L1380">
        <v>8544848</v>
      </c>
      <c r="M1380">
        <f>IF(F1380="INR",1,INDEX('rates'!$B$2:$C$522,MATCH(D1380,'rates'!$A$2:$A$522,1),MATCH(F1380&amp;"/INR",'rates'!$B$1:$C$1,0)))</f>
        <v>1</v>
      </c>
      <c r="N1380">
        <f t="shared" si="112"/>
        <v>8544848</v>
      </c>
      <c r="O1380">
        <f t="shared" si="113"/>
        <v>0</v>
      </c>
      <c r="P1380">
        <f t="shared" si="114"/>
        <v>0</v>
      </c>
      <c r="Q1380">
        <f t="shared" si="111"/>
        <v>5</v>
      </c>
      <c r="R1380" t="str">
        <f t="shared" si="115"/>
        <v>Not open</v>
      </c>
    </row>
    <row r="1381" spans="1:18" x14ac:dyDescent="0.3">
      <c r="A1381" t="s">
        <v>1571</v>
      </c>
      <c r="B1381" t="s">
        <v>464</v>
      </c>
      <c r="C1381" t="s">
        <v>560</v>
      </c>
      <c r="D1381" s="1">
        <v>45313</v>
      </c>
      <c r="E1381" s="1">
        <v>45403</v>
      </c>
      <c r="F1381" t="s">
        <v>13</v>
      </c>
      <c r="G1381">
        <v>24942677</v>
      </c>
      <c r="H1381" s="1">
        <v>45400</v>
      </c>
      <c r="I1381" t="s">
        <v>555</v>
      </c>
      <c r="J1381" t="s">
        <v>556</v>
      </c>
      <c r="L1381">
        <v>24942677</v>
      </c>
      <c r="M1381">
        <f>IF(F1381="INR",1,INDEX('rates'!$B$2:$C$522,MATCH(D1381,'rates'!$A$2:$A$522,1),MATCH(F1381&amp;"/INR",'rates'!$B$1:$C$1,0)))</f>
        <v>1</v>
      </c>
      <c r="N1381">
        <f t="shared" si="112"/>
        <v>24942677</v>
      </c>
      <c r="O1381">
        <f t="shared" si="113"/>
        <v>0</v>
      </c>
      <c r="P1381">
        <f t="shared" si="114"/>
        <v>0</v>
      </c>
      <c r="Q1381">
        <f t="shared" si="111"/>
        <v>-3</v>
      </c>
      <c r="R1381" t="str">
        <f t="shared" si="115"/>
        <v>Not open</v>
      </c>
    </row>
    <row r="1382" spans="1:18" x14ac:dyDescent="0.3">
      <c r="A1382" t="s">
        <v>1572</v>
      </c>
      <c r="B1382" t="s">
        <v>19</v>
      </c>
      <c r="C1382" t="s">
        <v>554</v>
      </c>
      <c r="D1382" s="1">
        <v>45314</v>
      </c>
      <c r="E1382" s="1">
        <v>45359</v>
      </c>
      <c r="F1382" t="s">
        <v>13</v>
      </c>
      <c r="G1382">
        <v>3702979</v>
      </c>
      <c r="H1382" s="1"/>
      <c r="I1382" t="s">
        <v>717</v>
      </c>
      <c r="J1382" t="s">
        <v>556</v>
      </c>
      <c r="L1382">
        <v>1076392.58</v>
      </c>
      <c r="M1382">
        <f>IF(F1382="INR",1,INDEX('rates'!$B$2:$C$522,MATCH(D1382,'rates'!$A$2:$A$522,1),MATCH(F1382&amp;"/INR",'rates'!$B$1:$C$1,0)))</f>
        <v>1</v>
      </c>
      <c r="N1382">
        <f t="shared" si="112"/>
        <v>3702979</v>
      </c>
      <c r="O1382">
        <f t="shared" si="113"/>
        <v>0</v>
      </c>
      <c r="P1382">
        <f t="shared" si="114"/>
        <v>0</v>
      </c>
      <c r="R1382" t="str">
        <f t="shared" si="115"/>
        <v>Not open</v>
      </c>
    </row>
    <row r="1383" spans="1:18" x14ac:dyDescent="0.3">
      <c r="A1383" t="s">
        <v>1573</v>
      </c>
      <c r="B1383" t="s">
        <v>298</v>
      </c>
      <c r="C1383" t="s">
        <v>560</v>
      </c>
      <c r="D1383" s="1">
        <v>45314</v>
      </c>
      <c r="E1383" s="1">
        <v>45374</v>
      </c>
      <c r="F1383" t="s">
        <v>31</v>
      </c>
      <c r="G1383">
        <v>97323.15</v>
      </c>
      <c r="H1383" s="1">
        <v>45378</v>
      </c>
      <c r="I1383" t="s">
        <v>555</v>
      </c>
      <c r="J1383" t="s">
        <v>556</v>
      </c>
      <c r="L1383">
        <v>97323.15</v>
      </c>
      <c r="M1383">
        <f>IF(F1383="INR",1,INDEX('rates'!$B$2:$C$522,MATCH(D1383,'rates'!$A$2:$A$522,1),MATCH(F1383&amp;"/INR",'rates'!$B$1:$C$1,0)))</f>
        <v>90.043099999999995</v>
      </c>
      <c r="N1383">
        <f t="shared" si="112"/>
        <v>8763278.1277649999</v>
      </c>
      <c r="O1383">
        <f t="shared" si="113"/>
        <v>0</v>
      </c>
      <c r="P1383">
        <f t="shared" si="114"/>
        <v>0</v>
      </c>
      <c r="Q1383">
        <f t="shared" ref="Q1383:Q1414" si="116">IF(H1383="","",H1383-E1383)</f>
        <v>4</v>
      </c>
      <c r="R1383" t="str">
        <f t="shared" si="115"/>
        <v>Not open</v>
      </c>
    </row>
    <row r="1384" spans="1:18" x14ac:dyDescent="0.3">
      <c r="A1384" t="s">
        <v>1574</v>
      </c>
      <c r="B1384" t="s">
        <v>372</v>
      </c>
      <c r="C1384" t="s">
        <v>575</v>
      </c>
      <c r="D1384" s="1">
        <v>45314</v>
      </c>
      <c r="E1384" s="1">
        <v>45404</v>
      </c>
      <c r="F1384" t="s">
        <v>13</v>
      </c>
      <c r="G1384">
        <v>45427036</v>
      </c>
      <c r="H1384" s="1">
        <v>45420</v>
      </c>
      <c r="I1384" t="s">
        <v>555</v>
      </c>
      <c r="J1384" t="s">
        <v>556</v>
      </c>
      <c r="L1384">
        <v>45427036</v>
      </c>
      <c r="M1384">
        <f>IF(F1384="INR",1,INDEX('rates'!$B$2:$C$522,MATCH(D1384,'rates'!$A$2:$A$522,1),MATCH(F1384&amp;"/INR",'rates'!$B$1:$C$1,0)))</f>
        <v>1</v>
      </c>
      <c r="N1384">
        <f t="shared" si="112"/>
        <v>45427036</v>
      </c>
      <c r="O1384">
        <f t="shared" si="113"/>
        <v>0</v>
      </c>
      <c r="P1384">
        <f t="shared" si="114"/>
        <v>0</v>
      </c>
      <c r="Q1384">
        <f t="shared" si="116"/>
        <v>16</v>
      </c>
      <c r="R1384" t="str">
        <f t="shared" si="115"/>
        <v>Not open</v>
      </c>
    </row>
    <row r="1385" spans="1:18" x14ac:dyDescent="0.3">
      <c r="A1385" t="s">
        <v>1575</v>
      </c>
      <c r="B1385" t="s">
        <v>464</v>
      </c>
      <c r="C1385" t="s">
        <v>560</v>
      </c>
      <c r="D1385" s="1">
        <v>45314</v>
      </c>
      <c r="E1385" s="1">
        <v>45404</v>
      </c>
      <c r="F1385" t="s">
        <v>13</v>
      </c>
      <c r="G1385">
        <v>24127028</v>
      </c>
      <c r="H1385" s="1">
        <v>45408</v>
      </c>
      <c r="I1385" t="s">
        <v>555</v>
      </c>
      <c r="J1385" t="s">
        <v>556</v>
      </c>
      <c r="L1385">
        <v>24127028</v>
      </c>
      <c r="M1385">
        <f>IF(F1385="INR",1,INDEX('rates'!$B$2:$C$522,MATCH(D1385,'rates'!$A$2:$A$522,1),MATCH(F1385&amp;"/INR",'rates'!$B$1:$C$1,0)))</f>
        <v>1</v>
      </c>
      <c r="N1385">
        <f t="shared" si="112"/>
        <v>24127028</v>
      </c>
      <c r="O1385">
        <f t="shared" si="113"/>
        <v>0</v>
      </c>
      <c r="P1385">
        <f t="shared" si="114"/>
        <v>0</v>
      </c>
      <c r="Q1385">
        <f t="shared" si="116"/>
        <v>4</v>
      </c>
      <c r="R1385" t="str">
        <f t="shared" si="115"/>
        <v>Not open</v>
      </c>
    </row>
    <row r="1386" spans="1:18" x14ac:dyDescent="0.3">
      <c r="A1386" t="s">
        <v>1576</v>
      </c>
      <c r="B1386" t="s">
        <v>302</v>
      </c>
      <c r="C1386" t="s">
        <v>558</v>
      </c>
      <c r="D1386" s="1">
        <v>45315</v>
      </c>
      <c r="E1386" s="1">
        <v>45405</v>
      </c>
      <c r="F1386" t="s">
        <v>13</v>
      </c>
      <c r="G1386">
        <v>9713383</v>
      </c>
      <c r="H1386" s="1">
        <v>45409</v>
      </c>
      <c r="I1386" t="s">
        <v>555</v>
      </c>
      <c r="J1386" t="s">
        <v>556</v>
      </c>
      <c r="L1386">
        <v>9713383</v>
      </c>
      <c r="M1386">
        <f>IF(F1386="INR",1,INDEX('rates'!$B$2:$C$522,MATCH(D1386,'rates'!$A$2:$A$522,1),MATCH(F1386&amp;"/INR",'rates'!$B$1:$C$1,0)))</f>
        <v>1</v>
      </c>
      <c r="N1386">
        <f t="shared" si="112"/>
        <v>9713383</v>
      </c>
      <c r="O1386">
        <f t="shared" si="113"/>
        <v>0</v>
      </c>
      <c r="P1386">
        <f t="shared" si="114"/>
        <v>0</v>
      </c>
      <c r="Q1386">
        <f t="shared" si="116"/>
        <v>4</v>
      </c>
      <c r="R1386" t="str">
        <f t="shared" si="115"/>
        <v>Not open</v>
      </c>
    </row>
    <row r="1387" spans="1:18" x14ac:dyDescent="0.3">
      <c r="A1387" t="s">
        <v>1578</v>
      </c>
      <c r="B1387" t="s">
        <v>462</v>
      </c>
      <c r="C1387" t="s">
        <v>566</v>
      </c>
      <c r="D1387" s="1">
        <v>45315</v>
      </c>
      <c r="E1387" s="1">
        <v>45360</v>
      </c>
      <c r="F1387" t="s">
        <v>13</v>
      </c>
      <c r="G1387">
        <v>4680967</v>
      </c>
      <c r="H1387" s="1">
        <v>45380</v>
      </c>
      <c r="I1387" t="s">
        <v>555</v>
      </c>
      <c r="J1387" t="s">
        <v>556</v>
      </c>
      <c r="L1387">
        <v>4680967</v>
      </c>
      <c r="M1387">
        <f>IF(F1387="INR",1,INDEX('rates'!$B$2:$C$522,MATCH(D1387,'rates'!$A$2:$A$522,1),MATCH(F1387&amp;"/INR",'rates'!$B$1:$C$1,0)))</f>
        <v>1</v>
      </c>
      <c r="N1387">
        <f t="shared" si="112"/>
        <v>4680967</v>
      </c>
      <c r="O1387">
        <f t="shared" si="113"/>
        <v>0</v>
      </c>
      <c r="P1387">
        <f t="shared" si="114"/>
        <v>0</v>
      </c>
      <c r="Q1387">
        <f t="shared" si="116"/>
        <v>20</v>
      </c>
      <c r="R1387" t="str">
        <f t="shared" si="115"/>
        <v>Not open</v>
      </c>
    </row>
    <row r="1388" spans="1:18" x14ac:dyDescent="0.3">
      <c r="A1388" t="s">
        <v>1579</v>
      </c>
      <c r="B1388" t="s">
        <v>180</v>
      </c>
      <c r="C1388" t="s">
        <v>558</v>
      </c>
      <c r="D1388" s="1">
        <v>45316</v>
      </c>
      <c r="E1388" s="1">
        <v>45361</v>
      </c>
      <c r="F1388" t="s">
        <v>13</v>
      </c>
      <c r="G1388">
        <v>8956319</v>
      </c>
      <c r="H1388" s="1">
        <v>45368</v>
      </c>
      <c r="I1388" t="s">
        <v>555</v>
      </c>
      <c r="J1388" t="s">
        <v>556</v>
      </c>
      <c r="L1388">
        <v>8956319</v>
      </c>
      <c r="M1388">
        <f>IF(F1388="INR",1,INDEX('rates'!$B$2:$C$522,MATCH(D1388,'rates'!$A$2:$A$522,1),MATCH(F1388&amp;"/INR",'rates'!$B$1:$C$1,0)))</f>
        <v>1</v>
      </c>
      <c r="N1388">
        <f t="shared" si="112"/>
        <v>8956319</v>
      </c>
      <c r="O1388">
        <f t="shared" si="113"/>
        <v>0</v>
      </c>
      <c r="P1388">
        <f t="shared" si="114"/>
        <v>0</v>
      </c>
      <c r="Q1388">
        <f t="shared" si="116"/>
        <v>7</v>
      </c>
      <c r="R1388" t="str">
        <f t="shared" si="115"/>
        <v>Not open</v>
      </c>
    </row>
    <row r="1389" spans="1:18" x14ac:dyDescent="0.3">
      <c r="A1389" t="s">
        <v>1580</v>
      </c>
      <c r="B1389" t="s">
        <v>186</v>
      </c>
      <c r="C1389" t="s">
        <v>558</v>
      </c>
      <c r="D1389" s="1">
        <v>45316</v>
      </c>
      <c r="E1389" s="1">
        <v>45346</v>
      </c>
      <c r="F1389" t="s">
        <v>36</v>
      </c>
      <c r="G1389">
        <v>24961.75</v>
      </c>
      <c r="H1389" s="1">
        <v>45377</v>
      </c>
      <c r="I1389" t="s">
        <v>555</v>
      </c>
      <c r="J1389" t="s">
        <v>573</v>
      </c>
      <c r="K1389">
        <v>83.218500000000006</v>
      </c>
      <c r="L1389">
        <v>24961.75</v>
      </c>
      <c r="M1389">
        <f>IF(F1389="INR",1,INDEX('rates'!$B$2:$C$522,MATCH(D1389,'rates'!$A$2:$A$522,1),MATCH(F1389&amp;"/INR",'rates'!$B$1:$C$1,0)))</f>
        <v>83.08</v>
      </c>
      <c r="N1389">
        <f t="shared" si="112"/>
        <v>2073822.19</v>
      </c>
      <c r="O1389">
        <f t="shared" si="113"/>
        <v>0</v>
      </c>
      <c r="P1389">
        <f t="shared" si="114"/>
        <v>0</v>
      </c>
      <c r="Q1389">
        <f t="shared" si="116"/>
        <v>31</v>
      </c>
      <c r="R1389" t="str">
        <f t="shared" si="115"/>
        <v>Not open</v>
      </c>
    </row>
    <row r="1390" spans="1:18" x14ac:dyDescent="0.3">
      <c r="A1390" t="s">
        <v>1581</v>
      </c>
      <c r="B1390" t="s">
        <v>286</v>
      </c>
      <c r="C1390" t="s">
        <v>558</v>
      </c>
      <c r="D1390" s="1">
        <v>45316</v>
      </c>
      <c r="E1390" s="1">
        <v>45376</v>
      </c>
      <c r="F1390" t="s">
        <v>36</v>
      </c>
      <c r="G1390">
        <v>159033.28</v>
      </c>
      <c r="H1390" s="1">
        <v>45385</v>
      </c>
      <c r="I1390" t="s">
        <v>555</v>
      </c>
      <c r="J1390" t="s">
        <v>573</v>
      </c>
      <c r="K1390">
        <v>83.356899999999996</v>
      </c>
      <c r="L1390">
        <v>159033.28</v>
      </c>
      <c r="M1390">
        <f>IF(F1390="INR",1,INDEX('rates'!$B$2:$C$522,MATCH(D1390,'rates'!$A$2:$A$522,1),MATCH(F1390&amp;"/INR",'rates'!$B$1:$C$1,0)))</f>
        <v>83.08</v>
      </c>
      <c r="N1390">
        <f t="shared" si="112"/>
        <v>13212484.9024</v>
      </c>
      <c r="O1390">
        <f t="shared" si="113"/>
        <v>0</v>
      </c>
      <c r="P1390">
        <f t="shared" si="114"/>
        <v>0</v>
      </c>
      <c r="Q1390">
        <f t="shared" si="116"/>
        <v>9</v>
      </c>
      <c r="R1390" t="str">
        <f t="shared" si="115"/>
        <v>Not open</v>
      </c>
    </row>
    <row r="1391" spans="1:18" x14ac:dyDescent="0.3">
      <c r="A1391" t="s">
        <v>1582</v>
      </c>
      <c r="B1391" t="s">
        <v>72</v>
      </c>
      <c r="C1391" t="s">
        <v>560</v>
      </c>
      <c r="D1391" s="1">
        <v>45317</v>
      </c>
      <c r="E1391" s="1">
        <v>45407</v>
      </c>
      <c r="F1391" t="s">
        <v>31</v>
      </c>
      <c r="G1391">
        <v>395155.42</v>
      </c>
      <c r="H1391" s="1">
        <v>45429</v>
      </c>
      <c r="I1391" t="s">
        <v>555</v>
      </c>
      <c r="J1391" t="s">
        <v>556</v>
      </c>
      <c r="L1391">
        <v>395155.42</v>
      </c>
      <c r="M1391">
        <f>IF(F1391="INR",1,INDEX('rates'!$B$2:$C$522,MATCH(D1391,'rates'!$A$2:$A$522,1),MATCH(F1391&amp;"/INR",'rates'!$B$1:$C$1,0)))</f>
        <v>90.307299999999998</v>
      </c>
      <c r="N1391">
        <f t="shared" si="112"/>
        <v>35685419.060566001</v>
      </c>
      <c r="O1391">
        <f t="shared" si="113"/>
        <v>0</v>
      </c>
      <c r="P1391">
        <f t="shared" si="114"/>
        <v>0</v>
      </c>
      <c r="Q1391">
        <f t="shared" si="116"/>
        <v>22</v>
      </c>
      <c r="R1391" t="str">
        <f t="shared" si="115"/>
        <v>Not open</v>
      </c>
    </row>
    <row r="1392" spans="1:18" x14ac:dyDescent="0.3">
      <c r="A1392" t="s">
        <v>1583</v>
      </c>
      <c r="B1392" t="s">
        <v>306</v>
      </c>
      <c r="C1392" t="s">
        <v>558</v>
      </c>
      <c r="D1392" s="1">
        <v>45317</v>
      </c>
      <c r="E1392" s="1">
        <v>45407</v>
      </c>
      <c r="F1392" t="s">
        <v>36</v>
      </c>
      <c r="G1392">
        <v>126318.9</v>
      </c>
      <c r="H1392" s="1">
        <v>45423</v>
      </c>
      <c r="I1392" t="s">
        <v>555</v>
      </c>
      <c r="J1392" t="s">
        <v>556</v>
      </c>
      <c r="L1392">
        <v>126318.9</v>
      </c>
      <c r="M1392">
        <f>IF(F1392="INR",1,INDEX('rates'!$B$2:$C$522,MATCH(D1392,'rates'!$A$2:$A$522,1),MATCH(F1392&amp;"/INR",'rates'!$B$1:$C$1,0)))</f>
        <v>83.11</v>
      </c>
      <c r="N1392">
        <f t="shared" si="112"/>
        <v>10498363.778999999</v>
      </c>
      <c r="O1392">
        <f t="shared" si="113"/>
        <v>0</v>
      </c>
      <c r="P1392">
        <f t="shared" si="114"/>
        <v>0</v>
      </c>
      <c r="Q1392">
        <f t="shared" si="116"/>
        <v>16</v>
      </c>
      <c r="R1392" t="str">
        <f t="shared" si="115"/>
        <v>Not open</v>
      </c>
    </row>
    <row r="1393" spans="1:18" x14ac:dyDescent="0.3">
      <c r="A1393" t="s">
        <v>1584</v>
      </c>
      <c r="B1393" t="s">
        <v>113</v>
      </c>
      <c r="C1393" t="s">
        <v>560</v>
      </c>
      <c r="D1393" s="1">
        <v>45318</v>
      </c>
      <c r="E1393" s="1">
        <v>45348</v>
      </c>
      <c r="F1393" t="s">
        <v>13</v>
      </c>
      <c r="G1393">
        <v>9911157</v>
      </c>
      <c r="H1393" s="1">
        <v>45351</v>
      </c>
      <c r="I1393" t="s">
        <v>555</v>
      </c>
      <c r="J1393" t="s">
        <v>556</v>
      </c>
      <c r="L1393">
        <v>9911157</v>
      </c>
      <c r="M1393">
        <f>IF(F1393="INR",1,INDEX('rates'!$B$2:$C$522,MATCH(D1393,'rates'!$A$2:$A$522,1),MATCH(F1393&amp;"/INR",'rates'!$B$1:$C$1,0)))</f>
        <v>1</v>
      </c>
      <c r="N1393">
        <f t="shared" si="112"/>
        <v>9911157</v>
      </c>
      <c r="O1393">
        <f t="shared" si="113"/>
        <v>0</v>
      </c>
      <c r="P1393">
        <f t="shared" si="114"/>
        <v>0</v>
      </c>
      <c r="Q1393">
        <f t="shared" si="116"/>
        <v>3</v>
      </c>
      <c r="R1393" t="str">
        <f t="shared" si="115"/>
        <v>Not open</v>
      </c>
    </row>
    <row r="1394" spans="1:18" x14ac:dyDescent="0.3">
      <c r="A1394" t="s">
        <v>1585</v>
      </c>
      <c r="B1394" t="s">
        <v>154</v>
      </c>
      <c r="C1394" t="s">
        <v>566</v>
      </c>
      <c r="D1394" s="1">
        <v>45318</v>
      </c>
      <c r="E1394" s="1">
        <v>45348</v>
      </c>
      <c r="F1394" t="s">
        <v>13</v>
      </c>
      <c r="G1394">
        <v>29844880</v>
      </c>
      <c r="H1394" s="1">
        <v>45343</v>
      </c>
      <c r="I1394" t="s">
        <v>555</v>
      </c>
      <c r="J1394" t="s">
        <v>556</v>
      </c>
      <c r="L1394">
        <v>29844880</v>
      </c>
      <c r="M1394">
        <f>IF(F1394="INR",1,INDEX('rates'!$B$2:$C$522,MATCH(D1394,'rates'!$A$2:$A$522,1),MATCH(F1394&amp;"/INR",'rates'!$B$1:$C$1,0)))</f>
        <v>1</v>
      </c>
      <c r="N1394">
        <f t="shared" si="112"/>
        <v>29844880</v>
      </c>
      <c r="O1394">
        <f t="shared" si="113"/>
        <v>0</v>
      </c>
      <c r="P1394">
        <f t="shared" si="114"/>
        <v>0</v>
      </c>
      <c r="Q1394">
        <f t="shared" si="116"/>
        <v>-5</v>
      </c>
      <c r="R1394" t="str">
        <f t="shared" si="115"/>
        <v>Not open</v>
      </c>
    </row>
    <row r="1395" spans="1:18" x14ac:dyDescent="0.3">
      <c r="A1395" t="s">
        <v>1586</v>
      </c>
      <c r="B1395" t="s">
        <v>186</v>
      </c>
      <c r="C1395" t="s">
        <v>558</v>
      </c>
      <c r="D1395" s="1">
        <v>45318</v>
      </c>
      <c r="E1395" s="1">
        <v>45348</v>
      </c>
      <c r="F1395" t="s">
        <v>36</v>
      </c>
      <c r="G1395">
        <v>50202.53</v>
      </c>
      <c r="H1395" s="1"/>
      <c r="I1395" t="s">
        <v>555</v>
      </c>
      <c r="J1395" t="s">
        <v>556</v>
      </c>
      <c r="L1395">
        <v>50202.53</v>
      </c>
      <c r="M1395">
        <f>IF(F1395="INR",1,INDEX('rates'!$B$2:$C$522,MATCH(D1395,'rates'!$A$2:$A$522,1),MATCH(F1395&amp;"/INR",'rates'!$B$1:$C$1,0)))</f>
        <v>83.11</v>
      </c>
      <c r="N1395">
        <f t="shared" si="112"/>
        <v>4172332.2682999996</v>
      </c>
      <c r="O1395">
        <f t="shared" si="113"/>
        <v>0</v>
      </c>
      <c r="P1395">
        <f t="shared" si="114"/>
        <v>0</v>
      </c>
      <c r="Q1395" t="str">
        <f t="shared" si="116"/>
        <v/>
      </c>
      <c r="R1395" t="str">
        <f t="shared" si="115"/>
        <v>Not open</v>
      </c>
    </row>
    <row r="1396" spans="1:18" x14ac:dyDescent="0.3">
      <c r="A1396" t="s">
        <v>1587</v>
      </c>
      <c r="B1396" t="s">
        <v>192</v>
      </c>
      <c r="C1396" t="s">
        <v>560</v>
      </c>
      <c r="D1396" s="1">
        <v>45318</v>
      </c>
      <c r="E1396" s="1">
        <v>45378</v>
      </c>
      <c r="F1396" t="s">
        <v>13</v>
      </c>
      <c r="G1396">
        <v>4856448</v>
      </c>
      <c r="H1396" s="1">
        <v>45401</v>
      </c>
      <c r="I1396" t="s">
        <v>555</v>
      </c>
      <c r="J1396" t="s">
        <v>556</v>
      </c>
      <c r="L1396">
        <v>4856448</v>
      </c>
      <c r="M1396">
        <f>IF(F1396="INR",1,INDEX('rates'!$B$2:$C$522,MATCH(D1396,'rates'!$A$2:$A$522,1),MATCH(F1396&amp;"/INR",'rates'!$B$1:$C$1,0)))</f>
        <v>1</v>
      </c>
      <c r="N1396">
        <f t="shared" si="112"/>
        <v>4856448</v>
      </c>
      <c r="O1396">
        <f t="shared" si="113"/>
        <v>0</v>
      </c>
      <c r="P1396">
        <f t="shared" si="114"/>
        <v>0</v>
      </c>
      <c r="Q1396">
        <f t="shared" si="116"/>
        <v>23</v>
      </c>
      <c r="R1396" t="str">
        <f t="shared" si="115"/>
        <v>Not open</v>
      </c>
    </row>
    <row r="1397" spans="1:18" x14ac:dyDescent="0.3">
      <c r="A1397" t="s">
        <v>1588</v>
      </c>
      <c r="B1397" t="s">
        <v>518</v>
      </c>
      <c r="C1397" t="s">
        <v>558</v>
      </c>
      <c r="D1397" s="1">
        <v>45318</v>
      </c>
      <c r="E1397" s="1">
        <v>45363</v>
      </c>
      <c r="F1397" t="s">
        <v>13</v>
      </c>
      <c r="G1397">
        <v>10053211</v>
      </c>
      <c r="H1397" s="1">
        <v>45453</v>
      </c>
      <c r="I1397" t="s">
        <v>555</v>
      </c>
      <c r="J1397" t="s">
        <v>556</v>
      </c>
      <c r="L1397">
        <v>10053211</v>
      </c>
      <c r="M1397">
        <f>IF(F1397="INR",1,INDEX('rates'!$B$2:$C$522,MATCH(D1397,'rates'!$A$2:$A$522,1),MATCH(F1397&amp;"/INR",'rates'!$B$1:$C$1,0)))</f>
        <v>1</v>
      </c>
      <c r="N1397">
        <f t="shared" si="112"/>
        <v>10053211</v>
      </c>
      <c r="O1397">
        <f t="shared" si="113"/>
        <v>0</v>
      </c>
      <c r="P1397">
        <f t="shared" si="114"/>
        <v>0</v>
      </c>
      <c r="Q1397">
        <f t="shared" si="116"/>
        <v>90</v>
      </c>
      <c r="R1397" t="str">
        <f t="shared" si="115"/>
        <v>Not open</v>
      </c>
    </row>
    <row r="1398" spans="1:18" x14ac:dyDescent="0.3">
      <c r="A1398" t="s">
        <v>1589</v>
      </c>
      <c r="B1398" t="s">
        <v>436</v>
      </c>
      <c r="C1398" t="s">
        <v>566</v>
      </c>
      <c r="D1398" s="1">
        <v>45320</v>
      </c>
      <c r="E1398" s="1">
        <v>45365</v>
      </c>
      <c r="F1398" t="s">
        <v>36</v>
      </c>
      <c r="G1398">
        <v>145172.74</v>
      </c>
      <c r="H1398" s="1">
        <v>45378</v>
      </c>
      <c r="I1398" t="s">
        <v>555</v>
      </c>
      <c r="J1398" t="s">
        <v>556</v>
      </c>
      <c r="L1398">
        <v>145172.74</v>
      </c>
      <c r="M1398">
        <f>IF(F1398="INR",1,INDEX('rates'!$B$2:$C$522,MATCH(D1398,'rates'!$A$2:$A$522,1),MATCH(F1398&amp;"/INR",'rates'!$B$1:$C$1,0)))</f>
        <v>83.12</v>
      </c>
      <c r="N1398">
        <f t="shared" si="112"/>
        <v>12066758.148800001</v>
      </c>
      <c r="O1398">
        <f t="shared" si="113"/>
        <v>0</v>
      </c>
      <c r="P1398">
        <f t="shared" si="114"/>
        <v>0</v>
      </c>
      <c r="Q1398">
        <f t="shared" si="116"/>
        <v>13</v>
      </c>
      <c r="R1398" t="str">
        <f t="shared" si="115"/>
        <v>Not open</v>
      </c>
    </row>
    <row r="1399" spans="1:18" x14ac:dyDescent="0.3">
      <c r="A1399" t="s">
        <v>1590</v>
      </c>
      <c r="B1399" t="s">
        <v>466</v>
      </c>
      <c r="C1399" t="s">
        <v>560</v>
      </c>
      <c r="D1399" s="1">
        <v>45320</v>
      </c>
      <c r="E1399" s="1">
        <v>45380</v>
      </c>
      <c r="F1399" t="s">
        <v>31</v>
      </c>
      <c r="G1399">
        <v>49397.29</v>
      </c>
      <c r="H1399" s="1">
        <v>45391</v>
      </c>
      <c r="I1399" t="s">
        <v>555</v>
      </c>
      <c r="J1399" t="s">
        <v>556</v>
      </c>
      <c r="L1399">
        <v>49397.29</v>
      </c>
      <c r="M1399">
        <f>IF(F1399="INR",1,INDEX('rates'!$B$2:$C$522,MATCH(D1399,'rates'!$A$2:$A$522,1),MATCH(F1399&amp;"/INR",'rates'!$B$1:$C$1,0)))</f>
        <v>89.827799999999996</v>
      </c>
      <c r="N1399">
        <f t="shared" si="112"/>
        <v>4437249.8866619999</v>
      </c>
      <c r="O1399">
        <f t="shared" si="113"/>
        <v>0</v>
      </c>
      <c r="P1399">
        <f t="shared" si="114"/>
        <v>0</v>
      </c>
      <c r="Q1399">
        <f t="shared" si="116"/>
        <v>11</v>
      </c>
      <c r="R1399" t="str">
        <f t="shared" si="115"/>
        <v>Not open</v>
      </c>
    </row>
    <row r="1400" spans="1:18" x14ac:dyDescent="0.3">
      <c r="A1400" t="s">
        <v>1591</v>
      </c>
      <c r="B1400" t="s">
        <v>25</v>
      </c>
      <c r="C1400" t="s">
        <v>560</v>
      </c>
      <c r="D1400" s="1">
        <v>45321</v>
      </c>
      <c r="E1400" s="1">
        <v>45351</v>
      </c>
      <c r="F1400" t="s">
        <v>13</v>
      </c>
      <c r="G1400">
        <v>29070155</v>
      </c>
      <c r="H1400" s="1">
        <v>45354</v>
      </c>
      <c r="I1400" t="s">
        <v>555</v>
      </c>
      <c r="J1400" t="s">
        <v>556</v>
      </c>
      <c r="L1400">
        <v>29070155</v>
      </c>
      <c r="M1400">
        <f>IF(F1400="INR",1,INDEX('rates'!$B$2:$C$522,MATCH(D1400,'rates'!$A$2:$A$522,1),MATCH(F1400&amp;"/INR",'rates'!$B$1:$C$1,0)))</f>
        <v>1</v>
      </c>
      <c r="N1400">
        <f t="shared" si="112"/>
        <v>29070155</v>
      </c>
      <c r="O1400">
        <f t="shared" si="113"/>
        <v>0</v>
      </c>
      <c r="P1400">
        <f t="shared" si="114"/>
        <v>0</v>
      </c>
      <c r="Q1400">
        <f t="shared" si="116"/>
        <v>3</v>
      </c>
      <c r="R1400" t="str">
        <f t="shared" si="115"/>
        <v>Not open</v>
      </c>
    </row>
    <row r="1401" spans="1:18" x14ac:dyDescent="0.3">
      <c r="A1401" t="s">
        <v>1592</v>
      </c>
      <c r="B1401" t="s">
        <v>346</v>
      </c>
      <c r="C1401" t="s">
        <v>575</v>
      </c>
      <c r="D1401" s="1">
        <v>45321</v>
      </c>
      <c r="E1401" s="1">
        <v>45411</v>
      </c>
      <c r="F1401" t="s">
        <v>13</v>
      </c>
      <c r="G1401">
        <v>8719785</v>
      </c>
      <c r="H1401" s="1">
        <v>45413</v>
      </c>
      <c r="I1401" t="s">
        <v>555</v>
      </c>
      <c r="J1401" t="s">
        <v>556</v>
      </c>
      <c r="L1401">
        <v>8719785</v>
      </c>
      <c r="M1401">
        <f>IF(F1401="INR",1,INDEX('rates'!$B$2:$C$522,MATCH(D1401,'rates'!$A$2:$A$522,1),MATCH(F1401&amp;"/INR",'rates'!$B$1:$C$1,0)))</f>
        <v>1</v>
      </c>
      <c r="N1401">
        <f t="shared" si="112"/>
        <v>8719785</v>
      </c>
      <c r="O1401">
        <f t="shared" si="113"/>
        <v>0</v>
      </c>
      <c r="P1401">
        <f t="shared" si="114"/>
        <v>0</v>
      </c>
      <c r="Q1401">
        <f t="shared" si="116"/>
        <v>2</v>
      </c>
      <c r="R1401" t="str">
        <f t="shared" si="115"/>
        <v>Not open</v>
      </c>
    </row>
    <row r="1402" spans="1:18" x14ac:dyDescent="0.3">
      <c r="A1402" t="s">
        <v>1593</v>
      </c>
      <c r="B1402" t="s">
        <v>400</v>
      </c>
      <c r="C1402" t="s">
        <v>558</v>
      </c>
      <c r="D1402" s="1">
        <v>45321</v>
      </c>
      <c r="E1402" s="1">
        <v>45366</v>
      </c>
      <c r="F1402" t="s">
        <v>36</v>
      </c>
      <c r="G1402">
        <v>558231.05000000005</v>
      </c>
      <c r="H1402" s="1">
        <v>45490</v>
      </c>
      <c r="I1402" t="s">
        <v>555</v>
      </c>
      <c r="J1402" t="s">
        <v>556</v>
      </c>
      <c r="L1402">
        <v>558231.05000000005</v>
      </c>
      <c r="M1402">
        <f>IF(F1402="INR",1,INDEX('rates'!$B$2:$C$522,MATCH(D1402,'rates'!$A$2:$A$522,1),MATCH(F1402&amp;"/INR",'rates'!$B$1:$C$1,0)))</f>
        <v>83.11</v>
      </c>
      <c r="N1402">
        <f t="shared" si="112"/>
        <v>46394582.565500006</v>
      </c>
      <c r="O1402">
        <f t="shared" si="113"/>
        <v>0</v>
      </c>
      <c r="P1402">
        <f t="shared" si="114"/>
        <v>0</v>
      </c>
      <c r="Q1402">
        <f t="shared" si="116"/>
        <v>124</v>
      </c>
      <c r="R1402" t="str">
        <f t="shared" si="115"/>
        <v>Not open</v>
      </c>
    </row>
    <row r="1403" spans="1:18" x14ac:dyDescent="0.3">
      <c r="A1403" t="s">
        <v>1594</v>
      </c>
      <c r="B1403" t="s">
        <v>516</v>
      </c>
      <c r="C1403" t="s">
        <v>560</v>
      </c>
      <c r="D1403" s="1">
        <v>45321</v>
      </c>
      <c r="E1403" s="1">
        <v>45381</v>
      </c>
      <c r="F1403" t="s">
        <v>13</v>
      </c>
      <c r="G1403">
        <v>36491883</v>
      </c>
      <c r="H1403" s="1">
        <v>45391</v>
      </c>
      <c r="I1403" t="s">
        <v>555</v>
      </c>
      <c r="J1403" t="s">
        <v>556</v>
      </c>
      <c r="L1403">
        <v>36491883</v>
      </c>
      <c r="M1403">
        <f>IF(F1403="INR",1,INDEX('rates'!$B$2:$C$522,MATCH(D1403,'rates'!$A$2:$A$522,1),MATCH(F1403&amp;"/INR",'rates'!$B$1:$C$1,0)))</f>
        <v>1</v>
      </c>
      <c r="N1403">
        <f t="shared" si="112"/>
        <v>36491883</v>
      </c>
      <c r="O1403">
        <f t="shared" si="113"/>
        <v>0</v>
      </c>
      <c r="P1403">
        <f t="shared" si="114"/>
        <v>0</v>
      </c>
      <c r="Q1403">
        <f t="shared" si="116"/>
        <v>10</v>
      </c>
      <c r="R1403" t="str">
        <f t="shared" si="115"/>
        <v>Not open</v>
      </c>
    </row>
    <row r="1404" spans="1:18" x14ac:dyDescent="0.3">
      <c r="A1404" t="s">
        <v>1595</v>
      </c>
      <c r="B1404" t="s">
        <v>87</v>
      </c>
      <c r="C1404" t="s">
        <v>566</v>
      </c>
      <c r="D1404" s="1">
        <v>45322</v>
      </c>
      <c r="E1404" s="1">
        <v>45367</v>
      </c>
      <c r="F1404" t="s">
        <v>36</v>
      </c>
      <c r="G1404">
        <v>31742.240000000002</v>
      </c>
      <c r="H1404" s="1">
        <v>45390</v>
      </c>
      <c r="I1404" t="s">
        <v>555</v>
      </c>
      <c r="J1404" t="s">
        <v>573</v>
      </c>
      <c r="K1404">
        <v>83.227500000000006</v>
      </c>
      <c r="L1404">
        <v>31742.240000000002</v>
      </c>
      <c r="M1404">
        <f>IF(F1404="INR",1,INDEX('rates'!$B$2:$C$522,MATCH(D1404,'rates'!$A$2:$A$522,1),MATCH(F1404&amp;"/INR",'rates'!$B$1:$C$1,0)))</f>
        <v>83.02</v>
      </c>
      <c r="N1404">
        <f t="shared" si="112"/>
        <v>2635240.7648</v>
      </c>
      <c r="O1404">
        <f t="shared" si="113"/>
        <v>0</v>
      </c>
      <c r="P1404">
        <f t="shared" si="114"/>
        <v>0</v>
      </c>
      <c r="Q1404">
        <f t="shared" si="116"/>
        <v>23</v>
      </c>
      <c r="R1404" t="str">
        <f t="shared" si="115"/>
        <v>Not open</v>
      </c>
    </row>
    <row r="1405" spans="1:18" x14ac:dyDescent="0.3">
      <c r="A1405" t="s">
        <v>1596</v>
      </c>
      <c r="B1405" t="s">
        <v>242</v>
      </c>
      <c r="C1405" t="s">
        <v>560</v>
      </c>
      <c r="D1405" s="1">
        <v>45322</v>
      </c>
      <c r="E1405" s="1">
        <v>45382</v>
      </c>
      <c r="F1405" t="s">
        <v>36</v>
      </c>
      <c r="G1405">
        <v>65268.92</v>
      </c>
      <c r="H1405" s="1">
        <v>45394</v>
      </c>
      <c r="I1405" t="s">
        <v>555</v>
      </c>
      <c r="J1405" t="s">
        <v>556</v>
      </c>
      <c r="L1405">
        <v>65268.92</v>
      </c>
      <c r="M1405">
        <f>IF(F1405="INR",1,INDEX('rates'!$B$2:$C$522,MATCH(D1405,'rates'!$A$2:$A$522,1),MATCH(F1405&amp;"/INR",'rates'!$B$1:$C$1,0)))</f>
        <v>83.02</v>
      </c>
      <c r="N1405">
        <f t="shared" si="112"/>
        <v>5418625.7383999992</v>
      </c>
      <c r="O1405">
        <f t="shared" si="113"/>
        <v>0</v>
      </c>
      <c r="P1405">
        <f t="shared" si="114"/>
        <v>0</v>
      </c>
      <c r="Q1405">
        <f t="shared" si="116"/>
        <v>12</v>
      </c>
      <c r="R1405" t="str">
        <f t="shared" si="115"/>
        <v>Not open</v>
      </c>
    </row>
    <row r="1406" spans="1:18" x14ac:dyDescent="0.3">
      <c r="A1406" t="s">
        <v>1597</v>
      </c>
      <c r="B1406" t="s">
        <v>406</v>
      </c>
      <c r="C1406" t="s">
        <v>554</v>
      </c>
      <c r="D1406" s="1">
        <v>45322</v>
      </c>
      <c r="E1406" s="1">
        <v>45412</v>
      </c>
      <c r="F1406" t="s">
        <v>13</v>
      </c>
      <c r="G1406">
        <v>9001603</v>
      </c>
      <c r="H1406" s="1">
        <v>45411</v>
      </c>
      <c r="I1406" t="s">
        <v>555</v>
      </c>
      <c r="J1406" t="s">
        <v>556</v>
      </c>
      <c r="L1406">
        <v>9001603</v>
      </c>
      <c r="M1406">
        <f>IF(F1406="INR",1,INDEX('rates'!$B$2:$C$522,MATCH(D1406,'rates'!$A$2:$A$522,1),MATCH(F1406&amp;"/INR",'rates'!$B$1:$C$1,0)))</f>
        <v>1</v>
      </c>
      <c r="N1406">
        <f t="shared" si="112"/>
        <v>9001603</v>
      </c>
      <c r="O1406">
        <f t="shared" si="113"/>
        <v>0</v>
      </c>
      <c r="P1406">
        <f t="shared" si="114"/>
        <v>0</v>
      </c>
      <c r="Q1406">
        <f t="shared" si="116"/>
        <v>-1</v>
      </c>
      <c r="R1406" t="str">
        <f t="shared" si="115"/>
        <v>Not open</v>
      </c>
    </row>
    <row r="1407" spans="1:18" x14ac:dyDescent="0.3">
      <c r="A1407" t="s">
        <v>1598</v>
      </c>
      <c r="B1407" t="s">
        <v>140</v>
      </c>
      <c r="C1407" t="s">
        <v>554</v>
      </c>
      <c r="D1407" s="1">
        <v>45323</v>
      </c>
      <c r="E1407" s="1">
        <v>45383</v>
      </c>
      <c r="F1407" t="s">
        <v>13</v>
      </c>
      <c r="G1407">
        <v>8547963</v>
      </c>
      <c r="H1407" s="1">
        <v>45381</v>
      </c>
      <c r="I1407" t="s">
        <v>555</v>
      </c>
      <c r="J1407" t="s">
        <v>556</v>
      </c>
      <c r="L1407">
        <v>8547963</v>
      </c>
      <c r="M1407">
        <f>IF(F1407="INR",1,INDEX('rates'!$B$2:$C$522,MATCH(D1407,'rates'!$A$2:$A$522,1),MATCH(F1407&amp;"/INR",'rates'!$B$1:$C$1,0)))</f>
        <v>1</v>
      </c>
      <c r="N1407">
        <f t="shared" si="112"/>
        <v>8547963</v>
      </c>
      <c r="O1407">
        <f t="shared" si="113"/>
        <v>0</v>
      </c>
      <c r="P1407">
        <f t="shared" si="114"/>
        <v>0</v>
      </c>
      <c r="Q1407">
        <f t="shared" si="116"/>
        <v>-2</v>
      </c>
      <c r="R1407" t="str">
        <f t="shared" si="115"/>
        <v>Not open</v>
      </c>
    </row>
    <row r="1408" spans="1:18" x14ac:dyDescent="0.3">
      <c r="A1408" t="s">
        <v>1599</v>
      </c>
      <c r="B1408" t="s">
        <v>208</v>
      </c>
      <c r="C1408" t="s">
        <v>554</v>
      </c>
      <c r="D1408" s="1">
        <v>45323</v>
      </c>
      <c r="E1408" s="1">
        <v>45368</v>
      </c>
      <c r="F1408" t="s">
        <v>13</v>
      </c>
      <c r="G1408">
        <v>4388422</v>
      </c>
      <c r="H1408" s="1">
        <v>45363</v>
      </c>
      <c r="I1408" t="s">
        <v>555</v>
      </c>
      <c r="J1408" t="s">
        <v>556</v>
      </c>
      <c r="L1408">
        <v>4388422</v>
      </c>
      <c r="M1408">
        <f>IF(F1408="INR",1,INDEX('rates'!$B$2:$C$522,MATCH(D1408,'rates'!$A$2:$A$522,1),MATCH(F1408&amp;"/INR",'rates'!$B$1:$C$1,0)))</f>
        <v>1</v>
      </c>
      <c r="N1408">
        <f t="shared" si="112"/>
        <v>4388422</v>
      </c>
      <c r="O1408">
        <f t="shared" si="113"/>
        <v>0</v>
      </c>
      <c r="P1408">
        <f t="shared" si="114"/>
        <v>0</v>
      </c>
      <c r="Q1408">
        <f t="shared" si="116"/>
        <v>-5</v>
      </c>
      <c r="R1408" t="str">
        <f t="shared" si="115"/>
        <v>Not open</v>
      </c>
    </row>
    <row r="1409" spans="1:18" x14ac:dyDescent="0.3">
      <c r="A1409" t="s">
        <v>1600</v>
      </c>
      <c r="B1409" t="s">
        <v>270</v>
      </c>
      <c r="C1409" t="s">
        <v>558</v>
      </c>
      <c r="D1409" s="1">
        <v>45323</v>
      </c>
      <c r="E1409" s="1">
        <v>45383</v>
      </c>
      <c r="F1409" t="s">
        <v>31</v>
      </c>
      <c r="G1409">
        <v>25052.880000000001</v>
      </c>
      <c r="H1409" s="1">
        <v>45426</v>
      </c>
      <c r="I1409" t="s">
        <v>555</v>
      </c>
      <c r="J1409" t="s">
        <v>556</v>
      </c>
      <c r="L1409">
        <v>25052.880000000001</v>
      </c>
      <c r="M1409">
        <f>IF(F1409="INR",1,INDEX('rates'!$B$2:$C$522,MATCH(D1409,'rates'!$A$2:$A$522,1),MATCH(F1409&amp;"/INR",'rates'!$B$1:$C$1,0)))</f>
        <v>90.125200000000007</v>
      </c>
      <c r="N1409">
        <f t="shared" si="112"/>
        <v>2257895.820576</v>
      </c>
      <c r="O1409">
        <f t="shared" si="113"/>
        <v>0</v>
      </c>
      <c r="P1409">
        <f t="shared" si="114"/>
        <v>0</v>
      </c>
      <c r="Q1409">
        <f t="shared" si="116"/>
        <v>43</v>
      </c>
      <c r="R1409" t="str">
        <f t="shared" si="115"/>
        <v>Not open</v>
      </c>
    </row>
    <row r="1410" spans="1:18" x14ac:dyDescent="0.3">
      <c r="A1410" t="s">
        <v>1601</v>
      </c>
      <c r="B1410" t="s">
        <v>272</v>
      </c>
      <c r="C1410" t="s">
        <v>575</v>
      </c>
      <c r="D1410" s="1">
        <v>45323</v>
      </c>
      <c r="E1410" s="1">
        <v>45368</v>
      </c>
      <c r="F1410" t="s">
        <v>13</v>
      </c>
      <c r="G1410">
        <v>18574643</v>
      </c>
      <c r="H1410" s="1">
        <v>45389</v>
      </c>
      <c r="I1410" t="s">
        <v>555</v>
      </c>
      <c r="J1410" t="s">
        <v>556</v>
      </c>
      <c r="L1410">
        <v>18574643</v>
      </c>
      <c r="M1410">
        <f>IF(F1410="INR",1,INDEX('rates'!$B$2:$C$522,MATCH(D1410,'rates'!$A$2:$A$522,1),MATCH(F1410&amp;"/INR",'rates'!$B$1:$C$1,0)))</f>
        <v>1</v>
      </c>
      <c r="N1410">
        <f t="shared" ref="N1410:N1473" si="117">G1410*M1410</f>
        <v>18574643</v>
      </c>
      <c r="O1410">
        <f t="shared" ref="O1410:O1473" si="118">IF(OR(I1410="OPEN",I1410="PARTIALLY PAID"),(G1410-L1410)*M1410,0)</f>
        <v>0</v>
      </c>
      <c r="P1410">
        <f t="shared" ref="P1410:P1473" si="119">IF(O1410&gt;0,MAX(0,DATE(2025,3,31)-E1410),0)</f>
        <v>0</v>
      </c>
      <c r="Q1410">
        <f t="shared" si="116"/>
        <v>21</v>
      </c>
      <c r="R1410" t="str">
        <f t="shared" ref="R1410:R1473" si="120">IF(O1410=0,"Not open",IF(P1410=0,"Not yet due",IF(P1410&lt;=30,"1-30",IF(P1410&lt;=60,"31-60",IF(P1410&lt;=90,"61-90","90+")))))</f>
        <v>Not open</v>
      </c>
    </row>
    <row r="1411" spans="1:18" x14ac:dyDescent="0.3">
      <c r="A1411" t="s">
        <v>1602</v>
      </c>
      <c r="B1411" t="s">
        <v>528</v>
      </c>
      <c r="C1411" t="s">
        <v>566</v>
      </c>
      <c r="D1411" s="1">
        <v>45323</v>
      </c>
      <c r="E1411" s="1">
        <v>45383</v>
      </c>
      <c r="F1411" t="s">
        <v>13</v>
      </c>
      <c r="G1411">
        <v>12360633</v>
      </c>
      <c r="H1411" s="1">
        <v>45412</v>
      </c>
      <c r="I1411" t="s">
        <v>555</v>
      </c>
      <c r="J1411" t="s">
        <v>556</v>
      </c>
      <c r="L1411">
        <v>12360633</v>
      </c>
      <c r="M1411">
        <f>IF(F1411="INR",1,INDEX('rates'!$B$2:$C$522,MATCH(D1411,'rates'!$A$2:$A$522,1),MATCH(F1411&amp;"/INR",'rates'!$B$1:$C$1,0)))</f>
        <v>1</v>
      </c>
      <c r="N1411">
        <f t="shared" si="117"/>
        <v>12360633</v>
      </c>
      <c r="O1411">
        <f t="shared" si="118"/>
        <v>0</v>
      </c>
      <c r="P1411">
        <f t="shared" si="119"/>
        <v>0</v>
      </c>
      <c r="Q1411">
        <f t="shared" si="116"/>
        <v>29</v>
      </c>
      <c r="R1411" t="str">
        <f t="shared" si="120"/>
        <v>Not open</v>
      </c>
    </row>
    <row r="1412" spans="1:18" x14ac:dyDescent="0.3">
      <c r="A1412" t="s">
        <v>1603</v>
      </c>
      <c r="B1412" t="s">
        <v>532</v>
      </c>
      <c r="C1412" t="s">
        <v>575</v>
      </c>
      <c r="D1412" s="1">
        <v>45323</v>
      </c>
      <c r="E1412" s="1">
        <v>45383</v>
      </c>
      <c r="F1412" t="s">
        <v>36</v>
      </c>
      <c r="G1412">
        <v>82103.81</v>
      </c>
      <c r="H1412" s="1">
        <v>45389</v>
      </c>
      <c r="I1412" t="s">
        <v>555</v>
      </c>
      <c r="J1412" t="s">
        <v>556</v>
      </c>
      <c r="L1412">
        <v>82103.81</v>
      </c>
      <c r="M1412">
        <f>IF(F1412="INR",1,INDEX('rates'!$B$2:$C$522,MATCH(D1412,'rates'!$A$2:$A$522,1),MATCH(F1412&amp;"/INR",'rates'!$B$1:$C$1,0)))</f>
        <v>82.95</v>
      </c>
      <c r="N1412">
        <f t="shared" si="117"/>
        <v>6810511.0395</v>
      </c>
      <c r="O1412">
        <f t="shared" si="118"/>
        <v>0</v>
      </c>
      <c r="P1412">
        <f t="shared" si="119"/>
        <v>0</v>
      </c>
      <c r="Q1412">
        <f t="shared" si="116"/>
        <v>6</v>
      </c>
      <c r="R1412" t="str">
        <f t="shared" si="120"/>
        <v>Not open</v>
      </c>
    </row>
    <row r="1413" spans="1:18" x14ac:dyDescent="0.3">
      <c r="A1413" t="s">
        <v>1604</v>
      </c>
      <c r="B1413" t="s">
        <v>42</v>
      </c>
      <c r="C1413" t="s">
        <v>566</v>
      </c>
      <c r="D1413" s="1">
        <v>45324</v>
      </c>
      <c r="E1413" s="1">
        <v>45384</v>
      </c>
      <c r="F1413" t="s">
        <v>13</v>
      </c>
      <c r="G1413">
        <v>14983652</v>
      </c>
      <c r="H1413" s="1">
        <v>45380</v>
      </c>
      <c r="I1413" t="s">
        <v>555</v>
      </c>
      <c r="J1413" t="s">
        <v>556</v>
      </c>
      <c r="L1413">
        <v>14983652</v>
      </c>
      <c r="M1413">
        <f>IF(F1413="INR",1,INDEX('rates'!$B$2:$C$522,MATCH(D1413,'rates'!$A$2:$A$522,1),MATCH(F1413&amp;"/INR",'rates'!$B$1:$C$1,0)))</f>
        <v>1</v>
      </c>
      <c r="N1413">
        <f t="shared" si="117"/>
        <v>14983652</v>
      </c>
      <c r="O1413">
        <f t="shared" si="118"/>
        <v>0</v>
      </c>
      <c r="P1413">
        <f t="shared" si="119"/>
        <v>0</v>
      </c>
      <c r="Q1413">
        <f t="shared" si="116"/>
        <v>-4</v>
      </c>
      <c r="R1413" t="str">
        <f t="shared" si="120"/>
        <v>Not open</v>
      </c>
    </row>
    <row r="1414" spans="1:18" x14ac:dyDescent="0.3">
      <c r="A1414" t="s">
        <v>1605</v>
      </c>
      <c r="B1414" t="s">
        <v>119</v>
      </c>
      <c r="C1414" t="s">
        <v>560</v>
      </c>
      <c r="D1414" s="1">
        <v>45324</v>
      </c>
      <c r="E1414" s="1">
        <v>45354</v>
      </c>
      <c r="F1414" t="s">
        <v>31</v>
      </c>
      <c r="G1414">
        <v>62428.11</v>
      </c>
      <c r="H1414" s="1">
        <v>45381</v>
      </c>
      <c r="I1414" t="s">
        <v>555</v>
      </c>
      <c r="J1414" t="s">
        <v>573</v>
      </c>
      <c r="K1414">
        <v>89.535200000000003</v>
      </c>
      <c r="L1414">
        <v>62428.11</v>
      </c>
      <c r="M1414">
        <f>IF(F1414="INR",1,INDEX('rates'!$B$2:$C$522,MATCH(D1414,'rates'!$A$2:$A$522,1),MATCH(F1414&amp;"/INR",'rates'!$B$1:$C$1,0)))</f>
        <v>89.445800000000006</v>
      </c>
      <c r="N1414">
        <f t="shared" si="117"/>
        <v>5583932.2414380005</v>
      </c>
      <c r="O1414">
        <f t="shared" si="118"/>
        <v>0</v>
      </c>
      <c r="P1414">
        <f t="shared" si="119"/>
        <v>0</v>
      </c>
      <c r="Q1414">
        <f t="shared" si="116"/>
        <v>27</v>
      </c>
      <c r="R1414" t="str">
        <f t="shared" si="120"/>
        <v>Not open</v>
      </c>
    </row>
    <row r="1415" spans="1:18" x14ac:dyDescent="0.3">
      <c r="A1415" t="s">
        <v>1606</v>
      </c>
      <c r="B1415" t="s">
        <v>312</v>
      </c>
      <c r="C1415" t="s">
        <v>554</v>
      </c>
      <c r="D1415" s="1">
        <v>45324</v>
      </c>
      <c r="E1415" s="1">
        <v>45384</v>
      </c>
      <c r="F1415" t="s">
        <v>13</v>
      </c>
      <c r="G1415">
        <v>5280377</v>
      </c>
      <c r="H1415" s="1">
        <v>45375</v>
      </c>
      <c r="I1415" t="s">
        <v>555</v>
      </c>
      <c r="J1415" t="s">
        <v>556</v>
      </c>
      <c r="L1415">
        <v>5280377</v>
      </c>
      <c r="M1415">
        <f>IF(F1415="INR",1,INDEX('rates'!$B$2:$C$522,MATCH(D1415,'rates'!$A$2:$A$522,1),MATCH(F1415&amp;"/INR",'rates'!$B$1:$C$1,0)))</f>
        <v>1</v>
      </c>
      <c r="N1415">
        <f t="shared" si="117"/>
        <v>5280377</v>
      </c>
      <c r="O1415">
        <f t="shared" si="118"/>
        <v>0</v>
      </c>
      <c r="P1415">
        <f t="shared" si="119"/>
        <v>0</v>
      </c>
      <c r="Q1415">
        <f t="shared" ref="Q1415:Q1446" si="121">IF(H1415="","",H1415-E1415)</f>
        <v>-9</v>
      </c>
      <c r="R1415" t="str">
        <f t="shared" si="120"/>
        <v>Not open</v>
      </c>
    </row>
    <row r="1416" spans="1:18" x14ac:dyDescent="0.3">
      <c r="A1416" t="s">
        <v>1607</v>
      </c>
      <c r="B1416" t="s">
        <v>87</v>
      </c>
      <c r="C1416" t="s">
        <v>566</v>
      </c>
      <c r="D1416" s="1">
        <v>45325</v>
      </c>
      <c r="E1416" s="1">
        <v>45370</v>
      </c>
      <c r="F1416" t="s">
        <v>36</v>
      </c>
      <c r="G1416">
        <v>103045.54</v>
      </c>
      <c r="H1416" s="1">
        <v>45416</v>
      </c>
      <c r="I1416" t="s">
        <v>555</v>
      </c>
      <c r="J1416" t="s">
        <v>573</v>
      </c>
      <c r="K1416">
        <v>83.127300000000005</v>
      </c>
      <c r="L1416">
        <v>103045.54</v>
      </c>
      <c r="M1416">
        <f>IF(F1416="INR",1,INDEX('rates'!$B$2:$C$522,MATCH(D1416,'rates'!$A$2:$A$522,1),MATCH(F1416&amp;"/INR",'rates'!$B$1:$C$1,0)))</f>
        <v>82.92</v>
      </c>
      <c r="N1416">
        <f t="shared" si="117"/>
        <v>8544536.1767999995</v>
      </c>
      <c r="O1416">
        <f t="shared" si="118"/>
        <v>0</v>
      </c>
      <c r="P1416">
        <f t="shared" si="119"/>
        <v>0</v>
      </c>
      <c r="Q1416">
        <f t="shared" si="121"/>
        <v>46</v>
      </c>
      <c r="R1416" t="str">
        <f t="shared" si="120"/>
        <v>Not open</v>
      </c>
    </row>
    <row r="1417" spans="1:18" x14ac:dyDescent="0.3">
      <c r="A1417" t="s">
        <v>1608</v>
      </c>
      <c r="B1417" t="s">
        <v>144</v>
      </c>
      <c r="C1417" t="s">
        <v>554</v>
      </c>
      <c r="D1417" s="1">
        <v>45325</v>
      </c>
      <c r="E1417" s="1">
        <v>45355</v>
      </c>
      <c r="F1417" t="s">
        <v>13</v>
      </c>
      <c r="G1417">
        <v>30782503</v>
      </c>
      <c r="H1417" s="1">
        <v>45374</v>
      </c>
      <c r="I1417" t="s">
        <v>555</v>
      </c>
      <c r="J1417" t="s">
        <v>556</v>
      </c>
      <c r="L1417">
        <v>30782503</v>
      </c>
      <c r="M1417">
        <f>IF(F1417="INR",1,INDEX('rates'!$B$2:$C$522,MATCH(D1417,'rates'!$A$2:$A$522,1),MATCH(F1417&amp;"/INR",'rates'!$B$1:$C$1,0)))</f>
        <v>1</v>
      </c>
      <c r="N1417">
        <f t="shared" si="117"/>
        <v>30782503</v>
      </c>
      <c r="O1417">
        <f t="shared" si="118"/>
        <v>0</v>
      </c>
      <c r="P1417">
        <f t="shared" si="119"/>
        <v>0</v>
      </c>
      <c r="Q1417">
        <f t="shared" si="121"/>
        <v>19</v>
      </c>
      <c r="R1417" t="str">
        <f t="shared" si="120"/>
        <v>Not open</v>
      </c>
    </row>
    <row r="1418" spans="1:18" x14ac:dyDescent="0.3">
      <c r="A1418" t="s">
        <v>1610</v>
      </c>
      <c r="B1418" t="s">
        <v>270</v>
      </c>
      <c r="C1418" t="s">
        <v>558</v>
      </c>
      <c r="D1418" s="1">
        <v>45325</v>
      </c>
      <c r="E1418" s="1">
        <v>45385</v>
      </c>
      <c r="F1418" t="s">
        <v>31</v>
      </c>
      <c r="G1418">
        <v>33891</v>
      </c>
      <c r="H1418" s="1">
        <v>45396</v>
      </c>
      <c r="I1418" t="s">
        <v>555</v>
      </c>
      <c r="J1418" t="s">
        <v>556</v>
      </c>
      <c r="L1418">
        <v>33891</v>
      </c>
      <c r="M1418">
        <f>IF(F1418="INR",1,INDEX('rates'!$B$2:$C$522,MATCH(D1418,'rates'!$A$2:$A$522,1),MATCH(F1418&amp;"/INR",'rates'!$B$1:$C$1,0)))</f>
        <v>89.445800000000006</v>
      </c>
      <c r="N1418">
        <f t="shared" si="117"/>
        <v>3031407.6078000003</v>
      </c>
      <c r="O1418">
        <f t="shared" si="118"/>
        <v>0</v>
      </c>
      <c r="P1418">
        <f t="shared" si="119"/>
        <v>0</v>
      </c>
      <c r="Q1418">
        <f t="shared" si="121"/>
        <v>11</v>
      </c>
      <c r="R1418" t="str">
        <f t="shared" si="120"/>
        <v>Not open</v>
      </c>
    </row>
    <row r="1419" spans="1:18" x14ac:dyDescent="0.3">
      <c r="A1419" t="s">
        <v>1611</v>
      </c>
      <c r="B1419" t="s">
        <v>292</v>
      </c>
      <c r="C1419" t="s">
        <v>566</v>
      </c>
      <c r="D1419" s="1">
        <v>45325</v>
      </c>
      <c r="E1419" s="1">
        <v>45385</v>
      </c>
      <c r="F1419" t="s">
        <v>31</v>
      </c>
      <c r="G1419">
        <v>69127.39</v>
      </c>
      <c r="H1419" s="1">
        <v>45398</v>
      </c>
      <c r="I1419" t="s">
        <v>555</v>
      </c>
      <c r="J1419" t="s">
        <v>556</v>
      </c>
      <c r="L1419">
        <v>69127.39</v>
      </c>
      <c r="M1419">
        <f>IF(F1419="INR",1,INDEX('rates'!$B$2:$C$522,MATCH(D1419,'rates'!$A$2:$A$522,1),MATCH(F1419&amp;"/INR",'rates'!$B$1:$C$1,0)))</f>
        <v>89.445800000000006</v>
      </c>
      <c r="N1419">
        <f t="shared" si="117"/>
        <v>6183154.7004620004</v>
      </c>
      <c r="O1419">
        <f t="shared" si="118"/>
        <v>0</v>
      </c>
      <c r="P1419">
        <f t="shared" si="119"/>
        <v>0</v>
      </c>
      <c r="Q1419">
        <f t="shared" si="121"/>
        <v>13</v>
      </c>
      <c r="R1419" t="str">
        <f t="shared" si="120"/>
        <v>Not open</v>
      </c>
    </row>
    <row r="1420" spans="1:18" x14ac:dyDescent="0.3">
      <c r="A1420" t="s">
        <v>1612</v>
      </c>
      <c r="B1420" t="s">
        <v>312</v>
      </c>
      <c r="C1420" t="s">
        <v>554</v>
      </c>
      <c r="D1420" s="1">
        <v>45325</v>
      </c>
      <c r="E1420" s="1">
        <v>45385</v>
      </c>
      <c r="F1420" t="s">
        <v>13</v>
      </c>
      <c r="G1420">
        <v>5550434</v>
      </c>
      <c r="H1420" s="1">
        <v>45379</v>
      </c>
      <c r="I1420" t="s">
        <v>555</v>
      </c>
      <c r="J1420" t="s">
        <v>556</v>
      </c>
      <c r="L1420">
        <v>5550434</v>
      </c>
      <c r="M1420">
        <f>IF(F1420="INR",1,INDEX('rates'!$B$2:$C$522,MATCH(D1420,'rates'!$A$2:$A$522,1),MATCH(F1420&amp;"/INR",'rates'!$B$1:$C$1,0)))</f>
        <v>1</v>
      </c>
      <c r="N1420">
        <f t="shared" si="117"/>
        <v>5550434</v>
      </c>
      <c r="O1420">
        <f t="shared" si="118"/>
        <v>0</v>
      </c>
      <c r="P1420">
        <f t="shared" si="119"/>
        <v>0</v>
      </c>
      <c r="Q1420">
        <f t="shared" si="121"/>
        <v>-6</v>
      </c>
      <c r="R1420" t="str">
        <f t="shared" si="120"/>
        <v>Not open</v>
      </c>
    </row>
    <row r="1421" spans="1:18" x14ac:dyDescent="0.3">
      <c r="A1421" t="s">
        <v>1613</v>
      </c>
      <c r="B1421" t="s">
        <v>466</v>
      </c>
      <c r="C1421" t="s">
        <v>560</v>
      </c>
      <c r="D1421" s="1">
        <v>45325</v>
      </c>
      <c r="E1421" s="1">
        <v>45385</v>
      </c>
      <c r="F1421" t="s">
        <v>31</v>
      </c>
      <c r="G1421">
        <v>84896.91</v>
      </c>
      <c r="H1421" s="1">
        <v>45386</v>
      </c>
      <c r="I1421" t="s">
        <v>555</v>
      </c>
      <c r="J1421" t="s">
        <v>573</v>
      </c>
      <c r="K1421">
        <v>89.624700000000004</v>
      </c>
      <c r="L1421">
        <v>84896.91</v>
      </c>
      <c r="M1421">
        <f>IF(F1421="INR",1,INDEX('rates'!$B$2:$C$522,MATCH(D1421,'rates'!$A$2:$A$522,1),MATCH(F1421&amp;"/INR",'rates'!$B$1:$C$1,0)))</f>
        <v>89.445800000000006</v>
      </c>
      <c r="N1421">
        <f t="shared" si="117"/>
        <v>7593672.032478001</v>
      </c>
      <c r="O1421">
        <f t="shared" si="118"/>
        <v>0</v>
      </c>
      <c r="P1421">
        <f t="shared" si="119"/>
        <v>0</v>
      </c>
      <c r="Q1421">
        <f t="shared" si="121"/>
        <v>1</v>
      </c>
      <c r="R1421" t="str">
        <f t="shared" si="120"/>
        <v>Not open</v>
      </c>
    </row>
    <row r="1422" spans="1:18" x14ac:dyDescent="0.3">
      <c r="A1422" t="s">
        <v>1614</v>
      </c>
      <c r="B1422" t="s">
        <v>472</v>
      </c>
      <c r="C1422" t="s">
        <v>558</v>
      </c>
      <c r="D1422" s="1">
        <v>45325</v>
      </c>
      <c r="E1422" s="1">
        <v>45385</v>
      </c>
      <c r="F1422" t="s">
        <v>36</v>
      </c>
      <c r="G1422">
        <v>24461.119999999999</v>
      </c>
      <c r="H1422" s="1">
        <v>45384</v>
      </c>
      <c r="I1422" t="s">
        <v>555</v>
      </c>
      <c r="J1422" t="s">
        <v>573</v>
      </c>
      <c r="K1422">
        <v>83.196399999999997</v>
      </c>
      <c r="L1422">
        <v>24461.119999999999</v>
      </c>
      <c r="M1422">
        <f>IF(F1422="INR",1,INDEX('rates'!$B$2:$C$522,MATCH(D1422,'rates'!$A$2:$A$522,1),MATCH(F1422&amp;"/INR",'rates'!$B$1:$C$1,0)))</f>
        <v>82.92</v>
      </c>
      <c r="N1422">
        <f t="shared" si="117"/>
        <v>2028316.0703999999</v>
      </c>
      <c r="O1422">
        <f t="shared" si="118"/>
        <v>0</v>
      </c>
      <c r="P1422">
        <f t="shared" si="119"/>
        <v>0</v>
      </c>
      <c r="Q1422">
        <f t="shared" si="121"/>
        <v>-1</v>
      </c>
      <c r="R1422" t="str">
        <f t="shared" si="120"/>
        <v>Not open</v>
      </c>
    </row>
    <row r="1423" spans="1:18" x14ac:dyDescent="0.3">
      <c r="A1423" t="s">
        <v>1615</v>
      </c>
      <c r="B1423" t="s">
        <v>278</v>
      </c>
      <c r="C1423" t="s">
        <v>566</v>
      </c>
      <c r="D1423" s="1">
        <v>45327</v>
      </c>
      <c r="E1423" s="1">
        <v>45387</v>
      </c>
      <c r="F1423" t="s">
        <v>13</v>
      </c>
      <c r="G1423">
        <v>3051688</v>
      </c>
      <c r="H1423" s="1">
        <v>45388</v>
      </c>
      <c r="I1423" t="s">
        <v>555</v>
      </c>
      <c r="J1423" t="s">
        <v>556</v>
      </c>
      <c r="L1423">
        <v>3051688</v>
      </c>
      <c r="M1423">
        <f>IF(F1423="INR",1,INDEX('rates'!$B$2:$C$522,MATCH(D1423,'rates'!$A$2:$A$522,1),MATCH(F1423&amp;"/INR",'rates'!$B$1:$C$1,0)))</f>
        <v>1</v>
      </c>
      <c r="N1423">
        <f t="shared" si="117"/>
        <v>3051688</v>
      </c>
      <c r="O1423">
        <f t="shared" si="118"/>
        <v>0</v>
      </c>
      <c r="P1423">
        <f t="shared" si="119"/>
        <v>0</v>
      </c>
      <c r="Q1423">
        <f t="shared" si="121"/>
        <v>1</v>
      </c>
      <c r="R1423" t="str">
        <f t="shared" si="120"/>
        <v>Not open</v>
      </c>
    </row>
    <row r="1424" spans="1:18" x14ac:dyDescent="0.3">
      <c r="A1424" t="s">
        <v>1617</v>
      </c>
      <c r="B1424" t="s">
        <v>476</v>
      </c>
      <c r="C1424" t="s">
        <v>566</v>
      </c>
      <c r="D1424" s="1">
        <v>45327</v>
      </c>
      <c r="E1424" s="1">
        <v>45372</v>
      </c>
      <c r="F1424" t="s">
        <v>13</v>
      </c>
      <c r="G1424">
        <v>7358445</v>
      </c>
      <c r="H1424" s="1">
        <v>45392</v>
      </c>
      <c r="I1424" t="s">
        <v>555</v>
      </c>
      <c r="J1424" t="s">
        <v>556</v>
      </c>
      <c r="L1424">
        <v>7358445</v>
      </c>
      <c r="M1424">
        <f>IF(F1424="INR",1,INDEX('rates'!$B$2:$C$522,MATCH(D1424,'rates'!$A$2:$A$522,1),MATCH(F1424&amp;"/INR",'rates'!$B$1:$C$1,0)))</f>
        <v>1</v>
      </c>
      <c r="N1424">
        <f t="shared" si="117"/>
        <v>7358445</v>
      </c>
      <c r="O1424">
        <f t="shared" si="118"/>
        <v>0</v>
      </c>
      <c r="P1424">
        <f t="shared" si="119"/>
        <v>0</v>
      </c>
      <c r="Q1424">
        <f t="shared" si="121"/>
        <v>20</v>
      </c>
      <c r="R1424" t="str">
        <f t="shared" si="120"/>
        <v>Not open</v>
      </c>
    </row>
    <row r="1425" spans="1:18" x14ac:dyDescent="0.3">
      <c r="A1425" t="s">
        <v>1618</v>
      </c>
      <c r="B1425" t="s">
        <v>496</v>
      </c>
      <c r="C1425" t="s">
        <v>554</v>
      </c>
      <c r="D1425" s="1">
        <v>45328</v>
      </c>
      <c r="E1425" s="1">
        <v>45373</v>
      </c>
      <c r="F1425" t="s">
        <v>13</v>
      </c>
      <c r="G1425">
        <v>8614993</v>
      </c>
      <c r="H1425" s="1">
        <v>45392</v>
      </c>
      <c r="I1425" t="s">
        <v>555</v>
      </c>
      <c r="J1425" t="s">
        <v>556</v>
      </c>
      <c r="L1425">
        <v>8614993</v>
      </c>
      <c r="M1425">
        <f>IF(F1425="INR",1,INDEX('rates'!$B$2:$C$522,MATCH(D1425,'rates'!$A$2:$A$522,1),MATCH(F1425&amp;"/INR",'rates'!$B$1:$C$1,0)))</f>
        <v>1</v>
      </c>
      <c r="N1425">
        <f t="shared" si="117"/>
        <v>8614993</v>
      </c>
      <c r="O1425">
        <f t="shared" si="118"/>
        <v>0</v>
      </c>
      <c r="P1425">
        <f t="shared" si="119"/>
        <v>0</v>
      </c>
      <c r="Q1425">
        <f t="shared" si="121"/>
        <v>19</v>
      </c>
      <c r="R1425" t="str">
        <f t="shared" si="120"/>
        <v>Not open</v>
      </c>
    </row>
    <row r="1426" spans="1:18" x14ac:dyDescent="0.3">
      <c r="A1426" t="s">
        <v>1619</v>
      </c>
      <c r="B1426" t="s">
        <v>19</v>
      </c>
      <c r="C1426" t="s">
        <v>554</v>
      </c>
      <c r="D1426" s="1">
        <v>45329</v>
      </c>
      <c r="E1426" s="1">
        <v>45374</v>
      </c>
      <c r="F1426" t="s">
        <v>13</v>
      </c>
      <c r="G1426">
        <v>9142937</v>
      </c>
      <c r="H1426" s="1">
        <v>45427</v>
      </c>
      <c r="I1426" t="s">
        <v>555</v>
      </c>
      <c r="J1426" t="s">
        <v>556</v>
      </c>
      <c r="L1426">
        <v>9142937</v>
      </c>
      <c r="M1426">
        <f>IF(F1426="INR",1,INDEX('rates'!$B$2:$C$522,MATCH(D1426,'rates'!$A$2:$A$522,1),MATCH(F1426&amp;"/INR",'rates'!$B$1:$C$1,0)))</f>
        <v>1</v>
      </c>
      <c r="N1426">
        <f t="shared" si="117"/>
        <v>9142937</v>
      </c>
      <c r="O1426">
        <f t="shared" si="118"/>
        <v>0</v>
      </c>
      <c r="P1426">
        <f t="shared" si="119"/>
        <v>0</v>
      </c>
      <c r="Q1426">
        <f t="shared" si="121"/>
        <v>53</v>
      </c>
      <c r="R1426" t="str">
        <f t="shared" si="120"/>
        <v>Not open</v>
      </c>
    </row>
    <row r="1427" spans="1:18" x14ac:dyDescent="0.3">
      <c r="A1427" t="s">
        <v>1620</v>
      </c>
      <c r="B1427" t="s">
        <v>33</v>
      </c>
      <c r="C1427" t="s">
        <v>566</v>
      </c>
      <c r="D1427" s="1">
        <v>45329</v>
      </c>
      <c r="E1427" s="1">
        <v>45359</v>
      </c>
      <c r="F1427" t="s">
        <v>36</v>
      </c>
      <c r="G1427">
        <v>377018.9</v>
      </c>
      <c r="H1427" s="1">
        <v>45384</v>
      </c>
      <c r="I1427" t="s">
        <v>555</v>
      </c>
      <c r="J1427" t="s">
        <v>573</v>
      </c>
      <c r="K1427">
        <v>83.1083</v>
      </c>
      <c r="L1427">
        <v>377018.9</v>
      </c>
      <c r="M1427">
        <f>IF(F1427="INR",1,INDEX('rates'!$B$2:$C$522,MATCH(D1427,'rates'!$A$2:$A$522,1),MATCH(F1427&amp;"/INR",'rates'!$B$1:$C$1,0)))</f>
        <v>82.97</v>
      </c>
      <c r="N1427">
        <f t="shared" si="117"/>
        <v>31281258.133000001</v>
      </c>
      <c r="O1427">
        <f t="shared" si="118"/>
        <v>0</v>
      </c>
      <c r="P1427">
        <f t="shared" si="119"/>
        <v>0</v>
      </c>
      <c r="Q1427">
        <f t="shared" si="121"/>
        <v>25</v>
      </c>
      <c r="R1427" t="str">
        <f t="shared" si="120"/>
        <v>Not open</v>
      </c>
    </row>
    <row r="1428" spans="1:18" x14ac:dyDescent="0.3">
      <c r="A1428" t="s">
        <v>1621</v>
      </c>
      <c r="B1428" t="s">
        <v>138</v>
      </c>
      <c r="C1428" t="s">
        <v>566</v>
      </c>
      <c r="D1428" s="1">
        <v>45329</v>
      </c>
      <c r="E1428" s="1">
        <v>45359</v>
      </c>
      <c r="F1428" t="s">
        <v>13</v>
      </c>
      <c r="G1428">
        <v>3823185</v>
      </c>
      <c r="H1428" s="1">
        <v>45350</v>
      </c>
      <c r="I1428" t="s">
        <v>555</v>
      </c>
      <c r="J1428" t="s">
        <v>556</v>
      </c>
      <c r="L1428">
        <v>3823185</v>
      </c>
      <c r="M1428">
        <f>IF(F1428="INR",1,INDEX('rates'!$B$2:$C$522,MATCH(D1428,'rates'!$A$2:$A$522,1),MATCH(F1428&amp;"/INR",'rates'!$B$1:$C$1,0)))</f>
        <v>1</v>
      </c>
      <c r="N1428">
        <f t="shared" si="117"/>
        <v>3823185</v>
      </c>
      <c r="O1428">
        <f t="shared" si="118"/>
        <v>0</v>
      </c>
      <c r="P1428">
        <f t="shared" si="119"/>
        <v>0</v>
      </c>
      <c r="Q1428">
        <f t="shared" si="121"/>
        <v>-9</v>
      </c>
      <c r="R1428" t="str">
        <f t="shared" si="120"/>
        <v>Not open</v>
      </c>
    </row>
    <row r="1429" spans="1:18" x14ac:dyDescent="0.3">
      <c r="A1429" t="s">
        <v>1622</v>
      </c>
      <c r="B1429" t="s">
        <v>238</v>
      </c>
      <c r="C1429" t="s">
        <v>566</v>
      </c>
      <c r="D1429" s="1">
        <v>45329</v>
      </c>
      <c r="E1429" s="1">
        <v>45389</v>
      </c>
      <c r="F1429" t="s">
        <v>31</v>
      </c>
      <c r="G1429">
        <v>248977.79</v>
      </c>
      <c r="H1429" s="1">
        <v>45405</v>
      </c>
      <c r="I1429" t="s">
        <v>555</v>
      </c>
      <c r="J1429" t="s">
        <v>556</v>
      </c>
      <c r="L1429">
        <v>248977.79</v>
      </c>
      <c r="M1429">
        <f>IF(F1429="INR",1,INDEX('rates'!$B$2:$C$522,MATCH(D1429,'rates'!$A$2:$A$522,1),MATCH(F1429&amp;"/INR",'rates'!$B$1:$C$1,0)))</f>
        <v>89.350399999999993</v>
      </c>
      <c r="N1429">
        <f t="shared" si="117"/>
        <v>22246265.127615999</v>
      </c>
      <c r="O1429">
        <f t="shared" si="118"/>
        <v>0</v>
      </c>
      <c r="P1429">
        <f t="shared" si="119"/>
        <v>0</v>
      </c>
      <c r="Q1429">
        <f t="shared" si="121"/>
        <v>16</v>
      </c>
      <c r="R1429" t="str">
        <f t="shared" si="120"/>
        <v>Not open</v>
      </c>
    </row>
    <row r="1430" spans="1:18" x14ac:dyDescent="0.3">
      <c r="A1430" t="s">
        <v>1623</v>
      </c>
      <c r="B1430" t="s">
        <v>322</v>
      </c>
      <c r="C1430" t="s">
        <v>566</v>
      </c>
      <c r="D1430" s="1">
        <v>45329</v>
      </c>
      <c r="E1430" s="1">
        <v>45389</v>
      </c>
      <c r="F1430" t="s">
        <v>13</v>
      </c>
      <c r="G1430">
        <v>5319425</v>
      </c>
      <c r="H1430" s="1">
        <v>45388</v>
      </c>
      <c r="I1430" t="s">
        <v>555</v>
      </c>
      <c r="J1430" t="s">
        <v>556</v>
      </c>
      <c r="L1430">
        <v>5319425</v>
      </c>
      <c r="M1430">
        <f>IF(F1430="INR",1,INDEX('rates'!$B$2:$C$522,MATCH(D1430,'rates'!$A$2:$A$522,1),MATCH(F1430&amp;"/INR",'rates'!$B$1:$C$1,0)))</f>
        <v>1</v>
      </c>
      <c r="N1430">
        <f t="shared" si="117"/>
        <v>5319425</v>
      </c>
      <c r="O1430">
        <f t="shared" si="118"/>
        <v>0</v>
      </c>
      <c r="P1430">
        <f t="shared" si="119"/>
        <v>0</v>
      </c>
      <c r="Q1430">
        <f t="shared" si="121"/>
        <v>-1</v>
      </c>
      <c r="R1430" t="str">
        <f t="shared" si="120"/>
        <v>Not open</v>
      </c>
    </row>
    <row r="1431" spans="1:18" x14ac:dyDescent="0.3">
      <c r="A1431" t="s">
        <v>1624</v>
      </c>
      <c r="B1431" t="s">
        <v>368</v>
      </c>
      <c r="C1431" t="s">
        <v>566</v>
      </c>
      <c r="D1431" s="1">
        <v>45329</v>
      </c>
      <c r="E1431" s="1">
        <v>45389</v>
      </c>
      <c r="F1431" t="s">
        <v>36</v>
      </c>
      <c r="G1431">
        <v>215625.62</v>
      </c>
      <c r="H1431" s="1">
        <v>45398</v>
      </c>
      <c r="I1431" t="s">
        <v>555</v>
      </c>
      <c r="J1431" t="s">
        <v>573</v>
      </c>
      <c r="K1431">
        <v>83.246600000000001</v>
      </c>
      <c r="L1431">
        <v>215625.62</v>
      </c>
      <c r="M1431">
        <f>IF(F1431="INR",1,INDEX('rates'!$B$2:$C$522,MATCH(D1431,'rates'!$A$2:$A$522,1),MATCH(F1431&amp;"/INR",'rates'!$B$1:$C$1,0)))</f>
        <v>82.97</v>
      </c>
      <c r="N1431">
        <f t="shared" si="117"/>
        <v>17890457.691399999</v>
      </c>
      <c r="O1431">
        <f t="shared" si="118"/>
        <v>0</v>
      </c>
      <c r="P1431">
        <f t="shared" si="119"/>
        <v>0</v>
      </c>
      <c r="Q1431">
        <f t="shared" si="121"/>
        <v>9</v>
      </c>
      <c r="R1431" t="str">
        <f t="shared" si="120"/>
        <v>Not open</v>
      </c>
    </row>
    <row r="1432" spans="1:18" x14ac:dyDescent="0.3">
      <c r="A1432" t="s">
        <v>1625</v>
      </c>
      <c r="B1432" t="s">
        <v>464</v>
      </c>
      <c r="C1432" t="s">
        <v>560</v>
      </c>
      <c r="D1432" s="1">
        <v>45329</v>
      </c>
      <c r="E1432" s="1">
        <v>45419</v>
      </c>
      <c r="F1432" t="s">
        <v>13</v>
      </c>
      <c r="G1432">
        <v>5040576</v>
      </c>
      <c r="H1432" s="1">
        <v>45413</v>
      </c>
      <c r="I1432" t="s">
        <v>555</v>
      </c>
      <c r="J1432" t="s">
        <v>556</v>
      </c>
      <c r="L1432">
        <v>5040576</v>
      </c>
      <c r="M1432">
        <f>IF(F1432="INR",1,INDEX('rates'!$B$2:$C$522,MATCH(D1432,'rates'!$A$2:$A$522,1),MATCH(F1432&amp;"/INR",'rates'!$B$1:$C$1,0)))</f>
        <v>1</v>
      </c>
      <c r="N1432">
        <f t="shared" si="117"/>
        <v>5040576</v>
      </c>
      <c r="O1432">
        <f t="shared" si="118"/>
        <v>0</v>
      </c>
      <c r="P1432">
        <f t="shared" si="119"/>
        <v>0</v>
      </c>
      <c r="Q1432">
        <f t="shared" si="121"/>
        <v>-6</v>
      </c>
      <c r="R1432" t="str">
        <f t="shared" si="120"/>
        <v>Not open</v>
      </c>
    </row>
    <row r="1433" spans="1:18" x14ac:dyDescent="0.3">
      <c r="A1433" t="s">
        <v>1626</v>
      </c>
      <c r="B1433" t="s">
        <v>260</v>
      </c>
      <c r="C1433" t="s">
        <v>558</v>
      </c>
      <c r="D1433" s="1">
        <v>45330</v>
      </c>
      <c r="E1433" s="1">
        <v>45390</v>
      </c>
      <c r="F1433" t="s">
        <v>36</v>
      </c>
      <c r="G1433">
        <v>45219.5</v>
      </c>
      <c r="H1433" s="1">
        <v>45407</v>
      </c>
      <c r="I1433" t="s">
        <v>555</v>
      </c>
      <c r="J1433" t="s">
        <v>573</v>
      </c>
      <c r="K1433">
        <v>83.246600000000001</v>
      </c>
      <c r="L1433">
        <v>45219.5</v>
      </c>
      <c r="M1433">
        <f>IF(F1433="INR",1,INDEX('rates'!$B$2:$C$522,MATCH(D1433,'rates'!$A$2:$A$522,1),MATCH(F1433&amp;"/INR",'rates'!$B$1:$C$1,0)))</f>
        <v>82.97</v>
      </c>
      <c r="N1433">
        <f t="shared" si="117"/>
        <v>3751861.915</v>
      </c>
      <c r="O1433">
        <f t="shared" si="118"/>
        <v>0</v>
      </c>
      <c r="P1433">
        <f t="shared" si="119"/>
        <v>0</v>
      </c>
      <c r="Q1433">
        <f t="shared" si="121"/>
        <v>17</v>
      </c>
      <c r="R1433" t="str">
        <f t="shared" si="120"/>
        <v>Not open</v>
      </c>
    </row>
    <row r="1434" spans="1:18" x14ac:dyDescent="0.3">
      <c r="A1434" t="s">
        <v>1627</v>
      </c>
      <c r="B1434" t="s">
        <v>368</v>
      </c>
      <c r="C1434" t="s">
        <v>566</v>
      </c>
      <c r="D1434" s="1">
        <v>45330</v>
      </c>
      <c r="E1434" s="1">
        <v>45390</v>
      </c>
      <c r="F1434" t="s">
        <v>36</v>
      </c>
      <c r="G1434">
        <v>107978.32</v>
      </c>
      <c r="H1434" s="1">
        <v>45399</v>
      </c>
      <c r="I1434" t="s">
        <v>555</v>
      </c>
      <c r="J1434" t="s">
        <v>556</v>
      </c>
      <c r="L1434">
        <v>107978.32</v>
      </c>
      <c r="M1434">
        <f>IF(F1434="INR",1,INDEX('rates'!$B$2:$C$522,MATCH(D1434,'rates'!$A$2:$A$522,1),MATCH(F1434&amp;"/INR",'rates'!$B$1:$C$1,0)))</f>
        <v>82.97</v>
      </c>
      <c r="N1434">
        <f t="shared" si="117"/>
        <v>8958961.2104000002</v>
      </c>
      <c r="O1434">
        <f t="shared" si="118"/>
        <v>0</v>
      </c>
      <c r="P1434">
        <f t="shared" si="119"/>
        <v>0</v>
      </c>
      <c r="Q1434">
        <f t="shared" si="121"/>
        <v>9</v>
      </c>
      <c r="R1434" t="str">
        <f t="shared" si="120"/>
        <v>Not open</v>
      </c>
    </row>
    <row r="1435" spans="1:18" x14ac:dyDescent="0.3">
      <c r="A1435" t="s">
        <v>1628</v>
      </c>
      <c r="B1435" t="s">
        <v>436</v>
      </c>
      <c r="C1435" t="s">
        <v>566</v>
      </c>
      <c r="D1435" s="1">
        <v>45330</v>
      </c>
      <c r="E1435" s="1">
        <v>45375</v>
      </c>
      <c r="F1435" t="s">
        <v>36</v>
      </c>
      <c r="G1435">
        <v>102177.5</v>
      </c>
      <c r="H1435" s="1">
        <v>45384</v>
      </c>
      <c r="I1435" t="s">
        <v>555</v>
      </c>
      <c r="J1435" t="s">
        <v>573</v>
      </c>
      <c r="K1435">
        <v>83.177400000000006</v>
      </c>
      <c r="L1435">
        <v>102177.5</v>
      </c>
      <c r="M1435">
        <f>IF(F1435="INR",1,INDEX('rates'!$B$2:$C$522,MATCH(D1435,'rates'!$A$2:$A$522,1),MATCH(F1435&amp;"/INR",'rates'!$B$1:$C$1,0)))</f>
        <v>82.97</v>
      </c>
      <c r="N1435">
        <f t="shared" si="117"/>
        <v>8477667.1750000007</v>
      </c>
      <c r="O1435">
        <f t="shared" si="118"/>
        <v>0</v>
      </c>
      <c r="P1435">
        <f t="shared" si="119"/>
        <v>0</v>
      </c>
      <c r="Q1435">
        <f t="shared" si="121"/>
        <v>9</v>
      </c>
      <c r="R1435" t="str">
        <f t="shared" si="120"/>
        <v>Not open</v>
      </c>
    </row>
    <row r="1436" spans="1:18" x14ac:dyDescent="0.3">
      <c r="A1436" t="s">
        <v>1629</v>
      </c>
      <c r="B1436" t="s">
        <v>496</v>
      </c>
      <c r="C1436" t="s">
        <v>554</v>
      </c>
      <c r="D1436" s="1">
        <v>45330</v>
      </c>
      <c r="E1436" s="1">
        <v>45375</v>
      </c>
      <c r="F1436" t="s">
        <v>13</v>
      </c>
      <c r="G1436">
        <v>3103757</v>
      </c>
      <c r="H1436" s="1">
        <v>45375</v>
      </c>
      <c r="I1436" t="s">
        <v>555</v>
      </c>
      <c r="J1436" t="s">
        <v>556</v>
      </c>
      <c r="L1436">
        <v>3103757</v>
      </c>
      <c r="M1436">
        <f>IF(F1436="INR",1,INDEX('rates'!$B$2:$C$522,MATCH(D1436,'rates'!$A$2:$A$522,1),MATCH(F1436&amp;"/INR",'rates'!$B$1:$C$1,0)))</f>
        <v>1</v>
      </c>
      <c r="N1436">
        <f t="shared" si="117"/>
        <v>3103757</v>
      </c>
      <c r="O1436">
        <f t="shared" si="118"/>
        <v>0</v>
      </c>
      <c r="P1436">
        <f t="shared" si="119"/>
        <v>0</v>
      </c>
      <c r="Q1436">
        <f t="shared" si="121"/>
        <v>0</v>
      </c>
      <c r="R1436" t="str">
        <f t="shared" si="120"/>
        <v>Not open</v>
      </c>
    </row>
    <row r="1437" spans="1:18" x14ac:dyDescent="0.3">
      <c r="A1437" t="s">
        <v>1630</v>
      </c>
      <c r="B1437" t="s">
        <v>224</v>
      </c>
      <c r="C1437" t="s">
        <v>560</v>
      </c>
      <c r="D1437" s="1">
        <v>45331</v>
      </c>
      <c r="E1437" s="1">
        <v>45361</v>
      </c>
      <c r="F1437" t="s">
        <v>13</v>
      </c>
      <c r="G1437">
        <v>1825878</v>
      </c>
      <c r="H1437" s="1">
        <v>45365</v>
      </c>
      <c r="I1437" t="s">
        <v>555</v>
      </c>
      <c r="J1437" t="s">
        <v>556</v>
      </c>
      <c r="L1437">
        <v>1825878</v>
      </c>
      <c r="M1437">
        <f>IF(F1437="INR",1,INDEX('rates'!$B$2:$C$522,MATCH(D1437,'rates'!$A$2:$A$522,1),MATCH(F1437&amp;"/INR",'rates'!$B$1:$C$1,0)))</f>
        <v>1</v>
      </c>
      <c r="N1437">
        <f t="shared" si="117"/>
        <v>1825878</v>
      </c>
      <c r="O1437">
        <f t="shared" si="118"/>
        <v>0</v>
      </c>
      <c r="P1437">
        <f t="shared" si="119"/>
        <v>0</v>
      </c>
      <c r="Q1437">
        <f t="shared" si="121"/>
        <v>4</v>
      </c>
      <c r="R1437" t="str">
        <f t="shared" si="120"/>
        <v>Not open</v>
      </c>
    </row>
    <row r="1438" spans="1:18" x14ac:dyDescent="0.3">
      <c r="A1438" t="s">
        <v>1631</v>
      </c>
      <c r="B1438" t="s">
        <v>286</v>
      </c>
      <c r="C1438" t="s">
        <v>558</v>
      </c>
      <c r="D1438" s="1">
        <v>45331</v>
      </c>
      <c r="E1438" s="1">
        <v>45391</v>
      </c>
      <c r="F1438" t="s">
        <v>36</v>
      </c>
      <c r="G1438">
        <v>47518.32</v>
      </c>
      <c r="H1438" s="1">
        <v>45408</v>
      </c>
      <c r="I1438" t="s">
        <v>555</v>
      </c>
      <c r="J1438" t="s">
        <v>556</v>
      </c>
      <c r="L1438">
        <v>47518.32</v>
      </c>
      <c r="M1438">
        <f>IF(F1438="INR",1,INDEX('rates'!$B$2:$C$522,MATCH(D1438,'rates'!$A$2:$A$522,1),MATCH(F1438&amp;"/INR",'rates'!$B$1:$C$1,0)))</f>
        <v>83</v>
      </c>
      <c r="N1438">
        <f t="shared" si="117"/>
        <v>3944020.56</v>
      </c>
      <c r="O1438">
        <f t="shared" si="118"/>
        <v>0</v>
      </c>
      <c r="P1438">
        <f t="shared" si="119"/>
        <v>0</v>
      </c>
      <c r="Q1438">
        <f t="shared" si="121"/>
        <v>17</v>
      </c>
      <c r="R1438" t="str">
        <f t="shared" si="120"/>
        <v>Not open</v>
      </c>
    </row>
    <row r="1439" spans="1:18" x14ac:dyDescent="0.3">
      <c r="A1439" t="s">
        <v>1632</v>
      </c>
      <c r="B1439" t="s">
        <v>524</v>
      </c>
      <c r="C1439" t="s">
        <v>554</v>
      </c>
      <c r="D1439" s="1">
        <v>45331</v>
      </c>
      <c r="E1439" s="1">
        <v>45391</v>
      </c>
      <c r="F1439" t="s">
        <v>31</v>
      </c>
      <c r="G1439">
        <v>154860.48000000001</v>
      </c>
      <c r="H1439" s="1">
        <v>45396</v>
      </c>
      <c r="I1439" t="s">
        <v>555</v>
      </c>
      <c r="J1439" t="s">
        <v>556</v>
      </c>
      <c r="L1439">
        <v>154860.48000000001</v>
      </c>
      <c r="M1439">
        <f>IF(F1439="INR",1,INDEX('rates'!$B$2:$C$522,MATCH(D1439,'rates'!$A$2:$A$522,1),MATCH(F1439&amp;"/INR",'rates'!$B$1:$C$1,0)))</f>
        <v>89.490600000000001</v>
      </c>
      <c r="N1439">
        <f t="shared" si="117"/>
        <v>13858557.271488002</v>
      </c>
      <c r="O1439">
        <f t="shared" si="118"/>
        <v>0</v>
      </c>
      <c r="P1439">
        <f t="shared" si="119"/>
        <v>0</v>
      </c>
      <c r="Q1439">
        <f t="shared" si="121"/>
        <v>5</v>
      </c>
      <c r="R1439" t="str">
        <f t="shared" si="120"/>
        <v>Not open</v>
      </c>
    </row>
    <row r="1440" spans="1:18" x14ac:dyDescent="0.3">
      <c r="A1440" t="s">
        <v>1633</v>
      </c>
      <c r="B1440" t="s">
        <v>528</v>
      </c>
      <c r="C1440" t="s">
        <v>566</v>
      </c>
      <c r="D1440" s="1">
        <v>45331</v>
      </c>
      <c r="E1440" s="1">
        <v>45391</v>
      </c>
      <c r="F1440" t="s">
        <v>13</v>
      </c>
      <c r="G1440">
        <v>11476468</v>
      </c>
      <c r="H1440" s="1"/>
      <c r="I1440" t="s">
        <v>717</v>
      </c>
      <c r="J1440" t="s">
        <v>556</v>
      </c>
      <c r="L1440">
        <v>0</v>
      </c>
      <c r="M1440">
        <f>IF(F1440="INR",1,INDEX('rates'!$B$2:$C$522,MATCH(D1440,'rates'!$A$2:$A$522,1),MATCH(F1440&amp;"/INR",'rates'!$B$1:$C$1,0)))</f>
        <v>1</v>
      </c>
      <c r="N1440">
        <f t="shared" si="117"/>
        <v>11476468</v>
      </c>
      <c r="O1440">
        <f t="shared" si="118"/>
        <v>0</v>
      </c>
      <c r="P1440">
        <f t="shared" si="119"/>
        <v>0</v>
      </c>
      <c r="Q1440" t="str">
        <f t="shared" si="121"/>
        <v/>
      </c>
      <c r="R1440" t="str">
        <f t="shared" si="120"/>
        <v>Not open</v>
      </c>
    </row>
    <row r="1441" spans="1:18" x14ac:dyDescent="0.3">
      <c r="A1441" t="s">
        <v>1634</v>
      </c>
      <c r="B1441" t="s">
        <v>154</v>
      </c>
      <c r="C1441" t="s">
        <v>566</v>
      </c>
      <c r="D1441" s="1">
        <v>45332</v>
      </c>
      <c r="E1441" s="1">
        <v>45362</v>
      </c>
      <c r="F1441" t="s">
        <v>13</v>
      </c>
      <c r="G1441">
        <v>2557492</v>
      </c>
      <c r="H1441" s="1">
        <v>45358</v>
      </c>
      <c r="I1441" t="s">
        <v>555</v>
      </c>
      <c r="J1441" t="s">
        <v>556</v>
      </c>
      <c r="L1441">
        <v>2557492</v>
      </c>
      <c r="M1441">
        <f>IF(F1441="INR",1,INDEX('rates'!$B$2:$C$522,MATCH(D1441,'rates'!$A$2:$A$522,1),MATCH(F1441&amp;"/INR",'rates'!$B$1:$C$1,0)))</f>
        <v>1</v>
      </c>
      <c r="N1441">
        <f t="shared" si="117"/>
        <v>2557492</v>
      </c>
      <c r="O1441">
        <f t="shared" si="118"/>
        <v>0</v>
      </c>
      <c r="P1441">
        <f t="shared" si="119"/>
        <v>0</v>
      </c>
      <c r="Q1441">
        <f t="shared" si="121"/>
        <v>-4</v>
      </c>
      <c r="R1441" t="str">
        <f t="shared" si="120"/>
        <v>Not open</v>
      </c>
    </row>
    <row r="1442" spans="1:18" x14ac:dyDescent="0.3">
      <c r="A1442" t="s">
        <v>1635</v>
      </c>
      <c r="B1442" t="s">
        <v>182</v>
      </c>
      <c r="C1442" t="s">
        <v>558</v>
      </c>
      <c r="D1442" s="1">
        <v>45332</v>
      </c>
      <c r="E1442" s="1">
        <v>45392</v>
      </c>
      <c r="F1442" t="s">
        <v>36</v>
      </c>
      <c r="G1442">
        <v>51029.26</v>
      </c>
      <c r="H1442" s="1"/>
      <c r="I1442" t="s">
        <v>717</v>
      </c>
      <c r="J1442" t="s">
        <v>556</v>
      </c>
      <c r="L1442">
        <v>0</v>
      </c>
      <c r="M1442">
        <f>IF(F1442="INR",1,INDEX('rates'!$B$2:$C$522,MATCH(D1442,'rates'!$A$2:$A$522,1),MATCH(F1442&amp;"/INR",'rates'!$B$1:$C$1,0)))</f>
        <v>83</v>
      </c>
      <c r="N1442">
        <f t="shared" si="117"/>
        <v>4235428.58</v>
      </c>
      <c r="O1442">
        <f t="shared" si="118"/>
        <v>0</v>
      </c>
      <c r="P1442">
        <f t="shared" si="119"/>
        <v>0</v>
      </c>
      <c r="Q1442" t="str">
        <f t="shared" si="121"/>
        <v/>
      </c>
      <c r="R1442" t="str">
        <f t="shared" si="120"/>
        <v>Not open</v>
      </c>
    </row>
    <row r="1443" spans="1:18" x14ac:dyDescent="0.3">
      <c r="A1443" t="s">
        <v>1637</v>
      </c>
      <c r="B1443" t="s">
        <v>96</v>
      </c>
      <c r="C1443" t="s">
        <v>558</v>
      </c>
      <c r="D1443" s="1">
        <v>45334</v>
      </c>
      <c r="E1443" s="1">
        <v>45424</v>
      </c>
      <c r="F1443" t="s">
        <v>13</v>
      </c>
      <c r="G1443">
        <v>11400328</v>
      </c>
      <c r="H1443" s="1">
        <v>45432</v>
      </c>
      <c r="I1443" t="s">
        <v>555</v>
      </c>
      <c r="J1443" t="s">
        <v>556</v>
      </c>
      <c r="L1443">
        <v>11400328</v>
      </c>
      <c r="M1443">
        <f>IF(F1443="INR",1,INDEX('rates'!$B$2:$C$522,MATCH(D1443,'rates'!$A$2:$A$522,1),MATCH(F1443&amp;"/INR",'rates'!$B$1:$C$1,0)))</f>
        <v>1</v>
      </c>
      <c r="N1443">
        <f t="shared" si="117"/>
        <v>11400328</v>
      </c>
      <c r="O1443">
        <f t="shared" si="118"/>
        <v>0</v>
      </c>
      <c r="P1443">
        <f t="shared" si="119"/>
        <v>0</v>
      </c>
      <c r="Q1443">
        <f t="shared" si="121"/>
        <v>8</v>
      </c>
      <c r="R1443" t="str">
        <f t="shared" si="120"/>
        <v>Not open</v>
      </c>
    </row>
    <row r="1444" spans="1:18" x14ac:dyDescent="0.3">
      <c r="A1444" t="s">
        <v>1638</v>
      </c>
      <c r="B1444" t="s">
        <v>119</v>
      </c>
      <c r="C1444" t="s">
        <v>560</v>
      </c>
      <c r="D1444" s="1">
        <v>45334</v>
      </c>
      <c r="E1444" s="1">
        <v>45364</v>
      </c>
      <c r="F1444" t="s">
        <v>31</v>
      </c>
      <c r="G1444">
        <v>148202.21</v>
      </c>
      <c r="H1444" s="1">
        <v>45384</v>
      </c>
      <c r="I1444" t="s">
        <v>555</v>
      </c>
      <c r="J1444" t="s">
        <v>556</v>
      </c>
      <c r="L1444">
        <v>148202.21</v>
      </c>
      <c r="M1444">
        <f>IF(F1444="INR",1,INDEX('rates'!$B$2:$C$522,MATCH(D1444,'rates'!$A$2:$A$522,1),MATCH(F1444&amp;"/INR",'rates'!$B$1:$C$1,0)))</f>
        <v>89.3703</v>
      </c>
      <c r="N1444">
        <f t="shared" si="117"/>
        <v>13244875.968363</v>
      </c>
      <c r="O1444">
        <f t="shared" si="118"/>
        <v>0</v>
      </c>
      <c r="P1444">
        <f t="shared" si="119"/>
        <v>0</v>
      </c>
      <c r="Q1444">
        <f t="shared" si="121"/>
        <v>20</v>
      </c>
      <c r="R1444" t="str">
        <f t="shared" si="120"/>
        <v>Not open</v>
      </c>
    </row>
    <row r="1445" spans="1:18" x14ac:dyDescent="0.3">
      <c r="A1445" t="s">
        <v>1639</v>
      </c>
      <c r="B1445" t="s">
        <v>154</v>
      </c>
      <c r="C1445" t="s">
        <v>566</v>
      </c>
      <c r="D1445" s="1">
        <v>45334</v>
      </c>
      <c r="E1445" s="1">
        <v>45364</v>
      </c>
      <c r="F1445" t="s">
        <v>13</v>
      </c>
      <c r="G1445">
        <v>4885385</v>
      </c>
      <c r="H1445" s="1">
        <v>45368</v>
      </c>
      <c r="I1445" t="s">
        <v>555</v>
      </c>
      <c r="J1445" t="s">
        <v>556</v>
      </c>
      <c r="L1445">
        <v>4885385</v>
      </c>
      <c r="M1445">
        <f>IF(F1445="INR",1,INDEX('rates'!$B$2:$C$522,MATCH(D1445,'rates'!$A$2:$A$522,1),MATCH(F1445&amp;"/INR",'rates'!$B$1:$C$1,0)))</f>
        <v>1</v>
      </c>
      <c r="N1445">
        <f t="shared" si="117"/>
        <v>4885385</v>
      </c>
      <c r="O1445">
        <f t="shared" si="118"/>
        <v>0</v>
      </c>
      <c r="P1445">
        <f t="shared" si="119"/>
        <v>0</v>
      </c>
      <c r="Q1445">
        <f t="shared" si="121"/>
        <v>4</v>
      </c>
      <c r="R1445" t="str">
        <f t="shared" si="120"/>
        <v>Not open</v>
      </c>
    </row>
    <row r="1446" spans="1:18" x14ac:dyDescent="0.3">
      <c r="A1446" t="s">
        <v>1640</v>
      </c>
      <c r="B1446" t="s">
        <v>372</v>
      </c>
      <c r="C1446" t="s">
        <v>575</v>
      </c>
      <c r="D1446" s="1">
        <v>45334</v>
      </c>
      <c r="E1446" s="1">
        <v>45424</v>
      </c>
      <c r="F1446" t="s">
        <v>13</v>
      </c>
      <c r="G1446">
        <v>4583315</v>
      </c>
      <c r="H1446" s="1">
        <v>45439</v>
      </c>
      <c r="I1446" t="s">
        <v>555</v>
      </c>
      <c r="J1446" t="s">
        <v>556</v>
      </c>
      <c r="L1446">
        <v>4583315</v>
      </c>
      <c r="M1446">
        <f>IF(F1446="INR",1,INDEX('rates'!$B$2:$C$522,MATCH(D1446,'rates'!$A$2:$A$522,1),MATCH(F1446&amp;"/INR",'rates'!$B$1:$C$1,0)))</f>
        <v>1</v>
      </c>
      <c r="N1446">
        <f t="shared" si="117"/>
        <v>4583315</v>
      </c>
      <c r="O1446">
        <f t="shared" si="118"/>
        <v>0</v>
      </c>
      <c r="P1446">
        <f t="shared" si="119"/>
        <v>0</v>
      </c>
      <c r="Q1446">
        <f t="shared" si="121"/>
        <v>15</v>
      </c>
      <c r="R1446" t="str">
        <f t="shared" si="120"/>
        <v>Not open</v>
      </c>
    </row>
    <row r="1447" spans="1:18" x14ac:dyDescent="0.3">
      <c r="A1447" t="s">
        <v>1641</v>
      </c>
      <c r="B1447" t="s">
        <v>528</v>
      </c>
      <c r="C1447" t="s">
        <v>566</v>
      </c>
      <c r="D1447" s="1">
        <v>45334</v>
      </c>
      <c r="E1447" s="1">
        <v>45394</v>
      </c>
      <c r="F1447" t="s">
        <v>13</v>
      </c>
      <c r="G1447">
        <v>7165605</v>
      </c>
      <c r="H1447" s="1">
        <v>45415</v>
      </c>
      <c r="I1447" t="s">
        <v>555</v>
      </c>
      <c r="J1447" t="s">
        <v>556</v>
      </c>
      <c r="L1447">
        <v>7165605</v>
      </c>
      <c r="M1447">
        <f>IF(F1447="INR",1,INDEX('rates'!$B$2:$C$522,MATCH(D1447,'rates'!$A$2:$A$522,1),MATCH(F1447&amp;"/INR",'rates'!$B$1:$C$1,0)))</f>
        <v>1</v>
      </c>
      <c r="N1447">
        <f t="shared" si="117"/>
        <v>7165605</v>
      </c>
      <c r="O1447">
        <f t="shared" si="118"/>
        <v>0</v>
      </c>
      <c r="P1447">
        <f t="shared" si="119"/>
        <v>0</v>
      </c>
      <c r="Q1447">
        <f t="shared" ref="Q1447:Q1478" si="122">IF(H1447="","",H1447-E1447)</f>
        <v>21</v>
      </c>
      <c r="R1447" t="str">
        <f t="shared" si="120"/>
        <v>Not open</v>
      </c>
    </row>
    <row r="1448" spans="1:18" x14ac:dyDescent="0.3">
      <c r="A1448" t="s">
        <v>1642</v>
      </c>
      <c r="B1448" t="s">
        <v>186</v>
      </c>
      <c r="C1448" t="s">
        <v>558</v>
      </c>
      <c r="D1448" s="1">
        <v>45335</v>
      </c>
      <c r="E1448" s="1">
        <v>45365</v>
      </c>
      <c r="F1448" t="s">
        <v>36</v>
      </c>
      <c r="G1448">
        <v>118038.59</v>
      </c>
      <c r="H1448" s="1">
        <v>45378</v>
      </c>
      <c r="I1448" t="s">
        <v>555</v>
      </c>
      <c r="J1448" t="s">
        <v>573</v>
      </c>
      <c r="K1448">
        <v>83.198400000000007</v>
      </c>
      <c r="L1448">
        <v>118038.59</v>
      </c>
      <c r="M1448">
        <f>IF(F1448="INR",1,INDEX('rates'!$B$2:$C$522,MATCH(D1448,'rates'!$A$2:$A$522,1),MATCH(F1448&amp;"/INR",'rates'!$B$1:$C$1,0)))</f>
        <v>83.06</v>
      </c>
      <c r="N1448">
        <f t="shared" si="117"/>
        <v>9804285.2853999995</v>
      </c>
      <c r="O1448">
        <f t="shared" si="118"/>
        <v>0</v>
      </c>
      <c r="P1448">
        <f t="shared" si="119"/>
        <v>0</v>
      </c>
      <c r="Q1448">
        <f t="shared" si="122"/>
        <v>13</v>
      </c>
      <c r="R1448" t="str">
        <f t="shared" si="120"/>
        <v>Not open</v>
      </c>
    </row>
    <row r="1449" spans="1:18" x14ac:dyDescent="0.3">
      <c r="A1449" t="s">
        <v>1643</v>
      </c>
      <c r="B1449" t="s">
        <v>430</v>
      </c>
      <c r="C1449" t="s">
        <v>575</v>
      </c>
      <c r="D1449" s="1">
        <v>45335</v>
      </c>
      <c r="E1449" s="1">
        <v>45395</v>
      </c>
      <c r="F1449" t="s">
        <v>31</v>
      </c>
      <c r="G1449">
        <v>30307.200000000001</v>
      </c>
      <c r="H1449" s="1">
        <v>45401</v>
      </c>
      <c r="I1449" t="s">
        <v>555</v>
      </c>
      <c r="J1449" t="s">
        <v>556</v>
      </c>
      <c r="L1449">
        <v>30307.200000000001</v>
      </c>
      <c r="M1449">
        <f>IF(F1449="INR",1,INDEX('rates'!$B$2:$C$522,MATCH(D1449,'rates'!$A$2:$A$522,1),MATCH(F1449&amp;"/INR",'rates'!$B$1:$C$1,0)))</f>
        <v>89.040300000000002</v>
      </c>
      <c r="N1449">
        <f t="shared" si="117"/>
        <v>2698562.18016</v>
      </c>
      <c r="O1449">
        <f t="shared" si="118"/>
        <v>0</v>
      </c>
      <c r="P1449">
        <f t="shared" si="119"/>
        <v>0</v>
      </c>
      <c r="Q1449">
        <f t="shared" si="122"/>
        <v>6</v>
      </c>
      <c r="R1449" t="str">
        <f t="shared" si="120"/>
        <v>Not open</v>
      </c>
    </row>
    <row r="1450" spans="1:18" x14ac:dyDescent="0.3">
      <c r="A1450" t="s">
        <v>1644</v>
      </c>
      <c r="B1450" t="s">
        <v>436</v>
      </c>
      <c r="C1450" t="s">
        <v>566</v>
      </c>
      <c r="D1450" s="1">
        <v>45335</v>
      </c>
      <c r="E1450" s="1">
        <v>45380</v>
      </c>
      <c r="F1450" t="s">
        <v>36</v>
      </c>
      <c r="G1450">
        <v>300078.32</v>
      </c>
      <c r="H1450" s="1">
        <v>45395</v>
      </c>
      <c r="I1450" t="s">
        <v>555</v>
      </c>
      <c r="J1450" t="s">
        <v>573</v>
      </c>
      <c r="K1450">
        <v>83.267700000000005</v>
      </c>
      <c r="L1450">
        <v>300078.32</v>
      </c>
      <c r="M1450">
        <f>IF(F1450="INR",1,INDEX('rates'!$B$2:$C$522,MATCH(D1450,'rates'!$A$2:$A$522,1),MATCH(F1450&amp;"/INR",'rates'!$B$1:$C$1,0)))</f>
        <v>83.06</v>
      </c>
      <c r="N1450">
        <f t="shared" si="117"/>
        <v>24924505.259200003</v>
      </c>
      <c r="O1450">
        <f t="shared" si="118"/>
        <v>0</v>
      </c>
      <c r="P1450">
        <f t="shared" si="119"/>
        <v>0</v>
      </c>
      <c r="Q1450">
        <f t="shared" si="122"/>
        <v>15</v>
      </c>
      <c r="R1450" t="str">
        <f t="shared" si="120"/>
        <v>Not open</v>
      </c>
    </row>
    <row r="1451" spans="1:18" x14ac:dyDescent="0.3">
      <c r="A1451" t="s">
        <v>1645</v>
      </c>
      <c r="B1451" t="s">
        <v>19</v>
      </c>
      <c r="C1451" t="s">
        <v>554</v>
      </c>
      <c r="D1451" s="1">
        <v>45336</v>
      </c>
      <c r="E1451" s="1">
        <v>45381</v>
      </c>
      <c r="F1451" t="s">
        <v>13</v>
      </c>
      <c r="G1451">
        <v>7184474</v>
      </c>
      <c r="H1451" s="1">
        <v>45411</v>
      </c>
      <c r="I1451" t="s">
        <v>555</v>
      </c>
      <c r="J1451" t="s">
        <v>556</v>
      </c>
      <c r="L1451">
        <v>7184474</v>
      </c>
      <c r="M1451">
        <f>IF(F1451="INR",1,INDEX('rates'!$B$2:$C$522,MATCH(D1451,'rates'!$A$2:$A$522,1),MATCH(F1451&amp;"/INR",'rates'!$B$1:$C$1,0)))</f>
        <v>1</v>
      </c>
      <c r="N1451">
        <f t="shared" si="117"/>
        <v>7184474</v>
      </c>
      <c r="O1451">
        <f t="shared" si="118"/>
        <v>0</v>
      </c>
      <c r="P1451">
        <f t="shared" si="119"/>
        <v>0</v>
      </c>
      <c r="Q1451">
        <f t="shared" si="122"/>
        <v>30</v>
      </c>
      <c r="R1451" t="str">
        <f t="shared" si="120"/>
        <v>Not open</v>
      </c>
    </row>
    <row r="1452" spans="1:18" x14ac:dyDescent="0.3">
      <c r="A1452" t="s">
        <v>1646</v>
      </c>
      <c r="B1452" t="s">
        <v>400</v>
      </c>
      <c r="C1452" t="s">
        <v>558</v>
      </c>
      <c r="D1452" s="1">
        <v>45336</v>
      </c>
      <c r="E1452" s="1">
        <v>45381</v>
      </c>
      <c r="F1452" t="s">
        <v>36</v>
      </c>
      <c r="G1452">
        <v>96929.16</v>
      </c>
      <c r="H1452" s="1">
        <v>45500</v>
      </c>
      <c r="I1452" t="s">
        <v>555</v>
      </c>
      <c r="J1452" t="s">
        <v>573</v>
      </c>
      <c r="K1452">
        <v>83.227500000000006</v>
      </c>
      <c r="L1452">
        <v>96929.16</v>
      </c>
      <c r="M1452">
        <f>IF(F1452="INR",1,INDEX('rates'!$B$2:$C$522,MATCH(D1452,'rates'!$A$2:$A$522,1),MATCH(F1452&amp;"/INR",'rates'!$B$1:$C$1,0)))</f>
        <v>83.02</v>
      </c>
      <c r="N1452">
        <f t="shared" si="117"/>
        <v>8047058.8631999996</v>
      </c>
      <c r="O1452">
        <f t="shared" si="118"/>
        <v>0</v>
      </c>
      <c r="P1452">
        <f t="shared" si="119"/>
        <v>0</v>
      </c>
      <c r="Q1452">
        <f t="shared" si="122"/>
        <v>119</v>
      </c>
      <c r="R1452" t="str">
        <f t="shared" si="120"/>
        <v>Not open</v>
      </c>
    </row>
    <row r="1453" spans="1:18" x14ac:dyDescent="0.3">
      <c r="A1453" t="s">
        <v>1647</v>
      </c>
      <c r="B1453" t="s">
        <v>516</v>
      </c>
      <c r="C1453" t="s">
        <v>560</v>
      </c>
      <c r="D1453" s="1">
        <v>45337</v>
      </c>
      <c r="E1453" s="1">
        <v>45397</v>
      </c>
      <c r="F1453" t="s">
        <v>13</v>
      </c>
      <c r="G1453">
        <v>10608933</v>
      </c>
      <c r="H1453" s="1">
        <v>45396</v>
      </c>
      <c r="I1453" t="s">
        <v>555</v>
      </c>
      <c r="J1453" t="s">
        <v>556</v>
      </c>
      <c r="L1453">
        <v>10608933</v>
      </c>
      <c r="M1453">
        <f>IF(F1453="INR",1,INDEX('rates'!$B$2:$C$522,MATCH(D1453,'rates'!$A$2:$A$522,1),MATCH(F1453&amp;"/INR",'rates'!$B$1:$C$1,0)))</f>
        <v>1</v>
      </c>
      <c r="N1453">
        <f t="shared" si="117"/>
        <v>10608933</v>
      </c>
      <c r="O1453">
        <f t="shared" si="118"/>
        <v>0</v>
      </c>
      <c r="P1453">
        <f t="shared" si="119"/>
        <v>0</v>
      </c>
      <c r="Q1453">
        <f t="shared" si="122"/>
        <v>-1</v>
      </c>
      <c r="R1453" t="str">
        <f t="shared" si="120"/>
        <v>Not open</v>
      </c>
    </row>
    <row r="1454" spans="1:18" x14ac:dyDescent="0.3">
      <c r="A1454" t="s">
        <v>1648</v>
      </c>
      <c r="B1454" t="s">
        <v>528</v>
      </c>
      <c r="C1454" t="s">
        <v>566</v>
      </c>
      <c r="D1454" s="1">
        <v>45337</v>
      </c>
      <c r="E1454" s="1">
        <v>45397</v>
      </c>
      <c r="F1454" t="s">
        <v>13</v>
      </c>
      <c r="G1454">
        <v>2267364</v>
      </c>
      <c r="H1454" s="1">
        <v>45419</v>
      </c>
      <c r="I1454" t="s">
        <v>555</v>
      </c>
      <c r="J1454" t="s">
        <v>556</v>
      </c>
      <c r="L1454">
        <v>2267364</v>
      </c>
      <c r="M1454">
        <f>IF(F1454="INR",1,INDEX('rates'!$B$2:$C$522,MATCH(D1454,'rates'!$A$2:$A$522,1),MATCH(F1454&amp;"/INR",'rates'!$B$1:$C$1,0)))</f>
        <v>1</v>
      </c>
      <c r="N1454">
        <f t="shared" si="117"/>
        <v>2267364</v>
      </c>
      <c r="O1454">
        <f t="shared" si="118"/>
        <v>0</v>
      </c>
      <c r="P1454">
        <f t="shared" si="119"/>
        <v>0</v>
      </c>
      <c r="Q1454">
        <f t="shared" si="122"/>
        <v>22</v>
      </c>
      <c r="R1454" t="str">
        <f t="shared" si="120"/>
        <v>Not open</v>
      </c>
    </row>
    <row r="1455" spans="1:18" x14ac:dyDescent="0.3">
      <c r="A1455" t="s">
        <v>1649</v>
      </c>
      <c r="B1455" t="s">
        <v>117</v>
      </c>
      <c r="C1455" t="s">
        <v>554</v>
      </c>
      <c r="D1455" s="1">
        <v>45338</v>
      </c>
      <c r="E1455" s="1">
        <v>45398</v>
      </c>
      <c r="F1455" t="s">
        <v>13</v>
      </c>
      <c r="G1455">
        <v>5708901</v>
      </c>
      <c r="H1455" s="1">
        <v>45412</v>
      </c>
      <c r="I1455" t="s">
        <v>555</v>
      </c>
      <c r="J1455" t="s">
        <v>556</v>
      </c>
      <c r="L1455">
        <v>5708901</v>
      </c>
      <c r="M1455">
        <f>IF(F1455="INR",1,INDEX('rates'!$B$2:$C$522,MATCH(D1455,'rates'!$A$2:$A$522,1),MATCH(F1455&amp;"/INR",'rates'!$B$1:$C$1,0)))</f>
        <v>1</v>
      </c>
      <c r="N1455">
        <f t="shared" si="117"/>
        <v>5708901</v>
      </c>
      <c r="O1455">
        <f t="shared" si="118"/>
        <v>0</v>
      </c>
      <c r="P1455">
        <f t="shared" si="119"/>
        <v>0</v>
      </c>
      <c r="Q1455">
        <f t="shared" si="122"/>
        <v>14</v>
      </c>
      <c r="R1455" t="str">
        <f t="shared" si="120"/>
        <v>Not open</v>
      </c>
    </row>
    <row r="1456" spans="1:18" x14ac:dyDescent="0.3">
      <c r="A1456" t="s">
        <v>1650</v>
      </c>
      <c r="B1456" t="s">
        <v>119</v>
      </c>
      <c r="C1456" t="s">
        <v>560</v>
      </c>
      <c r="D1456" s="1">
        <v>45338</v>
      </c>
      <c r="E1456" s="1">
        <v>45368</v>
      </c>
      <c r="F1456" t="s">
        <v>31</v>
      </c>
      <c r="G1456">
        <v>63264.85</v>
      </c>
      <c r="H1456" s="1">
        <v>45376</v>
      </c>
      <c r="I1456" t="s">
        <v>555</v>
      </c>
      <c r="J1456" t="s">
        <v>556</v>
      </c>
      <c r="L1456">
        <v>63264.85</v>
      </c>
      <c r="M1456">
        <f>IF(F1456="INR",1,INDEX('rates'!$B$2:$C$522,MATCH(D1456,'rates'!$A$2:$A$522,1),MATCH(F1456&amp;"/INR",'rates'!$B$1:$C$1,0)))</f>
        <v>89.404200000000003</v>
      </c>
      <c r="N1456">
        <f t="shared" si="117"/>
        <v>5656143.3023699997</v>
      </c>
      <c r="O1456">
        <f t="shared" si="118"/>
        <v>0</v>
      </c>
      <c r="P1456">
        <f t="shared" si="119"/>
        <v>0</v>
      </c>
      <c r="Q1456">
        <f t="shared" si="122"/>
        <v>8</v>
      </c>
      <c r="R1456" t="str">
        <f t="shared" si="120"/>
        <v>Not open</v>
      </c>
    </row>
    <row r="1457" spans="1:18" x14ac:dyDescent="0.3">
      <c r="A1457" t="s">
        <v>1651</v>
      </c>
      <c r="B1457" t="s">
        <v>238</v>
      </c>
      <c r="C1457" t="s">
        <v>566</v>
      </c>
      <c r="D1457" s="1">
        <v>45338</v>
      </c>
      <c r="E1457" s="1">
        <v>45398</v>
      </c>
      <c r="F1457" t="s">
        <v>31</v>
      </c>
      <c r="G1457">
        <v>94420</v>
      </c>
      <c r="H1457" s="1"/>
      <c r="I1457" t="s">
        <v>555</v>
      </c>
      <c r="J1457" t="s">
        <v>573</v>
      </c>
      <c r="K1457">
        <v>89.582999999999998</v>
      </c>
      <c r="L1457">
        <v>94420</v>
      </c>
      <c r="M1457">
        <f>IF(F1457="INR",1,INDEX('rates'!$B$2:$C$522,MATCH(D1457,'rates'!$A$2:$A$522,1),MATCH(F1457&amp;"/INR",'rates'!$B$1:$C$1,0)))</f>
        <v>89.404200000000003</v>
      </c>
      <c r="N1457">
        <f t="shared" si="117"/>
        <v>8441544.5640000012</v>
      </c>
      <c r="O1457">
        <f t="shared" si="118"/>
        <v>0</v>
      </c>
      <c r="P1457">
        <f t="shared" si="119"/>
        <v>0</v>
      </c>
      <c r="Q1457" t="str">
        <f t="shared" si="122"/>
        <v/>
      </c>
      <c r="R1457" t="str">
        <f t="shared" si="120"/>
        <v>Not open</v>
      </c>
    </row>
    <row r="1458" spans="1:18" x14ac:dyDescent="0.3">
      <c r="A1458" t="s">
        <v>1652</v>
      </c>
      <c r="B1458" t="s">
        <v>148</v>
      </c>
      <c r="C1458" t="s">
        <v>575</v>
      </c>
      <c r="D1458" s="1">
        <v>45339</v>
      </c>
      <c r="E1458" s="1">
        <v>45399</v>
      </c>
      <c r="F1458" t="s">
        <v>31</v>
      </c>
      <c r="G1458">
        <v>54386.1</v>
      </c>
      <c r="H1458" s="1">
        <v>45404</v>
      </c>
      <c r="I1458" t="s">
        <v>555</v>
      </c>
      <c r="J1458" t="s">
        <v>573</v>
      </c>
      <c r="K1458">
        <v>89.582999999999998</v>
      </c>
      <c r="L1458">
        <v>54386.1</v>
      </c>
      <c r="M1458">
        <f>IF(F1458="INR",1,INDEX('rates'!$B$2:$C$522,MATCH(D1458,'rates'!$A$2:$A$522,1),MATCH(F1458&amp;"/INR",'rates'!$B$1:$C$1,0)))</f>
        <v>89.404200000000003</v>
      </c>
      <c r="N1458">
        <f t="shared" si="117"/>
        <v>4862345.76162</v>
      </c>
      <c r="O1458">
        <f t="shared" si="118"/>
        <v>0</v>
      </c>
      <c r="P1458">
        <f t="shared" si="119"/>
        <v>0</v>
      </c>
      <c r="Q1458">
        <f t="shared" si="122"/>
        <v>5</v>
      </c>
      <c r="R1458" t="str">
        <f t="shared" si="120"/>
        <v>Not open</v>
      </c>
    </row>
    <row r="1459" spans="1:18" x14ac:dyDescent="0.3">
      <c r="A1459" t="s">
        <v>1653</v>
      </c>
      <c r="B1459" t="s">
        <v>246</v>
      </c>
      <c r="C1459" t="s">
        <v>554</v>
      </c>
      <c r="D1459" s="1">
        <v>45339</v>
      </c>
      <c r="E1459" s="1">
        <v>45399</v>
      </c>
      <c r="F1459" t="s">
        <v>13</v>
      </c>
      <c r="G1459">
        <v>9933284</v>
      </c>
      <c r="H1459" s="1">
        <v>45402</v>
      </c>
      <c r="I1459" t="s">
        <v>555</v>
      </c>
      <c r="J1459" t="s">
        <v>556</v>
      </c>
      <c r="L1459">
        <v>9933284</v>
      </c>
      <c r="M1459">
        <f>IF(F1459="INR",1,INDEX('rates'!$B$2:$C$522,MATCH(D1459,'rates'!$A$2:$A$522,1),MATCH(F1459&amp;"/INR",'rates'!$B$1:$C$1,0)))</f>
        <v>1</v>
      </c>
      <c r="N1459">
        <f t="shared" si="117"/>
        <v>9933284</v>
      </c>
      <c r="O1459">
        <f t="shared" si="118"/>
        <v>0</v>
      </c>
      <c r="P1459">
        <f t="shared" si="119"/>
        <v>0</v>
      </c>
      <c r="Q1459">
        <f t="shared" si="122"/>
        <v>3</v>
      </c>
      <c r="R1459" t="str">
        <f t="shared" si="120"/>
        <v>Not open</v>
      </c>
    </row>
    <row r="1460" spans="1:18" x14ac:dyDescent="0.3">
      <c r="A1460" t="s">
        <v>1654</v>
      </c>
      <c r="B1460" t="s">
        <v>262</v>
      </c>
      <c r="C1460" t="s">
        <v>566</v>
      </c>
      <c r="D1460" s="1">
        <v>45339</v>
      </c>
      <c r="E1460" s="1">
        <v>45429</v>
      </c>
      <c r="F1460" t="s">
        <v>31</v>
      </c>
      <c r="G1460">
        <v>894812.55</v>
      </c>
      <c r="H1460" s="1">
        <v>45462</v>
      </c>
      <c r="I1460" t="s">
        <v>555</v>
      </c>
      <c r="J1460" t="s">
        <v>556</v>
      </c>
      <c r="L1460">
        <v>894812.55</v>
      </c>
      <c r="M1460">
        <f>IF(F1460="INR",1,INDEX('rates'!$B$2:$C$522,MATCH(D1460,'rates'!$A$2:$A$522,1),MATCH(F1460&amp;"/INR",'rates'!$B$1:$C$1,0)))</f>
        <v>89.404200000000003</v>
      </c>
      <c r="N1460">
        <f t="shared" si="117"/>
        <v>80000000.182710007</v>
      </c>
      <c r="O1460">
        <f t="shared" si="118"/>
        <v>0</v>
      </c>
      <c r="P1460">
        <f t="shared" si="119"/>
        <v>0</v>
      </c>
      <c r="Q1460">
        <f t="shared" si="122"/>
        <v>33</v>
      </c>
      <c r="R1460" t="str">
        <f t="shared" si="120"/>
        <v>Not open</v>
      </c>
    </row>
    <row r="1461" spans="1:18" x14ac:dyDescent="0.3">
      <c r="A1461" t="s">
        <v>1655</v>
      </c>
      <c r="B1461" t="s">
        <v>274</v>
      </c>
      <c r="C1461" t="s">
        <v>554</v>
      </c>
      <c r="D1461" s="1">
        <v>45339</v>
      </c>
      <c r="E1461" s="1">
        <v>45384</v>
      </c>
      <c r="F1461" t="s">
        <v>13</v>
      </c>
      <c r="G1461">
        <v>1883180</v>
      </c>
      <c r="H1461" s="1">
        <v>45385</v>
      </c>
      <c r="I1461" t="s">
        <v>555</v>
      </c>
      <c r="J1461" t="s">
        <v>556</v>
      </c>
      <c r="L1461">
        <v>1883180</v>
      </c>
      <c r="M1461">
        <f>IF(F1461="INR",1,INDEX('rates'!$B$2:$C$522,MATCH(D1461,'rates'!$A$2:$A$522,1),MATCH(F1461&amp;"/INR",'rates'!$B$1:$C$1,0)))</f>
        <v>1</v>
      </c>
      <c r="N1461">
        <f t="shared" si="117"/>
        <v>1883180</v>
      </c>
      <c r="O1461">
        <f t="shared" si="118"/>
        <v>0</v>
      </c>
      <c r="P1461">
        <f t="shared" si="119"/>
        <v>0</v>
      </c>
      <c r="Q1461">
        <f t="shared" si="122"/>
        <v>1</v>
      </c>
      <c r="R1461" t="str">
        <f t="shared" si="120"/>
        <v>Not open</v>
      </c>
    </row>
    <row r="1462" spans="1:18" x14ac:dyDescent="0.3">
      <c r="A1462" t="s">
        <v>1656</v>
      </c>
      <c r="B1462" t="s">
        <v>286</v>
      </c>
      <c r="C1462" t="s">
        <v>558</v>
      </c>
      <c r="D1462" s="1">
        <v>45339</v>
      </c>
      <c r="E1462" s="1">
        <v>45399</v>
      </c>
      <c r="F1462" t="s">
        <v>36</v>
      </c>
      <c r="G1462">
        <v>44416.92</v>
      </c>
      <c r="H1462" s="1"/>
      <c r="I1462" t="s">
        <v>555</v>
      </c>
      <c r="J1462" t="s">
        <v>556</v>
      </c>
      <c r="L1462">
        <v>44416.92</v>
      </c>
      <c r="M1462">
        <f>IF(F1462="INR",1,INDEX('rates'!$B$2:$C$522,MATCH(D1462,'rates'!$A$2:$A$522,1),MATCH(F1462&amp;"/INR",'rates'!$B$1:$C$1,0)))</f>
        <v>83.02</v>
      </c>
      <c r="N1462">
        <f t="shared" si="117"/>
        <v>3687492.6983999996</v>
      </c>
      <c r="O1462">
        <f t="shared" si="118"/>
        <v>0</v>
      </c>
      <c r="P1462">
        <f t="shared" si="119"/>
        <v>0</v>
      </c>
      <c r="Q1462" t="str">
        <f t="shared" si="122"/>
        <v/>
      </c>
      <c r="R1462" t="str">
        <f t="shared" si="120"/>
        <v>Not open</v>
      </c>
    </row>
    <row r="1463" spans="1:18" x14ac:dyDescent="0.3">
      <c r="A1463" t="s">
        <v>1657</v>
      </c>
      <c r="B1463" t="s">
        <v>290</v>
      </c>
      <c r="C1463" t="s">
        <v>566</v>
      </c>
      <c r="D1463" s="1">
        <v>45339</v>
      </c>
      <c r="E1463" s="1">
        <v>45384</v>
      </c>
      <c r="F1463" t="s">
        <v>13</v>
      </c>
      <c r="G1463">
        <v>2216597</v>
      </c>
      <c r="H1463" s="1">
        <v>45382</v>
      </c>
      <c r="I1463" t="s">
        <v>555</v>
      </c>
      <c r="J1463" t="s">
        <v>556</v>
      </c>
      <c r="L1463">
        <v>2216597</v>
      </c>
      <c r="M1463">
        <f>IF(F1463="INR",1,INDEX('rates'!$B$2:$C$522,MATCH(D1463,'rates'!$A$2:$A$522,1),MATCH(F1463&amp;"/INR",'rates'!$B$1:$C$1,0)))</f>
        <v>1</v>
      </c>
      <c r="N1463">
        <f t="shared" si="117"/>
        <v>2216597</v>
      </c>
      <c r="O1463">
        <f t="shared" si="118"/>
        <v>0</v>
      </c>
      <c r="P1463">
        <f t="shared" si="119"/>
        <v>0</v>
      </c>
      <c r="Q1463">
        <f t="shared" si="122"/>
        <v>-2</v>
      </c>
      <c r="R1463" t="str">
        <f t="shared" si="120"/>
        <v>Not open</v>
      </c>
    </row>
    <row r="1464" spans="1:18" x14ac:dyDescent="0.3">
      <c r="A1464" t="s">
        <v>1658</v>
      </c>
      <c r="B1464" t="s">
        <v>394</v>
      </c>
      <c r="C1464" t="s">
        <v>566</v>
      </c>
      <c r="D1464" s="1">
        <v>45339</v>
      </c>
      <c r="E1464" s="1">
        <v>45399</v>
      </c>
      <c r="F1464" t="s">
        <v>31</v>
      </c>
      <c r="G1464">
        <v>18177.29</v>
      </c>
      <c r="H1464" s="1">
        <v>45412</v>
      </c>
      <c r="I1464" t="s">
        <v>555</v>
      </c>
      <c r="J1464" t="s">
        <v>573</v>
      </c>
      <c r="K1464">
        <v>89.582999999999998</v>
      </c>
      <c r="L1464">
        <v>18177.29</v>
      </c>
      <c r="M1464">
        <f>IF(F1464="INR",1,INDEX('rates'!$B$2:$C$522,MATCH(D1464,'rates'!$A$2:$A$522,1),MATCH(F1464&amp;"/INR",'rates'!$B$1:$C$1,0)))</f>
        <v>89.404200000000003</v>
      </c>
      <c r="N1464">
        <f t="shared" si="117"/>
        <v>1625126.0706180001</v>
      </c>
      <c r="O1464">
        <f t="shared" si="118"/>
        <v>0</v>
      </c>
      <c r="P1464">
        <f t="shared" si="119"/>
        <v>0</v>
      </c>
      <c r="Q1464">
        <f t="shared" si="122"/>
        <v>13</v>
      </c>
      <c r="R1464" t="str">
        <f t="shared" si="120"/>
        <v>Not open</v>
      </c>
    </row>
    <row r="1465" spans="1:18" x14ac:dyDescent="0.3">
      <c r="A1465" t="s">
        <v>1659</v>
      </c>
      <c r="B1465" t="s">
        <v>394</v>
      </c>
      <c r="C1465" t="s">
        <v>566</v>
      </c>
      <c r="D1465" s="1">
        <v>45339</v>
      </c>
      <c r="E1465" s="1">
        <v>45399</v>
      </c>
      <c r="F1465" t="s">
        <v>31</v>
      </c>
      <c r="G1465">
        <v>49917.66</v>
      </c>
      <c r="H1465" s="1">
        <v>45409</v>
      </c>
      <c r="I1465" t="s">
        <v>555</v>
      </c>
      <c r="J1465" t="s">
        <v>573</v>
      </c>
      <c r="K1465">
        <v>89.582999999999998</v>
      </c>
      <c r="L1465">
        <v>49917.66</v>
      </c>
      <c r="M1465">
        <f>IF(F1465="INR",1,INDEX('rates'!$B$2:$C$522,MATCH(D1465,'rates'!$A$2:$A$522,1),MATCH(F1465&amp;"/INR",'rates'!$B$1:$C$1,0)))</f>
        <v>89.404200000000003</v>
      </c>
      <c r="N1465">
        <f t="shared" si="117"/>
        <v>4462848.458172</v>
      </c>
      <c r="O1465">
        <f t="shared" si="118"/>
        <v>0</v>
      </c>
      <c r="P1465">
        <f t="shared" si="119"/>
        <v>0</v>
      </c>
      <c r="Q1465">
        <f t="shared" si="122"/>
        <v>10</v>
      </c>
      <c r="R1465" t="str">
        <f t="shared" si="120"/>
        <v>Not open</v>
      </c>
    </row>
    <row r="1466" spans="1:18" x14ac:dyDescent="0.3">
      <c r="A1466" t="s">
        <v>1661</v>
      </c>
      <c r="B1466" t="s">
        <v>482</v>
      </c>
      <c r="C1466" t="s">
        <v>558</v>
      </c>
      <c r="D1466" s="1">
        <v>45339</v>
      </c>
      <c r="E1466" s="1">
        <v>45399</v>
      </c>
      <c r="F1466" t="s">
        <v>13</v>
      </c>
      <c r="G1466">
        <v>4605947</v>
      </c>
      <c r="H1466" s="1">
        <v>45431</v>
      </c>
      <c r="I1466" t="s">
        <v>555</v>
      </c>
      <c r="J1466" t="s">
        <v>556</v>
      </c>
      <c r="L1466">
        <v>4605947</v>
      </c>
      <c r="M1466">
        <f>IF(F1466="INR",1,INDEX('rates'!$B$2:$C$522,MATCH(D1466,'rates'!$A$2:$A$522,1),MATCH(F1466&amp;"/INR",'rates'!$B$1:$C$1,0)))</f>
        <v>1</v>
      </c>
      <c r="N1466">
        <f t="shared" si="117"/>
        <v>4605947</v>
      </c>
      <c r="O1466">
        <f t="shared" si="118"/>
        <v>0</v>
      </c>
      <c r="P1466">
        <f t="shared" si="119"/>
        <v>0</v>
      </c>
      <c r="Q1466">
        <f t="shared" si="122"/>
        <v>32</v>
      </c>
      <c r="R1466" t="str">
        <f t="shared" si="120"/>
        <v>Not open</v>
      </c>
    </row>
    <row r="1467" spans="1:18" x14ac:dyDescent="0.3">
      <c r="A1467" t="s">
        <v>1662</v>
      </c>
      <c r="B1467" t="s">
        <v>502</v>
      </c>
      <c r="C1467" t="s">
        <v>554</v>
      </c>
      <c r="D1467" s="1">
        <v>45339</v>
      </c>
      <c r="E1467" s="1">
        <v>45369</v>
      </c>
      <c r="F1467" t="s">
        <v>13</v>
      </c>
      <c r="G1467">
        <v>2850322</v>
      </c>
      <c r="H1467" s="1">
        <v>45377</v>
      </c>
      <c r="I1467" t="s">
        <v>555</v>
      </c>
      <c r="J1467" t="s">
        <v>556</v>
      </c>
      <c r="L1467">
        <v>2850322</v>
      </c>
      <c r="M1467">
        <f>IF(F1467="INR",1,INDEX('rates'!$B$2:$C$522,MATCH(D1467,'rates'!$A$2:$A$522,1),MATCH(F1467&amp;"/INR",'rates'!$B$1:$C$1,0)))</f>
        <v>1</v>
      </c>
      <c r="N1467">
        <f t="shared" si="117"/>
        <v>2850322</v>
      </c>
      <c r="O1467">
        <f t="shared" si="118"/>
        <v>0</v>
      </c>
      <c r="P1467">
        <f t="shared" si="119"/>
        <v>0</v>
      </c>
      <c r="Q1467">
        <f t="shared" si="122"/>
        <v>8</v>
      </c>
      <c r="R1467" t="str">
        <f t="shared" si="120"/>
        <v>Not open</v>
      </c>
    </row>
    <row r="1468" spans="1:18" x14ac:dyDescent="0.3">
      <c r="A1468" t="s">
        <v>1663</v>
      </c>
      <c r="B1468" t="s">
        <v>522</v>
      </c>
      <c r="C1468" t="s">
        <v>566</v>
      </c>
      <c r="D1468" s="1">
        <v>45339</v>
      </c>
      <c r="E1468" s="1">
        <v>45399</v>
      </c>
      <c r="F1468" t="s">
        <v>31</v>
      </c>
      <c r="G1468">
        <v>76637.33</v>
      </c>
      <c r="H1468" s="1">
        <v>45436</v>
      </c>
      <c r="I1468" t="s">
        <v>555</v>
      </c>
      <c r="J1468" t="s">
        <v>573</v>
      </c>
      <c r="K1468">
        <v>89.582999999999998</v>
      </c>
      <c r="L1468">
        <v>76637.33</v>
      </c>
      <c r="M1468">
        <f>IF(F1468="INR",1,INDEX('rates'!$B$2:$C$522,MATCH(D1468,'rates'!$A$2:$A$522,1),MATCH(F1468&amp;"/INR",'rates'!$B$1:$C$1,0)))</f>
        <v>89.404200000000003</v>
      </c>
      <c r="N1468">
        <f t="shared" si="117"/>
        <v>6851699.1787860002</v>
      </c>
      <c r="O1468">
        <f t="shared" si="118"/>
        <v>0</v>
      </c>
      <c r="P1468">
        <f t="shared" si="119"/>
        <v>0</v>
      </c>
      <c r="Q1468">
        <f t="shared" si="122"/>
        <v>37</v>
      </c>
      <c r="R1468" t="str">
        <f t="shared" si="120"/>
        <v>Not open</v>
      </c>
    </row>
    <row r="1469" spans="1:18" x14ac:dyDescent="0.3">
      <c r="A1469" t="s">
        <v>1664</v>
      </c>
      <c r="B1469" t="s">
        <v>528</v>
      </c>
      <c r="C1469" t="s">
        <v>566</v>
      </c>
      <c r="D1469" s="1">
        <v>45339</v>
      </c>
      <c r="E1469" s="1">
        <v>45399</v>
      </c>
      <c r="F1469" t="s">
        <v>13</v>
      </c>
      <c r="G1469">
        <v>5721204</v>
      </c>
      <c r="H1469" s="1">
        <v>45417</v>
      </c>
      <c r="I1469" t="s">
        <v>555</v>
      </c>
      <c r="J1469" t="s">
        <v>556</v>
      </c>
      <c r="L1469">
        <v>5721204</v>
      </c>
      <c r="M1469">
        <f>IF(F1469="INR",1,INDEX('rates'!$B$2:$C$522,MATCH(D1469,'rates'!$A$2:$A$522,1),MATCH(F1469&amp;"/INR",'rates'!$B$1:$C$1,0)))</f>
        <v>1</v>
      </c>
      <c r="N1469">
        <f t="shared" si="117"/>
        <v>5721204</v>
      </c>
      <c r="O1469">
        <f t="shared" si="118"/>
        <v>0</v>
      </c>
      <c r="P1469">
        <f t="shared" si="119"/>
        <v>0</v>
      </c>
      <c r="Q1469">
        <f t="shared" si="122"/>
        <v>18</v>
      </c>
      <c r="R1469" t="str">
        <f t="shared" si="120"/>
        <v>Not open</v>
      </c>
    </row>
    <row r="1470" spans="1:18" x14ac:dyDescent="0.3">
      <c r="A1470" t="s">
        <v>1665</v>
      </c>
      <c r="B1470" t="s">
        <v>22</v>
      </c>
      <c r="C1470" t="s">
        <v>554</v>
      </c>
      <c r="D1470" s="1">
        <v>45341</v>
      </c>
      <c r="E1470" s="1">
        <v>45386</v>
      </c>
      <c r="F1470" t="s">
        <v>13</v>
      </c>
      <c r="G1470">
        <v>4027452</v>
      </c>
      <c r="H1470" s="1">
        <v>45403</v>
      </c>
      <c r="I1470" t="s">
        <v>555</v>
      </c>
      <c r="J1470" t="s">
        <v>556</v>
      </c>
      <c r="L1470">
        <v>4027452</v>
      </c>
      <c r="M1470">
        <f>IF(F1470="INR",1,INDEX('rates'!$B$2:$C$522,MATCH(D1470,'rates'!$A$2:$A$522,1),MATCH(F1470&amp;"/INR",'rates'!$B$1:$C$1,0)))</f>
        <v>1</v>
      </c>
      <c r="N1470">
        <f t="shared" si="117"/>
        <v>4027452</v>
      </c>
      <c r="O1470">
        <f t="shared" si="118"/>
        <v>0</v>
      </c>
      <c r="P1470">
        <f t="shared" si="119"/>
        <v>0</v>
      </c>
      <c r="Q1470">
        <f t="shared" si="122"/>
        <v>17</v>
      </c>
      <c r="R1470" t="str">
        <f t="shared" si="120"/>
        <v>Not open</v>
      </c>
    </row>
    <row r="1471" spans="1:18" x14ac:dyDescent="0.3">
      <c r="A1471" t="s">
        <v>1666</v>
      </c>
      <c r="B1471" t="s">
        <v>117</v>
      </c>
      <c r="C1471" t="s">
        <v>554</v>
      </c>
      <c r="D1471" s="1">
        <v>45341</v>
      </c>
      <c r="E1471" s="1">
        <v>45401</v>
      </c>
      <c r="F1471" t="s">
        <v>13</v>
      </c>
      <c r="G1471">
        <v>34595501</v>
      </c>
      <c r="H1471" s="1">
        <v>45416</v>
      </c>
      <c r="I1471" t="s">
        <v>555</v>
      </c>
      <c r="J1471" t="s">
        <v>556</v>
      </c>
      <c r="L1471">
        <v>34595501</v>
      </c>
      <c r="M1471">
        <f>IF(F1471="INR",1,INDEX('rates'!$B$2:$C$522,MATCH(D1471,'rates'!$A$2:$A$522,1),MATCH(F1471&amp;"/INR",'rates'!$B$1:$C$1,0)))</f>
        <v>1</v>
      </c>
      <c r="N1471">
        <f t="shared" si="117"/>
        <v>34595501</v>
      </c>
      <c r="O1471">
        <f t="shared" si="118"/>
        <v>0</v>
      </c>
      <c r="P1471">
        <f t="shared" si="119"/>
        <v>0</v>
      </c>
      <c r="Q1471">
        <f t="shared" si="122"/>
        <v>15</v>
      </c>
      <c r="R1471" t="str">
        <f t="shared" si="120"/>
        <v>Not open</v>
      </c>
    </row>
    <row r="1472" spans="1:18" x14ac:dyDescent="0.3">
      <c r="A1472" t="s">
        <v>1667</v>
      </c>
      <c r="B1472" t="s">
        <v>152</v>
      </c>
      <c r="C1472" t="s">
        <v>558</v>
      </c>
      <c r="D1472" s="1">
        <v>45341</v>
      </c>
      <c r="E1472" s="1">
        <v>45401</v>
      </c>
      <c r="F1472" t="s">
        <v>13</v>
      </c>
      <c r="G1472">
        <v>4539676</v>
      </c>
      <c r="H1472" s="1">
        <v>45410</v>
      </c>
      <c r="I1472" t="s">
        <v>555</v>
      </c>
      <c r="J1472" t="s">
        <v>556</v>
      </c>
      <c r="L1472">
        <v>4539676</v>
      </c>
      <c r="M1472">
        <f>IF(F1472="INR",1,INDEX('rates'!$B$2:$C$522,MATCH(D1472,'rates'!$A$2:$A$522,1),MATCH(F1472&amp;"/INR",'rates'!$B$1:$C$1,0)))</f>
        <v>1</v>
      </c>
      <c r="N1472">
        <f t="shared" si="117"/>
        <v>4539676</v>
      </c>
      <c r="O1472">
        <f t="shared" si="118"/>
        <v>0</v>
      </c>
      <c r="P1472">
        <f t="shared" si="119"/>
        <v>0</v>
      </c>
      <c r="Q1472">
        <f t="shared" si="122"/>
        <v>9</v>
      </c>
      <c r="R1472" t="str">
        <f t="shared" si="120"/>
        <v>Not open</v>
      </c>
    </row>
    <row r="1473" spans="1:18" x14ac:dyDescent="0.3">
      <c r="A1473" t="s">
        <v>1668</v>
      </c>
      <c r="B1473" t="s">
        <v>156</v>
      </c>
      <c r="C1473" t="s">
        <v>566</v>
      </c>
      <c r="D1473" s="1">
        <v>45341</v>
      </c>
      <c r="E1473" s="1">
        <v>45371</v>
      </c>
      <c r="F1473" t="s">
        <v>13</v>
      </c>
      <c r="G1473">
        <v>2378028</v>
      </c>
      <c r="H1473" s="1"/>
      <c r="I1473" t="s">
        <v>555</v>
      </c>
      <c r="J1473" t="s">
        <v>556</v>
      </c>
      <c r="L1473">
        <v>2378028</v>
      </c>
      <c r="M1473">
        <f>IF(F1473="INR",1,INDEX('rates'!$B$2:$C$522,MATCH(D1473,'rates'!$A$2:$A$522,1),MATCH(F1473&amp;"/INR",'rates'!$B$1:$C$1,0)))</f>
        <v>1</v>
      </c>
      <c r="N1473">
        <f t="shared" si="117"/>
        <v>2378028</v>
      </c>
      <c r="O1473">
        <f t="shared" si="118"/>
        <v>0</v>
      </c>
      <c r="P1473">
        <f t="shared" si="119"/>
        <v>0</v>
      </c>
      <c r="Q1473" t="str">
        <f t="shared" si="122"/>
        <v/>
      </c>
      <c r="R1473" t="str">
        <f t="shared" si="120"/>
        <v>Not open</v>
      </c>
    </row>
    <row r="1474" spans="1:18" x14ac:dyDescent="0.3">
      <c r="A1474" t="s">
        <v>1669</v>
      </c>
      <c r="B1474" t="s">
        <v>262</v>
      </c>
      <c r="C1474" t="s">
        <v>566</v>
      </c>
      <c r="D1474" s="1">
        <v>45341</v>
      </c>
      <c r="E1474" s="1">
        <v>45431</v>
      </c>
      <c r="F1474" t="s">
        <v>31</v>
      </c>
      <c r="G1474">
        <v>98590.94</v>
      </c>
      <c r="H1474" s="1">
        <v>45482</v>
      </c>
      <c r="I1474" t="s">
        <v>555</v>
      </c>
      <c r="J1474" t="s">
        <v>573</v>
      </c>
      <c r="K1474">
        <v>89.672399999999996</v>
      </c>
      <c r="L1474">
        <v>98590.94</v>
      </c>
      <c r="M1474">
        <f>IF(F1474="INR",1,INDEX('rates'!$B$2:$C$522,MATCH(D1474,'rates'!$A$2:$A$522,1),MATCH(F1474&amp;"/INR",'rates'!$B$1:$C$1,0)))</f>
        <v>89.404200000000003</v>
      </c>
      <c r="N1474">
        <f t="shared" ref="N1474:N1537" si="123">G1474*M1474</f>
        <v>8814444.1179480013</v>
      </c>
      <c r="O1474">
        <f t="shared" ref="O1474:O1537" si="124">IF(OR(I1474="OPEN",I1474="PARTIALLY PAID"),(G1474-L1474)*M1474,0)</f>
        <v>0</v>
      </c>
      <c r="P1474">
        <f t="shared" ref="P1474:P1537" si="125">IF(O1474&gt;0,MAX(0,DATE(2025,3,31)-E1474),0)</f>
        <v>0</v>
      </c>
      <c r="Q1474">
        <f t="shared" si="122"/>
        <v>51</v>
      </c>
      <c r="R1474" t="str">
        <f t="shared" ref="R1474:R1537" si="126">IF(O1474=0,"Not open",IF(P1474=0,"Not yet due",IF(P1474&lt;=30,"1-30",IF(P1474&lt;=60,"31-60",IF(P1474&lt;=90,"61-90","90+")))))</f>
        <v>Not open</v>
      </c>
    </row>
    <row r="1475" spans="1:18" x14ac:dyDescent="0.3">
      <c r="A1475" t="s">
        <v>1670</v>
      </c>
      <c r="B1475" t="s">
        <v>332</v>
      </c>
      <c r="C1475" t="s">
        <v>566</v>
      </c>
      <c r="D1475" s="1">
        <v>45341</v>
      </c>
      <c r="E1475" s="1">
        <v>45401</v>
      </c>
      <c r="F1475" t="s">
        <v>36</v>
      </c>
      <c r="G1475">
        <v>112127.57</v>
      </c>
      <c r="H1475" s="1">
        <v>45406</v>
      </c>
      <c r="I1475" t="s">
        <v>555</v>
      </c>
      <c r="J1475" t="s">
        <v>573</v>
      </c>
      <c r="K1475">
        <v>83.296700000000001</v>
      </c>
      <c r="L1475">
        <v>112127.57</v>
      </c>
      <c r="M1475">
        <f>IF(F1475="INR",1,INDEX('rates'!$B$2:$C$522,MATCH(D1475,'rates'!$A$2:$A$522,1),MATCH(F1475&amp;"/INR",'rates'!$B$1:$C$1,0)))</f>
        <v>83.02</v>
      </c>
      <c r="N1475">
        <f t="shared" si="123"/>
        <v>9308830.8614000008</v>
      </c>
      <c r="O1475">
        <f t="shared" si="124"/>
        <v>0</v>
      </c>
      <c r="P1475">
        <f t="shared" si="125"/>
        <v>0</v>
      </c>
      <c r="Q1475">
        <f t="shared" si="122"/>
        <v>5</v>
      </c>
      <c r="R1475" t="str">
        <f t="shared" si="126"/>
        <v>Not open</v>
      </c>
    </row>
    <row r="1476" spans="1:18" x14ac:dyDescent="0.3">
      <c r="A1476" t="s">
        <v>1671</v>
      </c>
      <c r="B1476" t="s">
        <v>190</v>
      </c>
      <c r="C1476" t="s">
        <v>558</v>
      </c>
      <c r="D1476" s="1">
        <v>45342</v>
      </c>
      <c r="E1476" s="1">
        <v>45372</v>
      </c>
      <c r="F1476" t="s">
        <v>13</v>
      </c>
      <c r="G1476">
        <v>9000436</v>
      </c>
      <c r="H1476" s="1">
        <v>45425</v>
      </c>
      <c r="I1476" t="s">
        <v>555</v>
      </c>
      <c r="J1476" t="s">
        <v>556</v>
      </c>
      <c r="L1476">
        <v>9000436</v>
      </c>
      <c r="M1476">
        <f>IF(F1476="INR",1,INDEX('rates'!$B$2:$C$522,MATCH(D1476,'rates'!$A$2:$A$522,1),MATCH(F1476&amp;"/INR",'rates'!$B$1:$C$1,0)))</f>
        <v>1</v>
      </c>
      <c r="N1476">
        <f t="shared" si="123"/>
        <v>9000436</v>
      </c>
      <c r="O1476">
        <f t="shared" si="124"/>
        <v>0</v>
      </c>
      <c r="P1476">
        <f t="shared" si="125"/>
        <v>0</v>
      </c>
      <c r="Q1476">
        <f t="shared" si="122"/>
        <v>53</v>
      </c>
      <c r="R1476" t="str">
        <f t="shared" si="126"/>
        <v>Not open</v>
      </c>
    </row>
    <row r="1477" spans="1:18" x14ac:dyDescent="0.3">
      <c r="A1477" t="s">
        <v>1672</v>
      </c>
      <c r="B1477" t="s">
        <v>246</v>
      </c>
      <c r="C1477" t="s">
        <v>554</v>
      </c>
      <c r="D1477" s="1">
        <v>45342</v>
      </c>
      <c r="E1477" s="1">
        <v>45402</v>
      </c>
      <c r="F1477" t="s">
        <v>13</v>
      </c>
      <c r="G1477">
        <v>5388756</v>
      </c>
      <c r="H1477" s="1">
        <v>45406</v>
      </c>
      <c r="I1477" t="s">
        <v>555</v>
      </c>
      <c r="J1477" t="s">
        <v>556</v>
      </c>
      <c r="L1477">
        <v>5388756</v>
      </c>
      <c r="M1477">
        <f>IF(F1477="INR",1,INDEX('rates'!$B$2:$C$522,MATCH(D1477,'rates'!$A$2:$A$522,1),MATCH(F1477&amp;"/INR",'rates'!$B$1:$C$1,0)))</f>
        <v>1</v>
      </c>
      <c r="N1477">
        <f t="shared" si="123"/>
        <v>5388756</v>
      </c>
      <c r="O1477">
        <f t="shared" si="124"/>
        <v>0</v>
      </c>
      <c r="P1477">
        <f t="shared" si="125"/>
        <v>0</v>
      </c>
      <c r="Q1477">
        <f t="shared" si="122"/>
        <v>4</v>
      </c>
      <c r="R1477" t="str">
        <f t="shared" si="126"/>
        <v>Not open</v>
      </c>
    </row>
    <row r="1478" spans="1:18" x14ac:dyDescent="0.3">
      <c r="A1478" t="s">
        <v>1673</v>
      </c>
      <c r="B1478" t="s">
        <v>380</v>
      </c>
      <c r="C1478" t="s">
        <v>560</v>
      </c>
      <c r="D1478" s="1">
        <v>45342</v>
      </c>
      <c r="E1478" s="1">
        <v>45402</v>
      </c>
      <c r="F1478" t="s">
        <v>13</v>
      </c>
      <c r="G1478">
        <v>4446896</v>
      </c>
      <c r="H1478" s="1">
        <v>45415</v>
      </c>
      <c r="I1478" t="s">
        <v>555</v>
      </c>
      <c r="J1478" t="s">
        <v>556</v>
      </c>
      <c r="L1478">
        <v>4446896</v>
      </c>
      <c r="M1478">
        <f>IF(F1478="INR",1,INDEX('rates'!$B$2:$C$522,MATCH(D1478,'rates'!$A$2:$A$522,1),MATCH(F1478&amp;"/INR",'rates'!$B$1:$C$1,0)))</f>
        <v>1</v>
      </c>
      <c r="N1478">
        <f t="shared" si="123"/>
        <v>4446896</v>
      </c>
      <c r="O1478">
        <f t="shared" si="124"/>
        <v>0</v>
      </c>
      <c r="P1478">
        <f t="shared" si="125"/>
        <v>0</v>
      </c>
      <c r="Q1478">
        <f t="shared" si="122"/>
        <v>13</v>
      </c>
      <c r="R1478" t="str">
        <f t="shared" si="126"/>
        <v>Not open</v>
      </c>
    </row>
    <row r="1479" spans="1:18" x14ac:dyDescent="0.3">
      <c r="A1479" t="s">
        <v>1674</v>
      </c>
      <c r="B1479" t="s">
        <v>466</v>
      </c>
      <c r="C1479" t="s">
        <v>558</v>
      </c>
      <c r="D1479" s="1">
        <v>45342</v>
      </c>
      <c r="E1479" s="1">
        <v>45402</v>
      </c>
      <c r="F1479" t="s">
        <v>31</v>
      </c>
      <c r="G1479">
        <v>53727</v>
      </c>
      <c r="H1479" s="1">
        <v>45404</v>
      </c>
      <c r="I1479" t="s">
        <v>555</v>
      </c>
      <c r="J1479" t="s">
        <v>556</v>
      </c>
      <c r="L1479">
        <v>53727</v>
      </c>
      <c r="M1479">
        <f>IF(F1479="INR",1,INDEX('rates'!$B$2:$C$522,MATCH(D1479,'rates'!$A$2:$A$522,1),MATCH(F1479&amp;"/INR",'rates'!$B$1:$C$1,0)))</f>
        <v>89.626400000000004</v>
      </c>
      <c r="N1479">
        <f t="shared" si="123"/>
        <v>4815357.5927999998</v>
      </c>
      <c r="O1479">
        <f t="shared" si="124"/>
        <v>0</v>
      </c>
      <c r="P1479">
        <f t="shared" si="125"/>
        <v>0</v>
      </c>
      <c r="Q1479">
        <f t="shared" ref="Q1479:Q1510" si="127">IF(H1479="","",H1479-E1479)</f>
        <v>2</v>
      </c>
      <c r="R1479" t="str">
        <f t="shared" si="126"/>
        <v>Not open</v>
      </c>
    </row>
    <row r="1480" spans="1:18" x14ac:dyDescent="0.3">
      <c r="A1480" t="s">
        <v>1675</v>
      </c>
      <c r="B1480" t="s">
        <v>42</v>
      </c>
      <c r="C1480" t="s">
        <v>566</v>
      </c>
      <c r="D1480" s="1">
        <v>45343</v>
      </c>
      <c r="E1480" s="1">
        <v>45403</v>
      </c>
      <c r="F1480" t="s">
        <v>13</v>
      </c>
      <c r="G1480">
        <v>1496342</v>
      </c>
      <c r="H1480" s="1">
        <v>45394</v>
      </c>
      <c r="I1480" t="s">
        <v>555</v>
      </c>
      <c r="J1480" t="s">
        <v>556</v>
      </c>
      <c r="L1480">
        <v>1496342</v>
      </c>
      <c r="M1480">
        <f>IF(F1480="INR",1,INDEX('rates'!$B$2:$C$522,MATCH(D1480,'rates'!$A$2:$A$522,1),MATCH(F1480&amp;"/INR",'rates'!$B$1:$C$1,0)))</f>
        <v>1</v>
      </c>
      <c r="N1480">
        <f t="shared" si="123"/>
        <v>1496342</v>
      </c>
      <c r="O1480">
        <f t="shared" si="124"/>
        <v>0</v>
      </c>
      <c r="P1480">
        <f t="shared" si="125"/>
        <v>0</v>
      </c>
      <c r="Q1480">
        <f t="shared" si="127"/>
        <v>-9</v>
      </c>
      <c r="R1480" t="str">
        <f t="shared" si="126"/>
        <v>Not open</v>
      </c>
    </row>
    <row r="1481" spans="1:18" x14ac:dyDescent="0.3">
      <c r="A1481" t="s">
        <v>1676</v>
      </c>
      <c r="B1481" t="s">
        <v>206</v>
      </c>
      <c r="C1481" t="s">
        <v>566</v>
      </c>
      <c r="D1481" s="1">
        <v>45343</v>
      </c>
      <c r="E1481" s="1">
        <v>45388</v>
      </c>
      <c r="F1481" t="s">
        <v>13</v>
      </c>
      <c r="G1481">
        <v>18976290</v>
      </c>
      <c r="H1481" s="1">
        <v>45438</v>
      </c>
      <c r="I1481" t="s">
        <v>555</v>
      </c>
      <c r="J1481" t="s">
        <v>556</v>
      </c>
      <c r="L1481">
        <v>18976290</v>
      </c>
      <c r="M1481">
        <f>IF(F1481="INR",1,INDEX('rates'!$B$2:$C$522,MATCH(D1481,'rates'!$A$2:$A$522,1),MATCH(F1481&amp;"/INR",'rates'!$B$1:$C$1,0)))</f>
        <v>1</v>
      </c>
      <c r="N1481">
        <f t="shared" si="123"/>
        <v>18976290</v>
      </c>
      <c r="O1481">
        <f t="shared" si="124"/>
        <v>0</v>
      </c>
      <c r="P1481">
        <f t="shared" si="125"/>
        <v>0</v>
      </c>
      <c r="Q1481">
        <f t="shared" si="127"/>
        <v>50</v>
      </c>
      <c r="R1481" t="str">
        <f t="shared" si="126"/>
        <v>Not open</v>
      </c>
    </row>
    <row r="1482" spans="1:18" x14ac:dyDescent="0.3">
      <c r="A1482" t="s">
        <v>1677</v>
      </c>
      <c r="B1482" t="s">
        <v>262</v>
      </c>
      <c r="C1482" t="s">
        <v>566</v>
      </c>
      <c r="D1482" s="1">
        <v>45343</v>
      </c>
      <c r="E1482" s="1">
        <v>45433</v>
      </c>
      <c r="F1482" t="s">
        <v>31</v>
      </c>
      <c r="G1482">
        <v>32937.440000000002</v>
      </c>
      <c r="H1482" s="1">
        <v>45466</v>
      </c>
      <c r="I1482" t="s">
        <v>555</v>
      </c>
      <c r="J1482" t="s">
        <v>573</v>
      </c>
      <c r="K1482">
        <v>90.015299999999996</v>
      </c>
      <c r="L1482">
        <v>32937.440000000002</v>
      </c>
      <c r="M1482">
        <f>IF(F1482="INR",1,INDEX('rates'!$B$2:$C$522,MATCH(D1482,'rates'!$A$2:$A$522,1),MATCH(F1482&amp;"/INR",'rates'!$B$1:$C$1,0)))</f>
        <v>89.746099999999998</v>
      </c>
      <c r="N1482">
        <f t="shared" si="123"/>
        <v>2956006.7839840003</v>
      </c>
      <c r="O1482">
        <f t="shared" si="124"/>
        <v>0</v>
      </c>
      <c r="P1482">
        <f t="shared" si="125"/>
        <v>0</v>
      </c>
      <c r="Q1482">
        <f t="shared" si="127"/>
        <v>33</v>
      </c>
      <c r="R1482" t="str">
        <f t="shared" si="126"/>
        <v>Not open</v>
      </c>
    </row>
    <row r="1483" spans="1:18" x14ac:dyDescent="0.3">
      <c r="A1483" t="s">
        <v>1678</v>
      </c>
      <c r="B1483" t="s">
        <v>316</v>
      </c>
      <c r="C1483" t="s">
        <v>575</v>
      </c>
      <c r="D1483" s="1">
        <v>45343</v>
      </c>
      <c r="E1483" s="1">
        <v>45373</v>
      </c>
      <c r="F1483" t="s">
        <v>13</v>
      </c>
      <c r="G1483">
        <v>13016248</v>
      </c>
      <c r="H1483" s="1">
        <v>45379</v>
      </c>
      <c r="I1483" t="s">
        <v>555</v>
      </c>
      <c r="J1483" t="s">
        <v>556</v>
      </c>
      <c r="L1483">
        <v>13016248</v>
      </c>
      <c r="M1483">
        <f>IF(F1483="INR",1,INDEX('rates'!$B$2:$C$522,MATCH(D1483,'rates'!$A$2:$A$522,1),MATCH(F1483&amp;"/INR",'rates'!$B$1:$C$1,0)))</f>
        <v>1</v>
      </c>
      <c r="N1483">
        <f t="shared" si="123"/>
        <v>13016248</v>
      </c>
      <c r="O1483">
        <f t="shared" si="124"/>
        <v>0</v>
      </c>
      <c r="P1483">
        <f t="shared" si="125"/>
        <v>0</v>
      </c>
      <c r="Q1483">
        <f t="shared" si="127"/>
        <v>6</v>
      </c>
      <c r="R1483" t="str">
        <f t="shared" si="126"/>
        <v>Not open</v>
      </c>
    </row>
    <row r="1484" spans="1:18" x14ac:dyDescent="0.3">
      <c r="A1484" t="s">
        <v>1679</v>
      </c>
      <c r="B1484" t="s">
        <v>352</v>
      </c>
      <c r="C1484" t="s">
        <v>554</v>
      </c>
      <c r="D1484" s="1">
        <v>45343</v>
      </c>
      <c r="E1484" s="1">
        <v>45388</v>
      </c>
      <c r="F1484" t="s">
        <v>36</v>
      </c>
      <c r="G1484">
        <v>55608.65</v>
      </c>
      <c r="H1484" s="1">
        <v>45404</v>
      </c>
      <c r="I1484" t="s">
        <v>555</v>
      </c>
      <c r="J1484" t="s">
        <v>573</v>
      </c>
      <c r="K1484">
        <v>83.167400000000001</v>
      </c>
      <c r="L1484">
        <v>55608.65</v>
      </c>
      <c r="M1484">
        <f>IF(F1484="INR",1,INDEX('rates'!$B$2:$C$522,MATCH(D1484,'rates'!$A$2:$A$522,1),MATCH(F1484&amp;"/INR",'rates'!$B$1:$C$1,0)))</f>
        <v>82.96</v>
      </c>
      <c r="N1484">
        <f t="shared" si="123"/>
        <v>4613293.6039999994</v>
      </c>
      <c r="O1484">
        <f t="shared" si="124"/>
        <v>0</v>
      </c>
      <c r="P1484">
        <f t="shared" si="125"/>
        <v>0</v>
      </c>
      <c r="Q1484">
        <f t="shared" si="127"/>
        <v>16</v>
      </c>
      <c r="R1484" t="str">
        <f t="shared" si="126"/>
        <v>Not open</v>
      </c>
    </row>
    <row r="1485" spans="1:18" x14ac:dyDescent="0.3">
      <c r="A1485" t="s">
        <v>1680</v>
      </c>
      <c r="B1485" t="s">
        <v>512</v>
      </c>
      <c r="C1485" t="s">
        <v>566</v>
      </c>
      <c r="D1485" s="1">
        <v>45343</v>
      </c>
      <c r="E1485" s="1">
        <v>45403</v>
      </c>
      <c r="F1485" t="s">
        <v>31</v>
      </c>
      <c r="G1485">
        <v>111260.19</v>
      </c>
      <c r="H1485" s="1">
        <v>45513</v>
      </c>
      <c r="I1485" t="s">
        <v>555</v>
      </c>
      <c r="J1485" t="s">
        <v>573</v>
      </c>
      <c r="K1485">
        <v>89.925600000000003</v>
      </c>
      <c r="L1485">
        <v>111260.19</v>
      </c>
      <c r="M1485">
        <f>IF(F1485="INR",1,INDEX('rates'!$B$2:$C$522,MATCH(D1485,'rates'!$A$2:$A$522,1),MATCH(F1485&amp;"/INR",'rates'!$B$1:$C$1,0)))</f>
        <v>89.746099999999998</v>
      </c>
      <c r="N1485">
        <f t="shared" si="123"/>
        <v>9985168.1377590001</v>
      </c>
      <c r="O1485">
        <f t="shared" si="124"/>
        <v>0</v>
      </c>
      <c r="P1485">
        <f t="shared" si="125"/>
        <v>0</v>
      </c>
      <c r="Q1485">
        <f t="shared" si="127"/>
        <v>110</v>
      </c>
      <c r="R1485" t="str">
        <f t="shared" si="126"/>
        <v>Not open</v>
      </c>
    </row>
    <row r="1486" spans="1:18" x14ac:dyDescent="0.3">
      <c r="A1486" t="s">
        <v>1681</v>
      </c>
      <c r="B1486" t="s">
        <v>528</v>
      </c>
      <c r="C1486" t="s">
        <v>566</v>
      </c>
      <c r="D1486" s="1">
        <v>45343</v>
      </c>
      <c r="E1486" s="1">
        <v>45403</v>
      </c>
      <c r="F1486" t="s">
        <v>13</v>
      </c>
      <c r="G1486">
        <v>20428604</v>
      </c>
      <c r="H1486" s="1">
        <v>45426</v>
      </c>
      <c r="I1486" t="s">
        <v>555</v>
      </c>
      <c r="J1486" t="s">
        <v>556</v>
      </c>
      <c r="L1486">
        <v>20428604</v>
      </c>
      <c r="M1486">
        <f>IF(F1486="INR",1,INDEX('rates'!$B$2:$C$522,MATCH(D1486,'rates'!$A$2:$A$522,1),MATCH(F1486&amp;"/INR",'rates'!$B$1:$C$1,0)))</f>
        <v>1</v>
      </c>
      <c r="N1486">
        <f t="shared" si="123"/>
        <v>20428604</v>
      </c>
      <c r="O1486">
        <f t="shared" si="124"/>
        <v>0</v>
      </c>
      <c r="P1486">
        <f t="shared" si="125"/>
        <v>0</v>
      </c>
      <c r="Q1486">
        <f t="shared" si="127"/>
        <v>23</v>
      </c>
      <c r="R1486" t="str">
        <f t="shared" si="126"/>
        <v>Not open</v>
      </c>
    </row>
    <row r="1487" spans="1:18" x14ac:dyDescent="0.3">
      <c r="A1487" t="s">
        <v>1682</v>
      </c>
      <c r="B1487" t="s">
        <v>144</v>
      </c>
      <c r="C1487" t="s">
        <v>554</v>
      </c>
      <c r="D1487" s="1">
        <v>45344</v>
      </c>
      <c r="E1487" s="1">
        <v>45374</v>
      </c>
      <c r="F1487" t="s">
        <v>13</v>
      </c>
      <c r="G1487">
        <v>22962442</v>
      </c>
      <c r="H1487" s="1">
        <v>45386</v>
      </c>
      <c r="I1487" t="s">
        <v>555</v>
      </c>
      <c r="J1487" t="s">
        <v>556</v>
      </c>
      <c r="L1487">
        <v>22962442</v>
      </c>
      <c r="M1487">
        <f>IF(F1487="INR",1,INDEX('rates'!$B$2:$C$522,MATCH(D1487,'rates'!$A$2:$A$522,1),MATCH(F1487&amp;"/INR",'rates'!$B$1:$C$1,0)))</f>
        <v>1</v>
      </c>
      <c r="N1487">
        <f t="shared" si="123"/>
        <v>22962442</v>
      </c>
      <c r="O1487">
        <f t="shared" si="124"/>
        <v>0</v>
      </c>
      <c r="P1487">
        <f t="shared" si="125"/>
        <v>0</v>
      </c>
      <c r="Q1487">
        <f t="shared" si="127"/>
        <v>12</v>
      </c>
      <c r="R1487" t="str">
        <f t="shared" si="126"/>
        <v>Not open</v>
      </c>
    </row>
    <row r="1488" spans="1:18" x14ac:dyDescent="0.3">
      <c r="A1488" t="s">
        <v>1683</v>
      </c>
      <c r="B1488" t="s">
        <v>154</v>
      </c>
      <c r="C1488" t="s">
        <v>566</v>
      </c>
      <c r="D1488" s="1">
        <v>45344</v>
      </c>
      <c r="E1488" s="1">
        <v>45374</v>
      </c>
      <c r="F1488" t="s">
        <v>13</v>
      </c>
      <c r="G1488">
        <v>16459810</v>
      </c>
      <c r="H1488" s="1">
        <v>45374</v>
      </c>
      <c r="I1488" t="s">
        <v>555</v>
      </c>
      <c r="J1488" t="s">
        <v>556</v>
      </c>
      <c r="L1488">
        <v>16459810</v>
      </c>
      <c r="M1488">
        <f>IF(F1488="INR",1,INDEX('rates'!$B$2:$C$522,MATCH(D1488,'rates'!$A$2:$A$522,1),MATCH(F1488&amp;"/INR",'rates'!$B$1:$C$1,0)))</f>
        <v>1</v>
      </c>
      <c r="N1488">
        <f t="shared" si="123"/>
        <v>16459810</v>
      </c>
      <c r="O1488">
        <f t="shared" si="124"/>
        <v>0</v>
      </c>
      <c r="P1488">
        <f t="shared" si="125"/>
        <v>0</v>
      </c>
      <c r="Q1488">
        <f t="shared" si="127"/>
        <v>0</v>
      </c>
      <c r="R1488" t="str">
        <f t="shared" si="126"/>
        <v>Not open</v>
      </c>
    </row>
    <row r="1489" spans="1:18" x14ac:dyDescent="0.3">
      <c r="A1489" t="s">
        <v>1684</v>
      </c>
      <c r="B1489" t="s">
        <v>314</v>
      </c>
      <c r="C1489" t="s">
        <v>558</v>
      </c>
      <c r="D1489" s="1">
        <v>45344</v>
      </c>
      <c r="E1489" s="1">
        <v>45404</v>
      </c>
      <c r="F1489" t="s">
        <v>36</v>
      </c>
      <c r="G1489">
        <v>99026.49</v>
      </c>
      <c r="H1489" s="1">
        <v>45435</v>
      </c>
      <c r="I1489" t="s">
        <v>555</v>
      </c>
      <c r="J1489" t="s">
        <v>573</v>
      </c>
      <c r="K1489">
        <v>83.136200000000002</v>
      </c>
      <c r="L1489">
        <v>99026.49</v>
      </c>
      <c r="M1489">
        <f>IF(F1489="INR",1,INDEX('rates'!$B$2:$C$522,MATCH(D1489,'rates'!$A$2:$A$522,1),MATCH(F1489&amp;"/INR",'rates'!$B$1:$C$1,0)))</f>
        <v>82.86</v>
      </c>
      <c r="N1489">
        <f t="shared" si="123"/>
        <v>8205334.9614000004</v>
      </c>
      <c r="O1489">
        <f t="shared" si="124"/>
        <v>0</v>
      </c>
      <c r="P1489">
        <f t="shared" si="125"/>
        <v>0</v>
      </c>
      <c r="Q1489">
        <f t="shared" si="127"/>
        <v>31</v>
      </c>
      <c r="R1489" t="str">
        <f t="shared" si="126"/>
        <v>Not open</v>
      </c>
    </row>
    <row r="1490" spans="1:18" x14ac:dyDescent="0.3">
      <c r="A1490" t="s">
        <v>1685</v>
      </c>
      <c r="B1490" t="s">
        <v>476</v>
      </c>
      <c r="C1490" t="s">
        <v>566</v>
      </c>
      <c r="D1490" s="1">
        <v>45344</v>
      </c>
      <c r="E1490" s="1">
        <v>45389</v>
      </c>
      <c r="F1490" t="s">
        <v>13</v>
      </c>
      <c r="G1490">
        <v>3365438</v>
      </c>
      <c r="H1490" s="1">
        <v>45422</v>
      </c>
      <c r="I1490" t="s">
        <v>555</v>
      </c>
      <c r="J1490" t="s">
        <v>556</v>
      </c>
      <c r="L1490">
        <v>3365438</v>
      </c>
      <c r="M1490">
        <f>IF(F1490="INR",1,INDEX('rates'!$B$2:$C$522,MATCH(D1490,'rates'!$A$2:$A$522,1),MATCH(F1490&amp;"/INR",'rates'!$B$1:$C$1,0)))</f>
        <v>1</v>
      </c>
      <c r="N1490">
        <f t="shared" si="123"/>
        <v>3365438</v>
      </c>
      <c r="O1490">
        <f t="shared" si="124"/>
        <v>0</v>
      </c>
      <c r="P1490">
        <f t="shared" si="125"/>
        <v>0</v>
      </c>
      <c r="Q1490">
        <f t="shared" si="127"/>
        <v>33</v>
      </c>
      <c r="R1490" t="str">
        <f t="shared" si="126"/>
        <v>Not open</v>
      </c>
    </row>
    <row r="1491" spans="1:18" x14ac:dyDescent="0.3">
      <c r="A1491" t="s">
        <v>1686</v>
      </c>
      <c r="B1491" t="s">
        <v>482</v>
      </c>
      <c r="C1491" t="s">
        <v>558</v>
      </c>
      <c r="D1491" s="1">
        <v>45344</v>
      </c>
      <c r="E1491" s="1">
        <v>45404</v>
      </c>
      <c r="F1491" t="s">
        <v>13</v>
      </c>
      <c r="G1491">
        <v>5105000</v>
      </c>
      <c r="H1491" s="1">
        <v>45426</v>
      </c>
      <c r="I1491" t="s">
        <v>555</v>
      </c>
      <c r="J1491" t="s">
        <v>556</v>
      </c>
      <c r="L1491">
        <v>5105000</v>
      </c>
      <c r="M1491">
        <f>IF(F1491="INR",1,INDEX('rates'!$B$2:$C$522,MATCH(D1491,'rates'!$A$2:$A$522,1),MATCH(F1491&amp;"/INR",'rates'!$B$1:$C$1,0)))</f>
        <v>1</v>
      </c>
      <c r="N1491">
        <f t="shared" si="123"/>
        <v>5105000</v>
      </c>
      <c r="O1491">
        <f t="shared" si="124"/>
        <v>0</v>
      </c>
      <c r="P1491">
        <f t="shared" si="125"/>
        <v>0</v>
      </c>
      <c r="Q1491">
        <f t="shared" si="127"/>
        <v>22</v>
      </c>
      <c r="R1491" t="str">
        <f t="shared" si="126"/>
        <v>Not open</v>
      </c>
    </row>
    <row r="1492" spans="1:18" x14ac:dyDescent="0.3">
      <c r="A1492" t="s">
        <v>1687</v>
      </c>
      <c r="B1492" t="s">
        <v>508</v>
      </c>
      <c r="C1492" t="s">
        <v>554</v>
      </c>
      <c r="D1492" s="1">
        <v>45344</v>
      </c>
      <c r="E1492" s="1">
        <v>45404</v>
      </c>
      <c r="F1492" t="s">
        <v>13</v>
      </c>
      <c r="G1492">
        <v>8776313</v>
      </c>
      <c r="H1492" s="1">
        <v>45410</v>
      </c>
      <c r="I1492" t="s">
        <v>555</v>
      </c>
      <c r="J1492" t="s">
        <v>556</v>
      </c>
      <c r="L1492">
        <v>8776313</v>
      </c>
      <c r="M1492">
        <f>IF(F1492="INR",1,INDEX('rates'!$B$2:$C$522,MATCH(D1492,'rates'!$A$2:$A$522,1),MATCH(F1492&amp;"/INR",'rates'!$B$1:$C$1,0)))</f>
        <v>1</v>
      </c>
      <c r="N1492">
        <f t="shared" si="123"/>
        <v>8776313</v>
      </c>
      <c r="O1492">
        <f t="shared" si="124"/>
        <v>0</v>
      </c>
      <c r="P1492">
        <f t="shared" si="125"/>
        <v>0</v>
      </c>
      <c r="Q1492">
        <f t="shared" si="127"/>
        <v>6</v>
      </c>
      <c r="R1492" t="str">
        <f t="shared" si="126"/>
        <v>Not open</v>
      </c>
    </row>
    <row r="1493" spans="1:18" x14ac:dyDescent="0.3">
      <c r="A1493" t="s">
        <v>1688</v>
      </c>
      <c r="B1493" t="s">
        <v>516</v>
      </c>
      <c r="C1493" t="s">
        <v>560</v>
      </c>
      <c r="D1493" s="1">
        <v>45344</v>
      </c>
      <c r="E1493" s="1">
        <v>45404</v>
      </c>
      <c r="F1493" t="s">
        <v>13</v>
      </c>
      <c r="G1493">
        <v>10276886</v>
      </c>
      <c r="H1493" s="1">
        <v>45406</v>
      </c>
      <c r="I1493" t="s">
        <v>555</v>
      </c>
      <c r="J1493" t="s">
        <v>556</v>
      </c>
      <c r="L1493">
        <v>10276886</v>
      </c>
      <c r="M1493">
        <f>IF(F1493="INR",1,INDEX('rates'!$B$2:$C$522,MATCH(D1493,'rates'!$A$2:$A$522,1),MATCH(F1493&amp;"/INR",'rates'!$B$1:$C$1,0)))</f>
        <v>1</v>
      </c>
      <c r="N1493">
        <f t="shared" si="123"/>
        <v>10276886</v>
      </c>
      <c r="O1493">
        <f t="shared" si="124"/>
        <v>0</v>
      </c>
      <c r="P1493">
        <f t="shared" si="125"/>
        <v>0</v>
      </c>
      <c r="Q1493">
        <f t="shared" si="127"/>
        <v>2</v>
      </c>
      <c r="R1493" t="str">
        <f t="shared" si="126"/>
        <v>Not open</v>
      </c>
    </row>
    <row r="1494" spans="1:18" x14ac:dyDescent="0.3">
      <c r="A1494" t="s">
        <v>1690</v>
      </c>
      <c r="B1494" t="s">
        <v>238</v>
      </c>
      <c r="C1494" t="s">
        <v>566</v>
      </c>
      <c r="D1494" s="1">
        <v>45345</v>
      </c>
      <c r="E1494" s="1">
        <v>45405</v>
      </c>
      <c r="F1494" t="s">
        <v>31</v>
      </c>
      <c r="G1494">
        <v>447023.17</v>
      </c>
      <c r="H1494" s="1">
        <v>45410</v>
      </c>
      <c r="I1494" t="s">
        <v>555</v>
      </c>
      <c r="J1494" t="s">
        <v>573</v>
      </c>
      <c r="K1494">
        <v>89.900199999999998</v>
      </c>
      <c r="L1494">
        <v>447023.17</v>
      </c>
      <c r="M1494">
        <f>IF(F1494="INR",1,INDEX('rates'!$B$2:$C$522,MATCH(D1494,'rates'!$A$2:$A$522,1),MATCH(F1494&amp;"/INR",'rates'!$B$1:$C$1,0)))</f>
        <v>89.720799999999997</v>
      </c>
      <c r="N1494">
        <f t="shared" si="123"/>
        <v>40107276.430935994</v>
      </c>
      <c r="O1494">
        <f t="shared" si="124"/>
        <v>0</v>
      </c>
      <c r="P1494">
        <f t="shared" si="125"/>
        <v>0</v>
      </c>
      <c r="Q1494">
        <f t="shared" si="127"/>
        <v>5</v>
      </c>
      <c r="R1494" t="str">
        <f t="shared" si="126"/>
        <v>Not open</v>
      </c>
    </row>
    <row r="1495" spans="1:18" x14ac:dyDescent="0.3">
      <c r="A1495" t="s">
        <v>1691</v>
      </c>
      <c r="B1495" t="s">
        <v>296</v>
      </c>
      <c r="C1495" t="s">
        <v>558</v>
      </c>
      <c r="D1495" s="1">
        <v>45345</v>
      </c>
      <c r="E1495" s="1">
        <v>45375</v>
      </c>
      <c r="F1495" t="s">
        <v>13</v>
      </c>
      <c r="G1495">
        <v>2737592</v>
      </c>
      <c r="H1495" s="1">
        <v>45388</v>
      </c>
      <c r="I1495" t="s">
        <v>555</v>
      </c>
      <c r="J1495" t="s">
        <v>556</v>
      </c>
      <c r="L1495">
        <v>2737592</v>
      </c>
      <c r="M1495">
        <f>IF(F1495="INR",1,INDEX('rates'!$B$2:$C$522,MATCH(D1495,'rates'!$A$2:$A$522,1),MATCH(F1495&amp;"/INR",'rates'!$B$1:$C$1,0)))</f>
        <v>1</v>
      </c>
      <c r="N1495">
        <f t="shared" si="123"/>
        <v>2737592</v>
      </c>
      <c r="O1495">
        <f t="shared" si="124"/>
        <v>0</v>
      </c>
      <c r="P1495">
        <f t="shared" si="125"/>
        <v>0</v>
      </c>
      <c r="Q1495">
        <f t="shared" si="127"/>
        <v>13</v>
      </c>
      <c r="R1495" t="str">
        <f t="shared" si="126"/>
        <v>Not open</v>
      </c>
    </row>
    <row r="1496" spans="1:18" x14ac:dyDescent="0.3">
      <c r="A1496" t="s">
        <v>1692</v>
      </c>
      <c r="B1496" t="s">
        <v>302</v>
      </c>
      <c r="C1496" t="s">
        <v>558</v>
      </c>
      <c r="D1496" s="1">
        <v>45345</v>
      </c>
      <c r="E1496" s="1">
        <v>45435</v>
      </c>
      <c r="F1496" t="s">
        <v>13</v>
      </c>
      <c r="G1496">
        <v>10451164</v>
      </c>
      <c r="H1496" s="1">
        <v>45441</v>
      </c>
      <c r="I1496" t="s">
        <v>555</v>
      </c>
      <c r="J1496" t="s">
        <v>556</v>
      </c>
      <c r="L1496">
        <v>10451164</v>
      </c>
      <c r="M1496">
        <f>IF(F1496="INR",1,INDEX('rates'!$B$2:$C$522,MATCH(D1496,'rates'!$A$2:$A$522,1),MATCH(F1496&amp;"/INR",'rates'!$B$1:$C$1,0)))</f>
        <v>1</v>
      </c>
      <c r="N1496">
        <f t="shared" si="123"/>
        <v>10451164</v>
      </c>
      <c r="O1496">
        <f t="shared" si="124"/>
        <v>0</v>
      </c>
      <c r="P1496">
        <f t="shared" si="125"/>
        <v>0</v>
      </c>
      <c r="Q1496">
        <f t="shared" si="127"/>
        <v>6</v>
      </c>
      <c r="R1496" t="str">
        <f t="shared" si="126"/>
        <v>Not open</v>
      </c>
    </row>
    <row r="1497" spans="1:18" x14ac:dyDescent="0.3">
      <c r="A1497" t="s">
        <v>1693</v>
      </c>
      <c r="B1497" t="s">
        <v>322</v>
      </c>
      <c r="C1497" t="s">
        <v>558</v>
      </c>
      <c r="D1497" s="1">
        <v>45345</v>
      </c>
      <c r="E1497" s="1">
        <v>45405</v>
      </c>
      <c r="F1497" t="s">
        <v>13</v>
      </c>
      <c r="G1497">
        <v>5591672</v>
      </c>
      <c r="H1497" s="1">
        <v>45408</v>
      </c>
      <c r="I1497" t="s">
        <v>555</v>
      </c>
      <c r="J1497" t="s">
        <v>556</v>
      </c>
      <c r="L1497">
        <v>5591672</v>
      </c>
      <c r="M1497">
        <f>IF(F1497="INR",1,INDEX('rates'!$B$2:$C$522,MATCH(D1497,'rates'!$A$2:$A$522,1),MATCH(F1497&amp;"/INR",'rates'!$B$1:$C$1,0)))</f>
        <v>1</v>
      </c>
      <c r="N1497">
        <f t="shared" si="123"/>
        <v>5591672</v>
      </c>
      <c r="O1497">
        <f t="shared" si="124"/>
        <v>0</v>
      </c>
      <c r="P1497">
        <f t="shared" si="125"/>
        <v>0</v>
      </c>
      <c r="Q1497">
        <f t="shared" si="127"/>
        <v>3</v>
      </c>
      <c r="R1497" t="str">
        <f t="shared" si="126"/>
        <v>Not open</v>
      </c>
    </row>
    <row r="1498" spans="1:18" x14ac:dyDescent="0.3">
      <c r="A1498" t="s">
        <v>1694</v>
      </c>
      <c r="B1498" t="s">
        <v>416</v>
      </c>
      <c r="C1498" t="s">
        <v>566</v>
      </c>
      <c r="D1498" s="1">
        <v>45345</v>
      </c>
      <c r="E1498" s="1">
        <v>45390</v>
      </c>
      <c r="F1498" t="s">
        <v>13</v>
      </c>
      <c r="G1498">
        <v>1928515</v>
      </c>
      <c r="H1498" s="1">
        <v>45405</v>
      </c>
      <c r="I1498" t="s">
        <v>555</v>
      </c>
      <c r="J1498" t="s">
        <v>556</v>
      </c>
      <c r="L1498">
        <v>1928515</v>
      </c>
      <c r="M1498">
        <f>IF(F1498="INR",1,INDEX('rates'!$B$2:$C$522,MATCH(D1498,'rates'!$A$2:$A$522,1),MATCH(F1498&amp;"/INR",'rates'!$B$1:$C$1,0)))</f>
        <v>1</v>
      </c>
      <c r="N1498">
        <f t="shared" si="123"/>
        <v>1928515</v>
      </c>
      <c r="O1498">
        <f t="shared" si="124"/>
        <v>0</v>
      </c>
      <c r="P1498">
        <f t="shared" si="125"/>
        <v>0</v>
      </c>
      <c r="Q1498">
        <f t="shared" si="127"/>
        <v>15</v>
      </c>
      <c r="R1498" t="str">
        <f t="shared" si="126"/>
        <v>Not open</v>
      </c>
    </row>
    <row r="1499" spans="1:18" x14ac:dyDescent="0.3">
      <c r="A1499" t="s">
        <v>1695</v>
      </c>
      <c r="B1499" t="s">
        <v>454</v>
      </c>
      <c r="C1499" t="s">
        <v>575</v>
      </c>
      <c r="D1499" s="1">
        <v>45345</v>
      </c>
      <c r="E1499" s="1">
        <v>45405</v>
      </c>
      <c r="F1499" t="s">
        <v>13</v>
      </c>
      <c r="G1499">
        <v>8651020</v>
      </c>
      <c r="H1499" s="1">
        <v>45410</v>
      </c>
      <c r="I1499" t="s">
        <v>555</v>
      </c>
      <c r="J1499" t="s">
        <v>556</v>
      </c>
      <c r="L1499">
        <v>8651020</v>
      </c>
      <c r="M1499">
        <f>IF(F1499="INR",1,INDEX('rates'!$B$2:$C$522,MATCH(D1499,'rates'!$A$2:$A$522,1),MATCH(F1499&amp;"/INR",'rates'!$B$1:$C$1,0)))</f>
        <v>1</v>
      </c>
      <c r="N1499">
        <f t="shared" si="123"/>
        <v>8651020</v>
      </c>
      <c r="O1499">
        <f t="shared" si="124"/>
        <v>0</v>
      </c>
      <c r="P1499">
        <f t="shared" si="125"/>
        <v>0</v>
      </c>
      <c r="Q1499">
        <f t="shared" si="127"/>
        <v>5</v>
      </c>
      <c r="R1499" t="str">
        <f t="shared" si="126"/>
        <v>Not open</v>
      </c>
    </row>
    <row r="1500" spans="1:18" x14ac:dyDescent="0.3">
      <c r="A1500" t="s">
        <v>1696</v>
      </c>
      <c r="B1500" t="s">
        <v>508</v>
      </c>
      <c r="C1500" t="s">
        <v>554</v>
      </c>
      <c r="D1500" s="1">
        <v>45345</v>
      </c>
      <c r="E1500" s="1">
        <v>45405</v>
      </c>
      <c r="F1500" t="s">
        <v>13</v>
      </c>
      <c r="G1500">
        <v>7804666</v>
      </c>
      <c r="H1500" s="1">
        <v>45418</v>
      </c>
      <c r="I1500" t="s">
        <v>555</v>
      </c>
      <c r="J1500" t="s">
        <v>556</v>
      </c>
      <c r="L1500">
        <v>7804666</v>
      </c>
      <c r="M1500">
        <f>IF(F1500="INR",1,INDEX('rates'!$B$2:$C$522,MATCH(D1500,'rates'!$A$2:$A$522,1),MATCH(F1500&amp;"/INR",'rates'!$B$1:$C$1,0)))</f>
        <v>1</v>
      </c>
      <c r="N1500">
        <f t="shared" si="123"/>
        <v>7804666</v>
      </c>
      <c r="O1500">
        <f t="shared" si="124"/>
        <v>0</v>
      </c>
      <c r="P1500">
        <f t="shared" si="125"/>
        <v>0</v>
      </c>
      <c r="Q1500">
        <f t="shared" si="127"/>
        <v>13</v>
      </c>
      <c r="R1500" t="str">
        <f t="shared" si="126"/>
        <v>Not open</v>
      </c>
    </row>
    <row r="1501" spans="1:18" x14ac:dyDescent="0.3">
      <c r="A1501" t="s">
        <v>1697</v>
      </c>
      <c r="B1501" t="s">
        <v>536</v>
      </c>
      <c r="C1501" t="s">
        <v>575</v>
      </c>
      <c r="D1501" s="1">
        <v>45345</v>
      </c>
      <c r="E1501" s="1">
        <v>45375</v>
      </c>
      <c r="F1501" t="s">
        <v>36</v>
      </c>
      <c r="G1501">
        <v>319521.73</v>
      </c>
      <c r="H1501" s="1">
        <v>45387</v>
      </c>
      <c r="I1501" t="s">
        <v>555</v>
      </c>
      <c r="J1501" t="s">
        <v>573</v>
      </c>
      <c r="K1501">
        <v>82.998099999999994</v>
      </c>
      <c r="L1501">
        <v>319521.73</v>
      </c>
      <c r="M1501">
        <f>IF(F1501="INR",1,INDEX('rates'!$B$2:$C$522,MATCH(D1501,'rates'!$A$2:$A$522,1),MATCH(F1501&amp;"/INR",'rates'!$B$1:$C$1,0)))</f>
        <v>82.86</v>
      </c>
      <c r="N1501">
        <f t="shared" si="123"/>
        <v>26475570.547799997</v>
      </c>
      <c r="O1501">
        <f t="shared" si="124"/>
        <v>0</v>
      </c>
      <c r="P1501">
        <f t="shared" si="125"/>
        <v>0</v>
      </c>
      <c r="Q1501">
        <f t="shared" si="127"/>
        <v>12</v>
      </c>
      <c r="R1501" t="str">
        <f t="shared" si="126"/>
        <v>Not open</v>
      </c>
    </row>
    <row r="1502" spans="1:18" x14ac:dyDescent="0.3">
      <c r="A1502" t="s">
        <v>1698</v>
      </c>
      <c r="B1502" t="s">
        <v>122</v>
      </c>
      <c r="C1502" t="s">
        <v>554</v>
      </c>
      <c r="D1502" s="1">
        <v>45346</v>
      </c>
      <c r="E1502" s="1">
        <v>45391</v>
      </c>
      <c r="F1502" t="s">
        <v>13</v>
      </c>
      <c r="G1502">
        <v>6173530</v>
      </c>
      <c r="H1502" s="1">
        <v>45387</v>
      </c>
      <c r="I1502" t="s">
        <v>555</v>
      </c>
      <c r="J1502" t="s">
        <v>556</v>
      </c>
      <c r="L1502">
        <v>6173530</v>
      </c>
      <c r="M1502">
        <f>IF(F1502="INR",1,INDEX('rates'!$B$2:$C$522,MATCH(D1502,'rates'!$A$2:$A$522,1),MATCH(F1502&amp;"/INR",'rates'!$B$1:$C$1,0)))</f>
        <v>1</v>
      </c>
      <c r="N1502">
        <f t="shared" si="123"/>
        <v>6173530</v>
      </c>
      <c r="O1502">
        <f t="shared" si="124"/>
        <v>0</v>
      </c>
      <c r="P1502">
        <f t="shared" si="125"/>
        <v>0</v>
      </c>
      <c r="Q1502">
        <f t="shared" si="127"/>
        <v>-4</v>
      </c>
      <c r="R1502" t="str">
        <f t="shared" si="126"/>
        <v>Not open</v>
      </c>
    </row>
    <row r="1503" spans="1:18" x14ac:dyDescent="0.3">
      <c r="A1503" t="s">
        <v>1699</v>
      </c>
      <c r="B1503" t="s">
        <v>154</v>
      </c>
      <c r="C1503" t="s">
        <v>566</v>
      </c>
      <c r="D1503" s="1">
        <v>45346</v>
      </c>
      <c r="E1503" s="1">
        <v>45376</v>
      </c>
      <c r="F1503" t="s">
        <v>13</v>
      </c>
      <c r="G1503">
        <v>29246186</v>
      </c>
      <c r="H1503" s="1">
        <v>45379</v>
      </c>
      <c r="I1503" t="s">
        <v>555</v>
      </c>
      <c r="J1503" t="s">
        <v>556</v>
      </c>
      <c r="L1503">
        <v>29246186</v>
      </c>
      <c r="M1503">
        <f>IF(F1503="INR",1,INDEX('rates'!$B$2:$C$522,MATCH(D1503,'rates'!$A$2:$A$522,1),MATCH(F1503&amp;"/INR",'rates'!$B$1:$C$1,0)))</f>
        <v>1</v>
      </c>
      <c r="N1503">
        <f t="shared" si="123"/>
        <v>29246186</v>
      </c>
      <c r="O1503">
        <f t="shared" si="124"/>
        <v>0</v>
      </c>
      <c r="P1503">
        <f t="shared" si="125"/>
        <v>0</v>
      </c>
      <c r="Q1503">
        <f t="shared" si="127"/>
        <v>3</v>
      </c>
      <c r="R1503" t="str">
        <f t="shared" si="126"/>
        <v>Not open</v>
      </c>
    </row>
    <row r="1504" spans="1:18" x14ac:dyDescent="0.3">
      <c r="A1504" t="s">
        <v>1700</v>
      </c>
      <c r="B1504" t="s">
        <v>206</v>
      </c>
      <c r="C1504" t="s">
        <v>566</v>
      </c>
      <c r="D1504" s="1">
        <v>45346</v>
      </c>
      <c r="E1504" s="1">
        <v>45391</v>
      </c>
      <c r="F1504" t="s">
        <v>13</v>
      </c>
      <c r="G1504">
        <v>10537733</v>
      </c>
      <c r="H1504" s="1">
        <v>45439</v>
      </c>
      <c r="I1504" t="s">
        <v>555</v>
      </c>
      <c r="J1504" t="s">
        <v>556</v>
      </c>
      <c r="L1504">
        <v>10537733</v>
      </c>
      <c r="M1504">
        <f>IF(F1504="INR",1,INDEX('rates'!$B$2:$C$522,MATCH(D1504,'rates'!$A$2:$A$522,1),MATCH(F1504&amp;"/INR",'rates'!$B$1:$C$1,0)))</f>
        <v>1</v>
      </c>
      <c r="N1504">
        <f t="shared" si="123"/>
        <v>10537733</v>
      </c>
      <c r="O1504">
        <f t="shared" si="124"/>
        <v>0</v>
      </c>
      <c r="P1504">
        <f t="shared" si="125"/>
        <v>0</v>
      </c>
      <c r="Q1504">
        <f t="shared" si="127"/>
        <v>48</v>
      </c>
      <c r="R1504" t="str">
        <f t="shared" si="126"/>
        <v>Not open</v>
      </c>
    </row>
    <row r="1505" spans="1:18" x14ac:dyDescent="0.3">
      <c r="A1505" t="s">
        <v>1701</v>
      </c>
      <c r="B1505" t="s">
        <v>238</v>
      </c>
      <c r="C1505" t="s">
        <v>566</v>
      </c>
      <c r="D1505" s="1">
        <v>45346</v>
      </c>
      <c r="E1505" s="1">
        <v>45406</v>
      </c>
      <c r="F1505" t="s">
        <v>31</v>
      </c>
      <c r="G1505">
        <v>40377.56</v>
      </c>
      <c r="H1505" s="1">
        <v>45418</v>
      </c>
      <c r="I1505" t="s">
        <v>555</v>
      </c>
      <c r="J1505" t="s">
        <v>556</v>
      </c>
      <c r="L1505">
        <v>40377.56</v>
      </c>
      <c r="M1505">
        <f>IF(F1505="INR",1,INDEX('rates'!$B$2:$C$522,MATCH(D1505,'rates'!$A$2:$A$522,1),MATCH(F1505&amp;"/INR",'rates'!$B$1:$C$1,0)))</f>
        <v>89.720799999999997</v>
      </c>
      <c r="N1505">
        <f t="shared" si="123"/>
        <v>3622706.9852479999</v>
      </c>
      <c r="O1505">
        <f t="shared" si="124"/>
        <v>0</v>
      </c>
      <c r="P1505">
        <f t="shared" si="125"/>
        <v>0</v>
      </c>
      <c r="Q1505">
        <f t="shared" si="127"/>
        <v>12</v>
      </c>
      <c r="R1505" t="str">
        <f t="shared" si="126"/>
        <v>Not open</v>
      </c>
    </row>
    <row r="1506" spans="1:18" x14ac:dyDescent="0.3">
      <c r="A1506" t="s">
        <v>1702</v>
      </c>
      <c r="B1506" t="s">
        <v>370</v>
      </c>
      <c r="C1506" t="s">
        <v>566</v>
      </c>
      <c r="D1506" s="1">
        <v>45346</v>
      </c>
      <c r="E1506" s="1">
        <v>45376</v>
      </c>
      <c r="F1506" t="s">
        <v>36</v>
      </c>
      <c r="G1506">
        <v>42164.31</v>
      </c>
      <c r="H1506" s="1">
        <v>45373</v>
      </c>
      <c r="I1506" t="s">
        <v>555</v>
      </c>
      <c r="J1506" t="s">
        <v>556</v>
      </c>
      <c r="L1506">
        <v>42164.31</v>
      </c>
      <c r="M1506">
        <f>IF(F1506="INR",1,INDEX('rates'!$B$2:$C$522,MATCH(D1506,'rates'!$A$2:$A$522,1),MATCH(F1506&amp;"/INR",'rates'!$B$1:$C$1,0)))</f>
        <v>82.86</v>
      </c>
      <c r="N1506">
        <f t="shared" si="123"/>
        <v>3493734.7265999997</v>
      </c>
      <c r="O1506">
        <f t="shared" si="124"/>
        <v>0</v>
      </c>
      <c r="P1506">
        <f t="shared" si="125"/>
        <v>0</v>
      </c>
      <c r="Q1506">
        <f t="shared" si="127"/>
        <v>-3</v>
      </c>
      <c r="R1506" t="str">
        <f t="shared" si="126"/>
        <v>Not open</v>
      </c>
    </row>
    <row r="1507" spans="1:18" x14ac:dyDescent="0.3">
      <c r="A1507" t="s">
        <v>1703</v>
      </c>
      <c r="B1507" t="s">
        <v>406</v>
      </c>
      <c r="C1507" t="s">
        <v>554</v>
      </c>
      <c r="D1507" s="1">
        <v>45346</v>
      </c>
      <c r="E1507" s="1">
        <v>45436</v>
      </c>
      <c r="F1507" t="s">
        <v>13</v>
      </c>
      <c r="G1507">
        <v>1779712</v>
      </c>
      <c r="H1507" s="1">
        <v>45444</v>
      </c>
      <c r="I1507" t="s">
        <v>555</v>
      </c>
      <c r="J1507" t="s">
        <v>556</v>
      </c>
      <c r="L1507">
        <v>1779712</v>
      </c>
      <c r="M1507">
        <f>IF(F1507="INR",1,INDEX('rates'!$B$2:$C$522,MATCH(D1507,'rates'!$A$2:$A$522,1),MATCH(F1507&amp;"/INR",'rates'!$B$1:$C$1,0)))</f>
        <v>1</v>
      </c>
      <c r="N1507">
        <f t="shared" si="123"/>
        <v>1779712</v>
      </c>
      <c r="O1507">
        <f t="shared" si="124"/>
        <v>0</v>
      </c>
      <c r="P1507">
        <f t="shared" si="125"/>
        <v>0</v>
      </c>
      <c r="Q1507">
        <f t="shared" si="127"/>
        <v>8</v>
      </c>
      <c r="R1507" t="str">
        <f t="shared" si="126"/>
        <v>Not open</v>
      </c>
    </row>
    <row r="1508" spans="1:18" x14ac:dyDescent="0.3">
      <c r="A1508" t="s">
        <v>1704</v>
      </c>
      <c r="B1508" t="s">
        <v>466</v>
      </c>
      <c r="C1508" t="s">
        <v>560</v>
      </c>
      <c r="D1508" s="1">
        <v>45346</v>
      </c>
      <c r="E1508" s="1">
        <v>45406</v>
      </c>
      <c r="F1508" t="s">
        <v>31</v>
      </c>
      <c r="G1508">
        <v>45987.66</v>
      </c>
      <c r="H1508" s="1">
        <v>45413</v>
      </c>
      <c r="I1508" t="s">
        <v>555</v>
      </c>
      <c r="J1508" t="s">
        <v>573</v>
      </c>
      <c r="K1508">
        <v>89.900199999999998</v>
      </c>
      <c r="L1508">
        <v>45987.66</v>
      </c>
      <c r="M1508">
        <f>IF(F1508="INR",1,INDEX('rates'!$B$2:$C$522,MATCH(D1508,'rates'!$A$2:$A$522,1),MATCH(F1508&amp;"/INR",'rates'!$B$1:$C$1,0)))</f>
        <v>89.720799999999997</v>
      </c>
      <c r="N1508">
        <f t="shared" si="123"/>
        <v>4126049.6453280002</v>
      </c>
      <c r="O1508">
        <f t="shared" si="124"/>
        <v>0</v>
      </c>
      <c r="P1508">
        <f t="shared" si="125"/>
        <v>0</v>
      </c>
      <c r="Q1508">
        <f t="shared" si="127"/>
        <v>7</v>
      </c>
      <c r="R1508" t="str">
        <f t="shared" si="126"/>
        <v>Not open</v>
      </c>
    </row>
    <row r="1509" spans="1:18" x14ac:dyDescent="0.3">
      <c r="A1509" t="s">
        <v>1705</v>
      </c>
      <c r="B1509" t="s">
        <v>494</v>
      </c>
      <c r="C1509" t="s">
        <v>560</v>
      </c>
      <c r="D1509" s="1">
        <v>45346</v>
      </c>
      <c r="E1509" s="1">
        <v>45391</v>
      </c>
      <c r="F1509" t="s">
        <v>13</v>
      </c>
      <c r="G1509">
        <v>4171540</v>
      </c>
      <c r="H1509" s="1">
        <v>45437</v>
      </c>
      <c r="I1509" t="s">
        <v>555</v>
      </c>
      <c r="J1509" t="s">
        <v>556</v>
      </c>
      <c r="L1509">
        <v>4171540</v>
      </c>
      <c r="M1509">
        <f>IF(F1509="INR",1,INDEX('rates'!$B$2:$C$522,MATCH(D1509,'rates'!$A$2:$A$522,1),MATCH(F1509&amp;"/INR",'rates'!$B$1:$C$1,0)))</f>
        <v>1</v>
      </c>
      <c r="N1509">
        <f t="shared" si="123"/>
        <v>4171540</v>
      </c>
      <c r="O1509">
        <f t="shared" si="124"/>
        <v>0</v>
      </c>
      <c r="P1509">
        <f t="shared" si="125"/>
        <v>0</v>
      </c>
      <c r="Q1509">
        <f t="shared" si="127"/>
        <v>46</v>
      </c>
      <c r="R1509" t="str">
        <f t="shared" si="126"/>
        <v>Not open</v>
      </c>
    </row>
    <row r="1510" spans="1:18" x14ac:dyDescent="0.3">
      <c r="A1510" t="s">
        <v>1706</v>
      </c>
      <c r="B1510" t="s">
        <v>532</v>
      </c>
      <c r="C1510" t="s">
        <v>575</v>
      </c>
      <c r="D1510" s="1">
        <v>45346</v>
      </c>
      <c r="E1510" s="1">
        <v>45406</v>
      </c>
      <c r="F1510" t="s">
        <v>36</v>
      </c>
      <c r="G1510">
        <v>134049.62</v>
      </c>
      <c r="H1510" s="1">
        <v>45410</v>
      </c>
      <c r="I1510" t="s">
        <v>555</v>
      </c>
      <c r="J1510" t="s">
        <v>573</v>
      </c>
      <c r="K1510">
        <v>83.136200000000002</v>
      </c>
      <c r="L1510">
        <v>134049.62</v>
      </c>
      <c r="M1510">
        <f>IF(F1510="INR",1,INDEX('rates'!$B$2:$C$522,MATCH(D1510,'rates'!$A$2:$A$522,1),MATCH(F1510&amp;"/INR",'rates'!$B$1:$C$1,0)))</f>
        <v>82.86</v>
      </c>
      <c r="N1510">
        <f t="shared" si="123"/>
        <v>11107351.5132</v>
      </c>
      <c r="O1510">
        <f t="shared" si="124"/>
        <v>0</v>
      </c>
      <c r="P1510">
        <f t="shared" si="125"/>
        <v>0</v>
      </c>
      <c r="Q1510">
        <f t="shared" si="127"/>
        <v>4</v>
      </c>
      <c r="R1510" t="str">
        <f t="shared" si="126"/>
        <v>Not open</v>
      </c>
    </row>
    <row r="1511" spans="1:18" x14ac:dyDescent="0.3">
      <c r="A1511" t="s">
        <v>1707</v>
      </c>
      <c r="B1511" t="s">
        <v>274</v>
      </c>
      <c r="C1511" t="s">
        <v>554</v>
      </c>
      <c r="D1511" s="1">
        <v>45348</v>
      </c>
      <c r="E1511" s="1">
        <v>45393</v>
      </c>
      <c r="F1511" t="s">
        <v>13</v>
      </c>
      <c r="G1511">
        <v>5692557</v>
      </c>
      <c r="H1511" s="1">
        <v>45401</v>
      </c>
      <c r="I1511" t="s">
        <v>555</v>
      </c>
      <c r="J1511" t="s">
        <v>556</v>
      </c>
      <c r="L1511">
        <v>5692557</v>
      </c>
      <c r="M1511">
        <f>IF(F1511="INR",1,INDEX('rates'!$B$2:$C$522,MATCH(D1511,'rates'!$A$2:$A$522,1),MATCH(F1511&amp;"/INR",'rates'!$B$1:$C$1,0)))</f>
        <v>1</v>
      </c>
      <c r="N1511">
        <f t="shared" si="123"/>
        <v>5692557</v>
      </c>
      <c r="O1511">
        <f t="shared" si="124"/>
        <v>0</v>
      </c>
      <c r="P1511">
        <f t="shared" si="125"/>
        <v>0</v>
      </c>
      <c r="Q1511">
        <f t="shared" ref="Q1511:Q1534" si="128">IF(H1511="","",H1511-E1511)</f>
        <v>8</v>
      </c>
      <c r="R1511" t="str">
        <f t="shared" si="126"/>
        <v>Not open</v>
      </c>
    </row>
    <row r="1512" spans="1:18" x14ac:dyDescent="0.3">
      <c r="A1512" t="s">
        <v>1708</v>
      </c>
      <c r="B1512" t="s">
        <v>444</v>
      </c>
      <c r="C1512" t="s">
        <v>566</v>
      </c>
      <c r="D1512" s="1">
        <v>45348</v>
      </c>
      <c r="E1512" s="1">
        <v>45393</v>
      </c>
      <c r="F1512" t="s">
        <v>36</v>
      </c>
      <c r="G1512">
        <v>28186.37</v>
      </c>
      <c r="H1512" s="1">
        <v>45401</v>
      </c>
      <c r="I1512" t="s">
        <v>555</v>
      </c>
      <c r="J1512" t="s">
        <v>556</v>
      </c>
      <c r="L1512">
        <v>28186.37</v>
      </c>
      <c r="M1512">
        <f>IF(F1512="INR",1,INDEX('rates'!$B$2:$C$522,MATCH(D1512,'rates'!$A$2:$A$522,1),MATCH(F1512&amp;"/INR",'rates'!$B$1:$C$1,0)))</f>
        <v>82.85</v>
      </c>
      <c r="N1512">
        <f t="shared" si="123"/>
        <v>2335240.7544999998</v>
      </c>
      <c r="O1512">
        <f t="shared" si="124"/>
        <v>0</v>
      </c>
      <c r="P1512">
        <f t="shared" si="125"/>
        <v>0</v>
      </c>
      <c r="Q1512">
        <f t="shared" si="128"/>
        <v>8</v>
      </c>
      <c r="R1512" t="str">
        <f t="shared" si="126"/>
        <v>Not open</v>
      </c>
    </row>
    <row r="1513" spans="1:18" x14ac:dyDescent="0.3">
      <c r="A1513" t="s">
        <v>1709</v>
      </c>
      <c r="B1513" t="s">
        <v>482</v>
      </c>
      <c r="C1513" t="s">
        <v>558</v>
      </c>
      <c r="D1513" s="1">
        <v>45348</v>
      </c>
      <c r="E1513" s="1">
        <v>45408</v>
      </c>
      <c r="F1513" t="s">
        <v>13</v>
      </c>
      <c r="G1513">
        <v>6696046</v>
      </c>
      <c r="H1513" s="1">
        <v>45441</v>
      </c>
      <c r="I1513" t="s">
        <v>555</v>
      </c>
      <c r="J1513" t="s">
        <v>556</v>
      </c>
      <c r="L1513">
        <v>6696046</v>
      </c>
      <c r="M1513">
        <f>IF(F1513="INR",1,INDEX('rates'!$B$2:$C$522,MATCH(D1513,'rates'!$A$2:$A$522,1),MATCH(F1513&amp;"/INR",'rates'!$B$1:$C$1,0)))</f>
        <v>1</v>
      </c>
      <c r="N1513">
        <f t="shared" si="123"/>
        <v>6696046</v>
      </c>
      <c r="O1513">
        <f t="shared" si="124"/>
        <v>0</v>
      </c>
      <c r="P1513">
        <f t="shared" si="125"/>
        <v>0</v>
      </c>
      <c r="Q1513">
        <f t="shared" si="128"/>
        <v>33</v>
      </c>
      <c r="R1513" t="str">
        <f t="shared" si="126"/>
        <v>Not open</v>
      </c>
    </row>
    <row r="1514" spans="1:18" x14ac:dyDescent="0.3">
      <c r="A1514" t="s">
        <v>1710</v>
      </c>
      <c r="B1514" t="s">
        <v>506</v>
      </c>
      <c r="C1514" t="s">
        <v>554</v>
      </c>
      <c r="D1514" s="1">
        <v>45348</v>
      </c>
      <c r="E1514" s="1">
        <v>45408</v>
      </c>
      <c r="F1514" t="s">
        <v>13</v>
      </c>
      <c r="G1514">
        <v>7703678</v>
      </c>
      <c r="H1514" s="1">
        <v>45414</v>
      </c>
      <c r="I1514" t="s">
        <v>555</v>
      </c>
      <c r="J1514" t="s">
        <v>556</v>
      </c>
      <c r="L1514">
        <v>7703678</v>
      </c>
      <c r="M1514">
        <f>IF(F1514="INR",1,INDEX('rates'!$B$2:$C$522,MATCH(D1514,'rates'!$A$2:$A$522,1),MATCH(F1514&amp;"/INR",'rates'!$B$1:$C$1,0)))</f>
        <v>1</v>
      </c>
      <c r="N1514">
        <f t="shared" si="123"/>
        <v>7703678</v>
      </c>
      <c r="O1514">
        <f t="shared" si="124"/>
        <v>0</v>
      </c>
      <c r="P1514">
        <f t="shared" si="125"/>
        <v>0</v>
      </c>
      <c r="Q1514">
        <f t="shared" si="128"/>
        <v>6</v>
      </c>
      <c r="R1514" t="str">
        <f t="shared" si="126"/>
        <v>Not open</v>
      </c>
    </row>
    <row r="1515" spans="1:18" x14ac:dyDescent="0.3">
      <c r="A1515" t="s">
        <v>1711</v>
      </c>
      <c r="B1515" t="s">
        <v>338</v>
      </c>
      <c r="C1515" t="s">
        <v>566</v>
      </c>
      <c r="D1515" s="1">
        <v>45349</v>
      </c>
      <c r="E1515" s="1">
        <v>45394</v>
      </c>
      <c r="F1515" t="s">
        <v>13</v>
      </c>
      <c r="G1515">
        <v>9698150</v>
      </c>
      <c r="H1515" s="1">
        <v>45391</v>
      </c>
      <c r="I1515" t="s">
        <v>555</v>
      </c>
      <c r="J1515" t="s">
        <v>556</v>
      </c>
      <c r="L1515">
        <v>9698150</v>
      </c>
      <c r="M1515">
        <f>IF(F1515="INR",1,INDEX('rates'!$B$2:$C$522,MATCH(D1515,'rates'!$A$2:$A$522,1),MATCH(F1515&amp;"/INR",'rates'!$B$1:$C$1,0)))</f>
        <v>1</v>
      </c>
      <c r="N1515">
        <f t="shared" si="123"/>
        <v>9698150</v>
      </c>
      <c r="O1515">
        <f t="shared" si="124"/>
        <v>0</v>
      </c>
      <c r="P1515">
        <f t="shared" si="125"/>
        <v>0</v>
      </c>
      <c r="Q1515">
        <f t="shared" si="128"/>
        <v>-3</v>
      </c>
      <c r="R1515" t="str">
        <f t="shared" si="126"/>
        <v>Not open</v>
      </c>
    </row>
    <row r="1516" spans="1:18" x14ac:dyDescent="0.3">
      <c r="A1516" t="s">
        <v>1712</v>
      </c>
      <c r="B1516" t="s">
        <v>466</v>
      </c>
      <c r="C1516" t="s">
        <v>558</v>
      </c>
      <c r="D1516" s="1">
        <v>45349</v>
      </c>
      <c r="E1516" s="1">
        <v>45409</v>
      </c>
      <c r="F1516" t="s">
        <v>31</v>
      </c>
      <c r="G1516">
        <v>41876.620000000003</v>
      </c>
      <c r="H1516" s="1">
        <v>45417</v>
      </c>
      <c r="I1516" t="s">
        <v>555</v>
      </c>
      <c r="J1516" t="s">
        <v>556</v>
      </c>
      <c r="L1516">
        <v>41876.620000000003</v>
      </c>
      <c r="M1516">
        <f>IF(F1516="INR",1,INDEX('rates'!$B$2:$C$522,MATCH(D1516,'rates'!$A$2:$A$522,1),MATCH(F1516&amp;"/INR",'rates'!$B$1:$C$1,0)))</f>
        <v>89.982799999999997</v>
      </c>
      <c r="N1516">
        <f t="shared" si="123"/>
        <v>3768175.522136</v>
      </c>
      <c r="O1516">
        <f t="shared" si="124"/>
        <v>0</v>
      </c>
      <c r="P1516">
        <f t="shared" si="125"/>
        <v>0</v>
      </c>
      <c r="Q1516">
        <f t="shared" si="128"/>
        <v>8</v>
      </c>
      <c r="R1516" t="str">
        <f t="shared" si="126"/>
        <v>Not open</v>
      </c>
    </row>
    <row r="1517" spans="1:18" x14ac:dyDescent="0.3">
      <c r="A1517" t="s">
        <v>1713</v>
      </c>
      <c r="B1517" t="s">
        <v>496</v>
      </c>
      <c r="C1517" t="s">
        <v>566</v>
      </c>
      <c r="D1517" s="1">
        <v>45349</v>
      </c>
      <c r="E1517" s="1">
        <v>45394</v>
      </c>
      <c r="F1517" t="s">
        <v>13</v>
      </c>
      <c r="G1517">
        <v>15120950</v>
      </c>
      <c r="H1517" s="1">
        <v>45405</v>
      </c>
      <c r="I1517" t="s">
        <v>555</v>
      </c>
      <c r="J1517" t="s">
        <v>556</v>
      </c>
      <c r="L1517">
        <v>15120950</v>
      </c>
      <c r="M1517">
        <f>IF(F1517="INR",1,INDEX('rates'!$B$2:$C$522,MATCH(D1517,'rates'!$A$2:$A$522,1),MATCH(F1517&amp;"/INR",'rates'!$B$1:$C$1,0)))</f>
        <v>1</v>
      </c>
      <c r="N1517">
        <f t="shared" si="123"/>
        <v>15120950</v>
      </c>
      <c r="O1517">
        <f t="shared" si="124"/>
        <v>0</v>
      </c>
      <c r="P1517">
        <f t="shared" si="125"/>
        <v>0</v>
      </c>
      <c r="Q1517">
        <f t="shared" si="128"/>
        <v>11</v>
      </c>
      <c r="R1517" t="str">
        <f t="shared" si="126"/>
        <v>Not open</v>
      </c>
    </row>
    <row r="1518" spans="1:18" x14ac:dyDescent="0.3">
      <c r="A1518" t="s">
        <v>1715</v>
      </c>
      <c r="B1518" t="s">
        <v>262</v>
      </c>
      <c r="C1518" t="s">
        <v>566</v>
      </c>
      <c r="D1518" s="1">
        <v>45350</v>
      </c>
      <c r="E1518" s="1">
        <v>45440</v>
      </c>
      <c r="F1518" t="s">
        <v>31</v>
      </c>
      <c r="G1518">
        <v>50495.5</v>
      </c>
      <c r="H1518" s="1">
        <v>45460</v>
      </c>
      <c r="I1518" t="s">
        <v>555</v>
      </c>
      <c r="J1518" t="s">
        <v>556</v>
      </c>
      <c r="L1518">
        <v>50495.5</v>
      </c>
      <c r="M1518">
        <f>IF(F1518="INR",1,INDEX('rates'!$B$2:$C$522,MATCH(D1518,'rates'!$A$2:$A$522,1),MATCH(F1518&amp;"/INR",'rates'!$B$1:$C$1,0)))</f>
        <v>89.866799999999998</v>
      </c>
      <c r="N1518">
        <f t="shared" si="123"/>
        <v>4537868.9994000001</v>
      </c>
      <c r="O1518">
        <f t="shared" si="124"/>
        <v>0</v>
      </c>
      <c r="P1518">
        <f t="shared" si="125"/>
        <v>0</v>
      </c>
      <c r="Q1518">
        <f t="shared" si="128"/>
        <v>20</v>
      </c>
      <c r="R1518" t="str">
        <f t="shared" si="126"/>
        <v>Not open</v>
      </c>
    </row>
    <row r="1519" spans="1:18" x14ac:dyDescent="0.3">
      <c r="A1519" t="s">
        <v>1716</v>
      </c>
      <c r="B1519" t="s">
        <v>480</v>
      </c>
      <c r="C1519" t="s">
        <v>558</v>
      </c>
      <c r="D1519" s="1">
        <v>45350</v>
      </c>
      <c r="E1519" s="1">
        <v>45380</v>
      </c>
      <c r="F1519" t="s">
        <v>13</v>
      </c>
      <c r="G1519">
        <v>2444291</v>
      </c>
      <c r="H1519" s="1">
        <v>45394</v>
      </c>
      <c r="I1519" t="s">
        <v>555</v>
      </c>
      <c r="J1519" t="s">
        <v>556</v>
      </c>
      <c r="L1519">
        <v>2444291</v>
      </c>
      <c r="M1519">
        <f>IF(F1519="INR",1,INDEX('rates'!$B$2:$C$522,MATCH(D1519,'rates'!$A$2:$A$522,1),MATCH(F1519&amp;"/INR",'rates'!$B$1:$C$1,0)))</f>
        <v>1</v>
      </c>
      <c r="N1519">
        <f t="shared" si="123"/>
        <v>2444291</v>
      </c>
      <c r="O1519">
        <f t="shared" si="124"/>
        <v>0</v>
      </c>
      <c r="P1519">
        <f t="shared" si="125"/>
        <v>0</v>
      </c>
      <c r="Q1519">
        <f t="shared" si="128"/>
        <v>14</v>
      </c>
      <c r="R1519" t="str">
        <f t="shared" si="126"/>
        <v>Not open</v>
      </c>
    </row>
    <row r="1520" spans="1:18" x14ac:dyDescent="0.3">
      <c r="A1520" t="s">
        <v>1717</v>
      </c>
      <c r="B1520" t="s">
        <v>498</v>
      </c>
      <c r="C1520" t="s">
        <v>566</v>
      </c>
      <c r="D1520" s="1">
        <v>45350</v>
      </c>
      <c r="E1520" s="1">
        <v>45440</v>
      </c>
      <c r="F1520" t="s">
        <v>36</v>
      </c>
      <c r="G1520">
        <v>83010</v>
      </c>
      <c r="H1520" s="1">
        <v>45454</v>
      </c>
      <c r="I1520" t="s">
        <v>555</v>
      </c>
      <c r="J1520" t="s">
        <v>556</v>
      </c>
      <c r="L1520">
        <v>83010</v>
      </c>
      <c r="M1520">
        <f>IF(F1520="INR",1,INDEX('rates'!$B$2:$C$522,MATCH(D1520,'rates'!$A$2:$A$522,1),MATCH(F1520&amp;"/INR",'rates'!$B$1:$C$1,0)))</f>
        <v>82.88</v>
      </c>
      <c r="N1520">
        <f t="shared" si="123"/>
        <v>6879868.7999999998</v>
      </c>
      <c r="O1520">
        <f t="shared" si="124"/>
        <v>0</v>
      </c>
      <c r="P1520">
        <f t="shared" si="125"/>
        <v>0</v>
      </c>
      <c r="Q1520">
        <f t="shared" si="128"/>
        <v>14</v>
      </c>
      <c r="R1520" t="str">
        <f t="shared" si="126"/>
        <v>Not open</v>
      </c>
    </row>
    <row r="1521" spans="1:18" x14ac:dyDescent="0.3">
      <c r="A1521" t="s">
        <v>1718</v>
      </c>
      <c r="B1521" t="s">
        <v>518</v>
      </c>
      <c r="C1521" t="s">
        <v>558</v>
      </c>
      <c r="D1521" s="1">
        <v>45350</v>
      </c>
      <c r="E1521" s="1">
        <v>45395</v>
      </c>
      <c r="F1521" t="s">
        <v>13</v>
      </c>
      <c r="G1521">
        <v>9326569</v>
      </c>
      <c r="H1521" s="1"/>
      <c r="I1521" t="s">
        <v>717</v>
      </c>
      <c r="J1521" t="s">
        <v>556</v>
      </c>
      <c r="L1521">
        <v>0</v>
      </c>
      <c r="M1521">
        <f>IF(F1521="INR",1,INDEX('rates'!$B$2:$C$522,MATCH(D1521,'rates'!$A$2:$A$522,1),MATCH(F1521&amp;"/INR",'rates'!$B$1:$C$1,0)))</f>
        <v>1</v>
      </c>
      <c r="N1521">
        <f t="shared" si="123"/>
        <v>9326569</v>
      </c>
      <c r="O1521">
        <f t="shared" si="124"/>
        <v>0</v>
      </c>
      <c r="P1521">
        <f t="shared" si="125"/>
        <v>0</v>
      </c>
      <c r="Q1521" t="str">
        <f t="shared" si="128"/>
        <v/>
      </c>
      <c r="R1521" t="str">
        <f t="shared" si="126"/>
        <v>Not open</v>
      </c>
    </row>
    <row r="1522" spans="1:18" x14ac:dyDescent="0.3">
      <c r="A1522" t="s">
        <v>1719</v>
      </c>
      <c r="B1522" t="s">
        <v>154</v>
      </c>
      <c r="C1522" t="s">
        <v>566</v>
      </c>
      <c r="D1522" s="1">
        <v>45351</v>
      </c>
      <c r="E1522" s="1">
        <v>45381</v>
      </c>
      <c r="F1522" t="s">
        <v>13</v>
      </c>
      <c r="G1522">
        <v>9933186</v>
      </c>
      <c r="H1522" s="1">
        <v>45386</v>
      </c>
      <c r="I1522" t="s">
        <v>555</v>
      </c>
      <c r="J1522" t="s">
        <v>556</v>
      </c>
      <c r="L1522">
        <v>9933186</v>
      </c>
      <c r="M1522">
        <f>IF(F1522="INR",1,INDEX('rates'!$B$2:$C$522,MATCH(D1522,'rates'!$A$2:$A$522,1),MATCH(F1522&amp;"/INR",'rates'!$B$1:$C$1,0)))</f>
        <v>1</v>
      </c>
      <c r="N1522">
        <f t="shared" si="123"/>
        <v>9933186</v>
      </c>
      <c r="O1522">
        <f t="shared" si="124"/>
        <v>0</v>
      </c>
      <c r="P1522">
        <f t="shared" si="125"/>
        <v>0</v>
      </c>
      <c r="Q1522">
        <f t="shared" si="128"/>
        <v>5</v>
      </c>
      <c r="R1522" t="str">
        <f t="shared" si="126"/>
        <v>Not open</v>
      </c>
    </row>
    <row r="1523" spans="1:18" x14ac:dyDescent="0.3">
      <c r="A1523" t="s">
        <v>1720</v>
      </c>
      <c r="B1523" t="s">
        <v>238</v>
      </c>
      <c r="C1523" t="s">
        <v>566</v>
      </c>
      <c r="D1523" s="1">
        <v>45351</v>
      </c>
      <c r="E1523" s="1">
        <v>45411</v>
      </c>
      <c r="F1523" t="s">
        <v>31</v>
      </c>
      <c r="G1523">
        <v>131460.5</v>
      </c>
      <c r="H1523" s="1">
        <v>45420</v>
      </c>
      <c r="I1523" t="s">
        <v>555</v>
      </c>
      <c r="J1523" t="s">
        <v>573</v>
      </c>
      <c r="K1523">
        <v>89.736699999999999</v>
      </c>
      <c r="L1523">
        <v>131460.5</v>
      </c>
      <c r="M1523">
        <f>IF(F1523="INR",1,INDEX('rates'!$B$2:$C$522,MATCH(D1523,'rates'!$A$2:$A$522,1),MATCH(F1523&amp;"/INR",'rates'!$B$1:$C$1,0)))</f>
        <v>89.557599999999994</v>
      </c>
      <c r="N1523">
        <f t="shared" si="123"/>
        <v>11773286.874799998</v>
      </c>
      <c r="O1523">
        <f t="shared" si="124"/>
        <v>0</v>
      </c>
      <c r="P1523">
        <f t="shared" si="125"/>
        <v>0</v>
      </c>
      <c r="Q1523">
        <f t="shared" si="128"/>
        <v>9</v>
      </c>
      <c r="R1523" t="str">
        <f t="shared" si="126"/>
        <v>Not open</v>
      </c>
    </row>
    <row r="1524" spans="1:18" x14ac:dyDescent="0.3">
      <c r="A1524" t="s">
        <v>1721</v>
      </c>
      <c r="B1524" t="s">
        <v>368</v>
      </c>
      <c r="C1524" t="s">
        <v>566</v>
      </c>
      <c r="D1524" s="1">
        <v>45351</v>
      </c>
      <c r="E1524" s="1">
        <v>45411</v>
      </c>
      <c r="F1524" t="s">
        <v>36</v>
      </c>
      <c r="G1524">
        <v>36905.300000000003</v>
      </c>
      <c r="H1524" s="1">
        <v>45442</v>
      </c>
      <c r="I1524" t="s">
        <v>555</v>
      </c>
      <c r="J1524" t="s">
        <v>573</v>
      </c>
      <c r="K1524">
        <v>83.146199999999993</v>
      </c>
      <c r="L1524">
        <v>36905.300000000003</v>
      </c>
      <c r="M1524">
        <f>IF(F1524="INR",1,INDEX('rates'!$B$2:$C$522,MATCH(D1524,'rates'!$A$2:$A$522,1),MATCH(F1524&amp;"/INR",'rates'!$B$1:$C$1,0)))</f>
        <v>82.87</v>
      </c>
      <c r="N1524">
        <f t="shared" si="123"/>
        <v>3058342.2110000006</v>
      </c>
      <c r="O1524">
        <f t="shared" si="124"/>
        <v>0</v>
      </c>
      <c r="P1524">
        <f t="shared" si="125"/>
        <v>0</v>
      </c>
      <c r="Q1524">
        <f t="shared" si="128"/>
        <v>31</v>
      </c>
      <c r="R1524" t="str">
        <f t="shared" si="126"/>
        <v>Not open</v>
      </c>
    </row>
    <row r="1525" spans="1:18" x14ac:dyDescent="0.3">
      <c r="A1525" t="s">
        <v>1722</v>
      </c>
      <c r="B1525" t="s">
        <v>246</v>
      </c>
      <c r="C1525" t="s">
        <v>554</v>
      </c>
      <c r="D1525" s="1">
        <v>45352</v>
      </c>
      <c r="E1525" s="1">
        <v>45412</v>
      </c>
      <c r="F1525" t="s">
        <v>13</v>
      </c>
      <c r="G1525">
        <v>10140321</v>
      </c>
      <c r="H1525" s="1">
        <v>45417</v>
      </c>
      <c r="I1525" t="s">
        <v>555</v>
      </c>
      <c r="J1525" t="s">
        <v>556</v>
      </c>
      <c r="L1525">
        <v>10140321</v>
      </c>
      <c r="M1525">
        <f>IF(F1525="INR",1,INDEX('rates'!$B$2:$C$522,MATCH(D1525,'rates'!$A$2:$A$522,1),MATCH(F1525&amp;"/INR",'rates'!$B$1:$C$1,0)))</f>
        <v>1</v>
      </c>
      <c r="N1525">
        <f t="shared" si="123"/>
        <v>10140321</v>
      </c>
      <c r="O1525">
        <f t="shared" si="124"/>
        <v>0</v>
      </c>
      <c r="P1525">
        <f t="shared" si="125"/>
        <v>0</v>
      </c>
      <c r="Q1525">
        <f t="shared" si="128"/>
        <v>5</v>
      </c>
      <c r="R1525" t="str">
        <f t="shared" si="126"/>
        <v>Not open</v>
      </c>
    </row>
    <row r="1526" spans="1:18" x14ac:dyDescent="0.3">
      <c r="A1526" t="s">
        <v>1723</v>
      </c>
      <c r="B1526" t="s">
        <v>262</v>
      </c>
      <c r="C1526" t="s">
        <v>566</v>
      </c>
      <c r="D1526" s="1">
        <v>45352</v>
      </c>
      <c r="E1526" s="1">
        <v>45442</v>
      </c>
      <c r="F1526" t="s">
        <v>31</v>
      </c>
      <c r="G1526">
        <v>157862.01999999999</v>
      </c>
      <c r="H1526" s="1">
        <v>45514</v>
      </c>
      <c r="I1526" t="s">
        <v>555</v>
      </c>
      <c r="J1526" t="s">
        <v>573</v>
      </c>
      <c r="K1526">
        <v>90.077500000000001</v>
      </c>
      <c r="L1526">
        <v>157862.01999999999</v>
      </c>
      <c r="M1526">
        <f>IF(F1526="INR",1,INDEX('rates'!$B$2:$C$522,MATCH(D1526,'rates'!$A$2:$A$522,1),MATCH(F1526&amp;"/INR",'rates'!$B$1:$C$1,0)))</f>
        <v>89.808099999999996</v>
      </c>
      <c r="N1526">
        <f t="shared" si="123"/>
        <v>14177288.078361999</v>
      </c>
      <c r="O1526">
        <f t="shared" si="124"/>
        <v>0</v>
      </c>
      <c r="P1526">
        <f t="shared" si="125"/>
        <v>0</v>
      </c>
      <c r="Q1526">
        <f t="shared" si="128"/>
        <v>72</v>
      </c>
      <c r="R1526" t="str">
        <f t="shared" si="126"/>
        <v>Not open</v>
      </c>
    </row>
    <row r="1527" spans="1:18" x14ac:dyDescent="0.3">
      <c r="A1527" t="s">
        <v>1724</v>
      </c>
      <c r="B1527" t="s">
        <v>372</v>
      </c>
      <c r="C1527" t="s">
        <v>575</v>
      </c>
      <c r="D1527" s="1">
        <v>45352</v>
      </c>
      <c r="E1527" s="1">
        <v>45442</v>
      </c>
      <c r="F1527" t="s">
        <v>13</v>
      </c>
      <c r="G1527">
        <v>2836620</v>
      </c>
      <c r="H1527" s="1">
        <v>45462</v>
      </c>
      <c r="I1527" t="s">
        <v>555</v>
      </c>
      <c r="J1527" t="s">
        <v>556</v>
      </c>
      <c r="L1527">
        <v>2836620</v>
      </c>
      <c r="M1527">
        <f>IF(F1527="INR",1,INDEX('rates'!$B$2:$C$522,MATCH(D1527,'rates'!$A$2:$A$522,1),MATCH(F1527&amp;"/INR",'rates'!$B$1:$C$1,0)))</f>
        <v>1</v>
      </c>
      <c r="N1527">
        <f t="shared" si="123"/>
        <v>2836620</v>
      </c>
      <c r="O1527">
        <f t="shared" si="124"/>
        <v>0</v>
      </c>
      <c r="P1527">
        <f t="shared" si="125"/>
        <v>0</v>
      </c>
      <c r="Q1527">
        <f t="shared" si="128"/>
        <v>20</v>
      </c>
      <c r="R1527" t="str">
        <f t="shared" si="126"/>
        <v>Not open</v>
      </c>
    </row>
    <row r="1528" spans="1:18" x14ac:dyDescent="0.3">
      <c r="A1528" t="s">
        <v>1725</v>
      </c>
      <c r="B1528" t="s">
        <v>96</v>
      </c>
      <c r="C1528" t="s">
        <v>558</v>
      </c>
      <c r="D1528" s="1">
        <v>45353</v>
      </c>
      <c r="E1528" s="1">
        <v>45443</v>
      </c>
      <c r="F1528" t="s">
        <v>13</v>
      </c>
      <c r="G1528">
        <v>5021536</v>
      </c>
      <c r="H1528" s="1">
        <v>45448</v>
      </c>
      <c r="I1528" t="s">
        <v>555</v>
      </c>
      <c r="J1528" t="s">
        <v>556</v>
      </c>
      <c r="L1528">
        <v>5021536</v>
      </c>
      <c r="M1528">
        <f>IF(F1528="INR",1,INDEX('rates'!$B$2:$C$522,MATCH(D1528,'rates'!$A$2:$A$522,1),MATCH(F1528&amp;"/INR",'rates'!$B$1:$C$1,0)))</f>
        <v>1</v>
      </c>
      <c r="N1528">
        <f t="shared" si="123"/>
        <v>5021536</v>
      </c>
      <c r="O1528">
        <f t="shared" si="124"/>
        <v>0</v>
      </c>
      <c r="P1528">
        <f t="shared" si="125"/>
        <v>0</v>
      </c>
      <c r="Q1528">
        <f t="shared" si="128"/>
        <v>5</v>
      </c>
      <c r="R1528" t="str">
        <f t="shared" si="126"/>
        <v>Not open</v>
      </c>
    </row>
    <row r="1529" spans="1:18" x14ac:dyDescent="0.3">
      <c r="A1529" t="s">
        <v>1726</v>
      </c>
      <c r="B1529" t="s">
        <v>132</v>
      </c>
      <c r="C1529" t="s">
        <v>554</v>
      </c>
      <c r="D1529" s="1">
        <v>45353</v>
      </c>
      <c r="E1529" s="1">
        <v>45383</v>
      </c>
      <c r="F1529" t="s">
        <v>13</v>
      </c>
      <c r="G1529">
        <v>884731</v>
      </c>
      <c r="H1529" s="1">
        <v>45378</v>
      </c>
      <c r="I1529" t="s">
        <v>555</v>
      </c>
      <c r="J1529" t="s">
        <v>556</v>
      </c>
      <c r="L1529">
        <v>884731</v>
      </c>
      <c r="M1529">
        <f>IF(F1529="INR",1,INDEX('rates'!$B$2:$C$522,MATCH(D1529,'rates'!$A$2:$A$522,1),MATCH(F1529&amp;"/INR",'rates'!$B$1:$C$1,0)))</f>
        <v>1</v>
      </c>
      <c r="N1529">
        <f t="shared" si="123"/>
        <v>884731</v>
      </c>
      <c r="O1529">
        <f t="shared" si="124"/>
        <v>0</v>
      </c>
      <c r="P1529">
        <f t="shared" si="125"/>
        <v>0</v>
      </c>
      <c r="Q1529">
        <f t="shared" si="128"/>
        <v>-5</v>
      </c>
      <c r="R1529" t="str">
        <f t="shared" si="126"/>
        <v>Not open</v>
      </c>
    </row>
    <row r="1530" spans="1:18" x14ac:dyDescent="0.3">
      <c r="A1530" t="s">
        <v>1727</v>
      </c>
      <c r="B1530" t="s">
        <v>186</v>
      </c>
      <c r="C1530" t="s">
        <v>558</v>
      </c>
      <c r="D1530" s="1">
        <v>45353</v>
      </c>
      <c r="E1530" s="1">
        <v>45383</v>
      </c>
      <c r="F1530" t="s">
        <v>36</v>
      </c>
      <c r="G1530">
        <v>64749.98</v>
      </c>
      <c r="H1530" s="1">
        <v>45432</v>
      </c>
      <c r="I1530" t="s">
        <v>555</v>
      </c>
      <c r="J1530" t="s">
        <v>556</v>
      </c>
      <c r="L1530">
        <v>64749.98</v>
      </c>
      <c r="M1530">
        <f>IF(F1530="INR",1,INDEX('rates'!$B$2:$C$522,MATCH(D1530,'rates'!$A$2:$A$522,1),MATCH(F1530&amp;"/INR",'rates'!$B$1:$C$1,0)))</f>
        <v>82.91</v>
      </c>
      <c r="N1530">
        <f t="shared" si="123"/>
        <v>5368420.8417999996</v>
      </c>
      <c r="O1530">
        <f t="shared" si="124"/>
        <v>0</v>
      </c>
      <c r="P1530">
        <f t="shared" si="125"/>
        <v>0</v>
      </c>
      <c r="Q1530">
        <f t="shared" si="128"/>
        <v>49</v>
      </c>
      <c r="R1530" t="str">
        <f t="shared" si="126"/>
        <v>Not open</v>
      </c>
    </row>
    <row r="1531" spans="1:18" x14ac:dyDescent="0.3">
      <c r="A1531" t="s">
        <v>1728</v>
      </c>
      <c r="B1531" t="s">
        <v>186</v>
      </c>
      <c r="C1531" t="s">
        <v>558</v>
      </c>
      <c r="D1531" s="1">
        <v>45353</v>
      </c>
      <c r="E1531" s="1">
        <v>45383</v>
      </c>
      <c r="F1531" t="s">
        <v>36</v>
      </c>
      <c r="G1531">
        <v>89352.38</v>
      </c>
      <c r="H1531" s="1"/>
      <c r="I1531" t="s">
        <v>555</v>
      </c>
      <c r="J1531" t="s">
        <v>556</v>
      </c>
      <c r="L1531">
        <v>89352.38</v>
      </c>
      <c r="M1531">
        <f>IF(F1531="INR",1,INDEX('rates'!$B$2:$C$522,MATCH(D1531,'rates'!$A$2:$A$522,1),MATCH(F1531&amp;"/INR",'rates'!$B$1:$C$1,0)))</f>
        <v>82.91</v>
      </c>
      <c r="N1531">
        <f t="shared" si="123"/>
        <v>7408205.8257999998</v>
      </c>
      <c r="O1531">
        <f t="shared" si="124"/>
        <v>0</v>
      </c>
      <c r="P1531">
        <f t="shared" si="125"/>
        <v>0</v>
      </c>
      <c r="Q1531" t="str">
        <f t="shared" si="128"/>
        <v/>
      </c>
      <c r="R1531" t="str">
        <f t="shared" si="126"/>
        <v>Not open</v>
      </c>
    </row>
    <row r="1532" spans="1:18" x14ac:dyDescent="0.3">
      <c r="A1532" t="s">
        <v>1729</v>
      </c>
      <c r="B1532" t="s">
        <v>246</v>
      </c>
      <c r="C1532" t="s">
        <v>554</v>
      </c>
      <c r="D1532" s="1">
        <v>45353</v>
      </c>
      <c r="E1532" s="1">
        <v>45413</v>
      </c>
      <c r="F1532" t="s">
        <v>13</v>
      </c>
      <c r="G1532">
        <v>3760975</v>
      </c>
      <c r="H1532" s="1">
        <v>45415</v>
      </c>
      <c r="I1532" t="s">
        <v>555</v>
      </c>
      <c r="J1532" t="s">
        <v>556</v>
      </c>
      <c r="L1532">
        <v>3760975</v>
      </c>
      <c r="M1532">
        <f>IF(F1532="INR",1,INDEX('rates'!$B$2:$C$522,MATCH(D1532,'rates'!$A$2:$A$522,1),MATCH(F1532&amp;"/INR",'rates'!$B$1:$C$1,0)))</f>
        <v>1</v>
      </c>
      <c r="N1532">
        <f t="shared" si="123"/>
        <v>3760975</v>
      </c>
      <c r="O1532">
        <f t="shared" si="124"/>
        <v>0</v>
      </c>
      <c r="P1532">
        <f t="shared" si="125"/>
        <v>0</v>
      </c>
      <c r="Q1532">
        <f t="shared" si="128"/>
        <v>2</v>
      </c>
      <c r="R1532" t="str">
        <f t="shared" si="126"/>
        <v>Not open</v>
      </c>
    </row>
    <row r="1533" spans="1:18" x14ac:dyDescent="0.3">
      <c r="A1533" t="s">
        <v>1730</v>
      </c>
      <c r="B1533" t="s">
        <v>426</v>
      </c>
      <c r="C1533" t="s">
        <v>566</v>
      </c>
      <c r="D1533" s="1">
        <v>45353</v>
      </c>
      <c r="E1533" s="1">
        <v>45398</v>
      </c>
      <c r="F1533" t="s">
        <v>31</v>
      </c>
      <c r="G1533">
        <v>74596.570000000007</v>
      </c>
      <c r="H1533" s="1">
        <v>45423</v>
      </c>
      <c r="I1533" t="s">
        <v>555</v>
      </c>
      <c r="J1533" t="s">
        <v>556</v>
      </c>
      <c r="L1533">
        <v>74596.570000000007</v>
      </c>
      <c r="M1533">
        <f>IF(F1533="INR",1,INDEX('rates'!$B$2:$C$522,MATCH(D1533,'rates'!$A$2:$A$522,1),MATCH(F1533&amp;"/INR",'rates'!$B$1:$C$1,0)))</f>
        <v>89.808099999999996</v>
      </c>
      <c r="N1533">
        <f t="shared" si="123"/>
        <v>6699376.2182170004</v>
      </c>
      <c r="O1533">
        <f t="shared" si="124"/>
        <v>0</v>
      </c>
      <c r="P1533">
        <f t="shared" si="125"/>
        <v>0</v>
      </c>
      <c r="Q1533">
        <f t="shared" si="128"/>
        <v>25</v>
      </c>
      <c r="R1533" t="str">
        <f t="shared" si="126"/>
        <v>Not open</v>
      </c>
    </row>
    <row r="1534" spans="1:18" x14ac:dyDescent="0.3">
      <c r="A1534" t="s">
        <v>1731</v>
      </c>
      <c r="B1534" t="s">
        <v>436</v>
      </c>
      <c r="C1534" t="s">
        <v>566</v>
      </c>
      <c r="D1534" s="1">
        <v>45353</v>
      </c>
      <c r="E1534" s="1">
        <v>45398</v>
      </c>
      <c r="F1534" t="s">
        <v>36</v>
      </c>
      <c r="G1534">
        <v>147135.71</v>
      </c>
      <c r="H1534" s="1">
        <v>45414</v>
      </c>
      <c r="I1534" t="s">
        <v>555</v>
      </c>
      <c r="J1534" t="s">
        <v>556</v>
      </c>
      <c r="L1534">
        <v>147135.71</v>
      </c>
      <c r="M1534">
        <f>IF(F1534="INR",1,INDEX('rates'!$B$2:$C$522,MATCH(D1534,'rates'!$A$2:$A$522,1),MATCH(F1534&amp;"/INR",'rates'!$B$1:$C$1,0)))</f>
        <v>82.91</v>
      </c>
      <c r="N1534">
        <f t="shared" si="123"/>
        <v>12199021.716099998</v>
      </c>
      <c r="O1534">
        <f t="shared" si="124"/>
        <v>0</v>
      </c>
      <c r="P1534">
        <f t="shared" si="125"/>
        <v>0</v>
      </c>
      <c r="Q1534">
        <f t="shared" si="128"/>
        <v>16</v>
      </c>
      <c r="R1534" t="str">
        <f t="shared" si="126"/>
        <v>Not open</v>
      </c>
    </row>
    <row r="1535" spans="1:18" x14ac:dyDescent="0.3">
      <c r="A1535" t="s">
        <v>1732</v>
      </c>
      <c r="B1535" t="s">
        <v>496</v>
      </c>
      <c r="C1535" t="s">
        <v>566</v>
      </c>
      <c r="D1535" s="1">
        <v>45353</v>
      </c>
      <c r="E1535" s="1">
        <v>45398</v>
      </c>
      <c r="F1535" t="s">
        <v>13</v>
      </c>
      <c r="G1535">
        <v>20580190</v>
      </c>
      <c r="H1535" s="1"/>
      <c r="I1535" t="s">
        <v>555</v>
      </c>
      <c r="J1535" t="s">
        <v>556</v>
      </c>
      <c r="L1535">
        <v>20580190</v>
      </c>
      <c r="M1535">
        <f>IF(F1535="INR",1,INDEX('rates'!$B$2:$C$522,MATCH(D1535,'rates'!$A$2:$A$522,1),MATCH(F1535&amp;"/INR",'rates'!$B$1:$C$1,0)))</f>
        <v>1</v>
      </c>
      <c r="N1535">
        <f t="shared" si="123"/>
        <v>20580190</v>
      </c>
      <c r="O1535">
        <f t="shared" si="124"/>
        <v>0</v>
      </c>
      <c r="P1535">
        <f t="shared" si="125"/>
        <v>0</v>
      </c>
      <c r="R1535" t="str">
        <f t="shared" si="126"/>
        <v>Not open</v>
      </c>
    </row>
    <row r="1536" spans="1:18" x14ac:dyDescent="0.3">
      <c r="A1536" t="s">
        <v>1733</v>
      </c>
      <c r="B1536" t="s">
        <v>496</v>
      </c>
      <c r="C1536" t="s">
        <v>554</v>
      </c>
      <c r="D1536" s="1">
        <v>45353</v>
      </c>
      <c r="E1536" s="1">
        <v>45398</v>
      </c>
      <c r="F1536" t="s">
        <v>13</v>
      </c>
      <c r="G1536">
        <v>4276182</v>
      </c>
      <c r="H1536" s="1">
        <v>45421</v>
      </c>
      <c r="I1536" t="s">
        <v>555</v>
      </c>
      <c r="J1536" t="s">
        <v>556</v>
      </c>
      <c r="L1536">
        <v>4276182</v>
      </c>
      <c r="M1536">
        <f>IF(F1536="INR",1,INDEX('rates'!$B$2:$C$522,MATCH(D1536,'rates'!$A$2:$A$522,1),MATCH(F1536&amp;"/INR",'rates'!$B$1:$C$1,0)))</f>
        <v>1</v>
      </c>
      <c r="N1536">
        <f t="shared" si="123"/>
        <v>4276182</v>
      </c>
      <c r="O1536">
        <f t="shared" si="124"/>
        <v>0</v>
      </c>
      <c r="P1536">
        <f t="shared" si="125"/>
        <v>0</v>
      </c>
      <c r="Q1536">
        <f t="shared" ref="Q1536:Q1599" si="129">IF(H1536="","",H1536-E1536)</f>
        <v>23</v>
      </c>
      <c r="R1536" t="str">
        <f t="shared" si="126"/>
        <v>Not open</v>
      </c>
    </row>
    <row r="1537" spans="1:18" x14ac:dyDescent="0.3">
      <c r="A1537" t="s">
        <v>1734</v>
      </c>
      <c r="B1537" t="s">
        <v>532</v>
      </c>
      <c r="C1537" t="s">
        <v>575</v>
      </c>
      <c r="D1537" s="1">
        <v>45353</v>
      </c>
      <c r="E1537" s="1">
        <v>45413</v>
      </c>
      <c r="F1537" t="s">
        <v>36</v>
      </c>
      <c r="G1537">
        <v>254839.44</v>
      </c>
      <c r="H1537" s="1">
        <v>45420</v>
      </c>
      <c r="I1537" t="s">
        <v>555</v>
      </c>
      <c r="J1537" t="s">
        <v>556</v>
      </c>
      <c r="L1537">
        <v>254839.44</v>
      </c>
      <c r="M1537">
        <f>IF(F1537="INR",1,INDEX('rates'!$B$2:$C$522,MATCH(D1537,'rates'!$A$2:$A$522,1),MATCH(F1537&amp;"/INR",'rates'!$B$1:$C$1,0)))</f>
        <v>82.91</v>
      </c>
      <c r="N1537">
        <f t="shared" si="123"/>
        <v>21128737.970399998</v>
      </c>
      <c r="O1537">
        <f t="shared" si="124"/>
        <v>0</v>
      </c>
      <c r="P1537">
        <f t="shared" si="125"/>
        <v>0</v>
      </c>
      <c r="Q1537">
        <f t="shared" si="129"/>
        <v>7</v>
      </c>
      <c r="R1537" t="str">
        <f t="shared" si="126"/>
        <v>Not open</v>
      </c>
    </row>
    <row r="1538" spans="1:18" x14ac:dyDescent="0.3">
      <c r="A1538" t="s">
        <v>1735</v>
      </c>
      <c r="B1538" t="s">
        <v>532</v>
      </c>
      <c r="C1538" t="s">
        <v>575</v>
      </c>
      <c r="D1538" s="1">
        <v>45353</v>
      </c>
      <c r="E1538" s="1">
        <v>45413</v>
      </c>
      <c r="F1538" t="s">
        <v>36</v>
      </c>
      <c r="G1538">
        <v>46094.91</v>
      </c>
      <c r="H1538" s="1">
        <v>45422</v>
      </c>
      <c r="I1538" t="s">
        <v>555</v>
      </c>
      <c r="J1538" t="s">
        <v>556</v>
      </c>
      <c r="L1538">
        <v>46094.91</v>
      </c>
      <c r="M1538">
        <f>IF(F1538="INR",1,INDEX('rates'!$B$2:$C$522,MATCH(D1538,'rates'!$A$2:$A$522,1),MATCH(F1538&amp;"/INR",'rates'!$B$1:$C$1,0)))</f>
        <v>82.91</v>
      </c>
      <c r="N1538">
        <f t="shared" ref="N1538:N1601" si="130">G1538*M1538</f>
        <v>3821728.9881000002</v>
      </c>
      <c r="O1538">
        <f t="shared" ref="O1538:O1601" si="131">IF(OR(I1538="OPEN",I1538="PARTIALLY PAID"),(G1538-L1538)*M1538,0)</f>
        <v>0</v>
      </c>
      <c r="P1538">
        <f t="shared" ref="P1538:P1601" si="132">IF(O1538&gt;0,MAX(0,DATE(2025,3,31)-E1538),0)</f>
        <v>0</v>
      </c>
      <c r="Q1538">
        <f t="shared" si="129"/>
        <v>9</v>
      </c>
      <c r="R1538" t="str">
        <f t="shared" ref="R1538:R1601" si="133">IF(O1538=0,"Not open",IF(P1538=0,"Not yet due",IF(P1538&lt;=30,"1-30",IF(P1538&lt;=60,"31-60",IF(P1538&lt;=90,"61-90","90+")))))</f>
        <v>Not open</v>
      </c>
    </row>
    <row r="1539" spans="1:18" x14ac:dyDescent="0.3">
      <c r="A1539" t="s">
        <v>1736</v>
      </c>
      <c r="B1539" t="s">
        <v>22</v>
      </c>
      <c r="C1539" t="s">
        <v>554</v>
      </c>
      <c r="D1539" s="1">
        <v>45355</v>
      </c>
      <c r="E1539" s="1">
        <v>45400</v>
      </c>
      <c r="F1539" t="s">
        <v>13</v>
      </c>
      <c r="G1539">
        <v>5678144</v>
      </c>
      <c r="H1539" s="1">
        <v>45405</v>
      </c>
      <c r="I1539" t="s">
        <v>555</v>
      </c>
      <c r="J1539" t="s">
        <v>556</v>
      </c>
      <c r="L1539">
        <v>5678144</v>
      </c>
      <c r="M1539">
        <f>IF(F1539="INR",1,INDEX('rates'!$B$2:$C$522,MATCH(D1539,'rates'!$A$2:$A$522,1),MATCH(F1539&amp;"/INR",'rates'!$B$1:$C$1,0)))</f>
        <v>1</v>
      </c>
      <c r="N1539">
        <f t="shared" si="130"/>
        <v>5678144</v>
      </c>
      <c r="O1539">
        <f t="shared" si="131"/>
        <v>0</v>
      </c>
      <c r="P1539">
        <f t="shared" si="132"/>
        <v>0</v>
      </c>
      <c r="Q1539">
        <f t="shared" si="129"/>
        <v>5</v>
      </c>
      <c r="R1539" t="str">
        <f t="shared" si="133"/>
        <v>Not open</v>
      </c>
    </row>
    <row r="1540" spans="1:18" x14ac:dyDescent="0.3">
      <c r="A1540" t="s">
        <v>1737</v>
      </c>
      <c r="B1540" t="s">
        <v>386</v>
      </c>
      <c r="C1540" t="s">
        <v>575</v>
      </c>
      <c r="D1540" s="1">
        <v>45355</v>
      </c>
      <c r="E1540" s="1">
        <v>45415</v>
      </c>
      <c r="F1540" t="s">
        <v>31</v>
      </c>
      <c r="G1540">
        <v>72721.23</v>
      </c>
      <c r="H1540" s="1">
        <v>45426</v>
      </c>
      <c r="I1540" t="s">
        <v>555</v>
      </c>
      <c r="J1540" t="s">
        <v>573</v>
      </c>
      <c r="K1540">
        <v>90.204300000000003</v>
      </c>
      <c r="L1540">
        <v>72721.23</v>
      </c>
      <c r="M1540">
        <f>IF(F1540="INR",1,INDEX('rates'!$B$2:$C$522,MATCH(D1540,'rates'!$A$2:$A$522,1),MATCH(F1540&amp;"/INR",'rates'!$B$1:$C$1,0)))</f>
        <v>90.024299999999997</v>
      </c>
      <c r="N1540">
        <f t="shared" si="130"/>
        <v>6546677.8258889997</v>
      </c>
      <c r="O1540">
        <f t="shared" si="131"/>
        <v>0</v>
      </c>
      <c r="P1540">
        <f t="shared" si="132"/>
        <v>0</v>
      </c>
      <c r="Q1540">
        <f t="shared" si="129"/>
        <v>11</v>
      </c>
      <c r="R1540" t="str">
        <f t="shared" si="133"/>
        <v>Not open</v>
      </c>
    </row>
    <row r="1541" spans="1:18" x14ac:dyDescent="0.3">
      <c r="A1541" t="s">
        <v>1738</v>
      </c>
      <c r="B1541" t="s">
        <v>28</v>
      </c>
      <c r="C1541" t="s">
        <v>566</v>
      </c>
      <c r="D1541" s="1">
        <v>45356</v>
      </c>
      <c r="E1541" s="1">
        <v>45386</v>
      </c>
      <c r="F1541" t="s">
        <v>31</v>
      </c>
      <c r="G1541">
        <v>198175.54</v>
      </c>
      <c r="H1541" s="1">
        <v>45396</v>
      </c>
      <c r="I1541" t="s">
        <v>555</v>
      </c>
      <c r="J1541" t="s">
        <v>573</v>
      </c>
      <c r="K1541">
        <v>90.084199999999996</v>
      </c>
      <c r="L1541">
        <v>198175.54</v>
      </c>
      <c r="M1541">
        <f>IF(F1541="INR",1,INDEX('rates'!$B$2:$C$522,MATCH(D1541,'rates'!$A$2:$A$522,1),MATCH(F1541&amp;"/INR",'rates'!$B$1:$C$1,0)))</f>
        <v>89.994200000000006</v>
      </c>
      <c r="N1541">
        <f t="shared" si="130"/>
        <v>17834649.181868002</v>
      </c>
      <c r="O1541">
        <f t="shared" si="131"/>
        <v>0</v>
      </c>
      <c r="P1541">
        <f t="shared" si="132"/>
        <v>0</v>
      </c>
      <c r="Q1541">
        <f t="shared" si="129"/>
        <v>10</v>
      </c>
      <c r="R1541" t="str">
        <f t="shared" si="133"/>
        <v>Not open</v>
      </c>
    </row>
    <row r="1542" spans="1:18" x14ac:dyDescent="0.3">
      <c r="A1542" t="s">
        <v>1739</v>
      </c>
      <c r="B1542" t="s">
        <v>25</v>
      </c>
      <c r="C1542" t="s">
        <v>560</v>
      </c>
      <c r="D1542" s="1">
        <v>45357</v>
      </c>
      <c r="E1542" s="1">
        <v>45387</v>
      </c>
      <c r="F1542" t="s">
        <v>13</v>
      </c>
      <c r="G1542">
        <v>7386408</v>
      </c>
      <c r="H1542" s="1">
        <v>45398</v>
      </c>
      <c r="I1542" t="s">
        <v>555</v>
      </c>
      <c r="J1542" t="s">
        <v>556</v>
      </c>
      <c r="L1542">
        <v>7386408</v>
      </c>
      <c r="M1542">
        <f>IF(F1542="INR",1,INDEX('rates'!$B$2:$C$522,MATCH(D1542,'rates'!$A$2:$A$522,1),MATCH(F1542&amp;"/INR",'rates'!$B$1:$C$1,0)))</f>
        <v>1</v>
      </c>
      <c r="N1542">
        <f t="shared" si="130"/>
        <v>7386408</v>
      </c>
      <c r="O1542">
        <f t="shared" si="131"/>
        <v>0</v>
      </c>
      <c r="P1542">
        <f t="shared" si="132"/>
        <v>0</v>
      </c>
      <c r="Q1542">
        <f t="shared" si="129"/>
        <v>11</v>
      </c>
      <c r="R1542" t="str">
        <f t="shared" si="133"/>
        <v>Not open</v>
      </c>
    </row>
    <row r="1543" spans="1:18" x14ac:dyDescent="0.3">
      <c r="A1543" t="s">
        <v>1740</v>
      </c>
      <c r="B1543" t="s">
        <v>100</v>
      </c>
      <c r="C1543" t="s">
        <v>566</v>
      </c>
      <c r="D1543" s="1">
        <v>45357</v>
      </c>
      <c r="E1543" s="1">
        <v>45447</v>
      </c>
      <c r="F1543" t="s">
        <v>13</v>
      </c>
      <c r="G1543">
        <v>9090424</v>
      </c>
      <c r="H1543" s="1">
        <v>45443</v>
      </c>
      <c r="I1543" t="s">
        <v>555</v>
      </c>
      <c r="J1543" t="s">
        <v>556</v>
      </c>
      <c r="L1543">
        <v>9090424</v>
      </c>
      <c r="M1543">
        <f>IF(F1543="INR",1,INDEX('rates'!$B$2:$C$522,MATCH(D1543,'rates'!$A$2:$A$522,1),MATCH(F1543&amp;"/INR",'rates'!$B$1:$C$1,0)))</f>
        <v>1</v>
      </c>
      <c r="N1543">
        <f t="shared" si="130"/>
        <v>9090424</v>
      </c>
      <c r="O1543">
        <f t="shared" si="131"/>
        <v>0</v>
      </c>
      <c r="P1543">
        <f t="shared" si="132"/>
        <v>0</v>
      </c>
      <c r="Q1543">
        <f t="shared" si="129"/>
        <v>-4</v>
      </c>
      <c r="R1543" t="str">
        <f t="shared" si="133"/>
        <v>Not open</v>
      </c>
    </row>
    <row r="1544" spans="1:18" x14ac:dyDescent="0.3">
      <c r="A1544" t="s">
        <v>1741</v>
      </c>
      <c r="B1544" t="s">
        <v>466</v>
      </c>
      <c r="C1544" t="s">
        <v>558</v>
      </c>
      <c r="D1544" s="1">
        <v>45357</v>
      </c>
      <c r="E1544" s="1">
        <v>45417</v>
      </c>
      <c r="F1544" t="s">
        <v>31</v>
      </c>
      <c r="G1544">
        <v>232122.57</v>
      </c>
      <c r="H1544" s="1">
        <v>45415</v>
      </c>
      <c r="I1544" t="s">
        <v>555</v>
      </c>
      <c r="J1544" t="s">
        <v>556</v>
      </c>
      <c r="L1544">
        <v>232122.57</v>
      </c>
      <c r="M1544">
        <f>IF(F1544="INR",1,INDEX('rates'!$B$2:$C$522,MATCH(D1544,'rates'!$A$2:$A$522,1),MATCH(F1544&amp;"/INR",'rates'!$B$1:$C$1,0)))</f>
        <v>90.337800000000001</v>
      </c>
      <c r="N1544">
        <f t="shared" si="130"/>
        <v>20969442.304145999</v>
      </c>
      <c r="O1544">
        <f t="shared" si="131"/>
        <v>0</v>
      </c>
      <c r="P1544">
        <f t="shared" si="132"/>
        <v>0</v>
      </c>
      <c r="Q1544">
        <f t="shared" si="129"/>
        <v>-2</v>
      </c>
      <c r="R1544" t="str">
        <f t="shared" si="133"/>
        <v>Not open</v>
      </c>
    </row>
    <row r="1545" spans="1:18" x14ac:dyDescent="0.3">
      <c r="A1545" t="s">
        <v>1742</v>
      </c>
      <c r="B1545" t="s">
        <v>482</v>
      </c>
      <c r="C1545" t="s">
        <v>558</v>
      </c>
      <c r="D1545" s="1">
        <v>45357</v>
      </c>
      <c r="E1545" s="1">
        <v>45417</v>
      </c>
      <c r="F1545" t="s">
        <v>13</v>
      </c>
      <c r="G1545">
        <v>46241194</v>
      </c>
      <c r="H1545" s="1">
        <v>45432</v>
      </c>
      <c r="I1545" t="s">
        <v>555</v>
      </c>
      <c r="J1545" t="s">
        <v>556</v>
      </c>
      <c r="L1545">
        <v>46241194</v>
      </c>
      <c r="M1545">
        <f>IF(F1545="INR",1,INDEX('rates'!$B$2:$C$522,MATCH(D1545,'rates'!$A$2:$A$522,1),MATCH(F1545&amp;"/INR",'rates'!$B$1:$C$1,0)))</f>
        <v>1</v>
      </c>
      <c r="N1545">
        <f t="shared" si="130"/>
        <v>46241194</v>
      </c>
      <c r="O1545">
        <f t="shared" si="131"/>
        <v>0</v>
      </c>
      <c r="P1545">
        <f t="shared" si="132"/>
        <v>0</v>
      </c>
      <c r="Q1545">
        <f t="shared" si="129"/>
        <v>15</v>
      </c>
      <c r="R1545" t="str">
        <f t="shared" si="133"/>
        <v>Not open</v>
      </c>
    </row>
    <row r="1546" spans="1:18" x14ac:dyDescent="0.3">
      <c r="A1546" t="s">
        <v>1743</v>
      </c>
      <c r="B1546" t="s">
        <v>42</v>
      </c>
      <c r="C1546" t="s">
        <v>566</v>
      </c>
      <c r="D1546" s="1">
        <v>45358</v>
      </c>
      <c r="E1546" s="1">
        <v>45418</v>
      </c>
      <c r="F1546" t="s">
        <v>13</v>
      </c>
      <c r="G1546">
        <v>14021311</v>
      </c>
      <c r="H1546" s="1">
        <v>45426</v>
      </c>
      <c r="I1546" t="s">
        <v>555</v>
      </c>
      <c r="J1546" t="s">
        <v>556</v>
      </c>
      <c r="L1546">
        <v>14021311</v>
      </c>
      <c r="M1546">
        <f>IF(F1546="INR",1,INDEX('rates'!$B$2:$C$522,MATCH(D1546,'rates'!$A$2:$A$522,1),MATCH(F1546&amp;"/INR",'rates'!$B$1:$C$1,0)))</f>
        <v>1</v>
      </c>
      <c r="N1546">
        <f t="shared" si="130"/>
        <v>14021311</v>
      </c>
      <c r="O1546">
        <f t="shared" si="131"/>
        <v>0</v>
      </c>
      <c r="P1546">
        <f t="shared" si="132"/>
        <v>0</v>
      </c>
      <c r="Q1546">
        <f t="shared" si="129"/>
        <v>8</v>
      </c>
      <c r="R1546" t="str">
        <f t="shared" si="133"/>
        <v>Not open</v>
      </c>
    </row>
    <row r="1547" spans="1:18" x14ac:dyDescent="0.3">
      <c r="A1547" t="s">
        <v>1744</v>
      </c>
      <c r="B1547" t="s">
        <v>87</v>
      </c>
      <c r="C1547" t="s">
        <v>566</v>
      </c>
      <c r="D1547" s="1">
        <v>45358</v>
      </c>
      <c r="E1547" s="1">
        <v>45403</v>
      </c>
      <c r="F1547" t="s">
        <v>36</v>
      </c>
      <c r="G1547">
        <v>197665.31</v>
      </c>
      <c r="H1547" s="1">
        <v>45428</v>
      </c>
      <c r="I1547" t="s">
        <v>555</v>
      </c>
      <c r="J1547" t="s">
        <v>573</v>
      </c>
      <c r="K1547">
        <v>82.986900000000006</v>
      </c>
      <c r="L1547">
        <v>197665.31</v>
      </c>
      <c r="M1547">
        <f>IF(F1547="INR",1,INDEX('rates'!$B$2:$C$522,MATCH(D1547,'rates'!$A$2:$A$522,1),MATCH(F1547&amp;"/INR",'rates'!$B$1:$C$1,0)))</f>
        <v>82.78</v>
      </c>
      <c r="N1547">
        <f t="shared" si="130"/>
        <v>16362734.3618</v>
      </c>
      <c r="O1547">
        <f t="shared" si="131"/>
        <v>0</v>
      </c>
      <c r="P1547">
        <f t="shared" si="132"/>
        <v>0</v>
      </c>
      <c r="Q1547">
        <f t="shared" si="129"/>
        <v>25</v>
      </c>
      <c r="R1547" t="str">
        <f t="shared" si="133"/>
        <v>Not open</v>
      </c>
    </row>
    <row r="1548" spans="1:18" x14ac:dyDescent="0.3">
      <c r="A1548" t="s">
        <v>1746</v>
      </c>
      <c r="B1548" t="s">
        <v>472</v>
      </c>
      <c r="C1548" t="s">
        <v>558</v>
      </c>
      <c r="D1548" s="1">
        <v>45358</v>
      </c>
      <c r="E1548" s="1">
        <v>45418</v>
      </c>
      <c r="F1548" t="s">
        <v>36</v>
      </c>
      <c r="G1548">
        <v>160120.43</v>
      </c>
      <c r="H1548" s="1">
        <v>45449</v>
      </c>
      <c r="I1548" t="s">
        <v>555</v>
      </c>
      <c r="J1548" t="s">
        <v>556</v>
      </c>
      <c r="L1548">
        <v>160120.43</v>
      </c>
      <c r="M1548">
        <f>IF(F1548="INR",1,INDEX('rates'!$B$2:$C$522,MATCH(D1548,'rates'!$A$2:$A$522,1),MATCH(F1548&amp;"/INR",'rates'!$B$1:$C$1,0)))</f>
        <v>82.78</v>
      </c>
      <c r="N1548">
        <f t="shared" si="130"/>
        <v>13254769.1954</v>
      </c>
      <c r="O1548">
        <f t="shared" si="131"/>
        <v>0</v>
      </c>
      <c r="P1548">
        <f t="shared" si="132"/>
        <v>0</v>
      </c>
      <c r="Q1548">
        <f t="shared" si="129"/>
        <v>31</v>
      </c>
      <c r="R1548" t="str">
        <f t="shared" si="133"/>
        <v>Not open</v>
      </c>
    </row>
    <row r="1549" spans="1:18" x14ac:dyDescent="0.3">
      <c r="A1549" t="s">
        <v>1747</v>
      </c>
      <c r="B1549" t="s">
        <v>186</v>
      </c>
      <c r="C1549" t="s">
        <v>558</v>
      </c>
      <c r="D1549" s="1">
        <v>45359</v>
      </c>
      <c r="E1549" s="1">
        <v>45389</v>
      </c>
      <c r="F1549" t="s">
        <v>36</v>
      </c>
      <c r="G1549">
        <v>71786.27</v>
      </c>
      <c r="H1549" s="1">
        <v>45406</v>
      </c>
      <c r="I1549" t="s">
        <v>555</v>
      </c>
      <c r="J1549" t="s">
        <v>556</v>
      </c>
      <c r="L1549">
        <v>71786.27</v>
      </c>
      <c r="M1549">
        <f>IF(F1549="INR",1,INDEX('rates'!$B$2:$C$522,MATCH(D1549,'rates'!$A$2:$A$522,1),MATCH(F1549&amp;"/INR",'rates'!$B$1:$C$1,0)))</f>
        <v>82.73</v>
      </c>
      <c r="N1549">
        <f t="shared" si="130"/>
        <v>5938878.1171000004</v>
      </c>
      <c r="O1549">
        <f t="shared" si="131"/>
        <v>0</v>
      </c>
      <c r="P1549">
        <f t="shared" si="132"/>
        <v>0</v>
      </c>
      <c r="Q1549">
        <f t="shared" si="129"/>
        <v>17</v>
      </c>
      <c r="R1549" t="str">
        <f t="shared" si="133"/>
        <v>Not open</v>
      </c>
    </row>
    <row r="1550" spans="1:18" x14ac:dyDescent="0.3">
      <c r="A1550" t="s">
        <v>1748</v>
      </c>
      <c r="B1550" t="s">
        <v>238</v>
      </c>
      <c r="C1550" t="s">
        <v>566</v>
      </c>
      <c r="D1550" s="1">
        <v>45359</v>
      </c>
      <c r="E1550" s="1">
        <v>45419</v>
      </c>
      <c r="F1550" t="s">
        <v>31</v>
      </c>
      <c r="G1550">
        <v>122996.17</v>
      </c>
      <c r="H1550" s="1">
        <v>45423</v>
      </c>
      <c r="I1550" t="s">
        <v>555</v>
      </c>
      <c r="J1550" t="s">
        <v>573</v>
      </c>
      <c r="K1550">
        <v>90.695899999999995</v>
      </c>
      <c r="L1550">
        <v>122996.17</v>
      </c>
      <c r="M1550">
        <f>IF(F1550="INR",1,INDEX('rates'!$B$2:$C$522,MATCH(D1550,'rates'!$A$2:$A$522,1),MATCH(F1550&amp;"/INR",'rates'!$B$1:$C$1,0)))</f>
        <v>90.514899999999997</v>
      </c>
      <c r="N1550">
        <f t="shared" si="130"/>
        <v>11132986.027933</v>
      </c>
      <c r="O1550">
        <f t="shared" si="131"/>
        <v>0</v>
      </c>
      <c r="P1550">
        <f t="shared" si="132"/>
        <v>0</v>
      </c>
      <c r="Q1550">
        <f t="shared" si="129"/>
        <v>4</v>
      </c>
      <c r="R1550" t="str">
        <f t="shared" si="133"/>
        <v>Not open</v>
      </c>
    </row>
    <row r="1551" spans="1:18" x14ac:dyDescent="0.3">
      <c r="A1551" t="s">
        <v>1749</v>
      </c>
      <c r="B1551" t="s">
        <v>382</v>
      </c>
      <c r="C1551" t="s">
        <v>566</v>
      </c>
      <c r="D1551" s="1">
        <v>45359</v>
      </c>
      <c r="E1551" s="1">
        <v>45449</v>
      </c>
      <c r="F1551" t="s">
        <v>36</v>
      </c>
      <c r="G1551">
        <v>79746.92</v>
      </c>
      <c r="H1551" s="1">
        <v>45479</v>
      </c>
      <c r="I1551" t="s">
        <v>555</v>
      </c>
      <c r="J1551" t="s">
        <v>556</v>
      </c>
      <c r="L1551">
        <v>79746.92</v>
      </c>
      <c r="M1551">
        <f>IF(F1551="INR",1,INDEX('rates'!$B$2:$C$522,MATCH(D1551,'rates'!$A$2:$A$522,1),MATCH(F1551&amp;"/INR",'rates'!$B$1:$C$1,0)))</f>
        <v>82.73</v>
      </c>
      <c r="N1551">
        <f t="shared" si="130"/>
        <v>6597462.6916000005</v>
      </c>
      <c r="O1551">
        <f t="shared" si="131"/>
        <v>0</v>
      </c>
      <c r="P1551">
        <f t="shared" si="132"/>
        <v>0</v>
      </c>
      <c r="Q1551">
        <f t="shared" si="129"/>
        <v>30</v>
      </c>
      <c r="R1551" t="str">
        <f t="shared" si="133"/>
        <v>Not open</v>
      </c>
    </row>
    <row r="1552" spans="1:18" x14ac:dyDescent="0.3">
      <c r="A1552" t="s">
        <v>1750</v>
      </c>
      <c r="B1552" t="s">
        <v>434</v>
      </c>
      <c r="C1552" t="s">
        <v>554</v>
      </c>
      <c r="D1552" s="1">
        <v>45359</v>
      </c>
      <c r="E1552" s="1">
        <v>45404</v>
      </c>
      <c r="F1552" t="s">
        <v>13</v>
      </c>
      <c r="G1552">
        <v>7195136</v>
      </c>
      <c r="H1552" s="1">
        <v>45418</v>
      </c>
      <c r="I1552" t="s">
        <v>555</v>
      </c>
      <c r="J1552" t="s">
        <v>556</v>
      </c>
      <c r="L1552">
        <v>7195136</v>
      </c>
      <c r="M1552">
        <f>IF(F1552="INR",1,INDEX('rates'!$B$2:$C$522,MATCH(D1552,'rates'!$A$2:$A$522,1),MATCH(F1552&amp;"/INR",'rates'!$B$1:$C$1,0)))</f>
        <v>1</v>
      </c>
      <c r="N1552">
        <f t="shared" si="130"/>
        <v>7195136</v>
      </c>
      <c r="O1552">
        <f t="shared" si="131"/>
        <v>0</v>
      </c>
      <c r="P1552">
        <f t="shared" si="132"/>
        <v>0</v>
      </c>
      <c r="Q1552">
        <f t="shared" si="129"/>
        <v>14</v>
      </c>
      <c r="R1552" t="str">
        <f t="shared" si="133"/>
        <v>Not open</v>
      </c>
    </row>
    <row r="1553" spans="1:18" x14ac:dyDescent="0.3">
      <c r="A1553" t="s">
        <v>1752</v>
      </c>
      <c r="B1553" t="s">
        <v>136</v>
      </c>
      <c r="C1553" t="s">
        <v>558</v>
      </c>
      <c r="D1553" s="1">
        <v>45360</v>
      </c>
      <c r="E1553" s="1">
        <v>45405</v>
      </c>
      <c r="F1553" t="s">
        <v>13</v>
      </c>
      <c r="G1553">
        <v>1881631</v>
      </c>
      <c r="H1553" s="1">
        <v>45499</v>
      </c>
      <c r="I1553" t="s">
        <v>555</v>
      </c>
      <c r="J1553" t="s">
        <v>556</v>
      </c>
      <c r="L1553">
        <v>1881631</v>
      </c>
      <c r="M1553">
        <f>IF(F1553="INR",1,INDEX('rates'!$B$2:$C$522,MATCH(D1553,'rates'!$A$2:$A$522,1),MATCH(F1553&amp;"/INR",'rates'!$B$1:$C$1,0)))</f>
        <v>1</v>
      </c>
      <c r="N1553">
        <f t="shared" si="130"/>
        <v>1881631</v>
      </c>
      <c r="O1553">
        <f t="shared" si="131"/>
        <v>0</v>
      </c>
      <c r="P1553">
        <f t="shared" si="132"/>
        <v>0</v>
      </c>
      <c r="Q1553">
        <f t="shared" si="129"/>
        <v>94</v>
      </c>
      <c r="R1553" t="str">
        <f t="shared" si="133"/>
        <v>Not open</v>
      </c>
    </row>
    <row r="1554" spans="1:18" x14ac:dyDescent="0.3">
      <c r="A1554" t="s">
        <v>1753</v>
      </c>
      <c r="B1554" t="s">
        <v>148</v>
      </c>
      <c r="C1554" t="s">
        <v>575</v>
      </c>
      <c r="D1554" s="1">
        <v>45360</v>
      </c>
      <c r="E1554" s="1">
        <v>45420</v>
      </c>
      <c r="F1554" t="s">
        <v>31</v>
      </c>
      <c r="G1554">
        <v>51109.99</v>
      </c>
      <c r="H1554" s="1">
        <v>45419</v>
      </c>
      <c r="I1554" t="s">
        <v>555</v>
      </c>
      <c r="J1554" t="s">
        <v>573</v>
      </c>
      <c r="K1554">
        <v>90.695899999999995</v>
      </c>
      <c r="L1554">
        <v>51109.99</v>
      </c>
      <c r="M1554">
        <f>IF(F1554="INR",1,INDEX('rates'!$B$2:$C$522,MATCH(D1554,'rates'!$A$2:$A$522,1),MATCH(F1554&amp;"/INR",'rates'!$B$1:$C$1,0)))</f>
        <v>90.514899999999997</v>
      </c>
      <c r="N1554">
        <f t="shared" si="130"/>
        <v>4626215.6338510001</v>
      </c>
      <c r="O1554">
        <f t="shared" si="131"/>
        <v>0</v>
      </c>
      <c r="P1554">
        <f t="shared" si="132"/>
        <v>0</v>
      </c>
      <c r="Q1554">
        <f t="shared" si="129"/>
        <v>-1</v>
      </c>
      <c r="R1554" t="str">
        <f t="shared" si="133"/>
        <v>Not open</v>
      </c>
    </row>
    <row r="1555" spans="1:18" x14ac:dyDescent="0.3">
      <c r="A1555" t="s">
        <v>1754</v>
      </c>
      <c r="B1555" t="s">
        <v>232</v>
      </c>
      <c r="C1555" t="s">
        <v>566</v>
      </c>
      <c r="D1555" s="1">
        <v>45360</v>
      </c>
      <c r="E1555" s="1">
        <v>45420</v>
      </c>
      <c r="F1555" t="s">
        <v>36</v>
      </c>
      <c r="G1555">
        <v>148298.13</v>
      </c>
      <c r="H1555" s="1">
        <v>45432</v>
      </c>
      <c r="I1555" t="s">
        <v>555</v>
      </c>
      <c r="J1555" t="s">
        <v>573</v>
      </c>
      <c r="K1555">
        <v>83.005799999999994</v>
      </c>
      <c r="L1555">
        <v>148298.13</v>
      </c>
      <c r="M1555">
        <f>IF(F1555="INR",1,INDEX('rates'!$B$2:$C$522,MATCH(D1555,'rates'!$A$2:$A$522,1),MATCH(F1555&amp;"/INR",'rates'!$B$1:$C$1,0)))</f>
        <v>82.73</v>
      </c>
      <c r="N1555">
        <f t="shared" si="130"/>
        <v>12268704.2949</v>
      </c>
      <c r="O1555">
        <f t="shared" si="131"/>
        <v>0</v>
      </c>
      <c r="P1555">
        <f t="shared" si="132"/>
        <v>0</v>
      </c>
      <c r="Q1555">
        <f t="shared" si="129"/>
        <v>12</v>
      </c>
      <c r="R1555" t="str">
        <f t="shared" si="133"/>
        <v>Not open</v>
      </c>
    </row>
    <row r="1556" spans="1:18" x14ac:dyDescent="0.3">
      <c r="A1556" t="s">
        <v>1755</v>
      </c>
      <c r="B1556" t="s">
        <v>372</v>
      </c>
      <c r="C1556" t="s">
        <v>575</v>
      </c>
      <c r="D1556" s="1">
        <v>45360</v>
      </c>
      <c r="E1556" s="1">
        <v>45450</v>
      </c>
      <c r="F1556" t="s">
        <v>13</v>
      </c>
      <c r="G1556">
        <v>6643090</v>
      </c>
      <c r="H1556" s="1">
        <v>45485</v>
      </c>
      <c r="I1556" t="s">
        <v>555</v>
      </c>
      <c r="J1556" t="s">
        <v>556</v>
      </c>
      <c r="L1556">
        <v>6643090</v>
      </c>
      <c r="M1556">
        <f>IF(F1556="INR",1,INDEX('rates'!$B$2:$C$522,MATCH(D1556,'rates'!$A$2:$A$522,1),MATCH(F1556&amp;"/INR",'rates'!$B$1:$C$1,0)))</f>
        <v>1</v>
      </c>
      <c r="N1556">
        <f t="shared" si="130"/>
        <v>6643090</v>
      </c>
      <c r="O1556">
        <f t="shared" si="131"/>
        <v>0</v>
      </c>
      <c r="P1556">
        <f t="shared" si="132"/>
        <v>0</v>
      </c>
      <c r="Q1556">
        <f t="shared" si="129"/>
        <v>35</v>
      </c>
      <c r="R1556" t="str">
        <f t="shared" si="133"/>
        <v>Not open</v>
      </c>
    </row>
    <row r="1557" spans="1:18" x14ac:dyDescent="0.3">
      <c r="A1557" t="s">
        <v>1756</v>
      </c>
      <c r="B1557" t="s">
        <v>424</v>
      </c>
      <c r="C1557" t="s">
        <v>575</v>
      </c>
      <c r="D1557" s="1">
        <v>45360</v>
      </c>
      <c r="E1557" s="1">
        <v>45450</v>
      </c>
      <c r="F1557" t="s">
        <v>31</v>
      </c>
      <c r="G1557">
        <v>19571.75</v>
      </c>
      <c r="H1557" s="1">
        <v>45467</v>
      </c>
      <c r="I1557" t="s">
        <v>555</v>
      </c>
      <c r="J1557" t="s">
        <v>556</v>
      </c>
      <c r="L1557">
        <v>19571.75</v>
      </c>
      <c r="M1557">
        <f>IF(F1557="INR",1,INDEX('rates'!$B$2:$C$522,MATCH(D1557,'rates'!$A$2:$A$522,1),MATCH(F1557&amp;"/INR",'rates'!$B$1:$C$1,0)))</f>
        <v>90.514899999999997</v>
      </c>
      <c r="N1557">
        <f t="shared" si="130"/>
        <v>1771534.9940750001</v>
      </c>
      <c r="O1557">
        <f t="shared" si="131"/>
        <v>0</v>
      </c>
      <c r="P1557">
        <f t="shared" si="132"/>
        <v>0</v>
      </c>
      <c r="Q1557">
        <f t="shared" si="129"/>
        <v>17</v>
      </c>
      <c r="R1557" t="str">
        <f t="shared" si="133"/>
        <v>Not open</v>
      </c>
    </row>
    <row r="1558" spans="1:18" x14ac:dyDescent="0.3">
      <c r="A1558" t="s">
        <v>1757</v>
      </c>
      <c r="B1558" t="s">
        <v>458</v>
      </c>
      <c r="C1558" t="s">
        <v>554</v>
      </c>
      <c r="D1558" s="1">
        <v>45360</v>
      </c>
      <c r="E1558" s="1">
        <v>45450</v>
      </c>
      <c r="F1558" t="s">
        <v>13</v>
      </c>
      <c r="G1558">
        <v>3661682</v>
      </c>
      <c r="H1558" s="1">
        <v>45450</v>
      </c>
      <c r="I1558" t="s">
        <v>555</v>
      </c>
      <c r="J1558" t="s">
        <v>556</v>
      </c>
      <c r="L1558">
        <v>3661682</v>
      </c>
      <c r="M1558">
        <f>IF(F1558="INR",1,INDEX('rates'!$B$2:$C$522,MATCH(D1558,'rates'!$A$2:$A$522,1),MATCH(F1558&amp;"/INR",'rates'!$B$1:$C$1,0)))</f>
        <v>1</v>
      </c>
      <c r="N1558">
        <f t="shared" si="130"/>
        <v>3661682</v>
      </c>
      <c r="O1558">
        <f t="shared" si="131"/>
        <v>0</v>
      </c>
      <c r="P1558">
        <f t="shared" si="132"/>
        <v>0</v>
      </c>
      <c r="Q1558">
        <f t="shared" si="129"/>
        <v>0</v>
      </c>
      <c r="R1558" t="str">
        <f t="shared" si="133"/>
        <v>Not open</v>
      </c>
    </row>
    <row r="1559" spans="1:18" x14ac:dyDescent="0.3">
      <c r="A1559" t="s">
        <v>1758</v>
      </c>
      <c r="B1559" t="s">
        <v>466</v>
      </c>
      <c r="C1559" t="s">
        <v>558</v>
      </c>
      <c r="D1559" s="1">
        <v>45360</v>
      </c>
      <c r="E1559" s="1">
        <v>45420</v>
      </c>
      <c r="F1559" t="s">
        <v>31</v>
      </c>
      <c r="G1559">
        <v>152681.10999999999</v>
      </c>
      <c r="H1559" s="1">
        <v>45422</v>
      </c>
      <c r="I1559" t="s">
        <v>555</v>
      </c>
      <c r="J1559" t="s">
        <v>556</v>
      </c>
      <c r="L1559">
        <v>152681.10999999999</v>
      </c>
      <c r="M1559">
        <f>IF(F1559="INR",1,INDEX('rates'!$B$2:$C$522,MATCH(D1559,'rates'!$A$2:$A$522,1),MATCH(F1559&amp;"/INR",'rates'!$B$1:$C$1,0)))</f>
        <v>90.514899999999997</v>
      </c>
      <c r="N1559">
        <f t="shared" si="130"/>
        <v>13819915.403538998</v>
      </c>
      <c r="O1559">
        <f t="shared" si="131"/>
        <v>0</v>
      </c>
      <c r="P1559">
        <f t="shared" si="132"/>
        <v>0</v>
      </c>
      <c r="Q1559">
        <f t="shared" si="129"/>
        <v>2</v>
      </c>
      <c r="R1559" t="str">
        <f t="shared" si="133"/>
        <v>Not open</v>
      </c>
    </row>
    <row r="1560" spans="1:18" x14ac:dyDescent="0.3">
      <c r="A1560" t="s">
        <v>1759</v>
      </c>
      <c r="B1560" t="s">
        <v>492</v>
      </c>
      <c r="C1560" t="s">
        <v>566</v>
      </c>
      <c r="D1560" s="1">
        <v>45360</v>
      </c>
      <c r="E1560" s="1">
        <v>45405</v>
      </c>
      <c r="F1560" t="s">
        <v>13</v>
      </c>
      <c r="G1560">
        <v>8987843</v>
      </c>
      <c r="H1560" s="1">
        <v>45407</v>
      </c>
      <c r="I1560" t="s">
        <v>555</v>
      </c>
      <c r="J1560" t="s">
        <v>556</v>
      </c>
      <c r="L1560">
        <v>8987843</v>
      </c>
      <c r="M1560">
        <f>IF(F1560="INR",1,INDEX('rates'!$B$2:$C$522,MATCH(D1560,'rates'!$A$2:$A$522,1),MATCH(F1560&amp;"/INR",'rates'!$B$1:$C$1,0)))</f>
        <v>1</v>
      </c>
      <c r="N1560">
        <f t="shared" si="130"/>
        <v>8987843</v>
      </c>
      <c r="O1560">
        <f t="shared" si="131"/>
        <v>0</v>
      </c>
      <c r="P1560">
        <f t="shared" si="132"/>
        <v>0</v>
      </c>
      <c r="Q1560">
        <f t="shared" si="129"/>
        <v>2</v>
      </c>
      <c r="R1560" t="str">
        <f t="shared" si="133"/>
        <v>Not open</v>
      </c>
    </row>
    <row r="1561" spans="1:18" x14ac:dyDescent="0.3">
      <c r="A1561" t="s">
        <v>1760</v>
      </c>
      <c r="B1561" t="s">
        <v>19</v>
      </c>
      <c r="C1561" t="s">
        <v>554</v>
      </c>
      <c r="D1561" s="1">
        <v>45362</v>
      </c>
      <c r="E1561" s="1">
        <v>45407</v>
      </c>
      <c r="F1561" t="s">
        <v>13</v>
      </c>
      <c r="G1561">
        <v>7486867</v>
      </c>
      <c r="H1561" s="1">
        <v>45447</v>
      </c>
      <c r="I1561" t="s">
        <v>555</v>
      </c>
      <c r="J1561" t="s">
        <v>556</v>
      </c>
      <c r="L1561">
        <v>7486867</v>
      </c>
      <c r="M1561">
        <f>IF(F1561="INR",1,INDEX('rates'!$B$2:$C$522,MATCH(D1561,'rates'!$A$2:$A$522,1),MATCH(F1561&amp;"/INR",'rates'!$B$1:$C$1,0)))</f>
        <v>1</v>
      </c>
      <c r="N1561">
        <f t="shared" si="130"/>
        <v>7486867</v>
      </c>
      <c r="O1561">
        <f t="shared" si="131"/>
        <v>0</v>
      </c>
      <c r="P1561">
        <f t="shared" si="132"/>
        <v>0</v>
      </c>
      <c r="Q1561">
        <f t="shared" si="129"/>
        <v>40</v>
      </c>
      <c r="R1561" t="str">
        <f t="shared" si="133"/>
        <v>Not open</v>
      </c>
    </row>
    <row r="1562" spans="1:18" x14ac:dyDescent="0.3">
      <c r="A1562" t="s">
        <v>1761</v>
      </c>
      <c r="B1562" t="s">
        <v>22</v>
      </c>
      <c r="C1562" t="s">
        <v>554</v>
      </c>
      <c r="D1562" s="1">
        <v>45362</v>
      </c>
      <c r="E1562" s="1">
        <v>45407</v>
      </c>
      <c r="F1562" t="s">
        <v>13</v>
      </c>
      <c r="G1562">
        <v>10834216</v>
      </c>
      <c r="H1562" s="1">
        <v>45416</v>
      </c>
      <c r="I1562" t="s">
        <v>555</v>
      </c>
      <c r="J1562" t="s">
        <v>556</v>
      </c>
      <c r="L1562">
        <v>10834216</v>
      </c>
      <c r="M1562">
        <f>IF(F1562="INR",1,INDEX('rates'!$B$2:$C$522,MATCH(D1562,'rates'!$A$2:$A$522,1),MATCH(F1562&amp;"/INR",'rates'!$B$1:$C$1,0)))</f>
        <v>1</v>
      </c>
      <c r="N1562">
        <f t="shared" si="130"/>
        <v>10834216</v>
      </c>
      <c r="O1562">
        <f t="shared" si="131"/>
        <v>0</v>
      </c>
      <c r="P1562">
        <f t="shared" si="132"/>
        <v>0</v>
      </c>
      <c r="Q1562">
        <f t="shared" si="129"/>
        <v>9</v>
      </c>
      <c r="R1562" t="str">
        <f t="shared" si="133"/>
        <v>Not open</v>
      </c>
    </row>
    <row r="1563" spans="1:18" x14ac:dyDescent="0.3">
      <c r="A1563" t="s">
        <v>1762</v>
      </c>
      <c r="B1563" t="s">
        <v>154</v>
      </c>
      <c r="C1563" t="s">
        <v>566</v>
      </c>
      <c r="D1563" s="1">
        <v>45362</v>
      </c>
      <c r="E1563" s="1">
        <v>45392</v>
      </c>
      <c r="F1563" t="s">
        <v>13</v>
      </c>
      <c r="G1563">
        <v>24049076</v>
      </c>
      <c r="H1563" s="1">
        <v>45390</v>
      </c>
      <c r="I1563" t="s">
        <v>555</v>
      </c>
      <c r="J1563" t="s">
        <v>556</v>
      </c>
      <c r="L1563">
        <v>24049076</v>
      </c>
      <c r="M1563">
        <f>IF(F1563="INR",1,INDEX('rates'!$B$2:$C$522,MATCH(D1563,'rates'!$A$2:$A$522,1),MATCH(F1563&amp;"/INR",'rates'!$B$1:$C$1,0)))</f>
        <v>1</v>
      </c>
      <c r="N1563">
        <f t="shared" si="130"/>
        <v>24049076</v>
      </c>
      <c r="O1563">
        <f t="shared" si="131"/>
        <v>0</v>
      </c>
      <c r="P1563">
        <f t="shared" si="132"/>
        <v>0</v>
      </c>
      <c r="Q1563">
        <f t="shared" si="129"/>
        <v>-2</v>
      </c>
      <c r="R1563" t="str">
        <f t="shared" si="133"/>
        <v>Not open</v>
      </c>
    </row>
    <row r="1564" spans="1:18" x14ac:dyDescent="0.3">
      <c r="A1564" t="s">
        <v>1763</v>
      </c>
      <c r="B1564" t="s">
        <v>194</v>
      </c>
      <c r="C1564" t="s">
        <v>554</v>
      </c>
      <c r="D1564" s="1">
        <v>45362</v>
      </c>
      <c r="E1564" s="1">
        <v>45422</v>
      </c>
      <c r="F1564" t="s">
        <v>13</v>
      </c>
      <c r="G1564">
        <v>6801089</v>
      </c>
      <c r="H1564" s="1">
        <v>45423</v>
      </c>
      <c r="I1564" t="s">
        <v>555</v>
      </c>
      <c r="J1564" t="s">
        <v>556</v>
      </c>
      <c r="L1564">
        <v>6801089</v>
      </c>
      <c r="M1564">
        <f>IF(F1564="INR",1,INDEX('rates'!$B$2:$C$522,MATCH(D1564,'rates'!$A$2:$A$522,1),MATCH(F1564&amp;"/INR",'rates'!$B$1:$C$1,0)))</f>
        <v>1</v>
      </c>
      <c r="N1564">
        <f t="shared" si="130"/>
        <v>6801089</v>
      </c>
      <c r="O1564">
        <f t="shared" si="131"/>
        <v>0</v>
      </c>
      <c r="P1564">
        <f t="shared" si="132"/>
        <v>0</v>
      </c>
      <c r="Q1564">
        <f t="shared" si="129"/>
        <v>1</v>
      </c>
      <c r="R1564" t="str">
        <f t="shared" si="133"/>
        <v>Not open</v>
      </c>
    </row>
    <row r="1565" spans="1:18" x14ac:dyDescent="0.3">
      <c r="A1565" t="s">
        <v>1764</v>
      </c>
      <c r="B1565" t="s">
        <v>246</v>
      </c>
      <c r="C1565" t="s">
        <v>554</v>
      </c>
      <c r="D1565" s="1">
        <v>45362</v>
      </c>
      <c r="E1565" s="1">
        <v>45422</v>
      </c>
      <c r="F1565" t="s">
        <v>13</v>
      </c>
      <c r="G1565">
        <v>9926435</v>
      </c>
      <c r="H1565" s="1">
        <v>45422</v>
      </c>
      <c r="I1565" t="s">
        <v>555</v>
      </c>
      <c r="J1565" t="s">
        <v>556</v>
      </c>
      <c r="L1565">
        <v>9926435</v>
      </c>
      <c r="M1565">
        <f>IF(F1565="INR",1,INDEX('rates'!$B$2:$C$522,MATCH(D1565,'rates'!$A$2:$A$522,1),MATCH(F1565&amp;"/INR",'rates'!$B$1:$C$1,0)))</f>
        <v>1</v>
      </c>
      <c r="N1565">
        <f t="shared" si="130"/>
        <v>9926435</v>
      </c>
      <c r="O1565">
        <f t="shared" si="131"/>
        <v>0</v>
      </c>
      <c r="P1565">
        <f t="shared" si="132"/>
        <v>0</v>
      </c>
      <c r="Q1565">
        <f t="shared" si="129"/>
        <v>0</v>
      </c>
      <c r="R1565" t="str">
        <f t="shared" si="133"/>
        <v>Not open</v>
      </c>
    </row>
    <row r="1566" spans="1:18" x14ac:dyDescent="0.3">
      <c r="A1566" t="s">
        <v>1765</v>
      </c>
      <c r="B1566" t="s">
        <v>254</v>
      </c>
      <c r="C1566" t="s">
        <v>558</v>
      </c>
      <c r="D1566" s="1">
        <v>45362</v>
      </c>
      <c r="E1566" s="1">
        <v>45392</v>
      </c>
      <c r="F1566" t="s">
        <v>13</v>
      </c>
      <c r="G1566">
        <v>7310536</v>
      </c>
      <c r="H1566" s="1">
        <v>45454</v>
      </c>
      <c r="I1566" t="s">
        <v>555</v>
      </c>
      <c r="J1566" t="s">
        <v>556</v>
      </c>
      <c r="L1566">
        <v>7310536</v>
      </c>
      <c r="M1566">
        <f>IF(F1566="INR",1,INDEX('rates'!$B$2:$C$522,MATCH(D1566,'rates'!$A$2:$A$522,1),MATCH(F1566&amp;"/INR",'rates'!$B$1:$C$1,0)))</f>
        <v>1</v>
      </c>
      <c r="N1566">
        <f t="shared" si="130"/>
        <v>7310536</v>
      </c>
      <c r="O1566">
        <f t="shared" si="131"/>
        <v>0</v>
      </c>
      <c r="P1566">
        <f t="shared" si="132"/>
        <v>0</v>
      </c>
      <c r="Q1566">
        <f t="shared" si="129"/>
        <v>62</v>
      </c>
      <c r="R1566" t="str">
        <f t="shared" si="133"/>
        <v>Not open</v>
      </c>
    </row>
    <row r="1567" spans="1:18" x14ac:dyDescent="0.3">
      <c r="A1567" t="s">
        <v>1766</v>
      </c>
      <c r="B1567" t="s">
        <v>256</v>
      </c>
      <c r="C1567" t="s">
        <v>554</v>
      </c>
      <c r="D1567" s="1">
        <v>45362</v>
      </c>
      <c r="E1567" s="1">
        <v>45407</v>
      </c>
      <c r="F1567" t="s">
        <v>13</v>
      </c>
      <c r="G1567">
        <v>1438671</v>
      </c>
      <c r="H1567" s="1">
        <v>45406</v>
      </c>
      <c r="I1567" t="s">
        <v>555</v>
      </c>
      <c r="J1567" t="s">
        <v>556</v>
      </c>
      <c r="L1567">
        <v>1438671</v>
      </c>
      <c r="M1567">
        <f>IF(F1567="INR",1,INDEX('rates'!$B$2:$C$522,MATCH(D1567,'rates'!$A$2:$A$522,1),MATCH(F1567&amp;"/INR",'rates'!$B$1:$C$1,0)))</f>
        <v>1</v>
      </c>
      <c r="N1567">
        <f t="shared" si="130"/>
        <v>1438671</v>
      </c>
      <c r="O1567">
        <f t="shared" si="131"/>
        <v>0</v>
      </c>
      <c r="P1567">
        <f t="shared" si="132"/>
        <v>0</v>
      </c>
      <c r="Q1567">
        <f t="shared" si="129"/>
        <v>-1</v>
      </c>
      <c r="R1567" t="str">
        <f t="shared" si="133"/>
        <v>Not open</v>
      </c>
    </row>
    <row r="1568" spans="1:18" x14ac:dyDescent="0.3">
      <c r="A1568" t="s">
        <v>1767</v>
      </c>
      <c r="B1568" t="s">
        <v>290</v>
      </c>
      <c r="C1568" t="s">
        <v>566</v>
      </c>
      <c r="D1568" s="1">
        <v>45362</v>
      </c>
      <c r="E1568" s="1">
        <v>45407</v>
      </c>
      <c r="F1568" t="s">
        <v>13</v>
      </c>
      <c r="G1568">
        <v>19828479</v>
      </c>
      <c r="H1568" s="1">
        <v>45416</v>
      </c>
      <c r="I1568" t="s">
        <v>555</v>
      </c>
      <c r="J1568" t="s">
        <v>556</v>
      </c>
      <c r="L1568">
        <v>19828479</v>
      </c>
      <c r="M1568">
        <f>IF(F1568="INR",1,INDEX('rates'!$B$2:$C$522,MATCH(D1568,'rates'!$A$2:$A$522,1),MATCH(F1568&amp;"/INR",'rates'!$B$1:$C$1,0)))</f>
        <v>1</v>
      </c>
      <c r="N1568">
        <f t="shared" si="130"/>
        <v>19828479</v>
      </c>
      <c r="O1568">
        <f t="shared" si="131"/>
        <v>0</v>
      </c>
      <c r="P1568">
        <f t="shared" si="132"/>
        <v>0</v>
      </c>
      <c r="Q1568">
        <f t="shared" si="129"/>
        <v>9</v>
      </c>
      <c r="R1568" t="str">
        <f t="shared" si="133"/>
        <v>Not open</v>
      </c>
    </row>
    <row r="1569" spans="1:18" x14ac:dyDescent="0.3">
      <c r="A1569" t="s">
        <v>1768</v>
      </c>
      <c r="B1569" t="s">
        <v>394</v>
      </c>
      <c r="C1569" t="s">
        <v>566</v>
      </c>
      <c r="D1569" s="1">
        <v>45362</v>
      </c>
      <c r="E1569" s="1">
        <v>45422</v>
      </c>
      <c r="F1569" t="s">
        <v>31</v>
      </c>
      <c r="G1569">
        <v>167240.15</v>
      </c>
      <c r="H1569" s="1">
        <v>45434</v>
      </c>
      <c r="I1569" t="s">
        <v>555</v>
      </c>
      <c r="J1569" t="s">
        <v>573</v>
      </c>
      <c r="K1569">
        <v>90.577200000000005</v>
      </c>
      <c r="L1569">
        <v>167240.15</v>
      </c>
      <c r="M1569">
        <f>IF(F1569="INR",1,INDEX('rates'!$B$2:$C$522,MATCH(D1569,'rates'!$A$2:$A$522,1),MATCH(F1569&amp;"/INR",'rates'!$B$1:$C$1,0)))</f>
        <v>90.3964</v>
      </c>
      <c r="N1569">
        <f t="shared" si="130"/>
        <v>15117907.49546</v>
      </c>
      <c r="O1569">
        <f t="shared" si="131"/>
        <v>0</v>
      </c>
      <c r="P1569">
        <f t="shared" si="132"/>
        <v>0</v>
      </c>
      <c r="Q1569">
        <f t="shared" si="129"/>
        <v>12</v>
      </c>
      <c r="R1569" t="str">
        <f t="shared" si="133"/>
        <v>Not open</v>
      </c>
    </row>
    <row r="1570" spans="1:18" x14ac:dyDescent="0.3">
      <c r="A1570" t="s">
        <v>1769</v>
      </c>
      <c r="B1570" t="s">
        <v>490</v>
      </c>
      <c r="C1570" t="s">
        <v>560</v>
      </c>
      <c r="D1570" s="1">
        <v>45362</v>
      </c>
      <c r="E1570" s="1">
        <v>45407</v>
      </c>
      <c r="F1570" t="s">
        <v>36</v>
      </c>
      <c r="G1570">
        <v>43790.15</v>
      </c>
      <c r="H1570" s="1">
        <v>45416</v>
      </c>
      <c r="I1570" t="s">
        <v>555</v>
      </c>
      <c r="J1570" t="s">
        <v>556</v>
      </c>
      <c r="L1570">
        <v>43790.15</v>
      </c>
      <c r="M1570">
        <f>IF(F1570="INR",1,INDEX('rates'!$B$2:$C$522,MATCH(D1570,'rates'!$A$2:$A$522,1),MATCH(F1570&amp;"/INR",'rates'!$B$1:$C$1,0)))</f>
        <v>82.72</v>
      </c>
      <c r="N1570">
        <f t="shared" si="130"/>
        <v>3622321.2080000001</v>
      </c>
      <c r="O1570">
        <f t="shared" si="131"/>
        <v>0</v>
      </c>
      <c r="P1570">
        <f t="shared" si="132"/>
        <v>0</v>
      </c>
      <c r="Q1570">
        <f t="shared" si="129"/>
        <v>9</v>
      </c>
      <c r="R1570" t="str">
        <f t="shared" si="133"/>
        <v>Not open</v>
      </c>
    </row>
    <row r="1571" spans="1:18" x14ac:dyDescent="0.3">
      <c r="A1571" t="s">
        <v>1770</v>
      </c>
      <c r="B1571" t="s">
        <v>238</v>
      </c>
      <c r="C1571" t="s">
        <v>566</v>
      </c>
      <c r="D1571" s="1">
        <v>45363</v>
      </c>
      <c r="E1571" s="1">
        <v>45423</v>
      </c>
      <c r="F1571" t="s">
        <v>31</v>
      </c>
      <c r="G1571">
        <v>67709.710000000006</v>
      </c>
      <c r="H1571" s="1">
        <v>45440</v>
      </c>
      <c r="I1571" t="s">
        <v>555</v>
      </c>
      <c r="J1571" t="s">
        <v>573</v>
      </c>
      <c r="K1571">
        <v>90.549000000000007</v>
      </c>
      <c r="L1571">
        <v>67709.710000000006</v>
      </c>
      <c r="M1571">
        <f>IF(F1571="INR",1,INDEX('rates'!$B$2:$C$522,MATCH(D1571,'rates'!$A$2:$A$522,1),MATCH(F1571&amp;"/INR",'rates'!$B$1:$C$1,0)))</f>
        <v>90.368300000000005</v>
      </c>
      <c r="N1571">
        <f t="shared" si="130"/>
        <v>6118811.3861930007</v>
      </c>
      <c r="O1571">
        <f t="shared" si="131"/>
        <v>0</v>
      </c>
      <c r="P1571">
        <f t="shared" si="132"/>
        <v>0</v>
      </c>
      <c r="Q1571">
        <f t="shared" si="129"/>
        <v>17</v>
      </c>
      <c r="R1571" t="str">
        <f t="shared" si="133"/>
        <v>Not open</v>
      </c>
    </row>
    <row r="1572" spans="1:18" x14ac:dyDescent="0.3">
      <c r="A1572" t="s">
        <v>1771</v>
      </c>
      <c r="B1572" t="s">
        <v>316</v>
      </c>
      <c r="C1572" t="s">
        <v>575</v>
      </c>
      <c r="D1572" s="1">
        <v>45363</v>
      </c>
      <c r="E1572" s="1">
        <v>45393</v>
      </c>
      <c r="F1572" t="s">
        <v>13</v>
      </c>
      <c r="G1572">
        <v>13700524</v>
      </c>
      <c r="H1572" s="1">
        <v>45395</v>
      </c>
      <c r="I1572" t="s">
        <v>555</v>
      </c>
      <c r="J1572" t="s">
        <v>556</v>
      </c>
      <c r="L1572">
        <v>13700524</v>
      </c>
      <c r="M1572">
        <f>IF(F1572="INR",1,INDEX('rates'!$B$2:$C$522,MATCH(D1572,'rates'!$A$2:$A$522,1),MATCH(F1572&amp;"/INR",'rates'!$B$1:$C$1,0)))</f>
        <v>1</v>
      </c>
      <c r="N1572">
        <f t="shared" si="130"/>
        <v>13700524</v>
      </c>
      <c r="O1572">
        <f t="shared" si="131"/>
        <v>0</v>
      </c>
      <c r="P1572">
        <f t="shared" si="132"/>
        <v>0</v>
      </c>
      <c r="Q1572">
        <f t="shared" si="129"/>
        <v>2</v>
      </c>
      <c r="R1572" t="str">
        <f t="shared" si="133"/>
        <v>Not open</v>
      </c>
    </row>
    <row r="1573" spans="1:18" x14ac:dyDescent="0.3">
      <c r="A1573" t="s">
        <v>1772</v>
      </c>
      <c r="B1573" t="s">
        <v>322</v>
      </c>
      <c r="C1573" t="s">
        <v>558</v>
      </c>
      <c r="D1573" s="1">
        <v>45363</v>
      </c>
      <c r="E1573" s="1">
        <v>45423</v>
      </c>
      <c r="F1573" t="s">
        <v>13</v>
      </c>
      <c r="G1573">
        <v>8106451</v>
      </c>
      <c r="H1573" s="1">
        <v>45431</v>
      </c>
      <c r="I1573" t="s">
        <v>555</v>
      </c>
      <c r="J1573" t="s">
        <v>556</v>
      </c>
      <c r="L1573">
        <v>8106451</v>
      </c>
      <c r="M1573">
        <f>IF(F1573="INR",1,INDEX('rates'!$B$2:$C$522,MATCH(D1573,'rates'!$A$2:$A$522,1),MATCH(F1573&amp;"/INR",'rates'!$B$1:$C$1,0)))</f>
        <v>1</v>
      </c>
      <c r="N1573">
        <f t="shared" si="130"/>
        <v>8106451</v>
      </c>
      <c r="O1573">
        <f t="shared" si="131"/>
        <v>0</v>
      </c>
      <c r="P1573">
        <f t="shared" si="132"/>
        <v>0</v>
      </c>
      <c r="Q1573">
        <f t="shared" si="129"/>
        <v>8</v>
      </c>
      <c r="R1573" t="str">
        <f t="shared" si="133"/>
        <v>Not open</v>
      </c>
    </row>
    <row r="1574" spans="1:18" x14ac:dyDescent="0.3">
      <c r="A1574" t="s">
        <v>1773</v>
      </c>
      <c r="B1574" t="s">
        <v>378</v>
      </c>
      <c r="C1574" t="s">
        <v>566</v>
      </c>
      <c r="D1574" s="1">
        <v>45363</v>
      </c>
      <c r="E1574" s="1">
        <v>45408</v>
      </c>
      <c r="F1574" t="s">
        <v>31</v>
      </c>
      <c r="G1574">
        <v>94638.91</v>
      </c>
      <c r="H1574" s="1">
        <v>45415</v>
      </c>
      <c r="I1574" t="s">
        <v>555</v>
      </c>
      <c r="J1574" t="s">
        <v>573</v>
      </c>
      <c r="K1574">
        <v>90.503900000000002</v>
      </c>
      <c r="L1574">
        <v>94638.91</v>
      </c>
      <c r="M1574">
        <f>IF(F1574="INR",1,INDEX('rates'!$B$2:$C$522,MATCH(D1574,'rates'!$A$2:$A$522,1),MATCH(F1574&amp;"/INR",'rates'!$B$1:$C$1,0)))</f>
        <v>90.368300000000005</v>
      </c>
      <c r="N1574">
        <f t="shared" si="130"/>
        <v>8552357.4105530009</v>
      </c>
      <c r="O1574">
        <f t="shared" si="131"/>
        <v>0</v>
      </c>
      <c r="P1574">
        <f t="shared" si="132"/>
        <v>0</v>
      </c>
      <c r="Q1574">
        <f t="shared" si="129"/>
        <v>7</v>
      </c>
      <c r="R1574" t="str">
        <f t="shared" si="133"/>
        <v>Not open</v>
      </c>
    </row>
    <row r="1575" spans="1:18" x14ac:dyDescent="0.3">
      <c r="A1575" t="s">
        <v>1774</v>
      </c>
      <c r="B1575" t="s">
        <v>508</v>
      </c>
      <c r="C1575" t="s">
        <v>554</v>
      </c>
      <c r="D1575" s="1">
        <v>45363</v>
      </c>
      <c r="E1575" s="1">
        <v>45423</v>
      </c>
      <c r="F1575" t="s">
        <v>13</v>
      </c>
      <c r="G1575">
        <v>3629100</v>
      </c>
      <c r="H1575" s="1">
        <v>45425</v>
      </c>
      <c r="I1575" t="s">
        <v>555</v>
      </c>
      <c r="J1575" t="s">
        <v>556</v>
      </c>
      <c r="L1575">
        <v>3629100</v>
      </c>
      <c r="M1575">
        <f>IF(F1575="INR",1,INDEX('rates'!$B$2:$C$522,MATCH(D1575,'rates'!$A$2:$A$522,1),MATCH(F1575&amp;"/INR",'rates'!$B$1:$C$1,0)))</f>
        <v>1</v>
      </c>
      <c r="N1575">
        <f t="shared" si="130"/>
        <v>3629100</v>
      </c>
      <c r="O1575">
        <f t="shared" si="131"/>
        <v>0</v>
      </c>
      <c r="P1575">
        <f t="shared" si="132"/>
        <v>0</v>
      </c>
      <c r="Q1575">
        <f t="shared" si="129"/>
        <v>2</v>
      </c>
      <c r="R1575" t="str">
        <f t="shared" si="133"/>
        <v>Not open</v>
      </c>
    </row>
    <row r="1576" spans="1:18" x14ac:dyDescent="0.3">
      <c r="A1576" t="s">
        <v>1775</v>
      </c>
      <c r="B1576" t="s">
        <v>512</v>
      </c>
      <c r="C1576" t="s">
        <v>566</v>
      </c>
      <c r="D1576" s="1">
        <v>45363</v>
      </c>
      <c r="E1576" s="1">
        <v>45423</v>
      </c>
      <c r="F1576" t="s">
        <v>31</v>
      </c>
      <c r="G1576">
        <v>356460.41</v>
      </c>
      <c r="H1576" s="1">
        <v>45465</v>
      </c>
      <c r="I1576" t="s">
        <v>555</v>
      </c>
      <c r="J1576" t="s">
        <v>573</v>
      </c>
      <c r="K1576">
        <v>90.549000000000007</v>
      </c>
      <c r="L1576">
        <v>356460.41</v>
      </c>
      <c r="M1576">
        <f>IF(F1576="INR",1,INDEX('rates'!$B$2:$C$522,MATCH(D1576,'rates'!$A$2:$A$522,1),MATCH(F1576&amp;"/INR",'rates'!$B$1:$C$1,0)))</f>
        <v>90.368300000000005</v>
      </c>
      <c r="N1576">
        <f t="shared" si="130"/>
        <v>32212721.269003</v>
      </c>
      <c r="O1576">
        <f t="shared" si="131"/>
        <v>0</v>
      </c>
      <c r="P1576">
        <f t="shared" si="132"/>
        <v>0</v>
      </c>
      <c r="Q1576">
        <f t="shared" si="129"/>
        <v>42</v>
      </c>
      <c r="R1576" t="str">
        <f t="shared" si="133"/>
        <v>Not open</v>
      </c>
    </row>
    <row r="1577" spans="1:18" x14ac:dyDescent="0.3">
      <c r="A1577" t="s">
        <v>1776</v>
      </c>
      <c r="B1577" t="s">
        <v>528</v>
      </c>
      <c r="C1577" t="s">
        <v>566</v>
      </c>
      <c r="D1577" s="1">
        <v>45363</v>
      </c>
      <c r="E1577" s="1">
        <v>45423</v>
      </c>
      <c r="F1577" t="s">
        <v>13</v>
      </c>
      <c r="G1577">
        <v>33698638</v>
      </c>
      <c r="H1577" s="1">
        <v>45458</v>
      </c>
      <c r="I1577" t="s">
        <v>555</v>
      </c>
      <c r="J1577" t="s">
        <v>556</v>
      </c>
      <c r="L1577">
        <v>33698638</v>
      </c>
      <c r="M1577">
        <f>IF(F1577="INR",1,INDEX('rates'!$B$2:$C$522,MATCH(D1577,'rates'!$A$2:$A$522,1),MATCH(F1577&amp;"/INR",'rates'!$B$1:$C$1,0)))</f>
        <v>1</v>
      </c>
      <c r="N1577">
        <f t="shared" si="130"/>
        <v>33698638</v>
      </c>
      <c r="O1577">
        <f t="shared" si="131"/>
        <v>0</v>
      </c>
      <c r="P1577">
        <f t="shared" si="132"/>
        <v>0</v>
      </c>
      <c r="Q1577">
        <f t="shared" si="129"/>
        <v>35</v>
      </c>
      <c r="R1577" t="str">
        <f t="shared" si="133"/>
        <v>Not open</v>
      </c>
    </row>
    <row r="1578" spans="1:18" x14ac:dyDescent="0.3">
      <c r="A1578" t="s">
        <v>1777</v>
      </c>
      <c r="B1578" t="s">
        <v>55</v>
      </c>
      <c r="C1578" t="s">
        <v>575</v>
      </c>
      <c r="D1578" s="1">
        <v>45364</v>
      </c>
      <c r="E1578" s="1">
        <v>45409</v>
      </c>
      <c r="F1578" t="s">
        <v>36</v>
      </c>
      <c r="G1578">
        <v>136166.57999999999</v>
      </c>
      <c r="H1578" s="1">
        <v>45432</v>
      </c>
      <c r="I1578" t="s">
        <v>555</v>
      </c>
      <c r="J1578" t="s">
        <v>556</v>
      </c>
      <c r="L1578">
        <v>136166.57999999999</v>
      </c>
      <c r="M1578">
        <f>IF(F1578="INR",1,INDEX('rates'!$B$2:$C$522,MATCH(D1578,'rates'!$A$2:$A$522,1),MATCH(F1578&amp;"/INR",'rates'!$B$1:$C$1,0)))</f>
        <v>82.81</v>
      </c>
      <c r="N1578">
        <f t="shared" si="130"/>
        <v>11275954.489799999</v>
      </c>
      <c r="O1578">
        <f t="shared" si="131"/>
        <v>0</v>
      </c>
      <c r="P1578">
        <f t="shared" si="132"/>
        <v>0</v>
      </c>
      <c r="Q1578">
        <f t="shared" si="129"/>
        <v>23</v>
      </c>
      <c r="R1578" t="str">
        <f t="shared" si="133"/>
        <v>Not open</v>
      </c>
    </row>
    <row r="1579" spans="1:18" x14ac:dyDescent="0.3">
      <c r="A1579" t="s">
        <v>1778</v>
      </c>
      <c r="B1579" t="s">
        <v>204</v>
      </c>
      <c r="C1579" t="s">
        <v>575</v>
      </c>
      <c r="D1579" s="1">
        <v>45364</v>
      </c>
      <c r="E1579" s="1">
        <v>45424</v>
      </c>
      <c r="F1579" t="s">
        <v>13</v>
      </c>
      <c r="G1579">
        <v>32577149</v>
      </c>
      <c r="H1579" s="1">
        <v>45433</v>
      </c>
      <c r="I1579" t="s">
        <v>555</v>
      </c>
      <c r="J1579" t="s">
        <v>556</v>
      </c>
      <c r="L1579">
        <v>32577149</v>
      </c>
      <c r="M1579">
        <f>IF(F1579="INR",1,INDEX('rates'!$B$2:$C$522,MATCH(D1579,'rates'!$A$2:$A$522,1),MATCH(F1579&amp;"/INR",'rates'!$B$1:$C$1,0)))</f>
        <v>1</v>
      </c>
      <c r="N1579">
        <f t="shared" si="130"/>
        <v>32577149</v>
      </c>
      <c r="O1579">
        <f t="shared" si="131"/>
        <v>0</v>
      </c>
      <c r="P1579">
        <f t="shared" si="132"/>
        <v>0</v>
      </c>
      <c r="Q1579">
        <f t="shared" si="129"/>
        <v>9</v>
      </c>
      <c r="R1579" t="str">
        <f t="shared" si="133"/>
        <v>Not open</v>
      </c>
    </row>
    <row r="1580" spans="1:18" x14ac:dyDescent="0.3">
      <c r="A1580" t="s">
        <v>1779</v>
      </c>
      <c r="B1580" t="s">
        <v>220</v>
      </c>
      <c r="C1580" t="s">
        <v>560</v>
      </c>
      <c r="D1580" s="1">
        <v>45364</v>
      </c>
      <c r="E1580" s="1">
        <v>45454</v>
      </c>
      <c r="F1580" t="s">
        <v>31</v>
      </c>
      <c r="G1580">
        <v>26695.439999999999</v>
      </c>
      <c r="H1580" s="1">
        <v>45474</v>
      </c>
      <c r="I1580" t="s">
        <v>555</v>
      </c>
      <c r="J1580" t="s">
        <v>556</v>
      </c>
      <c r="L1580">
        <v>26695.439999999999</v>
      </c>
      <c r="M1580">
        <f>IF(F1580="INR",1,INDEX('rates'!$B$2:$C$522,MATCH(D1580,'rates'!$A$2:$A$522,1),MATCH(F1580&amp;"/INR",'rates'!$B$1:$C$1,0)))</f>
        <v>90.627300000000005</v>
      </c>
      <c r="N1580">
        <f t="shared" si="130"/>
        <v>2419335.6495119999</v>
      </c>
      <c r="O1580">
        <f t="shared" si="131"/>
        <v>0</v>
      </c>
      <c r="P1580">
        <f t="shared" si="132"/>
        <v>0</v>
      </c>
      <c r="Q1580">
        <f t="shared" si="129"/>
        <v>20</v>
      </c>
      <c r="R1580" t="str">
        <f t="shared" si="133"/>
        <v>Not open</v>
      </c>
    </row>
    <row r="1581" spans="1:18" x14ac:dyDescent="0.3">
      <c r="A1581" t="s">
        <v>1780</v>
      </c>
      <c r="B1581" t="s">
        <v>238</v>
      </c>
      <c r="C1581" t="s">
        <v>566</v>
      </c>
      <c r="D1581" s="1">
        <v>45364</v>
      </c>
      <c r="E1581" s="1">
        <v>45424</v>
      </c>
      <c r="F1581" t="s">
        <v>31</v>
      </c>
      <c r="G1581">
        <v>584828.51</v>
      </c>
      <c r="H1581" s="1">
        <v>45442</v>
      </c>
      <c r="I1581" t="s">
        <v>555</v>
      </c>
      <c r="J1581" t="s">
        <v>556</v>
      </c>
      <c r="L1581">
        <v>584828.51</v>
      </c>
      <c r="M1581">
        <f>IF(F1581="INR",1,INDEX('rates'!$B$2:$C$522,MATCH(D1581,'rates'!$A$2:$A$522,1),MATCH(F1581&amp;"/INR",'rates'!$B$1:$C$1,0)))</f>
        <v>90.627300000000005</v>
      </c>
      <c r="N1581">
        <f t="shared" si="130"/>
        <v>53001428.824323006</v>
      </c>
      <c r="O1581">
        <f t="shared" si="131"/>
        <v>0</v>
      </c>
      <c r="P1581">
        <f t="shared" si="132"/>
        <v>0</v>
      </c>
      <c r="Q1581">
        <f t="shared" si="129"/>
        <v>18</v>
      </c>
      <c r="R1581" t="str">
        <f t="shared" si="133"/>
        <v>Not open</v>
      </c>
    </row>
    <row r="1582" spans="1:18" x14ac:dyDescent="0.3">
      <c r="A1582" t="s">
        <v>1781</v>
      </c>
      <c r="B1582" t="s">
        <v>336</v>
      </c>
      <c r="C1582" t="s">
        <v>554</v>
      </c>
      <c r="D1582" s="1">
        <v>45364</v>
      </c>
      <c r="E1582" s="1">
        <v>45394</v>
      </c>
      <c r="F1582" t="s">
        <v>13</v>
      </c>
      <c r="G1582">
        <v>3909858</v>
      </c>
      <c r="H1582" s="1">
        <v>45403</v>
      </c>
      <c r="I1582" t="s">
        <v>555</v>
      </c>
      <c r="J1582" t="s">
        <v>556</v>
      </c>
      <c r="L1582">
        <v>3909858</v>
      </c>
      <c r="M1582">
        <f>IF(F1582="INR",1,INDEX('rates'!$B$2:$C$522,MATCH(D1582,'rates'!$A$2:$A$522,1),MATCH(F1582&amp;"/INR",'rates'!$B$1:$C$1,0)))</f>
        <v>1</v>
      </c>
      <c r="N1582">
        <f t="shared" si="130"/>
        <v>3909858</v>
      </c>
      <c r="O1582">
        <f t="shared" si="131"/>
        <v>0</v>
      </c>
      <c r="P1582">
        <f t="shared" si="132"/>
        <v>0</v>
      </c>
      <c r="Q1582">
        <f t="shared" si="129"/>
        <v>9</v>
      </c>
      <c r="R1582" t="str">
        <f t="shared" si="133"/>
        <v>Not open</v>
      </c>
    </row>
    <row r="1583" spans="1:18" x14ac:dyDescent="0.3">
      <c r="A1583" t="s">
        <v>1782</v>
      </c>
      <c r="B1583" t="s">
        <v>46</v>
      </c>
      <c r="C1583" t="s">
        <v>558</v>
      </c>
      <c r="D1583" s="1">
        <v>45365</v>
      </c>
      <c r="E1583" s="1">
        <v>45425</v>
      </c>
      <c r="F1583" t="s">
        <v>36</v>
      </c>
      <c r="G1583">
        <v>34933.9</v>
      </c>
      <c r="H1583" s="1">
        <v>45442</v>
      </c>
      <c r="I1583" t="s">
        <v>555</v>
      </c>
      <c r="J1583" t="s">
        <v>556</v>
      </c>
      <c r="L1583">
        <v>34933.9</v>
      </c>
      <c r="M1583">
        <f>IF(F1583="INR",1,INDEX('rates'!$B$2:$C$522,MATCH(D1583,'rates'!$A$2:$A$522,1),MATCH(F1583&amp;"/INR",'rates'!$B$1:$C$1,0)))</f>
        <v>82.82</v>
      </c>
      <c r="N1583">
        <f t="shared" si="130"/>
        <v>2893225.5979999998</v>
      </c>
      <c r="O1583">
        <f t="shared" si="131"/>
        <v>0</v>
      </c>
      <c r="P1583">
        <f t="shared" si="132"/>
        <v>0</v>
      </c>
      <c r="Q1583">
        <f t="shared" si="129"/>
        <v>17</v>
      </c>
      <c r="R1583" t="str">
        <f t="shared" si="133"/>
        <v>Not open</v>
      </c>
    </row>
    <row r="1584" spans="1:18" x14ac:dyDescent="0.3">
      <c r="A1584" t="s">
        <v>1783</v>
      </c>
      <c r="B1584" t="s">
        <v>140</v>
      </c>
      <c r="C1584" t="s">
        <v>554</v>
      </c>
      <c r="D1584" s="1">
        <v>45365</v>
      </c>
      <c r="E1584" s="1">
        <v>45425</v>
      </c>
      <c r="F1584" t="s">
        <v>13</v>
      </c>
      <c r="G1584">
        <v>13224969</v>
      </c>
      <c r="H1584" s="1">
        <v>45425</v>
      </c>
      <c r="I1584" t="s">
        <v>555</v>
      </c>
      <c r="J1584" t="s">
        <v>556</v>
      </c>
      <c r="L1584">
        <v>13224969</v>
      </c>
      <c r="M1584">
        <f>IF(F1584="INR",1,INDEX('rates'!$B$2:$C$522,MATCH(D1584,'rates'!$A$2:$A$522,1),MATCH(F1584&amp;"/INR",'rates'!$B$1:$C$1,0)))</f>
        <v>1</v>
      </c>
      <c r="N1584">
        <f t="shared" si="130"/>
        <v>13224969</v>
      </c>
      <c r="O1584">
        <f t="shared" si="131"/>
        <v>0</v>
      </c>
      <c r="P1584">
        <f t="shared" si="132"/>
        <v>0</v>
      </c>
      <c r="Q1584">
        <f t="shared" si="129"/>
        <v>0</v>
      </c>
      <c r="R1584" t="str">
        <f t="shared" si="133"/>
        <v>Not open</v>
      </c>
    </row>
    <row r="1585" spans="1:18" x14ac:dyDescent="0.3">
      <c r="A1585" t="s">
        <v>1784</v>
      </c>
      <c r="B1585" t="s">
        <v>258</v>
      </c>
      <c r="C1585" t="s">
        <v>558</v>
      </c>
      <c r="D1585" s="1">
        <v>45365</v>
      </c>
      <c r="E1585" s="1">
        <v>45410</v>
      </c>
      <c r="F1585" t="s">
        <v>13</v>
      </c>
      <c r="G1585">
        <v>11803234</v>
      </c>
      <c r="H1585" s="1">
        <v>45413</v>
      </c>
      <c r="I1585" t="s">
        <v>555</v>
      </c>
      <c r="J1585" t="s">
        <v>556</v>
      </c>
      <c r="L1585">
        <v>11803234</v>
      </c>
      <c r="M1585">
        <f>IF(F1585="INR",1,INDEX('rates'!$B$2:$C$522,MATCH(D1585,'rates'!$A$2:$A$522,1),MATCH(F1585&amp;"/INR",'rates'!$B$1:$C$1,0)))</f>
        <v>1</v>
      </c>
      <c r="N1585">
        <f t="shared" si="130"/>
        <v>11803234</v>
      </c>
      <c r="O1585">
        <f t="shared" si="131"/>
        <v>0</v>
      </c>
      <c r="P1585">
        <f t="shared" si="132"/>
        <v>0</v>
      </c>
      <c r="Q1585">
        <f t="shared" si="129"/>
        <v>3</v>
      </c>
      <c r="R1585" t="str">
        <f t="shared" si="133"/>
        <v>Not open</v>
      </c>
    </row>
    <row r="1586" spans="1:18" x14ac:dyDescent="0.3">
      <c r="A1586" t="s">
        <v>1785</v>
      </c>
      <c r="B1586" t="s">
        <v>362</v>
      </c>
      <c r="C1586" t="s">
        <v>575</v>
      </c>
      <c r="D1586" s="1">
        <v>45365</v>
      </c>
      <c r="E1586" s="1">
        <v>45455</v>
      </c>
      <c r="F1586" t="s">
        <v>36</v>
      </c>
      <c r="G1586">
        <v>84252.02</v>
      </c>
      <c r="H1586" s="1">
        <v>45477</v>
      </c>
      <c r="I1586" t="s">
        <v>555</v>
      </c>
      <c r="J1586" t="s">
        <v>556</v>
      </c>
      <c r="L1586">
        <v>84252.02</v>
      </c>
      <c r="M1586">
        <f>IF(F1586="INR",1,INDEX('rates'!$B$2:$C$522,MATCH(D1586,'rates'!$A$2:$A$522,1),MATCH(F1586&amp;"/INR",'rates'!$B$1:$C$1,0)))</f>
        <v>82.82</v>
      </c>
      <c r="N1586">
        <f t="shared" si="130"/>
        <v>6977752.2963999994</v>
      </c>
      <c r="O1586">
        <f t="shared" si="131"/>
        <v>0</v>
      </c>
      <c r="P1586">
        <f t="shared" si="132"/>
        <v>0</v>
      </c>
      <c r="Q1586">
        <f t="shared" si="129"/>
        <v>22</v>
      </c>
      <c r="R1586" t="str">
        <f t="shared" si="133"/>
        <v>Not open</v>
      </c>
    </row>
    <row r="1587" spans="1:18" x14ac:dyDescent="0.3">
      <c r="A1587" t="s">
        <v>1786</v>
      </c>
      <c r="B1587" t="s">
        <v>72</v>
      </c>
      <c r="C1587" t="s">
        <v>560</v>
      </c>
      <c r="D1587" s="1">
        <v>45366</v>
      </c>
      <c r="E1587" s="1">
        <v>45456</v>
      </c>
      <c r="F1587" t="s">
        <v>31</v>
      </c>
      <c r="G1587">
        <v>61508.79</v>
      </c>
      <c r="H1587" s="1">
        <v>45474</v>
      </c>
      <c r="I1587" t="s">
        <v>555</v>
      </c>
      <c r="J1587" t="s">
        <v>573</v>
      </c>
      <c r="K1587">
        <v>90.488699999999994</v>
      </c>
      <c r="L1587">
        <v>61508.79</v>
      </c>
      <c r="M1587">
        <f>IF(F1587="INR",1,INDEX('rates'!$B$2:$C$522,MATCH(D1587,'rates'!$A$2:$A$522,1),MATCH(F1587&amp;"/INR",'rates'!$B$1:$C$1,0)))</f>
        <v>90.218000000000004</v>
      </c>
      <c r="N1587">
        <f t="shared" si="130"/>
        <v>5549200.0162200006</v>
      </c>
      <c r="O1587">
        <f t="shared" si="131"/>
        <v>0</v>
      </c>
      <c r="P1587">
        <f t="shared" si="132"/>
        <v>0</v>
      </c>
      <c r="Q1587">
        <f t="shared" si="129"/>
        <v>18</v>
      </c>
      <c r="R1587" t="str">
        <f t="shared" si="133"/>
        <v>Not open</v>
      </c>
    </row>
    <row r="1588" spans="1:18" x14ac:dyDescent="0.3">
      <c r="A1588" t="s">
        <v>1787</v>
      </c>
      <c r="B1588" t="s">
        <v>262</v>
      </c>
      <c r="C1588" t="s">
        <v>566</v>
      </c>
      <c r="D1588" s="1">
        <v>45366</v>
      </c>
      <c r="E1588" s="1">
        <v>45456</v>
      </c>
      <c r="F1588" t="s">
        <v>31</v>
      </c>
      <c r="G1588">
        <v>94869.97</v>
      </c>
      <c r="H1588" s="1">
        <v>45469</v>
      </c>
      <c r="I1588" t="s">
        <v>555</v>
      </c>
      <c r="J1588" t="s">
        <v>573</v>
      </c>
      <c r="K1588">
        <v>90.488699999999994</v>
      </c>
      <c r="L1588">
        <v>94869.97</v>
      </c>
      <c r="M1588">
        <f>IF(F1588="INR",1,INDEX('rates'!$B$2:$C$522,MATCH(D1588,'rates'!$A$2:$A$522,1),MATCH(F1588&amp;"/INR",'rates'!$B$1:$C$1,0)))</f>
        <v>90.218000000000004</v>
      </c>
      <c r="N1588">
        <f t="shared" si="130"/>
        <v>8558978.9534600005</v>
      </c>
      <c r="O1588">
        <f t="shared" si="131"/>
        <v>0</v>
      </c>
      <c r="P1588">
        <f t="shared" si="132"/>
        <v>0</v>
      </c>
      <c r="Q1588">
        <f t="shared" si="129"/>
        <v>13</v>
      </c>
      <c r="R1588" t="str">
        <f t="shared" si="133"/>
        <v>Not open</v>
      </c>
    </row>
    <row r="1589" spans="1:18" x14ac:dyDescent="0.3">
      <c r="A1589" t="s">
        <v>1788</v>
      </c>
      <c r="B1589" t="s">
        <v>462</v>
      </c>
      <c r="C1589" t="s">
        <v>566</v>
      </c>
      <c r="D1589" s="1">
        <v>45366</v>
      </c>
      <c r="E1589" s="1">
        <v>45411</v>
      </c>
      <c r="F1589" t="s">
        <v>13</v>
      </c>
      <c r="G1589">
        <v>6495228</v>
      </c>
      <c r="H1589" s="1">
        <v>45439</v>
      </c>
      <c r="I1589" t="s">
        <v>555</v>
      </c>
      <c r="J1589" t="s">
        <v>556</v>
      </c>
      <c r="L1589">
        <v>6495228</v>
      </c>
      <c r="M1589">
        <f>IF(F1589="INR",1,INDEX('rates'!$B$2:$C$522,MATCH(D1589,'rates'!$A$2:$A$522,1),MATCH(F1589&amp;"/INR",'rates'!$B$1:$C$1,0)))</f>
        <v>1</v>
      </c>
      <c r="N1589">
        <f t="shared" si="130"/>
        <v>6495228</v>
      </c>
      <c r="O1589">
        <f t="shared" si="131"/>
        <v>0</v>
      </c>
      <c r="P1589">
        <f t="shared" si="132"/>
        <v>0</v>
      </c>
      <c r="Q1589">
        <f t="shared" si="129"/>
        <v>28</v>
      </c>
      <c r="R1589" t="str">
        <f t="shared" si="133"/>
        <v>Not open</v>
      </c>
    </row>
    <row r="1590" spans="1:18" x14ac:dyDescent="0.3">
      <c r="A1590" t="s">
        <v>1789</v>
      </c>
      <c r="B1590" t="s">
        <v>482</v>
      </c>
      <c r="C1590" t="s">
        <v>558</v>
      </c>
      <c r="D1590" s="1">
        <v>45366</v>
      </c>
      <c r="E1590" s="1">
        <v>45426</v>
      </c>
      <c r="F1590" t="s">
        <v>13</v>
      </c>
      <c r="G1590">
        <v>8950138</v>
      </c>
      <c r="H1590" s="1">
        <v>45441</v>
      </c>
      <c r="I1590" t="s">
        <v>555</v>
      </c>
      <c r="J1590" t="s">
        <v>556</v>
      </c>
      <c r="L1590">
        <v>8950138</v>
      </c>
      <c r="M1590">
        <f>IF(F1590="INR",1,INDEX('rates'!$B$2:$C$522,MATCH(D1590,'rates'!$A$2:$A$522,1),MATCH(F1590&amp;"/INR",'rates'!$B$1:$C$1,0)))</f>
        <v>1</v>
      </c>
      <c r="N1590">
        <f t="shared" si="130"/>
        <v>8950138</v>
      </c>
      <c r="O1590">
        <f t="shared" si="131"/>
        <v>0</v>
      </c>
      <c r="P1590">
        <f t="shared" si="132"/>
        <v>0</v>
      </c>
      <c r="Q1590">
        <f t="shared" si="129"/>
        <v>15</v>
      </c>
      <c r="R1590" t="str">
        <f t="shared" si="133"/>
        <v>Not open</v>
      </c>
    </row>
    <row r="1591" spans="1:18" x14ac:dyDescent="0.3">
      <c r="A1591" t="s">
        <v>1790</v>
      </c>
      <c r="B1591" t="s">
        <v>532</v>
      </c>
      <c r="C1591" t="s">
        <v>575</v>
      </c>
      <c r="D1591" s="1">
        <v>45366</v>
      </c>
      <c r="E1591" s="1">
        <v>45426</v>
      </c>
      <c r="F1591" t="s">
        <v>36</v>
      </c>
      <c r="G1591">
        <v>64226.41</v>
      </c>
      <c r="H1591" s="1">
        <v>45437</v>
      </c>
      <c r="I1591" t="s">
        <v>555</v>
      </c>
      <c r="J1591" t="s">
        <v>556</v>
      </c>
      <c r="L1591">
        <v>64226.41</v>
      </c>
      <c r="M1591">
        <f>IF(F1591="INR",1,INDEX('rates'!$B$2:$C$522,MATCH(D1591,'rates'!$A$2:$A$522,1),MATCH(F1591&amp;"/INR",'rates'!$B$1:$C$1,0)))</f>
        <v>82.86</v>
      </c>
      <c r="N1591">
        <f t="shared" si="130"/>
        <v>5321800.3326000003</v>
      </c>
      <c r="O1591">
        <f t="shared" si="131"/>
        <v>0</v>
      </c>
      <c r="P1591">
        <f t="shared" si="132"/>
        <v>0</v>
      </c>
      <c r="Q1591">
        <f t="shared" si="129"/>
        <v>11</v>
      </c>
      <c r="R1591" t="str">
        <f t="shared" si="133"/>
        <v>Not open</v>
      </c>
    </row>
    <row r="1592" spans="1:18" x14ac:dyDescent="0.3">
      <c r="A1592" t="s">
        <v>1791</v>
      </c>
      <c r="B1592" t="s">
        <v>75</v>
      </c>
      <c r="C1592" t="s">
        <v>560</v>
      </c>
      <c r="D1592" s="1">
        <v>45367</v>
      </c>
      <c r="E1592" s="1">
        <v>45457</v>
      </c>
      <c r="F1592" t="s">
        <v>36</v>
      </c>
      <c r="G1592">
        <v>76551.399999999994</v>
      </c>
      <c r="H1592" s="1"/>
      <c r="I1592" t="s">
        <v>717</v>
      </c>
      <c r="J1592" t="s">
        <v>556</v>
      </c>
      <c r="L1592">
        <v>0</v>
      </c>
      <c r="M1592">
        <f>IF(F1592="INR",1,INDEX('rates'!$B$2:$C$522,MATCH(D1592,'rates'!$A$2:$A$522,1),MATCH(F1592&amp;"/INR",'rates'!$B$1:$C$1,0)))</f>
        <v>82.86</v>
      </c>
      <c r="N1592">
        <f t="shared" si="130"/>
        <v>6343049.0039999997</v>
      </c>
      <c r="O1592">
        <f t="shared" si="131"/>
        <v>0</v>
      </c>
      <c r="P1592">
        <f t="shared" si="132"/>
        <v>0</v>
      </c>
      <c r="Q1592" t="str">
        <f t="shared" si="129"/>
        <v/>
      </c>
      <c r="R1592" t="str">
        <f t="shared" si="133"/>
        <v>Not open</v>
      </c>
    </row>
    <row r="1593" spans="1:18" x14ac:dyDescent="0.3">
      <c r="A1593" t="s">
        <v>1792</v>
      </c>
      <c r="B1593" t="s">
        <v>386</v>
      </c>
      <c r="C1593" t="s">
        <v>575</v>
      </c>
      <c r="D1593" s="1">
        <v>45367</v>
      </c>
      <c r="E1593" s="1">
        <v>45427</v>
      </c>
      <c r="F1593" t="s">
        <v>31</v>
      </c>
      <c r="G1593">
        <v>310497.14</v>
      </c>
      <c r="H1593" s="1">
        <v>45438</v>
      </c>
      <c r="I1593" t="s">
        <v>555</v>
      </c>
      <c r="J1593" t="s">
        <v>573</v>
      </c>
      <c r="K1593">
        <v>90.398399999999995</v>
      </c>
      <c r="L1593">
        <v>310497.14</v>
      </c>
      <c r="M1593">
        <f>IF(F1593="INR",1,INDEX('rates'!$B$2:$C$522,MATCH(D1593,'rates'!$A$2:$A$522,1),MATCH(F1593&amp;"/INR",'rates'!$B$1:$C$1,0)))</f>
        <v>90.218000000000004</v>
      </c>
      <c r="N1593">
        <f t="shared" si="130"/>
        <v>28012430.976520002</v>
      </c>
      <c r="O1593">
        <f t="shared" si="131"/>
        <v>0</v>
      </c>
      <c r="P1593">
        <f t="shared" si="132"/>
        <v>0</v>
      </c>
      <c r="Q1593">
        <f t="shared" si="129"/>
        <v>11</v>
      </c>
      <c r="R1593" t="str">
        <f t="shared" si="133"/>
        <v>Not open</v>
      </c>
    </row>
    <row r="1594" spans="1:18" x14ac:dyDescent="0.3">
      <c r="A1594" t="s">
        <v>1793</v>
      </c>
      <c r="B1594" t="s">
        <v>444</v>
      </c>
      <c r="C1594" t="s">
        <v>566</v>
      </c>
      <c r="D1594" s="1">
        <v>45367</v>
      </c>
      <c r="E1594" s="1">
        <v>45412</v>
      </c>
      <c r="F1594" t="s">
        <v>36</v>
      </c>
      <c r="G1594">
        <v>46684.6</v>
      </c>
      <c r="H1594" s="1">
        <v>45413</v>
      </c>
      <c r="I1594" t="s">
        <v>555</v>
      </c>
      <c r="J1594" t="s">
        <v>573</v>
      </c>
      <c r="K1594">
        <v>83.067099999999996</v>
      </c>
      <c r="L1594">
        <v>46684.6</v>
      </c>
      <c r="M1594">
        <f>IF(F1594="INR",1,INDEX('rates'!$B$2:$C$522,MATCH(D1594,'rates'!$A$2:$A$522,1),MATCH(F1594&amp;"/INR",'rates'!$B$1:$C$1,0)))</f>
        <v>82.86</v>
      </c>
      <c r="N1594">
        <f t="shared" si="130"/>
        <v>3868285.9559999998</v>
      </c>
      <c r="O1594">
        <f t="shared" si="131"/>
        <v>0</v>
      </c>
      <c r="P1594">
        <f t="shared" si="132"/>
        <v>0</v>
      </c>
      <c r="Q1594">
        <f t="shared" si="129"/>
        <v>1</v>
      </c>
      <c r="R1594" t="str">
        <f t="shared" si="133"/>
        <v>Not open</v>
      </c>
    </row>
    <row r="1595" spans="1:18" x14ac:dyDescent="0.3">
      <c r="A1595" t="s">
        <v>1795</v>
      </c>
      <c r="B1595" t="s">
        <v>468</v>
      </c>
      <c r="C1595" t="s">
        <v>558</v>
      </c>
      <c r="D1595" s="1">
        <v>45369</v>
      </c>
      <c r="E1595" s="1">
        <v>45399</v>
      </c>
      <c r="F1595" t="s">
        <v>13</v>
      </c>
      <c r="G1595">
        <v>6512508</v>
      </c>
      <c r="H1595" s="1">
        <v>45403</v>
      </c>
      <c r="I1595" t="s">
        <v>555</v>
      </c>
      <c r="J1595" t="s">
        <v>556</v>
      </c>
      <c r="L1595">
        <v>6512508</v>
      </c>
      <c r="M1595">
        <f>IF(F1595="INR",1,INDEX('rates'!$B$2:$C$522,MATCH(D1595,'rates'!$A$2:$A$522,1),MATCH(F1595&amp;"/INR",'rates'!$B$1:$C$1,0)))</f>
        <v>1</v>
      </c>
      <c r="N1595">
        <f t="shared" si="130"/>
        <v>6512508</v>
      </c>
      <c r="O1595">
        <f t="shared" si="131"/>
        <v>0</v>
      </c>
      <c r="P1595">
        <f t="shared" si="132"/>
        <v>0</v>
      </c>
      <c r="Q1595">
        <f t="shared" si="129"/>
        <v>4</v>
      </c>
      <c r="R1595" t="str">
        <f t="shared" si="133"/>
        <v>Not open</v>
      </c>
    </row>
    <row r="1596" spans="1:18" x14ac:dyDescent="0.3">
      <c r="A1596" t="s">
        <v>1796</v>
      </c>
      <c r="B1596" t="s">
        <v>256</v>
      </c>
      <c r="C1596" t="s">
        <v>554</v>
      </c>
      <c r="D1596" s="1">
        <v>45370</v>
      </c>
      <c r="E1596" s="1">
        <v>45415</v>
      </c>
      <c r="F1596" t="s">
        <v>13</v>
      </c>
      <c r="G1596">
        <v>3112944</v>
      </c>
      <c r="H1596" s="1">
        <v>45411</v>
      </c>
      <c r="I1596" t="s">
        <v>555</v>
      </c>
      <c r="J1596" t="s">
        <v>556</v>
      </c>
      <c r="L1596">
        <v>3112944</v>
      </c>
      <c r="M1596">
        <f>IF(F1596="INR",1,INDEX('rates'!$B$2:$C$522,MATCH(D1596,'rates'!$A$2:$A$522,1),MATCH(F1596&amp;"/INR",'rates'!$B$1:$C$1,0)))</f>
        <v>1</v>
      </c>
      <c r="N1596">
        <f t="shared" si="130"/>
        <v>3112944</v>
      </c>
      <c r="O1596">
        <f t="shared" si="131"/>
        <v>0</v>
      </c>
      <c r="P1596">
        <f t="shared" si="132"/>
        <v>0</v>
      </c>
      <c r="Q1596">
        <f t="shared" si="129"/>
        <v>-4</v>
      </c>
      <c r="R1596" t="str">
        <f t="shared" si="133"/>
        <v>Not open</v>
      </c>
    </row>
    <row r="1597" spans="1:18" x14ac:dyDescent="0.3">
      <c r="A1597" t="s">
        <v>1797</v>
      </c>
      <c r="B1597" t="s">
        <v>508</v>
      </c>
      <c r="C1597" t="s">
        <v>554</v>
      </c>
      <c r="D1597" s="1">
        <v>45370</v>
      </c>
      <c r="E1597" s="1">
        <v>45430</v>
      </c>
      <c r="F1597" t="s">
        <v>13</v>
      </c>
      <c r="G1597">
        <v>2901520</v>
      </c>
      <c r="H1597" s="1">
        <v>45435</v>
      </c>
      <c r="I1597" t="s">
        <v>555</v>
      </c>
      <c r="J1597" t="s">
        <v>556</v>
      </c>
      <c r="L1597">
        <v>2901520</v>
      </c>
      <c r="M1597">
        <f>IF(F1597="INR",1,INDEX('rates'!$B$2:$C$522,MATCH(D1597,'rates'!$A$2:$A$522,1),MATCH(F1597&amp;"/INR",'rates'!$B$1:$C$1,0)))</f>
        <v>1</v>
      </c>
      <c r="N1597">
        <f t="shared" si="130"/>
        <v>2901520</v>
      </c>
      <c r="O1597">
        <f t="shared" si="131"/>
        <v>0</v>
      </c>
      <c r="P1597">
        <f t="shared" si="132"/>
        <v>0</v>
      </c>
      <c r="Q1597">
        <f t="shared" si="129"/>
        <v>5</v>
      </c>
      <c r="R1597" t="str">
        <f t="shared" si="133"/>
        <v>Not open</v>
      </c>
    </row>
    <row r="1598" spans="1:18" x14ac:dyDescent="0.3">
      <c r="A1598" t="s">
        <v>1798</v>
      </c>
      <c r="B1598" t="s">
        <v>72</v>
      </c>
      <c r="C1598" t="s">
        <v>560</v>
      </c>
      <c r="D1598" s="1">
        <v>45371</v>
      </c>
      <c r="E1598" s="1">
        <v>45461</v>
      </c>
      <c r="F1598" t="s">
        <v>31</v>
      </c>
      <c r="G1598">
        <v>153836.60999999999</v>
      </c>
      <c r="H1598" s="1">
        <v>45501</v>
      </c>
      <c r="I1598" t="s">
        <v>555</v>
      </c>
      <c r="J1598" t="s">
        <v>556</v>
      </c>
      <c r="L1598">
        <v>153836.60999999999</v>
      </c>
      <c r="M1598">
        <f>IF(F1598="INR",1,INDEX('rates'!$B$2:$C$522,MATCH(D1598,'rates'!$A$2:$A$522,1),MATCH(F1598&amp;"/INR",'rates'!$B$1:$C$1,0)))</f>
        <v>90.300200000000004</v>
      </c>
      <c r="N1598">
        <f t="shared" si="130"/>
        <v>13891476.650322</v>
      </c>
      <c r="O1598">
        <f t="shared" si="131"/>
        <v>0</v>
      </c>
      <c r="P1598">
        <f t="shared" si="132"/>
        <v>0</v>
      </c>
      <c r="Q1598">
        <f t="shared" si="129"/>
        <v>40</v>
      </c>
      <c r="R1598" t="str">
        <f t="shared" si="133"/>
        <v>Not open</v>
      </c>
    </row>
    <row r="1599" spans="1:18" x14ac:dyDescent="0.3">
      <c r="A1599" t="s">
        <v>1799</v>
      </c>
      <c r="B1599" t="s">
        <v>94</v>
      </c>
      <c r="C1599" t="s">
        <v>554</v>
      </c>
      <c r="D1599" s="1">
        <v>45371</v>
      </c>
      <c r="E1599" s="1">
        <v>45401</v>
      </c>
      <c r="F1599" t="s">
        <v>13</v>
      </c>
      <c r="G1599">
        <v>3173211</v>
      </c>
      <c r="H1599" s="1">
        <v>45401</v>
      </c>
      <c r="I1599" t="s">
        <v>555</v>
      </c>
      <c r="J1599" t="s">
        <v>556</v>
      </c>
      <c r="L1599">
        <v>3173211</v>
      </c>
      <c r="M1599">
        <f>IF(F1599="INR",1,INDEX('rates'!$B$2:$C$522,MATCH(D1599,'rates'!$A$2:$A$522,1),MATCH(F1599&amp;"/INR",'rates'!$B$1:$C$1,0)))</f>
        <v>1</v>
      </c>
      <c r="N1599">
        <f t="shared" si="130"/>
        <v>3173211</v>
      </c>
      <c r="O1599">
        <f t="shared" si="131"/>
        <v>0</v>
      </c>
      <c r="P1599">
        <f t="shared" si="132"/>
        <v>0</v>
      </c>
      <c r="Q1599">
        <f t="shared" si="129"/>
        <v>0</v>
      </c>
      <c r="R1599" t="str">
        <f t="shared" si="133"/>
        <v>Not open</v>
      </c>
    </row>
    <row r="1600" spans="1:18" x14ac:dyDescent="0.3">
      <c r="A1600" t="s">
        <v>1800</v>
      </c>
      <c r="B1600" t="s">
        <v>208</v>
      </c>
      <c r="C1600" t="s">
        <v>554</v>
      </c>
      <c r="D1600" s="1">
        <v>45371</v>
      </c>
      <c r="E1600" s="1">
        <v>45416</v>
      </c>
      <c r="F1600" t="s">
        <v>13</v>
      </c>
      <c r="G1600">
        <v>4194351</v>
      </c>
      <c r="H1600" s="1">
        <v>45415</v>
      </c>
      <c r="I1600" t="s">
        <v>555</v>
      </c>
      <c r="J1600" t="s">
        <v>556</v>
      </c>
      <c r="L1600">
        <v>4194351</v>
      </c>
      <c r="M1600">
        <f>IF(F1600="INR",1,INDEX('rates'!$B$2:$C$522,MATCH(D1600,'rates'!$A$2:$A$522,1),MATCH(F1600&amp;"/INR",'rates'!$B$1:$C$1,0)))</f>
        <v>1</v>
      </c>
      <c r="N1600">
        <f t="shared" si="130"/>
        <v>4194351</v>
      </c>
      <c r="O1600">
        <f t="shared" si="131"/>
        <v>0</v>
      </c>
      <c r="P1600">
        <f t="shared" si="132"/>
        <v>0</v>
      </c>
      <c r="Q1600">
        <f t="shared" ref="Q1600:Q1663" si="134">IF(H1600="","",H1600-E1600)</f>
        <v>-1</v>
      </c>
      <c r="R1600" t="str">
        <f t="shared" si="133"/>
        <v>Not open</v>
      </c>
    </row>
    <row r="1601" spans="1:18" x14ac:dyDescent="0.3">
      <c r="A1601" t="s">
        <v>1801</v>
      </c>
      <c r="B1601" t="s">
        <v>236</v>
      </c>
      <c r="C1601" t="s">
        <v>558</v>
      </c>
      <c r="D1601" s="1">
        <v>45371</v>
      </c>
      <c r="E1601" s="1">
        <v>45461</v>
      </c>
      <c r="F1601" t="s">
        <v>13</v>
      </c>
      <c r="G1601">
        <v>6404708</v>
      </c>
      <c r="H1601" s="1">
        <v>45469</v>
      </c>
      <c r="I1601" t="s">
        <v>555</v>
      </c>
      <c r="J1601" t="s">
        <v>556</v>
      </c>
      <c r="L1601">
        <v>6404708</v>
      </c>
      <c r="M1601">
        <f>IF(F1601="INR",1,INDEX('rates'!$B$2:$C$522,MATCH(D1601,'rates'!$A$2:$A$522,1),MATCH(F1601&amp;"/INR",'rates'!$B$1:$C$1,0)))</f>
        <v>1</v>
      </c>
      <c r="N1601">
        <f t="shared" si="130"/>
        <v>6404708</v>
      </c>
      <c r="O1601">
        <f t="shared" si="131"/>
        <v>0</v>
      </c>
      <c r="P1601">
        <f t="shared" si="132"/>
        <v>0</v>
      </c>
      <c r="Q1601">
        <f t="shared" si="134"/>
        <v>8</v>
      </c>
      <c r="R1601" t="str">
        <f t="shared" si="133"/>
        <v>Not open</v>
      </c>
    </row>
    <row r="1602" spans="1:18" x14ac:dyDescent="0.3">
      <c r="A1602" t="s">
        <v>1802</v>
      </c>
      <c r="B1602" t="s">
        <v>450</v>
      </c>
      <c r="C1602" t="s">
        <v>560</v>
      </c>
      <c r="D1602" s="1">
        <v>45371</v>
      </c>
      <c r="E1602" s="1">
        <v>45401</v>
      </c>
      <c r="F1602" t="s">
        <v>13</v>
      </c>
      <c r="G1602">
        <v>8046517</v>
      </c>
      <c r="H1602" s="1">
        <v>45401</v>
      </c>
      <c r="I1602" t="s">
        <v>555</v>
      </c>
      <c r="J1602" t="s">
        <v>556</v>
      </c>
      <c r="L1602">
        <v>8046517</v>
      </c>
      <c r="M1602">
        <f>IF(F1602="INR",1,INDEX('rates'!$B$2:$C$522,MATCH(D1602,'rates'!$A$2:$A$522,1),MATCH(F1602&amp;"/INR",'rates'!$B$1:$C$1,0)))</f>
        <v>1</v>
      </c>
      <c r="N1602">
        <f t="shared" ref="N1602:N1665" si="135">G1602*M1602</f>
        <v>8046517</v>
      </c>
      <c r="O1602">
        <f t="shared" ref="O1602:O1665" si="136">IF(OR(I1602="OPEN",I1602="PARTIALLY PAID"),(G1602-L1602)*M1602,0)</f>
        <v>0</v>
      </c>
      <c r="P1602">
        <f t="shared" ref="P1602:P1665" si="137">IF(O1602&gt;0,MAX(0,DATE(2025,3,31)-E1602),0)</f>
        <v>0</v>
      </c>
      <c r="Q1602">
        <f t="shared" si="134"/>
        <v>0</v>
      </c>
      <c r="R1602" t="str">
        <f t="shared" ref="R1602:R1665" si="138">IF(O1602=0,"Not open",IF(P1602=0,"Not yet due",IF(P1602&lt;=30,"1-30",IF(P1602&lt;=60,"31-60",IF(P1602&lt;=90,"61-90","90+")))))</f>
        <v>Not open</v>
      </c>
    </row>
    <row r="1603" spans="1:18" x14ac:dyDescent="0.3">
      <c r="A1603" t="s">
        <v>1803</v>
      </c>
      <c r="B1603" t="s">
        <v>186</v>
      </c>
      <c r="C1603" t="s">
        <v>558</v>
      </c>
      <c r="D1603" s="1">
        <v>45372</v>
      </c>
      <c r="E1603" s="1">
        <v>45402</v>
      </c>
      <c r="F1603" t="s">
        <v>36</v>
      </c>
      <c r="G1603">
        <v>84677.4</v>
      </c>
      <c r="H1603" s="1">
        <v>45430</v>
      </c>
      <c r="I1603" t="s">
        <v>555</v>
      </c>
      <c r="J1603" t="s">
        <v>556</v>
      </c>
      <c r="L1603">
        <v>84677.4</v>
      </c>
      <c r="M1603">
        <f>IF(F1603="INR",1,INDEX('rates'!$B$2:$C$522,MATCH(D1603,'rates'!$A$2:$A$522,1),MATCH(F1603&amp;"/INR",'rates'!$B$1:$C$1,0)))</f>
        <v>83.15</v>
      </c>
      <c r="N1603">
        <f t="shared" si="135"/>
        <v>7040925.8099999996</v>
      </c>
      <c r="O1603">
        <f t="shared" si="136"/>
        <v>0</v>
      </c>
      <c r="P1603">
        <f t="shared" si="137"/>
        <v>0</v>
      </c>
      <c r="Q1603">
        <f t="shared" si="134"/>
        <v>28</v>
      </c>
      <c r="R1603" t="str">
        <f t="shared" si="138"/>
        <v>Not open</v>
      </c>
    </row>
    <row r="1604" spans="1:18" x14ac:dyDescent="0.3">
      <c r="A1604" t="s">
        <v>1804</v>
      </c>
      <c r="B1604" t="s">
        <v>490</v>
      </c>
      <c r="C1604" t="s">
        <v>560</v>
      </c>
      <c r="D1604" s="1">
        <v>45372</v>
      </c>
      <c r="E1604" s="1">
        <v>45417</v>
      </c>
      <c r="F1604" t="s">
        <v>36</v>
      </c>
      <c r="G1604">
        <v>43074.02</v>
      </c>
      <c r="H1604" s="1">
        <v>45424</v>
      </c>
      <c r="I1604" t="s">
        <v>555</v>
      </c>
      <c r="J1604" t="s">
        <v>556</v>
      </c>
      <c r="L1604">
        <v>43074.02</v>
      </c>
      <c r="M1604">
        <f>IF(F1604="INR",1,INDEX('rates'!$B$2:$C$522,MATCH(D1604,'rates'!$A$2:$A$522,1),MATCH(F1604&amp;"/INR",'rates'!$B$1:$C$1,0)))</f>
        <v>83.15</v>
      </c>
      <c r="N1604">
        <f t="shared" si="135"/>
        <v>3581604.7629999998</v>
      </c>
      <c r="O1604">
        <f t="shared" si="136"/>
        <v>0</v>
      </c>
      <c r="P1604">
        <f t="shared" si="137"/>
        <v>0</v>
      </c>
      <c r="Q1604">
        <f t="shared" si="134"/>
        <v>7</v>
      </c>
      <c r="R1604" t="str">
        <f t="shared" si="138"/>
        <v>Not open</v>
      </c>
    </row>
    <row r="1605" spans="1:18" x14ac:dyDescent="0.3">
      <c r="A1605" t="s">
        <v>1805</v>
      </c>
      <c r="B1605" t="s">
        <v>496</v>
      </c>
      <c r="C1605" t="s">
        <v>554</v>
      </c>
      <c r="D1605" s="1">
        <v>45372</v>
      </c>
      <c r="E1605" s="1">
        <v>45417</v>
      </c>
      <c r="F1605" t="s">
        <v>13</v>
      </c>
      <c r="G1605">
        <v>18001133</v>
      </c>
      <c r="H1605" s="1">
        <v>45454</v>
      </c>
      <c r="I1605" t="s">
        <v>555</v>
      </c>
      <c r="J1605" t="s">
        <v>556</v>
      </c>
      <c r="L1605">
        <v>18001133</v>
      </c>
      <c r="M1605">
        <f>IF(F1605="INR",1,INDEX('rates'!$B$2:$C$522,MATCH(D1605,'rates'!$A$2:$A$522,1),MATCH(F1605&amp;"/INR",'rates'!$B$1:$C$1,0)))</f>
        <v>1</v>
      </c>
      <c r="N1605">
        <f t="shared" si="135"/>
        <v>18001133</v>
      </c>
      <c r="O1605">
        <f t="shared" si="136"/>
        <v>0</v>
      </c>
      <c r="P1605">
        <f t="shared" si="137"/>
        <v>0</v>
      </c>
      <c r="Q1605">
        <f t="shared" si="134"/>
        <v>37</v>
      </c>
      <c r="R1605" t="str">
        <f t="shared" si="138"/>
        <v>Not open</v>
      </c>
    </row>
    <row r="1606" spans="1:18" x14ac:dyDescent="0.3">
      <c r="A1606" t="s">
        <v>1806</v>
      </c>
      <c r="B1606" t="s">
        <v>160</v>
      </c>
      <c r="C1606" t="s">
        <v>554</v>
      </c>
      <c r="D1606" s="1">
        <v>45373</v>
      </c>
      <c r="E1606" s="1">
        <v>45418</v>
      </c>
      <c r="F1606" t="s">
        <v>13</v>
      </c>
      <c r="G1606">
        <v>9328185</v>
      </c>
      <c r="H1606" s="1">
        <v>45425</v>
      </c>
      <c r="I1606" t="s">
        <v>555</v>
      </c>
      <c r="J1606" t="s">
        <v>556</v>
      </c>
      <c r="L1606">
        <v>9328185</v>
      </c>
      <c r="M1606">
        <f>IF(F1606="INR",1,INDEX('rates'!$B$2:$C$522,MATCH(D1606,'rates'!$A$2:$A$522,1),MATCH(F1606&amp;"/INR",'rates'!$B$1:$C$1,0)))</f>
        <v>1</v>
      </c>
      <c r="N1606">
        <f t="shared" si="135"/>
        <v>9328185</v>
      </c>
      <c r="O1606">
        <f t="shared" si="136"/>
        <v>0</v>
      </c>
      <c r="P1606">
        <f t="shared" si="137"/>
        <v>0</v>
      </c>
      <c r="Q1606">
        <f t="shared" si="134"/>
        <v>7</v>
      </c>
      <c r="R1606" t="str">
        <f t="shared" si="138"/>
        <v>Not open</v>
      </c>
    </row>
    <row r="1607" spans="1:18" x14ac:dyDescent="0.3">
      <c r="A1607" t="s">
        <v>1807</v>
      </c>
      <c r="B1607" t="s">
        <v>178</v>
      </c>
      <c r="C1607" t="s">
        <v>560</v>
      </c>
      <c r="D1607" s="1">
        <v>45373</v>
      </c>
      <c r="E1607" s="1">
        <v>45403</v>
      </c>
      <c r="F1607" t="s">
        <v>13</v>
      </c>
      <c r="G1607">
        <v>1204172</v>
      </c>
      <c r="H1607" s="1">
        <v>45409</v>
      </c>
      <c r="I1607" t="s">
        <v>555</v>
      </c>
      <c r="J1607" t="s">
        <v>556</v>
      </c>
      <c r="L1607">
        <v>1204172</v>
      </c>
      <c r="M1607">
        <f>IF(F1607="INR",1,INDEX('rates'!$B$2:$C$522,MATCH(D1607,'rates'!$A$2:$A$522,1),MATCH(F1607&amp;"/INR",'rates'!$B$1:$C$1,0)))</f>
        <v>1</v>
      </c>
      <c r="N1607">
        <f t="shared" si="135"/>
        <v>1204172</v>
      </c>
      <c r="O1607">
        <f t="shared" si="136"/>
        <v>0</v>
      </c>
      <c r="P1607">
        <f t="shared" si="137"/>
        <v>0</v>
      </c>
      <c r="Q1607">
        <f t="shared" si="134"/>
        <v>6</v>
      </c>
      <c r="R1607" t="str">
        <f t="shared" si="138"/>
        <v>Not open</v>
      </c>
    </row>
    <row r="1608" spans="1:18" x14ac:dyDescent="0.3">
      <c r="A1608" t="s">
        <v>1808</v>
      </c>
      <c r="B1608" t="s">
        <v>200</v>
      </c>
      <c r="C1608" t="s">
        <v>554</v>
      </c>
      <c r="D1608" s="1">
        <v>45373</v>
      </c>
      <c r="E1608" s="1">
        <v>45433</v>
      </c>
      <c r="F1608" t="s">
        <v>13</v>
      </c>
      <c r="G1608">
        <v>4742469</v>
      </c>
      <c r="H1608" s="1">
        <v>45430</v>
      </c>
      <c r="I1608" t="s">
        <v>555</v>
      </c>
      <c r="J1608" t="s">
        <v>556</v>
      </c>
      <c r="L1608">
        <v>4742469</v>
      </c>
      <c r="M1608">
        <f>IF(F1608="INR",1,INDEX('rates'!$B$2:$C$522,MATCH(D1608,'rates'!$A$2:$A$522,1),MATCH(F1608&amp;"/INR",'rates'!$B$1:$C$1,0)))</f>
        <v>1</v>
      </c>
      <c r="N1608">
        <f t="shared" si="135"/>
        <v>4742469</v>
      </c>
      <c r="O1608">
        <f t="shared" si="136"/>
        <v>0</v>
      </c>
      <c r="P1608">
        <f t="shared" si="137"/>
        <v>0</v>
      </c>
      <c r="Q1608">
        <f t="shared" si="134"/>
        <v>-3</v>
      </c>
      <c r="R1608" t="str">
        <f t="shared" si="138"/>
        <v>Not open</v>
      </c>
    </row>
    <row r="1609" spans="1:18" x14ac:dyDescent="0.3">
      <c r="A1609" t="s">
        <v>1809</v>
      </c>
      <c r="B1609" t="s">
        <v>262</v>
      </c>
      <c r="C1609" t="s">
        <v>566</v>
      </c>
      <c r="D1609" s="1">
        <v>45373</v>
      </c>
      <c r="E1609" s="1">
        <v>45463</v>
      </c>
      <c r="F1609" t="s">
        <v>31</v>
      </c>
      <c r="G1609">
        <v>13936.75</v>
      </c>
      <c r="H1609" s="1">
        <v>45478</v>
      </c>
      <c r="I1609" t="s">
        <v>555</v>
      </c>
      <c r="J1609" t="s">
        <v>573</v>
      </c>
      <c r="K1609">
        <v>90.625500000000002</v>
      </c>
      <c r="L1609">
        <v>13936.75</v>
      </c>
      <c r="M1609">
        <f>IF(F1609="INR",1,INDEX('rates'!$B$2:$C$522,MATCH(D1609,'rates'!$A$2:$A$522,1),MATCH(F1609&amp;"/INR",'rates'!$B$1:$C$1,0)))</f>
        <v>90.354399999999998</v>
      </c>
      <c r="N1609">
        <f t="shared" si="135"/>
        <v>1259246.6842</v>
      </c>
      <c r="O1609">
        <f t="shared" si="136"/>
        <v>0</v>
      </c>
      <c r="P1609">
        <f t="shared" si="137"/>
        <v>0</v>
      </c>
      <c r="Q1609">
        <f t="shared" si="134"/>
        <v>15</v>
      </c>
      <c r="R1609" t="str">
        <f t="shared" si="138"/>
        <v>Not open</v>
      </c>
    </row>
    <row r="1610" spans="1:18" x14ac:dyDescent="0.3">
      <c r="A1610" t="s">
        <v>1810</v>
      </c>
      <c r="B1610" t="s">
        <v>262</v>
      </c>
      <c r="C1610" t="s">
        <v>566</v>
      </c>
      <c r="D1610" s="1">
        <v>45373</v>
      </c>
      <c r="E1610" s="1">
        <v>45463</v>
      </c>
      <c r="F1610" t="s">
        <v>31</v>
      </c>
      <c r="G1610">
        <v>80861.77</v>
      </c>
      <c r="H1610" s="1">
        <v>45507</v>
      </c>
      <c r="I1610" t="s">
        <v>555</v>
      </c>
      <c r="J1610" t="s">
        <v>573</v>
      </c>
      <c r="K1610">
        <v>90.625500000000002</v>
      </c>
      <c r="L1610">
        <v>80861.77</v>
      </c>
      <c r="M1610">
        <f>IF(F1610="INR",1,INDEX('rates'!$B$2:$C$522,MATCH(D1610,'rates'!$A$2:$A$522,1),MATCH(F1610&amp;"/INR",'rates'!$B$1:$C$1,0)))</f>
        <v>90.354399999999998</v>
      </c>
      <c r="N1610">
        <f t="shared" si="135"/>
        <v>7306216.7112880005</v>
      </c>
      <c r="O1610">
        <f t="shared" si="136"/>
        <v>0</v>
      </c>
      <c r="P1610">
        <f t="shared" si="137"/>
        <v>0</v>
      </c>
      <c r="Q1610">
        <f t="shared" si="134"/>
        <v>44</v>
      </c>
      <c r="R1610" t="str">
        <f t="shared" si="138"/>
        <v>Not open</v>
      </c>
    </row>
    <row r="1611" spans="1:18" x14ac:dyDescent="0.3">
      <c r="A1611" t="s">
        <v>1811</v>
      </c>
      <c r="B1611" t="s">
        <v>486</v>
      </c>
      <c r="C1611" t="s">
        <v>554</v>
      </c>
      <c r="D1611" s="1">
        <v>45373</v>
      </c>
      <c r="E1611" s="1">
        <v>45418</v>
      </c>
      <c r="F1611" t="s">
        <v>13</v>
      </c>
      <c r="G1611">
        <v>6629162</v>
      </c>
      <c r="H1611" s="1"/>
      <c r="I1611" t="s">
        <v>717</v>
      </c>
      <c r="J1611" t="s">
        <v>556</v>
      </c>
      <c r="L1611">
        <v>0</v>
      </c>
      <c r="M1611">
        <f>IF(F1611="INR",1,INDEX('rates'!$B$2:$C$522,MATCH(D1611,'rates'!$A$2:$A$522,1),MATCH(F1611&amp;"/INR",'rates'!$B$1:$C$1,0)))</f>
        <v>1</v>
      </c>
      <c r="N1611">
        <f t="shared" si="135"/>
        <v>6629162</v>
      </c>
      <c r="O1611">
        <f t="shared" si="136"/>
        <v>0</v>
      </c>
      <c r="P1611">
        <f t="shared" si="137"/>
        <v>0</v>
      </c>
      <c r="Q1611" t="str">
        <f t="shared" si="134"/>
        <v/>
      </c>
      <c r="R1611" t="str">
        <f t="shared" si="138"/>
        <v>Not open</v>
      </c>
    </row>
    <row r="1612" spans="1:18" x14ac:dyDescent="0.3">
      <c r="A1612" t="s">
        <v>1812</v>
      </c>
      <c r="B1612" t="s">
        <v>496</v>
      </c>
      <c r="C1612" t="s">
        <v>554</v>
      </c>
      <c r="D1612" s="1">
        <v>45373</v>
      </c>
      <c r="E1612" s="1">
        <v>45418</v>
      </c>
      <c r="F1612" t="s">
        <v>13</v>
      </c>
      <c r="G1612">
        <v>22853947</v>
      </c>
      <c r="H1612" s="1">
        <v>45425</v>
      </c>
      <c r="I1612" t="s">
        <v>555</v>
      </c>
      <c r="J1612" t="s">
        <v>556</v>
      </c>
      <c r="L1612">
        <v>22853947</v>
      </c>
      <c r="M1612">
        <f>IF(F1612="INR",1,INDEX('rates'!$B$2:$C$522,MATCH(D1612,'rates'!$A$2:$A$522,1),MATCH(F1612&amp;"/INR",'rates'!$B$1:$C$1,0)))</f>
        <v>1</v>
      </c>
      <c r="N1612">
        <f t="shared" si="135"/>
        <v>22853947</v>
      </c>
      <c r="O1612">
        <f t="shared" si="136"/>
        <v>0</v>
      </c>
      <c r="P1612">
        <f t="shared" si="137"/>
        <v>0</v>
      </c>
      <c r="Q1612">
        <f t="shared" si="134"/>
        <v>7</v>
      </c>
      <c r="R1612" t="str">
        <f t="shared" si="138"/>
        <v>Not open</v>
      </c>
    </row>
    <row r="1613" spans="1:18" x14ac:dyDescent="0.3">
      <c r="A1613" t="s">
        <v>1813</v>
      </c>
      <c r="B1613" t="s">
        <v>516</v>
      </c>
      <c r="C1613" t="s">
        <v>560</v>
      </c>
      <c r="D1613" s="1">
        <v>45373</v>
      </c>
      <c r="E1613" s="1">
        <v>45433</v>
      </c>
      <c r="F1613" t="s">
        <v>13</v>
      </c>
      <c r="G1613">
        <v>3325299</v>
      </c>
      <c r="H1613" s="1">
        <v>45433</v>
      </c>
      <c r="I1613" t="s">
        <v>555</v>
      </c>
      <c r="J1613" t="s">
        <v>556</v>
      </c>
      <c r="L1613">
        <v>3325299</v>
      </c>
      <c r="M1613">
        <f>IF(F1613="INR",1,INDEX('rates'!$B$2:$C$522,MATCH(D1613,'rates'!$A$2:$A$522,1),MATCH(F1613&amp;"/INR",'rates'!$B$1:$C$1,0)))</f>
        <v>1</v>
      </c>
      <c r="N1613">
        <f t="shared" si="135"/>
        <v>3325299</v>
      </c>
      <c r="O1613">
        <f t="shared" si="136"/>
        <v>0</v>
      </c>
      <c r="P1613">
        <f t="shared" si="137"/>
        <v>0</v>
      </c>
      <c r="Q1613">
        <f t="shared" si="134"/>
        <v>0</v>
      </c>
      <c r="R1613" t="str">
        <f t="shared" si="138"/>
        <v>Not open</v>
      </c>
    </row>
    <row r="1614" spans="1:18" x14ac:dyDescent="0.3">
      <c r="A1614" t="s">
        <v>1814</v>
      </c>
      <c r="B1614" t="s">
        <v>132</v>
      </c>
      <c r="C1614" t="s">
        <v>554</v>
      </c>
      <c r="D1614" s="1">
        <v>45374</v>
      </c>
      <c r="E1614" s="1">
        <v>45404</v>
      </c>
      <c r="F1614" t="s">
        <v>13</v>
      </c>
      <c r="G1614">
        <v>3656999</v>
      </c>
      <c r="H1614" s="1">
        <v>45410</v>
      </c>
      <c r="I1614" t="s">
        <v>555</v>
      </c>
      <c r="J1614" t="s">
        <v>556</v>
      </c>
      <c r="L1614">
        <v>3656999</v>
      </c>
      <c r="M1614">
        <f>IF(F1614="INR",1,INDEX('rates'!$B$2:$C$522,MATCH(D1614,'rates'!$A$2:$A$522,1),MATCH(F1614&amp;"/INR",'rates'!$B$1:$C$1,0)))</f>
        <v>1</v>
      </c>
      <c r="N1614">
        <f t="shared" si="135"/>
        <v>3656999</v>
      </c>
      <c r="O1614">
        <f t="shared" si="136"/>
        <v>0</v>
      </c>
      <c r="P1614">
        <f t="shared" si="137"/>
        <v>0</v>
      </c>
      <c r="Q1614">
        <f t="shared" si="134"/>
        <v>6</v>
      </c>
      <c r="R1614" t="str">
        <f t="shared" si="138"/>
        <v>Not open</v>
      </c>
    </row>
    <row r="1615" spans="1:18" x14ac:dyDescent="0.3">
      <c r="A1615" t="s">
        <v>1815</v>
      </c>
      <c r="B1615" t="s">
        <v>144</v>
      </c>
      <c r="C1615" t="s">
        <v>554</v>
      </c>
      <c r="D1615" s="1">
        <v>45374</v>
      </c>
      <c r="E1615" s="1">
        <v>45404</v>
      </c>
      <c r="F1615" t="s">
        <v>13</v>
      </c>
      <c r="G1615">
        <v>11246352</v>
      </c>
      <c r="H1615" s="1">
        <v>45416</v>
      </c>
      <c r="I1615" t="s">
        <v>555</v>
      </c>
      <c r="J1615" t="s">
        <v>556</v>
      </c>
      <c r="L1615">
        <v>11246352</v>
      </c>
      <c r="M1615">
        <f>IF(F1615="INR",1,INDEX('rates'!$B$2:$C$522,MATCH(D1615,'rates'!$A$2:$A$522,1),MATCH(F1615&amp;"/INR",'rates'!$B$1:$C$1,0)))</f>
        <v>1</v>
      </c>
      <c r="N1615">
        <f t="shared" si="135"/>
        <v>11246352</v>
      </c>
      <c r="O1615">
        <f t="shared" si="136"/>
        <v>0</v>
      </c>
      <c r="P1615">
        <f t="shared" si="137"/>
        <v>0</v>
      </c>
      <c r="Q1615">
        <f t="shared" si="134"/>
        <v>12</v>
      </c>
      <c r="R1615" t="str">
        <f t="shared" si="138"/>
        <v>Not open</v>
      </c>
    </row>
    <row r="1616" spans="1:18" x14ac:dyDescent="0.3">
      <c r="A1616" t="s">
        <v>1816</v>
      </c>
      <c r="B1616" t="s">
        <v>182</v>
      </c>
      <c r="C1616" t="s">
        <v>558</v>
      </c>
      <c r="D1616" s="1">
        <v>45374</v>
      </c>
      <c r="E1616" s="1">
        <v>45434</v>
      </c>
      <c r="F1616" t="s">
        <v>36</v>
      </c>
      <c r="G1616">
        <v>146177.49</v>
      </c>
      <c r="H1616" s="1">
        <v>45512</v>
      </c>
      <c r="I1616" t="s">
        <v>717</v>
      </c>
      <c r="J1616" t="s">
        <v>556</v>
      </c>
      <c r="L1616">
        <v>40878.67</v>
      </c>
      <c r="M1616">
        <f>IF(F1616="INR",1,INDEX('rates'!$B$2:$C$522,MATCH(D1616,'rates'!$A$2:$A$522,1),MATCH(F1616&amp;"/INR",'rates'!$B$1:$C$1,0)))</f>
        <v>83.53</v>
      </c>
      <c r="N1616">
        <f t="shared" si="135"/>
        <v>12210205.739699999</v>
      </c>
      <c r="O1616">
        <f t="shared" si="136"/>
        <v>0</v>
      </c>
      <c r="P1616">
        <f t="shared" si="137"/>
        <v>0</v>
      </c>
      <c r="Q1616">
        <f t="shared" si="134"/>
        <v>78</v>
      </c>
      <c r="R1616" t="str">
        <f t="shared" si="138"/>
        <v>Not open</v>
      </c>
    </row>
    <row r="1617" spans="1:18" x14ac:dyDescent="0.3">
      <c r="A1617" t="s">
        <v>1817</v>
      </c>
      <c r="B1617" t="s">
        <v>186</v>
      </c>
      <c r="C1617" t="s">
        <v>558</v>
      </c>
      <c r="D1617" s="1">
        <v>45374</v>
      </c>
      <c r="E1617" s="1">
        <v>45404</v>
      </c>
      <c r="F1617" t="s">
        <v>36</v>
      </c>
      <c r="G1617">
        <v>39494.79</v>
      </c>
      <c r="H1617" s="1">
        <v>45411</v>
      </c>
      <c r="I1617" t="s">
        <v>555</v>
      </c>
      <c r="J1617" t="s">
        <v>556</v>
      </c>
      <c r="L1617">
        <v>39494.79</v>
      </c>
      <c r="M1617">
        <f>IF(F1617="INR",1,INDEX('rates'!$B$2:$C$522,MATCH(D1617,'rates'!$A$2:$A$522,1),MATCH(F1617&amp;"/INR",'rates'!$B$1:$C$1,0)))</f>
        <v>83.53</v>
      </c>
      <c r="N1617">
        <f t="shared" si="135"/>
        <v>3298999.8086999999</v>
      </c>
      <c r="O1617">
        <f t="shared" si="136"/>
        <v>0</v>
      </c>
      <c r="P1617">
        <f t="shared" si="137"/>
        <v>0</v>
      </c>
      <c r="Q1617">
        <f t="shared" si="134"/>
        <v>7</v>
      </c>
      <c r="R1617" t="str">
        <f t="shared" si="138"/>
        <v>Not open</v>
      </c>
    </row>
    <row r="1618" spans="1:18" x14ac:dyDescent="0.3">
      <c r="A1618" t="s">
        <v>1818</v>
      </c>
      <c r="B1618" t="s">
        <v>296</v>
      </c>
      <c r="C1618" t="s">
        <v>554</v>
      </c>
      <c r="D1618" s="1">
        <v>45374</v>
      </c>
      <c r="E1618" s="1">
        <v>45404</v>
      </c>
      <c r="F1618" t="s">
        <v>13</v>
      </c>
      <c r="G1618">
        <v>1765904</v>
      </c>
      <c r="H1618" s="1">
        <v>45422</v>
      </c>
      <c r="I1618" t="s">
        <v>555</v>
      </c>
      <c r="J1618" t="s">
        <v>556</v>
      </c>
      <c r="L1618">
        <v>1765904</v>
      </c>
      <c r="M1618">
        <f>IF(F1618="INR",1,INDEX('rates'!$B$2:$C$522,MATCH(D1618,'rates'!$A$2:$A$522,1),MATCH(F1618&amp;"/INR",'rates'!$B$1:$C$1,0)))</f>
        <v>1</v>
      </c>
      <c r="N1618">
        <f t="shared" si="135"/>
        <v>1765904</v>
      </c>
      <c r="O1618">
        <f t="shared" si="136"/>
        <v>0</v>
      </c>
      <c r="P1618">
        <f t="shared" si="137"/>
        <v>0</v>
      </c>
      <c r="Q1618">
        <f t="shared" si="134"/>
        <v>18</v>
      </c>
      <c r="R1618" t="str">
        <f t="shared" si="138"/>
        <v>Not open</v>
      </c>
    </row>
    <row r="1619" spans="1:18" x14ac:dyDescent="0.3">
      <c r="A1619" t="s">
        <v>1819</v>
      </c>
      <c r="B1619" t="s">
        <v>322</v>
      </c>
      <c r="C1619" t="s">
        <v>558</v>
      </c>
      <c r="D1619" s="1">
        <v>45374</v>
      </c>
      <c r="E1619" s="1">
        <v>45434</v>
      </c>
      <c r="F1619" t="s">
        <v>13</v>
      </c>
      <c r="G1619">
        <v>6735250</v>
      </c>
      <c r="H1619" s="1">
        <v>45428</v>
      </c>
      <c r="I1619" t="s">
        <v>555</v>
      </c>
      <c r="J1619" t="s">
        <v>556</v>
      </c>
      <c r="L1619">
        <v>6735250</v>
      </c>
      <c r="M1619">
        <f>IF(F1619="INR",1,INDEX('rates'!$B$2:$C$522,MATCH(D1619,'rates'!$A$2:$A$522,1),MATCH(F1619&amp;"/INR",'rates'!$B$1:$C$1,0)))</f>
        <v>1</v>
      </c>
      <c r="N1619">
        <f t="shared" si="135"/>
        <v>6735250</v>
      </c>
      <c r="O1619">
        <f t="shared" si="136"/>
        <v>0</v>
      </c>
      <c r="P1619">
        <f t="shared" si="137"/>
        <v>0</v>
      </c>
      <c r="Q1619">
        <f t="shared" si="134"/>
        <v>-6</v>
      </c>
      <c r="R1619" t="str">
        <f t="shared" si="138"/>
        <v>Not open</v>
      </c>
    </row>
    <row r="1620" spans="1:18" x14ac:dyDescent="0.3">
      <c r="A1620" t="s">
        <v>1820</v>
      </c>
      <c r="B1620" t="s">
        <v>404</v>
      </c>
      <c r="C1620" t="s">
        <v>554</v>
      </c>
      <c r="D1620" s="1">
        <v>45374</v>
      </c>
      <c r="E1620" s="1">
        <v>45434</v>
      </c>
      <c r="F1620" t="s">
        <v>13</v>
      </c>
      <c r="G1620">
        <v>4640058</v>
      </c>
      <c r="H1620" s="1">
        <v>45434</v>
      </c>
      <c r="I1620" t="s">
        <v>555</v>
      </c>
      <c r="J1620" t="s">
        <v>556</v>
      </c>
      <c r="L1620">
        <v>4640058</v>
      </c>
      <c r="M1620">
        <f>IF(F1620="INR",1,INDEX('rates'!$B$2:$C$522,MATCH(D1620,'rates'!$A$2:$A$522,1),MATCH(F1620&amp;"/INR",'rates'!$B$1:$C$1,0)))</f>
        <v>1</v>
      </c>
      <c r="N1620">
        <f t="shared" si="135"/>
        <v>4640058</v>
      </c>
      <c r="O1620">
        <f t="shared" si="136"/>
        <v>0</v>
      </c>
      <c r="P1620">
        <f t="shared" si="137"/>
        <v>0</v>
      </c>
      <c r="Q1620">
        <f t="shared" si="134"/>
        <v>0</v>
      </c>
      <c r="R1620" t="str">
        <f t="shared" si="138"/>
        <v>Not open</v>
      </c>
    </row>
    <row r="1621" spans="1:18" x14ac:dyDescent="0.3">
      <c r="A1621" t="s">
        <v>1821</v>
      </c>
      <c r="B1621" t="s">
        <v>436</v>
      </c>
      <c r="C1621" t="s">
        <v>566</v>
      </c>
      <c r="D1621" s="1">
        <v>45374</v>
      </c>
      <c r="E1621" s="1">
        <v>45419</v>
      </c>
      <c r="F1621" t="s">
        <v>36</v>
      </c>
      <c r="G1621">
        <v>125961.21</v>
      </c>
      <c r="H1621" s="1">
        <v>45448</v>
      </c>
      <c r="I1621" t="s">
        <v>555</v>
      </c>
      <c r="J1621" t="s">
        <v>573</v>
      </c>
      <c r="K1621">
        <v>83.738799999999998</v>
      </c>
      <c r="L1621">
        <v>125961.21</v>
      </c>
      <c r="M1621">
        <f>IF(F1621="INR",1,INDEX('rates'!$B$2:$C$522,MATCH(D1621,'rates'!$A$2:$A$522,1),MATCH(F1621&amp;"/INR",'rates'!$B$1:$C$1,0)))</f>
        <v>83.53</v>
      </c>
      <c r="N1621">
        <f t="shared" si="135"/>
        <v>10521539.871300001</v>
      </c>
      <c r="O1621">
        <f t="shared" si="136"/>
        <v>0</v>
      </c>
      <c r="P1621">
        <f t="shared" si="137"/>
        <v>0</v>
      </c>
      <c r="Q1621">
        <f t="shared" si="134"/>
        <v>29</v>
      </c>
      <c r="R1621" t="str">
        <f t="shared" si="138"/>
        <v>Not open</v>
      </c>
    </row>
    <row r="1622" spans="1:18" x14ac:dyDescent="0.3">
      <c r="A1622" t="s">
        <v>1822</v>
      </c>
      <c r="B1622" t="s">
        <v>466</v>
      </c>
      <c r="C1622" t="s">
        <v>558</v>
      </c>
      <c r="D1622" s="1">
        <v>45374</v>
      </c>
      <c r="E1622" s="1">
        <v>45434</v>
      </c>
      <c r="F1622" t="s">
        <v>31</v>
      </c>
      <c r="G1622">
        <v>378172.88</v>
      </c>
      <c r="H1622" s="1">
        <v>45438</v>
      </c>
      <c r="I1622" t="s">
        <v>555</v>
      </c>
      <c r="J1622" t="s">
        <v>556</v>
      </c>
      <c r="L1622">
        <v>378172.88</v>
      </c>
      <c r="M1622">
        <f>IF(F1622="INR",1,INDEX('rates'!$B$2:$C$522,MATCH(D1622,'rates'!$A$2:$A$522,1),MATCH(F1622&amp;"/INR",'rates'!$B$1:$C$1,0)))</f>
        <v>90.354399999999998</v>
      </c>
      <c r="N1622">
        <f t="shared" si="135"/>
        <v>34169583.668672003</v>
      </c>
      <c r="O1622">
        <f t="shared" si="136"/>
        <v>0</v>
      </c>
      <c r="P1622">
        <f t="shared" si="137"/>
        <v>0</v>
      </c>
      <c r="Q1622">
        <f t="shared" si="134"/>
        <v>4</v>
      </c>
      <c r="R1622" t="str">
        <f t="shared" si="138"/>
        <v>Not open</v>
      </c>
    </row>
    <row r="1623" spans="1:18" x14ac:dyDescent="0.3">
      <c r="A1623" t="s">
        <v>1823</v>
      </c>
      <c r="B1623" t="s">
        <v>492</v>
      </c>
      <c r="C1623" t="s">
        <v>566</v>
      </c>
      <c r="D1623" s="1">
        <v>45374</v>
      </c>
      <c r="E1623" s="1">
        <v>45419</v>
      </c>
      <c r="F1623" t="s">
        <v>13</v>
      </c>
      <c r="G1623">
        <v>4022505</v>
      </c>
      <c r="H1623" s="1">
        <v>45422</v>
      </c>
      <c r="I1623" t="s">
        <v>555</v>
      </c>
      <c r="J1623" t="s">
        <v>556</v>
      </c>
      <c r="L1623">
        <v>4022505</v>
      </c>
      <c r="M1623">
        <f>IF(F1623="INR",1,INDEX('rates'!$B$2:$C$522,MATCH(D1623,'rates'!$A$2:$A$522,1),MATCH(F1623&amp;"/INR",'rates'!$B$1:$C$1,0)))</f>
        <v>1</v>
      </c>
      <c r="N1623">
        <f t="shared" si="135"/>
        <v>4022505</v>
      </c>
      <c r="O1623">
        <f t="shared" si="136"/>
        <v>0</v>
      </c>
      <c r="P1623">
        <f t="shared" si="137"/>
        <v>0</v>
      </c>
      <c r="Q1623">
        <f t="shared" si="134"/>
        <v>3</v>
      </c>
      <c r="R1623" t="str">
        <f t="shared" si="138"/>
        <v>Not open</v>
      </c>
    </row>
    <row r="1624" spans="1:18" x14ac:dyDescent="0.3">
      <c r="A1624" t="s">
        <v>1824</v>
      </c>
      <c r="B1624" t="s">
        <v>46</v>
      </c>
      <c r="C1624" t="s">
        <v>558</v>
      </c>
      <c r="D1624" s="1">
        <v>45376</v>
      </c>
      <c r="E1624" s="1">
        <v>45436</v>
      </c>
      <c r="F1624" t="s">
        <v>36</v>
      </c>
      <c r="G1624">
        <v>76900.78</v>
      </c>
      <c r="H1624" s="1">
        <v>45440</v>
      </c>
      <c r="I1624" t="s">
        <v>555</v>
      </c>
      <c r="J1624" t="s">
        <v>556</v>
      </c>
      <c r="L1624">
        <v>76900.78</v>
      </c>
      <c r="M1624">
        <f>IF(F1624="INR",1,INDEX('rates'!$B$2:$C$522,MATCH(D1624,'rates'!$A$2:$A$522,1),MATCH(F1624&amp;"/INR",'rates'!$B$1:$C$1,0)))</f>
        <v>83.42</v>
      </c>
      <c r="N1624">
        <f t="shared" si="135"/>
        <v>6415063.0675999997</v>
      </c>
      <c r="O1624">
        <f t="shared" si="136"/>
        <v>0</v>
      </c>
      <c r="P1624">
        <f t="shared" si="137"/>
        <v>0</v>
      </c>
      <c r="Q1624">
        <f t="shared" si="134"/>
        <v>4</v>
      </c>
      <c r="R1624" t="str">
        <f t="shared" si="138"/>
        <v>Not open</v>
      </c>
    </row>
    <row r="1625" spans="1:18" x14ac:dyDescent="0.3">
      <c r="A1625" t="s">
        <v>1825</v>
      </c>
      <c r="B1625" t="s">
        <v>117</v>
      </c>
      <c r="C1625" t="s">
        <v>554</v>
      </c>
      <c r="D1625" s="1">
        <v>45376</v>
      </c>
      <c r="E1625" s="1">
        <v>45436</v>
      </c>
      <c r="F1625" t="s">
        <v>13</v>
      </c>
      <c r="G1625">
        <v>8476612</v>
      </c>
      <c r="H1625" s="1">
        <v>45445</v>
      </c>
      <c r="I1625" t="s">
        <v>555</v>
      </c>
      <c r="J1625" t="s">
        <v>556</v>
      </c>
      <c r="L1625">
        <v>8476612</v>
      </c>
      <c r="M1625">
        <f>IF(F1625="INR",1,INDEX('rates'!$B$2:$C$522,MATCH(D1625,'rates'!$A$2:$A$522,1),MATCH(F1625&amp;"/INR",'rates'!$B$1:$C$1,0)))</f>
        <v>1</v>
      </c>
      <c r="N1625">
        <f t="shared" si="135"/>
        <v>8476612</v>
      </c>
      <c r="O1625">
        <f t="shared" si="136"/>
        <v>0</v>
      </c>
      <c r="P1625">
        <f t="shared" si="137"/>
        <v>0</v>
      </c>
      <c r="Q1625">
        <f t="shared" si="134"/>
        <v>9</v>
      </c>
      <c r="R1625" t="str">
        <f t="shared" si="138"/>
        <v>Not open</v>
      </c>
    </row>
    <row r="1626" spans="1:18" x14ac:dyDescent="0.3">
      <c r="A1626" t="s">
        <v>1826</v>
      </c>
      <c r="B1626" t="s">
        <v>140</v>
      </c>
      <c r="C1626" t="s">
        <v>554</v>
      </c>
      <c r="D1626" s="1">
        <v>45376</v>
      </c>
      <c r="E1626" s="1">
        <v>45436</v>
      </c>
      <c r="F1626" t="s">
        <v>13</v>
      </c>
      <c r="G1626">
        <v>12944345</v>
      </c>
      <c r="H1626" s="1">
        <v>45431</v>
      </c>
      <c r="I1626" t="s">
        <v>555</v>
      </c>
      <c r="J1626" t="s">
        <v>556</v>
      </c>
      <c r="L1626">
        <v>12944345</v>
      </c>
      <c r="M1626">
        <f>IF(F1626="INR",1,INDEX('rates'!$B$2:$C$522,MATCH(D1626,'rates'!$A$2:$A$522,1),MATCH(F1626&amp;"/INR",'rates'!$B$1:$C$1,0)))</f>
        <v>1</v>
      </c>
      <c r="N1626">
        <f t="shared" si="135"/>
        <v>12944345</v>
      </c>
      <c r="O1626">
        <f t="shared" si="136"/>
        <v>0</v>
      </c>
      <c r="P1626">
        <f t="shared" si="137"/>
        <v>0</v>
      </c>
      <c r="Q1626">
        <f t="shared" si="134"/>
        <v>-5</v>
      </c>
      <c r="R1626" t="str">
        <f t="shared" si="138"/>
        <v>Not open</v>
      </c>
    </row>
    <row r="1627" spans="1:18" x14ac:dyDescent="0.3">
      <c r="A1627" t="s">
        <v>1827</v>
      </c>
      <c r="B1627" t="s">
        <v>528</v>
      </c>
      <c r="C1627" t="s">
        <v>566</v>
      </c>
      <c r="D1627" s="1">
        <v>45376</v>
      </c>
      <c r="E1627" s="1">
        <v>45436</v>
      </c>
      <c r="F1627" t="s">
        <v>13</v>
      </c>
      <c r="G1627">
        <v>17977868</v>
      </c>
      <c r="H1627" s="1"/>
      <c r="I1627" t="s">
        <v>717</v>
      </c>
      <c r="J1627" t="s">
        <v>556</v>
      </c>
      <c r="L1627">
        <v>0</v>
      </c>
      <c r="M1627">
        <f>IF(F1627="INR",1,INDEX('rates'!$B$2:$C$522,MATCH(D1627,'rates'!$A$2:$A$522,1),MATCH(F1627&amp;"/INR",'rates'!$B$1:$C$1,0)))</f>
        <v>1</v>
      </c>
      <c r="N1627">
        <f t="shared" si="135"/>
        <v>17977868</v>
      </c>
      <c r="O1627">
        <f t="shared" si="136"/>
        <v>0</v>
      </c>
      <c r="P1627">
        <f t="shared" si="137"/>
        <v>0</v>
      </c>
      <c r="Q1627" t="str">
        <f t="shared" si="134"/>
        <v/>
      </c>
      <c r="R1627" t="str">
        <f t="shared" si="138"/>
        <v>Not open</v>
      </c>
    </row>
    <row r="1628" spans="1:18" x14ac:dyDescent="0.3">
      <c r="A1628" t="s">
        <v>1828</v>
      </c>
      <c r="B1628" t="s">
        <v>182</v>
      </c>
      <c r="C1628" t="s">
        <v>558</v>
      </c>
      <c r="D1628" s="1">
        <v>45377</v>
      </c>
      <c r="E1628" s="1">
        <v>45437</v>
      </c>
      <c r="F1628" t="s">
        <v>36</v>
      </c>
      <c r="G1628">
        <v>85593.17</v>
      </c>
      <c r="H1628" s="1">
        <v>45552</v>
      </c>
      <c r="I1628" t="s">
        <v>555</v>
      </c>
      <c r="J1628" t="s">
        <v>556</v>
      </c>
      <c r="L1628">
        <v>85593.17</v>
      </c>
      <c r="M1628">
        <f>IF(F1628="INR",1,INDEX('rates'!$B$2:$C$522,MATCH(D1628,'rates'!$A$2:$A$522,1),MATCH(F1628&amp;"/INR",'rates'!$B$1:$C$1,0)))</f>
        <v>83.32</v>
      </c>
      <c r="N1628">
        <f t="shared" si="135"/>
        <v>7131622.924399999</v>
      </c>
      <c r="O1628">
        <f t="shared" si="136"/>
        <v>0</v>
      </c>
      <c r="P1628">
        <f t="shared" si="137"/>
        <v>0</v>
      </c>
      <c r="Q1628">
        <f t="shared" si="134"/>
        <v>115</v>
      </c>
      <c r="R1628" t="str">
        <f t="shared" si="138"/>
        <v>Not open</v>
      </c>
    </row>
    <row r="1629" spans="1:18" x14ac:dyDescent="0.3">
      <c r="A1629" t="s">
        <v>1829</v>
      </c>
      <c r="B1629" t="s">
        <v>276</v>
      </c>
      <c r="C1629" t="s">
        <v>558</v>
      </c>
      <c r="D1629" s="1">
        <v>45377</v>
      </c>
      <c r="E1629" s="1">
        <v>45437</v>
      </c>
      <c r="F1629" t="s">
        <v>13</v>
      </c>
      <c r="G1629">
        <v>2113647</v>
      </c>
      <c r="H1629" s="1">
        <v>45449</v>
      </c>
      <c r="I1629" t="s">
        <v>555</v>
      </c>
      <c r="J1629" t="s">
        <v>556</v>
      </c>
      <c r="L1629">
        <v>2113647</v>
      </c>
      <c r="M1629">
        <f>IF(F1629="INR",1,INDEX('rates'!$B$2:$C$522,MATCH(D1629,'rates'!$A$2:$A$522,1),MATCH(F1629&amp;"/INR",'rates'!$B$1:$C$1,0)))</f>
        <v>1</v>
      </c>
      <c r="N1629">
        <f t="shared" si="135"/>
        <v>2113647</v>
      </c>
      <c r="O1629">
        <f t="shared" si="136"/>
        <v>0</v>
      </c>
      <c r="P1629">
        <f t="shared" si="137"/>
        <v>0</v>
      </c>
      <c r="Q1629">
        <f t="shared" si="134"/>
        <v>12</v>
      </c>
      <c r="R1629" t="str">
        <f t="shared" si="138"/>
        <v>Not open</v>
      </c>
    </row>
    <row r="1630" spans="1:18" x14ac:dyDescent="0.3">
      <c r="A1630" t="s">
        <v>1830</v>
      </c>
      <c r="B1630" t="s">
        <v>324</v>
      </c>
      <c r="C1630" t="s">
        <v>575</v>
      </c>
      <c r="D1630" s="1">
        <v>45377</v>
      </c>
      <c r="E1630" s="1">
        <v>45437</v>
      </c>
      <c r="F1630" t="s">
        <v>31</v>
      </c>
      <c r="G1630">
        <v>59444.6</v>
      </c>
      <c r="H1630" s="1">
        <v>45466</v>
      </c>
      <c r="I1630" t="s">
        <v>555</v>
      </c>
      <c r="J1630" t="s">
        <v>573</v>
      </c>
      <c r="K1630">
        <v>90.407700000000006</v>
      </c>
      <c r="L1630">
        <v>59444.6</v>
      </c>
      <c r="M1630">
        <f>IF(F1630="INR",1,INDEX('rates'!$B$2:$C$522,MATCH(D1630,'rates'!$A$2:$A$522,1),MATCH(F1630&amp;"/INR",'rates'!$B$1:$C$1,0)))</f>
        <v>90.227199999999996</v>
      </c>
      <c r="N1630">
        <f t="shared" si="135"/>
        <v>5363519.8131200001</v>
      </c>
      <c r="O1630">
        <f t="shared" si="136"/>
        <v>0</v>
      </c>
      <c r="P1630">
        <f t="shared" si="137"/>
        <v>0</v>
      </c>
      <c r="Q1630">
        <f t="shared" si="134"/>
        <v>29</v>
      </c>
      <c r="R1630" t="str">
        <f t="shared" si="138"/>
        <v>Not open</v>
      </c>
    </row>
    <row r="1631" spans="1:18" x14ac:dyDescent="0.3">
      <c r="A1631" t="s">
        <v>1831</v>
      </c>
      <c r="B1631" t="s">
        <v>394</v>
      </c>
      <c r="C1631" t="s">
        <v>566</v>
      </c>
      <c r="D1631" s="1">
        <v>45377</v>
      </c>
      <c r="E1631" s="1">
        <v>45437</v>
      </c>
      <c r="F1631" t="s">
        <v>31</v>
      </c>
      <c r="G1631">
        <v>613468.11</v>
      </c>
      <c r="H1631" s="1">
        <v>45451</v>
      </c>
      <c r="I1631" t="s">
        <v>555</v>
      </c>
      <c r="J1631" t="s">
        <v>573</v>
      </c>
      <c r="K1631">
        <v>90.407700000000006</v>
      </c>
      <c r="L1631">
        <v>613468.11</v>
      </c>
      <c r="M1631">
        <f>IF(F1631="INR",1,INDEX('rates'!$B$2:$C$522,MATCH(D1631,'rates'!$A$2:$A$522,1),MATCH(F1631&amp;"/INR",'rates'!$B$1:$C$1,0)))</f>
        <v>90.227199999999996</v>
      </c>
      <c r="N1631">
        <f t="shared" si="135"/>
        <v>55351509.854591995</v>
      </c>
      <c r="O1631">
        <f t="shared" si="136"/>
        <v>0</v>
      </c>
      <c r="P1631">
        <f t="shared" si="137"/>
        <v>0</v>
      </c>
      <c r="Q1631">
        <f t="shared" si="134"/>
        <v>14</v>
      </c>
      <c r="R1631" t="str">
        <f t="shared" si="138"/>
        <v>Not open</v>
      </c>
    </row>
    <row r="1632" spans="1:18" x14ac:dyDescent="0.3">
      <c r="A1632" t="s">
        <v>1833</v>
      </c>
      <c r="B1632" t="s">
        <v>204</v>
      </c>
      <c r="C1632" t="s">
        <v>575</v>
      </c>
      <c r="D1632" s="1">
        <v>45378</v>
      </c>
      <c r="E1632" s="1">
        <v>45438</v>
      </c>
      <c r="F1632" t="s">
        <v>13</v>
      </c>
      <c r="G1632">
        <v>12928236</v>
      </c>
      <c r="H1632" s="1">
        <v>45447</v>
      </c>
      <c r="I1632" t="s">
        <v>555</v>
      </c>
      <c r="J1632" t="s">
        <v>556</v>
      </c>
      <c r="L1632">
        <v>12928236</v>
      </c>
      <c r="M1632">
        <f>IF(F1632="INR",1,INDEX('rates'!$B$2:$C$522,MATCH(D1632,'rates'!$A$2:$A$522,1),MATCH(F1632&amp;"/INR",'rates'!$B$1:$C$1,0)))</f>
        <v>1</v>
      </c>
      <c r="N1632">
        <f t="shared" si="135"/>
        <v>12928236</v>
      </c>
      <c r="O1632">
        <f t="shared" si="136"/>
        <v>0</v>
      </c>
      <c r="P1632">
        <f t="shared" si="137"/>
        <v>0</v>
      </c>
      <c r="Q1632">
        <f t="shared" si="134"/>
        <v>9</v>
      </c>
      <c r="R1632" t="str">
        <f t="shared" si="138"/>
        <v>Not open</v>
      </c>
    </row>
    <row r="1633" spans="1:18" x14ac:dyDescent="0.3">
      <c r="A1633" t="s">
        <v>1834</v>
      </c>
      <c r="B1633" t="s">
        <v>262</v>
      </c>
      <c r="C1633" t="s">
        <v>566</v>
      </c>
      <c r="D1633" s="1">
        <v>45378</v>
      </c>
      <c r="E1633" s="1">
        <v>45468</v>
      </c>
      <c r="F1633" t="s">
        <v>31</v>
      </c>
      <c r="G1633">
        <v>45580.78</v>
      </c>
      <c r="H1633" s="1">
        <v>45493</v>
      </c>
      <c r="I1633" t="s">
        <v>555</v>
      </c>
      <c r="J1633" t="s">
        <v>556</v>
      </c>
      <c r="L1633">
        <v>45580.78</v>
      </c>
      <c r="M1633">
        <f>IF(F1633="INR",1,INDEX('rates'!$B$2:$C$522,MATCH(D1633,'rates'!$A$2:$A$522,1),MATCH(F1633&amp;"/INR",'rates'!$B$1:$C$1,0)))</f>
        <v>90.182199999999995</v>
      </c>
      <c r="N1633">
        <f t="shared" si="135"/>
        <v>4110575.0181159996</v>
      </c>
      <c r="O1633">
        <f t="shared" si="136"/>
        <v>0</v>
      </c>
      <c r="P1633">
        <f t="shared" si="137"/>
        <v>0</v>
      </c>
      <c r="Q1633">
        <f t="shared" si="134"/>
        <v>25</v>
      </c>
      <c r="R1633" t="str">
        <f t="shared" si="138"/>
        <v>Not open</v>
      </c>
    </row>
    <row r="1634" spans="1:18" x14ac:dyDescent="0.3">
      <c r="A1634" t="s">
        <v>1835</v>
      </c>
      <c r="B1634" t="s">
        <v>160</v>
      </c>
      <c r="C1634" t="s">
        <v>558</v>
      </c>
      <c r="D1634" s="1">
        <v>45379</v>
      </c>
      <c r="E1634" s="1">
        <v>45424</v>
      </c>
      <c r="F1634" t="s">
        <v>13</v>
      </c>
      <c r="G1634">
        <v>12507053</v>
      </c>
      <c r="H1634" s="1">
        <v>45425</v>
      </c>
      <c r="I1634" t="s">
        <v>555</v>
      </c>
      <c r="J1634" t="s">
        <v>556</v>
      </c>
      <c r="L1634">
        <v>12507053</v>
      </c>
      <c r="M1634">
        <f>IF(F1634="INR",1,INDEX('rates'!$B$2:$C$522,MATCH(D1634,'rates'!$A$2:$A$522,1),MATCH(F1634&amp;"/INR",'rates'!$B$1:$C$1,0)))</f>
        <v>1</v>
      </c>
      <c r="N1634">
        <f t="shared" si="135"/>
        <v>12507053</v>
      </c>
      <c r="O1634">
        <f t="shared" si="136"/>
        <v>0</v>
      </c>
      <c r="P1634">
        <f t="shared" si="137"/>
        <v>0</v>
      </c>
      <c r="Q1634">
        <f t="shared" si="134"/>
        <v>1</v>
      </c>
      <c r="R1634" t="str">
        <f t="shared" si="138"/>
        <v>Not open</v>
      </c>
    </row>
    <row r="1635" spans="1:18" x14ac:dyDescent="0.3">
      <c r="A1635" t="s">
        <v>1837</v>
      </c>
      <c r="B1635" t="s">
        <v>496</v>
      </c>
      <c r="C1635" t="s">
        <v>554</v>
      </c>
      <c r="D1635" s="1">
        <v>45379</v>
      </c>
      <c r="E1635" s="1">
        <v>45424</v>
      </c>
      <c r="F1635" t="s">
        <v>13</v>
      </c>
      <c r="G1635">
        <v>7306436</v>
      </c>
      <c r="H1635" s="1">
        <v>45440</v>
      </c>
      <c r="I1635" t="s">
        <v>555</v>
      </c>
      <c r="J1635" t="s">
        <v>556</v>
      </c>
      <c r="L1635">
        <v>7306436</v>
      </c>
      <c r="M1635">
        <f>IF(F1635="INR",1,INDEX('rates'!$B$2:$C$522,MATCH(D1635,'rates'!$A$2:$A$522,1),MATCH(F1635&amp;"/INR",'rates'!$B$1:$C$1,0)))</f>
        <v>1</v>
      </c>
      <c r="N1635">
        <f t="shared" si="135"/>
        <v>7306436</v>
      </c>
      <c r="O1635">
        <f t="shared" si="136"/>
        <v>0</v>
      </c>
      <c r="P1635">
        <f t="shared" si="137"/>
        <v>0</v>
      </c>
      <c r="Q1635">
        <f t="shared" si="134"/>
        <v>16</v>
      </c>
      <c r="R1635" t="str">
        <f t="shared" si="138"/>
        <v>Not open</v>
      </c>
    </row>
    <row r="1636" spans="1:18" x14ac:dyDescent="0.3">
      <c r="A1636" t="s">
        <v>1838</v>
      </c>
      <c r="B1636" t="s">
        <v>496</v>
      </c>
      <c r="C1636" t="s">
        <v>554</v>
      </c>
      <c r="D1636" s="1">
        <v>45379</v>
      </c>
      <c r="E1636" s="1">
        <v>45424</v>
      </c>
      <c r="F1636" t="s">
        <v>13</v>
      </c>
      <c r="G1636">
        <v>12452669</v>
      </c>
      <c r="H1636" s="1">
        <v>45432</v>
      </c>
      <c r="I1636" t="s">
        <v>555</v>
      </c>
      <c r="J1636" t="s">
        <v>556</v>
      </c>
      <c r="L1636">
        <v>12452669</v>
      </c>
      <c r="M1636">
        <f>IF(F1636="INR",1,INDEX('rates'!$B$2:$C$522,MATCH(D1636,'rates'!$A$2:$A$522,1),MATCH(F1636&amp;"/INR",'rates'!$B$1:$C$1,0)))</f>
        <v>1</v>
      </c>
      <c r="N1636">
        <f t="shared" si="135"/>
        <v>12452669</v>
      </c>
      <c r="O1636">
        <f t="shared" si="136"/>
        <v>0</v>
      </c>
      <c r="P1636">
        <f t="shared" si="137"/>
        <v>0</v>
      </c>
      <c r="Q1636">
        <f t="shared" si="134"/>
        <v>8</v>
      </c>
      <c r="R1636" t="str">
        <f t="shared" si="138"/>
        <v>Not open</v>
      </c>
    </row>
    <row r="1637" spans="1:18" x14ac:dyDescent="0.3">
      <c r="A1637" t="s">
        <v>1839</v>
      </c>
      <c r="B1637" t="s">
        <v>220</v>
      </c>
      <c r="C1637" t="s">
        <v>560</v>
      </c>
      <c r="D1637" s="1">
        <v>45380</v>
      </c>
      <c r="E1637" s="1">
        <v>45470</v>
      </c>
      <c r="F1637" t="s">
        <v>31</v>
      </c>
      <c r="G1637">
        <v>28842.959999999999</v>
      </c>
      <c r="H1637" s="1">
        <v>45501</v>
      </c>
      <c r="I1637" t="s">
        <v>555</v>
      </c>
      <c r="J1637" t="s">
        <v>573</v>
      </c>
      <c r="K1637">
        <v>90.201999999999998</v>
      </c>
      <c r="L1637">
        <v>28842.959999999999</v>
      </c>
      <c r="M1637">
        <f>IF(F1637="INR",1,INDEX('rates'!$B$2:$C$522,MATCH(D1637,'rates'!$A$2:$A$522,1),MATCH(F1637&amp;"/INR",'rates'!$B$1:$C$1,0)))</f>
        <v>89.932199999999995</v>
      </c>
      <c r="N1637">
        <f t="shared" si="135"/>
        <v>2593910.8473119996</v>
      </c>
      <c r="O1637">
        <f t="shared" si="136"/>
        <v>0</v>
      </c>
      <c r="P1637">
        <f t="shared" si="137"/>
        <v>0</v>
      </c>
      <c r="Q1637">
        <f t="shared" si="134"/>
        <v>31</v>
      </c>
      <c r="R1637" t="str">
        <f t="shared" si="138"/>
        <v>Not open</v>
      </c>
    </row>
    <row r="1638" spans="1:18" x14ac:dyDescent="0.3">
      <c r="A1638" t="s">
        <v>1840</v>
      </c>
      <c r="B1638" t="s">
        <v>222</v>
      </c>
      <c r="C1638" t="s">
        <v>560</v>
      </c>
      <c r="D1638" s="1">
        <v>45380</v>
      </c>
      <c r="E1638" s="1">
        <v>45440</v>
      </c>
      <c r="F1638" t="s">
        <v>36</v>
      </c>
      <c r="G1638">
        <v>29365.79</v>
      </c>
      <c r="H1638" s="1">
        <v>45441</v>
      </c>
      <c r="I1638" t="s">
        <v>555</v>
      </c>
      <c r="J1638" t="s">
        <v>573</v>
      </c>
      <c r="K1638">
        <v>83.617800000000003</v>
      </c>
      <c r="L1638">
        <v>29365.79</v>
      </c>
      <c r="M1638">
        <f>IF(F1638="INR",1,INDEX('rates'!$B$2:$C$522,MATCH(D1638,'rates'!$A$2:$A$522,1),MATCH(F1638&amp;"/INR",'rates'!$B$1:$C$1,0)))</f>
        <v>83.34</v>
      </c>
      <c r="N1638">
        <f t="shared" si="135"/>
        <v>2447344.9386</v>
      </c>
      <c r="O1638">
        <f t="shared" si="136"/>
        <v>0</v>
      </c>
      <c r="P1638">
        <f t="shared" si="137"/>
        <v>0</v>
      </c>
      <c r="Q1638">
        <f t="shared" si="134"/>
        <v>1</v>
      </c>
      <c r="R1638" t="str">
        <f t="shared" si="138"/>
        <v>Not open</v>
      </c>
    </row>
    <row r="1639" spans="1:18" x14ac:dyDescent="0.3">
      <c r="A1639" t="s">
        <v>1841</v>
      </c>
      <c r="B1639" t="s">
        <v>278</v>
      </c>
      <c r="C1639" t="s">
        <v>566</v>
      </c>
      <c r="D1639" s="1">
        <v>45380</v>
      </c>
      <c r="E1639" s="1">
        <v>45440</v>
      </c>
      <c r="F1639" t="s">
        <v>13</v>
      </c>
      <c r="G1639">
        <v>2920961</v>
      </c>
      <c r="H1639" s="1">
        <v>45444</v>
      </c>
      <c r="I1639" t="s">
        <v>555</v>
      </c>
      <c r="J1639" t="s">
        <v>556</v>
      </c>
      <c r="L1639">
        <v>2920961</v>
      </c>
      <c r="M1639">
        <f>IF(F1639="INR",1,INDEX('rates'!$B$2:$C$522,MATCH(D1639,'rates'!$A$2:$A$522,1),MATCH(F1639&amp;"/INR",'rates'!$B$1:$C$1,0)))</f>
        <v>1</v>
      </c>
      <c r="N1639">
        <f t="shared" si="135"/>
        <v>2920961</v>
      </c>
      <c r="O1639">
        <f t="shared" si="136"/>
        <v>0</v>
      </c>
      <c r="P1639">
        <f t="shared" si="137"/>
        <v>0</v>
      </c>
      <c r="Q1639">
        <f t="shared" si="134"/>
        <v>4</v>
      </c>
      <c r="R1639" t="str">
        <f t="shared" si="138"/>
        <v>Not open</v>
      </c>
    </row>
    <row r="1640" spans="1:18" x14ac:dyDescent="0.3">
      <c r="A1640" t="s">
        <v>1842</v>
      </c>
      <c r="B1640" t="s">
        <v>278</v>
      </c>
      <c r="C1640" t="s">
        <v>566</v>
      </c>
      <c r="D1640" s="1">
        <v>45380</v>
      </c>
      <c r="E1640" s="1">
        <v>45440</v>
      </c>
      <c r="F1640" t="s">
        <v>13</v>
      </c>
      <c r="G1640">
        <v>9609831</v>
      </c>
      <c r="H1640" s="1">
        <v>45442</v>
      </c>
      <c r="I1640" t="s">
        <v>555</v>
      </c>
      <c r="J1640" t="s">
        <v>556</v>
      </c>
      <c r="L1640">
        <v>9609831</v>
      </c>
      <c r="M1640">
        <f>IF(F1640="INR",1,INDEX('rates'!$B$2:$C$522,MATCH(D1640,'rates'!$A$2:$A$522,1),MATCH(F1640&amp;"/INR",'rates'!$B$1:$C$1,0)))</f>
        <v>1</v>
      </c>
      <c r="N1640">
        <f t="shared" si="135"/>
        <v>9609831</v>
      </c>
      <c r="O1640">
        <f t="shared" si="136"/>
        <v>0</v>
      </c>
      <c r="P1640">
        <f t="shared" si="137"/>
        <v>0</v>
      </c>
      <c r="Q1640">
        <f t="shared" si="134"/>
        <v>2</v>
      </c>
      <c r="R1640" t="str">
        <f t="shared" si="138"/>
        <v>Not open</v>
      </c>
    </row>
    <row r="1641" spans="1:18" x14ac:dyDescent="0.3">
      <c r="A1641" t="s">
        <v>1843</v>
      </c>
      <c r="B1641" t="s">
        <v>414</v>
      </c>
      <c r="C1641" t="s">
        <v>566</v>
      </c>
      <c r="D1641" s="1">
        <v>45380</v>
      </c>
      <c r="E1641" s="1">
        <v>45425</v>
      </c>
      <c r="F1641" t="s">
        <v>13</v>
      </c>
      <c r="G1641">
        <v>7026039</v>
      </c>
      <c r="H1641" s="1">
        <v>45428</v>
      </c>
      <c r="I1641" t="s">
        <v>555</v>
      </c>
      <c r="J1641" t="s">
        <v>556</v>
      </c>
      <c r="L1641">
        <v>7026039</v>
      </c>
      <c r="M1641">
        <f>IF(F1641="INR",1,INDEX('rates'!$B$2:$C$522,MATCH(D1641,'rates'!$A$2:$A$522,1),MATCH(F1641&amp;"/INR",'rates'!$B$1:$C$1,0)))</f>
        <v>1</v>
      </c>
      <c r="N1641">
        <f t="shared" si="135"/>
        <v>7026039</v>
      </c>
      <c r="O1641">
        <f t="shared" si="136"/>
        <v>0</v>
      </c>
      <c r="P1641">
        <f t="shared" si="137"/>
        <v>0</v>
      </c>
      <c r="Q1641">
        <f t="shared" si="134"/>
        <v>3</v>
      </c>
      <c r="R1641" t="str">
        <f t="shared" si="138"/>
        <v>Not open</v>
      </c>
    </row>
    <row r="1642" spans="1:18" x14ac:dyDescent="0.3">
      <c r="A1642" t="s">
        <v>1845</v>
      </c>
      <c r="B1642" t="s">
        <v>238</v>
      </c>
      <c r="C1642" t="s">
        <v>566</v>
      </c>
      <c r="D1642" s="1">
        <v>45381</v>
      </c>
      <c r="E1642" s="1">
        <v>45441</v>
      </c>
      <c r="F1642" t="s">
        <v>31</v>
      </c>
      <c r="G1642">
        <v>32443.99</v>
      </c>
      <c r="H1642" s="1">
        <v>45446</v>
      </c>
      <c r="I1642" t="s">
        <v>555</v>
      </c>
      <c r="J1642" t="s">
        <v>573</v>
      </c>
      <c r="K1642">
        <v>90.112099999999998</v>
      </c>
      <c r="L1642">
        <v>32443.99</v>
      </c>
      <c r="M1642">
        <f>IF(F1642="INR",1,INDEX('rates'!$B$2:$C$522,MATCH(D1642,'rates'!$A$2:$A$522,1),MATCH(F1642&amp;"/INR",'rates'!$B$1:$C$1,0)))</f>
        <v>89.932199999999995</v>
      </c>
      <c r="N1642">
        <f t="shared" si="135"/>
        <v>2917759.3974779998</v>
      </c>
      <c r="O1642">
        <f t="shared" si="136"/>
        <v>0</v>
      </c>
      <c r="P1642">
        <f t="shared" si="137"/>
        <v>0</v>
      </c>
      <c r="Q1642">
        <f t="shared" si="134"/>
        <v>5</v>
      </c>
      <c r="R1642" t="str">
        <f t="shared" si="138"/>
        <v>Not open</v>
      </c>
    </row>
    <row r="1643" spans="1:18" x14ac:dyDescent="0.3">
      <c r="A1643" t="s">
        <v>1846</v>
      </c>
      <c r="B1643" t="s">
        <v>316</v>
      </c>
      <c r="C1643" t="s">
        <v>575</v>
      </c>
      <c r="D1643" s="1">
        <v>45381</v>
      </c>
      <c r="E1643" s="1">
        <v>45411</v>
      </c>
      <c r="F1643" t="s">
        <v>13</v>
      </c>
      <c r="G1643">
        <v>2860091</v>
      </c>
      <c r="H1643" s="1">
        <v>45413</v>
      </c>
      <c r="I1643" t="s">
        <v>555</v>
      </c>
      <c r="J1643" t="s">
        <v>556</v>
      </c>
      <c r="L1643">
        <v>2860091</v>
      </c>
      <c r="M1643">
        <f>IF(F1643="INR",1,INDEX('rates'!$B$2:$C$522,MATCH(D1643,'rates'!$A$2:$A$522,1),MATCH(F1643&amp;"/INR",'rates'!$B$1:$C$1,0)))</f>
        <v>1</v>
      </c>
      <c r="N1643">
        <f t="shared" si="135"/>
        <v>2860091</v>
      </c>
      <c r="O1643">
        <f t="shared" si="136"/>
        <v>0</v>
      </c>
      <c r="P1643">
        <f t="shared" si="137"/>
        <v>0</v>
      </c>
      <c r="Q1643">
        <f t="shared" si="134"/>
        <v>2</v>
      </c>
      <c r="R1643" t="str">
        <f t="shared" si="138"/>
        <v>Not open</v>
      </c>
    </row>
    <row r="1644" spans="1:18" x14ac:dyDescent="0.3">
      <c r="A1644" t="s">
        <v>1848</v>
      </c>
      <c r="B1644" t="s">
        <v>496</v>
      </c>
      <c r="C1644" t="s">
        <v>554</v>
      </c>
      <c r="D1644" s="1">
        <v>45381</v>
      </c>
      <c r="E1644" s="1">
        <v>45426</v>
      </c>
      <c r="F1644" t="s">
        <v>13</v>
      </c>
      <c r="G1644">
        <v>4738080</v>
      </c>
      <c r="H1644" s="1">
        <v>45437</v>
      </c>
      <c r="I1644" t="s">
        <v>555</v>
      </c>
      <c r="J1644" t="s">
        <v>556</v>
      </c>
      <c r="L1644">
        <v>4738080</v>
      </c>
      <c r="M1644">
        <f>IF(F1644="INR",1,INDEX('rates'!$B$2:$C$522,MATCH(D1644,'rates'!$A$2:$A$522,1),MATCH(F1644&amp;"/INR",'rates'!$B$1:$C$1,0)))</f>
        <v>1</v>
      </c>
      <c r="N1644">
        <f t="shared" si="135"/>
        <v>4738080</v>
      </c>
      <c r="O1644">
        <f t="shared" si="136"/>
        <v>0</v>
      </c>
      <c r="P1644">
        <f t="shared" si="137"/>
        <v>0</v>
      </c>
      <c r="Q1644">
        <f t="shared" si="134"/>
        <v>11</v>
      </c>
      <c r="R1644" t="str">
        <f t="shared" si="138"/>
        <v>Not open</v>
      </c>
    </row>
    <row r="1645" spans="1:18" x14ac:dyDescent="0.3">
      <c r="A1645" t="s">
        <v>1849</v>
      </c>
      <c r="B1645" t="s">
        <v>512</v>
      </c>
      <c r="C1645" t="s">
        <v>566</v>
      </c>
      <c r="D1645" s="1">
        <v>45381</v>
      </c>
      <c r="E1645" s="1">
        <v>45441</v>
      </c>
      <c r="F1645" t="s">
        <v>31</v>
      </c>
      <c r="G1645">
        <v>66274.240000000005</v>
      </c>
      <c r="H1645" s="1">
        <v>45498</v>
      </c>
      <c r="I1645" t="s">
        <v>555</v>
      </c>
      <c r="J1645" t="s">
        <v>573</v>
      </c>
      <c r="K1645">
        <v>90.112099999999998</v>
      </c>
      <c r="L1645">
        <v>66274.240000000005</v>
      </c>
      <c r="M1645">
        <f>IF(F1645="INR",1,INDEX('rates'!$B$2:$C$522,MATCH(D1645,'rates'!$A$2:$A$522,1),MATCH(F1645&amp;"/INR",'rates'!$B$1:$C$1,0)))</f>
        <v>89.932199999999995</v>
      </c>
      <c r="N1645">
        <f t="shared" si="135"/>
        <v>5960188.2065280005</v>
      </c>
      <c r="O1645">
        <f t="shared" si="136"/>
        <v>0</v>
      </c>
      <c r="P1645">
        <f t="shared" si="137"/>
        <v>0</v>
      </c>
      <c r="Q1645">
        <f t="shared" si="134"/>
        <v>57</v>
      </c>
      <c r="R1645" t="str">
        <f t="shared" si="138"/>
        <v>Not open</v>
      </c>
    </row>
    <row r="1646" spans="1:18" x14ac:dyDescent="0.3">
      <c r="A1646" t="s">
        <v>1850</v>
      </c>
      <c r="B1646" t="s">
        <v>446</v>
      </c>
      <c r="C1646" t="s">
        <v>554</v>
      </c>
      <c r="D1646" s="1">
        <v>45384</v>
      </c>
      <c r="E1646" s="1">
        <v>45429</v>
      </c>
      <c r="F1646" t="s">
        <v>13</v>
      </c>
      <c r="G1646">
        <v>6378565</v>
      </c>
      <c r="H1646" s="1">
        <v>45437</v>
      </c>
      <c r="I1646" t="s">
        <v>555</v>
      </c>
      <c r="J1646" t="s">
        <v>556</v>
      </c>
      <c r="L1646">
        <v>6378565</v>
      </c>
      <c r="M1646">
        <f>IF(F1646="INR",1,INDEX('rates'!$B$2:$C$522,MATCH(D1646,'rates'!$A$2:$A$522,1),MATCH(F1646&amp;"/INR",'rates'!$B$1:$C$1,0)))</f>
        <v>1</v>
      </c>
      <c r="N1646">
        <f t="shared" si="135"/>
        <v>6378565</v>
      </c>
      <c r="O1646">
        <f t="shared" si="136"/>
        <v>0</v>
      </c>
      <c r="P1646">
        <f t="shared" si="137"/>
        <v>0</v>
      </c>
      <c r="Q1646">
        <f t="shared" si="134"/>
        <v>8</v>
      </c>
      <c r="R1646" t="str">
        <f t="shared" si="138"/>
        <v>Not open</v>
      </c>
    </row>
    <row r="1647" spans="1:18" x14ac:dyDescent="0.3">
      <c r="A1647" t="s">
        <v>1851</v>
      </c>
      <c r="B1647" t="s">
        <v>496</v>
      </c>
      <c r="C1647" t="s">
        <v>566</v>
      </c>
      <c r="D1647" s="1">
        <v>45384</v>
      </c>
      <c r="E1647" s="1">
        <v>45429</v>
      </c>
      <c r="F1647" t="s">
        <v>13</v>
      </c>
      <c r="G1647">
        <v>6127429</v>
      </c>
      <c r="H1647" s="1">
        <v>45437</v>
      </c>
      <c r="I1647" t="s">
        <v>555</v>
      </c>
      <c r="J1647" t="s">
        <v>556</v>
      </c>
      <c r="L1647">
        <v>6127429</v>
      </c>
      <c r="M1647">
        <f>IF(F1647="INR",1,INDEX('rates'!$B$2:$C$522,MATCH(D1647,'rates'!$A$2:$A$522,1),MATCH(F1647&amp;"/INR",'rates'!$B$1:$C$1,0)))</f>
        <v>1</v>
      </c>
      <c r="N1647">
        <f t="shared" si="135"/>
        <v>6127429</v>
      </c>
      <c r="O1647">
        <f t="shared" si="136"/>
        <v>0</v>
      </c>
      <c r="P1647">
        <f t="shared" si="137"/>
        <v>0</v>
      </c>
      <c r="Q1647">
        <f t="shared" si="134"/>
        <v>8</v>
      </c>
      <c r="R1647" t="str">
        <f t="shared" si="138"/>
        <v>Not open</v>
      </c>
    </row>
    <row r="1648" spans="1:18" x14ac:dyDescent="0.3">
      <c r="A1648" t="s">
        <v>1852</v>
      </c>
      <c r="B1648" t="s">
        <v>117</v>
      </c>
      <c r="C1648" t="s">
        <v>554</v>
      </c>
      <c r="D1648" s="1">
        <v>45385</v>
      </c>
      <c r="E1648" s="1">
        <v>45445</v>
      </c>
      <c r="F1648" t="s">
        <v>13</v>
      </c>
      <c r="G1648">
        <v>6820721</v>
      </c>
      <c r="H1648" s="1">
        <v>45453</v>
      </c>
      <c r="I1648" t="s">
        <v>555</v>
      </c>
      <c r="J1648" t="s">
        <v>556</v>
      </c>
      <c r="L1648">
        <v>6820721</v>
      </c>
      <c r="M1648">
        <f>IF(F1648="INR",1,INDEX('rates'!$B$2:$C$522,MATCH(D1648,'rates'!$A$2:$A$522,1),MATCH(F1648&amp;"/INR",'rates'!$B$1:$C$1,0)))</f>
        <v>1</v>
      </c>
      <c r="N1648">
        <f t="shared" si="135"/>
        <v>6820721</v>
      </c>
      <c r="O1648">
        <f t="shared" si="136"/>
        <v>0</v>
      </c>
      <c r="P1648">
        <f t="shared" si="137"/>
        <v>0</v>
      </c>
      <c r="Q1648">
        <f t="shared" si="134"/>
        <v>8</v>
      </c>
      <c r="R1648" t="str">
        <f t="shared" si="138"/>
        <v>Not open</v>
      </c>
    </row>
    <row r="1649" spans="1:18" x14ac:dyDescent="0.3">
      <c r="A1649" t="s">
        <v>1853</v>
      </c>
      <c r="B1649" t="s">
        <v>262</v>
      </c>
      <c r="C1649" t="s">
        <v>566</v>
      </c>
      <c r="D1649" s="1">
        <v>45385</v>
      </c>
      <c r="E1649" s="1">
        <v>45475</v>
      </c>
      <c r="F1649" t="s">
        <v>31</v>
      </c>
      <c r="G1649">
        <v>57619.62</v>
      </c>
      <c r="H1649" s="1">
        <v>45482</v>
      </c>
      <c r="I1649" t="s">
        <v>555</v>
      </c>
      <c r="J1649" t="s">
        <v>573</v>
      </c>
      <c r="K1649">
        <v>90.600700000000003</v>
      </c>
      <c r="L1649">
        <v>57619.62</v>
      </c>
      <c r="M1649">
        <f>IF(F1649="INR",1,INDEX('rates'!$B$2:$C$522,MATCH(D1649,'rates'!$A$2:$A$522,1),MATCH(F1649&amp;"/INR",'rates'!$B$1:$C$1,0)))</f>
        <v>90.329700000000003</v>
      </c>
      <c r="N1649">
        <f t="shared" si="135"/>
        <v>5204762.9887140002</v>
      </c>
      <c r="O1649">
        <f t="shared" si="136"/>
        <v>0</v>
      </c>
      <c r="P1649">
        <f t="shared" si="137"/>
        <v>0</v>
      </c>
      <c r="Q1649">
        <f t="shared" si="134"/>
        <v>7</v>
      </c>
      <c r="R1649" t="str">
        <f t="shared" si="138"/>
        <v>Not open</v>
      </c>
    </row>
    <row r="1650" spans="1:18" x14ac:dyDescent="0.3">
      <c r="A1650" t="s">
        <v>1855</v>
      </c>
      <c r="B1650" t="s">
        <v>72</v>
      </c>
      <c r="C1650" t="s">
        <v>560</v>
      </c>
      <c r="D1650" s="1">
        <v>45386</v>
      </c>
      <c r="E1650" s="1">
        <v>45476</v>
      </c>
      <c r="F1650" t="s">
        <v>31</v>
      </c>
      <c r="G1650">
        <v>18818.86</v>
      </c>
      <c r="H1650" s="1">
        <v>45487</v>
      </c>
      <c r="I1650" t="s">
        <v>555</v>
      </c>
      <c r="J1650" t="s">
        <v>556</v>
      </c>
      <c r="L1650">
        <v>18818.86</v>
      </c>
      <c r="M1650">
        <f>IF(F1650="INR",1,INDEX('rates'!$B$2:$C$522,MATCH(D1650,'rates'!$A$2:$A$522,1),MATCH(F1650&amp;"/INR",'rates'!$B$1:$C$1,0)))</f>
        <v>90.657600000000002</v>
      </c>
      <c r="N1650">
        <f t="shared" si="135"/>
        <v>1706072.682336</v>
      </c>
      <c r="O1650">
        <f t="shared" si="136"/>
        <v>0</v>
      </c>
      <c r="P1650">
        <f t="shared" si="137"/>
        <v>0</v>
      </c>
      <c r="Q1650">
        <f t="shared" si="134"/>
        <v>11</v>
      </c>
      <c r="R1650" t="str">
        <f t="shared" si="138"/>
        <v>Not open</v>
      </c>
    </row>
    <row r="1651" spans="1:18" x14ac:dyDescent="0.3">
      <c r="A1651" t="s">
        <v>1856</v>
      </c>
      <c r="B1651" t="s">
        <v>28</v>
      </c>
      <c r="C1651" t="s">
        <v>566</v>
      </c>
      <c r="D1651" s="1">
        <v>45387</v>
      </c>
      <c r="E1651" s="1">
        <v>45417</v>
      </c>
      <c r="F1651" t="s">
        <v>31</v>
      </c>
      <c r="G1651">
        <v>128866.13</v>
      </c>
      <c r="H1651" s="1">
        <v>45437</v>
      </c>
      <c r="I1651" t="s">
        <v>555</v>
      </c>
      <c r="J1651" t="s">
        <v>573</v>
      </c>
      <c r="K1651">
        <v>90.385000000000005</v>
      </c>
      <c r="L1651">
        <v>128866.13</v>
      </c>
      <c r="M1651">
        <f>IF(F1651="INR",1,INDEX('rates'!$B$2:$C$522,MATCH(D1651,'rates'!$A$2:$A$522,1),MATCH(F1651&amp;"/INR",'rates'!$B$1:$C$1,0)))</f>
        <v>90.294700000000006</v>
      </c>
      <c r="N1651">
        <f t="shared" si="135"/>
        <v>11635928.548511</v>
      </c>
      <c r="O1651">
        <f t="shared" si="136"/>
        <v>0</v>
      </c>
      <c r="P1651">
        <f t="shared" si="137"/>
        <v>0</v>
      </c>
      <c r="Q1651">
        <f t="shared" si="134"/>
        <v>20</v>
      </c>
      <c r="R1651" t="str">
        <f t="shared" si="138"/>
        <v>Not open</v>
      </c>
    </row>
    <row r="1652" spans="1:18" x14ac:dyDescent="0.3">
      <c r="A1652" t="s">
        <v>1857</v>
      </c>
      <c r="B1652" t="s">
        <v>264</v>
      </c>
      <c r="C1652" t="s">
        <v>575</v>
      </c>
      <c r="D1652" s="1">
        <v>45387</v>
      </c>
      <c r="E1652" s="1">
        <v>45432</v>
      </c>
      <c r="F1652" t="s">
        <v>13</v>
      </c>
      <c r="G1652">
        <v>4228155</v>
      </c>
      <c r="H1652" s="1">
        <v>45531</v>
      </c>
      <c r="I1652" t="s">
        <v>555</v>
      </c>
      <c r="J1652" t="s">
        <v>556</v>
      </c>
      <c r="L1652">
        <v>4228155</v>
      </c>
      <c r="M1652">
        <f>IF(F1652="INR",1,INDEX('rates'!$B$2:$C$522,MATCH(D1652,'rates'!$A$2:$A$522,1),MATCH(F1652&amp;"/INR",'rates'!$B$1:$C$1,0)))</f>
        <v>1</v>
      </c>
      <c r="N1652">
        <f t="shared" si="135"/>
        <v>4228155</v>
      </c>
      <c r="O1652">
        <f t="shared" si="136"/>
        <v>0</v>
      </c>
      <c r="P1652">
        <f t="shared" si="137"/>
        <v>0</v>
      </c>
      <c r="Q1652">
        <f t="shared" si="134"/>
        <v>99</v>
      </c>
      <c r="R1652" t="str">
        <f t="shared" si="138"/>
        <v>Not open</v>
      </c>
    </row>
    <row r="1653" spans="1:18" x14ac:dyDescent="0.3">
      <c r="A1653" t="s">
        <v>1858</v>
      </c>
      <c r="B1653" t="s">
        <v>400</v>
      </c>
      <c r="C1653" t="s">
        <v>558</v>
      </c>
      <c r="D1653" s="1">
        <v>45387</v>
      </c>
      <c r="E1653" s="1">
        <v>45432</v>
      </c>
      <c r="F1653" t="s">
        <v>36</v>
      </c>
      <c r="G1653">
        <v>248203.97</v>
      </c>
      <c r="H1653" s="1">
        <v>45602</v>
      </c>
      <c r="I1653" t="s">
        <v>555</v>
      </c>
      <c r="J1653" t="s">
        <v>556</v>
      </c>
      <c r="L1653">
        <v>248203.97</v>
      </c>
      <c r="M1653">
        <f>IF(F1653="INR",1,INDEX('rates'!$B$2:$C$522,MATCH(D1653,'rates'!$A$2:$A$522,1),MATCH(F1653&amp;"/INR",'rates'!$B$1:$C$1,0)))</f>
        <v>83.29</v>
      </c>
      <c r="N1653">
        <f t="shared" si="135"/>
        <v>20672908.6613</v>
      </c>
      <c r="O1653">
        <f t="shared" si="136"/>
        <v>0</v>
      </c>
      <c r="P1653">
        <f t="shared" si="137"/>
        <v>0</v>
      </c>
      <c r="Q1653">
        <f t="shared" si="134"/>
        <v>170</v>
      </c>
      <c r="R1653" t="str">
        <f t="shared" si="138"/>
        <v>Not open</v>
      </c>
    </row>
    <row r="1654" spans="1:18" x14ac:dyDescent="0.3">
      <c r="A1654" t="s">
        <v>1859</v>
      </c>
      <c r="B1654" t="s">
        <v>42</v>
      </c>
      <c r="C1654" t="s">
        <v>566</v>
      </c>
      <c r="D1654" s="1">
        <v>45388</v>
      </c>
      <c r="E1654" s="1">
        <v>45448</v>
      </c>
      <c r="F1654" t="s">
        <v>13</v>
      </c>
      <c r="G1654">
        <v>16585856</v>
      </c>
      <c r="H1654" s="1">
        <v>45443</v>
      </c>
      <c r="I1654" t="s">
        <v>555</v>
      </c>
      <c r="J1654" t="s">
        <v>556</v>
      </c>
      <c r="L1654">
        <v>16585856</v>
      </c>
      <c r="M1654">
        <f>IF(F1654="INR",1,INDEX('rates'!$B$2:$C$522,MATCH(D1654,'rates'!$A$2:$A$522,1),MATCH(F1654&amp;"/INR",'rates'!$B$1:$C$1,0)))</f>
        <v>1</v>
      </c>
      <c r="N1654">
        <f t="shared" si="135"/>
        <v>16585856</v>
      </c>
      <c r="O1654">
        <f t="shared" si="136"/>
        <v>0</v>
      </c>
      <c r="P1654">
        <f t="shared" si="137"/>
        <v>0</v>
      </c>
      <c r="Q1654">
        <f t="shared" si="134"/>
        <v>-5</v>
      </c>
      <c r="R1654" t="str">
        <f t="shared" si="138"/>
        <v>Not open</v>
      </c>
    </row>
    <row r="1655" spans="1:18" x14ac:dyDescent="0.3">
      <c r="A1655" t="s">
        <v>1860</v>
      </c>
      <c r="B1655" t="s">
        <v>162</v>
      </c>
      <c r="C1655" t="s">
        <v>554</v>
      </c>
      <c r="D1655" s="1">
        <v>45388</v>
      </c>
      <c r="E1655" s="1">
        <v>45478</v>
      </c>
      <c r="F1655" t="s">
        <v>13</v>
      </c>
      <c r="G1655">
        <v>1973948</v>
      </c>
      <c r="H1655" s="1">
        <v>45477</v>
      </c>
      <c r="I1655" t="s">
        <v>555</v>
      </c>
      <c r="J1655" t="s">
        <v>556</v>
      </c>
      <c r="L1655">
        <v>1973948</v>
      </c>
      <c r="M1655">
        <f>IF(F1655="INR",1,INDEX('rates'!$B$2:$C$522,MATCH(D1655,'rates'!$A$2:$A$522,1),MATCH(F1655&amp;"/INR",'rates'!$B$1:$C$1,0)))</f>
        <v>1</v>
      </c>
      <c r="N1655">
        <f t="shared" si="135"/>
        <v>1973948</v>
      </c>
      <c r="O1655">
        <f t="shared" si="136"/>
        <v>0</v>
      </c>
      <c r="P1655">
        <f t="shared" si="137"/>
        <v>0</v>
      </c>
      <c r="Q1655">
        <f t="shared" si="134"/>
        <v>-1</v>
      </c>
      <c r="R1655" t="str">
        <f t="shared" si="138"/>
        <v>Not open</v>
      </c>
    </row>
    <row r="1656" spans="1:18" x14ac:dyDescent="0.3">
      <c r="A1656" t="s">
        <v>1861</v>
      </c>
      <c r="B1656" t="s">
        <v>258</v>
      </c>
      <c r="C1656" t="s">
        <v>558</v>
      </c>
      <c r="D1656" s="1">
        <v>45388</v>
      </c>
      <c r="E1656" s="1">
        <v>45433</v>
      </c>
      <c r="F1656" t="s">
        <v>13</v>
      </c>
      <c r="G1656">
        <v>5015457</v>
      </c>
      <c r="H1656" s="1">
        <v>45439</v>
      </c>
      <c r="I1656" t="s">
        <v>555</v>
      </c>
      <c r="J1656" t="s">
        <v>556</v>
      </c>
      <c r="L1656">
        <v>5015457</v>
      </c>
      <c r="M1656">
        <f>IF(F1656="INR",1,INDEX('rates'!$B$2:$C$522,MATCH(D1656,'rates'!$A$2:$A$522,1),MATCH(F1656&amp;"/INR",'rates'!$B$1:$C$1,0)))</f>
        <v>1</v>
      </c>
      <c r="N1656">
        <f t="shared" si="135"/>
        <v>5015457</v>
      </c>
      <c r="O1656">
        <f t="shared" si="136"/>
        <v>0</v>
      </c>
      <c r="P1656">
        <f t="shared" si="137"/>
        <v>0</v>
      </c>
      <c r="Q1656">
        <f t="shared" si="134"/>
        <v>6</v>
      </c>
      <c r="R1656" t="str">
        <f t="shared" si="138"/>
        <v>Not open</v>
      </c>
    </row>
    <row r="1657" spans="1:18" x14ac:dyDescent="0.3">
      <c r="A1657" t="s">
        <v>1862</v>
      </c>
      <c r="B1657" t="s">
        <v>324</v>
      </c>
      <c r="C1657" t="s">
        <v>575</v>
      </c>
      <c r="D1657" s="1">
        <v>45388</v>
      </c>
      <c r="E1657" s="1">
        <v>45448</v>
      </c>
      <c r="F1657" t="s">
        <v>31</v>
      </c>
      <c r="G1657">
        <v>42377.51</v>
      </c>
      <c r="H1657" s="1">
        <v>45457</v>
      </c>
      <c r="I1657" t="s">
        <v>555</v>
      </c>
      <c r="J1657" t="s">
        <v>556</v>
      </c>
      <c r="L1657">
        <v>42377.51</v>
      </c>
      <c r="M1657">
        <f>IF(F1657="INR",1,INDEX('rates'!$B$2:$C$522,MATCH(D1657,'rates'!$A$2:$A$522,1),MATCH(F1657&amp;"/INR",'rates'!$B$1:$C$1,0)))</f>
        <v>90.294700000000006</v>
      </c>
      <c r="N1657">
        <f t="shared" si="135"/>
        <v>3826464.5521970005</v>
      </c>
      <c r="O1657">
        <f t="shared" si="136"/>
        <v>0</v>
      </c>
      <c r="P1657">
        <f t="shared" si="137"/>
        <v>0</v>
      </c>
      <c r="Q1657">
        <f t="shared" si="134"/>
        <v>9</v>
      </c>
      <c r="R1657" t="str">
        <f t="shared" si="138"/>
        <v>Not open</v>
      </c>
    </row>
    <row r="1658" spans="1:18" x14ac:dyDescent="0.3">
      <c r="A1658" t="s">
        <v>1863</v>
      </c>
      <c r="B1658" t="s">
        <v>476</v>
      </c>
      <c r="C1658" t="s">
        <v>566</v>
      </c>
      <c r="D1658" s="1">
        <v>45388</v>
      </c>
      <c r="E1658" s="1">
        <v>45433</v>
      </c>
      <c r="F1658" t="s">
        <v>13</v>
      </c>
      <c r="G1658">
        <v>4308990</v>
      </c>
      <c r="H1658" s="1">
        <v>45453</v>
      </c>
      <c r="I1658" t="s">
        <v>555</v>
      </c>
      <c r="J1658" t="s">
        <v>556</v>
      </c>
      <c r="L1658">
        <v>4308990</v>
      </c>
      <c r="M1658">
        <f>IF(F1658="INR",1,INDEX('rates'!$B$2:$C$522,MATCH(D1658,'rates'!$A$2:$A$522,1),MATCH(F1658&amp;"/INR",'rates'!$B$1:$C$1,0)))</f>
        <v>1</v>
      </c>
      <c r="N1658">
        <f t="shared" si="135"/>
        <v>4308990</v>
      </c>
      <c r="O1658">
        <f t="shared" si="136"/>
        <v>0</v>
      </c>
      <c r="P1658">
        <f t="shared" si="137"/>
        <v>0</v>
      </c>
      <c r="Q1658">
        <f t="shared" si="134"/>
        <v>20</v>
      </c>
      <c r="R1658" t="str">
        <f t="shared" si="138"/>
        <v>Not open</v>
      </c>
    </row>
    <row r="1659" spans="1:18" x14ac:dyDescent="0.3">
      <c r="A1659" t="s">
        <v>1864</v>
      </c>
      <c r="B1659" t="s">
        <v>498</v>
      </c>
      <c r="C1659" t="s">
        <v>566</v>
      </c>
      <c r="D1659" s="1">
        <v>45388</v>
      </c>
      <c r="E1659" s="1">
        <v>45478</v>
      </c>
      <c r="F1659" t="s">
        <v>36</v>
      </c>
      <c r="G1659">
        <v>98608.89</v>
      </c>
      <c r="H1659" s="1">
        <v>45482</v>
      </c>
      <c r="I1659" t="s">
        <v>555</v>
      </c>
      <c r="J1659" t="s">
        <v>573</v>
      </c>
      <c r="K1659">
        <v>83.706500000000005</v>
      </c>
      <c r="L1659">
        <v>98608.89</v>
      </c>
      <c r="M1659">
        <f>IF(F1659="INR",1,INDEX('rates'!$B$2:$C$522,MATCH(D1659,'rates'!$A$2:$A$522,1),MATCH(F1659&amp;"/INR",'rates'!$B$1:$C$1,0)))</f>
        <v>83.29</v>
      </c>
      <c r="N1659">
        <f t="shared" si="135"/>
        <v>8213134.4481000006</v>
      </c>
      <c r="O1659">
        <f t="shared" si="136"/>
        <v>0</v>
      </c>
      <c r="P1659">
        <f t="shared" si="137"/>
        <v>0</v>
      </c>
      <c r="Q1659">
        <f t="shared" si="134"/>
        <v>4</v>
      </c>
      <c r="R1659" t="str">
        <f t="shared" si="138"/>
        <v>Not open</v>
      </c>
    </row>
    <row r="1660" spans="1:18" x14ac:dyDescent="0.3">
      <c r="A1660" t="s">
        <v>1865</v>
      </c>
      <c r="B1660" t="s">
        <v>148</v>
      </c>
      <c r="C1660" t="s">
        <v>575</v>
      </c>
      <c r="D1660" s="1">
        <v>45390</v>
      </c>
      <c r="E1660" s="1">
        <v>45450</v>
      </c>
      <c r="F1660" t="s">
        <v>31</v>
      </c>
      <c r="G1660">
        <v>107963.52</v>
      </c>
      <c r="H1660" s="1">
        <v>45466</v>
      </c>
      <c r="I1660" t="s">
        <v>555</v>
      </c>
      <c r="J1660" t="s">
        <v>556</v>
      </c>
      <c r="L1660">
        <v>107963.52</v>
      </c>
      <c r="M1660">
        <f>IF(F1660="INR",1,INDEX('rates'!$B$2:$C$522,MATCH(D1660,'rates'!$A$2:$A$522,1),MATCH(F1660&amp;"/INR",'rates'!$B$1:$C$1,0)))</f>
        <v>90.351200000000006</v>
      </c>
      <c r="N1660">
        <f t="shared" si="135"/>
        <v>9754633.5882240012</v>
      </c>
      <c r="O1660">
        <f t="shared" si="136"/>
        <v>0</v>
      </c>
      <c r="P1660">
        <f t="shared" si="137"/>
        <v>0</v>
      </c>
      <c r="Q1660">
        <f t="shared" si="134"/>
        <v>16</v>
      </c>
      <c r="R1660" t="str">
        <f t="shared" si="138"/>
        <v>Not open</v>
      </c>
    </row>
    <row r="1661" spans="1:18" x14ac:dyDescent="0.3">
      <c r="A1661" t="s">
        <v>1866</v>
      </c>
      <c r="B1661" t="s">
        <v>306</v>
      </c>
      <c r="C1661" t="s">
        <v>558</v>
      </c>
      <c r="D1661" s="1">
        <v>45390</v>
      </c>
      <c r="E1661" s="1">
        <v>45480</v>
      </c>
      <c r="F1661" t="s">
        <v>36</v>
      </c>
      <c r="G1661">
        <v>76967.78</v>
      </c>
      <c r="H1661" s="1">
        <v>45486</v>
      </c>
      <c r="I1661" t="s">
        <v>555</v>
      </c>
      <c r="J1661" t="s">
        <v>556</v>
      </c>
      <c r="L1661">
        <v>76967.78</v>
      </c>
      <c r="M1661">
        <f>IF(F1661="INR",1,INDEX('rates'!$B$2:$C$522,MATCH(D1661,'rates'!$A$2:$A$522,1),MATCH(F1661&amp;"/INR",'rates'!$B$1:$C$1,0)))</f>
        <v>83.25</v>
      </c>
      <c r="N1661">
        <f t="shared" si="135"/>
        <v>6407567.6849999996</v>
      </c>
      <c r="O1661">
        <f t="shared" si="136"/>
        <v>0</v>
      </c>
      <c r="P1661">
        <f t="shared" si="137"/>
        <v>0</v>
      </c>
      <c r="Q1661">
        <f t="shared" si="134"/>
        <v>6</v>
      </c>
      <c r="R1661" t="str">
        <f t="shared" si="138"/>
        <v>Not open</v>
      </c>
    </row>
    <row r="1662" spans="1:18" x14ac:dyDescent="0.3">
      <c r="A1662" t="s">
        <v>1867</v>
      </c>
      <c r="B1662" t="s">
        <v>332</v>
      </c>
      <c r="C1662" t="s">
        <v>566</v>
      </c>
      <c r="D1662" s="1">
        <v>45390</v>
      </c>
      <c r="E1662" s="1">
        <v>45450</v>
      </c>
      <c r="F1662" t="s">
        <v>36</v>
      </c>
      <c r="G1662">
        <v>49210.63</v>
      </c>
      <c r="H1662" s="1">
        <v>45457</v>
      </c>
      <c r="I1662" t="s">
        <v>555</v>
      </c>
      <c r="J1662" t="s">
        <v>556</v>
      </c>
      <c r="L1662">
        <v>49210.63</v>
      </c>
      <c r="M1662">
        <f>IF(F1662="INR",1,INDEX('rates'!$B$2:$C$522,MATCH(D1662,'rates'!$A$2:$A$522,1),MATCH(F1662&amp;"/INR",'rates'!$B$1:$C$1,0)))</f>
        <v>83.25</v>
      </c>
      <c r="N1662">
        <f t="shared" si="135"/>
        <v>4096784.9474999998</v>
      </c>
      <c r="O1662">
        <f t="shared" si="136"/>
        <v>0</v>
      </c>
      <c r="P1662">
        <f t="shared" si="137"/>
        <v>0</v>
      </c>
      <c r="Q1662">
        <f t="shared" si="134"/>
        <v>7</v>
      </c>
      <c r="R1662" t="str">
        <f t="shared" si="138"/>
        <v>Not open</v>
      </c>
    </row>
    <row r="1663" spans="1:18" x14ac:dyDescent="0.3">
      <c r="A1663" t="s">
        <v>1868</v>
      </c>
      <c r="B1663" t="s">
        <v>436</v>
      </c>
      <c r="C1663" t="s">
        <v>566</v>
      </c>
      <c r="D1663" s="1">
        <v>45390</v>
      </c>
      <c r="E1663" s="1">
        <v>45435</v>
      </c>
      <c r="F1663" t="s">
        <v>36</v>
      </c>
      <c r="G1663">
        <v>131005.2</v>
      </c>
      <c r="H1663" s="1">
        <v>45460</v>
      </c>
      <c r="I1663" t="s">
        <v>555</v>
      </c>
      <c r="J1663" t="s">
        <v>573</v>
      </c>
      <c r="K1663">
        <v>83.458100000000002</v>
      </c>
      <c r="L1663">
        <v>131005.2</v>
      </c>
      <c r="M1663">
        <f>IF(F1663="INR",1,INDEX('rates'!$B$2:$C$522,MATCH(D1663,'rates'!$A$2:$A$522,1),MATCH(F1663&amp;"/INR",'rates'!$B$1:$C$1,0)))</f>
        <v>83.25</v>
      </c>
      <c r="N1663">
        <f t="shared" si="135"/>
        <v>10906182.9</v>
      </c>
      <c r="O1663">
        <f t="shared" si="136"/>
        <v>0</v>
      </c>
      <c r="P1663">
        <f t="shared" si="137"/>
        <v>0</v>
      </c>
      <c r="Q1663">
        <f t="shared" si="134"/>
        <v>25</v>
      </c>
      <c r="R1663" t="str">
        <f t="shared" si="138"/>
        <v>Not open</v>
      </c>
    </row>
    <row r="1664" spans="1:18" x14ac:dyDescent="0.3">
      <c r="A1664" t="s">
        <v>1869</v>
      </c>
      <c r="B1664" t="s">
        <v>308</v>
      </c>
      <c r="C1664" t="s">
        <v>554</v>
      </c>
      <c r="D1664" s="1">
        <v>45391</v>
      </c>
      <c r="E1664" s="1">
        <v>45481</v>
      </c>
      <c r="F1664" t="s">
        <v>13</v>
      </c>
      <c r="G1664">
        <v>4707412</v>
      </c>
      <c r="H1664" s="1">
        <v>45488</v>
      </c>
      <c r="I1664" t="s">
        <v>555</v>
      </c>
      <c r="J1664" t="s">
        <v>556</v>
      </c>
      <c r="L1664">
        <v>4707412</v>
      </c>
      <c r="M1664">
        <f>IF(F1664="INR",1,INDEX('rates'!$B$2:$C$522,MATCH(D1664,'rates'!$A$2:$A$522,1),MATCH(F1664&amp;"/INR",'rates'!$B$1:$C$1,0)))</f>
        <v>1</v>
      </c>
      <c r="N1664">
        <f t="shared" si="135"/>
        <v>4707412</v>
      </c>
      <c r="O1664">
        <f t="shared" si="136"/>
        <v>0</v>
      </c>
      <c r="P1664">
        <f t="shared" si="137"/>
        <v>0</v>
      </c>
      <c r="Q1664">
        <f t="shared" ref="Q1664:Q1727" si="139">IF(H1664="","",H1664-E1664)</f>
        <v>7</v>
      </c>
      <c r="R1664" t="str">
        <f t="shared" si="138"/>
        <v>Not open</v>
      </c>
    </row>
    <row r="1665" spans="1:18" x14ac:dyDescent="0.3">
      <c r="A1665" t="s">
        <v>1870</v>
      </c>
      <c r="B1665" t="s">
        <v>336</v>
      </c>
      <c r="C1665" t="s">
        <v>554</v>
      </c>
      <c r="D1665" s="1">
        <v>45391</v>
      </c>
      <c r="E1665" s="1">
        <v>45421</v>
      </c>
      <c r="F1665" t="s">
        <v>13</v>
      </c>
      <c r="G1665">
        <v>5440397</v>
      </c>
      <c r="H1665" s="1">
        <v>45417</v>
      </c>
      <c r="I1665" t="s">
        <v>555</v>
      </c>
      <c r="J1665" t="s">
        <v>556</v>
      </c>
      <c r="L1665">
        <v>5440397</v>
      </c>
      <c r="M1665">
        <f>IF(F1665="INR",1,INDEX('rates'!$B$2:$C$522,MATCH(D1665,'rates'!$A$2:$A$522,1),MATCH(F1665&amp;"/INR",'rates'!$B$1:$C$1,0)))</f>
        <v>1</v>
      </c>
      <c r="N1665">
        <f t="shared" si="135"/>
        <v>5440397</v>
      </c>
      <c r="O1665">
        <f t="shared" si="136"/>
        <v>0</v>
      </c>
      <c r="P1665">
        <f t="shared" si="137"/>
        <v>0</v>
      </c>
      <c r="Q1665">
        <f t="shared" si="139"/>
        <v>-4</v>
      </c>
      <c r="R1665" t="str">
        <f t="shared" si="138"/>
        <v>Not open</v>
      </c>
    </row>
    <row r="1666" spans="1:18" x14ac:dyDescent="0.3">
      <c r="A1666" t="s">
        <v>1871</v>
      </c>
      <c r="B1666" t="s">
        <v>378</v>
      </c>
      <c r="C1666" t="s">
        <v>566</v>
      </c>
      <c r="D1666" s="1">
        <v>45391</v>
      </c>
      <c r="E1666" s="1">
        <v>45436</v>
      </c>
      <c r="F1666" t="s">
        <v>31</v>
      </c>
      <c r="G1666">
        <v>7200.58</v>
      </c>
      <c r="H1666" s="1">
        <v>45443</v>
      </c>
      <c r="I1666" t="s">
        <v>555</v>
      </c>
      <c r="J1666" t="s">
        <v>573</v>
      </c>
      <c r="K1666">
        <v>90.435699999999997</v>
      </c>
      <c r="L1666">
        <v>7200.58</v>
      </c>
      <c r="M1666">
        <f>IF(F1666="INR",1,INDEX('rates'!$B$2:$C$522,MATCH(D1666,'rates'!$A$2:$A$522,1),MATCH(F1666&amp;"/INR",'rates'!$B$1:$C$1,0)))</f>
        <v>90.300200000000004</v>
      </c>
      <c r="N1666">
        <f t="shared" ref="N1666:N1729" si="140">G1666*M1666</f>
        <v>650213.81411599996</v>
      </c>
      <c r="O1666">
        <f t="shared" ref="O1666:O1729" si="141">IF(OR(I1666="OPEN",I1666="PARTIALLY PAID"),(G1666-L1666)*M1666,0)</f>
        <v>0</v>
      </c>
      <c r="P1666">
        <f t="shared" ref="P1666:P1729" si="142">IF(O1666&gt;0,MAX(0,DATE(2025,3,31)-E1666),0)</f>
        <v>0</v>
      </c>
      <c r="Q1666">
        <f t="shared" si="139"/>
        <v>7</v>
      </c>
      <c r="R1666" t="str">
        <f t="shared" ref="R1666:R1729" si="143">IF(O1666=0,"Not open",IF(P1666=0,"Not yet due",IF(P1666&lt;=30,"1-30",IF(P1666&lt;=60,"31-60",IF(P1666&lt;=90,"61-90","90+")))))</f>
        <v>Not open</v>
      </c>
    </row>
    <row r="1667" spans="1:18" x14ac:dyDescent="0.3">
      <c r="A1667" t="s">
        <v>1872</v>
      </c>
      <c r="B1667" t="s">
        <v>472</v>
      </c>
      <c r="C1667" t="s">
        <v>558</v>
      </c>
      <c r="D1667" s="1">
        <v>45391</v>
      </c>
      <c r="E1667" s="1">
        <v>45451</v>
      </c>
      <c r="F1667" t="s">
        <v>36</v>
      </c>
      <c r="G1667">
        <v>89711.96</v>
      </c>
      <c r="H1667" s="1">
        <v>45462</v>
      </c>
      <c r="I1667" t="s">
        <v>555</v>
      </c>
      <c r="J1667" t="s">
        <v>573</v>
      </c>
      <c r="K1667">
        <v>83.457300000000004</v>
      </c>
      <c r="L1667">
        <v>89711.96</v>
      </c>
      <c r="M1667">
        <f>IF(F1667="INR",1,INDEX('rates'!$B$2:$C$522,MATCH(D1667,'rates'!$A$2:$A$522,1),MATCH(F1667&amp;"/INR",'rates'!$B$1:$C$1,0)))</f>
        <v>83.18</v>
      </c>
      <c r="N1667">
        <f t="shared" si="140"/>
        <v>7462240.8328000009</v>
      </c>
      <c r="O1667">
        <f t="shared" si="141"/>
        <v>0</v>
      </c>
      <c r="P1667">
        <f t="shared" si="142"/>
        <v>0</v>
      </c>
      <c r="Q1667">
        <f t="shared" si="139"/>
        <v>11</v>
      </c>
      <c r="R1667" t="str">
        <f t="shared" si="143"/>
        <v>Not open</v>
      </c>
    </row>
    <row r="1668" spans="1:18" x14ac:dyDescent="0.3">
      <c r="A1668" t="s">
        <v>1873</v>
      </c>
      <c r="B1668" t="s">
        <v>476</v>
      </c>
      <c r="C1668" t="s">
        <v>566</v>
      </c>
      <c r="D1668" s="1">
        <v>45391</v>
      </c>
      <c r="E1668" s="1">
        <v>45436</v>
      </c>
      <c r="F1668" t="s">
        <v>13</v>
      </c>
      <c r="G1668">
        <v>21022662</v>
      </c>
      <c r="H1668" s="1">
        <v>45460</v>
      </c>
      <c r="I1668" t="s">
        <v>555</v>
      </c>
      <c r="J1668" t="s">
        <v>556</v>
      </c>
      <c r="L1668">
        <v>21022662</v>
      </c>
      <c r="M1668">
        <f>IF(F1668="INR",1,INDEX('rates'!$B$2:$C$522,MATCH(D1668,'rates'!$A$2:$A$522,1),MATCH(F1668&amp;"/INR",'rates'!$B$1:$C$1,0)))</f>
        <v>1</v>
      </c>
      <c r="N1668">
        <f t="shared" si="140"/>
        <v>21022662</v>
      </c>
      <c r="O1668">
        <f t="shared" si="141"/>
        <v>0</v>
      </c>
      <c r="P1668">
        <f t="shared" si="142"/>
        <v>0</v>
      </c>
      <c r="Q1668">
        <f t="shared" si="139"/>
        <v>24</v>
      </c>
      <c r="R1668" t="str">
        <f t="shared" si="143"/>
        <v>Not open</v>
      </c>
    </row>
    <row r="1669" spans="1:18" x14ac:dyDescent="0.3">
      <c r="A1669" t="s">
        <v>1874</v>
      </c>
      <c r="B1669" t="s">
        <v>22</v>
      </c>
      <c r="C1669" t="s">
        <v>554</v>
      </c>
      <c r="D1669" s="1">
        <v>45392</v>
      </c>
      <c r="E1669" s="1">
        <v>45437</v>
      </c>
      <c r="F1669" t="s">
        <v>13</v>
      </c>
      <c r="G1669">
        <v>7058692</v>
      </c>
      <c r="H1669" s="1">
        <v>45441</v>
      </c>
      <c r="I1669" t="s">
        <v>555</v>
      </c>
      <c r="J1669" t="s">
        <v>556</v>
      </c>
      <c r="L1669">
        <v>7058692</v>
      </c>
      <c r="M1669">
        <f>IF(F1669="INR",1,INDEX('rates'!$B$2:$C$522,MATCH(D1669,'rates'!$A$2:$A$522,1),MATCH(F1669&amp;"/INR",'rates'!$B$1:$C$1,0)))</f>
        <v>1</v>
      </c>
      <c r="N1669">
        <f t="shared" si="140"/>
        <v>7058692</v>
      </c>
      <c r="O1669">
        <f t="shared" si="141"/>
        <v>0</v>
      </c>
      <c r="P1669">
        <f t="shared" si="142"/>
        <v>0</v>
      </c>
      <c r="Q1669">
        <f t="shared" si="139"/>
        <v>4</v>
      </c>
      <c r="R1669" t="str">
        <f t="shared" si="143"/>
        <v>Not open</v>
      </c>
    </row>
    <row r="1670" spans="1:18" x14ac:dyDescent="0.3">
      <c r="A1670" t="s">
        <v>1875</v>
      </c>
      <c r="B1670" t="s">
        <v>22</v>
      </c>
      <c r="C1670" t="s">
        <v>554</v>
      </c>
      <c r="D1670" s="1">
        <v>45392</v>
      </c>
      <c r="E1670" s="1">
        <v>45437</v>
      </c>
      <c r="F1670" t="s">
        <v>13</v>
      </c>
      <c r="G1670">
        <v>4907741</v>
      </c>
      <c r="H1670" s="1">
        <v>45453</v>
      </c>
      <c r="I1670" t="s">
        <v>555</v>
      </c>
      <c r="J1670" t="s">
        <v>556</v>
      </c>
      <c r="L1670">
        <v>4907741</v>
      </c>
      <c r="M1670">
        <f>IF(F1670="INR",1,INDEX('rates'!$B$2:$C$522,MATCH(D1670,'rates'!$A$2:$A$522,1),MATCH(F1670&amp;"/INR",'rates'!$B$1:$C$1,0)))</f>
        <v>1</v>
      </c>
      <c r="N1670">
        <f t="shared" si="140"/>
        <v>4907741</v>
      </c>
      <c r="O1670">
        <f t="shared" si="141"/>
        <v>0</v>
      </c>
      <c r="P1670">
        <f t="shared" si="142"/>
        <v>0</v>
      </c>
      <c r="Q1670">
        <f t="shared" si="139"/>
        <v>16</v>
      </c>
      <c r="R1670" t="str">
        <f t="shared" si="143"/>
        <v>Not open</v>
      </c>
    </row>
    <row r="1671" spans="1:18" x14ac:dyDescent="0.3">
      <c r="A1671" t="s">
        <v>1876</v>
      </c>
      <c r="B1671" t="s">
        <v>362</v>
      </c>
      <c r="C1671" t="s">
        <v>566</v>
      </c>
      <c r="D1671" s="1">
        <v>45392</v>
      </c>
      <c r="E1671" s="1">
        <v>45482</v>
      </c>
      <c r="F1671" t="s">
        <v>36</v>
      </c>
      <c r="G1671">
        <v>87885.01</v>
      </c>
      <c r="H1671" s="1">
        <v>45497</v>
      </c>
      <c r="I1671" t="s">
        <v>555</v>
      </c>
      <c r="J1671" t="s">
        <v>556</v>
      </c>
      <c r="L1671">
        <v>87885.01</v>
      </c>
      <c r="M1671">
        <f>IF(F1671="INR",1,INDEX('rates'!$B$2:$C$522,MATCH(D1671,'rates'!$A$2:$A$522,1),MATCH(F1671&amp;"/INR",'rates'!$B$1:$C$1,0)))</f>
        <v>83.37</v>
      </c>
      <c r="N1671">
        <f t="shared" si="140"/>
        <v>7326973.2836999996</v>
      </c>
      <c r="O1671">
        <f t="shared" si="141"/>
        <v>0</v>
      </c>
      <c r="P1671">
        <f t="shared" si="142"/>
        <v>0</v>
      </c>
      <c r="Q1671">
        <f t="shared" si="139"/>
        <v>15</v>
      </c>
      <c r="R1671" t="str">
        <f t="shared" si="143"/>
        <v>Not open</v>
      </c>
    </row>
    <row r="1672" spans="1:18" x14ac:dyDescent="0.3">
      <c r="A1672" t="s">
        <v>1877</v>
      </c>
      <c r="B1672" t="s">
        <v>476</v>
      </c>
      <c r="C1672" t="s">
        <v>566</v>
      </c>
      <c r="D1672" s="1">
        <v>45392</v>
      </c>
      <c r="E1672" s="1">
        <v>45437</v>
      </c>
      <c r="F1672" t="s">
        <v>13</v>
      </c>
      <c r="G1672">
        <v>15058476</v>
      </c>
      <c r="H1672" s="1">
        <v>45448</v>
      </c>
      <c r="I1672" t="s">
        <v>555</v>
      </c>
      <c r="J1672" t="s">
        <v>556</v>
      </c>
      <c r="L1672">
        <v>15058476</v>
      </c>
      <c r="M1672">
        <f>IF(F1672="INR",1,INDEX('rates'!$B$2:$C$522,MATCH(D1672,'rates'!$A$2:$A$522,1),MATCH(F1672&amp;"/INR",'rates'!$B$1:$C$1,0)))</f>
        <v>1</v>
      </c>
      <c r="N1672">
        <f t="shared" si="140"/>
        <v>15058476</v>
      </c>
      <c r="O1672">
        <f t="shared" si="141"/>
        <v>0</v>
      </c>
      <c r="P1672">
        <f t="shared" si="142"/>
        <v>0</v>
      </c>
      <c r="Q1672">
        <f t="shared" si="139"/>
        <v>11</v>
      </c>
      <c r="R1672" t="str">
        <f t="shared" si="143"/>
        <v>Not open</v>
      </c>
    </row>
    <row r="1673" spans="1:18" x14ac:dyDescent="0.3">
      <c r="A1673" t="s">
        <v>1878</v>
      </c>
      <c r="B1673" t="s">
        <v>190</v>
      </c>
      <c r="C1673" t="s">
        <v>558</v>
      </c>
      <c r="D1673" s="1">
        <v>45393</v>
      </c>
      <c r="E1673" s="1">
        <v>45423</v>
      </c>
      <c r="F1673" t="s">
        <v>13</v>
      </c>
      <c r="G1673">
        <v>7787746</v>
      </c>
      <c r="H1673" s="1">
        <v>45480</v>
      </c>
      <c r="I1673" t="s">
        <v>555</v>
      </c>
      <c r="J1673" t="s">
        <v>556</v>
      </c>
      <c r="L1673">
        <v>7787746</v>
      </c>
      <c r="M1673">
        <f>IF(F1673="INR",1,INDEX('rates'!$B$2:$C$522,MATCH(D1673,'rates'!$A$2:$A$522,1),MATCH(F1673&amp;"/INR",'rates'!$B$1:$C$1,0)))</f>
        <v>1</v>
      </c>
      <c r="N1673">
        <f t="shared" si="140"/>
        <v>7787746</v>
      </c>
      <c r="O1673">
        <f t="shared" si="141"/>
        <v>0</v>
      </c>
      <c r="P1673">
        <f t="shared" si="142"/>
        <v>0</v>
      </c>
      <c r="Q1673">
        <f t="shared" si="139"/>
        <v>57</v>
      </c>
      <c r="R1673" t="str">
        <f t="shared" si="143"/>
        <v>Not open</v>
      </c>
    </row>
    <row r="1674" spans="1:18" x14ac:dyDescent="0.3">
      <c r="A1674" t="s">
        <v>1879</v>
      </c>
      <c r="B1674" t="s">
        <v>258</v>
      </c>
      <c r="C1674" t="s">
        <v>558</v>
      </c>
      <c r="D1674" s="1">
        <v>45393</v>
      </c>
      <c r="E1674" s="1">
        <v>45438</v>
      </c>
      <c r="F1674" t="s">
        <v>13</v>
      </c>
      <c r="G1674">
        <v>6152917</v>
      </c>
      <c r="H1674" s="1">
        <v>45445</v>
      </c>
      <c r="I1674" t="s">
        <v>555</v>
      </c>
      <c r="J1674" t="s">
        <v>556</v>
      </c>
      <c r="L1674">
        <v>6152917</v>
      </c>
      <c r="M1674">
        <f>IF(F1674="INR",1,INDEX('rates'!$B$2:$C$522,MATCH(D1674,'rates'!$A$2:$A$522,1),MATCH(F1674&amp;"/INR",'rates'!$B$1:$C$1,0)))</f>
        <v>1</v>
      </c>
      <c r="N1674">
        <f t="shared" si="140"/>
        <v>6152917</v>
      </c>
      <c r="O1674">
        <f t="shared" si="141"/>
        <v>0</v>
      </c>
      <c r="P1674">
        <f t="shared" si="142"/>
        <v>0</v>
      </c>
      <c r="Q1674">
        <f t="shared" si="139"/>
        <v>7</v>
      </c>
      <c r="R1674" t="str">
        <f t="shared" si="143"/>
        <v>Not open</v>
      </c>
    </row>
    <row r="1675" spans="1:18" x14ac:dyDescent="0.3">
      <c r="A1675" t="s">
        <v>1880</v>
      </c>
      <c r="B1675" t="s">
        <v>276</v>
      </c>
      <c r="C1675" t="s">
        <v>558</v>
      </c>
      <c r="D1675" s="1">
        <v>45393</v>
      </c>
      <c r="E1675" s="1">
        <v>45453</v>
      </c>
      <c r="F1675" t="s">
        <v>13</v>
      </c>
      <c r="G1675">
        <v>4118565</v>
      </c>
      <c r="H1675" s="1"/>
      <c r="I1675" t="s">
        <v>717</v>
      </c>
      <c r="J1675" t="s">
        <v>556</v>
      </c>
      <c r="L1675">
        <v>0</v>
      </c>
      <c r="M1675">
        <f>IF(F1675="INR",1,INDEX('rates'!$B$2:$C$522,MATCH(D1675,'rates'!$A$2:$A$522,1),MATCH(F1675&amp;"/INR",'rates'!$B$1:$C$1,0)))</f>
        <v>1</v>
      </c>
      <c r="N1675">
        <f t="shared" si="140"/>
        <v>4118565</v>
      </c>
      <c r="O1675">
        <f t="shared" si="141"/>
        <v>0</v>
      </c>
      <c r="P1675">
        <f t="shared" si="142"/>
        <v>0</v>
      </c>
      <c r="Q1675" t="str">
        <f t="shared" si="139"/>
        <v/>
      </c>
      <c r="R1675" t="str">
        <f t="shared" si="143"/>
        <v>Not open</v>
      </c>
    </row>
    <row r="1676" spans="1:18" x14ac:dyDescent="0.3">
      <c r="A1676" t="s">
        <v>1881</v>
      </c>
      <c r="B1676" t="s">
        <v>524</v>
      </c>
      <c r="C1676" t="s">
        <v>554</v>
      </c>
      <c r="D1676" s="1">
        <v>45393</v>
      </c>
      <c r="E1676" s="1">
        <v>45453</v>
      </c>
      <c r="F1676" t="s">
        <v>31</v>
      </c>
      <c r="G1676">
        <v>49289.42</v>
      </c>
      <c r="H1676" s="1">
        <v>45466</v>
      </c>
      <c r="I1676" t="s">
        <v>555</v>
      </c>
      <c r="J1676" t="s">
        <v>556</v>
      </c>
      <c r="L1676">
        <v>49289.42</v>
      </c>
      <c r="M1676">
        <f>IF(F1676="INR",1,INDEX('rates'!$B$2:$C$522,MATCH(D1676,'rates'!$A$2:$A$522,1),MATCH(F1676&amp;"/INR",'rates'!$B$1:$C$1,0)))</f>
        <v>89.196299999999994</v>
      </c>
      <c r="N1676">
        <f t="shared" si="140"/>
        <v>4396433.8931459999</v>
      </c>
      <c r="O1676">
        <f t="shared" si="141"/>
        <v>0</v>
      </c>
      <c r="P1676">
        <f t="shared" si="142"/>
        <v>0</v>
      </c>
      <c r="Q1676">
        <f t="shared" si="139"/>
        <v>13</v>
      </c>
      <c r="R1676" t="str">
        <f t="shared" si="143"/>
        <v>Not open</v>
      </c>
    </row>
    <row r="1677" spans="1:18" x14ac:dyDescent="0.3">
      <c r="A1677" t="s">
        <v>1882</v>
      </c>
      <c r="B1677" t="s">
        <v>512</v>
      </c>
      <c r="C1677" t="s">
        <v>566</v>
      </c>
      <c r="D1677" s="1">
        <v>45394</v>
      </c>
      <c r="E1677" s="1">
        <v>45454</v>
      </c>
      <c r="F1677" t="s">
        <v>31</v>
      </c>
      <c r="G1677">
        <v>156293.85</v>
      </c>
      <c r="H1677" s="1">
        <v>45523</v>
      </c>
      <c r="I1677" t="s">
        <v>555</v>
      </c>
      <c r="J1677" t="s">
        <v>573</v>
      </c>
      <c r="K1677">
        <v>89.176299999999998</v>
      </c>
      <c r="L1677">
        <v>156293.85</v>
      </c>
      <c r="M1677">
        <f>IF(F1677="INR",1,INDEX('rates'!$B$2:$C$522,MATCH(D1677,'rates'!$A$2:$A$522,1),MATCH(F1677&amp;"/INR",'rates'!$B$1:$C$1,0)))</f>
        <v>88.9983</v>
      </c>
      <c r="N1677">
        <f t="shared" si="140"/>
        <v>13909886.950455001</v>
      </c>
      <c r="O1677">
        <f t="shared" si="141"/>
        <v>0</v>
      </c>
      <c r="P1677">
        <f t="shared" si="142"/>
        <v>0</v>
      </c>
      <c r="Q1677">
        <f t="shared" si="139"/>
        <v>69</v>
      </c>
      <c r="R1677" t="str">
        <f t="shared" si="143"/>
        <v>Not open</v>
      </c>
    </row>
    <row r="1678" spans="1:18" x14ac:dyDescent="0.3">
      <c r="A1678" t="s">
        <v>1883</v>
      </c>
      <c r="B1678" t="s">
        <v>65</v>
      </c>
      <c r="C1678" t="s">
        <v>558</v>
      </c>
      <c r="D1678" s="1">
        <v>45395</v>
      </c>
      <c r="E1678" s="1">
        <v>45425</v>
      </c>
      <c r="F1678" t="s">
        <v>13</v>
      </c>
      <c r="G1678">
        <v>6666406</v>
      </c>
      <c r="H1678" s="1">
        <v>45444</v>
      </c>
      <c r="I1678" t="s">
        <v>555</v>
      </c>
      <c r="J1678" t="s">
        <v>556</v>
      </c>
      <c r="L1678">
        <v>6666406</v>
      </c>
      <c r="M1678">
        <f>IF(F1678="INR",1,INDEX('rates'!$B$2:$C$522,MATCH(D1678,'rates'!$A$2:$A$522,1),MATCH(F1678&amp;"/INR",'rates'!$B$1:$C$1,0)))</f>
        <v>1</v>
      </c>
      <c r="N1678">
        <f t="shared" si="140"/>
        <v>6666406</v>
      </c>
      <c r="O1678">
        <f t="shared" si="141"/>
        <v>0</v>
      </c>
      <c r="P1678">
        <f t="shared" si="142"/>
        <v>0</v>
      </c>
      <c r="Q1678">
        <f t="shared" si="139"/>
        <v>19</v>
      </c>
      <c r="R1678" t="str">
        <f t="shared" si="143"/>
        <v>Not open</v>
      </c>
    </row>
    <row r="1679" spans="1:18" x14ac:dyDescent="0.3">
      <c r="A1679" t="s">
        <v>1884</v>
      </c>
      <c r="B1679" t="s">
        <v>138</v>
      </c>
      <c r="C1679" t="s">
        <v>566</v>
      </c>
      <c r="D1679" s="1">
        <v>45395</v>
      </c>
      <c r="E1679" s="1">
        <v>45425</v>
      </c>
      <c r="F1679" t="s">
        <v>13</v>
      </c>
      <c r="G1679">
        <v>1342619</v>
      </c>
      <c r="H1679" s="1">
        <v>45421</v>
      </c>
      <c r="I1679" t="s">
        <v>555</v>
      </c>
      <c r="J1679" t="s">
        <v>556</v>
      </c>
      <c r="L1679">
        <v>1342619</v>
      </c>
      <c r="M1679">
        <f>IF(F1679="INR",1,INDEX('rates'!$B$2:$C$522,MATCH(D1679,'rates'!$A$2:$A$522,1),MATCH(F1679&amp;"/INR",'rates'!$B$1:$C$1,0)))</f>
        <v>1</v>
      </c>
      <c r="N1679">
        <f t="shared" si="140"/>
        <v>1342619</v>
      </c>
      <c r="O1679">
        <f t="shared" si="141"/>
        <v>0</v>
      </c>
      <c r="P1679">
        <f t="shared" si="142"/>
        <v>0</v>
      </c>
      <c r="Q1679">
        <f t="shared" si="139"/>
        <v>-4</v>
      </c>
      <c r="R1679" t="str">
        <f t="shared" si="143"/>
        <v>Not open</v>
      </c>
    </row>
    <row r="1680" spans="1:18" x14ac:dyDescent="0.3">
      <c r="A1680" t="s">
        <v>1885</v>
      </c>
      <c r="B1680" t="s">
        <v>328</v>
      </c>
      <c r="C1680" t="s">
        <v>554</v>
      </c>
      <c r="D1680" s="1">
        <v>45395</v>
      </c>
      <c r="E1680" s="1">
        <v>45440</v>
      </c>
      <c r="F1680" t="s">
        <v>13</v>
      </c>
      <c r="G1680">
        <v>7112849</v>
      </c>
      <c r="H1680" s="1">
        <v>45435</v>
      </c>
      <c r="I1680" t="s">
        <v>555</v>
      </c>
      <c r="J1680" t="s">
        <v>556</v>
      </c>
      <c r="L1680">
        <v>7112849</v>
      </c>
      <c r="M1680">
        <f>IF(F1680="INR",1,INDEX('rates'!$B$2:$C$522,MATCH(D1680,'rates'!$A$2:$A$522,1),MATCH(F1680&amp;"/INR",'rates'!$B$1:$C$1,0)))</f>
        <v>1</v>
      </c>
      <c r="N1680">
        <f t="shared" si="140"/>
        <v>7112849</v>
      </c>
      <c r="O1680">
        <f t="shared" si="141"/>
        <v>0</v>
      </c>
      <c r="P1680">
        <f t="shared" si="142"/>
        <v>0</v>
      </c>
      <c r="Q1680">
        <f t="shared" si="139"/>
        <v>-5</v>
      </c>
      <c r="R1680" t="str">
        <f t="shared" si="143"/>
        <v>Not open</v>
      </c>
    </row>
    <row r="1681" spans="1:18" x14ac:dyDescent="0.3">
      <c r="A1681" t="s">
        <v>1886</v>
      </c>
      <c r="B1681" t="s">
        <v>332</v>
      </c>
      <c r="C1681" t="s">
        <v>566</v>
      </c>
      <c r="D1681" s="1">
        <v>45395</v>
      </c>
      <c r="E1681" s="1">
        <v>45455</v>
      </c>
      <c r="F1681" t="s">
        <v>36</v>
      </c>
      <c r="G1681">
        <v>84570.21</v>
      </c>
      <c r="H1681" s="1">
        <v>45454</v>
      </c>
      <c r="I1681" t="s">
        <v>555</v>
      </c>
      <c r="J1681" t="s">
        <v>556</v>
      </c>
      <c r="L1681">
        <v>84570.21</v>
      </c>
      <c r="M1681">
        <f>IF(F1681="INR",1,INDEX('rates'!$B$2:$C$522,MATCH(D1681,'rates'!$A$2:$A$522,1),MATCH(F1681&amp;"/INR",'rates'!$B$1:$C$1,0)))</f>
        <v>83.59</v>
      </c>
      <c r="N1681">
        <f t="shared" si="140"/>
        <v>7069223.8539000005</v>
      </c>
      <c r="O1681">
        <f t="shared" si="141"/>
        <v>0</v>
      </c>
      <c r="P1681">
        <f t="shared" si="142"/>
        <v>0</v>
      </c>
      <c r="Q1681">
        <f t="shared" si="139"/>
        <v>-1</v>
      </c>
      <c r="R1681" t="str">
        <f t="shared" si="143"/>
        <v>Not open</v>
      </c>
    </row>
    <row r="1682" spans="1:18" x14ac:dyDescent="0.3">
      <c r="A1682" t="s">
        <v>1887</v>
      </c>
      <c r="B1682" t="s">
        <v>374</v>
      </c>
      <c r="C1682" t="s">
        <v>575</v>
      </c>
      <c r="D1682" s="1">
        <v>45395</v>
      </c>
      <c r="E1682" s="1">
        <v>45425</v>
      </c>
      <c r="F1682" t="s">
        <v>13</v>
      </c>
      <c r="G1682">
        <v>1338572</v>
      </c>
      <c r="H1682" s="1">
        <v>45441</v>
      </c>
      <c r="I1682" t="s">
        <v>555</v>
      </c>
      <c r="J1682" t="s">
        <v>556</v>
      </c>
      <c r="L1682">
        <v>1338572</v>
      </c>
      <c r="M1682">
        <f>IF(F1682="INR",1,INDEX('rates'!$B$2:$C$522,MATCH(D1682,'rates'!$A$2:$A$522,1),MATCH(F1682&amp;"/INR",'rates'!$B$1:$C$1,0)))</f>
        <v>1</v>
      </c>
      <c r="N1682">
        <f t="shared" si="140"/>
        <v>1338572</v>
      </c>
      <c r="O1682">
        <f t="shared" si="141"/>
        <v>0</v>
      </c>
      <c r="P1682">
        <f t="shared" si="142"/>
        <v>0</v>
      </c>
      <c r="Q1682">
        <f t="shared" si="139"/>
        <v>16</v>
      </c>
      <c r="R1682" t="str">
        <f t="shared" si="143"/>
        <v>Not open</v>
      </c>
    </row>
    <row r="1683" spans="1:18" x14ac:dyDescent="0.3">
      <c r="A1683" t="s">
        <v>1888</v>
      </c>
      <c r="B1683" t="s">
        <v>486</v>
      </c>
      <c r="C1683" t="s">
        <v>554</v>
      </c>
      <c r="D1683" s="1">
        <v>45395</v>
      </c>
      <c r="E1683" s="1">
        <v>45440</v>
      </c>
      <c r="F1683" t="s">
        <v>13</v>
      </c>
      <c r="G1683">
        <v>10235633</v>
      </c>
      <c r="H1683" s="1"/>
      <c r="I1683" t="s">
        <v>717</v>
      </c>
      <c r="J1683" t="s">
        <v>556</v>
      </c>
      <c r="L1683">
        <v>0</v>
      </c>
      <c r="M1683">
        <f>IF(F1683="INR",1,INDEX('rates'!$B$2:$C$522,MATCH(D1683,'rates'!$A$2:$A$522,1),MATCH(F1683&amp;"/INR",'rates'!$B$1:$C$1,0)))</f>
        <v>1</v>
      </c>
      <c r="N1683">
        <f t="shared" si="140"/>
        <v>10235633</v>
      </c>
      <c r="O1683">
        <f t="shared" si="141"/>
        <v>0</v>
      </c>
      <c r="P1683">
        <f t="shared" si="142"/>
        <v>0</v>
      </c>
      <c r="Q1683" t="str">
        <f t="shared" si="139"/>
        <v/>
      </c>
      <c r="R1683" t="str">
        <f t="shared" si="143"/>
        <v>Not open</v>
      </c>
    </row>
    <row r="1684" spans="1:18" x14ac:dyDescent="0.3">
      <c r="A1684" t="s">
        <v>1889</v>
      </c>
      <c r="B1684" t="s">
        <v>516</v>
      </c>
      <c r="C1684" t="s">
        <v>560</v>
      </c>
      <c r="D1684" s="1">
        <v>45395</v>
      </c>
      <c r="E1684" s="1">
        <v>45455</v>
      </c>
      <c r="F1684" t="s">
        <v>13</v>
      </c>
      <c r="G1684">
        <v>6799550</v>
      </c>
      <c r="H1684" s="1">
        <v>45464</v>
      </c>
      <c r="I1684" t="s">
        <v>555</v>
      </c>
      <c r="J1684" t="s">
        <v>556</v>
      </c>
      <c r="L1684">
        <v>6799550</v>
      </c>
      <c r="M1684">
        <f>IF(F1684="INR",1,INDEX('rates'!$B$2:$C$522,MATCH(D1684,'rates'!$A$2:$A$522,1),MATCH(F1684&amp;"/INR",'rates'!$B$1:$C$1,0)))</f>
        <v>1</v>
      </c>
      <c r="N1684">
        <f t="shared" si="140"/>
        <v>6799550</v>
      </c>
      <c r="O1684">
        <f t="shared" si="141"/>
        <v>0</v>
      </c>
      <c r="P1684">
        <f t="shared" si="142"/>
        <v>0</v>
      </c>
      <c r="Q1684">
        <f t="shared" si="139"/>
        <v>9</v>
      </c>
      <c r="R1684" t="str">
        <f t="shared" si="143"/>
        <v>Not open</v>
      </c>
    </row>
    <row r="1685" spans="1:18" x14ac:dyDescent="0.3">
      <c r="A1685" t="s">
        <v>1890</v>
      </c>
      <c r="B1685" t="s">
        <v>262</v>
      </c>
      <c r="C1685" t="s">
        <v>566</v>
      </c>
      <c r="D1685" s="1">
        <v>45397</v>
      </c>
      <c r="E1685" s="1">
        <v>45487</v>
      </c>
      <c r="F1685" t="s">
        <v>31</v>
      </c>
      <c r="G1685">
        <v>37123.33</v>
      </c>
      <c r="H1685" s="1"/>
      <c r="I1685" t="s">
        <v>717</v>
      </c>
      <c r="J1685" t="s">
        <v>556</v>
      </c>
      <c r="L1685">
        <v>0</v>
      </c>
      <c r="M1685">
        <f>IF(F1685="INR",1,INDEX('rates'!$B$2:$C$522,MATCH(D1685,'rates'!$A$2:$A$522,1),MATCH(F1685&amp;"/INR",'rates'!$B$1:$C$1,0)))</f>
        <v>88.856099999999998</v>
      </c>
      <c r="N1685">
        <f t="shared" si="140"/>
        <v>3298634.3228130001</v>
      </c>
      <c r="O1685">
        <f t="shared" si="141"/>
        <v>0</v>
      </c>
      <c r="P1685">
        <f t="shared" si="142"/>
        <v>0</v>
      </c>
      <c r="Q1685" t="str">
        <f t="shared" si="139"/>
        <v/>
      </c>
      <c r="R1685" t="str">
        <f t="shared" si="143"/>
        <v>Not open</v>
      </c>
    </row>
    <row r="1686" spans="1:18" x14ac:dyDescent="0.3">
      <c r="A1686" t="s">
        <v>1892</v>
      </c>
      <c r="B1686" t="s">
        <v>464</v>
      </c>
      <c r="C1686" t="s">
        <v>560</v>
      </c>
      <c r="D1686" s="1">
        <v>45397</v>
      </c>
      <c r="E1686" s="1">
        <v>45487</v>
      </c>
      <c r="F1686" t="s">
        <v>13</v>
      </c>
      <c r="G1686">
        <v>5004223</v>
      </c>
      <c r="H1686" s="1">
        <v>45489</v>
      </c>
      <c r="I1686" t="s">
        <v>555</v>
      </c>
      <c r="J1686" t="s">
        <v>556</v>
      </c>
      <c r="L1686">
        <v>5004223</v>
      </c>
      <c r="M1686">
        <f>IF(F1686="INR",1,INDEX('rates'!$B$2:$C$522,MATCH(D1686,'rates'!$A$2:$A$522,1),MATCH(F1686&amp;"/INR",'rates'!$B$1:$C$1,0)))</f>
        <v>1</v>
      </c>
      <c r="N1686">
        <f t="shared" si="140"/>
        <v>5004223</v>
      </c>
      <c r="O1686">
        <f t="shared" si="141"/>
        <v>0</v>
      </c>
      <c r="P1686">
        <f t="shared" si="142"/>
        <v>0</v>
      </c>
      <c r="Q1686">
        <f t="shared" si="139"/>
        <v>2</v>
      </c>
      <c r="R1686" t="str">
        <f t="shared" si="143"/>
        <v>Not open</v>
      </c>
    </row>
    <row r="1687" spans="1:18" x14ac:dyDescent="0.3">
      <c r="A1687" t="s">
        <v>1893</v>
      </c>
      <c r="B1687" t="s">
        <v>28</v>
      </c>
      <c r="C1687" t="s">
        <v>558</v>
      </c>
      <c r="D1687" s="1">
        <v>45398</v>
      </c>
      <c r="E1687" s="1">
        <v>45428</v>
      </c>
      <c r="F1687" t="s">
        <v>31</v>
      </c>
      <c r="G1687">
        <v>62014.26</v>
      </c>
      <c r="H1687" s="1">
        <v>45442</v>
      </c>
      <c r="I1687" t="s">
        <v>555</v>
      </c>
      <c r="J1687" t="s">
        <v>556</v>
      </c>
      <c r="L1687">
        <v>62014.26</v>
      </c>
      <c r="M1687">
        <f>IF(F1687="INR",1,INDEX('rates'!$B$2:$C$522,MATCH(D1687,'rates'!$A$2:$A$522,1),MATCH(F1687&amp;"/INR",'rates'!$B$1:$C$1,0)))</f>
        <v>88.786299999999997</v>
      </c>
      <c r="N1687">
        <f t="shared" si="140"/>
        <v>5506016.6926379995</v>
      </c>
      <c r="O1687">
        <f t="shared" si="141"/>
        <v>0</v>
      </c>
      <c r="P1687">
        <f t="shared" si="142"/>
        <v>0</v>
      </c>
      <c r="Q1687">
        <f t="shared" si="139"/>
        <v>14</v>
      </c>
      <c r="R1687" t="str">
        <f t="shared" si="143"/>
        <v>Not open</v>
      </c>
    </row>
    <row r="1688" spans="1:18" x14ac:dyDescent="0.3">
      <c r="A1688" t="s">
        <v>1894</v>
      </c>
      <c r="B1688" t="s">
        <v>150</v>
      </c>
      <c r="C1688" t="s">
        <v>558</v>
      </c>
      <c r="D1688" s="1">
        <v>45398</v>
      </c>
      <c r="E1688" s="1">
        <v>45443</v>
      </c>
      <c r="F1688" t="s">
        <v>13</v>
      </c>
      <c r="G1688">
        <v>2948107</v>
      </c>
      <c r="H1688" s="1">
        <v>45445</v>
      </c>
      <c r="I1688" t="s">
        <v>555</v>
      </c>
      <c r="J1688" t="s">
        <v>556</v>
      </c>
      <c r="L1688">
        <v>2948107</v>
      </c>
      <c r="M1688">
        <f>IF(F1688="INR",1,INDEX('rates'!$B$2:$C$522,MATCH(D1688,'rates'!$A$2:$A$522,1),MATCH(F1688&amp;"/INR",'rates'!$B$1:$C$1,0)))</f>
        <v>1</v>
      </c>
      <c r="N1688">
        <f t="shared" si="140"/>
        <v>2948107</v>
      </c>
      <c r="O1688">
        <f t="shared" si="141"/>
        <v>0</v>
      </c>
      <c r="P1688">
        <f t="shared" si="142"/>
        <v>0</v>
      </c>
      <c r="Q1688">
        <f t="shared" si="139"/>
        <v>2</v>
      </c>
      <c r="R1688" t="str">
        <f t="shared" si="143"/>
        <v>Not open</v>
      </c>
    </row>
    <row r="1689" spans="1:18" x14ac:dyDescent="0.3">
      <c r="A1689" t="s">
        <v>1895</v>
      </c>
      <c r="B1689" t="s">
        <v>332</v>
      </c>
      <c r="C1689" t="s">
        <v>566</v>
      </c>
      <c r="D1689" s="1">
        <v>45398</v>
      </c>
      <c r="E1689" s="1">
        <v>45458</v>
      </c>
      <c r="F1689" t="s">
        <v>36</v>
      </c>
      <c r="G1689">
        <v>63839.77</v>
      </c>
      <c r="H1689" s="1">
        <v>45466</v>
      </c>
      <c r="I1689" t="s">
        <v>555</v>
      </c>
      <c r="J1689" t="s">
        <v>573</v>
      </c>
      <c r="K1689">
        <v>83.8185</v>
      </c>
      <c r="L1689">
        <v>63839.77</v>
      </c>
      <c r="M1689">
        <f>IF(F1689="INR",1,INDEX('rates'!$B$2:$C$522,MATCH(D1689,'rates'!$A$2:$A$522,1),MATCH(F1689&amp;"/INR",'rates'!$B$1:$C$1,0)))</f>
        <v>83.54</v>
      </c>
      <c r="N1689">
        <f t="shared" si="140"/>
        <v>5333174.3858000003</v>
      </c>
      <c r="O1689">
        <f t="shared" si="141"/>
        <v>0</v>
      </c>
      <c r="P1689">
        <f t="shared" si="142"/>
        <v>0</v>
      </c>
      <c r="Q1689">
        <f t="shared" si="139"/>
        <v>8</v>
      </c>
      <c r="R1689" t="str">
        <f t="shared" si="143"/>
        <v>Not open</v>
      </c>
    </row>
    <row r="1690" spans="1:18" x14ac:dyDescent="0.3">
      <c r="A1690" t="s">
        <v>1896</v>
      </c>
      <c r="B1690" t="s">
        <v>418</v>
      </c>
      <c r="C1690" t="s">
        <v>558</v>
      </c>
      <c r="D1690" s="1">
        <v>45398</v>
      </c>
      <c r="E1690" s="1">
        <v>45443</v>
      </c>
      <c r="F1690" t="s">
        <v>13</v>
      </c>
      <c r="G1690">
        <v>20067614</v>
      </c>
      <c r="H1690" s="1">
        <v>45487</v>
      </c>
      <c r="I1690" t="s">
        <v>555</v>
      </c>
      <c r="J1690" t="s">
        <v>556</v>
      </c>
      <c r="L1690">
        <v>20067614</v>
      </c>
      <c r="M1690">
        <f>IF(F1690="INR",1,INDEX('rates'!$B$2:$C$522,MATCH(D1690,'rates'!$A$2:$A$522,1),MATCH(F1690&amp;"/INR",'rates'!$B$1:$C$1,0)))</f>
        <v>1</v>
      </c>
      <c r="N1690">
        <f t="shared" si="140"/>
        <v>20067614</v>
      </c>
      <c r="O1690">
        <f t="shared" si="141"/>
        <v>0</v>
      </c>
      <c r="P1690">
        <f t="shared" si="142"/>
        <v>0</v>
      </c>
      <c r="Q1690">
        <f t="shared" si="139"/>
        <v>44</v>
      </c>
      <c r="R1690" t="str">
        <f t="shared" si="143"/>
        <v>Not open</v>
      </c>
    </row>
    <row r="1691" spans="1:18" x14ac:dyDescent="0.3">
      <c r="A1691" t="s">
        <v>1897</v>
      </c>
      <c r="B1691" t="s">
        <v>528</v>
      </c>
      <c r="C1691" t="s">
        <v>566</v>
      </c>
      <c r="D1691" s="1">
        <v>45398</v>
      </c>
      <c r="E1691" s="1">
        <v>45458</v>
      </c>
      <c r="F1691" t="s">
        <v>13</v>
      </c>
      <c r="G1691">
        <v>16125197</v>
      </c>
      <c r="H1691" s="1">
        <v>45498</v>
      </c>
      <c r="I1691" t="s">
        <v>555</v>
      </c>
      <c r="J1691" t="s">
        <v>556</v>
      </c>
      <c r="L1691">
        <v>16125197</v>
      </c>
      <c r="M1691">
        <f>IF(F1691="INR",1,INDEX('rates'!$B$2:$C$522,MATCH(D1691,'rates'!$A$2:$A$522,1),MATCH(F1691&amp;"/INR",'rates'!$B$1:$C$1,0)))</f>
        <v>1</v>
      </c>
      <c r="N1691">
        <f t="shared" si="140"/>
        <v>16125197</v>
      </c>
      <c r="O1691">
        <f t="shared" si="141"/>
        <v>0</v>
      </c>
      <c r="P1691">
        <f t="shared" si="142"/>
        <v>0</v>
      </c>
      <c r="Q1691">
        <f t="shared" si="139"/>
        <v>40</v>
      </c>
      <c r="R1691" t="str">
        <f t="shared" si="143"/>
        <v>Not open</v>
      </c>
    </row>
    <row r="1692" spans="1:18" x14ac:dyDescent="0.3">
      <c r="A1692" t="s">
        <v>1898</v>
      </c>
      <c r="B1692" t="s">
        <v>528</v>
      </c>
      <c r="C1692" t="s">
        <v>566</v>
      </c>
      <c r="D1692" s="1">
        <v>45398</v>
      </c>
      <c r="E1692" s="1">
        <v>45458</v>
      </c>
      <c r="F1692" t="s">
        <v>13</v>
      </c>
      <c r="G1692">
        <v>2159753</v>
      </c>
      <c r="H1692" s="1">
        <v>45493</v>
      </c>
      <c r="I1692" t="s">
        <v>555</v>
      </c>
      <c r="J1692" t="s">
        <v>556</v>
      </c>
      <c r="L1692">
        <v>2159753</v>
      </c>
      <c r="M1692">
        <f>IF(F1692="INR",1,INDEX('rates'!$B$2:$C$522,MATCH(D1692,'rates'!$A$2:$A$522,1),MATCH(F1692&amp;"/INR",'rates'!$B$1:$C$1,0)))</f>
        <v>1</v>
      </c>
      <c r="N1692">
        <f t="shared" si="140"/>
        <v>2159753</v>
      </c>
      <c r="O1692">
        <f t="shared" si="141"/>
        <v>0</v>
      </c>
      <c r="P1692">
        <f t="shared" si="142"/>
        <v>0</v>
      </c>
      <c r="Q1692">
        <f t="shared" si="139"/>
        <v>35</v>
      </c>
      <c r="R1692" t="str">
        <f t="shared" si="143"/>
        <v>Not open</v>
      </c>
    </row>
    <row r="1693" spans="1:18" x14ac:dyDescent="0.3">
      <c r="A1693" t="s">
        <v>1899</v>
      </c>
      <c r="B1693" t="s">
        <v>252</v>
      </c>
      <c r="C1693" t="s">
        <v>566</v>
      </c>
      <c r="D1693" s="1">
        <v>45399</v>
      </c>
      <c r="E1693" s="1">
        <v>45444</v>
      </c>
      <c r="F1693" t="s">
        <v>36</v>
      </c>
      <c r="G1693">
        <v>137007.75</v>
      </c>
      <c r="H1693" s="1">
        <v>45446</v>
      </c>
      <c r="I1693" t="s">
        <v>555</v>
      </c>
      <c r="J1693" t="s">
        <v>573</v>
      </c>
      <c r="K1693">
        <v>83.748900000000006</v>
      </c>
      <c r="L1693">
        <v>137007.75</v>
      </c>
      <c r="M1693">
        <f>IF(F1693="INR",1,INDEX('rates'!$B$2:$C$522,MATCH(D1693,'rates'!$A$2:$A$522,1),MATCH(F1693&amp;"/INR",'rates'!$B$1:$C$1,0)))</f>
        <v>83.54</v>
      </c>
      <c r="N1693">
        <f t="shared" si="140"/>
        <v>11445627.435000001</v>
      </c>
      <c r="O1693">
        <f t="shared" si="141"/>
        <v>0</v>
      </c>
      <c r="P1693">
        <f t="shared" si="142"/>
        <v>0</v>
      </c>
      <c r="Q1693">
        <f t="shared" si="139"/>
        <v>2</v>
      </c>
      <c r="R1693" t="str">
        <f t="shared" si="143"/>
        <v>Not open</v>
      </c>
    </row>
    <row r="1694" spans="1:18" x14ac:dyDescent="0.3">
      <c r="A1694" t="s">
        <v>1900</v>
      </c>
      <c r="B1694" t="s">
        <v>400</v>
      </c>
      <c r="C1694" t="s">
        <v>558</v>
      </c>
      <c r="D1694" s="1">
        <v>45399</v>
      </c>
      <c r="E1694" s="1">
        <v>45444</v>
      </c>
      <c r="F1694" t="s">
        <v>36</v>
      </c>
      <c r="G1694">
        <v>149087.29</v>
      </c>
      <c r="H1694" s="1"/>
      <c r="I1694" t="s">
        <v>717</v>
      </c>
      <c r="J1694" t="s">
        <v>556</v>
      </c>
      <c r="L1694">
        <v>0</v>
      </c>
      <c r="M1694">
        <f>IF(F1694="INR",1,INDEX('rates'!$B$2:$C$522,MATCH(D1694,'rates'!$A$2:$A$522,1),MATCH(F1694&amp;"/INR",'rates'!$B$1:$C$1,0)))</f>
        <v>83.54</v>
      </c>
      <c r="N1694">
        <f t="shared" si="140"/>
        <v>12454752.206600001</v>
      </c>
      <c r="O1694">
        <f t="shared" si="141"/>
        <v>0</v>
      </c>
      <c r="P1694">
        <f t="shared" si="142"/>
        <v>0</v>
      </c>
      <c r="Q1694" t="str">
        <f t="shared" si="139"/>
        <v/>
      </c>
      <c r="R1694" t="str">
        <f t="shared" si="143"/>
        <v>Not open</v>
      </c>
    </row>
    <row r="1695" spans="1:18" x14ac:dyDescent="0.3">
      <c r="A1695" t="s">
        <v>1901</v>
      </c>
      <c r="B1695" t="s">
        <v>478</v>
      </c>
      <c r="C1695" t="s">
        <v>560</v>
      </c>
      <c r="D1695" s="1">
        <v>45399</v>
      </c>
      <c r="E1695" s="1">
        <v>45429</v>
      </c>
      <c r="F1695" t="s">
        <v>13</v>
      </c>
      <c r="G1695">
        <v>20424399</v>
      </c>
      <c r="H1695" s="1">
        <v>45429</v>
      </c>
      <c r="I1695" t="s">
        <v>555</v>
      </c>
      <c r="J1695" t="s">
        <v>556</v>
      </c>
      <c r="L1695">
        <v>20424399</v>
      </c>
      <c r="M1695">
        <f>IF(F1695="INR",1,INDEX('rates'!$B$2:$C$522,MATCH(D1695,'rates'!$A$2:$A$522,1),MATCH(F1695&amp;"/INR",'rates'!$B$1:$C$1,0)))</f>
        <v>1</v>
      </c>
      <c r="N1695">
        <f t="shared" si="140"/>
        <v>20424399</v>
      </c>
      <c r="O1695">
        <f t="shared" si="141"/>
        <v>0</v>
      </c>
      <c r="P1695">
        <f t="shared" si="142"/>
        <v>0</v>
      </c>
      <c r="Q1695">
        <f t="shared" si="139"/>
        <v>0</v>
      </c>
      <c r="R1695" t="str">
        <f t="shared" si="143"/>
        <v>Not open</v>
      </c>
    </row>
    <row r="1696" spans="1:18" x14ac:dyDescent="0.3">
      <c r="A1696" t="s">
        <v>1902</v>
      </c>
      <c r="B1696" t="s">
        <v>516</v>
      </c>
      <c r="C1696" t="s">
        <v>560</v>
      </c>
      <c r="D1696" s="1">
        <v>45399</v>
      </c>
      <c r="E1696" s="1">
        <v>45459</v>
      </c>
      <c r="F1696" t="s">
        <v>13</v>
      </c>
      <c r="G1696">
        <v>3909256</v>
      </c>
      <c r="H1696" s="1">
        <v>45464</v>
      </c>
      <c r="I1696" t="s">
        <v>555</v>
      </c>
      <c r="J1696" t="s">
        <v>556</v>
      </c>
      <c r="L1696">
        <v>3909256</v>
      </c>
      <c r="M1696">
        <f>IF(F1696="INR",1,INDEX('rates'!$B$2:$C$522,MATCH(D1696,'rates'!$A$2:$A$522,1),MATCH(F1696&amp;"/INR",'rates'!$B$1:$C$1,0)))</f>
        <v>1</v>
      </c>
      <c r="N1696">
        <f t="shared" si="140"/>
        <v>3909256</v>
      </c>
      <c r="O1696">
        <f t="shared" si="141"/>
        <v>0</v>
      </c>
      <c r="P1696">
        <f t="shared" si="142"/>
        <v>0</v>
      </c>
      <c r="Q1696">
        <f t="shared" si="139"/>
        <v>5</v>
      </c>
      <c r="R1696" t="str">
        <f t="shared" si="143"/>
        <v>Not open</v>
      </c>
    </row>
    <row r="1697" spans="1:18" x14ac:dyDescent="0.3">
      <c r="A1697" t="s">
        <v>1903</v>
      </c>
      <c r="B1697" t="s">
        <v>19</v>
      </c>
      <c r="C1697" t="s">
        <v>554</v>
      </c>
      <c r="D1697" s="1">
        <v>45400</v>
      </c>
      <c r="E1697" s="1">
        <v>45445</v>
      </c>
      <c r="F1697" t="s">
        <v>13</v>
      </c>
      <c r="G1697">
        <v>7584688</v>
      </c>
      <c r="H1697" s="1">
        <v>45473</v>
      </c>
      <c r="I1697" t="s">
        <v>555</v>
      </c>
      <c r="J1697" t="s">
        <v>556</v>
      </c>
      <c r="L1697">
        <v>7584688</v>
      </c>
      <c r="M1697">
        <f>IF(F1697="INR",1,INDEX('rates'!$B$2:$C$522,MATCH(D1697,'rates'!$A$2:$A$522,1),MATCH(F1697&amp;"/INR",'rates'!$B$1:$C$1,0)))</f>
        <v>1</v>
      </c>
      <c r="N1697">
        <f t="shared" si="140"/>
        <v>7584688</v>
      </c>
      <c r="O1697">
        <f t="shared" si="141"/>
        <v>0</v>
      </c>
      <c r="P1697">
        <f t="shared" si="142"/>
        <v>0</v>
      </c>
      <c r="Q1697">
        <f t="shared" si="139"/>
        <v>28</v>
      </c>
      <c r="R1697" t="str">
        <f t="shared" si="143"/>
        <v>Not open</v>
      </c>
    </row>
    <row r="1698" spans="1:18" x14ac:dyDescent="0.3">
      <c r="A1698" t="s">
        <v>1904</v>
      </c>
      <c r="B1698" t="s">
        <v>85</v>
      </c>
      <c r="C1698" t="s">
        <v>566</v>
      </c>
      <c r="D1698" s="1">
        <v>45400</v>
      </c>
      <c r="E1698" s="1">
        <v>45430</v>
      </c>
      <c r="F1698" t="s">
        <v>13</v>
      </c>
      <c r="G1698">
        <v>14484831</v>
      </c>
      <c r="H1698" s="1">
        <v>45427</v>
      </c>
      <c r="I1698" t="s">
        <v>555</v>
      </c>
      <c r="J1698" t="s">
        <v>556</v>
      </c>
      <c r="L1698">
        <v>14484831</v>
      </c>
      <c r="M1698">
        <f>IF(F1698="INR",1,INDEX('rates'!$B$2:$C$522,MATCH(D1698,'rates'!$A$2:$A$522,1),MATCH(F1698&amp;"/INR",'rates'!$B$1:$C$1,0)))</f>
        <v>1</v>
      </c>
      <c r="N1698">
        <f t="shared" si="140"/>
        <v>14484831</v>
      </c>
      <c r="O1698">
        <f t="shared" si="141"/>
        <v>0</v>
      </c>
      <c r="P1698">
        <f t="shared" si="142"/>
        <v>0</v>
      </c>
      <c r="Q1698">
        <f t="shared" si="139"/>
        <v>-3</v>
      </c>
      <c r="R1698" t="str">
        <f t="shared" si="143"/>
        <v>Not open</v>
      </c>
    </row>
    <row r="1699" spans="1:18" x14ac:dyDescent="0.3">
      <c r="A1699" t="s">
        <v>1905</v>
      </c>
      <c r="B1699" t="s">
        <v>138</v>
      </c>
      <c r="C1699" t="s">
        <v>566</v>
      </c>
      <c r="D1699" s="1">
        <v>45400</v>
      </c>
      <c r="E1699" s="1">
        <v>45430</v>
      </c>
      <c r="F1699" t="s">
        <v>13</v>
      </c>
      <c r="G1699">
        <v>4794501</v>
      </c>
      <c r="H1699" s="1">
        <v>45432</v>
      </c>
      <c r="I1699" t="s">
        <v>555</v>
      </c>
      <c r="J1699" t="s">
        <v>556</v>
      </c>
      <c r="L1699">
        <v>4794501</v>
      </c>
      <c r="M1699">
        <f>IF(F1699="INR",1,INDEX('rates'!$B$2:$C$522,MATCH(D1699,'rates'!$A$2:$A$522,1),MATCH(F1699&amp;"/INR",'rates'!$B$1:$C$1,0)))</f>
        <v>1</v>
      </c>
      <c r="N1699">
        <f t="shared" si="140"/>
        <v>4794501</v>
      </c>
      <c r="O1699">
        <f t="shared" si="141"/>
        <v>0</v>
      </c>
      <c r="P1699">
        <f t="shared" si="142"/>
        <v>0</v>
      </c>
      <c r="Q1699">
        <f t="shared" si="139"/>
        <v>2</v>
      </c>
      <c r="R1699" t="str">
        <f t="shared" si="143"/>
        <v>Not open</v>
      </c>
    </row>
    <row r="1700" spans="1:18" x14ac:dyDescent="0.3">
      <c r="A1700" t="s">
        <v>1906</v>
      </c>
      <c r="B1700" t="s">
        <v>200</v>
      </c>
      <c r="C1700" t="s">
        <v>554</v>
      </c>
      <c r="D1700" s="1">
        <v>45400</v>
      </c>
      <c r="E1700" s="1">
        <v>45460</v>
      </c>
      <c r="F1700" t="s">
        <v>13</v>
      </c>
      <c r="G1700">
        <v>2261466</v>
      </c>
      <c r="H1700" s="1">
        <v>45473</v>
      </c>
      <c r="I1700" t="s">
        <v>555</v>
      </c>
      <c r="J1700" t="s">
        <v>556</v>
      </c>
      <c r="L1700">
        <v>2261466</v>
      </c>
      <c r="M1700">
        <f>IF(F1700="INR",1,INDEX('rates'!$B$2:$C$522,MATCH(D1700,'rates'!$A$2:$A$522,1),MATCH(F1700&amp;"/INR",'rates'!$B$1:$C$1,0)))</f>
        <v>1</v>
      </c>
      <c r="N1700">
        <f t="shared" si="140"/>
        <v>2261466</v>
      </c>
      <c r="O1700">
        <f t="shared" si="141"/>
        <v>0</v>
      </c>
      <c r="P1700">
        <f t="shared" si="142"/>
        <v>0</v>
      </c>
      <c r="Q1700">
        <f t="shared" si="139"/>
        <v>13</v>
      </c>
      <c r="R1700" t="str">
        <f t="shared" si="143"/>
        <v>Not open</v>
      </c>
    </row>
    <row r="1701" spans="1:18" x14ac:dyDescent="0.3">
      <c r="A1701" t="s">
        <v>1908</v>
      </c>
      <c r="B1701" t="s">
        <v>528</v>
      </c>
      <c r="C1701" t="s">
        <v>566</v>
      </c>
      <c r="D1701" s="1">
        <v>45400</v>
      </c>
      <c r="E1701" s="1">
        <v>45460</v>
      </c>
      <c r="F1701" t="s">
        <v>13</v>
      </c>
      <c r="G1701">
        <v>5315083</v>
      </c>
      <c r="H1701" s="1">
        <v>45488</v>
      </c>
      <c r="I1701" t="s">
        <v>555</v>
      </c>
      <c r="J1701" t="s">
        <v>556</v>
      </c>
      <c r="L1701">
        <v>5315083</v>
      </c>
      <c r="M1701">
        <f>IF(F1701="INR",1,INDEX('rates'!$B$2:$C$522,MATCH(D1701,'rates'!$A$2:$A$522,1),MATCH(F1701&amp;"/INR",'rates'!$B$1:$C$1,0)))</f>
        <v>1</v>
      </c>
      <c r="N1701">
        <f t="shared" si="140"/>
        <v>5315083</v>
      </c>
      <c r="O1701">
        <f t="shared" si="141"/>
        <v>0</v>
      </c>
      <c r="P1701">
        <f t="shared" si="142"/>
        <v>0</v>
      </c>
      <c r="Q1701">
        <f t="shared" si="139"/>
        <v>28</v>
      </c>
      <c r="R1701" t="str">
        <f t="shared" si="143"/>
        <v>Not open</v>
      </c>
    </row>
    <row r="1702" spans="1:18" x14ac:dyDescent="0.3">
      <c r="A1702" t="s">
        <v>1909</v>
      </c>
      <c r="B1702" t="s">
        <v>22</v>
      </c>
      <c r="C1702" t="s">
        <v>554</v>
      </c>
      <c r="D1702" s="1">
        <v>45401</v>
      </c>
      <c r="E1702" s="1">
        <v>45446</v>
      </c>
      <c r="F1702" t="s">
        <v>13</v>
      </c>
      <c r="G1702">
        <v>7737786</v>
      </c>
      <c r="H1702" s="1">
        <v>45453</v>
      </c>
      <c r="I1702" t="s">
        <v>555</v>
      </c>
      <c r="J1702" t="s">
        <v>556</v>
      </c>
      <c r="L1702">
        <v>7737786</v>
      </c>
      <c r="M1702">
        <f>IF(F1702="INR",1,INDEX('rates'!$B$2:$C$522,MATCH(D1702,'rates'!$A$2:$A$522,1),MATCH(F1702&amp;"/INR",'rates'!$B$1:$C$1,0)))</f>
        <v>1</v>
      </c>
      <c r="N1702">
        <f t="shared" si="140"/>
        <v>7737786</v>
      </c>
      <c r="O1702">
        <f t="shared" si="141"/>
        <v>0</v>
      </c>
      <c r="P1702">
        <f t="shared" si="142"/>
        <v>0</v>
      </c>
      <c r="Q1702">
        <f t="shared" si="139"/>
        <v>7</v>
      </c>
      <c r="R1702" t="str">
        <f t="shared" si="143"/>
        <v>Not open</v>
      </c>
    </row>
    <row r="1703" spans="1:18" x14ac:dyDescent="0.3">
      <c r="A1703" t="s">
        <v>1910</v>
      </c>
      <c r="B1703" t="s">
        <v>140</v>
      </c>
      <c r="C1703" t="s">
        <v>554</v>
      </c>
      <c r="D1703" s="1">
        <v>45401</v>
      </c>
      <c r="E1703" s="1">
        <v>45461</v>
      </c>
      <c r="F1703" t="s">
        <v>13</v>
      </c>
      <c r="G1703">
        <v>16455228</v>
      </c>
      <c r="H1703" s="1">
        <v>45458</v>
      </c>
      <c r="I1703" t="s">
        <v>555</v>
      </c>
      <c r="J1703" t="s">
        <v>556</v>
      </c>
      <c r="L1703">
        <v>16455228</v>
      </c>
      <c r="M1703">
        <f>IF(F1703="INR",1,INDEX('rates'!$B$2:$C$522,MATCH(D1703,'rates'!$A$2:$A$522,1),MATCH(F1703&amp;"/INR",'rates'!$B$1:$C$1,0)))</f>
        <v>1</v>
      </c>
      <c r="N1703">
        <f t="shared" si="140"/>
        <v>16455228</v>
      </c>
      <c r="O1703">
        <f t="shared" si="141"/>
        <v>0</v>
      </c>
      <c r="P1703">
        <f t="shared" si="142"/>
        <v>0</v>
      </c>
      <c r="Q1703">
        <f t="shared" si="139"/>
        <v>-3</v>
      </c>
      <c r="R1703" t="str">
        <f t="shared" si="143"/>
        <v>Not open</v>
      </c>
    </row>
    <row r="1704" spans="1:18" x14ac:dyDescent="0.3">
      <c r="A1704" t="s">
        <v>1911</v>
      </c>
      <c r="B1704" t="s">
        <v>200</v>
      </c>
      <c r="C1704" t="s">
        <v>554</v>
      </c>
      <c r="D1704" s="1">
        <v>45401</v>
      </c>
      <c r="E1704" s="1">
        <v>45461</v>
      </c>
      <c r="F1704" t="s">
        <v>13</v>
      </c>
      <c r="G1704">
        <v>1259437</v>
      </c>
      <c r="H1704" s="1">
        <v>45464</v>
      </c>
      <c r="I1704" t="s">
        <v>555</v>
      </c>
      <c r="J1704" t="s">
        <v>556</v>
      </c>
      <c r="L1704">
        <v>1259437</v>
      </c>
      <c r="M1704">
        <f>IF(F1704="INR",1,INDEX('rates'!$B$2:$C$522,MATCH(D1704,'rates'!$A$2:$A$522,1),MATCH(F1704&amp;"/INR",'rates'!$B$1:$C$1,0)))</f>
        <v>1</v>
      </c>
      <c r="N1704">
        <f t="shared" si="140"/>
        <v>1259437</v>
      </c>
      <c r="O1704">
        <f t="shared" si="141"/>
        <v>0</v>
      </c>
      <c r="P1704">
        <f t="shared" si="142"/>
        <v>0</v>
      </c>
      <c r="Q1704">
        <f t="shared" si="139"/>
        <v>3</v>
      </c>
      <c r="R1704" t="str">
        <f t="shared" si="143"/>
        <v>Not open</v>
      </c>
    </row>
    <row r="1705" spans="1:18" x14ac:dyDescent="0.3">
      <c r="A1705" t="s">
        <v>1912</v>
      </c>
      <c r="B1705" t="s">
        <v>466</v>
      </c>
      <c r="C1705" t="s">
        <v>558</v>
      </c>
      <c r="D1705" s="1">
        <v>45401</v>
      </c>
      <c r="E1705" s="1">
        <v>45461</v>
      </c>
      <c r="F1705" t="s">
        <v>31</v>
      </c>
      <c r="G1705">
        <v>61758.5</v>
      </c>
      <c r="H1705" s="1">
        <v>45473</v>
      </c>
      <c r="I1705" t="s">
        <v>555</v>
      </c>
      <c r="J1705" t="s">
        <v>556</v>
      </c>
      <c r="L1705">
        <v>61758.5</v>
      </c>
      <c r="M1705">
        <f>IF(F1705="INR",1,INDEX('rates'!$B$2:$C$522,MATCH(D1705,'rates'!$A$2:$A$522,1),MATCH(F1705&amp;"/INR",'rates'!$B$1:$C$1,0)))</f>
        <v>88.926599999999993</v>
      </c>
      <c r="N1705">
        <f t="shared" si="140"/>
        <v>5491973.4260999998</v>
      </c>
      <c r="O1705">
        <f t="shared" si="141"/>
        <v>0</v>
      </c>
      <c r="P1705">
        <f t="shared" si="142"/>
        <v>0</v>
      </c>
      <c r="Q1705">
        <f t="shared" si="139"/>
        <v>12</v>
      </c>
      <c r="R1705" t="str">
        <f t="shared" si="143"/>
        <v>Not open</v>
      </c>
    </row>
    <row r="1706" spans="1:18" x14ac:dyDescent="0.3">
      <c r="A1706" t="s">
        <v>1913</v>
      </c>
      <c r="B1706" t="s">
        <v>512</v>
      </c>
      <c r="C1706" t="s">
        <v>566</v>
      </c>
      <c r="D1706" s="1">
        <v>45401</v>
      </c>
      <c r="E1706" s="1">
        <v>45461</v>
      </c>
      <c r="F1706" t="s">
        <v>31</v>
      </c>
      <c r="G1706">
        <v>42747.81</v>
      </c>
      <c r="H1706" s="1">
        <v>45541</v>
      </c>
      <c r="I1706" t="s">
        <v>555</v>
      </c>
      <c r="J1706" t="s">
        <v>573</v>
      </c>
      <c r="K1706">
        <v>89.104500000000002</v>
      </c>
      <c r="L1706">
        <v>42747.81</v>
      </c>
      <c r="M1706">
        <f>IF(F1706="INR",1,INDEX('rates'!$B$2:$C$522,MATCH(D1706,'rates'!$A$2:$A$522,1),MATCH(F1706&amp;"/INR",'rates'!$B$1:$C$1,0)))</f>
        <v>88.926599999999993</v>
      </c>
      <c r="N1706">
        <f t="shared" si="140"/>
        <v>3801417.4007459995</v>
      </c>
      <c r="O1706">
        <f t="shared" si="141"/>
        <v>0</v>
      </c>
      <c r="P1706">
        <f t="shared" si="142"/>
        <v>0</v>
      </c>
      <c r="Q1706">
        <f t="shared" si="139"/>
        <v>80</v>
      </c>
      <c r="R1706" t="str">
        <f t="shared" si="143"/>
        <v>Not open</v>
      </c>
    </row>
    <row r="1707" spans="1:18" x14ac:dyDescent="0.3">
      <c r="A1707" t="s">
        <v>1914</v>
      </c>
      <c r="B1707" t="s">
        <v>65</v>
      </c>
      <c r="C1707" t="s">
        <v>558</v>
      </c>
      <c r="D1707" s="1">
        <v>45402</v>
      </c>
      <c r="E1707" s="1">
        <v>45432</v>
      </c>
      <c r="F1707" t="s">
        <v>13</v>
      </c>
      <c r="G1707">
        <v>4816334</v>
      </c>
      <c r="H1707" s="1">
        <v>45438</v>
      </c>
      <c r="I1707" t="s">
        <v>555</v>
      </c>
      <c r="J1707" t="s">
        <v>556</v>
      </c>
      <c r="L1707">
        <v>4816334</v>
      </c>
      <c r="M1707">
        <f>IF(F1707="INR",1,INDEX('rates'!$B$2:$C$522,MATCH(D1707,'rates'!$A$2:$A$522,1),MATCH(F1707&amp;"/INR",'rates'!$B$1:$C$1,0)))</f>
        <v>1</v>
      </c>
      <c r="N1707">
        <f t="shared" si="140"/>
        <v>4816334</v>
      </c>
      <c r="O1707">
        <f t="shared" si="141"/>
        <v>0</v>
      </c>
      <c r="P1707">
        <f t="shared" si="142"/>
        <v>0</v>
      </c>
      <c r="Q1707">
        <f t="shared" si="139"/>
        <v>6</v>
      </c>
      <c r="R1707" t="str">
        <f t="shared" si="143"/>
        <v>Not open</v>
      </c>
    </row>
    <row r="1708" spans="1:18" x14ac:dyDescent="0.3">
      <c r="A1708" t="s">
        <v>1915</v>
      </c>
      <c r="B1708" t="s">
        <v>276</v>
      </c>
      <c r="C1708" t="s">
        <v>558</v>
      </c>
      <c r="D1708" s="1">
        <v>45402</v>
      </c>
      <c r="E1708" s="1">
        <v>45462</v>
      </c>
      <c r="F1708" t="s">
        <v>13</v>
      </c>
      <c r="G1708">
        <v>2188146</v>
      </c>
      <c r="H1708" s="1">
        <v>45473</v>
      </c>
      <c r="I1708" t="s">
        <v>555</v>
      </c>
      <c r="J1708" t="s">
        <v>556</v>
      </c>
      <c r="L1708">
        <v>2188146</v>
      </c>
      <c r="M1708">
        <f>IF(F1708="INR",1,INDEX('rates'!$B$2:$C$522,MATCH(D1708,'rates'!$A$2:$A$522,1),MATCH(F1708&amp;"/INR",'rates'!$B$1:$C$1,0)))</f>
        <v>1</v>
      </c>
      <c r="N1708">
        <f t="shared" si="140"/>
        <v>2188146</v>
      </c>
      <c r="O1708">
        <f t="shared" si="141"/>
        <v>0</v>
      </c>
      <c r="P1708">
        <f t="shared" si="142"/>
        <v>0</v>
      </c>
      <c r="Q1708">
        <f t="shared" si="139"/>
        <v>11</v>
      </c>
      <c r="R1708" t="str">
        <f t="shared" si="143"/>
        <v>Not open</v>
      </c>
    </row>
    <row r="1709" spans="1:18" x14ac:dyDescent="0.3">
      <c r="A1709" t="s">
        <v>1916</v>
      </c>
      <c r="B1709" t="s">
        <v>276</v>
      </c>
      <c r="C1709" t="s">
        <v>558</v>
      </c>
      <c r="D1709" s="1">
        <v>45402</v>
      </c>
      <c r="E1709" s="1">
        <v>45462</v>
      </c>
      <c r="F1709" t="s">
        <v>13</v>
      </c>
      <c r="G1709">
        <v>6453136</v>
      </c>
      <c r="H1709" s="1">
        <v>45468</v>
      </c>
      <c r="I1709" t="s">
        <v>555</v>
      </c>
      <c r="J1709" t="s">
        <v>556</v>
      </c>
      <c r="L1709">
        <v>6453136</v>
      </c>
      <c r="M1709">
        <f>IF(F1709="INR",1,INDEX('rates'!$B$2:$C$522,MATCH(D1709,'rates'!$A$2:$A$522,1),MATCH(F1709&amp;"/INR",'rates'!$B$1:$C$1,0)))</f>
        <v>1</v>
      </c>
      <c r="N1709">
        <f t="shared" si="140"/>
        <v>6453136</v>
      </c>
      <c r="O1709">
        <f t="shared" si="141"/>
        <v>0</v>
      </c>
      <c r="P1709">
        <f t="shared" si="142"/>
        <v>0</v>
      </c>
      <c r="Q1709">
        <f t="shared" si="139"/>
        <v>6</v>
      </c>
      <c r="R1709" t="str">
        <f t="shared" si="143"/>
        <v>Not open</v>
      </c>
    </row>
    <row r="1710" spans="1:18" x14ac:dyDescent="0.3">
      <c r="A1710" t="s">
        <v>1917</v>
      </c>
      <c r="B1710" t="s">
        <v>298</v>
      </c>
      <c r="C1710" t="s">
        <v>560</v>
      </c>
      <c r="D1710" s="1">
        <v>45402</v>
      </c>
      <c r="E1710" s="1">
        <v>45462</v>
      </c>
      <c r="F1710" t="s">
        <v>31</v>
      </c>
      <c r="G1710">
        <v>53658.02</v>
      </c>
      <c r="H1710" s="1">
        <v>45468</v>
      </c>
      <c r="I1710" t="s">
        <v>555</v>
      </c>
      <c r="J1710" t="s">
        <v>556</v>
      </c>
      <c r="L1710">
        <v>53658.02</v>
      </c>
      <c r="M1710">
        <f>IF(F1710="INR",1,INDEX('rates'!$B$2:$C$522,MATCH(D1710,'rates'!$A$2:$A$522,1),MATCH(F1710&amp;"/INR",'rates'!$B$1:$C$1,0)))</f>
        <v>88.926599999999993</v>
      </c>
      <c r="N1710">
        <f t="shared" si="140"/>
        <v>4771625.2813319992</v>
      </c>
      <c r="O1710">
        <f t="shared" si="141"/>
        <v>0</v>
      </c>
      <c r="P1710">
        <f t="shared" si="142"/>
        <v>0</v>
      </c>
      <c r="Q1710">
        <f t="shared" si="139"/>
        <v>6</v>
      </c>
      <c r="R1710" t="str">
        <f t="shared" si="143"/>
        <v>Not open</v>
      </c>
    </row>
    <row r="1711" spans="1:18" x14ac:dyDescent="0.3">
      <c r="A1711" t="s">
        <v>1918</v>
      </c>
      <c r="B1711" t="s">
        <v>308</v>
      </c>
      <c r="C1711" t="s">
        <v>554</v>
      </c>
      <c r="D1711" s="1">
        <v>45402</v>
      </c>
      <c r="E1711" s="1">
        <v>45492</v>
      </c>
      <c r="F1711" t="s">
        <v>13</v>
      </c>
      <c r="G1711">
        <v>12954244</v>
      </c>
      <c r="H1711" s="1">
        <v>45497</v>
      </c>
      <c r="I1711" t="s">
        <v>555</v>
      </c>
      <c r="J1711" t="s">
        <v>556</v>
      </c>
      <c r="L1711">
        <v>12954244</v>
      </c>
      <c r="M1711">
        <f>IF(F1711="INR",1,INDEX('rates'!$B$2:$C$522,MATCH(D1711,'rates'!$A$2:$A$522,1),MATCH(F1711&amp;"/INR",'rates'!$B$1:$C$1,0)))</f>
        <v>1</v>
      </c>
      <c r="N1711">
        <f t="shared" si="140"/>
        <v>12954244</v>
      </c>
      <c r="O1711">
        <f t="shared" si="141"/>
        <v>0</v>
      </c>
      <c r="P1711">
        <f t="shared" si="142"/>
        <v>0</v>
      </c>
      <c r="Q1711">
        <f t="shared" si="139"/>
        <v>5</v>
      </c>
      <c r="R1711" t="str">
        <f t="shared" si="143"/>
        <v>Not open</v>
      </c>
    </row>
    <row r="1712" spans="1:18" x14ac:dyDescent="0.3">
      <c r="A1712" t="s">
        <v>1919</v>
      </c>
      <c r="B1712" t="s">
        <v>394</v>
      </c>
      <c r="C1712" t="s">
        <v>575</v>
      </c>
      <c r="D1712" s="1">
        <v>45402</v>
      </c>
      <c r="E1712" s="1">
        <v>45462</v>
      </c>
      <c r="F1712" t="s">
        <v>31</v>
      </c>
      <c r="G1712">
        <v>493753.54</v>
      </c>
      <c r="H1712" s="1">
        <v>45471</v>
      </c>
      <c r="I1712" t="s">
        <v>555</v>
      </c>
      <c r="J1712" t="s">
        <v>556</v>
      </c>
      <c r="L1712">
        <v>493753.54</v>
      </c>
      <c r="M1712">
        <f>IF(F1712="INR",1,INDEX('rates'!$B$2:$C$522,MATCH(D1712,'rates'!$A$2:$A$522,1),MATCH(F1712&amp;"/INR",'rates'!$B$1:$C$1,0)))</f>
        <v>88.926599999999993</v>
      </c>
      <c r="N1712">
        <f t="shared" si="140"/>
        <v>43907823.550163992</v>
      </c>
      <c r="O1712">
        <f t="shared" si="141"/>
        <v>0</v>
      </c>
      <c r="P1712">
        <f t="shared" si="142"/>
        <v>0</v>
      </c>
      <c r="Q1712">
        <f t="shared" si="139"/>
        <v>9</v>
      </c>
      <c r="R1712" t="str">
        <f t="shared" si="143"/>
        <v>Not open</v>
      </c>
    </row>
    <row r="1713" spans="1:18" x14ac:dyDescent="0.3">
      <c r="A1713" t="s">
        <v>1920</v>
      </c>
      <c r="B1713" t="s">
        <v>478</v>
      </c>
      <c r="C1713" t="s">
        <v>560</v>
      </c>
      <c r="D1713" s="1">
        <v>45402</v>
      </c>
      <c r="E1713" s="1">
        <v>45432</v>
      </c>
      <c r="F1713" t="s">
        <v>13</v>
      </c>
      <c r="G1713">
        <v>779746</v>
      </c>
      <c r="H1713" s="1">
        <v>45444</v>
      </c>
      <c r="I1713" t="s">
        <v>555</v>
      </c>
      <c r="J1713" t="s">
        <v>556</v>
      </c>
      <c r="L1713">
        <v>779746</v>
      </c>
      <c r="M1713">
        <f>IF(F1713="INR",1,INDEX('rates'!$B$2:$C$522,MATCH(D1713,'rates'!$A$2:$A$522,1),MATCH(F1713&amp;"/INR",'rates'!$B$1:$C$1,0)))</f>
        <v>1</v>
      </c>
      <c r="N1713">
        <f t="shared" si="140"/>
        <v>779746</v>
      </c>
      <c r="O1713">
        <f t="shared" si="141"/>
        <v>0</v>
      </c>
      <c r="P1713">
        <f t="shared" si="142"/>
        <v>0</v>
      </c>
      <c r="Q1713">
        <f t="shared" si="139"/>
        <v>12</v>
      </c>
      <c r="R1713" t="str">
        <f t="shared" si="143"/>
        <v>Not open</v>
      </c>
    </row>
    <row r="1714" spans="1:18" x14ac:dyDescent="0.3">
      <c r="A1714" t="s">
        <v>1921</v>
      </c>
      <c r="B1714" t="s">
        <v>524</v>
      </c>
      <c r="C1714" t="s">
        <v>554</v>
      </c>
      <c r="D1714" s="1">
        <v>45402</v>
      </c>
      <c r="E1714" s="1">
        <v>45462</v>
      </c>
      <c r="F1714" t="s">
        <v>31</v>
      </c>
      <c r="G1714">
        <v>109023.74</v>
      </c>
      <c r="H1714" s="1">
        <v>45464</v>
      </c>
      <c r="I1714" t="s">
        <v>555</v>
      </c>
      <c r="J1714" t="s">
        <v>573</v>
      </c>
      <c r="K1714">
        <v>89.104500000000002</v>
      </c>
      <c r="L1714">
        <v>109023.74</v>
      </c>
      <c r="M1714">
        <f>IF(F1714="INR",1,INDEX('rates'!$B$2:$C$522,MATCH(D1714,'rates'!$A$2:$A$522,1),MATCH(F1714&amp;"/INR",'rates'!$B$1:$C$1,0)))</f>
        <v>88.926599999999993</v>
      </c>
      <c r="N1714">
        <f t="shared" si="140"/>
        <v>9695110.517484</v>
      </c>
      <c r="O1714">
        <f t="shared" si="141"/>
        <v>0</v>
      </c>
      <c r="P1714">
        <f t="shared" si="142"/>
        <v>0</v>
      </c>
      <c r="Q1714">
        <f t="shared" si="139"/>
        <v>2</v>
      </c>
      <c r="R1714" t="str">
        <f t="shared" si="143"/>
        <v>Not open</v>
      </c>
    </row>
    <row r="1715" spans="1:18" x14ac:dyDescent="0.3">
      <c r="A1715" t="s">
        <v>1922</v>
      </c>
      <c r="B1715" t="s">
        <v>19</v>
      </c>
      <c r="C1715" t="s">
        <v>554</v>
      </c>
      <c r="D1715" s="1">
        <v>45404</v>
      </c>
      <c r="E1715" s="1">
        <v>45449</v>
      </c>
      <c r="F1715" t="s">
        <v>13</v>
      </c>
      <c r="G1715">
        <v>4417444</v>
      </c>
      <c r="H1715" s="1">
        <v>45474</v>
      </c>
      <c r="I1715" t="s">
        <v>555</v>
      </c>
      <c r="J1715" t="s">
        <v>556</v>
      </c>
      <c r="L1715">
        <v>4417444</v>
      </c>
      <c r="M1715">
        <f>IF(F1715="INR",1,INDEX('rates'!$B$2:$C$522,MATCH(D1715,'rates'!$A$2:$A$522,1),MATCH(F1715&amp;"/INR",'rates'!$B$1:$C$1,0)))</f>
        <v>1</v>
      </c>
      <c r="N1715">
        <f t="shared" si="140"/>
        <v>4417444</v>
      </c>
      <c r="O1715">
        <f t="shared" si="141"/>
        <v>0</v>
      </c>
      <c r="P1715">
        <f t="shared" si="142"/>
        <v>0</v>
      </c>
      <c r="Q1715">
        <f t="shared" si="139"/>
        <v>25</v>
      </c>
      <c r="R1715" t="str">
        <f t="shared" si="143"/>
        <v>Not open</v>
      </c>
    </row>
    <row r="1716" spans="1:18" x14ac:dyDescent="0.3">
      <c r="A1716" t="s">
        <v>1923</v>
      </c>
      <c r="B1716" t="s">
        <v>107</v>
      </c>
      <c r="C1716" t="s">
        <v>558</v>
      </c>
      <c r="D1716" s="1">
        <v>45404</v>
      </c>
      <c r="E1716" s="1">
        <v>45449</v>
      </c>
      <c r="F1716" t="s">
        <v>13</v>
      </c>
      <c r="G1716">
        <v>930185</v>
      </c>
      <c r="H1716" s="1">
        <v>45456</v>
      </c>
      <c r="I1716" t="s">
        <v>555</v>
      </c>
      <c r="J1716" t="s">
        <v>556</v>
      </c>
      <c r="L1716">
        <v>930185</v>
      </c>
      <c r="M1716">
        <f>IF(F1716="INR",1,INDEX('rates'!$B$2:$C$522,MATCH(D1716,'rates'!$A$2:$A$522,1),MATCH(F1716&amp;"/INR",'rates'!$B$1:$C$1,0)))</f>
        <v>1</v>
      </c>
      <c r="N1716">
        <f t="shared" si="140"/>
        <v>930185</v>
      </c>
      <c r="O1716">
        <f t="shared" si="141"/>
        <v>0</v>
      </c>
      <c r="P1716">
        <f t="shared" si="142"/>
        <v>0</v>
      </c>
      <c r="Q1716">
        <f t="shared" si="139"/>
        <v>7</v>
      </c>
      <c r="R1716" t="str">
        <f t="shared" si="143"/>
        <v>Not open</v>
      </c>
    </row>
    <row r="1717" spans="1:18" x14ac:dyDescent="0.3">
      <c r="A1717" t="s">
        <v>1924</v>
      </c>
      <c r="B1717" t="s">
        <v>140</v>
      </c>
      <c r="C1717" t="s">
        <v>554</v>
      </c>
      <c r="D1717" s="1">
        <v>45404</v>
      </c>
      <c r="E1717" s="1">
        <v>45464</v>
      </c>
      <c r="F1717" t="s">
        <v>13</v>
      </c>
      <c r="G1717">
        <v>23676281</v>
      </c>
      <c r="H1717" s="1">
        <v>45469</v>
      </c>
      <c r="I1717" t="s">
        <v>555</v>
      </c>
      <c r="J1717" t="s">
        <v>556</v>
      </c>
      <c r="L1717">
        <v>23676281</v>
      </c>
      <c r="M1717">
        <f>IF(F1717="INR",1,INDEX('rates'!$B$2:$C$522,MATCH(D1717,'rates'!$A$2:$A$522,1),MATCH(F1717&amp;"/INR",'rates'!$B$1:$C$1,0)))</f>
        <v>1</v>
      </c>
      <c r="N1717">
        <f t="shared" si="140"/>
        <v>23676281</v>
      </c>
      <c r="O1717">
        <f t="shared" si="141"/>
        <v>0</v>
      </c>
      <c r="P1717">
        <f t="shared" si="142"/>
        <v>0</v>
      </c>
      <c r="Q1717">
        <f t="shared" si="139"/>
        <v>5</v>
      </c>
      <c r="R1717" t="str">
        <f t="shared" si="143"/>
        <v>Not open</v>
      </c>
    </row>
    <row r="1718" spans="1:18" x14ac:dyDescent="0.3">
      <c r="A1718" t="s">
        <v>1925</v>
      </c>
      <c r="B1718" t="s">
        <v>154</v>
      </c>
      <c r="C1718" t="s">
        <v>566</v>
      </c>
      <c r="D1718" s="1">
        <v>45404</v>
      </c>
      <c r="E1718" s="1">
        <v>45434</v>
      </c>
      <c r="F1718" t="s">
        <v>13</v>
      </c>
      <c r="G1718">
        <v>11434242</v>
      </c>
      <c r="H1718" s="1">
        <v>45435</v>
      </c>
      <c r="I1718" t="s">
        <v>555</v>
      </c>
      <c r="J1718" t="s">
        <v>556</v>
      </c>
      <c r="L1718">
        <v>11434242</v>
      </c>
      <c r="M1718">
        <f>IF(F1718="INR",1,INDEX('rates'!$B$2:$C$522,MATCH(D1718,'rates'!$A$2:$A$522,1),MATCH(F1718&amp;"/INR",'rates'!$B$1:$C$1,0)))</f>
        <v>1</v>
      </c>
      <c r="N1718">
        <f t="shared" si="140"/>
        <v>11434242</v>
      </c>
      <c r="O1718">
        <f t="shared" si="141"/>
        <v>0</v>
      </c>
      <c r="P1718">
        <f t="shared" si="142"/>
        <v>0</v>
      </c>
      <c r="Q1718">
        <f t="shared" si="139"/>
        <v>1</v>
      </c>
      <c r="R1718" t="str">
        <f t="shared" si="143"/>
        <v>Not open</v>
      </c>
    </row>
    <row r="1719" spans="1:18" x14ac:dyDescent="0.3">
      <c r="A1719" t="s">
        <v>1926</v>
      </c>
      <c r="B1719" t="s">
        <v>138</v>
      </c>
      <c r="C1719" t="s">
        <v>566</v>
      </c>
      <c r="D1719" s="1">
        <v>45405</v>
      </c>
      <c r="E1719" s="1">
        <v>45435</v>
      </c>
      <c r="F1719" t="s">
        <v>13</v>
      </c>
      <c r="G1719">
        <v>14865925</v>
      </c>
      <c r="H1719" s="1">
        <v>45435</v>
      </c>
      <c r="I1719" t="s">
        <v>555</v>
      </c>
      <c r="J1719" t="s">
        <v>556</v>
      </c>
      <c r="L1719">
        <v>14865925</v>
      </c>
      <c r="M1719">
        <f>IF(F1719="INR",1,INDEX('rates'!$B$2:$C$522,MATCH(D1719,'rates'!$A$2:$A$522,1),MATCH(F1719&amp;"/INR",'rates'!$B$1:$C$1,0)))</f>
        <v>1</v>
      </c>
      <c r="N1719">
        <f t="shared" si="140"/>
        <v>14865925</v>
      </c>
      <c r="O1719">
        <f t="shared" si="141"/>
        <v>0</v>
      </c>
      <c r="P1719">
        <f t="shared" si="142"/>
        <v>0</v>
      </c>
      <c r="Q1719">
        <f t="shared" si="139"/>
        <v>0</v>
      </c>
      <c r="R1719" t="str">
        <f t="shared" si="143"/>
        <v>Not open</v>
      </c>
    </row>
    <row r="1720" spans="1:18" x14ac:dyDescent="0.3">
      <c r="A1720" t="s">
        <v>1927</v>
      </c>
      <c r="B1720" t="s">
        <v>186</v>
      </c>
      <c r="C1720" t="s">
        <v>558</v>
      </c>
      <c r="D1720" s="1">
        <v>45405</v>
      </c>
      <c r="E1720" s="1">
        <v>45435</v>
      </c>
      <c r="F1720" t="s">
        <v>36</v>
      </c>
      <c r="G1720">
        <v>103110.49</v>
      </c>
      <c r="H1720" s="1">
        <v>45464</v>
      </c>
      <c r="I1720" t="s">
        <v>555</v>
      </c>
      <c r="J1720" t="s">
        <v>556</v>
      </c>
      <c r="L1720">
        <v>103110.49</v>
      </c>
      <c r="M1720">
        <f>IF(F1720="INR",1,INDEX('rates'!$B$2:$C$522,MATCH(D1720,'rates'!$A$2:$A$522,1),MATCH(F1720&amp;"/INR",'rates'!$B$1:$C$1,0)))</f>
        <v>83.36</v>
      </c>
      <c r="N1720">
        <f t="shared" si="140"/>
        <v>8595290.4463999998</v>
      </c>
      <c r="O1720">
        <f t="shared" si="141"/>
        <v>0</v>
      </c>
      <c r="P1720">
        <f t="shared" si="142"/>
        <v>0</v>
      </c>
      <c r="Q1720">
        <f t="shared" si="139"/>
        <v>29</v>
      </c>
      <c r="R1720" t="str">
        <f t="shared" si="143"/>
        <v>Not open</v>
      </c>
    </row>
    <row r="1721" spans="1:18" x14ac:dyDescent="0.3">
      <c r="A1721" t="s">
        <v>1928</v>
      </c>
      <c r="B1721" t="s">
        <v>508</v>
      </c>
      <c r="C1721" t="s">
        <v>554</v>
      </c>
      <c r="D1721" s="1">
        <v>45405</v>
      </c>
      <c r="E1721" s="1">
        <v>45465</v>
      </c>
      <c r="F1721" t="s">
        <v>13</v>
      </c>
      <c r="G1721">
        <v>5734308</v>
      </c>
      <c r="H1721" s="1"/>
      <c r="I1721" t="s">
        <v>717</v>
      </c>
      <c r="J1721" t="s">
        <v>556</v>
      </c>
      <c r="L1721">
        <v>0</v>
      </c>
      <c r="M1721">
        <f>IF(F1721="INR",1,INDEX('rates'!$B$2:$C$522,MATCH(D1721,'rates'!$A$2:$A$522,1),MATCH(F1721&amp;"/INR",'rates'!$B$1:$C$1,0)))</f>
        <v>1</v>
      </c>
      <c r="N1721">
        <f t="shared" si="140"/>
        <v>5734308</v>
      </c>
      <c r="O1721">
        <f t="shared" si="141"/>
        <v>0</v>
      </c>
      <c r="P1721">
        <f t="shared" si="142"/>
        <v>0</v>
      </c>
      <c r="Q1721" t="str">
        <f t="shared" si="139"/>
        <v/>
      </c>
      <c r="R1721" t="str">
        <f t="shared" si="143"/>
        <v>Not open</v>
      </c>
    </row>
    <row r="1722" spans="1:18" x14ac:dyDescent="0.3">
      <c r="A1722" t="s">
        <v>1929</v>
      </c>
      <c r="B1722" t="s">
        <v>538</v>
      </c>
      <c r="C1722" t="s">
        <v>575</v>
      </c>
      <c r="D1722" s="1">
        <v>45405</v>
      </c>
      <c r="E1722" s="1">
        <v>45495</v>
      </c>
      <c r="F1722" t="s">
        <v>31</v>
      </c>
      <c r="G1722">
        <v>225237.83</v>
      </c>
      <c r="H1722" s="1">
        <v>45517</v>
      </c>
      <c r="I1722" t="s">
        <v>555</v>
      </c>
      <c r="J1722" t="s">
        <v>556</v>
      </c>
      <c r="L1722">
        <v>225237.83</v>
      </c>
      <c r="M1722">
        <f>IF(F1722="INR",1,INDEX('rates'!$B$2:$C$522,MATCH(D1722,'rates'!$A$2:$A$522,1),MATCH(F1722&amp;"/INR",'rates'!$B$1:$C$1,0)))</f>
        <v>89.153499999999994</v>
      </c>
      <c r="N1722">
        <f t="shared" si="140"/>
        <v>20080740.876904998</v>
      </c>
      <c r="O1722">
        <f t="shared" si="141"/>
        <v>0</v>
      </c>
      <c r="P1722">
        <f t="shared" si="142"/>
        <v>0</v>
      </c>
      <c r="Q1722">
        <f t="shared" si="139"/>
        <v>22</v>
      </c>
      <c r="R1722" t="str">
        <f t="shared" si="143"/>
        <v>Not open</v>
      </c>
    </row>
    <row r="1723" spans="1:18" x14ac:dyDescent="0.3">
      <c r="A1723" t="s">
        <v>1930</v>
      </c>
      <c r="B1723" t="s">
        <v>318</v>
      </c>
      <c r="C1723" t="s">
        <v>558</v>
      </c>
      <c r="D1723" s="1">
        <v>45406</v>
      </c>
      <c r="E1723" s="1">
        <v>45466</v>
      </c>
      <c r="F1723" t="s">
        <v>36</v>
      </c>
      <c r="G1723">
        <v>80120.23</v>
      </c>
      <c r="H1723" s="1">
        <v>45502</v>
      </c>
      <c r="I1723" t="s">
        <v>555</v>
      </c>
      <c r="J1723" t="s">
        <v>556</v>
      </c>
      <c r="L1723">
        <v>80120.23</v>
      </c>
      <c r="M1723">
        <f>IF(F1723="INR",1,INDEX('rates'!$B$2:$C$522,MATCH(D1723,'rates'!$A$2:$A$522,1),MATCH(F1723&amp;"/INR",'rates'!$B$1:$C$1,0)))</f>
        <v>83.34</v>
      </c>
      <c r="N1723">
        <f t="shared" si="140"/>
        <v>6677219.9682</v>
      </c>
      <c r="O1723">
        <f t="shared" si="141"/>
        <v>0</v>
      </c>
      <c r="P1723">
        <f t="shared" si="142"/>
        <v>0</v>
      </c>
      <c r="Q1723">
        <f t="shared" si="139"/>
        <v>36</v>
      </c>
      <c r="R1723" t="str">
        <f t="shared" si="143"/>
        <v>Not open</v>
      </c>
    </row>
    <row r="1724" spans="1:18" x14ac:dyDescent="0.3">
      <c r="A1724" t="s">
        <v>1931</v>
      </c>
      <c r="B1724" t="s">
        <v>332</v>
      </c>
      <c r="C1724" t="s">
        <v>566</v>
      </c>
      <c r="D1724" s="1">
        <v>45406</v>
      </c>
      <c r="E1724" s="1">
        <v>45466</v>
      </c>
      <c r="F1724" t="s">
        <v>36</v>
      </c>
      <c r="G1724">
        <v>41608.32</v>
      </c>
      <c r="H1724" s="1">
        <v>45484</v>
      </c>
      <c r="I1724" t="s">
        <v>555</v>
      </c>
      <c r="J1724" t="s">
        <v>556</v>
      </c>
      <c r="L1724">
        <v>41608.32</v>
      </c>
      <c r="M1724">
        <f>IF(F1724="INR",1,INDEX('rates'!$B$2:$C$522,MATCH(D1724,'rates'!$A$2:$A$522,1),MATCH(F1724&amp;"/INR",'rates'!$B$1:$C$1,0)))</f>
        <v>83.34</v>
      </c>
      <c r="N1724">
        <f t="shared" si="140"/>
        <v>3467637.3888000003</v>
      </c>
      <c r="O1724">
        <f t="shared" si="141"/>
        <v>0</v>
      </c>
      <c r="P1724">
        <f t="shared" si="142"/>
        <v>0</v>
      </c>
      <c r="Q1724">
        <f t="shared" si="139"/>
        <v>18</v>
      </c>
      <c r="R1724" t="str">
        <f t="shared" si="143"/>
        <v>Not open</v>
      </c>
    </row>
    <row r="1725" spans="1:18" x14ac:dyDescent="0.3">
      <c r="A1725" t="s">
        <v>1932</v>
      </c>
      <c r="B1725" t="s">
        <v>358</v>
      </c>
      <c r="C1725" t="s">
        <v>575</v>
      </c>
      <c r="D1725" s="1">
        <v>45406</v>
      </c>
      <c r="E1725" s="1">
        <v>45451</v>
      </c>
      <c r="F1725" t="s">
        <v>13</v>
      </c>
      <c r="G1725">
        <v>5138209</v>
      </c>
      <c r="H1725" s="1">
        <v>45448</v>
      </c>
      <c r="I1725" t="s">
        <v>555</v>
      </c>
      <c r="J1725" t="s">
        <v>556</v>
      </c>
      <c r="L1725">
        <v>5138209</v>
      </c>
      <c r="M1725">
        <f>IF(F1725="INR",1,INDEX('rates'!$B$2:$C$522,MATCH(D1725,'rates'!$A$2:$A$522,1),MATCH(F1725&amp;"/INR",'rates'!$B$1:$C$1,0)))</f>
        <v>1</v>
      </c>
      <c r="N1725">
        <f t="shared" si="140"/>
        <v>5138209</v>
      </c>
      <c r="O1725">
        <f t="shared" si="141"/>
        <v>0</v>
      </c>
      <c r="P1725">
        <f t="shared" si="142"/>
        <v>0</v>
      </c>
      <c r="Q1725">
        <f t="shared" si="139"/>
        <v>-3</v>
      </c>
      <c r="R1725" t="str">
        <f t="shared" si="143"/>
        <v>Not open</v>
      </c>
    </row>
    <row r="1726" spans="1:18" x14ac:dyDescent="0.3">
      <c r="A1726" t="s">
        <v>1933</v>
      </c>
      <c r="B1726" t="s">
        <v>402</v>
      </c>
      <c r="C1726" t="s">
        <v>558</v>
      </c>
      <c r="D1726" s="1">
        <v>45406</v>
      </c>
      <c r="E1726" s="1">
        <v>45466</v>
      </c>
      <c r="F1726" t="s">
        <v>13</v>
      </c>
      <c r="G1726">
        <v>4372821</v>
      </c>
      <c r="H1726" s="1">
        <v>45473</v>
      </c>
      <c r="I1726" t="s">
        <v>555</v>
      </c>
      <c r="J1726" t="s">
        <v>556</v>
      </c>
      <c r="L1726">
        <v>4372821</v>
      </c>
      <c r="M1726">
        <f>IF(F1726="INR",1,INDEX('rates'!$B$2:$C$522,MATCH(D1726,'rates'!$A$2:$A$522,1),MATCH(F1726&amp;"/INR",'rates'!$B$1:$C$1,0)))</f>
        <v>1</v>
      </c>
      <c r="N1726">
        <f t="shared" si="140"/>
        <v>4372821</v>
      </c>
      <c r="O1726">
        <f t="shared" si="141"/>
        <v>0</v>
      </c>
      <c r="P1726">
        <f t="shared" si="142"/>
        <v>0</v>
      </c>
      <c r="Q1726">
        <f t="shared" si="139"/>
        <v>7</v>
      </c>
      <c r="R1726" t="str">
        <f t="shared" si="143"/>
        <v>Not open</v>
      </c>
    </row>
    <row r="1727" spans="1:18" x14ac:dyDescent="0.3">
      <c r="A1727" t="s">
        <v>1934</v>
      </c>
      <c r="B1727" t="s">
        <v>119</v>
      </c>
      <c r="C1727" t="s">
        <v>560</v>
      </c>
      <c r="D1727" s="1">
        <v>45407</v>
      </c>
      <c r="E1727" s="1">
        <v>45437</v>
      </c>
      <c r="F1727" t="s">
        <v>31</v>
      </c>
      <c r="G1727">
        <v>99103.66</v>
      </c>
      <c r="H1727" s="1">
        <v>45450</v>
      </c>
      <c r="I1727" t="s">
        <v>555</v>
      </c>
      <c r="J1727" t="s">
        <v>556</v>
      </c>
      <c r="L1727">
        <v>99103.66</v>
      </c>
      <c r="M1727">
        <f>IF(F1727="INR",1,INDEX('rates'!$B$2:$C$522,MATCH(D1727,'rates'!$A$2:$A$522,1),MATCH(F1727&amp;"/INR",'rates'!$B$1:$C$1,0)))</f>
        <v>89.316699999999997</v>
      </c>
      <c r="N1727">
        <f t="shared" si="140"/>
        <v>8851611.8691220004</v>
      </c>
      <c r="O1727">
        <f t="shared" si="141"/>
        <v>0</v>
      </c>
      <c r="P1727">
        <f t="shared" si="142"/>
        <v>0</v>
      </c>
      <c r="Q1727">
        <f t="shared" si="139"/>
        <v>13</v>
      </c>
      <c r="R1727" t="str">
        <f t="shared" si="143"/>
        <v>Not open</v>
      </c>
    </row>
    <row r="1728" spans="1:18" x14ac:dyDescent="0.3">
      <c r="A1728" t="s">
        <v>1935</v>
      </c>
      <c r="B1728" t="s">
        <v>138</v>
      </c>
      <c r="C1728" t="s">
        <v>566</v>
      </c>
      <c r="D1728" s="1">
        <v>45407</v>
      </c>
      <c r="E1728" s="1">
        <v>45437</v>
      </c>
      <c r="F1728" t="s">
        <v>13</v>
      </c>
      <c r="G1728">
        <v>6248289</v>
      </c>
      <c r="H1728" s="1">
        <v>45440</v>
      </c>
      <c r="I1728" t="s">
        <v>555</v>
      </c>
      <c r="J1728" t="s">
        <v>556</v>
      </c>
      <c r="L1728">
        <v>6248289</v>
      </c>
      <c r="M1728">
        <f>IF(F1728="INR",1,INDEX('rates'!$B$2:$C$522,MATCH(D1728,'rates'!$A$2:$A$522,1),MATCH(F1728&amp;"/INR",'rates'!$B$1:$C$1,0)))</f>
        <v>1</v>
      </c>
      <c r="N1728">
        <f t="shared" si="140"/>
        <v>6248289</v>
      </c>
      <c r="O1728">
        <f t="shared" si="141"/>
        <v>0</v>
      </c>
      <c r="P1728">
        <f t="shared" si="142"/>
        <v>0</v>
      </c>
      <c r="Q1728">
        <f t="shared" ref="Q1728:Q1791" si="144">IF(H1728="","",H1728-E1728)</f>
        <v>3</v>
      </c>
      <c r="R1728" t="str">
        <f t="shared" si="143"/>
        <v>Not open</v>
      </c>
    </row>
    <row r="1729" spans="1:18" x14ac:dyDescent="0.3">
      <c r="A1729" t="s">
        <v>1936</v>
      </c>
      <c r="B1729" t="s">
        <v>160</v>
      </c>
      <c r="C1729" t="s">
        <v>554</v>
      </c>
      <c r="D1729" s="1">
        <v>45407</v>
      </c>
      <c r="E1729" s="1">
        <v>45452</v>
      </c>
      <c r="F1729" t="s">
        <v>13</v>
      </c>
      <c r="G1729">
        <v>7726444</v>
      </c>
      <c r="H1729" s="1">
        <v>45449</v>
      </c>
      <c r="I1729" t="s">
        <v>555</v>
      </c>
      <c r="J1729" t="s">
        <v>556</v>
      </c>
      <c r="L1729">
        <v>7726444</v>
      </c>
      <c r="M1729">
        <f>IF(F1729="INR",1,INDEX('rates'!$B$2:$C$522,MATCH(D1729,'rates'!$A$2:$A$522,1),MATCH(F1729&amp;"/INR",'rates'!$B$1:$C$1,0)))</f>
        <v>1</v>
      </c>
      <c r="N1729">
        <f t="shared" si="140"/>
        <v>7726444</v>
      </c>
      <c r="O1729">
        <f t="shared" si="141"/>
        <v>0</v>
      </c>
      <c r="P1729">
        <f t="shared" si="142"/>
        <v>0</v>
      </c>
      <c r="Q1729">
        <f t="shared" si="144"/>
        <v>-3</v>
      </c>
      <c r="R1729" t="str">
        <f t="shared" si="143"/>
        <v>Not open</v>
      </c>
    </row>
    <row r="1730" spans="1:18" x14ac:dyDescent="0.3">
      <c r="A1730" t="s">
        <v>1937</v>
      </c>
      <c r="B1730" t="s">
        <v>528</v>
      </c>
      <c r="C1730" t="s">
        <v>566</v>
      </c>
      <c r="D1730" s="1">
        <v>45407</v>
      </c>
      <c r="E1730" s="1">
        <v>45467</v>
      </c>
      <c r="F1730" t="s">
        <v>13</v>
      </c>
      <c r="G1730">
        <v>18068611</v>
      </c>
      <c r="H1730" s="1">
        <v>45515</v>
      </c>
      <c r="I1730" t="s">
        <v>555</v>
      </c>
      <c r="J1730" t="s">
        <v>556</v>
      </c>
      <c r="L1730">
        <v>18068611</v>
      </c>
      <c r="M1730">
        <f>IF(F1730="INR",1,INDEX('rates'!$B$2:$C$522,MATCH(D1730,'rates'!$A$2:$A$522,1),MATCH(F1730&amp;"/INR",'rates'!$B$1:$C$1,0)))</f>
        <v>1</v>
      </c>
      <c r="N1730">
        <f t="shared" ref="N1730:N1793" si="145">G1730*M1730</f>
        <v>18068611</v>
      </c>
      <c r="O1730">
        <f t="shared" ref="O1730:O1793" si="146">IF(OR(I1730="OPEN",I1730="PARTIALLY PAID"),(G1730-L1730)*M1730,0)</f>
        <v>0</v>
      </c>
      <c r="P1730">
        <f t="shared" ref="P1730:P1793" si="147">IF(O1730&gt;0,MAX(0,DATE(2025,3,31)-E1730),0)</f>
        <v>0</v>
      </c>
      <c r="Q1730">
        <f t="shared" si="144"/>
        <v>48</v>
      </c>
      <c r="R1730" t="str">
        <f t="shared" ref="R1730:R1793" si="148">IF(O1730=0,"Not open",IF(P1730=0,"Not yet due",IF(P1730&lt;=30,"1-30",IF(P1730&lt;=60,"31-60",IF(P1730&lt;=90,"61-90","90+")))))</f>
        <v>Not open</v>
      </c>
    </row>
    <row r="1731" spans="1:18" x14ac:dyDescent="0.3">
      <c r="A1731" t="s">
        <v>1938</v>
      </c>
      <c r="B1731" t="s">
        <v>65</v>
      </c>
      <c r="C1731" t="s">
        <v>575</v>
      </c>
      <c r="D1731" s="1">
        <v>45408</v>
      </c>
      <c r="E1731" s="1">
        <v>45438</v>
      </c>
      <c r="F1731" t="s">
        <v>13</v>
      </c>
      <c r="G1731">
        <v>2035677</v>
      </c>
      <c r="H1731" s="1">
        <v>45443</v>
      </c>
      <c r="I1731" t="s">
        <v>555</v>
      </c>
      <c r="J1731" t="s">
        <v>556</v>
      </c>
      <c r="L1731">
        <v>2035677</v>
      </c>
      <c r="M1731">
        <f>IF(F1731="INR",1,INDEX('rates'!$B$2:$C$522,MATCH(D1731,'rates'!$A$2:$A$522,1),MATCH(F1731&amp;"/INR",'rates'!$B$1:$C$1,0)))</f>
        <v>1</v>
      </c>
      <c r="N1731">
        <f t="shared" si="145"/>
        <v>2035677</v>
      </c>
      <c r="O1731">
        <f t="shared" si="146"/>
        <v>0</v>
      </c>
      <c r="P1731">
        <f t="shared" si="147"/>
        <v>0</v>
      </c>
      <c r="Q1731">
        <f t="shared" si="144"/>
        <v>5</v>
      </c>
      <c r="R1731" t="str">
        <f t="shared" si="148"/>
        <v>Not open</v>
      </c>
    </row>
    <row r="1732" spans="1:18" x14ac:dyDescent="0.3">
      <c r="A1732" t="s">
        <v>1940</v>
      </c>
      <c r="B1732" t="s">
        <v>176</v>
      </c>
      <c r="C1732" t="s">
        <v>566</v>
      </c>
      <c r="D1732" s="1">
        <v>45409</v>
      </c>
      <c r="E1732" s="1">
        <v>45469</v>
      </c>
      <c r="F1732" t="s">
        <v>13</v>
      </c>
      <c r="G1732">
        <v>5718747</v>
      </c>
      <c r="H1732" s="1">
        <v>45486</v>
      </c>
      <c r="I1732" t="s">
        <v>555</v>
      </c>
      <c r="J1732" t="s">
        <v>556</v>
      </c>
      <c r="L1732">
        <v>5718747</v>
      </c>
      <c r="M1732">
        <f>IF(F1732="INR",1,INDEX('rates'!$B$2:$C$522,MATCH(D1732,'rates'!$A$2:$A$522,1),MATCH(F1732&amp;"/INR",'rates'!$B$1:$C$1,0)))</f>
        <v>1</v>
      </c>
      <c r="N1732">
        <f t="shared" si="145"/>
        <v>5718747</v>
      </c>
      <c r="O1732">
        <f t="shared" si="146"/>
        <v>0</v>
      </c>
      <c r="P1732">
        <f t="shared" si="147"/>
        <v>0</v>
      </c>
      <c r="Q1732">
        <f t="shared" si="144"/>
        <v>17</v>
      </c>
      <c r="R1732" t="str">
        <f t="shared" si="148"/>
        <v>Not open</v>
      </c>
    </row>
    <row r="1733" spans="1:18" x14ac:dyDescent="0.3">
      <c r="A1733" t="s">
        <v>1941</v>
      </c>
      <c r="B1733" t="s">
        <v>190</v>
      </c>
      <c r="C1733" t="s">
        <v>558</v>
      </c>
      <c r="D1733" s="1">
        <v>45409</v>
      </c>
      <c r="E1733" s="1">
        <v>45439</v>
      </c>
      <c r="F1733" t="s">
        <v>13</v>
      </c>
      <c r="G1733">
        <v>1813010</v>
      </c>
      <c r="H1733" s="1">
        <v>45440</v>
      </c>
      <c r="I1733" t="s">
        <v>555</v>
      </c>
      <c r="J1733" t="s">
        <v>556</v>
      </c>
      <c r="L1733">
        <v>1813010</v>
      </c>
      <c r="M1733">
        <f>IF(F1733="INR",1,INDEX('rates'!$B$2:$C$522,MATCH(D1733,'rates'!$A$2:$A$522,1),MATCH(F1733&amp;"/INR",'rates'!$B$1:$C$1,0)))</f>
        <v>1</v>
      </c>
      <c r="N1733">
        <f t="shared" si="145"/>
        <v>1813010</v>
      </c>
      <c r="O1733">
        <f t="shared" si="146"/>
        <v>0</v>
      </c>
      <c r="P1733">
        <f t="shared" si="147"/>
        <v>0</v>
      </c>
      <c r="Q1733">
        <f t="shared" si="144"/>
        <v>1</v>
      </c>
      <c r="R1733" t="str">
        <f t="shared" si="148"/>
        <v>Not open</v>
      </c>
    </row>
    <row r="1734" spans="1:18" x14ac:dyDescent="0.3">
      <c r="A1734" t="s">
        <v>1942</v>
      </c>
      <c r="B1734" t="s">
        <v>302</v>
      </c>
      <c r="C1734" t="s">
        <v>558</v>
      </c>
      <c r="D1734" s="1">
        <v>45409</v>
      </c>
      <c r="E1734" s="1">
        <v>45499</v>
      </c>
      <c r="F1734" t="s">
        <v>13</v>
      </c>
      <c r="G1734">
        <v>10282648</v>
      </c>
      <c r="H1734" s="1">
        <v>45505</v>
      </c>
      <c r="I1734" t="s">
        <v>555</v>
      </c>
      <c r="J1734" t="s">
        <v>556</v>
      </c>
      <c r="L1734">
        <v>10282648</v>
      </c>
      <c r="M1734">
        <f>IF(F1734="INR",1,INDEX('rates'!$B$2:$C$522,MATCH(D1734,'rates'!$A$2:$A$522,1),MATCH(F1734&amp;"/INR",'rates'!$B$1:$C$1,0)))</f>
        <v>1</v>
      </c>
      <c r="N1734">
        <f t="shared" si="145"/>
        <v>10282648</v>
      </c>
      <c r="O1734">
        <f t="shared" si="146"/>
        <v>0</v>
      </c>
      <c r="P1734">
        <f t="shared" si="147"/>
        <v>0</v>
      </c>
      <c r="Q1734">
        <f t="shared" si="144"/>
        <v>6</v>
      </c>
      <c r="R1734" t="str">
        <f t="shared" si="148"/>
        <v>Not open</v>
      </c>
    </row>
    <row r="1735" spans="1:18" x14ac:dyDescent="0.3">
      <c r="A1735" t="s">
        <v>1944</v>
      </c>
      <c r="B1735" t="s">
        <v>418</v>
      </c>
      <c r="C1735" t="s">
        <v>558</v>
      </c>
      <c r="D1735" s="1">
        <v>45409</v>
      </c>
      <c r="E1735" s="1">
        <v>45454</v>
      </c>
      <c r="F1735" t="s">
        <v>13</v>
      </c>
      <c r="G1735">
        <v>11338860</v>
      </c>
      <c r="H1735" s="1">
        <v>45473</v>
      </c>
      <c r="I1735" t="s">
        <v>555</v>
      </c>
      <c r="J1735" t="s">
        <v>556</v>
      </c>
      <c r="L1735">
        <v>11338860</v>
      </c>
      <c r="M1735">
        <f>IF(F1735="INR",1,INDEX('rates'!$B$2:$C$522,MATCH(D1735,'rates'!$A$2:$A$522,1),MATCH(F1735&amp;"/INR",'rates'!$B$1:$C$1,0)))</f>
        <v>1</v>
      </c>
      <c r="N1735">
        <f t="shared" si="145"/>
        <v>11338860</v>
      </c>
      <c r="O1735">
        <f t="shared" si="146"/>
        <v>0</v>
      </c>
      <c r="P1735">
        <f t="shared" si="147"/>
        <v>0</v>
      </c>
      <c r="Q1735">
        <f t="shared" si="144"/>
        <v>19</v>
      </c>
      <c r="R1735" t="str">
        <f t="shared" si="148"/>
        <v>Not open</v>
      </c>
    </row>
    <row r="1736" spans="1:18" x14ac:dyDescent="0.3">
      <c r="A1736" t="s">
        <v>1945</v>
      </c>
      <c r="B1736" t="s">
        <v>454</v>
      </c>
      <c r="C1736" t="s">
        <v>575</v>
      </c>
      <c r="D1736" s="1">
        <v>45409</v>
      </c>
      <c r="E1736" s="1">
        <v>45469</v>
      </c>
      <c r="F1736" t="s">
        <v>13</v>
      </c>
      <c r="G1736">
        <v>6131714</v>
      </c>
      <c r="H1736" s="1">
        <v>45473</v>
      </c>
      <c r="I1736" t="s">
        <v>555</v>
      </c>
      <c r="J1736" t="s">
        <v>556</v>
      </c>
      <c r="L1736">
        <v>6131714</v>
      </c>
      <c r="M1736">
        <f>IF(F1736="INR",1,INDEX('rates'!$B$2:$C$522,MATCH(D1736,'rates'!$A$2:$A$522,1),MATCH(F1736&amp;"/INR",'rates'!$B$1:$C$1,0)))</f>
        <v>1</v>
      </c>
      <c r="N1736">
        <f t="shared" si="145"/>
        <v>6131714</v>
      </c>
      <c r="O1736">
        <f t="shared" si="146"/>
        <v>0</v>
      </c>
      <c r="P1736">
        <f t="shared" si="147"/>
        <v>0</v>
      </c>
      <c r="Q1736">
        <f t="shared" si="144"/>
        <v>4</v>
      </c>
      <c r="R1736" t="str">
        <f t="shared" si="148"/>
        <v>Not open</v>
      </c>
    </row>
    <row r="1737" spans="1:18" x14ac:dyDescent="0.3">
      <c r="A1737" t="s">
        <v>1946</v>
      </c>
      <c r="B1737" t="s">
        <v>70</v>
      </c>
      <c r="C1737" t="s">
        <v>554</v>
      </c>
      <c r="D1737" s="1">
        <v>45411</v>
      </c>
      <c r="E1737" s="1">
        <v>45441</v>
      </c>
      <c r="F1737" t="s">
        <v>13</v>
      </c>
      <c r="G1737">
        <v>2748380</v>
      </c>
      <c r="H1737" s="1">
        <v>45448</v>
      </c>
      <c r="I1737" t="s">
        <v>555</v>
      </c>
      <c r="J1737" t="s">
        <v>556</v>
      </c>
      <c r="L1737">
        <v>2748380</v>
      </c>
      <c r="M1737">
        <f>IF(F1737="INR",1,INDEX('rates'!$B$2:$C$522,MATCH(D1737,'rates'!$A$2:$A$522,1),MATCH(F1737&amp;"/INR",'rates'!$B$1:$C$1,0)))</f>
        <v>1</v>
      </c>
      <c r="N1737">
        <f t="shared" si="145"/>
        <v>2748380</v>
      </c>
      <c r="O1737">
        <f t="shared" si="146"/>
        <v>0</v>
      </c>
      <c r="P1737">
        <f t="shared" si="147"/>
        <v>0</v>
      </c>
      <c r="Q1737">
        <f t="shared" si="144"/>
        <v>7</v>
      </c>
      <c r="R1737" t="str">
        <f t="shared" si="148"/>
        <v>Not open</v>
      </c>
    </row>
    <row r="1738" spans="1:18" x14ac:dyDescent="0.3">
      <c r="A1738" t="s">
        <v>1947</v>
      </c>
      <c r="B1738" t="s">
        <v>119</v>
      </c>
      <c r="C1738" t="s">
        <v>560</v>
      </c>
      <c r="D1738" s="1">
        <v>45411</v>
      </c>
      <c r="E1738" s="1">
        <v>45441</v>
      </c>
      <c r="F1738" t="s">
        <v>31</v>
      </c>
      <c r="G1738">
        <v>52064.01</v>
      </c>
      <c r="H1738" s="1">
        <v>45451</v>
      </c>
      <c r="I1738" t="s">
        <v>555</v>
      </c>
      <c r="J1738" t="s">
        <v>556</v>
      </c>
      <c r="L1738">
        <v>52064.01</v>
      </c>
      <c r="M1738">
        <f>IF(F1738="INR",1,INDEX('rates'!$B$2:$C$522,MATCH(D1738,'rates'!$A$2:$A$522,1),MATCH(F1738&amp;"/INR",'rates'!$B$1:$C$1,0)))</f>
        <v>89.444100000000006</v>
      </c>
      <c r="N1738">
        <f t="shared" si="145"/>
        <v>4656818.5168410009</v>
      </c>
      <c r="O1738">
        <f t="shared" si="146"/>
        <v>0</v>
      </c>
      <c r="P1738">
        <f t="shared" si="147"/>
        <v>0</v>
      </c>
      <c r="Q1738">
        <f t="shared" si="144"/>
        <v>10</v>
      </c>
      <c r="R1738" t="str">
        <f t="shared" si="148"/>
        <v>Not open</v>
      </c>
    </row>
    <row r="1739" spans="1:18" x14ac:dyDescent="0.3">
      <c r="A1739" t="s">
        <v>1949</v>
      </c>
      <c r="B1739" t="s">
        <v>398</v>
      </c>
      <c r="C1739" t="s">
        <v>558</v>
      </c>
      <c r="D1739" s="1">
        <v>45411</v>
      </c>
      <c r="E1739" s="1">
        <v>45441</v>
      </c>
      <c r="F1739" t="s">
        <v>13</v>
      </c>
      <c r="G1739">
        <v>6884489</v>
      </c>
      <c r="H1739" s="1">
        <v>45464</v>
      </c>
      <c r="I1739" t="s">
        <v>717</v>
      </c>
      <c r="J1739" t="s">
        <v>556</v>
      </c>
      <c r="L1739">
        <v>1860576.86</v>
      </c>
      <c r="M1739">
        <f>IF(F1739="INR",1,INDEX('rates'!$B$2:$C$522,MATCH(D1739,'rates'!$A$2:$A$522,1),MATCH(F1739&amp;"/INR",'rates'!$B$1:$C$1,0)))</f>
        <v>1</v>
      </c>
      <c r="N1739">
        <f t="shared" si="145"/>
        <v>6884489</v>
      </c>
      <c r="O1739">
        <f t="shared" si="146"/>
        <v>0</v>
      </c>
      <c r="P1739">
        <f t="shared" si="147"/>
        <v>0</v>
      </c>
      <c r="Q1739">
        <f t="shared" si="144"/>
        <v>23</v>
      </c>
      <c r="R1739" t="str">
        <f t="shared" si="148"/>
        <v>Not open</v>
      </c>
    </row>
    <row r="1740" spans="1:18" x14ac:dyDescent="0.3">
      <c r="A1740" t="s">
        <v>1950</v>
      </c>
      <c r="B1740" t="s">
        <v>418</v>
      </c>
      <c r="C1740" t="s">
        <v>558</v>
      </c>
      <c r="D1740" s="1">
        <v>45411</v>
      </c>
      <c r="E1740" s="1">
        <v>45456</v>
      </c>
      <c r="F1740" t="s">
        <v>13</v>
      </c>
      <c r="G1740">
        <v>4257933</v>
      </c>
      <c r="H1740" s="1">
        <v>45491</v>
      </c>
      <c r="I1740" t="s">
        <v>555</v>
      </c>
      <c r="J1740" t="s">
        <v>556</v>
      </c>
      <c r="L1740">
        <v>4257933</v>
      </c>
      <c r="M1740">
        <f>IF(F1740="INR",1,INDEX('rates'!$B$2:$C$522,MATCH(D1740,'rates'!$A$2:$A$522,1),MATCH(F1740&amp;"/INR",'rates'!$B$1:$C$1,0)))</f>
        <v>1</v>
      </c>
      <c r="N1740">
        <f t="shared" si="145"/>
        <v>4257933</v>
      </c>
      <c r="O1740">
        <f t="shared" si="146"/>
        <v>0</v>
      </c>
      <c r="P1740">
        <f t="shared" si="147"/>
        <v>0</v>
      </c>
      <c r="Q1740">
        <f t="shared" si="144"/>
        <v>35</v>
      </c>
      <c r="R1740" t="str">
        <f t="shared" si="148"/>
        <v>Not open</v>
      </c>
    </row>
    <row r="1741" spans="1:18" x14ac:dyDescent="0.3">
      <c r="A1741" t="s">
        <v>1951</v>
      </c>
      <c r="B1741" t="s">
        <v>16</v>
      </c>
      <c r="C1741" t="s">
        <v>575</v>
      </c>
      <c r="D1741" s="1">
        <v>45412</v>
      </c>
      <c r="E1741" s="1">
        <v>45457</v>
      </c>
      <c r="F1741" t="s">
        <v>13</v>
      </c>
      <c r="G1741">
        <v>3519347</v>
      </c>
      <c r="H1741" s="1">
        <v>45474</v>
      </c>
      <c r="I1741" t="s">
        <v>555</v>
      </c>
      <c r="J1741" t="s">
        <v>556</v>
      </c>
      <c r="L1741">
        <v>3519347</v>
      </c>
      <c r="M1741">
        <f>IF(F1741="INR",1,INDEX('rates'!$B$2:$C$522,MATCH(D1741,'rates'!$A$2:$A$522,1),MATCH(F1741&amp;"/INR",'rates'!$B$1:$C$1,0)))</f>
        <v>1</v>
      </c>
      <c r="N1741">
        <f t="shared" si="145"/>
        <v>3519347</v>
      </c>
      <c r="O1741">
        <f t="shared" si="146"/>
        <v>0</v>
      </c>
      <c r="P1741">
        <f t="shared" si="147"/>
        <v>0</v>
      </c>
      <c r="Q1741">
        <f t="shared" si="144"/>
        <v>17</v>
      </c>
      <c r="R1741" t="str">
        <f t="shared" si="148"/>
        <v>Not open</v>
      </c>
    </row>
    <row r="1742" spans="1:18" x14ac:dyDescent="0.3">
      <c r="A1742" t="s">
        <v>1952</v>
      </c>
      <c r="B1742" t="s">
        <v>75</v>
      </c>
      <c r="C1742" t="s">
        <v>566</v>
      </c>
      <c r="D1742" s="1">
        <v>45412</v>
      </c>
      <c r="E1742" s="1">
        <v>45502</v>
      </c>
      <c r="F1742" t="s">
        <v>36</v>
      </c>
      <c r="G1742">
        <v>55338.92</v>
      </c>
      <c r="H1742" s="1">
        <v>45522</v>
      </c>
      <c r="I1742" t="s">
        <v>555</v>
      </c>
      <c r="J1742" t="s">
        <v>556</v>
      </c>
      <c r="L1742">
        <v>55338.92</v>
      </c>
      <c r="M1742">
        <f>IF(F1742="INR",1,INDEX('rates'!$B$2:$C$522,MATCH(D1742,'rates'!$A$2:$A$522,1),MATCH(F1742&amp;"/INR",'rates'!$B$1:$C$1,0)))</f>
        <v>83.44</v>
      </c>
      <c r="N1742">
        <f t="shared" si="145"/>
        <v>4617479.4847999997</v>
      </c>
      <c r="O1742">
        <f t="shared" si="146"/>
        <v>0</v>
      </c>
      <c r="P1742">
        <f t="shared" si="147"/>
        <v>0</v>
      </c>
      <c r="Q1742">
        <f t="shared" si="144"/>
        <v>20</v>
      </c>
      <c r="R1742" t="str">
        <f t="shared" si="148"/>
        <v>Not open</v>
      </c>
    </row>
    <row r="1743" spans="1:18" x14ac:dyDescent="0.3">
      <c r="A1743" t="s">
        <v>1953</v>
      </c>
      <c r="B1743" t="s">
        <v>140</v>
      </c>
      <c r="C1743" t="s">
        <v>554</v>
      </c>
      <c r="D1743" s="1">
        <v>45412</v>
      </c>
      <c r="E1743" s="1">
        <v>45472</v>
      </c>
      <c r="F1743" t="s">
        <v>13</v>
      </c>
      <c r="G1743">
        <v>3648840</v>
      </c>
      <c r="H1743" s="1">
        <v>45475</v>
      </c>
      <c r="I1743" t="s">
        <v>555</v>
      </c>
      <c r="J1743" t="s">
        <v>556</v>
      </c>
      <c r="L1743">
        <v>3648840</v>
      </c>
      <c r="M1743">
        <f>IF(F1743="INR",1,INDEX('rates'!$B$2:$C$522,MATCH(D1743,'rates'!$A$2:$A$522,1),MATCH(F1743&amp;"/INR",'rates'!$B$1:$C$1,0)))</f>
        <v>1</v>
      </c>
      <c r="N1743">
        <f t="shared" si="145"/>
        <v>3648840</v>
      </c>
      <c r="O1743">
        <f t="shared" si="146"/>
        <v>0</v>
      </c>
      <c r="P1743">
        <f t="shared" si="147"/>
        <v>0</v>
      </c>
      <c r="Q1743">
        <f t="shared" si="144"/>
        <v>3</v>
      </c>
      <c r="R1743" t="str">
        <f t="shared" si="148"/>
        <v>Not open</v>
      </c>
    </row>
    <row r="1744" spans="1:18" x14ac:dyDescent="0.3">
      <c r="A1744" t="s">
        <v>1954</v>
      </c>
      <c r="B1744" t="s">
        <v>204</v>
      </c>
      <c r="C1744" t="s">
        <v>575</v>
      </c>
      <c r="D1744" s="1">
        <v>45412</v>
      </c>
      <c r="E1744" s="1">
        <v>45472</v>
      </c>
      <c r="F1744" t="s">
        <v>13</v>
      </c>
      <c r="G1744">
        <v>12942056</v>
      </c>
      <c r="H1744" s="1">
        <v>45476</v>
      </c>
      <c r="I1744" t="s">
        <v>555</v>
      </c>
      <c r="J1744" t="s">
        <v>556</v>
      </c>
      <c r="L1744">
        <v>12942056</v>
      </c>
      <c r="M1744">
        <f>IF(F1744="INR",1,INDEX('rates'!$B$2:$C$522,MATCH(D1744,'rates'!$A$2:$A$522,1),MATCH(F1744&amp;"/INR",'rates'!$B$1:$C$1,0)))</f>
        <v>1</v>
      </c>
      <c r="N1744">
        <f t="shared" si="145"/>
        <v>12942056</v>
      </c>
      <c r="O1744">
        <f t="shared" si="146"/>
        <v>0</v>
      </c>
      <c r="P1744">
        <f t="shared" si="147"/>
        <v>0</v>
      </c>
      <c r="Q1744">
        <f t="shared" si="144"/>
        <v>4</v>
      </c>
      <c r="R1744" t="str">
        <f t="shared" si="148"/>
        <v>Not open</v>
      </c>
    </row>
    <row r="1745" spans="1:18" x14ac:dyDescent="0.3">
      <c r="A1745" t="s">
        <v>1955</v>
      </c>
      <c r="B1745" t="s">
        <v>96</v>
      </c>
      <c r="C1745" t="s">
        <v>558</v>
      </c>
      <c r="D1745" s="1">
        <v>45413</v>
      </c>
      <c r="E1745" s="1">
        <v>45503</v>
      </c>
      <c r="F1745" t="s">
        <v>13</v>
      </c>
      <c r="G1745">
        <v>1844204</v>
      </c>
      <c r="H1745" s="1">
        <v>45510</v>
      </c>
      <c r="I1745" t="s">
        <v>555</v>
      </c>
      <c r="J1745" t="s">
        <v>556</v>
      </c>
      <c r="L1745">
        <v>1844204</v>
      </c>
      <c r="M1745">
        <f>IF(F1745="INR",1,INDEX('rates'!$B$2:$C$522,MATCH(D1745,'rates'!$A$2:$A$522,1),MATCH(F1745&amp;"/INR",'rates'!$B$1:$C$1,0)))</f>
        <v>1</v>
      </c>
      <c r="N1745">
        <f t="shared" si="145"/>
        <v>1844204</v>
      </c>
      <c r="O1745">
        <f t="shared" si="146"/>
        <v>0</v>
      </c>
      <c r="P1745">
        <f t="shared" si="147"/>
        <v>0</v>
      </c>
      <c r="Q1745">
        <f t="shared" si="144"/>
        <v>7</v>
      </c>
      <c r="R1745" t="str">
        <f t="shared" si="148"/>
        <v>Not open</v>
      </c>
    </row>
    <row r="1746" spans="1:18" x14ac:dyDescent="0.3">
      <c r="A1746" t="s">
        <v>1956</v>
      </c>
      <c r="B1746" t="s">
        <v>119</v>
      </c>
      <c r="C1746" t="s">
        <v>560</v>
      </c>
      <c r="D1746" s="1">
        <v>45413</v>
      </c>
      <c r="E1746" s="1">
        <v>45443</v>
      </c>
      <c r="F1746" t="s">
        <v>31</v>
      </c>
      <c r="G1746">
        <v>92385</v>
      </c>
      <c r="H1746" s="1">
        <v>45455</v>
      </c>
      <c r="I1746" t="s">
        <v>555</v>
      </c>
      <c r="J1746" t="s">
        <v>573</v>
      </c>
      <c r="K1746">
        <v>89.213700000000003</v>
      </c>
      <c r="L1746">
        <v>92385</v>
      </c>
      <c r="M1746">
        <f>IF(F1746="INR",1,INDEX('rates'!$B$2:$C$522,MATCH(D1746,'rates'!$A$2:$A$522,1),MATCH(F1746&amp;"/INR",'rates'!$B$1:$C$1,0)))</f>
        <v>89.124600000000001</v>
      </c>
      <c r="N1746">
        <f t="shared" si="145"/>
        <v>8233776.1710000001</v>
      </c>
      <c r="O1746">
        <f t="shared" si="146"/>
        <v>0</v>
      </c>
      <c r="P1746">
        <f t="shared" si="147"/>
        <v>0</v>
      </c>
      <c r="Q1746">
        <f t="shared" si="144"/>
        <v>12</v>
      </c>
      <c r="R1746" t="str">
        <f t="shared" si="148"/>
        <v>Not open</v>
      </c>
    </row>
    <row r="1747" spans="1:18" x14ac:dyDescent="0.3">
      <c r="A1747" t="s">
        <v>1957</v>
      </c>
      <c r="B1747" t="s">
        <v>190</v>
      </c>
      <c r="C1747" t="s">
        <v>558</v>
      </c>
      <c r="D1747" s="1">
        <v>45413</v>
      </c>
      <c r="E1747" s="1">
        <v>45443</v>
      </c>
      <c r="F1747" t="s">
        <v>13</v>
      </c>
      <c r="G1747">
        <v>5787150</v>
      </c>
      <c r="H1747" s="1">
        <v>45453</v>
      </c>
      <c r="I1747" t="s">
        <v>555</v>
      </c>
      <c r="J1747" t="s">
        <v>556</v>
      </c>
      <c r="L1747">
        <v>5787150</v>
      </c>
      <c r="M1747">
        <f>IF(F1747="INR",1,INDEX('rates'!$B$2:$C$522,MATCH(D1747,'rates'!$A$2:$A$522,1),MATCH(F1747&amp;"/INR",'rates'!$B$1:$C$1,0)))</f>
        <v>1</v>
      </c>
      <c r="N1747">
        <f t="shared" si="145"/>
        <v>5787150</v>
      </c>
      <c r="O1747">
        <f t="shared" si="146"/>
        <v>0</v>
      </c>
      <c r="P1747">
        <f t="shared" si="147"/>
        <v>0</v>
      </c>
      <c r="Q1747">
        <f t="shared" si="144"/>
        <v>10</v>
      </c>
      <c r="R1747" t="str">
        <f t="shared" si="148"/>
        <v>Not open</v>
      </c>
    </row>
    <row r="1748" spans="1:18" x14ac:dyDescent="0.3">
      <c r="A1748" t="s">
        <v>1958</v>
      </c>
      <c r="B1748" t="s">
        <v>492</v>
      </c>
      <c r="C1748" t="s">
        <v>566</v>
      </c>
      <c r="D1748" s="1">
        <v>45413</v>
      </c>
      <c r="E1748" s="1">
        <v>45458</v>
      </c>
      <c r="F1748" t="s">
        <v>13</v>
      </c>
      <c r="G1748">
        <v>10235568</v>
      </c>
      <c r="H1748" s="1">
        <v>45461</v>
      </c>
      <c r="I1748" t="s">
        <v>555</v>
      </c>
      <c r="J1748" t="s">
        <v>556</v>
      </c>
      <c r="L1748">
        <v>10235568</v>
      </c>
      <c r="M1748">
        <f>IF(F1748="INR",1,INDEX('rates'!$B$2:$C$522,MATCH(D1748,'rates'!$A$2:$A$522,1),MATCH(F1748&amp;"/INR",'rates'!$B$1:$C$1,0)))</f>
        <v>1</v>
      </c>
      <c r="N1748">
        <f t="shared" si="145"/>
        <v>10235568</v>
      </c>
      <c r="O1748">
        <f t="shared" si="146"/>
        <v>0</v>
      </c>
      <c r="P1748">
        <f t="shared" si="147"/>
        <v>0</v>
      </c>
      <c r="Q1748">
        <f t="shared" si="144"/>
        <v>3</v>
      </c>
      <c r="R1748" t="str">
        <f t="shared" si="148"/>
        <v>Not open</v>
      </c>
    </row>
    <row r="1749" spans="1:18" x14ac:dyDescent="0.3">
      <c r="A1749" t="s">
        <v>1959</v>
      </c>
      <c r="B1749" t="s">
        <v>496</v>
      </c>
      <c r="C1749" t="s">
        <v>566</v>
      </c>
      <c r="D1749" s="1">
        <v>45413</v>
      </c>
      <c r="E1749" s="1">
        <v>45458</v>
      </c>
      <c r="F1749" t="s">
        <v>13</v>
      </c>
      <c r="G1749">
        <v>4413647</v>
      </c>
      <c r="H1749" s="1">
        <v>45464</v>
      </c>
      <c r="I1749" t="s">
        <v>555</v>
      </c>
      <c r="J1749" t="s">
        <v>556</v>
      </c>
      <c r="L1749">
        <v>4413647</v>
      </c>
      <c r="M1749">
        <f>IF(F1749="INR",1,INDEX('rates'!$B$2:$C$522,MATCH(D1749,'rates'!$A$2:$A$522,1),MATCH(F1749&amp;"/INR",'rates'!$B$1:$C$1,0)))</f>
        <v>1</v>
      </c>
      <c r="N1749">
        <f t="shared" si="145"/>
        <v>4413647</v>
      </c>
      <c r="O1749">
        <f t="shared" si="146"/>
        <v>0</v>
      </c>
      <c r="P1749">
        <f t="shared" si="147"/>
        <v>0</v>
      </c>
      <c r="Q1749">
        <f t="shared" si="144"/>
        <v>6</v>
      </c>
      <c r="R1749" t="str">
        <f t="shared" si="148"/>
        <v>Not open</v>
      </c>
    </row>
    <row r="1750" spans="1:18" x14ac:dyDescent="0.3">
      <c r="A1750" t="s">
        <v>1960</v>
      </c>
      <c r="B1750" t="s">
        <v>180</v>
      </c>
      <c r="C1750" t="s">
        <v>558</v>
      </c>
      <c r="D1750" s="1">
        <v>45414</v>
      </c>
      <c r="E1750" s="1">
        <v>45459</v>
      </c>
      <c r="F1750" t="s">
        <v>13</v>
      </c>
      <c r="G1750">
        <v>2170505</v>
      </c>
      <c r="H1750" s="1">
        <v>45480</v>
      </c>
      <c r="I1750" t="s">
        <v>555</v>
      </c>
      <c r="J1750" t="s">
        <v>556</v>
      </c>
      <c r="L1750">
        <v>2170505</v>
      </c>
      <c r="M1750">
        <f>IF(F1750="INR",1,INDEX('rates'!$B$2:$C$522,MATCH(D1750,'rates'!$A$2:$A$522,1),MATCH(F1750&amp;"/INR",'rates'!$B$1:$C$1,0)))</f>
        <v>1</v>
      </c>
      <c r="N1750">
        <f t="shared" si="145"/>
        <v>2170505</v>
      </c>
      <c r="O1750">
        <f t="shared" si="146"/>
        <v>0</v>
      </c>
      <c r="P1750">
        <f t="shared" si="147"/>
        <v>0</v>
      </c>
      <c r="Q1750">
        <f t="shared" si="144"/>
        <v>21</v>
      </c>
      <c r="R1750" t="str">
        <f t="shared" si="148"/>
        <v>Not open</v>
      </c>
    </row>
    <row r="1751" spans="1:18" x14ac:dyDescent="0.3">
      <c r="A1751" t="s">
        <v>1961</v>
      </c>
      <c r="B1751" t="s">
        <v>258</v>
      </c>
      <c r="C1751" t="s">
        <v>558</v>
      </c>
      <c r="D1751" s="1">
        <v>45414</v>
      </c>
      <c r="E1751" s="1">
        <v>45459</v>
      </c>
      <c r="F1751" t="s">
        <v>13</v>
      </c>
      <c r="G1751">
        <v>12759736</v>
      </c>
      <c r="H1751" s="1">
        <v>45459</v>
      </c>
      <c r="I1751" t="s">
        <v>555</v>
      </c>
      <c r="J1751" t="s">
        <v>556</v>
      </c>
      <c r="L1751">
        <v>12759736</v>
      </c>
      <c r="M1751">
        <f>IF(F1751="INR",1,INDEX('rates'!$B$2:$C$522,MATCH(D1751,'rates'!$A$2:$A$522,1),MATCH(F1751&amp;"/INR",'rates'!$B$1:$C$1,0)))</f>
        <v>1</v>
      </c>
      <c r="N1751">
        <f t="shared" si="145"/>
        <v>12759736</v>
      </c>
      <c r="O1751">
        <f t="shared" si="146"/>
        <v>0</v>
      </c>
      <c r="P1751">
        <f t="shared" si="147"/>
        <v>0</v>
      </c>
      <c r="Q1751">
        <f t="shared" si="144"/>
        <v>0</v>
      </c>
      <c r="R1751" t="str">
        <f t="shared" si="148"/>
        <v>Not open</v>
      </c>
    </row>
    <row r="1752" spans="1:18" x14ac:dyDescent="0.3">
      <c r="A1752" t="s">
        <v>1962</v>
      </c>
      <c r="B1752" t="s">
        <v>528</v>
      </c>
      <c r="C1752" t="s">
        <v>566</v>
      </c>
      <c r="D1752" s="1">
        <v>45414</v>
      </c>
      <c r="E1752" s="1">
        <v>45474</v>
      </c>
      <c r="F1752" t="s">
        <v>13</v>
      </c>
      <c r="G1752">
        <v>10773124</v>
      </c>
      <c r="H1752" s="1">
        <v>45547</v>
      </c>
      <c r="I1752" t="s">
        <v>555</v>
      </c>
      <c r="J1752" t="s">
        <v>556</v>
      </c>
      <c r="L1752">
        <v>10773124</v>
      </c>
      <c r="M1752">
        <f>IF(F1752="INR",1,INDEX('rates'!$B$2:$C$522,MATCH(D1752,'rates'!$A$2:$A$522,1),MATCH(F1752&amp;"/INR",'rates'!$B$1:$C$1,0)))</f>
        <v>1</v>
      </c>
      <c r="N1752">
        <f t="shared" si="145"/>
        <v>10773124</v>
      </c>
      <c r="O1752">
        <f t="shared" si="146"/>
        <v>0</v>
      </c>
      <c r="P1752">
        <f t="shared" si="147"/>
        <v>0</v>
      </c>
      <c r="Q1752">
        <f t="shared" si="144"/>
        <v>73</v>
      </c>
      <c r="R1752" t="str">
        <f t="shared" si="148"/>
        <v>Not open</v>
      </c>
    </row>
    <row r="1753" spans="1:18" x14ac:dyDescent="0.3">
      <c r="A1753" t="s">
        <v>1963</v>
      </c>
      <c r="B1753" t="s">
        <v>254</v>
      </c>
      <c r="C1753" t="s">
        <v>558</v>
      </c>
      <c r="D1753" s="1">
        <v>45415</v>
      </c>
      <c r="E1753" s="1">
        <v>45445</v>
      </c>
      <c r="F1753" t="s">
        <v>13</v>
      </c>
      <c r="G1753">
        <v>2983167</v>
      </c>
      <c r="H1753" s="1">
        <v>45566</v>
      </c>
      <c r="I1753" t="s">
        <v>555</v>
      </c>
      <c r="J1753" t="s">
        <v>556</v>
      </c>
      <c r="L1753">
        <v>2983167</v>
      </c>
      <c r="M1753">
        <f>IF(F1753="INR",1,INDEX('rates'!$B$2:$C$522,MATCH(D1753,'rates'!$A$2:$A$522,1),MATCH(F1753&amp;"/INR",'rates'!$B$1:$C$1,0)))</f>
        <v>1</v>
      </c>
      <c r="N1753">
        <f t="shared" si="145"/>
        <v>2983167</v>
      </c>
      <c r="O1753">
        <f t="shared" si="146"/>
        <v>0</v>
      </c>
      <c r="P1753">
        <f t="shared" si="147"/>
        <v>0</v>
      </c>
      <c r="Q1753">
        <f t="shared" si="144"/>
        <v>121</v>
      </c>
      <c r="R1753" t="str">
        <f t="shared" si="148"/>
        <v>Not open</v>
      </c>
    </row>
    <row r="1754" spans="1:18" x14ac:dyDescent="0.3">
      <c r="A1754" t="s">
        <v>1964</v>
      </c>
      <c r="B1754" t="s">
        <v>462</v>
      </c>
      <c r="C1754" t="s">
        <v>566</v>
      </c>
      <c r="D1754" s="1">
        <v>45415</v>
      </c>
      <c r="E1754" s="1">
        <v>45460</v>
      </c>
      <c r="F1754" t="s">
        <v>13</v>
      </c>
      <c r="G1754">
        <v>17545842</v>
      </c>
      <c r="H1754" s="1">
        <v>45491</v>
      </c>
      <c r="I1754" t="s">
        <v>555</v>
      </c>
      <c r="J1754" t="s">
        <v>556</v>
      </c>
      <c r="L1754">
        <v>17545842</v>
      </c>
      <c r="M1754">
        <f>IF(F1754="INR",1,INDEX('rates'!$B$2:$C$522,MATCH(D1754,'rates'!$A$2:$A$522,1),MATCH(F1754&amp;"/INR",'rates'!$B$1:$C$1,0)))</f>
        <v>1</v>
      </c>
      <c r="N1754">
        <f t="shared" si="145"/>
        <v>17545842</v>
      </c>
      <c r="O1754">
        <f t="shared" si="146"/>
        <v>0</v>
      </c>
      <c r="P1754">
        <f t="shared" si="147"/>
        <v>0</v>
      </c>
      <c r="Q1754">
        <f t="shared" si="144"/>
        <v>31</v>
      </c>
      <c r="R1754" t="str">
        <f t="shared" si="148"/>
        <v>Not open</v>
      </c>
    </row>
    <row r="1755" spans="1:18" x14ac:dyDescent="0.3">
      <c r="A1755" t="s">
        <v>1965</v>
      </c>
      <c r="B1755" t="s">
        <v>464</v>
      </c>
      <c r="C1755" t="s">
        <v>560</v>
      </c>
      <c r="D1755" s="1">
        <v>45415</v>
      </c>
      <c r="E1755" s="1">
        <v>45505</v>
      </c>
      <c r="F1755" t="s">
        <v>13</v>
      </c>
      <c r="G1755">
        <v>25411298</v>
      </c>
      <c r="H1755" s="1">
        <v>45509</v>
      </c>
      <c r="I1755" t="s">
        <v>555</v>
      </c>
      <c r="J1755" t="s">
        <v>556</v>
      </c>
      <c r="L1755">
        <v>25411298</v>
      </c>
      <c r="M1755">
        <f>IF(F1755="INR",1,INDEX('rates'!$B$2:$C$522,MATCH(D1755,'rates'!$A$2:$A$522,1),MATCH(F1755&amp;"/INR",'rates'!$B$1:$C$1,0)))</f>
        <v>1</v>
      </c>
      <c r="N1755">
        <f t="shared" si="145"/>
        <v>25411298</v>
      </c>
      <c r="O1755">
        <f t="shared" si="146"/>
        <v>0</v>
      </c>
      <c r="P1755">
        <f t="shared" si="147"/>
        <v>0</v>
      </c>
      <c r="Q1755">
        <f t="shared" si="144"/>
        <v>4</v>
      </c>
      <c r="R1755" t="str">
        <f t="shared" si="148"/>
        <v>Not open</v>
      </c>
    </row>
    <row r="1756" spans="1:18" x14ac:dyDescent="0.3">
      <c r="A1756" t="s">
        <v>1966</v>
      </c>
      <c r="B1756" t="s">
        <v>124</v>
      </c>
      <c r="C1756" t="s">
        <v>566</v>
      </c>
      <c r="D1756" s="1">
        <v>45416</v>
      </c>
      <c r="E1756" s="1">
        <v>45476</v>
      </c>
      <c r="F1756" t="s">
        <v>31</v>
      </c>
      <c r="G1756">
        <v>44135.82</v>
      </c>
      <c r="H1756" s="1">
        <v>45493</v>
      </c>
      <c r="I1756" t="s">
        <v>555</v>
      </c>
      <c r="J1756" t="s">
        <v>556</v>
      </c>
      <c r="L1756">
        <v>44135.82</v>
      </c>
      <c r="M1756">
        <f>IF(F1756="INR",1,INDEX('rates'!$B$2:$C$522,MATCH(D1756,'rates'!$A$2:$A$522,1),MATCH(F1756&amp;"/INR",'rates'!$B$1:$C$1,0)))</f>
        <v>89.854100000000003</v>
      </c>
      <c r="N1756">
        <f t="shared" si="145"/>
        <v>3965784.383862</v>
      </c>
      <c r="O1756">
        <f t="shared" si="146"/>
        <v>0</v>
      </c>
      <c r="P1756">
        <f t="shared" si="147"/>
        <v>0</v>
      </c>
      <c r="Q1756">
        <f t="shared" si="144"/>
        <v>17</v>
      </c>
      <c r="R1756" t="str">
        <f t="shared" si="148"/>
        <v>Not open</v>
      </c>
    </row>
    <row r="1757" spans="1:18" x14ac:dyDescent="0.3">
      <c r="A1757" t="s">
        <v>1967</v>
      </c>
      <c r="B1757" t="s">
        <v>126</v>
      </c>
      <c r="C1757" t="s">
        <v>558</v>
      </c>
      <c r="D1757" s="1">
        <v>45416</v>
      </c>
      <c r="E1757" s="1">
        <v>45461</v>
      </c>
      <c r="F1757" t="s">
        <v>13</v>
      </c>
      <c r="G1757">
        <v>10367511</v>
      </c>
      <c r="H1757" s="1">
        <v>45456</v>
      </c>
      <c r="I1757" t="s">
        <v>555</v>
      </c>
      <c r="J1757" t="s">
        <v>556</v>
      </c>
      <c r="L1757">
        <v>10367511</v>
      </c>
      <c r="M1757">
        <f>IF(F1757="INR",1,INDEX('rates'!$B$2:$C$522,MATCH(D1757,'rates'!$A$2:$A$522,1),MATCH(F1757&amp;"/INR",'rates'!$B$1:$C$1,0)))</f>
        <v>1</v>
      </c>
      <c r="N1757">
        <f t="shared" si="145"/>
        <v>10367511</v>
      </c>
      <c r="O1757">
        <f t="shared" si="146"/>
        <v>0</v>
      </c>
      <c r="P1757">
        <f t="shared" si="147"/>
        <v>0</v>
      </c>
      <c r="Q1757">
        <f t="shared" si="144"/>
        <v>-5</v>
      </c>
      <c r="R1757" t="str">
        <f t="shared" si="148"/>
        <v>Not open</v>
      </c>
    </row>
    <row r="1758" spans="1:18" x14ac:dyDescent="0.3">
      <c r="A1758" t="s">
        <v>1968</v>
      </c>
      <c r="B1758" t="s">
        <v>190</v>
      </c>
      <c r="C1758" t="s">
        <v>558</v>
      </c>
      <c r="D1758" s="1">
        <v>45416</v>
      </c>
      <c r="E1758" s="1">
        <v>45446</v>
      </c>
      <c r="F1758" t="s">
        <v>13</v>
      </c>
      <c r="G1758">
        <v>4729647</v>
      </c>
      <c r="H1758" s="1">
        <v>45474</v>
      </c>
      <c r="I1758" t="s">
        <v>555</v>
      </c>
      <c r="J1758" t="s">
        <v>556</v>
      </c>
      <c r="L1758">
        <v>4729647</v>
      </c>
      <c r="M1758">
        <f>IF(F1758="INR",1,INDEX('rates'!$B$2:$C$522,MATCH(D1758,'rates'!$A$2:$A$522,1),MATCH(F1758&amp;"/INR",'rates'!$B$1:$C$1,0)))</f>
        <v>1</v>
      </c>
      <c r="N1758">
        <f t="shared" si="145"/>
        <v>4729647</v>
      </c>
      <c r="O1758">
        <f t="shared" si="146"/>
        <v>0</v>
      </c>
      <c r="P1758">
        <f t="shared" si="147"/>
        <v>0</v>
      </c>
      <c r="Q1758">
        <f t="shared" si="144"/>
        <v>28</v>
      </c>
      <c r="R1758" t="str">
        <f t="shared" si="148"/>
        <v>Not open</v>
      </c>
    </row>
    <row r="1759" spans="1:18" x14ac:dyDescent="0.3">
      <c r="A1759" t="s">
        <v>1969</v>
      </c>
      <c r="B1759" t="s">
        <v>190</v>
      </c>
      <c r="C1759" t="s">
        <v>558</v>
      </c>
      <c r="D1759" s="1">
        <v>45416</v>
      </c>
      <c r="E1759" s="1">
        <v>45446</v>
      </c>
      <c r="F1759" t="s">
        <v>13</v>
      </c>
      <c r="G1759">
        <v>13029082</v>
      </c>
      <c r="H1759" s="1">
        <v>45463</v>
      </c>
      <c r="I1759" t="s">
        <v>555</v>
      </c>
      <c r="J1759" t="s">
        <v>556</v>
      </c>
      <c r="L1759">
        <v>13029082</v>
      </c>
      <c r="M1759">
        <f>IF(F1759="INR",1,INDEX('rates'!$B$2:$C$522,MATCH(D1759,'rates'!$A$2:$A$522,1),MATCH(F1759&amp;"/INR",'rates'!$B$1:$C$1,0)))</f>
        <v>1</v>
      </c>
      <c r="N1759">
        <f t="shared" si="145"/>
        <v>13029082</v>
      </c>
      <c r="O1759">
        <f t="shared" si="146"/>
        <v>0</v>
      </c>
      <c r="P1759">
        <f t="shared" si="147"/>
        <v>0</v>
      </c>
      <c r="Q1759">
        <f t="shared" si="144"/>
        <v>17</v>
      </c>
      <c r="R1759" t="str">
        <f t="shared" si="148"/>
        <v>Not open</v>
      </c>
    </row>
    <row r="1760" spans="1:18" x14ac:dyDescent="0.3">
      <c r="A1760" t="s">
        <v>1970</v>
      </c>
      <c r="B1760" t="s">
        <v>230</v>
      </c>
      <c r="C1760" t="s">
        <v>558</v>
      </c>
      <c r="D1760" s="1">
        <v>45416</v>
      </c>
      <c r="E1760" s="1">
        <v>45461</v>
      </c>
      <c r="F1760" t="s">
        <v>13</v>
      </c>
      <c r="G1760">
        <v>6131593</v>
      </c>
      <c r="H1760" s="1">
        <v>45477</v>
      </c>
      <c r="I1760" t="s">
        <v>555</v>
      </c>
      <c r="J1760" t="s">
        <v>556</v>
      </c>
      <c r="L1760">
        <v>6131593</v>
      </c>
      <c r="M1760">
        <f>IF(F1760="INR",1,INDEX('rates'!$B$2:$C$522,MATCH(D1760,'rates'!$A$2:$A$522,1),MATCH(F1760&amp;"/INR",'rates'!$B$1:$C$1,0)))</f>
        <v>1</v>
      </c>
      <c r="N1760">
        <f t="shared" si="145"/>
        <v>6131593</v>
      </c>
      <c r="O1760">
        <f t="shared" si="146"/>
        <v>0</v>
      </c>
      <c r="P1760">
        <f t="shared" si="147"/>
        <v>0</v>
      </c>
      <c r="Q1760">
        <f t="shared" si="144"/>
        <v>16</v>
      </c>
      <c r="R1760" t="str">
        <f t="shared" si="148"/>
        <v>Not open</v>
      </c>
    </row>
    <row r="1761" spans="1:18" x14ac:dyDescent="0.3">
      <c r="A1761" t="s">
        <v>1971</v>
      </c>
      <c r="B1761" t="s">
        <v>506</v>
      </c>
      <c r="C1761" t="s">
        <v>554</v>
      </c>
      <c r="D1761" s="1">
        <v>45416</v>
      </c>
      <c r="E1761" s="1">
        <v>45476</v>
      </c>
      <c r="F1761" t="s">
        <v>13</v>
      </c>
      <c r="G1761">
        <v>2703122</v>
      </c>
      <c r="H1761" s="1">
        <v>45500</v>
      </c>
      <c r="I1761" t="s">
        <v>555</v>
      </c>
      <c r="J1761" t="s">
        <v>556</v>
      </c>
      <c r="L1761">
        <v>2703122</v>
      </c>
      <c r="M1761">
        <f>IF(F1761="INR",1,INDEX('rates'!$B$2:$C$522,MATCH(D1761,'rates'!$A$2:$A$522,1),MATCH(F1761&amp;"/INR",'rates'!$B$1:$C$1,0)))</f>
        <v>1</v>
      </c>
      <c r="N1761">
        <f t="shared" si="145"/>
        <v>2703122</v>
      </c>
      <c r="O1761">
        <f t="shared" si="146"/>
        <v>0</v>
      </c>
      <c r="P1761">
        <f t="shared" si="147"/>
        <v>0</v>
      </c>
      <c r="Q1761">
        <f t="shared" si="144"/>
        <v>24</v>
      </c>
      <c r="R1761" t="str">
        <f t="shared" si="148"/>
        <v>Not open</v>
      </c>
    </row>
    <row r="1762" spans="1:18" x14ac:dyDescent="0.3">
      <c r="A1762" t="s">
        <v>1972</v>
      </c>
      <c r="B1762" t="s">
        <v>140</v>
      </c>
      <c r="C1762" t="s">
        <v>554</v>
      </c>
      <c r="D1762" s="1">
        <v>45418</v>
      </c>
      <c r="E1762" s="1">
        <v>45478</v>
      </c>
      <c r="F1762" t="s">
        <v>13</v>
      </c>
      <c r="G1762">
        <v>19993644</v>
      </c>
      <c r="H1762" s="1">
        <v>45480</v>
      </c>
      <c r="I1762" t="s">
        <v>555</v>
      </c>
      <c r="J1762" t="s">
        <v>556</v>
      </c>
      <c r="L1762">
        <v>19993644</v>
      </c>
      <c r="M1762">
        <f>IF(F1762="INR",1,INDEX('rates'!$B$2:$C$522,MATCH(D1762,'rates'!$A$2:$A$522,1),MATCH(F1762&amp;"/INR",'rates'!$B$1:$C$1,0)))</f>
        <v>1</v>
      </c>
      <c r="N1762">
        <f t="shared" si="145"/>
        <v>19993644</v>
      </c>
      <c r="O1762">
        <f t="shared" si="146"/>
        <v>0</v>
      </c>
      <c r="P1762">
        <f t="shared" si="147"/>
        <v>0</v>
      </c>
      <c r="Q1762">
        <f t="shared" si="144"/>
        <v>2</v>
      </c>
      <c r="R1762" t="str">
        <f t="shared" si="148"/>
        <v>Not open</v>
      </c>
    </row>
    <row r="1763" spans="1:18" x14ac:dyDescent="0.3">
      <c r="A1763" t="s">
        <v>1973</v>
      </c>
      <c r="B1763" t="s">
        <v>498</v>
      </c>
      <c r="C1763" t="s">
        <v>566</v>
      </c>
      <c r="D1763" s="1">
        <v>45418</v>
      </c>
      <c r="E1763" s="1">
        <v>45508</v>
      </c>
      <c r="F1763" t="s">
        <v>36</v>
      </c>
      <c r="G1763">
        <v>96172.14</v>
      </c>
      <c r="H1763" s="1">
        <v>45512</v>
      </c>
      <c r="I1763" t="s">
        <v>555</v>
      </c>
      <c r="J1763" t="s">
        <v>573</v>
      </c>
      <c r="K1763">
        <v>83.897400000000005</v>
      </c>
      <c r="L1763">
        <v>96172.14</v>
      </c>
      <c r="M1763">
        <f>IF(F1763="INR",1,INDEX('rates'!$B$2:$C$522,MATCH(D1763,'rates'!$A$2:$A$522,1),MATCH(F1763&amp;"/INR",'rates'!$B$1:$C$1,0)))</f>
        <v>83.48</v>
      </c>
      <c r="N1763">
        <f t="shared" si="145"/>
        <v>8028450.2472000001</v>
      </c>
      <c r="O1763">
        <f t="shared" si="146"/>
        <v>0</v>
      </c>
      <c r="P1763">
        <f t="shared" si="147"/>
        <v>0</v>
      </c>
      <c r="Q1763">
        <f t="shared" si="144"/>
        <v>4</v>
      </c>
      <c r="R1763" t="str">
        <f t="shared" si="148"/>
        <v>Not open</v>
      </c>
    </row>
    <row r="1764" spans="1:18" x14ac:dyDescent="0.3">
      <c r="A1764" t="s">
        <v>1974</v>
      </c>
      <c r="B1764" t="s">
        <v>154</v>
      </c>
      <c r="C1764" t="s">
        <v>566</v>
      </c>
      <c r="D1764" s="1">
        <v>45419</v>
      </c>
      <c r="E1764" s="1">
        <v>45449</v>
      </c>
      <c r="F1764" t="s">
        <v>13</v>
      </c>
      <c r="G1764">
        <v>4560082</v>
      </c>
      <c r="H1764" s="1">
        <v>45449</v>
      </c>
      <c r="I1764" t="s">
        <v>555</v>
      </c>
      <c r="J1764" t="s">
        <v>556</v>
      </c>
      <c r="L1764">
        <v>4560082</v>
      </c>
      <c r="M1764">
        <f>IF(F1764="INR",1,INDEX('rates'!$B$2:$C$522,MATCH(D1764,'rates'!$A$2:$A$522,1),MATCH(F1764&amp;"/INR",'rates'!$B$1:$C$1,0)))</f>
        <v>1</v>
      </c>
      <c r="N1764">
        <f t="shared" si="145"/>
        <v>4560082</v>
      </c>
      <c r="O1764">
        <f t="shared" si="146"/>
        <v>0</v>
      </c>
      <c r="P1764">
        <f t="shared" si="147"/>
        <v>0</v>
      </c>
      <c r="Q1764">
        <f t="shared" si="144"/>
        <v>0</v>
      </c>
      <c r="R1764" t="str">
        <f t="shared" si="148"/>
        <v>Not open</v>
      </c>
    </row>
    <row r="1765" spans="1:18" x14ac:dyDescent="0.3">
      <c r="A1765" t="s">
        <v>1975</v>
      </c>
      <c r="B1765" t="s">
        <v>164</v>
      </c>
      <c r="C1765" t="s">
        <v>575</v>
      </c>
      <c r="D1765" s="1">
        <v>45419</v>
      </c>
      <c r="E1765" s="1">
        <v>45479</v>
      </c>
      <c r="F1765" t="s">
        <v>36</v>
      </c>
      <c r="G1765">
        <v>158118.24</v>
      </c>
      <c r="H1765" s="1">
        <v>45501</v>
      </c>
      <c r="I1765" t="s">
        <v>555</v>
      </c>
      <c r="J1765" t="s">
        <v>556</v>
      </c>
      <c r="L1765">
        <v>158118.24</v>
      </c>
      <c r="M1765">
        <f>IF(F1765="INR",1,INDEX('rates'!$B$2:$C$522,MATCH(D1765,'rates'!$A$2:$A$522,1),MATCH(F1765&amp;"/INR",'rates'!$B$1:$C$1,0)))</f>
        <v>83.51</v>
      </c>
      <c r="N1765">
        <f t="shared" si="145"/>
        <v>13204454.2224</v>
      </c>
      <c r="O1765">
        <f t="shared" si="146"/>
        <v>0</v>
      </c>
      <c r="P1765">
        <f t="shared" si="147"/>
        <v>0</v>
      </c>
      <c r="Q1765">
        <f t="shared" si="144"/>
        <v>22</v>
      </c>
      <c r="R1765" t="str">
        <f t="shared" si="148"/>
        <v>Not open</v>
      </c>
    </row>
    <row r="1766" spans="1:18" x14ac:dyDescent="0.3">
      <c r="A1766" t="s">
        <v>1976</v>
      </c>
      <c r="B1766" t="s">
        <v>190</v>
      </c>
      <c r="C1766" t="s">
        <v>558</v>
      </c>
      <c r="D1766" s="1">
        <v>45419</v>
      </c>
      <c r="E1766" s="1">
        <v>45449</v>
      </c>
      <c r="F1766" t="s">
        <v>13</v>
      </c>
      <c r="G1766">
        <v>7057703</v>
      </c>
      <c r="H1766" s="1">
        <v>45460</v>
      </c>
      <c r="I1766" t="s">
        <v>555</v>
      </c>
      <c r="J1766" t="s">
        <v>556</v>
      </c>
      <c r="L1766">
        <v>7057703</v>
      </c>
      <c r="M1766">
        <f>IF(F1766="INR",1,INDEX('rates'!$B$2:$C$522,MATCH(D1766,'rates'!$A$2:$A$522,1),MATCH(F1766&amp;"/INR",'rates'!$B$1:$C$1,0)))</f>
        <v>1</v>
      </c>
      <c r="N1766">
        <f t="shared" si="145"/>
        <v>7057703</v>
      </c>
      <c r="O1766">
        <f t="shared" si="146"/>
        <v>0</v>
      </c>
      <c r="P1766">
        <f t="shared" si="147"/>
        <v>0</v>
      </c>
      <c r="Q1766">
        <f t="shared" si="144"/>
        <v>11</v>
      </c>
      <c r="R1766" t="str">
        <f t="shared" si="148"/>
        <v>Not open</v>
      </c>
    </row>
    <row r="1767" spans="1:18" x14ac:dyDescent="0.3">
      <c r="A1767" t="s">
        <v>1977</v>
      </c>
      <c r="B1767" t="s">
        <v>262</v>
      </c>
      <c r="C1767" t="s">
        <v>566</v>
      </c>
      <c r="D1767" s="1">
        <v>45419</v>
      </c>
      <c r="E1767" s="1">
        <v>45509</v>
      </c>
      <c r="F1767" t="s">
        <v>31</v>
      </c>
      <c r="G1767">
        <v>103642.64</v>
      </c>
      <c r="H1767" s="1">
        <v>45515</v>
      </c>
      <c r="I1767" t="s">
        <v>555</v>
      </c>
      <c r="J1767" t="s">
        <v>573</v>
      </c>
      <c r="K1767">
        <v>90.184899999999999</v>
      </c>
      <c r="L1767">
        <v>103642.64</v>
      </c>
      <c r="M1767">
        <f>IF(F1767="INR",1,INDEX('rates'!$B$2:$C$522,MATCH(D1767,'rates'!$A$2:$A$522,1),MATCH(F1767&amp;"/INR",'rates'!$B$1:$C$1,0)))</f>
        <v>89.915199999999999</v>
      </c>
      <c r="N1767">
        <f t="shared" si="145"/>
        <v>9319048.704127999</v>
      </c>
      <c r="O1767">
        <f t="shared" si="146"/>
        <v>0</v>
      </c>
      <c r="P1767">
        <f t="shared" si="147"/>
        <v>0</v>
      </c>
      <c r="Q1767">
        <f t="shared" si="144"/>
        <v>6</v>
      </c>
      <c r="R1767" t="str">
        <f t="shared" si="148"/>
        <v>Not open</v>
      </c>
    </row>
    <row r="1768" spans="1:18" x14ac:dyDescent="0.3">
      <c r="A1768" t="s">
        <v>1978</v>
      </c>
      <c r="B1768" t="s">
        <v>318</v>
      </c>
      <c r="C1768" t="s">
        <v>558</v>
      </c>
      <c r="D1768" s="1">
        <v>45419</v>
      </c>
      <c r="E1768" s="1">
        <v>45479</v>
      </c>
      <c r="F1768" t="s">
        <v>36</v>
      </c>
      <c r="G1768">
        <v>555769.4</v>
      </c>
      <c r="H1768" s="1">
        <v>45521</v>
      </c>
      <c r="I1768" t="s">
        <v>555</v>
      </c>
      <c r="J1768" t="s">
        <v>556</v>
      </c>
      <c r="L1768">
        <v>555769.4</v>
      </c>
      <c r="M1768">
        <f>IF(F1768="INR",1,INDEX('rates'!$B$2:$C$522,MATCH(D1768,'rates'!$A$2:$A$522,1),MATCH(F1768&amp;"/INR",'rates'!$B$1:$C$1,0)))</f>
        <v>83.51</v>
      </c>
      <c r="N1768">
        <f t="shared" si="145"/>
        <v>46412302.594000004</v>
      </c>
      <c r="O1768">
        <f t="shared" si="146"/>
        <v>0</v>
      </c>
      <c r="P1768">
        <f t="shared" si="147"/>
        <v>0</v>
      </c>
      <c r="Q1768">
        <f t="shared" si="144"/>
        <v>42</v>
      </c>
      <c r="R1768" t="str">
        <f t="shared" si="148"/>
        <v>Not open</v>
      </c>
    </row>
    <row r="1769" spans="1:18" x14ac:dyDescent="0.3">
      <c r="A1769" t="s">
        <v>1979</v>
      </c>
      <c r="B1769" t="s">
        <v>320</v>
      </c>
      <c r="C1769" t="s">
        <v>554</v>
      </c>
      <c r="D1769" s="1">
        <v>45419</v>
      </c>
      <c r="E1769" s="1">
        <v>45464</v>
      </c>
      <c r="F1769" t="s">
        <v>13</v>
      </c>
      <c r="G1769">
        <v>2540659</v>
      </c>
      <c r="H1769" s="1">
        <v>45571</v>
      </c>
      <c r="I1769" t="s">
        <v>555</v>
      </c>
      <c r="J1769" t="s">
        <v>556</v>
      </c>
      <c r="L1769">
        <v>2540659</v>
      </c>
      <c r="M1769">
        <f>IF(F1769="INR",1,INDEX('rates'!$B$2:$C$522,MATCH(D1769,'rates'!$A$2:$A$522,1),MATCH(F1769&amp;"/INR",'rates'!$B$1:$C$1,0)))</f>
        <v>1</v>
      </c>
      <c r="N1769">
        <f t="shared" si="145"/>
        <v>2540659</v>
      </c>
      <c r="O1769">
        <f t="shared" si="146"/>
        <v>0</v>
      </c>
      <c r="P1769">
        <f t="shared" si="147"/>
        <v>0</v>
      </c>
      <c r="Q1769">
        <f t="shared" si="144"/>
        <v>107</v>
      </c>
      <c r="R1769" t="str">
        <f t="shared" si="148"/>
        <v>Not open</v>
      </c>
    </row>
    <row r="1770" spans="1:18" x14ac:dyDescent="0.3">
      <c r="A1770" t="s">
        <v>1980</v>
      </c>
      <c r="B1770" t="s">
        <v>324</v>
      </c>
      <c r="C1770" t="s">
        <v>575</v>
      </c>
      <c r="D1770" s="1">
        <v>45419</v>
      </c>
      <c r="E1770" s="1">
        <v>45479</v>
      </c>
      <c r="F1770" t="s">
        <v>31</v>
      </c>
      <c r="G1770">
        <v>65513.68</v>
      </c>
      <c r="H1770" s="1">
        <v>45476</v>
      </c>
      <c r="I1770" t="s">
        <v>555</v>
      </c>
      <c r="J1770" t="s">
        <v>573</v>
      </c>
      <c r="K1770">
        <v>90.094999999999999</v>
      </c>
      <c r="L1770">
        <v>65513.68</v>
      </c>
      <c r="M1770">
        <f>IF(F1770="INR",1,INDEX('rates'!$B$2:$C$522,MATCH(D1770,'rates'!$A$2:$A$522,1),MATCH(F1770&amp;"/INR",'rates'!$B$1:$C$1,0)))</f>
        <v>89.915199999999999</v>
      </c>
      <c r="N1770">
        <f t="shared" si="145"/>
        <v>5890675.6399360001</v>
      </c>
      <c r="O1770">
        <f t="shared" si="146"/>
        <v>0</v>
      </c>
      <c r="P1770">
        <f t="shared" si="147"/>
        <v>0</v>
      </c>
      <c r="Q1770">
        <f t="shared" si="144"/>
        <v>-3</v>
      </c>
      <c r="R1770" t="str">
        <f t="shared" si="148"/>
        <v>Not open</v>
      </c>
    </row>
    <row r="1771" spans="1:18" x14ac:dyDescent="0.3">
      <c r="A1771" t="s">
        <v>1981</v>
      </c>
      <c r="B1771" t="s">
        <v>426</v>
      </c>
      <c r="C1771" t="s">
        <v>566</v>
      </c>
      <c r="D1771" s="1">
        <v>45419</v>
      </c>
      <c r="E1771" s="1">
        <v>45464</v>
      </c>
      <c r="F1771" t="s">
        <v>31</v>
      </c>
      <c r="G1771">
        <v>43333.35</v>
      </c>
      <c r="H1771" s="1">
        <v>45468</v>
      </c>
      <c r="I1771" t="s">
        <v>555</v>
      </c>
      <c r="J1771" t="s">
        <v>556</v>
      </c>
      <c r="L1771">
        <v>43333.35</v>
      </c>
      <c r="M1771">
        <f>IF(F1771="INR",1,INDEX('rates'!$B$2:$C$522,MATCH(D1771,'rates'!$A$2:$A$522,1),MATCH(F1771&amp;"/INR",'rates'!$B$1:$C$1,0)))</f>
        <v>89.915199999999999</v>
      </c>
      <c r="N1771">
        <f t="shared" si="145"/>
        <v>3896326.8319199998</v>
      </c>
      <c r="O1771">
        <f t="shared" si="146"/>
        <v>0</v>
      </c>
      <c r="P1771">
        <f t="shared" si="147"/>
        <v>0</v>
      </c>
      <c r="Q1771">
        <f t="shared" si="144"/>
        <v>4</v>
      </c>
      <c r="R1771" t="str">
        <f t="shared" si="148"/>
        <v>Not open</v>
      </c>
    </row>
    <row r="1772" spans="1:18" x14ac:dyDescent="0.3">
      <c r="A1772" t="s">
        <v>1982</v>
      </c>
      <c r="B1772" t="s">
        <v>262</v>
      </c>
      <c r="C1772" t="s">
        <v>566</v>
      </c>
      <c r="D1772" s="1">
        <v>45420</v>
      </c>
      <c r="E1772" s="1">
        <v>45510</v>
      </c>
      <c r="F1772" t="s">
        <v>31</v>
      </c>
      <c r="G1772">
        <v>88888.97</v>
      </c>
      <c r="H1772" s="1"/>
      <c r="I1772" t="s">
        <v>717</v>
      </c>
      <c r="J1772" t="s">
        <v>573</v>
      </c>
      <c r="K1772">
        <v>90.019800000000004</v>
      </c>
      <c r="L1772">
        <v>0</v>
      </c>
      <c r="M1772">
        <f>IF(F1772="INR",1,INDEX('rates'!$B$2:$C$522,MATCH(D1772,'rates'!$A$2:$A$522,1),MATCH(F1772&amp;"/INR",'rates'!$B$1:$C$1,0)))</f>
        <v>89.750500000000002</v>
      </c>
      <c r="N1772">
        <f t="shared" si="145"/>
        <v>7977829.5019850004</v>
      </c>
      <c r="O1772">
        <f t="shared" si="146"/>
        <v>0</v>
      </c>
      <c r="P1772">
        <f t="shared" si="147"/>
        <v>0</v>
      </c>
      <c r="Q1772" t="str">
        <f t="shared" si="144"/>
        <v/>
      </c>
      <c r="R1772" t="str">
        <f t="shared" si="148"/>
        <v>Not open</v>
      </c>
    </row>
    <row r="1773" spans="1:18" x14ac:dyDescent="0.3">
      <c r="A1773" t="s">
        <v>1983</v>
      </c>
      <c r="B1773" t="s">
        <v>282</v>
      </c>
      <c r="C1773" t="s">
        <v>554</v>
      </c>
      <c r="D1773" s="1">
        <v>45420</v>
      </c>
      <c r="E1773" s="1">
        <v>45480</v>
      </c>
      <c r="F1773" t="s">
        <v>13</v>
      </c>
      <c r="G1773">
        <v>600000</v>
      </c>
      <c r="H1773" s="1">
        <v>45475</v>
      </c>
      <c r="I1773" t="s">
        <v>555</v>
      </c>
      <c r="J1773" t="s">
        <v>556</v>
      </c>
      <c r="L1773">
        <v>600000</v>
      </c>
      <c r="M1773">
        <f>IF(F1773="INR",1,INDEX('rates'!$B$2:$C$522,MATCH(D1773,'rates'!$A$2:$A$522,1),MATCH(F1773&amp;"/INR",'rates'!$B$1:$C$1,0)))</f>
        <v>1</v>
      </c>
      <c r="N1773">
        <f t="shared" si="145"/>
        <v>600000</v>
      </c>
      <c r="O1773">
        <f t="shared" si="146"/>
        <v>0</v>
      </c>
      <c r="P1773">
        <f t="shared" si="147"/>
        <v>0</v>
      </c>
      <c r="Q1773">
        <f t="shared" si="144"/>
        <v>-5</v>
      </c>
      <c r="R1773" t="str">
        <f t="shared" si="148"/>
        <v>Not open</v>
      </c>
    </row>
    <row r="1774" spans="1:18" x14ac:dyDescent="0.3">
      <c r="A1774" t="s">
        <v>1984</v>
      </c>
      <c r="B1774" t="s">
        <v>466</v>
      </c>
      <c r="C1774" t="s">
        <v>558</v>
      </c>
      <c r="D1774" s="1">
        <v>45420</v>
      </c>
      <c r="E1774" s="1">
        <v>45480</v>
      </c>
      <c r="F1774" t="s">
        <v>31</v>
      </c>
      <c r="G1774">
        <v>261182.95</v>
      </c>
      <c r="H1774" s="1">
        <v>45490</v>
      </c>
      <c r="I1774" t="s">
        <v>555</v>
      </c>
      <c r="J1774" t="s">
        <v>573</v>
      </c>
      <c r="K1774">
        <v>89.93</v>
      </c>
      <c r="L1774">
        <v>261182.95</v>
      </c>
      <c r="M1774">
        <f>IF(F1774="INR",1,INDEX('rates'!$B$2:$C$522,MATCH(D1774,'rates'!$A$2:$A$522,1),MATCH(F1774&amp;"/INR",'rates'!$B$1:$C$1,0)))</f>
        <v>89.750500000000002</v>
      </c>
      <c r="N1774">
        <f t="shared" si="145"/>
        <v>23441300.353975002</v>
      </c>
      <c r="O1774">
        <f t="shared" si="146"/>
        <v>0</v>
      </c>
      <c r="P1774">
        <f t="shared" si="147"/>
        <v>0</v>
      </c>
      <c r="Q1774">
        <f t="shared" si="144"/>
        <v>10</v>
      </c>
      <c r="R1774" t="str">
        <f t="shared" si="148"/>
        <v>Not open</v>
      </c>
    </row>
    <row r="1775" spans="1:18" x14ac:dyDescent="0.3">
      <c r="A1775" t="s">
        <v>1986</v>
      </c>
      <c r="B1775" t="s">
        <v>160</v>
      </c>
      <c r="C1775" t="s">
        <v>554</v>
      </c>
      <c r="D1775" s="1">
        <v>45421</v>
      </c>
      <c r="E1775" s="1">
        <v>45466</v>
      </c>
      <c r="F1775" t="s">
        <v>13</v>
      </c>
      <c r="G1775">
        <v>4128128</v>
      </c>
      <c r="H1775" s="1">
        <v>45467</v>
      </c>
      <c r="I1775" t="s">
        <v>555</v>
      </c>
      <c r="J1775" t="s">
        <v>556</v>
      </c>
      <c r="L1775">
        <v>4128128</v>
      </c>
      <c r="M1775">
        <f>IF(F1775="INR",1,INDEX('rates'!$B$2:$C$522,MATCH(D1775,'rates'!$A$2:$A$522,1),MATCH(F1775&amp;"/INR",'rates'!$B$1:$C$1,0)))</f>
        <v>1</v>
      </c>
      <c r="N1775">
        <f t="shared" si="145"/>
        <v>4128128</v>
      </c>
      <c r="O1775">
        <f t="shared" si="146"/>
        <v>0</v>
      </c>
      <c r="P1775">
        <f t="shared" si="147"/>
        <v>0</v>
      </c>
      <c r="Q1775">
        <f t="shared" si="144"/>
        <v>1</v>
      </c>
      <c r="R1775" t="str">
        <f t="shared" si="148"/>
        <v>Not open</v>
      </c>
    </row>
    <row r="1776" spans="1:18" x14ac:dyDescent="0.3">
      <c r="A1776" t="s">
        <v>1987</v>
      </c>
      <c r="B1776" t="s">
        <v>208</v>
      </c>
      <c r="C1776" t="s">
        <v>566</v>
      </c>
      <c r="D1776" s="1">
        <v>45421</v>
      </c>
      <c r="E1776" s="1">
        <v>45466</v>
      </c>
      <c r="F1776" t="s">
        <v>13</v>
      </c>
      <c r="G1776">
        <v>18131867</v>
      </c>
      <c r="H1776" s="1">
        <v>45466</v>
      </c>
      <c r="I1776" t="s">
        <v>555</v>
      </c>
      <c r="J1776" t="s">
        <v>556</v>
      </c>
      <c r="L1776">
        <v>18131867</v>
      </c>
      <c r="M1776">
        <f>IF(F1776="INR",1,INDEX('rates'!$B$2:$C$522,MATCH(D1776,'rates'!$A$2:$A$522,1),MATCH(F1776&amp;"/INR",'rates'!$B$1:$C$1,0)))</f>
        <v>1</v>
      </c>
      <c r="N1776">
        <f t="shared" si="145"/>
        <v>18131867</v>
      </c>
      <c r="O1776">
        <f t="shared" si="146"/>
        <v>0</v>
      </c>
      <c r="P1776">
        <f t="shared" si="147"/>
        <v>0</v>
      </c>
      <c r="Q1776">
        <f t="shared" si="144"/>
        <v>0</v>
      </c>
      <c r="R1776" t="str">
        <f t="shared" si="148"/>
        <v>Not open</v>
      </c>
    </row>
    <row r="1777" spans="1:18" x14ac:dyDescent="0.3">
      <c r="A1777" t="s">
        <v>1988</v>
      </c>
      <c r="B1777" t="s">
        <v>262</v>
      </c>
      <c r="C1777" t="s">
        <v>566</v>
      </c>
      <c r="D1777" s="1">
        <v>45421</v>
      </c>
      <c r="E1777" s="1">
        <v>45511</v>
      </c>
      <c r="F1777" t="s">
        <v>31</v>
      </c>
      <c r="G1777">
        <v>191926.17</v>
      </c>
      <c r="H1777" s="1"/>
      <c r="I1777" t="s">
        <v>717</v>
      </c>
      <c r="J1777" t="s">
        <v>573</v>
      </c>
      <c r="K1777">
        <v>90.218400000000003</v>
      </c>
      <c r="L1777">
        <v>0</v>
      </c>
      <c r="M1777">
        <f>IF(F1777="INR",1,INDEX('rates'!$B$2:$C$522,MATCH(D1777,'rates'!$A$2:$A$522,1),MATCH(F1777&amp;"/INR",'rates'!$B$1:$C$1,0)))</f>
        <v>89.948599999999999</v>
      </c>
      <c r="N1777">
        <f t="shared" si="145"/>
        <v>17263490.294862002</v>
      </c>
      <c r="O1777">
        <f t="shared" si="146"/>
        <v>0</v>
      </c>
      <c r="P1777">
        <f t="shared" si="147"/>
        <v>0</v>
      </c>
      <c r="Q1777" t="str">
        <f t="shared" si="144"/>
        <v/>
      </c>
      <c r="R1777" t="str">
        <f t="shared" si="148"/>
        <v>Not open</v>
      </c>
    </row>
    <row r="1778" spans="1:18" x14ac:dyDescent="0.3">
      <c r="A1778" t="s">
        <v>1989</v>
      </c>
      <c r="B1778" t="s">
        <v>72</v>
      </c>
      <c r="C1778" t="s">
        <v>560</v>
      </c>
      <c r="D1778" s="1">
        <v>45422</v>
      </c>
      <c r="E1778" s="1">
        <v>45512</v>
      </c>
      <c r="F1778" t="s">
        <v>31</v>
      </c>
      <c r="G1778">
        <v>77354.67</v>
      </c>
      <c r="H1778" s="1">
        <v>45529</v>
      </c>
      <c r="I1778" t="s">
        <v>555</v>
      </c>
      <c r="J1778" t="s">
        <v>573</v>
      </c>
      <c r="K1778">
        <v>90.267600000000002</v>
      </c>
      <c r="L1778">
        <v>77354.67</v>
      </c>
      <c r="M1778">
        <f>IF(F1778="INR",1,INDEX('rates'!$B$2:$C$522,MATCH(D1778,'rates'!$A$2:$A$522,1),MATCH(F1778&amp;"/INR",'rates'!$B$1:$C$1,0)))</f>
        <v>89.997600000000006</v>
      </c>
      <c r="N1778">
        <f t="shared" si="145"/>
        <v>6961734.6487920005</v>
      </c>
      <c r="O1778">
        <f t="shared" si="146"/>
        <v>0</v>
      </c>
      <c r="P1778">
        <f t="shared" si="147"/>
        <v>0</v>
      </c>
      <c r="Q1778">
        <f t="shared" si="144"/>
        <v>17</v>
      </c>
      <c r="R1778" t="str">
        <f t="shared" si="148"/>
        <v>Not open</v>
      </c>
    </row>
    <row r="1779" spans="1:18" x14ac:dyDescent="0.3">
      <c r="A1779" t="s">
        <v>1991</v>
      </c>
      <c r="B1779" t="s">
        <v>51</v>
      </c>
      <c r="C1779" t="s">
        <v>566</v>
      </c>
      <c r="D1779" s="1">
        <v>45423</v>
      </c>
      <c r="E1779" s="1">
        <v>45483</v>
      </c>
      <c r="F1779" t="s">
        <v>31</v>
      </c>
      <c r="G1779">
        <v>80454.8</v>
      </c>
      <c r="H1779" s="1">
        <v>45541</v>
      </c>
      <c r="I1779" t="s">
        <v>555</v>
      </c>
      <c r="J1779" t="s">
        <v>573</v>
      </c>
      <c r="K1779">
        <v>90.177599999999998</v>
      </c>
      <c r="L1779">
        <v>80454.8</v>
      </c>
      <c r="M1779">
        <f>IF(F1779="INR",1,INDEX('rates'!$B$2:$C$522,MATCH(D1779,'rates'!$A$2:$A$522,1),MATCH(F1779&amp;"/INR",'rates'!$B$1:$C$1,0)))</f>
        <v>89.997600000000006</v>
      </c>
      <c r="N1779">
        <f t="shared" si="145"/>
        <v>7240738.9084800007</v>
      </c>
      <c r="O1779">
        <f t="shared" si="146"/>
        <v>0</v>
      </c>
      <c r="P1779">
        <f t="shared" si="147"/>
        <v>0</v>
      </c>
      <c r="Q1779">
        <f t="shared" si="144"/>
        <v>58</v>
      </c>
      <c r="R1779" t="str">
        <f t="shared" si="148"/>
        <v>Not open</v>
      </c>
    </row>
    <row r="1780" spans="1:18" x14ac:dyDescent="0.3">
      <c r="A1780" t="s">
        <v>1992</v>
      </c>
      <c r="B1780" t="s">
        <v>140</v>
      </c>
      <c r="C1780" t="s">
        <v>554</v>
      </c>
      <c r="D1780" s="1">
        <v>45423</v>
      </c>
      <c r="E1780" s="1">
        <v>45483</v>
      </c>
      <c r="F1780" t="s">
        <v>13</v>
      </c>
      <c r="G1780">
        <v>1896905</v>
      </c>
      <c r="H1780" s="1">
        <v>45486</v>
      </c>
      <c r="I1780" t="s">
        <v>555</v>
      </c>
      <c r="J1780" t="s">
        <v>556</v>
      </c>
      <c r="L1780">
        <v>1896905</v>
      </c>
      <c r="M1780">
        <f>IF(F1780="INR",1,INDEX('rates'!$B$2:$C$522,MATCH(D1780,'rates'!$A$2:$A$522,1),MATCH(F1780&amp;"/INR",'rates'!$B$1:$C$1,0)))</f>
        <v>1</v>
      </c>
      <c r="N1780">
        <f t="shared" si="145"/>
        <v>1896905</v>
      </c>
      <c r="O1780">
        <f t="shared" si="146"/>
        <v>0</v>
      </c>
      <c r="P1780">
        <f t="shared" si="147"/>
        <v>0</v>
      </c>
      <c r="Q1780">
        <f t="shared" si="144"/>
        <v>3</v>
      </c>
      <c r="R1780" t="str">
        <f t="shared" si="148"/>
        <v>Not open</v>
      </c>
    </row>
    <row r="1781" spans="1:18" x14ac:dyDescent="0.3">
      <c r="A1781" t="s">
        <v>1993</v>
      </c>
      <c r="B1781" t="s">
        <v>244</v>
      </c>
      <c r="C1781" t="s">
        <v>575</v>
      </c>
      <c r="D1781" s="1">
        <v>45423</v>
      </c>
      <c r="E1781" s="1">
        <v>45483</v>
      </c>
      <c r="F1781" t="s">
        <v>36</v>
      </c>
      <c r="G1781">
        <v>47791.78</v>
      </c>
      <c r="H1781" s="1">
        <v>45542</v>
      </c>
      <c r="I1781" t="s">
        <v>555</v>
      </c>
      <c r="J1781" t="s">
        <v>556</v>
      </c>
      <c r="L1781">
        <v>47791.78</v>
      </c>
      <c r="M1781">
        <f>IF(F1781="INR",1,INDEX('rates'!$B$2:$C$522,MATCH(D1781,'rates'!$A$2:$A$522,1),MATCH(F1781&amp;"/INR",'rates'!$B$1:$C$1,0)))</f>
        <v>83.54</v>
      </c>
      <c r="N1781">
        <f t="shared" si="145"/>
        <v>3992525.3012000001</v>
      </c>
      <c r="O1781">
        <f t="shared" si="146"/>
        <v>0</v>
      </c>
      <c r="P1781">
        <f t="shared" si="147"/>
        <v>0</v>
      </c>
      <c r="Q1781">
        <f t="shared" si="144"/>
        <v>59</v>
      </c>
      <c r="R1781" t="str">
        <f t="shared" si="148"/>
        <v>Not open</v>
      </c>
    </row>
    <row r="1782" spans="1:18" x14ac:dyDescent="0.3">
      <c r="A1782" t="s">
        <v>1994</v>
      </c>
      <c r="B1782" t="s">
        <v>262</v>
      </c>
      <c r="C1782" t="s">
        <v>566</v>
      </c>
      <c r="D1782" s="1">
        <v>45423</v>
      </c>
      <c r="E1782" s="1">
        <v>45513</v>
      </c>
      <c r="F1782" t="s">
        <v>31</v>
      </c>
      <c r="G1782">
        <v>35019.129999999997</v>
      </c>
      <c r="H1782" s="1">
        <v>45540</v>
      </c>
      <c r="I1782" t="s">
        <v>555</v>
      </c>
      <c r="J1782" t="s">
        <v>573</v>
      </c>
      <c r="K1782">
        <v>90.267600000000002</v>
      </c>
      <c r="L1782">
        <v>35019.129999999997</v>
      </c>
      <c r="M1782">
        <f>IF(F1782="INR",1,INDEX('rates'!$B$2:$C$522,MATCH(D1782,'rates'!$A$2:$A$522,1),MATCH(F1782&amp;"/INR",'rates'!$B$1:$C$1,0)))</f>
        <v>89.997600000000006</v>
      </c>
      <c r="N1782">
        <f t="shared" si="145"/>
        <v>3151637.6540879998</v>
      </c>
      <c r="O1782">
        <f t="shared" si="146"/>
        <v>0</v>
      </c>
      <c r="P1782">
        <f t="shared" si="147"/>
        <v>0</v>
      </c>
      <c r="Q1782">
        <f t="shared" si="144"/>
        <v>27</v>
      </c>
      <c r="R1782" t="str">
        <f t="shared" si="148"/>
        <v>Not open</v>
      </c>
    </row>
    <row r="1783" spans="1:18" x14ac:dyDescent="0.3">
      <c r="A1783" t="s">
        <v>1995</v>
      </c>
      <c r="B1783" t="s">
        <v>426</v>
      </c>
      <c r="C1783" t="s">
        <v>560</v>
      </c>
      <c r="D1783" s="1">
        <v>45423</v>
      </c>
      <c r="E1783" s="1">
        <v>45468</v>
      </c>
      <c r="F1783" t="s">
        <v>31</v>
      </c>
      <c r="G1783">
        <v>165837.59</v>
      </c>
      <c r="H1783" s="1">
        <v>45485</v>
      </c>
      <c r="I1783" t="s">
        <v>555</v>
      </c>
      <c r="J1783" t="s">
        <v>573</v>
      </c>
      <c r="K1783">
        <v>90.132599999999996</v>
      </c>
      <c r="L1783">
        <v>165837.59</v>
      </c>
      <c r="M1783">
        <f>IF(F1783="INR",1,INDEX('rates'!$B$2:$C$522,MATCH(D1783,'rates'!$A$2:$A$522,1),MATCH(F1783&amp;"/INR",'rates'!$B$1:$C$1,0)))</f>
        <v>89.997600000000006</v>
      </c>
      <c r="N1783">
        <f t="shared" si="145"/>
        <v>14924985.089784</v>
      </c>
      <c r="O1783">
        <f t="shared" si="146"/>
        <v>0</v>
      </c>
      <c r="P1783">
        <f t="shared" si="147"/>
        <v>0</v>
      </c>
      <c r="Q1783">
        <f t="shared" si="144"/>
        <v>17</v>
      </c>
      <c r="R1783" t="str">
        <f t="shared" si="148"/>
        <v>Not open</v>
      </c>
    </row>
    <row r="1784" spans="1:18" x14ac:dyDescent="0.3">
      <c r="A1784" t="s">
        <v>1996</v>
      </c>
      <c r="B1784" t="s">
        <v>42</v>
      </c>
      <c r="C1784" t="s">
        <v>566</v>
      </c>
      <c r="D1784" s="1">
        <v>45425</v>
      </c>
      <c r="E1784" s="1">
        <v>45485</v>
      </c>
      <c r="F1784" t="s">
        <v>13</v>
      </c>
      <c r="G1784">
        <v>4012018</v>
      </c>
      <c r="H1784" s="1">
        <v>45483</v>
      </c>
      <c r="I1784" t="s">
        <v>555</v>
      </c>
      <c r="J1784" t="s">
        <v>556</v>
      </c>
      <c r="L1784">
        <v>4012018</v>
      </c>
      <c r="M1784">
        <f>IF(F1784="INR",1,INDEX('rates'!$B$2:$C$522,MATCH(D1784,'rates'!$A$2:$A$522,1),MATCH(F1784&amp;"/INR",'rates'!$B$1:$C$1,0)))</f>
        <v>1</v>
      </c>
      <c r="N1784">
        <f t="shared" si="145"/>
        <v>4012018</v>
      </c>
      <c r="O1784">
        <f t="shared" si="146"/>
        <v>0</v>
      </c>
      <c r="P1784">
        <f t="shared" si="147"/>
        <v>0</v>
      </c>
      <c r="Q1784">
        <f t="shared" si="144"/>
        <v>-2</v>
      </c>
      <c r="R1784" t="str">
        <f t="shared" si="148"/>
        <v>Not open</v>
      </c>
    </row>
    <row r="1785" spans="1:18" x14ac:dyDescent="0.3">
      <c r="A1785" t="s">
        <v>1997</v>
      </c>
      <c r="B1785" t="s">
        <v>476</v>
      </c>
      <c r="C1785" t="s">
        <v>566</v>
      </c>
      <c r="D1785" s="1">
        <v>45425</v>
      </c>
      <c r="E1785" s="1">
        <v>45470</v>
      </c>
      <c r="F1785" t="s">
        <v>13</v>
      </c>
      <c r="G1785">
        <v>2310590</v>
      </c>
      <c r="H1785" s="1">
        <v>45488</v>
      </c>
      <c r="I1785" t="s">
        <v>555</v>
      </c>
      <c r="J1785" t="s">
        <v>556</v>
      </c>
      <c r="L1785">
        <v>2310590</v>
      </c>
      <c r="M1785">
        <f>IF(F1785="INR",1,INDEX('rates'!$B$2:$C$522,MATCH(D1785,'rates'!$A$2:$A$522,1),MATCH(F1785&amp;"/INR",'rates'!$B$1:$C$1,0)))</f>
        <v>1</v>
      </c>
      <c r="N1785">
        <f t="shared" si="145"/>
        <v>2310590</v>
      </c>
      <c r="O1785">
        <f t="shared" si="146"/>
        <v>0</v>
      </c>
      <c r="P1785">
        <f t="shared" si="147"/>
        <v>0</v>
      </c>
      <c r="Q1785">
        <f t="shared" si="144"/>
        <v>18</v>
      </c>
      <c r="R1785" t="str">
        <f t="shared" si="148"/>
        <v>Not open</v>
      </c>
    </row>
    <row r="1786" spans="1:18" x14ac:dyDescent="0.3">
      <c r="A1786" t="s">
        <v>1998</v>
      </c>
      <c r="B1786" t="s">
        <v>496</v>
      </c>
      <c r="C1786" t="s">
        <v>566</v>
      </c>
      <c r="D1786" s="1">
        <v>45425</v>
      </c>
      <c r="E1786" s="1">
        <v>45470</v>
      </c>
      <c r="F1786" t="s">
        <v>13</v>
      </c>
      <c r="G1786">
        <v>36780209</v>
      </c>
      <c r="H1786" s="1">
        <v>45481</v>
      </c>
      <c r="I1786" t="s">
        <v>555</v>
      </c>
      <c r="J1786" t="s">
        <v>556</v>
      </c>
      <c r="L1786">
        <v>36780209</v>
      </c>
      <c r="M1786">
        <f>IF(F1786="INR",1,INDEX('rates'!$B$2:$C$522,MATCH(D1786,'rates'!$A$2:$A$522,1),MATCH(F1786&amp;"/INR",'rates'!$B$1:$C$1,0)))</f>
        <v>1</v>
      </c>
      <c r="N1786">
        <f t="shared" si="145"/>
        <v>36780209</v>
      </c>
      <c r="O1786">
        <f t="shared" si="146"/>
        <v>0</v>
      </c>
      <c r="P1786">
        <f t="shared" si="147"/>
        <v>0</v>
      </c>
      <c r="Q1786">
        <f t="shared" si="144"/>
        <v>11</v>
      </c>
      <c r="R1786" t="str">
        <f t="shared" si="148"/>
        <v>Not open</v>
      </c>
    </row>
    <row r="1787" spans="1:18" x14ac:dyDescent="0.3">
      <c r="A1787" t="s">
        <v>1999</v>
      </c>
      <c r="B1787" t="s">
        <v>55</v>
      </c>
      <c r="C1787" t="s">
        <v>575</v>
      </c>
      <c r="D1787" s="1">
        <v>45426</v>
      </c>
      <c r="E1787" s="1">
        <v>45471</v>
      </c>
      <c r="F1787" t="s">
        <v>36</v>
      </c>
      <c r="G1787">
        <v>75071.22</v>
      </c>
      <c r="H1787" s="1">
        <v>45499</v>
      </c>
      <c r="I1787" t="s">
        <v>555</v>
      </c>
      <c r="J1787" t="s">
        <v>573</v>
      </c>
      <c r="K1787">
        <v>83.708699999999993</v>
      </c>
      <c r="L1787">
        <v>75071.22</v>
      </c>
      <c r="M1787">
        <f>IF(F1787="INR",1,INDEX('rates'!$B$2:$C$522,MATCH(D1787,'rates'!$A$2:$A$522,1),MATCH(F1787&amp;"/INR",'rates'!$B$1:$C$1,0)))</f>
        <v>83.5</v>
      </c>
      <c r="N1787">
        <f t="shared" si="145"/>
        <v>6268446.8700000001</v>
      </c>
      <c r="O1787">
        <f t="shared" si="146"/>
        <v>0</v>
      </c>
      <c r="P1787">
        <f t="shared" si="147"/>
        <v>0</v>
      </c>
      <c r="Q1787">
        <f t="shared" si="144"/>
        <v>28</v>
      </c>
      <c r="R1787" t="str">
        <f t="shared" si="148"/>
        <v>Not open</v>
      </c>
    </row>
    <row r="1788" spans="1:18" x14ac:dyDescent="0.3">
      <c r="A1788" t="s">
        <v>2000</v>
      </c>
      <c r="B1788" t="s">
        <v>140</v>
      </c>
      <c r="C1788" t="s">
        <v>554</v>
      </c>
      <c r="D1788" s="1">
        <v>45426</v>
      </c>
      <c r="E1788" s="1">
        <v>45486</v>
      </c>
      <c r="F1788" t="s">
        <v>13</v>
      </c>
      <c r="G1788">
        <v>10987995</v>
      </c>
      <c r="H1788" s="1">
        <v>45501</v>
      </c>
      <c r="I1788" t="s">
        <v>555</v>
      </c>
      <c r="J1788" t="s">
        <v>556</v>
      </c>
      <c r="L1788">
        <v>10987995</v>
      </c>
      <c r="M1788">
        <f>IF(F1788="INR",1,INDEX('rates'!$B$2:$C$522,MATCH(D1788,'rates'!$A$2:$A$522,1),MATCH(F1788&amp;"/INR",'rates'!$B$1:$C$1,0)))</f>
        <v>1</v>
      </c>
      <c r="N1788">
        <f t="shared" si="145"/>
        <v>10987995</v>
      </c>
      <c r="O1788">
        <f t="shared" si="146"/>
        <v>0</v>
      </c>
      <c r="P1788">
        <f t="shared" si="147"/>
        <v>0</v>
      </c>
      <c r="Q1788">
        <f t="shared" si="144"/>
        <v>15</v>
      </c>
      <c r="R1788" t="str">
        <f t="shared" si="148"/>
        <v>Not open</v>
      </c>
    </row>
    <row r="1789" spans="1:18" x14ac:dyDescent="0.3">
      <c r="A1789" t="s">
        <v>2001</v>
      </c>
      <c r="B1789" t="s">
        <v>113</v>
      </c>
      <c r="C1789" t="s">
        <v>560</v>
      </c>
      <c r="D1789" s="1">
        <v>45427</v>
      </c>
      <c r="E1789" s="1">
        <v>45457</v>
      </c>
      <c r="F1789" t="s">
        <v>13</v>
      </c>
      <c r="G1789">
        <v>3813014</v>
      </c>
      <c r="H1789" s="1">
        <v>45459</v>
      </c>
      <c r="I1789" t="s">
        <v>555</v>
      </c>
      <c r="J1789" t="s">
        <v>556</v>
      </c>
      <c r="L1789">
        <v>3813014</v>
      </c>
      <c r="M1789">
        <f>IF(F1789="INR",1,INDEX('rates'!$B$2:$C$522,MATCH(D1789,'rates'!$A$2:$A$522,1),MATCH(F1789&amp;"/INR",'rates'!$B$1:$C$1,0)))</f>
        <v>1</v>
      </c>
      <c r="N1789">
        <f t="shared" si="145"/>
        <v>3813014</v>
      </c>
      <c r="O1789">
        <f t="shared" si="146"/>
        <v>0</v>
      </c>
      <c r="P1789">
        <f t="shared" si="147"/>
        <v>0</v>
      </c>
      <c r="Q1789">
        <f t="shared" si="144"/>
        <v>2</v>
      </c>
      <c r="R1789" t="str">
        <f t="shared" si="148"/>
        <v>Not open</v>
      </c>
    </row>
    <row r="1790" spans="1:18" x14ac:dyDescent="0.3">
      <c r="A1790" t="s">
        <v>2002</v>
      </c>
      <c r="B1790" t="s">
        <v>148</v>
      </c>
      <c r="C1790" t="s">
        <v>575</v>
      </c>
      <c r="D1790" s="1">
        <v>45427</v>
      </c>
      <c r="E1790" s="1">
        <v>45487</v>
      </c>
      <c r="F1790" t="s">
        <v>31</v>
      </c>
      <c r="G1790">
        <v>90541.54</v>
      </c>
      <c r="H1790" s="1">
        <v>45487</v>
      </c>
      <c r="I1790" t="s">
        <v>555</v>
      </c>
      <c r="J1790" t="s">
        <v>573</v>
      </c>
      <c r="K1790">
        <v>90.818899999999999</v>
      </c>
      <c r="L1790">
        <v>90541.54</v>
      </c>
      <c r="M1790">
        <f>IF(F1790="INR",1,INDEX('rates'!$B$2:$C$522,MATCH(D1790,'rates'!$A$2:$A$522,1),MATCH(F1790&amp;"/INR",'rates'!$B$1:$C$1,0)))</f>
        <v>90.637600000000006</v>
      </c>
      <c r="N1790">
        <f t="shared" si="145"/>
        <v>8206467.8859040001</v>
      </c>
      <c r="O1790">
        <f t="shared" si="146"/>
        <v>0</v>
      </c>
      <c r="P1790">
        <f t="shared" si="147"/>
        <v>0</v>
      </c>
      <c r="Q1790">
        <f t="shared" si="144"/>
        <v>0</v>
      </c>
      <c r="R1790" t="str">
        <f t="shared" si="148"/>
        <v>Not open</v>
      </c>
    </row>
    <row r="1791" spans="1:18" x14ac:dyDescent="0.3">
      <c r="A1791" t="s">
        <v>2003</v>
      </c>
      <c r="B1791" t="s">
        <v>466</v>
      </c>
      <c r="C1791" t="s">
        <v>560</v>
      </c>
      <c r="D1791" s="1">
        <v>45427</v>
      </c>
      <c r="E1791" s="1">
        <v>45487</v>
      </c>
      <c r="F1791" t="s">
        <v>31</v>
      </c>
      <c r="G1791">
        <v>81372.02</v>
      </c>
      <c r="H1791" s="1">
        <v>45501</v>
      </c>
      <c r="I1791" t="s">
        <v>555</v>
      </c>
      <c r="J1791" t="s">
        <v>556</v>
      </c>
      <c r="L1791">
        <v>81372.02</v>
      </c>
      <c r="M1791">
        <f>IF(F1791="INR",1,INDEX('rates'!$B$2:$C$522,MATCH(D1791,'rates'!$A$2:$A$522,1),MATCH(F1791&amp;"/INR",'rates'!$B$1:$C$1,0)))</f>
        <v>90.637600000000006</v>
      </c>
      <c r="N1791">
        <f t="shared" si="145"/>
        <v>7375364.5999520011</v>
      </c>
      <c r="O1791">
        <f t="shared" si="146"/>
        <v>0</v>
      </c>
      <c r="P1791">
        <f t="shared" si="147"/>
        <v>0</v>
      </c>
      <c r="Q1791">
        <f t="shared" si="144"/>
        <v>14</v>
      </c>
      <c r="R1791" t="str">
        <f t="shared" si="148"/>
        <v>Not open</v>
      </c>
    </row>
    <row r="1792" spans="1:18" x14ac:dyDescent="0.3">
      <c r="A1792" t="s">
        <v>2004</v>
      </c>
      <c r="B1792" t="s">
        <v>512</v>
      </c>
      <c r="C1792" t="s">
        <v>566</v>
      </c>
      <c r="D1792" s="1">
        <v>45427</v>
      </c>
      <c r="E1792" s="1">
        <v>45487</v>
      </c>
      <c r="F1792" t="s">
        <v>31</v>
      </c>
      <c r="G1792">
        <v>63321.03</v>
      </c>
      <c r="H1792" s="1">
        <v>45527</v>
      </c>
      <c r="I1792" t="s">
        <v>555</v>
      </c>
      <c r="J1792" t="s">
        <v>573</v>
      </c>
      <c r="K1792">
        <v>90.818899999999999</v>
      </c>
      <c r="L1792">
        <v>63321.03</v>
      </c>
      <c r="M1792">
        <f>IF(F1792="INR",1,INDEX('rates'!$B$2:$C$522,MATCH(D1792,'rates'!$A$2:$A$522,1),MATCH(F1792&amp;"/INR",'rates'!$B$1:$C$1,0)))</f>
        <v>90.637600000000006</v>
      </c>
      <c r="N1792">
        <f t="shared" si="145"/>
        <v>5739266.188728</v>
      </c>
      <c r="O1792">
        <f t="shared" si="146"/>
        <v>0</v>
      </c>
      <c r="P1792">
        <f t="shared" si="147"/>
        <v>0</v>
      </c>
      <c r="Q1792">
        <f t="shared" ref="Q1792:Q1855" si="149">IF(H1792="","",H1792-E1792)</f>
        <v>40</v>
      </c>
      <c r="R1792" t="str">
        <f t="shared" si="148"/>
        <v>Not open</v>
      </c>
    </row>
    <row r="1793" spans="1:18" x14ac:dyDescent="0.3">
      <c r="A1793" t="s">
        <v>2005</v>
      </c>
      <c r="B1793" t="s">
        <v>244</v>
      </c>
      <c r="C1793" t="s">
        <v>560</v>
      </c>
      <c r="D1793" s="1">
        <v>45428</v>
      </c>
      <c r="E1793" s="1">
        <v>45488</v>
      </c>
      <c r="F1793" t="s">
        <v>36</v>
      </c>
      <c r="G1793">
        <v>42687.11</v>
      </c>
      <c r="H1793" s="1">
        <v>45566</v>
      </c>
      <c r="I1793" t="s">
        <v>555</v>
      </c>
      <c r="J1793" t="s">
        <v>556</v>
      </c>
      <c r="L1793">
        <v>42687.11</v>
      </c>
      <c r="M1793">
        <f>IF(F1793="INR",1,INDEX('rates'!$B$2:$C$522,MATCH(D1793,'rates'!$A$2:$A$522,1),MATCH(F1793&amp;"/INR",'rates'!$B$1:$C$1,0)))</f>
        <v>83.46</v>
      </c>
      <c r="N1793">
        <f t="shared" si="145"/>
        <v>3562666.2005999996</v>
      </c>
      <c r="O1793">
        <f t="shared" si="146"/>
        <v>0</v>
      </c>
      <c r="P1793">
        <f t="shared" si="147"/>
        <v>0</v>
      </c>
      <c r="Q1793">
        <f t="shared" si="149"/>
        <v>78</v>
      </c>
      <c r="R1793" t="str">
        <f t="shared" si="148"/>
        <v>Not open</v>
      </c>
    </row>
    <row r="1794" spans="1:18" x14ac:dyDescent="0.3">
      <c r="A1794" t="s">
        <v>2006</v>
      </c>
      <c r="B1794" t="s">
        <v>262</v>
      </c>
      <c r="C1794" t="s">
        <v>566</v>
      </c>
      <c r="D1794" s="1">
        <v>45428</v>
      </c>
      <c r="E1794" s="1">
        <v>45518</v>
      </c>
      <c r="F1794" t="s">
        <v>31</v>
      </c>
      <c r="G1794">
        <v>165772.20000000001</v>
      </c>
      <c r="H1794" s="1">
        <v>45551</v>
      </c>
      <c r="I1794" t="s">
        <v>555</v>
      </c>
      <c r="J1794" t="s">
        <v>573</v>
      </c>
      <c r="K1794">
        <v>91.034999999999997</v>
      </c>
      <c r="L1794">
        <v>165772.20000000001</v>
      </c>
      <c r="M1794">
        <f>IF(F1794="INR",1,INDEX('rates'!$B$2:$C$522,MATCH(D1794,'rates'!$A$2:$A$522,1),MATCH(F1794&amp;"/INR",'rates'!$B$1:$C$1,0)))</f>
        <v>90.762699999999995</v>
      </c>
      <c r="N1794">
        <f t="shared" ref="N1794:N1857" si="150">G1794*M1794</f>
        <v>15045932.456940001</v>
      </c>
      <c r="O1794">
        <f t="shared" ref="O1794:O1857" si="151">IF(OR(I1794="OPEN",I1794="PARTIALLY PAID"),(G1794-L1794)*M1794,0)</f>
        <v>0</v>
      </c>
      <c r="P1794">
        <f t="shared" ref="P1794:P1857" si="152">IF(O1794&gt;0,MAX(0,DATE(2025,3,31)-E1794),0)</f>
        <v>0</v>
      </c>
      <c r="Q1794">
        <f t="shared" si="149"/>
        <v>33</v>
      </c>
      <c r="R1794" t="str">
        <f t="shared" ref="R1794:R1857" si="153">IF(O1794=0,"Not open",IF(P1794=0,"Not yet due",IF(P1794&lt;=30,"1-30",IF(P1794&lt;=60,"31-60",IF(P1794&lt;=90,"61-90","90+")))))</f>
        <v>Not open</v>
      </c>
    </row>
    <row r="1795" spans="1:18" x14ac:dyDescent="0.3">
      <c r="A1795" t="s">
        <v>2007</v>
      </c>
      <c r="B1795" t="s">
        <v>264</v>
      </c>
      <c r="C1795" t="s">
        <v>558</v>
      </c>
      <c r="D1795" s="1">
        <v>45428</v>
      </c>
      <c r="E1795" s="1">
        <v>45473</v>
      </c>
      <c r="F1795" t="s">
        <v>13</v>
      </c>
      <c r="G1795">
        <v>9025986</v>
      </c>
      <c r="H1795" s="1">
        <v>45606</v>
      </c>
      <c r="I1795" t="s">
        <v>555</v>
      </c>
      <c r="J1795" t="s">
        <v>556</v>
      </c>
      <c r="L1795">
        <v>9025986</v>
      </c>
      <c r="M1795">
        <f>IF(F1795="INR",1,INDEX('rates'!$B$2:$C$522,MATCH(D1795,'rates'!$A$2:$A$522,1),MATCH(F1795&amp;"/INR",'rates'!$B$1:$C$1,0)))</f>
        <v>1</v>
      </c>
      <c r="N1795">
        <f t="shared" si="150"/>
        <v>9025986</v>
      </c>
      <c r="O1795">
        <f t="shared" si="151"/>
        <v>0</v>
      </c>
      <c r="P1795">
        <f t="shared" si="152"/>
        <v>0</v>
      </c>
      <c r="Q1795">
        <f t="shared" si="149"/>
        <v>133</v>
      </c>
      <c r="R1795" t="str">
        <f t="shared" si="153"/>
        <v>Not open</v>
      </c>
    </row>
    <row r="1796" spans="1:18" x14ac:dyDescent="0.3">
      <c r="A1796" t="s">
        <v>2008</v>
      </c>
      <c r="B1796" t="s">
        <v>472</v>
      </c>
      <c r="C1796" t="s">
        <v>558</v>
      </c>
      <c r="D1796" s="1">
        <v>45428</v>
      </c>
      <c r="E1796" s="1">
        <v>45488</v>
      </c>
      <c r="F1796" t="s">
        <v>36</v>
      </c>
      <c r="G1796">
        <v>31746.9</v>
      </c>
      <c r="H1796" s="1">
        <v>45498</v>
      </c>
      <c r="I1796" t="s">
        <v>555</v>
      </c>
      <c r="J1796" t="s">
        <v>573</v>
      </c>
      <c r="K1796">
        <v>83.738200000000006</v>
      </c>
      <c r="L1796">
        <v>31746.9</v>
      </c>
      <c r="M1796">
        <f>IF(F1796="INR",1,INDEX('rates'!$B$2:$C$522,MATCH(D1796,'rates'!$A$2:$A$522,1),MATCH(F1796&amp;"/INR",'rates'!$B$1:$C$1,0)))</f>
        <v>83.46</v>
      </c>
      <c r="N1796">
        <f t="shared" si="150"/>
        <v>2649596.2739999997</v>
      </c>
      <c r="O1796">
        <f t="shared" si="151"/>
        <v>0</v>
      </c>
      <c r="P1796">
        <f t="shared" si="152"/>
        <v>0</v>
      </c>
      <c r="Q1796">
        <f t="shared" si="149"/>
        <v>10</v>
      </c>
      <c r="R1796" t="str">
        <f t="shared" si="153"/>
        <v>Not open</v>
      </c>
    </row>
    <row r="1797" spans="1:18" x14ac:dyDescent="0.3">
      <c r="A1797" t="s">
        <v>2011</v>
      </c>
      <c r="B1797" t="s">
        <v>512</v>
      </c>
      <c r="C1797" t="s">
        <v>566</v>
      </c>
      <c r="D1797" s="1">
        <v>45429</v>
      </c>
      <c r="E1797" s="1">
        <v>45489</v>
      </c>
      <c r="F1797" t="s">
        <v>31</v>
      </c>
      <c r="G1797">
        <v>83364.36</v>
      </c>
      <c r="H1797" s="1">
        <v>45563</v>
      </c>
      <c r="I1797" t="s">
        <v>555</v>
      </c>
      <c r="J1797" t="s">
        <v>573</v>
      </c>
      <c r="K1797">
        <v>90.763400000000004</v>
      </c>
      <c r="L1797">
        <v>83364.36</v>
      </c>
      <c r="M1797">
        <f>IF(F1797="INR",1,INDEX('rates'!$B$2:$C$522,MATCH(D1797,'rates'!$A$2:$A$522,1),MATCH(F1797&amp;"/INR",'rates'!$B$1:$C$1,0)))</f>
        <v>90.5822</v>
      </c>
      <c r="N1797">
        <f t="shared" si="150"/>
        <v>7551327.1303920001</v>
      </c>
      <c r="O1797">
        <f t="shared" si="151"/>
        <v>0</v>
      </c>
      <c r="P1797">
        <f t="shared" si="152"/>
        <v>0</v>
      </c>
      <c r="Q1797">
        <f t="shared" si="149"/>
        <v>74</v>
      </c>
      <c r="R1797" t="str">
        <f t="shared" si="153"/>
        <v>Not open</v>
      </c>
    </row>
    <row r="1798" spans="1:18" x14ac:dyDescent="0.3">
      <c r="A1798" t="s">
        <v>2013</v>
      </c>
      <c r="B1798" t="s">
        <v>98</v>
      </c>
      <c r="C1798" t="s">
        <v>566</v>
      </c>
      <c r="D1798" s="1">
        <v>45430</v>
      </c>
      <c r="E1798" s="1">
        <v>45490</v>
      </c>
      <c r="F1798" t="s">
        <v>13</v>
      </c>
      <c r="G1798">
        <v>2433006</v>
      </c>
      <c r="H1798" s="1">
        <v>45501</v>
      </c>
      <c r="I1798" t="s">
        <v>555</v>
      </c>
      <c r="J1798" t="s">
        <v>556</v>
      </c>
      <c r="L1798">
        <v>2433006</v>
      </c>
      <c r="M1798">
        <f>IF(F1798="INR",1,INDEX('rates'!$B$2:$C$522,MATCH(D1798,'rates'!$A$2:$A$522,1),MATCH(F1798&amp;"/INR",'rates'!$B$1:$C$1,0)))</f>
        <v>1</v>
      </c>
      <c r="N1798">
        <f t="shared" si="150"/>
        <v>2433006</v>
      </c>
      <c r="O1798">
        <f t="shared" si="151"/>
        <v>0</v>
      </c>
      <c r="P1798">
        <f t="shared" si="152"/>
        <v>0</v>
      </c>
      <c r="Q1798">
        <f t="shared" si="149"/>
        <v>11</v>
      </c>
      <c r="R1798" t="str">
        <f t="shared" si="153"/>
        <v>Not open</v>
      </c>
    </row>
    <row r="1799" spans="1:18" x14ac:dyDescent="0.3">
      <c r="A1799" t="s">
        <v>2014</v>
      </c>
      <c r="B1799" t="s">
        <v>262</v>
      </c>
      <c r="C1799" t="s">
        <v>566</v>
      </c>
      <c r="D1799" s="1">
        <v>45430</v>
      </c>
      <c r="E1799" s="1">
        <v>45520</v>
      </c>
      <c r="F1799" t="s">
        <v>31</v>
      </c>
      <c r="G1799">
        <v>58106.78</v>
      </c>
      <c r="H1799" s="1">
        <v>45557</v>
      </c>
      <c r="I1799" t="s">
        <v>555</v>
      </c>
      <c r="J1799" t="s">
        <v>556</v>
      </c>
      <c r="L1799">
        <v>58106.78</v>
      </c>
      <c r="M1799">
        <f>IF(F1799="INR",1,INDEX('rates'!$B$2:$C$522,MATCH(D1799,'rates'!$A$2:$A$522,1),MATCH(F1799&amp;"/INR",'rates'!$B$1:$C$1,0)))</f>
        <v>90.5822</v>
      </c>
      <c r="N1799">
        <f t="shared" si="150"/>
        <v>5263439.9673159998</v>
      </c>
      <c r="O1799">
        <f t="shared" si="151"/>
        <v>0</v>
      </c>
      <c r="P1799">
        <f t="shared" si="152"/>
        <v>0</v>
      </c>
      <c r="Q1799">
        <f t="shared" si="149"/>
        <v>37</v>
      </c>
      <c r="R1799" t="str">
        <f t="shared" si="153"/>
        <v>Not open</v>
      </c>
    </row>
    <row r="1800" spans="1:18" x14ac:dyDescent="0.3">
      <c r="A1800" t="s">
        <v>2015</v>
      </c>
      <c r="B1800" t="s">
        <v>366</v>
      </c>
      <c r="C1800" t="s">
        <v>575</v>
      </c>
      <c r="D1800" s="1">
        <v>45430</v>
      </c>
      <c r="E1800" s="1">
        <v>45490</v>
      </c>
      <c r="F1800" t="s">
        <v>31</v>
      </c>
      <c r="G1800">
        <v>66944.77</v>
      </c>
      <c r="H1800" s="1">
        <v>45501</v>
      </c>
      <c r="I1800" t="s">
        <v>555</v>
      </c>
      <c r="J1800" t="s">
        <v>556</v>
      </c>
      <c r="L1800">
        <v>66944.77</v>
      </c>
      <c r="M1800">
        <f>IF(F1800="INR",1,INDEX('rates'!$B$2:$C$522,MATCH(D1800,'rates'!$A$2:$A$522,1),MATCH(F1800&amp;"/INR",'rates'!$B$1:$C$1,0)))</f>
        <v>90.5822</v>
      </c>
      <c r="N1800">
        <f t="shared" si="150"/>
        <v>6064004.5450940002</v>
      </c>
      <c r="O1800">
        <f t="shared" si="151"/>
        <v>0</v>
      </c>
      <c r="P1800">
        <f t="shared" si="152"/>
        <v>0</v>
      </c>
      <c r="Q1800">
        <f t="shared" si="149"/>
        <v>11</v>
      </c>
      <c r="R1800" t="str">
        <f t="shared" si="153"/>
        <v>Not open</v>
      </c>
    </row>
    <row r="1801" spans="1:18" x14ac:dyDescent="0.3">
      <c r="A1801" t="s">
        <v>2016</v>
      </c>
      <c r="B1801" t="s">
        <v>494</v>
      </c>
      <c r="C1801" t="s">
        <v>560</v>
      </c>
      <c r="D1801" s="1">
        <v>45430</v>
      </c>
      <c r="E1801" s="1">
        <v>45475</v>
      </c>
      <c r="F1801" t="s">
        <v>13</v>
      </c>
      <c r="G1801">
        <v>2756643</v>
      </c>
      <c r="H1801" s="1">
        <v>45482</v>
      </c>
      <c r="I1801" t="s">
        <v>555</v>
      </c>
      <c r="J1801" t="s">
        <v>556</v>
      </c>
      <c r="L1801">
        <v>2756643</v>
      </c>
      <c r="M1801">
        <f>IF(F1801="INR",1,INDEX('rates'!$B$2:$C$522,MATCH(D1801,'rates'!$A$2:$A$522,1),MATCH(F1801&amp;"/INR",'rates'!$B$1:$C$1,0)))</f>
        <v>1</v>
      </c>
      <c r="N1801">
        <f t="shared" si="150"/>
        <v>2756643</v>
      </c>
      <c r="O1801">
        <f t="shared" si="151"/>
        <v>0</v>
      </c>
      <c r="P1801">
        <f t="shared" si="152"/>
        <v>0</v>
      </c>
      <c r="Q1801">
        <f t="shared" si="149"/>
        <v>7</v>
      </c>
      <c r="R1801" t="str">
        <f t="shared" si="153"/>
        <v>Not open</v>
      </c>
    </row>
    <row r="1802" spans="1:18" x14ac:dyDescent="0.3">
      <c r="A1802" t="s">
        <v>2017</v>
      </c>
      <c r="B1802" t="s">
        <v>512</v>
      </c>
      <c r="C1802" t="s">
        <v>566</v>
      </c>
      <c r="D1802" s="1">
        <v>45430</v>
      </c>
      <c r="E1802" s="1">
        <v>45490</v>
      </c>
      <c r="F1802" t="s">
        <v>31</v>
      </c>
      <c r="G1802">
        <v>54000.44</v>
      </c>
      <c r="H1802" s="1">
        <v>45539</v>
      </c>
      <c r="I1802" t="s">
        <v>555</v>
      </c>
      <c r="J1802" t="s">
        <v>573</v>
      </c>
      <c r="K1802">
        <v>90.763400000000004</v>
      </c>
      <c r="L1802">
        <v>54000.44</v>
      </c>
      <c r="M1802">
        <f>IF(F1802="INR",1,INDEX('rates'!$B$2:$C$522,MATCH(D1802,'rates'!$A$2:$A$522,1),MATCH(F1802&amp;"/INR",'rates'!$B$1:$C$1,0)))</f>
        <v>90.5822</v>
      </c>
      <c r="N1802">
        <f t="shared" si="150"/>
        <v>4891478.6561679998</v>
      </c>
      <c r="O1802">
        <f t="shared" si="151"/>
        <v>0</v>
      </c>
      <c r="P1802">
        <f t="shared" si="152"/>
        <v>0</v>
      </c>
      <c r="Q1802">
        <f t="shared" si="149"/>
        <v>49</v>
      </c>
      <c r="R1802" t="str">
        <f t="shared" si="153"/>
        <v>Not open</v>
      </c>
    </row>
    <row r="1803" spans="1:18" x14ac:dyDescent="0.3">
      <c r="A1803" t="s">
        <v>2018</v>
      </c>
      <c r="B1803" t="s">
        <v>268</v>
      </c>
      <c r="C1803" t="s">
        <v>566</v>
      </c>
      <c r="D1803" s="1">
        <v>45432</v>
      </c>
      <c r="E1803" s="1">
        <v>45492</v>
      </c>
      <c r="F1803" t="s">
        <v>13</v>
      </c>
      <c r="G1803">
        <v>4771190</v>
      </c>
      <c r="H1803" s="1">
        <v>45523</v>
      </c>
      <c r="I1803" t="s">
        <v>555</v>
      </c>
      <c r="J1803" t="s">
        <v>556</v>
      </c>
      <c r="L1803">
        <v>4771190</v>
      </c>
      <c r="M1803">
        <f>IF(F1803="INR",1,INDEX('rates'!$B$2:$C$522,MATCH(D1803,'rates'!$A$2:$A$522,1),MATCH(F1803&amp;"/INR",'rates'!$B$1:$C$1,0)))</f>
        <v>1</v>
      </c>
      <c r="N1803">
        <f t="shared" si="150"/>
        <v>4771190</v>
      </c>
      <c r="O1803">
        <f t="shared" si="151"/>
        <v>0</v>
      </c>
      <c r="P1803">
        <f t="shared" si="152"/>
        <v>0</v>
      </c>
      <c r="Q1803">
        <f t="shared" si="149"/>
        <v>31</v>
      </c>
      <c r="R1803" t="str">
        <f t="shared" si="153"/>
        <v>Not open</v>
      </c>
    </row>
    <row r="1804" spans="1:18" x14ac:dyDescent="0.3">
      <c r="A1804" t="s">
        <v>2019</v>
      </c>
      <c r="B1804" t="s">
        <v>496</v>
      </c>
      <c r="C1804" t="s">
        <v>566</v>
      </c>
      <c r="D1804" s="1">
        <v>45432</v>
      </c>
      <c r="E1804" s="1">
        <v>45477</v>
      </c>
      <c r="F1804" t="s">
        <v>13</v>
      </c>
      <c r="G1804">
        <v>10727462</v>
      </c>
      <c r="H1804" s="1">
        <v>45488</v>
      </c>
      <c r="I1804" t="s">
        <v>555</v>
      </c>
      <c r="J1804" t="s">
        <v>556</v>
      </c>
      <c r="L1804">
        <v>10727462</v>
      </c>
      <c r="M1804">
        <f>IF(F1804="INR",1,INDEX('rates'!$B$2:$C$522,MATCH(D1804,'rates'!$A$2:$A$522,1),MATCH(F1804&amp;"/INR",'rates'!$B$1:$C$1,0)))</f>
        <v>1</v>
      </c>
      <c r="N1804">
        <f t="shared" si="150"/>
        <v>10727462</v>
      </c>
      <c r="O1804">
        <f t="shared" si="151"/>
        <v>0</v>
      </c>
      <c r="P1804">
        <f t="shared" si="152"/>
        <v>0</v>
      </c>
      <c r="Q1804">
        <f t="shared" si="149"/>
        <v>11</v>
      </c>
      <c r="R1804" t="str">
        <f t="shared" si="153"/>
        <v>Not open</v>
      </c>
    </row>
    <row r="1805" spans="1:18" x14ac:dyDescent="0.3">
      <c r="A1805" t="s">
        <v>2020</v>
      </c>
      <c r="B1805" t="s">
        <v>528</v>
      </c>
      <c r="C1805" t="s">
        <v>566</v>
      </c>
      <c r="D1805" s="1">
        <v>45432</v>
      </c>
      <c r="E1805" s="1">
        <v>45492</v>
      </c>
      <c r="F1805" t="s">
        <v>13</v>
      </c>
      <c r="G1805">
        <v>2056957</v>
      </c>
      <c r="H1805" s="1">
        <v>45554</v>
      </c>
      <c r="I1805" t="s">
        <v>555</v>
      </c>
      <c r="J1805" t="s">
        <v>556</v>
      </c>
      <c r="L1805">
        <v>2056957</v>
      </c>
      <c r="M1805">
        <f>IF(F1805="INR",1,INDEX('rates'!$B$2:$C$522,MATCH(D1805,'rates'!$A$2:$A$522,1),MATCH(F1805&amp;"/INR",'rates'!$B$1:$C$1,0)))</f>
        <v>1</v>
      </c>
      <c r="N1805">
        <f t="shared" si="150"/>
        <v>2056957</v>
      </c>
      <c r="O1805">
        <f t="shared" si="151"/>
        <v>0</v>
      </c>
      <c r="P1805">
        <f t="shared" si="152"/>
        <v>0</v>
      </c>
      <c r="Q1805">
        <f t="shared" si="149"/>
        <v>62</v>
      </c>
      <c r="R1805" t="str">
        <f t="shared" si="153"/>
        <v>Not open</v>
      </c>
    </row>
    <row r="1806" spans="1:18" x14ac:dyDescent="0.3">
      <c r="A1806" t="s">
        <v>2021</v>
      </c>
      <c r="B1806" t="s">
        <v>158</v>
      </c>
      <c r="C1806" t="s">
        <v>566</v>
      </c>
      <c r="D1806" s="1">
        <v>45433</v>
      </c>
      <c r="E1806" s="1">
        <v>45463</v>
      </c>
      <c r="F1806" t="s">
        <v>13</v>
      </c>
      <c r="G1806">
        <v>1199665</v>
      </c>
      <c r="H1806" s="1">
        <v>45467</v>
      </c>
      <c r="I1806" t="s">
        <v>555</v>
      </c>
      <c r="J1806" t="s">
        <v>556</v>
      </c>
      <c r="L1806">
        <v>1199665</v>
      </c>
      <c r="M1806">
        <f>IF(F1806="INR",1,INDEX('rates'!$B$2:$C$522,MATCH(D1806,'rates'!$A$2:$A$522,1),MATCH(F1806&amp;"/INR",'rates'!$B$1:$C$1,0)))</f>
        <v>1</v>
      </c>
      <c r="N1806">
        <f t="shared" si="150"/>
        <v>1199665</v>
      </c>
      <c r="O1806">
        <f t="shared" si="151"/>
        <v>0</v>
      </c>
      <c r="P1806">
        <f t="shared" si="152"/>
        <v>0</v>
      </c>
      <c r="Q1806">
        <f t="shared" si="149"/>
        <v>4</v>
      </c>
      <c r="R1806" t="str">
        <f t="shared" si="153"/>
        <v>Not open</v>
      </c>
    </row>
    <row r="1807" spans="1:18" x14ac:dyDescent="0.3">
      <c r="A1807" t="s">
        <v>2022</v>
      </c>
      <c r="B1807" t="s">
        <v>202</v>
      </c>
      <c r="C1807" t="s">
        <v>554</v>
      </c>
      <c r="D1807" s="1">
        <v>45433</v>
      </c>
      <c r="E1807" s="1">
        <v>45463</v>
      </c>
      <c r="F1807" t="s">
        <v>13</v>
      </c>
      <c r="G1807">
        <v>3889777</v>
      </c>
      <c r="H1807" s="1">
        <v>45480</v>
      </c>
      <c r="I1807" t="s">
        <v>555</v>
      </c>
      <c r="J1807" t="s">
        <v>556</v>
      </c>
      <c r="L1807">
        <v>3889777</v>
      </c>
      <c r="M1807">
        <f>IF(F1807="INR",1,INDEX('rates'!$B$2:$C$522,MATCH(D1807,'rates'!$A$2:$A$522,1),MATCH(F1807&amp;"/INR",'rates'!$B$1:$C$1,0)))</f>
        <v>1</v>
      </c>
      <c r="N1807">
        <f t="shared" si="150"/>
        <v>3889777</v>
      </c>
      <c r="O1807">
        <f t="shared" si="151"/>
        <v>0</v>
      </c>
      <c r="P1807">
        <f t="shared" si="152"/>
        <v>0</v>
      </c>
      <c r="Q1807">
        <f t="shared" si="149"/>
        <v>17</v>
      </c>
      <c r="R1807" t="str">
        <f t="shared" si="153"/>
        <v>Not open</v>
      </c>
    </row>
    <row r="1808" spans="1:18" x14ac:dyDescent="0.3">
      <c r="A1808" t="s">
        <v>2024</v>
      </c>
      <c r="B1808" t="s">
        <v>506</v>
      </c>
      <c r="C1808" t="s">
        <v>554</v>
      </c>
      <c r="D1808" s="1">
        <v>45433</v>
      </c>
      <c r="E1808" s="1">
        <v>45493</v>
      </c>
      <c r="F1808" t="s">
        <v>13</v>
      </c>
      <c r="G1808">
        <v>7648212</v>
      </c>
      <c r="H1808" s="1">
        <v>45512</v>
      </c>
      <c r="I1808" t="s">
        <v>555</v>
      </c>
      <c r="J1808" t="s">
        <v>556</v>
      </c>
      <c r="L1808">
        <v>7648212</v>
      </c>
      <c r="M1808">
        <f>IF(F1808="INR",1,INDEX('rates'!$B$2:$C$522,MATCH(D1808,'rates'!$A$2:$A$522,1),MATCH(F1808&amp;"/INR",'rates'!$B$1:$C$1,0)))</f>
        <v>1</v>
      </c>
      <c r="N1808">
        <f t="shared" si="150"/>
        <v>7648212</v>
      </c>
      <c r="O1808">
        <f t="shared" si="151"/>
        <v>0</v>
      </c>
      <c r="P1808">
        <f t="shared" si="152"/>
        <v>0</v>
      </c>
      <c r="Q1808">
        <f t="shared" si="149"/>
        <v>19</v>
      </c>
      <c r="R1808" t="str">
        <f t="shared" si="153"/>
        <v>Not open</v>
      </c>
    </row>
    <row r="1809" spans="1:18" x14ac:dyDescent="0.3">
      <c r="A1809" t="s">
        <v>2025</v>
      </c>
      <c r="B1809" t="s">
        <v>105</v>
      </c>
      <c r="C1809" t="s">
        <v>560</v>
      </c>
      <c r="D1809" s="1">
        <v>45434</v>
      </c>
      <c r="E1809" s="1">
        <v>45524</v>
      </c>
      <c r="F1809" t="s">
        <v>36</v>
      </c>
      <c r="G1809">
        <v>193588.42</v>
      </c>
      <c r="H1809" s="1">
        <v>45557</v>
      </c>
      <c r="I1809" t="s">
        <v>555</v>
      </c>
      <c r="J1809" t="s">
        <v>556</v>
      </c>
      <c r="L1809">
        <v>193588.42</v>
      </c>
      <c r="M1809">
        <f>IF(F1809="INR",1,INDEX('rates'!$B$2:$C$522,MATCH(D1809,'rates'!$A$2:$A$522,1),MATCH(F1809&amp;"/INR",'rates'!$B$1:$C$1,0)))</f>
        <v>83.26</v>
      </c>
      <c r="N1809">
        <f t="shared" si="150"/>
        <v>16118171.849200003</v>
      </c>
      <c r="O1809">
        <f t="shared" si="151"/>
        <v>0</v>
      </c>
      <c r="P1809">
        <f t="shared" si="152"/>
        <v>0</v>
      </c>
      <c r="Q1809">
        <f t="shared" si="149"/>
        <v>33</v>
      </c>
      <c r="R1809" t="str">
        <f t="shared" si="153"/>
        <v>Not open</v>
      </c>
    </row>
    <row r="1810" spans="1:18" x14ac:dyDescent="0.3">
      <c r="A1810" t="s">
        <v>2026</v>
      </c>
      <c r="B1810" t="s">
        <v>190</v>
      </c>
      <c r="C1810" t="s">
        <v>558</v>
      </c>
      <c r="D1810" s="1">
        <v>45434</v>
      </c>
      <c r="E1810" s="1">
        <v>45464</v>
      </c>
      <c r="F1810" t="s">
        <v>13</v>
      </c>
      <c r="G1810">
        <v>4230080</v>
      </c>
      <c r="H1810" s="1">
        <v>45479</v>
      </c>
      <c r="I1810" t="s">
        <v>555</v>
      </c>
      <c r="J1810" t="s">
        <v>556</v>
      </c>
      <c r="L1810">
        <v>4230080</v>
      </c>
      <c r="M1810">
        <f>IF(F1810="INR",1,INDEX('rates'!$B$2:$C$522,MATCH(D1810,'rates'!$A$2:$A$522,1),MATCH(F1810&amp;"/INR",'rates'!$B$1:$C$1,0)))</f>
        <v>1</v>
      </c>
      <c r="N1810">
        <f t="shared" si="150"/>
        <v>4230080</v>
      </c>
      <c r="O1810">
        <f t="shared" si="151"/>
        <v>0</v>
      </c>
      <c r="P1810">
        <f t="shared" si="152"/>
        <v>0</v>
      </c>
      <c r="Q1810">
        <f t="shared" si="149"/>
        <v>15</v>
      </c>
      <c r="R1810" t="str">
        <f t="shared" si="153"/>
        <v>Not open</v>
      </c>
    </row>
    <row r="1811" spans="1:18" x14ac:dyDescent="0.3">
      <c r="A1811" t="s">
        <v>2027</v>
      </c>
      <c r="B1811" t="s">
        <v>194</v>
      </c>
      <c r="C1811" t="s">
        <v>554</v>
      </c>
      <c r="D1811" s="1">
        <v>45434</v>
      </c>
      <c r="E1811" s="1">
        <v>45494</v>
      </c>
      <c r="F1811" t="s">
        <v>13</v>
      </c>
      <c r="G1811">
        <v>600000</v>
      </c>
      <c r="H1811" s="1">
        <v>45491</v>
      </c>
      <c r="I1811" t="s">
        <v>555</v>
      </c>
      <c r="J1811" t="s">
        <v>556</v>
      </c>
      <c r="L1811">
        <v>600000</v>
      </c>
      <c r="M1811">
        <f>IF(F1811="INR",1,INDEX('rates'!$B$2:$C$522,MATCH(D1811,'rates'!$A$2:$A$522,1),MATCH(F1811&amp;"/INR",'rates'!$B$1:$C$1,0)))</f>
        <v>1</v>
      </c>
      <c r="N1811">
        <f t="shared" si="150"/>
        <v>600000</v>
      </c>
      <c r="O1811">
        <f t="shared" si="151"/>
        <v>0</v>
      </c>
      <c r="P1811">
        <f t="shared" si="152"/>
        <v>0</v>
      </c>
      <c r="Q1811">
        <f t="shared" si="149"/>
        <v>-3</v>
      </c>
      <c r="R1811" t="str">
        <f t="shared" si="153"/>
        <v>Not open</v>
      </c>
    </row>
    <row r="1812" spans="1:18" x14ac:dyDescent="0.3">
      <c r="A1812" t="s">
        <v>2028</v>
      </c>
      <c r="B1812" t="s">
        <v>410</v>
      </c>
      <c r="C1812" t="s">
        <v>566</v>
      </c>
      <c r="D1812" s="1">
        <v>45434</v>
      </c>
      <c r="E1812" s="1">
        <v>45494</v>
      </c>
      <c r="F1812" t="s">
        <v>13</v>
      </c>
      <c r="G1812">
        <v>3380795</v>
      </c>
      <c r="H1812" s="1">
        <v>45512</v>
      </c>
      <c r="I1812" t="s">
        <v>555</v>
      </c>
      <c r="J1812" t="s">
        <v>556</v>
      </c>
      <c r="L1812">
        <v>3380795</v>
      </c>
      <c r="M1812">
        <f>IF(F1812="INR",1,INDEX('rates'!$B$2:$C$522,MATCH(D1812,'rates'!$A$2:$A$522,1),MATCH(F1812&amp;"/INR",'rates'!$B$1:$C$1,0)))</f>
        <v>1</v>
      </c>
      <c r="N1812">
        <f t="shared" si="150"/>
        <v>3380795</v>
      </c>
      <c r="O1812">
        <f t="shared" si="151"/>
        <v>0</v>
      </c>
      <c r="P1812">
        <f t="shared" si="152"/>
        <v>0</v>
      </c>
      <c r="Q1812">
        <f t="shared" si="149"/>
        <v>18</v>
      </c>
      <c r="R1812" t="str">
        <f t="shared" si="153"/>
        <v>Not open</v>
      </c>
    </row>
    <row r="1813" spans="1:18" x14ac:dyDescent="0.3">
      <c r="A1813" t="s">
        <v>2029</v>
      </c>
      <c r="B1813" t="s">
        <v>444</v>
      </c>
      <c r="C1813" t="s">
        <v>566</v>
      </c>
      <c r="D1813" s="1">
        <v>45434</v>
      </c>
      <c r="E1813" s="1">
        <v>45479</v>
      </c>
      <c r="F1813" t="s">
        <v>36</v>
      </c>
      <c r="G1813">
        <v>17558.400000000001</v>
      </c>
      <c r="H1813" s="1">
        <v>45479</v>
      </c>
      <c r="I1813" t="s">
        <v>555</v>
      </c>
      <c r="J1813" t="s">
        <v>573</v>
      </c>
      <c r="K1813">
        <v>83.468100000000007</v>
      </c>
      <c r="L1813">
        <v>17558.400000000001</v>
      </c>
      <c r="M1813">
        <f>IF(F1813="INR",1,INDEX('rates'!$B$2:$C$522,MATCH(D1813,'rates'!$A$2:$A$522,1),MATCH(F1813&amp;"/INR",'rates'!$B$1:$C$1,0)))</f>
        <v>83.26</v>
      </c>
      <c r="N1813">
        <f t="shared" si="150"/>
        <v>1461912.3840000003</v>
      </c>
      <c r="O1813">
        <f t="shared" si="151"/>
        <v>0</v>
      </c>
      <c r="P1813">
        <f t="shared" si="152"/>
        <v>0</v>
      </c>
      <c r="Q1813">
        <f t="shared" si="149"/>
        <v>0</v>
      </c>
      <c r="R1813" t="str">
        <f t="shared" si="153"/>
        <v>Not open</v>
      </c>
    </row>
    <row r="1814" spans="1:18" x14ac:dyDescent="0.3">
      <c r="A1814" t="s">
        <v>2030</v>
      </c>
      <c r="B1814" t="s">
        <v>464</v>
      </c>
      <c r="C1814" t="s">
        <v>560</v>
      </c>
      <c r="D1814" s="1">
        <v>45434</v>
      </c>
      <c r="E1814" s="1">
        <v>45524</v>
      </c>
      <c r="F1814" t="s">
        <v>13</v>
      </c>
      <c r="G1814">
        <v>3358430</v>
      </c>
      <c r="H1814" s="1">
        <v>45528</v>
      </c>
      <c r="I1814" t="s">
        <v>555</v>
      </c>
      <c r="J1814" t="s">
        <v>556</v>
      </c>
      <c r="L1814">
        <v>3358430</v>
      </c>
      <c r="M1814">
        <f>IF(F1814="INR",1,INDEX('rates'!$B$2:$C$522,MATCH(D1814,'rates'!$A$2:$A$522,1),MATCH(F1814&amp;"/INR",'rates'!$B$1:$C$1,0)))</f>
        <v>1</v>
      </c>
      <c r="N1814">
        <f t="shared" si="150"/>
        <v>3358430</v>
      </c>
      <c r="O1814">
        <f t="shared" si="151"/>
        <v>0</v>
      </c>
      <c r="P1814">
        <f t="shared" si="152"/>
        <v>0</v>
      </c>
      <c r="Q1814">
        <f t="shared" si="149"/>
        <v>4</v>
      </c>
      <c r="R1814" t="str">
        <f t="shared" si="153"/>
        <v>Not open</v>
      </c>
    </row>
    <row r="1815" spans="1:18" x14ac:dyDescent="0.3">
      <c r="A1815" t="s">
        <v>2031</v>
      </c>
      <c r="B1815" t="s">
        <v>262</v>
      </c>
      <c r="C1815" t="s">
        <v>566</v>
      </c>
      <c r="D1815" s="1">
        <v>45435</v>
      </c>
      <c r="E1815" s="1">
        <v>45525</v>
      </c>
      <c r="F1815" t="s">
        <v>31</v>
      </c>
      <c r="G1815">
        <v>22871.95</v>
      </c>
      <c r="H1815" s="1">
        <v>45547</v>
      </c>
      <c r="I1815" t="s">
        <v>555</v>
      </c>
      <c r="J1815" t="s">
        <v>573</v>
      </c>
      <c r="K1815">
        <v>90.426900000000003</v>
      </c>
      <c r="L1815">
        <v>22871.95</v>
      </c>
      <c r="M1815">
        <f>IF(F1815="INR",1,INDEX('rates'!$B$2:$C$522,MATCH(D1815,'rates'!$A$2:$A$522,1),MATCH(F1815&amp;"/INR",'rates'!$B$1:$C$1,0)))</f>
        <v>90.156400000000005</v>
      </c>
      <c r="N1815">
        <f t="shared" si="150"/>
        <v>2062052.6729800003</v>
      </c>
      <c r="O1815">
        <f t="shared" si="151"/>
        <v>0</v>
      </c>
      <c r="P1815">
        <f t="shared" si="152"/>
        <v>0</v>
      </c>
      <c r="Q1815">
        <f t="shared" si="149"/>
        <v>22</v>
      </c>
      <c r="R1815" t="str">
        <f t="shared" si="153"/>
        <v>Not open</v>
      </c>
    </row>
    <row r="1816" spans="1:18" x14ac:dyDescent="0.3">
      <c r="A1816" t="s">
        <v>2032</v>
      </c>
      <c r="B1816" t="s">
        <v>306</v>
      </c>
      <c r="C1816" t="s">
        <v>558</v>
      </c>
      <c r="D1816" s="1">
        <v>45435</v>
      </c>
      <c r="E1816" s="1">
        <v>45525</v>
      </c>
      <c r="F1816" t="s">
        <v>36</v>
      </c>
      <c r="G1816">
        <v>53291.37</v>
      </c>
      <c r="H1816" s="1">
        <v>45533</v>
      </c>
      <c r="I1816" t="s">
        <v>555</v>
      </c>
      <c r="J1816" t="s">
        <v>556</v>
      </c>
      <c r="L1816">
        <v>53291.37</v>
      </c>
      <c r="M1816">
        <f>IF(F1816="INR",1,INDEX('rates'!$B$2:$C$522,MATCH(D1816,'rates'!$A$2:$A$522,1),MATCH(F1816&amp;"/INR",'rates'!$B$1:$C$1,0)))</f>
        <v>83.27</v>
      </c>
      <c r="N1816">
        <f t="shared" si="150"/>
        <v>4437572.3799000001</v>
      </c>
      <c r="O1816">
        <f t="shared" si="151"/>
        <v>0</v>
      </c>
      <c r="P1816">
        <f t="shared" si="152"/>
        <v>0</v>
      </c>
      <c r="Q1816">
        <f t="shared" si="149"/>
        <v>8</v>
      </c>
      <c r="R1816" t="str">
        <f t="shared" si="153"/>
        <v>Not open</v>
      </c>
    </row>
    <row r="1817" spans="1:18" x14ac:dyDescent="0.3">
      <c r="A1817" t="s">
        <v>2033</v>
      </c>
      <c r="B1817" t="s">
        <v>240</v>
      </c>
      <c r="C1817" t="s">
        <v>575</v>
      </c>
      <c r="D1817" s="1">
        <v>45436</v>
      </c>
      <c r="E1817" s="1">
        <v>45496</v>
      </c>
      <c r="F1817" t="s">
        <v>36</v>
      </c>
      <c r="G1817">
        <v>37157.11</v>
      </c>
      <c r="H1817" s="1">
        <v>45510</v>
      </c>
      <c r="I1817" t="s">
        <v>555</v>
      </c>
      <c r="J1817" t="s">
        <v>556</v>
      </c>
      <c r="L1817">
        <v>37157.11</v>
      </c>
      <c r="M1817">
        <f>IF(F1817="INR",1,INDEX('rates'!$B$2:$C$522,MATCH(D1817,'rates'!$A$2:$A$522,1),MATCH(F1817&amp;"/INR",'rates'!$B$1:$C$1,0)))</f>
        <v>83.09</v>
      </c>
      <c r="N1817">
        <f t="shared" si="150"/>
        <v>3087384.2699000002</v>
      </c>
      <c r="O1817">
        <f t="shared" si="151"/>
        <v>0</v>
      </c>
      <c r="P1817">
        <f t="shared" si="152"/>
        <v>0</v>
      </c>
      <c r="Q1817">
        <f t="shared" si="149"/>
        <v>14</v>
      </c>
      <c r="R1817" t="str">
        <f t="shared" si="153"/>
        <v>Not open</v>
      </c>
    </row>
    <row r="1818" spans="1:18" x14ac:dyDescent="0.3">
      <c r="A1818" t="s">
        <v>2034</v>
      </c>
      <c r="B1818" t="s">
        <v>252</v>
      </c>
      <c r="C1818" t="s">
        <v>566</v>
      </c>
      <c r="D1818" s="1">
        <v>45436</v>
      </c>
      <c r="E1818" s="1">
        <v>45481</v>
      </c>
      <c r="F1818" t="s">
        <v>36</v>
      </c>
      <c r="G1818">
        <v>57804.5</v>
      </c>
      <c r="H1818" s="1">
        <v>45491</v>
      </c>
      <c r="I1818" t="s">
        <v>555</v>
      </c>
      <c r="J1818" t="s">
        <v>573</v>
      </c>
      <c r="K1818">
        <v>83.297700000000006</v>
      </c>
      <c r="L1818">
        <v>57804.5</v>
      </c>
      <c r="M1818">
        <f>IF(F1818="INR",1,INDEX('rates'!$B$2:$C$522,MATCH(D1818,'rates'!$A$2:$A$522,1),MATCH(F1818&amp;"/INR",'rates'!$B$1:$C$1,0)))</f>
        <v>83.09</v>
      </c>
      <c r="N1818">
        <f t="shared" si="150"/>
        <v>4802975.9050000003</v>
      </c>
      <c r="O1818">
        <f t="shared" si="151"/>
        <v>0</v>
      </c>
      <c r="P1818">
        <f t="shared" si="152"/>
        <v>0</v>
      </c>
      <c r="Q1818">
        <f t="shared" si="149"/>
        <v>10</v>
      </c>
      <c r="R1818" t="str">
        <f t="shared" si="153"/>
        <v>Not open</v>
      </c>
    </row>
    <row r="1819" spans="1:18" x14ac:dyDescent="0.3">
      <c r="A1819" t="s">
        <v>2035</v>
      </c>
      <c r="B1819" t="s">
        <v>262</v>
      </c>
      <c r="C1819" t="s">
        <v>566</v>
      </c>
      <c r="D1819" s="1">
        <v>45436</v>
      </c>
      <c r="E1819" s="1">
        <v>45526</v>
      </c>
      <c r="F1819" t="s">
        <v>31</v>
      </c>
      <c r="G1819">
        <v>252711.44</v>
      </c>
      <c r="H1819" s="1">
        <v>45556</v>
      </c>
      <c r="I1819" t="s">
        <v>555</v>
      </c>
      <c r="J1819" t="s">
        <v>573</v>
      </c>
      <c r="K1819">
        <v>90.439800000000005</v>
      </c>
      <c r="L1819">
        <v>252711.44</v>
      </c>
      <c r="M1819">
        <f>IF(F1819="INR",1,INDEX('rates'!$B$2:$C$522,MATCH(D1819,'rates'!$A$2:$A$522,1),MATCH(F1819&amp;"/INR",'rates'!$B$1:$C$1,0)))</f>
        <v>90.169300000000007</v>
      </c>
      <c r="N1819">
        <f t="shared" si="150"/>
        <v>22786813.646792002</v>
      </c>
      <c r="O1819">
        <f t="shared" si="151"/>
        <v>0</v>
      </c>
      <c r="P1819">
        <f t="shared" si="152"/>
        <v>0</v>
      </c>
      <c r="Q1819">
        <f t="shared" si="149"/>
        <v>30</v>
      </c>
      <c r="R1819" t="str">
        <f t="shared" si="153"/>
        <v>Not open</v>
      </c>
    </row>
    <row r="1820" spans="1:18" x14ac:dyDescent="0.3">
      <c r="A1820" t="s">
        <v>2036</v>
      </c>
      <c r="B1820" t="s">
        <v>300</v>
      </c>
      <c r="C1820" t="s">
        <v>554</v>
      </c>
      <c r="D1820" s="1">
        <v>45436</v>
      </c>
      <c r="E1820" s="1">
        <v>45466</v>
      </c>
      <c r="F1820" t="s">
        <v>13</v>
      </c>
      <c r="G1820">
        <v>2738053</v>
      </c>
      <c r="H1820" s="1">
        <v>45469</v>
      </c>
      <c r="I1820" t="s">
        <v>555</v>
      </c>
      <c r="J1820" t="s">
        <v>556</v>
      </c>
      <c r="L1820">
        <v>2738053</v>
      </c>
      <c r="M1820">
        <f>IF(F1820="INR",1,INDEX('rates'!$B$2:$C$522,MATCH(D1820,'rates'!$A$2:$A$522,1),MATCH(F1820&amp;"/INR",'rates'!$B$1:$C$1,0)))</f>
        <v>1</v>
      </c>
      <c r="N1820">
        <f t="shared" si="150"/>
        <v>2738053</v>
      </c>
      <c r="O1820">
        <f t="shared" si="151"/>
        <v>0</v>
      </c>
      <c r="P1820">
        <f t="shared" si="152"/>
        <v>0</v>
      </c>
      <c r="Q1820">
        <f t="shared" si="149"/>
        <v>3</v>
      </c>
      <c r="R1820" t="str">
        <f t="shared" si="153"/>
        <v>Not open</v>
      </c>
    </row>
    <row r="1821" spans="1:18" x14ac:dyDescent="0.3">
      <c r="A1821" t="s">
        <v>2037</v>
      </c>
      <c r="B1821" t="s">
        <v>306</v>
      </c>
      <c r="C1821" t="s">
        <v>558</v>
      </c>
      <c r="D1821" s="1">
        <v>45436</v>
      </c>
      <c r="E1821" s="1">
        <v>45526</v>
      </c>
      <c r="F1821" t="s">
        <v>36</v>
      </c>
      <c r="G1821">
        <v>104987.05</v>
      </c>
      <c r="H1821" s="1">
        <v>45550</v>
      </c>
      <c r="I1821" t="s">
        <v>555</v>
      </c>
      <c r="J1821" t="s">
        <v>573</v>
      </c>
      <c r="K1821">
        <v>83.505399999999995</v>
      </c>
      <c r="L1821">
        <v>104987.05</v>
      </c>
      <c r="M1821">
        <f>IF(F1821="INR",1,INDEX('rates'!$B$2:$C$522,MATCH(D1821,'rates'!$A$2:$A$522,1),MATCH(F1821&amp;"/INR",'rates'!$B$1:$C$1,0)))</f>
        <v>83.09</v>
      </c>
      <c r="N1821">
        <f t="shared" si="150"/>
        <v>8723373.9845000003</v>
      </c>
      <c r="O1821">
        <f t="shared" si="151"/>
        <v>0</v>
      </c>
      <c r="P1821">
        <f t="shared" si="152"/>
        <v>0</v>
      </c>
      <c r="Q1821">
        <f t="shared" si="149"/>
        <v>24</v>
      </c>
      <c r="R1821" t="str">
        <f t="shared" si="153"/>
        <v>Not open</v>
      </c>
    </row>
    <row r="1822" spans="1:18" x14ac:dyDescent="0.3">
      <c r="A1822" t="s">
        <v>2038</v>
      </c>
      <c r="B1822" t="s">
        <v>144</v>
      </c>
      <c r="C1822" t="s">
        <v>554</v>
      </c>
      <c r="D1822" s="1">
        <v>45437</v>
      </c>
      <c r="E1822" s="1">
        <v>45467</v>
      </c>
      <c r="F1822" t="s">
        <v>13</v>
      </c>
      <c r="G1822">
        <v>9724586</v>
      </c>
      <c r="H1822" s="1">
        <v>45480</v>
      </c>
      <c r="I1822" t="s">
        <v>555</v>
      </c>
      <c r="J1822" t="s">
        <v>556</v>
      </c>
      <c r="L1822">
        <v>9724586</v>
      </c>
      <c r="M1822">
        <f>IF(F1822="INR",1,INDEX('rates'!$B$2:$C$522,MATCH(D1822,'rates'!$A$2:$A$522,1),MATCH(F1822&amp;"/INR",'rates'!$B$1:$C$1,0)))</f>
        <v>1</v>
      </c>
      <c r="N1822">
        <f t="shared" si="150"/>
        <v>9724586</v>
      </c>
      <c r="O1822">
        <f t="shared" si="151"/>
        <v>0</v>
      </c>
      <c r="P1822">
        <f t="shared" si="152"/>
        <v>0</v>
      </c>
      <c r="Q1822">
        <f t="shared" si="149"/>
        <v>13</v>
      </c>
      <c r="R1822" t="str">
        <f t="shared" si="153"/>
        <v>Not open</v>
      </c>
    </row>
    <row r="1823" spans="1:18" x14ac:dyDescent="0.3">
      <c r="A1823" t="s">
        <v>2039</v>
      </c>
      <c r="B1823" t="s">
        <v>180</v>
      </c>
      <c r="C1823" t="s">
        <v>558</v>
      </c>
      <c r="D1823" s="1">
        <v>45437</v>
      </c>
      <c r="E1823" s="1">
        <v>45482</v>
      </c>
      <c r="F1823" t="s">
        <v>13</v>
      </c>
      <c r="G1823">
        <v>2340786</v>
      </c>
      <c r="H1823" s="1">
        <v>45493</v>
      </c>
      <c r="I1823" t="s">
        <v>555</v>
      </c>
      <c r="J1823" t="s">
        <v>556</v>
      </c>
      <c r="L1823">
        <v>2340786</v>
      </c>
      <c r="M1823">
        <f>IF(F1823="INR",1,INDEX('rates'!$B$2:$C$522,MATCH(D1823,'rates'!$A$2:$A$522,1),MATCH(F1823&amp;"/INR",'rates'!$B$1:$C$1,0)))</f>
        <v>1</v>
      </c>
      <c r="N1823">
        <f t="shared" si="150"/>
        <v>2340786</v>
      </c>
      <c r="O1823">
        <f t="shared" si="151"/>
        <v>0</v>
      </c>
      <c r="P1823">
        <f t="shared" si="152"/>
        <v>0</v>
      </c>
      <c r="Q1823">
        <f t="shared" si="149"/>
        <v>11</v>
      </c>
      <c r="R1823" t="str">
        <f t="shared" si="153"/>
        <v>Not open</v>
      </c>
    </row>
    <row r="1824" spans="1:18" x14ac:dyDescent="0.3">
      <c r="A1824" t="s">
        <v>2040</v>
      </c>
      <c r="B1824" t="s">
        <v>238</v>
      </c>
      <c r="C1824" t="s">
        <v>566</v>
      </c>
      <c r="D1824" s="1">
        <v>45437</v>
      </c>
      <c r="E1824" s="1">
        <v>45497</v>
      </c>
      <c r="F1824" t="s">
        <v>31</v>
      </c>
      <c r="G1824">
        <v>152229.23000000001</v>
      </c>
      <c r="H1824" s="1">
        <v>45501</v>
      </c>
      <c r="I1824" t="s">
        <v>555</v>
      </c>
      <c r="J1824" t="s">
        <v>573</v>
      </c>
      <c r="K1824">
        <v>90.349599999999995</v>
      </c>
      <c r="L1824">
        <v>152229.23000000001</v>
      </c>
      <c r="M1824">
        <f>IF(F1824="INR",1,INDEX('rates'!$B$2:$C$522,MATCH(D1824,'rates'!$A$2:$A$522,1),MATCH(F1824&amp;"/INR",'rates'!$B$1:$C$1,0)))</f>
        <v>90.169300000000007</v>
      </c>
      <c r="N1824">
        <f t="shared" si="150"/>
        <v>13726403.108639002</v>
      </c>
      <c r="O1824">
        <f t="shared" si="151"/>
        <v>0</v>
      </c>
      <c r="P1824">
        <f t="shared" si="152"/>
        <v>0</v>
      </c>
      <c r="Q1824">
        <f t="shared" si="149"/>
        <v>4</v>
      </c>
      <c r="R1824" t="str">
        <f t="shared" si="153"/>
        <v>Not open</v>
      </c>
    </row>
    <row r="1825" spans="1:18" x14ac:dyDescent="0.3">
      <c r="A1825" t="s">
        <v>2041</v>
      </c>
      <c r="B1825" t="s">
        <v>262</v>
      </c>
      <c r="C1825" t="s">
        <v>566</v>
      </c>
      <c r="D1825" s="1">
        <v>45437</v>
      </c>
      <c r="E1825" s="1">
        <v>45527</v>
      </c>
      <c r="F1825" t="s">
        <v>31</v>
      </c>
      <c r="G1825">
        <v>45007.81</v>
      </c>
      <c r="H1825" s="1">
        <v>45573</v>
      </c>
      <c r="I1825" t="s">
        <v>555</v>
      </c>
      <c r="J1825" t="s">
        <v>573</v>
      </c>
      <c r="K1825">
        <v>90.439800000000005</v>
      </c>
      <c r="L1825">
        <v>45007.81</v>
      </c>
      <c r="M1825">
        <f>IF(F1825="INR",1,INDEX('rates'!$B$2:$C$522,MATCH(D1825,'rates'!$A$2:$A$522,1),MATCH(F1825&amp;"/INR",'rates'!$B$1:$C$1,0)))</f>
        <v>90.169300000000007</v>
      </c>
      <c r="N1825">
        <f t="shared" si="150"/>
        <v>4058322.7222330002</v>
      </c>
      <c r="O1825">
        <f t="shared" si="151"/>
        <v>0</v>
      </c>
      <c r="P1825">
        <f t="shared" si="152"/>
        <v>0</v>
      </c>
      <c r="Q1825">
        <f t="shared" si="149"/>
        <v>46</v>
      </c>
      <c r="R1825" t="str">
        <f t="shared" si="153"/>
        <v>Not open</v>
      </c>
    </row>
    <row r="1826" spans="1:18" x14ac:dyDescent="0.3">
      <c r="A1826" t="s">
        <v>2042</v>
      </c>
      <c r="B1826" t="s">
        <v>111</v>
      </c>
      <c r="C1826" t="s">
        <v>558</v>
      </c>
      <c r="D1826" s="1">
        <v>45439</v>
      </c>
      <c r="E1826" s="1">
        <v>45484</v>
      </c>
      <c r="F1826" t="s">
        <v>13</v>
      </c>
      <c r="G1826">
        <v>5258115</v>
      </c>
      <c r="H1826" s="1">
        <v>45482</v>
      </c>
      <c r="I1826" t="s">
        <v>555</v>
      </c>
      <c r="J1826" t="s">
        <v>556</v>
      </c>
      <c r="L1826">
        <v>5258115</v>
      </c>
      <c r="M1826">
        <f>IF(F1826="INR",1,INDEX('rates'!$B$2:$C$522,MATCH(D1826,'rates'!$A$2:$A$522,1),MATCH(F1826&amp;"/INR",'rates'!$B$1:$C$1,0)))</f>
        <v>1</v>
      </c>
      <c r="N1826">
        <f t="shared" si="150"/>
        <v>5258115</v>
      </c>
      <c r="O1826">
        <f t="shared" si="151"/>
        <v>0</v>
      </c>
      <c r="P1826">
        <f t="shared" si="152"/>
        <v>0</v>
      </c>
      <c r="Q1826">
        <f t="shared" si="149"/>
        <v>-2</v>
      </c>
      <c r="R1826" t="str">
        <f t="shared" si="153"/>
        <v>Not open</v>
      </c>
    </row>
    <row r="1827" spans="1:18" x14ac:dyDescent="0.3">
      <c r="A1827" t="s">
        <v>2043</v>
      </c>
      <c r="B1827" t="s">
        <v>154</v>
      </c>
      <c r="C1827" t="s">
        <v>566</v>
      </c>
      <c r="D1827" s="1">
        <v>45439</v>
      </c>
      <c r="E1827" s="1">
        <v>45469</v>
      </c>
      <c r="F1827" t="s">
        <v>13</v>
      </c>
      <c r="G1827">
        <v>15122251</v>
      </c>
      <c r="H1827" s="1">
        <v>45470</v>
      </c>
      <c r="I1827" t="s">
        <v>555</v>
      </c>
      <c r="J1827" t="s">
        <v>556</v>
      </c>
      <c r="L1827">
        <v>15122251</v>
      </c>
      <c r="M1827">
        <f>IF(F1827="INR",1,INDEX('rates'!$B$2:$C$522,MATCH(D1827,'rates'!$A$2:$A$522,1),MATCH(F1827&amp;"/INR",'rates'!$B$1:$C$1,0)))</f>
        <v>1</v>
      </c>
      <c r="N1827">
        <f t="shared" si="150"/>
        <v>15122251</v>
      </c>
      <c r="O1827">
        <f t="shared" si="151"/>
        <v>0</v>
      </c>
      <c r="P1827">
        <f t="shared" si="152"/>
        <v>0</v>
      </c>
      <c r="Q1827">
        <f t="shared" si="149"/>
        <v>1</v>
      </c>
      <c r="R1827" t="str">
        <f t="shared" si="153"/>
        <v>Not open</v>
      </c>
    </row>
    <row r="1828" spans="1:18" x14ac:dyDescent="0.3">
      <c r="A1828" t="s">
        <v>2044</v>
      </c>
      <c r="B1828" t="s">
        <v>196</v>
      </c>
      <c r="C1828" t="s">
        <v>554</v>
      </c>
      <c r="D1828" s="1">
        <v>45439</v>
      </c>
      <c r="E1828" s="1">
        <v>45484</v>
      </c>
      <c r="F1828" t="s">
        <v>13</v>
      </c>
      <c r="G1828">
        <v>1884759</v>
      </c>
      <c r="H1828" s="1">
        <v>45480</v>
      </c>
      <c r="I1828" t="s">
        <v>555</v>
      </c>
      <c r="J1828" t="s">
        <v>556</v>
      </c>
      <c r="L1828">
        <v>1884759</v>
      </c>
      <c r="M1828">
        <f>IF(F1828="INR",1,INDEX('rates'!$B$2:$C$522,MATCH(D1828,'rates'!$A$2:$A$522,1),MATCH(F1828&amp;"/INR",'rates'!$B$1:$C$1,0)))</f>
        <v>1</v>
      </c>
      <c r="N1828">
        <f t="shared" si="150"/>
        <v>1884759</v>
      </c>
      <c r="O1828">
        <f t="shared" si="151"/>
        <v>0</v>
      </c>
      <c r="P1828">
        <f t="shared" si="152"/>
        <v>0</v>
      </c>
      <c r="Q1828">
        <f t="shared" si="149"/>
        <v>-4</v>
      </c>
      <c r="R1828" t="str">
        <f t="shared" si="153"/>
        <v>Not open</v>
      </c>
    </row>
    <row r="1829" spans="1:18" x14ac:dyDescent="0.3">
      <c r="A1829" t="s">
        <v>2045</v>
      </c>
      <c r="B1829" t="s">
        <v>204</v>
      </c>
      <c r="C1829" t="s">
        <v>575</v>
      </c>
      <c r="D1829" s="1">
        <v>45439</v>
      </c>
      <c r="E1829" s="1">
        <v>45499</v>
      </c>
      <c r="F1829" t="s">
        <v>13</v>
      </c>
      <c r="G1829">
        <v>2923860</v>
      </c>
      <c r="H1829" s="1">
        <v>45507</v>
      </c>
      <c r="I1829" t="s">
        <v>555</v>
      </c>
      <c r="J1829" t="s">
        <v>556</v>
      </c>
      <c r="L1829">
        <v>2923860</v>
      </c>
      <c r="M1829">
        <f>IF(F1829="INR",1,INDEX('rates'!$B$2:$C$522,MATCH(D1829,'rates'!$A$2:$A$522,1),MATCH(F1829&amp;"/INR",'rates'!$B$1:$C$1,0)))</f>
        <v>1</v>
      </c>
      <c r="N1829">
        <f t="shared" si="150"/>
        <v>2923860</v>
      </c>
      <c r="O1829">
        <f t="shared" si="151"/>
        <v>0</v>
      </c>
      <c r="P1829">
        <f t="shared" si="152"/>
        <v>0</v>
      </c>
      <c r="Q1829">
        <f t="shared" si="149"/>
        <v>8</v>
      </c>
      <c r="R1829" t="str">
        <f t="shared" si="153"/>
        <v>Not open</v>
      </c>
    </row>
    <row r="1830" spans="1:18" x14ac:dyDescent="0.3">
      <c r="A1830" t="s">
        <v>2046</v>
      </c>
      <c r="B1830" t="s">
        <v>238</v>
      </c>
      <c r="C1830" t="s">
        <v>566</v>
      </c>
      <c r="D1830" s="1">
        <v>45439</v>
      </c>
      <c r="E1830" s="1">
        <v>45499</v>
      </c>
      <c r="F1830" t="s">
        <v>31</v>
      </c>
      <c r="G1830">
        <v>114200.95</v>
      </c>
      <c r="H1830" s="1">
        <v>45537</v>
      </c>
      <c r="I1830" t="s">
        <v>555</v>
      </c>
      <c r="J1830" t="s">
        <v>556</v>
      </c>
      <c r="L1830">
        <v>114200.95</v>
      </c>
      <c r="M1830">
        <f>IF(F1830="INR",1,INDEX('rates'!$B$2:$C$522,MATCH(D1830,'rates'!$A$2:$A$522,1),MATCH(F1830&amp;"/INR",'rates'!$B$1:$C$1,0)))</f>
        <v>90.169300000000007</v>
      </c>
      <c r="N1830">
        <f t="shared" si="150"/>
        <v>10297419.720835</v>
      </c>
      <c r="O1830">
        <f t="shared" si="151"/>
        <v>0</v>
      </c>
      <c r="P1830">
        <f t="shared" si="152"/>
        <v>0</v>
      </c>
      <c r="Q1830">
        <f t="shared" si="149"/>
        <v>38</v>
      </c>
      <c r="R1830" t="str">
        <f t="shared" si="153"/>
        <v>Not open</v>
      </c>
    </row>
    <row r="1831" spans="1:18" x14ac:dyDescent="0.3">
      <c r="A1831" t="s">
        <v>2047</v>
      </c>
      <c r="B1831" t="s">
        <v>322</v>
      </c>
      <c r="C1831" t="s">
        <v>566</v>
      </c>
      <c r="D1831" s="1">
        <v>45439</v>
      </c>
      <c r="E1831" s="1">
        <v>45499</v>
      </c>
      <c r="F1831" t="s">
        <v>13</v>
      </c>
      <c r="G1831">
        <v>4508274</v>
      </c>
      <c r="H1831" s="1">
        <v>45510</v>
      </c>
      <c r="I1831" t="s">
        <v>555</v>
      </c>
      <c r="J1831" t="s">
        <v>556</v>
      </c>
      <c r="L1831">
        <v>4508274</v>
      </c>
      <c r="M1831">
        <f>IF(F1831="INR",1,INDEX('rates'!$B$2:$C$522,MATCH(D1831,'rates'!$A$2:$A$522,1),MATCH(F1831&amp;"/INR",'rates'!$B$1:$C$1,0)))</f>
        <v>1</v>
      </c>
      <c r="N1831">
        <f t="shared" si="150"/>
        <v>4508274</v>
      </c>
      <c r="O1831">
        <f t="shared" si="151"/>
        <v>0</v>
      </c>
      <c r="P1831">
        <f t="shared" si="152"/>
        <v>0</v>
      </c>
      <c r="Q1831">
        <f t="shared" si="149"/>
        <v>11</v>
      </c>
      <c r="R1831" t="str">
        <f t="shared" si="153"/>
        <v>Not open</v>
      </c>
    </row>
    <row r="1832" spans="1:18" x14ac:dyDescent="0.3">
      <c r="A1832" t="s">
        <v>2048</v>
      </c>
      <c r="B1832" t="s">
        <v>512</v>
      </c>
      <c r="C1832" t="s">
        <v>566</v>
      </c>
      <c r="D1832" s="1">
        <v>45439</v>
      </c>
      <c r="E1832" s="1">
        <v>45499</v>
      </c>
      <c r="F1832" t="s">
        <v>31</v>
      </c>
      <c r="G1832">
        <v>53631.45</v>
      </c>
      <c r="H1832" s="1">
        <v>45560</v>
      </c>
      <c r="I1832" t="s">
        <v>555</v>
      </c>
      <c r="J1832" t="s">
        <v>573</v>
      </c>
      <c r="K1832">
        <v>90.349599999999995</v>
      </c>
      <c r="L1832">
        <v>53631.45</v>
      </c>
      <c r="M1832">
        <f>IF(F1832="INR",1,INDEX('rates'!$B$2:$C$522,MATCH(D1832,'rates'!$A$2:$A$522,1),MATCH(F1832&amp;"/INR",'rates'!$B$1:$C$1,0)))</f>
        <v>90.169300000000007</v>
      </c>
      <c r="N1832">
        <f t="shared" si="150"/>
        <v>4835910.3044849997</v>
      </c>
      <c r="O1832">
        <f t="shared" si="151"/>
        <v>0</v>
      </c>
      <c r="P1832">
        <f t="shared" si="152"/>
        <v>0</v>
      </c>
      <c r="Q1832">
        <f t="shared" si="149"/>
        <v>61</v>
      </c>
      <c r="R1832" t="str">
        <f t="shared" si="153"/>
        <v>Not open</v>
      </c>
    </row>
    <row r="1833" spans="1:18" x14ac:dyDescent="0.3">
      <c r="A1833" t="s">
        <v>2049</v>
      </c>
      <c r="B1833" t="s">
        <v>152</v>
      </c>
      <c r="C1833" t="s">
        <v>566</v>
      </c>
      <c r="D1833" s="1">
        <v>45440</v>
      </c>
      <c r="E1833" s="1">
        <v>45500</v>
      </c>
      <c r="F1833" t="s">
        <v>13</v>
      </c>
      <c r="G1833">
        <v>11569223</v>
      </c>
      <c r="H1833" s="1">
        <v>45517</v>
      </c>
      <c r="I1833" t="s">
        <v>555</v>
      </c>
      <c r="J1833" t="s">
        <v>556</v>
      </c>
      <c r="L1833">
        <v>11569223</v>
      </c>
      <c r="M1833">
        <f>IF(F1833="INR",1,INDEX('rates'!$B$2:$C$522,MATCH(D1833,'rates'!$A$2:$A$522,1),MATCH(F1833&amp;"/INR",'rates'!$B$1:$C$1,0)))</f>
        <v>1</v>
      </c>
      <c r="N1833">
        <f t="shared" si="150"/>
        <v>11569223</v>
      </c>
      <c r="O1833">
        <f t="shared" si="151"/>
        <v>0</v>
      </c>
      <c r="P1833">
        <f t="shared" si="152"/>
        <v>0</v>
      </c>
      <c r="Q1833">
        <f t="shared" si="149"/>
        <v>17</v>
      </c>
      <c r="R1833" t="str">
        <f t="shared" si="153"/>
        <v>Not open</v>
      </c>
    </row>
    <row r="1834" spans="1:18" x14ac:dyDescent="0.3">
      <c r="A1834" t="s">
        <v>2050</v>
      </c>
      <c r="B1834" t="s">
        <v>154</v>
      </c>
      <c r="C1834" t="s">
        <v>566</v>
      </c>
      <c r="D1834" s="1">
        <v>45440</v>
      </c>
      <c r="E1834" s="1">
        <v>45470</v>
      </c>
      <c r="F1834" t="s">
        <v>13</v>
      </c>
      <c r="G1834">
        <v>13858214</v>
      </c>
      <c r="H1834" s="1">
        <v>45468</v>
      </c>
      <c r="I1834" t="s">
        <v>555</v>
      </c>
      <c r="J1834" t="s">
        <v>556</v>
      </c>
      <c r="L1834">
        <v>13858214</v>
      </c>
      <c r="M1834">
        <f>IF(F1834="INR",1,INDEX('rates'!$B$2:$C$522,MATCH(D1834,'rates'!$A$2:$A$522,1),MATCH(F1834&amp;"/INR",'rates'!$B$1:$C$1,0)))</f>
        <v>1</v>
      </c>
      <c r="N1834">
        <f t="shared" si="150"/>
        <v>13858214</v>
      </c>
      <c r="O1834">
        <f t="shared" si="151"/>
        <v>0</v>
      </c>
      <c r="P1834">
        <f t="shared" si="152"/>
        <v>0</v>
      </c>
      <c r="Q1834">
        <f t="shared" si="149"/>
        <v>-2</v>
      </c>
      <c r="R1834" t="str">
        <f t="shared" si="153"/>
        <v>Not open</v>
      </c>
    </row>
    <row r="1835" spans="1:18" x14ac:dyDescent="0.3">
      <c r="A1835" t="s">
        <v>2051</v>
      </c>
      <c r="B1835" t="s">
        <v>484</v>
      </c>
      <c r="C1835" t="s">
        <v>560</v>
      </c>
      <c r="D1835" s="1">
        <v>45440</v>
      </c>
      <c r="E1835" s="1">
        <v>45500</v>
      </c>
      <c r="F1835" t="s">
        <v>31</v>
      </c>
      <c r="G1835">
        <v>120500.22</v>
      </c>
      <c r="H1835" s="1">
        <v>45523</v>
      </c>
      <c r="I1835" t="s">
        <v>555</v>
      </c>
      <c r="J1835" t="s">
        <v>573</v>
      </c>
      <c r="K1835">
        <v>90.650700000000001</v>
      </c>
      <c r="L1835">
        <v>120500.22</v>
      </c>
      <c r="M1835">
        <f>IF(F1835="INR",1,INDEX('rates'!$B$2:$C$522,MATCH(D1835,'rates'!$A$2:$A$522,1),MATCH(F1835&amp;"/INR",'rates'!$B$1:$C$1,0)))</f>
        <v>90.469800000000006</v>
      </c>
      <c r="N1835">
        <f t="shared" si="150"/>
        <v>10901630.803356001</v>
      </c>
      <c r="O1835">
        <f t="shared" si="151"/>
        <v>0</v>
      </c>
      <c r="P1835">
        <f t="shared" si="152"/>
        <v>0</v>
      </c>
      <c r="Q1835">
        <f t="shared" si="149"/>
        <v>23</v>
      </c>
      <c r="R1835" t="str">
        <f t="shared" si="153"/>
        <v>Not open</v>
      </c>
    </row>
    <row r="1836" spans="1:18" x14ac:dyDescent="0.3">
      <c r="A1836" t="s">
        <v>2052</v>
      </c>
      <c r="B1836" t="s">
        <v>500</v>
      </c>
      <c r="C1836" t="s">
        <v>554</v>
      </c>
      <c r="D1836" s="1">
        <v>45440</v>
      </c>
      <c r="E1836" s="1">
        <v>45470</v>
      </c>
      <c r="F1836" t="s">
        <v>13</v>
      </c>
      <c r="G1836">
        <v>5899322</v>
      </c>
      <c r="H1836" s="1">
        <v>45483</v>
      </c>
      <c r="I1836" t="s">
        <v>555</v>
      </c>
      <c r="J1836" t="s">
        <v>556</v>
      </c>
      <c r="L1836">
        <v>5899322</v>
      </c>
      <c r="M1836">
        <f>IF(F1836="INR",1,INDEX('rates'!$B$2:$C$522,MATCH(D1836,'rates'!$A$2:$A$522,1),MATCH(F1836&amp;"/INR",'rates'!$B$1:$C$1,0)))</f>
        <v>1</v>
      </c>
      <c r="N1836">
        <f t="shared" si="150"/>
        <v>5899322</v>
      </c>
      <c r="O1836">
        <f t="shared" si="151"/>
        <v>0</v>
      </c>
      <c r="P1836">
        <f t="shared" si="152"/>
        <v>0</v>
      </c>
      <c r="Q1836">
        <f t="shared" si="149"/>
        <v>13</v>
      </c>
      <c r="R1836" t="str">
        <f t="shared" si="153"/>
        <v>Not open</v>
      </c>
    </row>
    <row r="1837" spans="1:18" x14ac:dyDescent="0.3">
      <c r="A1837" t="s">
        <v>2053</v>
      </c>
      <c r="B1837" t="s">
        <v>516</v>
      </c>
      <c r="C1837" t="s">
        <v>560</v>
      </c>
      <c r="D1837" s="1">
        <v>45440</v>
      </c>
      <c r="E1837" s="1">
        <v>45500</v>
      </c>
      <c r="F1837" t="s">
        <v>13</v>
      </c>
      <c r="G1837">
        <v>3794656</v>
      </c>
      <c r="H1837" s="1">
        <v>45500</v>
      </c>
      <c r="I1837" t="s">
        <v>555</v>
      </c>
      <c r="J1837" t="s">
        <v>556</v>
      </c>
      <c r="L1837">
        <v>3794656</v>
      </c>
      <c r="M1837">
        <f>IF(F1837="INR",1,INDEX('rates'!$B$2:$C$522,MATCH(D1837,'rates'!$A$2:$A$522,1),MATCH(F1837&amp;"/INR",'rates'!$B$1:$C$1,0)))</f>
        <v>1</v>
      </c>
      <c r="N1837">
        <f t="shared" si="150"/>
        <v>3794656</v>
      </c>
      <c r="O1837">
        <f t="shared" si="151"/>
        <v>0</v>
      </c>
      <c r="P1837">
        <f t="shared" si="152"/>
        <v>0</v>
      </c>
      <c r="Q1837">
        <f t="shared" si="149"/>
        <v>0</v>
      </c>
      <c r="R1837" t="str">
        <f t="shared" si="153"/>
        <v>Not open</v>
      </c>
    </row>
    <row r="1838" spans="1:18" x14ac:dyDescent="0.3">
      <c r="A1838" t="s">
        <v>2054</v>
      </c>
      <c r="B1838" t="s">
        <v>94</v>
      </c>
      <c r="C1838" t="s">
        <v>554</v>
      </c>
      <c r="D1838" s="1">
        <v>45441</v>
      </c>
      <c r="E1838" s="1">
        <v>45471</v>
      </c>
      <c r="F1838" t="s">
        <v>13</v>
      </c>
      <c r="G1838">
        <v>2651884</v>
      </c>
      <c r="H1838" s="1">
        <v>45471</v>
      </c>
      <c r="I1838" t="s">
        <v>555</v>
      </c>
      <c r="J1838" t="s">
        <v>556</v>
      </c>
      <c r="L1838">
        <v>2651884</v>
      </c>
      <c r="M1838">
        <f>IF(F1838="INR",1,INDEX('rates'!$B$2:$C$522,MATCH(D1838,'rates'!$A$2:$A$522,1),MATCH(F1838&amp;"/INR",'rates'!$B$1:$C$1,0)))</f>
        <v>1</v>
      </c>
      <c r="N1838">
        <f t="shared" si="150"/>
        <v>2651884</v>
      </c>
      <c r="O1838">
        <f t="shared" si="151"/>
        <v>0</v>
      </c>
      <c r="P1838">
        <f t="shared" si="152"/>
        <v>0</v>
      </c>
      <c r="Q1838">
        <f t="shared" si="149"/>
        <v>0</v>
      </c>
      <c r="R1838" t="str">
        <f t="shared" si="153"/>
        <v>Not open</v>
      </c>
    </row>
    <row r="1839" spans="1:18" x14ac:dyDescent="0.3">
      <c r="A1839" t="s">
        <v>2055</v>
      </c>
      <c r="B1839" t="s">
        <v>140</v>
      </c>
      <c r="C1839" t="s">
        <v>554</v>
      </c>
      <c r="D1839" s="1">
        <v>45441</v>
      </c>
      <c r="E1839" s="1">
        <v>45501</v>
      </c>
      <c r="F1839" t="s">
        <v>13</v>
      </c>
      <c r="G1839">
        <v>11898983</v>
      </c>
      <c r="H1839" s="1">
        <v>45507</v>
      </c>
      <c r="I1839" t="s">
        <v>555</v>
      </c>
      <c r="J1839" t="s">
        <v>556</v>
      </c>
      <c r="L1839">
        <v>11898983</v>
      </c>
      <c r="M1839">
        <f>IF(F1839="INR",1,INDEX('rates'!$B$2:$C$522,MATCH(D1839,'rates'!$A$2:$A$522,1),MATCH(F1839&amp;"/INR",'rates'!$B$1:$C$1,0)))</f>
        <v>1</v>
      </c>
      <c r="N1839">
        <f t="shared" si="150"/>
        <v>11898983</v>
      </c>
      <c r="O1839">
        <f t="shared" si="151"/>
        <v>0</v>
      </c>
      <c r="P1839">
        <f t="shared" si="152"/>
        <v>0</v>
      </c>
      <c r="Q1839">
        <f t="shared" si="149"/>
        <v>6</v>
      </c>
      <c r="R1839" t="str">
        <f t="shared" si="153"/>
        <v>Not open</v>
      </c>
    </row>
    <row r="1840" spans="1:18" x14ac:dyDescent="0.3">
      <c r="A1840" t="s">
        <v>2056</v>
      </c>
      <c r="B1840" t="s">
        <v>446</v>
      </c>
      <c r="C1840" t="s">
        <v>558</v>
      </c>
      <c r="D1840" s="1">
        <v>45441</v>
      </c>
      <c r="E1840" s="1">
        <v>45486</v>
      </c>
      <c r="F1840" t="s">
        <v>13</v>
      </c>
      <c r="G1840">
        <v>13925553</v>
      </c>
      <c r="H1840" s="1">
        <v>45486</v>
      </c>
      <c r="I1840" t="s">
        <v>555</v>
      </c>
      <c r="J1840" t="s">
        <v>556</v>
      </c>
      <c r="L1840">
        <v>13925553</v>
      </c>
      <c r="M1840">
        <f>IF(F1840="INR",1,INDEX('rates'!$B$2:$C$522,MATCH(D1840,'rates'!$A$2:$A$522,1),MATCH(F1840&amp;"/INR",'rates'!$B$1:$C$1,0)))</f>
        <v>1</v>
      </c>
      <c r="N1840">
        <f t="shared" si="150"/>
        <v>13925553</v>
      </c>
      <c r="O1840">
        <f t="shared" si="151"/>
        <v>0</v>
      </c>
      <c r="P1840">
        <f t="shared" si="152"/>
        <v>0</v>
      </c>
      <c r="Q1840">
        <f t="shared" si="149"/>
        <v>0</v>
      </c>
      <c r="R1840" t="str">
        <f t="shared" si="153"/>
        <v>Not open</v>
      </c>
    </row>
    <row r="1841" spans="1:18" x14ac:dyDescent="0.3">
      <c r="A1841" t="s">
        <v>2057</v>
      </c>
      <c r="B1841" t="s">
        <v>25</v>
      </c>
      <c r="C1841" t="s">
        <v>560</v>
      </c>
      <c r="D1841" s="1">
        <v>45442</v>
      </c>
      <c r="E1841" s="1">
        <v>45472</v>
      </c>
      <c r="F1841" t="s">
        <v>13</v>
      </c>
      <c r="G1841">
        <v>3180331</v>
      </c>
      <c r="H1841" s="1">
        <v>45488</v>
      </c>
      <c r="I1841" t="s">
        <v>555</v>
      </c>
      <c r="J1841" t="s">
        <v>556</v>
      </c>
      <c r="L1841">
        <v>3180331</v>
      </c>
      <c r="M1841">
        <f>IF(F1841="INR",1,INDEX('rates'!$B$2:$C$522,MATCH(D1841,'rates'!$A$2:$A$522,1),MATCH(F1841&amp;"/INR",'rates'!$B$1:$C$1,0)))</f>
        <v>1</v>
      </c>
      <c r="N1841">
        <f t="shared" si="150"/>
        <v>3180331</v>
      </c>
      <c r="O1841">
        <f t="shared" si="151"/>
        <v>0</v>
      </c>
      <c r="P1841">
        <f t="shared" si="152"/>
        <v>0</v>
      </c>
      <c r="Q1841">
        <f t="shared" si="149"/>
        <v>16</v>
      </c>
      <c r="R1841" t="str">
        <f t="shared" si="153"/>
        <v>Not open</v>
      </c>
    </row>
    <row r="1842" spans="1:18" x14ac:dyDescent="0.3">
      <c r="A1842" t="s">
        <v>2058</v>
      </c>
      <c r="B1842" t="s">
        <v>109</v>
      </c>
      <c r="C1842" t="s">
        <v>554</v>
      </c>
      <c r="D1842" s="1">
        <v>45442</v>
      </c>
      <c r="E1842" s="1">
        <v>45487</v>
      </c>
      <c r="F1842" t="s">
        <v>13</v>
      </c>
      <c r="G1842">
        <v>2265066</v>
      </c>
      <c r="H1842" s="1">
        <v>45485</v>
      </c>
      <c r="I1842" t="s">
        <v>555</v>
      </c>
      <c r="J1842" t="s">
        <v>556</v>
      </c>
      <c r="L1842">
        <v>2265066</v>
      </c>
      <c r="M1842">
        <f>IF(F1842="INR",1,INDEX('rates'!$B$2:$C$522,MATCH(D1842,'rates'!$A$2:$A$522,1),MATCH(F1842&amp;"/INR",'rates'!$B$1:$C$1,0)))</f>
        <v>1</v>
      </c>
      <c r="N1842">
        <f t="shared" si="150"/>
        <v>2265066</v>
      </c>
      <c r="O1842">
        <f t="shared" si="151"/>
        <v>0</v>
      </c>
      <c r="P1842">
        <f t="shared" si="152"/>
        <v>0</v>
      </c>
      <c r="Q1842">
        <f t="shared" si="149"/>
        <v>-2</v>
      </c>
      <c r="R1842" t="str">
        <f t="shared" si="153"/>
        <v>Not open</v>
      </c>
    </row>
    <row r="1843" spans="1:18" x14ac:dyDescent="0.3">
      <c r="A1843" t="s">
        <v>2059</v>
      </c>
      <c r="B1843" t="s">
        <v>154</v>
      </c>
      <c r="C1843" t="s">
        <v>566</v>
      </c>
      <c r="D1843" s="1">
        <v>45442</v>
      </c>
      <c r="E1843" s="1">
        <v>45472</v>
      </c>
      <c r="F1843" t="s">
        <v>13</v>
      </c>
      <c r="G1843">
        <v>4439848</v>
      </c>
      <c r="H1843" s="1">
        <v>45477</v>
      </c>
      <c r="I1843" t="s">
        <v>555</v>
      </c>
      <c r="J1843" t="s">
        <v>556</v>
      </c>
      <c r="L1843">
        <v>4439848</v>
      </c>
      <c r="M1843">
        <f>IF(F1843="INR",1,INDEX('rates'!$B$2:$C$522,MATCH(D1843,'rates'!$A$2:$A$522,1),MATCH(F1843&amp;"/INR",'rates'!$B$1:$C$1,0)))</f>
        <v>1</v>
      </c>
      <c r="N1843">
        <f t="shared" si="150"/>
        <v>4439848</v>
      </c>
      <c r="O1843">
        <f t="shared" si="151"/>
        <v>0</v>
      </c>
      <c r="P1843">
        <f t="shared" si="152"/>
        <v>0</v>
      </c>
      <c r="Q1843">
        <f t="shared" si="149"/>
        <v>5</v>
      </c>
      <c r="R1843" t="str">
        <f t="shared" si="153"/>
        <v>Not open</v>
      </c>
    </row>
    <row r="1844" spans="1:18" x14ac:dyDescent="0.3">
      <c r="A1844" t="s">
        <v>2060</v>
      </c>
      <c r="B1844" t="s">
        <v>166</v>
      </c>
      <c r="C1844" t="s">
        <v>560</v>
      </c>
      <c r="D1844" s="1">
        <v>45443</v>
      </c>
      <c r="E1844" s="1">
        <v>45503</v>
      </c>
      <c r="F1844" t="s">
        <v>13</v>
      </c>
      <c r="G1844">
        <v>16680522</v>
      </c>
      <c r="H1844" s="1">
        <v>45500</v>
      </c>
      <c r="I1844" t="s">
        <v>555</v>
      </c>
      <c r="J1844" t="s">
        <v>556</v>
      </c>
      <c r="L1844">
        <v>16680522</v>
      </c>
      <c r="M1844">
        <f>IF(F1844="INR",1,INDEX('rates'!$B$2:$C$522,MATCH(D1844,'rates'!$A$2:$A$522,1),MATCH(F1844&amp;"/INR",'rates'!$B$1:$C$1,0)))</f>
        <v>1</v>
      </c>
      <c r="N1844">
        <f t="shared" si="150"/>
        <v>16680522</v>
      </c>
      <c r="O1844">
        <f t="shared" si="151"/>
        <v>0</v>
      </c>
      <c r="P1844">
        <f t="shared" si="152"/>
        <v>0</v>
      </c>
      <c r="Q1844">
        <f t="shared" si="149"/>
        <v>-3</v>
      </c>
      <c r="R1844" t="str">
        <f t="shared" si="153"/>
        <v>Not open</v>
      </c>
    </row>
    <row r="1845" spans="1:18" x14ac:dyDescent="0.3">
      <c r="A1845" t="s">
        <v>2061</v>
      </c>
      <c r="B1845" t="s">
        <v>476</v>
      </c>
      <c r="C1845" t="s">
        <v>566</v>
      </c>
      <c r="D1845" s="1">
        <v>45443</v>
      </c>
      <c r="E1845" s="1">
        <v>45488</v>
      </c>
      <c r="F1845" t="s">
        <v>13</v>
      </c>
      <c r="G1845">
        <v>7184804</v>
      </c>
      <c r="H1845" s="1">
        <v>45502</v>
      </c>
      <c r="I1845" t="s">
        <v>555</v>
      </c>
      <c r="J1845" t="s">
        <v>556</v>
      </c>
      <c r="L1845">
        <v>7184804</v>
      </c>
      <c r="M1845">
        <f>IF(F1845="INR",1,INDEX('rates'!$B$2:$C$522,MATCH(D1845,'rates'!$A$2:$A$522,1),MATCH(F1845&amp;"/INR",'rates'!$B$1:$C$1,0)))</f>
        <v>1</v>
      </c>
      <c r="N1845">
        <f t="shared" si="150"/>
        <v>7184804</v>
      </c>
      <c r="O1845">
        <f t="shared" si="151"/>
        <v>0</v>
      </c>
      <c r="P1845">
        <f t="shared" si="152"/>
        <v>0</v>
      </c>
      <c r="Q1845">
        <f t="shared" si="149"/>
        <v>14</v>
      </c>
      <c r="R1845" t="str">
        <f t="shared" si="153"/>
        <v>Not open</v>
      </c>
    </row>
    <row r="1846" spans="1:18" x14ac:dyDescent="0.3">
      <c r="A1846" t="s">
        <v>2062</v>
      </c>
      <c r="B1846" t="s">
        <v>28</v>
      </c>
      <c r="C1846" t="s">
        <v>558</v>
      </c>
      <c r="D1846" s="1">
        <v>45444</v>
      </c>
      <c r="E1846" s="1">
        <v>45474</v>
      </c>
      <c r="F1846" t="s">
        <v>31</v>
      </c>
      <c r="G1846">
        <v>473804.14</v>
      </c>
      <c r="H1846" s="1">
        <v>45511</v>
      </c>
      <c r="I1846" t="s">
        <v>555</v>
      </c>
      <c r="J1846" t="s">
        <v>556</v>
      </c>
      <c r="L1846">
        <v>473804.14</v>
      </c>
      <c r="M1846">
        <f>IF(F1846="INR",1,INDEX('rates'!$B$2:$C$522,MATCH(D1846,'rates'!$A$2:$A$522,1),MATCH(F1846&amp;"/INR",'rates'!$B$1:$C$1,0)))</f>
        <v>90.488200000000006</v>
      </c>
      <c r="N1846">
        <f t="shared" si="150"/>
        <v>42873683.781148002</v>
      </c>
      <c r="O1846">
        <f t="shared" si="151"/>
        <v>0</v>
      </c>
      <c r="P1846">
        <f t="shared" si="152"/>
        <v>0</v>
      </c>
      <c r="Q1846">
        <f t="shared" si="149"/>
        <v>37</v>
      </c>
      <c r="R1846" t="str">
        <f t="shared" si="153"/>
        <v>Not open</v>
      </c>
    </row>
    <row r="1847" spans="1:18" x14ac:dyDescent="0.3">
      <c r="A1847" t="s">
        <v>2063</v>
      </c>
      <c r="B1847" t="s">
        <v>42</v>
      </c>
      <c r="C1847" t="s">
        <v>566</v>
      </c>
      <c r="D1847" s="1">
        <v>45444</v>
      </c>
      <c r="E1847" s="1">
        <v>45504</v>
      </c>
      <c r="F1847" t="s">
        <v>13</v>
      </c>
      <c r="G1847">
        <v>1420781</v>
      </c>
      <c r="H1847" s="1">
        <v>45507</v>
      </c>
      <c r="I1847" t="s">
        <v>555</v>
      </c>
      <c r="J1847" t="s">
        <v>556</v>
      </c>
      <c r="L1847">
        <v>1420781</v>
      </c>
      <c r="M1847">
        <f>IF(F1847="INR",1,INDEX('rates'!$B$2:$C$522,MATCH(D1847,'rates'!$A$2:$A$522,1),MATCH(F1847&amp;"/INR",'rates'!$B$1:$C$1,0)))</f>
        <v>1</v>
      </c>
      <c r="N1847">
        <f t="shared" si="150"/>
        <v>1420781</v>
      </c>
      <c r="O1847">
        <f t="shared" si="151"/>
        <v>0</v>
      </c>
      <c r="P1847">
        <f t="shared" si="152"/>
        <v>0</v>
      </c>
      <c r="Q1847">
        <f t="shared" si="149"/>
        <v>3</v>
      </c>
      <c r="R1847" t="str">
        <f t="shared" si="153"/>
        <v>Not open</v>
      </c>
    </row>
    <row r="1848" spans="1:18" x14ac:dyDescent="0.3">
      <c r="A1848" t="s">
        <v>2064</v>
      </c>
      <c r="B1848" t="s">
        <v>55</v>
      </c>
      <c r="C1848" t="s">
        <v>575</v>
      </c>
      <c r="D1848" s="1">
        <v>45444</v>
      </c>
      <c r="E1848" s="1">
        <v>45489</v>
      </c>
      <c r="F1848" t="s">
        <v>36</v>
      </c>
      <c r="G1848">
        <v>341327.53</v>
      </c>
      <c r="H1848" s="1">
        <v>45499</v>
      </c>
      <c r="I1848" t="s">
        <v>555</v>
      </c>
      <c r="J1848" t="s">
        <v>556</v>
      </c>
      <c r="L1848">
        <v>341327.53</v>
      </c>
      <c r="M1848">
        <f>IF(F1848="INR",1,INDEX('rates'!$B$2:$C$522,MATCH(D1848,'rates'!$A$2:$A$522,1),MATCH(F1848&amp;"/INR",'rates'!$B$1:$C$1,0)))</f>
        <v>83.43</v>
      </c>
      <c r="N1848">
        <f t="shared" si="150"/>
        <v>28476955.827900004</v>
      </c>
      <c r="O1848">
        <f t="shared" si="151"/>
        <v>0</v>
      </c>
      <c r="P1848">
        <f t="shared" si="152"/>
        <v>0</v>
      </c>
      <c r="Q1848">
        <f t="shared" si="149"/>
        <v>10</v>
      </c>
      <c r="R1848" t="str">
        <f t="shared" si="153"/>
        <v>Not open</v>
      </c>
    </row>
    <row r="1849" spans="1:18" x14ac:dyDescent="0.3">
      <c r="A1849" t="s">
        <v>2065</v>
      </c>
      <c r="B1849" t="s">
        <v>119</v>
      </c>
      <c r="C1849" t="s">
        <v>560</v>
      </c>
      <c r="D1849" s="1">
        <v>45444</v>
      </c>
      <c r="E1849" s="1">
        <v>45474</v>
      </c>
      <c r="F1849" t="s">
        <v>31</v>
      </c>
      <c r="G1849">
        <v>41240.39</v>
      </c>
      <c r="H1849" s="1">
        <v>45503</v>
      </c>
      <c r="I1849" t="s">
        <v>555</v>
      </c>
      <c r="J1849" t="s">
        <v>556</v>
      </c>
      <c r="L1849">
        <v>41240.39</v>
      </c>
      <c r="M1849">
        <f>IF(F1849="INR",1,INDEX('rates'!$B$2:$C$522,MATCH(D1849,'rates'!$A$2:$A$522,1),MATCH(F1849&amp;"/INR",'rates'!$B$1:$C$1,0)))</f>
        <v>90.488200000000006</v>
      </c>
      <c r="N1849">
        <f t="shared" si="150"/>
        <v>3731768.6583980001</v>
      </c>
      <c r="O1849">
        <f t="shared" si="151"/>
        <v>0</v>
      </c>
      <c r="P1849">
        <f t="shared" si="152"/>
        <v>0</v>
      </c>
      <c r="Q1849">
        <f t="shared" si="149"/>
        <v>29</v>
      </c>
      <c r="R1849" t="str">
        <f t="shared" si="153"/>
        <v>Not open</v>
      </c>
    </row>
    <row r="1850" spans="1:18" x14ac:dyDescent="0.3">
      <c r="A1850" t="s">
        <v>2066</v>
      </c>
      <c r="B1850" t="s">
        <v>186</v>
      </c>
      <c r="C1850" t="s">
        <v>558</v>
      </c>
      <c r="D1850" s="1">
        <v>45444</v>
      </c>
      <c r="E1850" s="1">
        <v>45474</v>
      </c>
      <c r="F1850" t="s">
        <v>36</v>
      </c>
      <c r="G1850">
        <v>305715.25</v>
      </c>
      <c r="H1850" s="1">
        <v>45518</v>
      </c>
      <c r="I1850" t="s">
        <v>555</v>
      </c>
      <c r="J1850" t="s">
        <v>556</v>
      </c>
      <c r="L1850">
        <v>305715.25</v>
      </c>
      <c r="M1850">
        <f>IF(F1850="INR",1,INDEX('rates'!$B$2:$C$522,MATCH(D1850,'rates'!$A$2:$A$522,1),MATCH(F1850&amp;"/INR",'rates'!$B$1:$C$1,0)))</f>
        <v>83.43</v>
      </c>
      <c r="N1850">
        <f t="shared" si="150"/>
        <v>25505823.307500001</v>
      </c>
      <c r="O1850">
        <f t="shared" si="151"/>
        <v>0</v>
      </c>
      <c r="P1850">
        <f t="shared" si="152"/>
        <v>0</v>
      </c>
      <c r="Q1850">
        <f t="shared" si="149"/>
        <v>44</v>
      </c>
      <c r="R1850" t="str">
        <f t="shared" si="153"/>
        <v>Not open</v>
      </c>
    </row>
    <row r="1851" spans="1:18" x14ac:dyDescent="0.3">
      <c r="A1851" t="s">
        <v>2067</v>
      </c>
      <c r="B1851" t="s">
        <v>254</v>
      </c>
      <c r="C1851" t="s">
        <v>558</v>
      </c>
      <c r="D1851" s="1">
        <v>45444</v>
      </c>
      <c r="E1851" s="1">
        <v>45474</v>
      </c>
      <c r="F1851" t="s">
        <v>13</v>
      </c>
      <c r="G1851">
        <v>2986676</v>
      </c>
      <c r="H1851" s="1">
        <v>45599</v>
      </c>
      <c r="I1851" t="s">
        <v>555</v>
      </c>
      <c r="J1851" t="s">
        <v>556</v>
      </c>
      <c r="L1851">
        <v>2986676</v>
      </c>
      <c r="M1851">
        <f>IF(F1851="INR",1,INDEX('rates'!$B$2:$C$522,MATCH(D1851,'rates'!$A$2:$A$522,1),MATCH(F1851&amp;"/INR",'rates'!$B$1:$C$1,0)))</f>
        <v>1</v>
      </c>
      <c r="N1851">
        <f t="shared" si="150"/>
        <v>2986676</v>
      </c>
      <c r="O1851">
        <f t="shared" si="151"/>
        <v>0</v>
      </c>
      <c r="P1851">
        <f t="shared" si="152"/>
        <v>0</v>
      </c>
      <c r="Q1851">
        <f t="shared" si="149"/>
        <v>125</v>
      </c>
      <c r="R1851" t="str">
        <f t="shared" si="153"/>
        <v>Not open</v>
      </c>
    </row>
    <row r="1852" spans="1:18" x14ac:dyDescent="0.3">
      <c r="A1852" t="s">
        <v>2068</v>
      </c>
      <c r="B1852" t="s">
        <v>454</v>
      </c>
      <c r="C1852" t="s">
        <v>575</v>
      </c>
      <c r="D1852" s="1">
        <v>45444</v>
      </c>
      <c r="E1852" s="1">
        <v>45504</v>
      </c>
      <c r="F1852" t="s">
        <v>13</v>
      </c>
      <c r="G1852">
        <v>8550394</v>
      </c>
      <c r="H1852" s="1">
        <v>45500</v>
      </c>
      <c r="I1852" t="s">
        <v>555</v>
      </c>
      <c r="J1852" t="s">
        <v>556</v>
      </c>
      <c r="L1852">
        <v>8550394</v>
      </c>
      <c r="M1852">
        <f>IF(F1852="INR",1,INDEX('rates'!$B$2:$C$522,MATCH(D1852,'rates'!$A$2:$A$522,1),MATCH(F1852&amp;"/INR",'rates'!$B$1:$C$1,0)))</f>
        <v>1</v>
      </c>
      <c r="N1852">
        <f t="shared" si="150"/>
        <v>8550394</v>
      </c>
      <c r="O1852">
        <f t="shared" si="151"/>
        <v>0</v>
      </c>
      <c r="P1852">
        <f t="shared" si="152"/>
        <v>0</v>
      </c>
      <c r="Q1852">
        <f t="shared" si="149"/>
        <v>-4</v>
      </c>
      <c r="R1852" t="str">
        <f t="shared" si="153"/>
        <v>Not open</v>
      </c>
    </row>
    <row r="1853" spans="1:18" x14ac:dyDescent="0.3">
      <c r="A1853" t="s">
        <v>2069</v>
      </c>
      <c r="B1853" t="s">
        <v>496</v>
      </c>
      <c r="C1853" t="s">
        <v>554</v>
      </c>
      <c r="D1853" s="1">
        <v>45444</v>
      </c>
      <c r="E1853" s="1">
        <v>45489</v>
      </c>
      <c r="F1853" t="s">
        <v>13</v>
      </c>
      <c r="G1853">
        <v>9741016</v>
      </c>
      <c r="H1853" s="1">
        <v>45498</v>
      </c>
      <c r="I1853" t="s">
        <v>555</v>
      </c>
      <c r="J1853" t="s">
        <v>556</v>
      </c>
      <c r="L1853">
        <v>9741016</v>
      </c>
      <c r="M1853">
        <f>IF(F1853="INR",1,INDEX('rates'!$B$2:$C$522,MATCH(D1853,'rates'!$A$2:$A$522,1),MATCH(F1853&amp;"/INR",'rates'!$B$1:$C$1,0)))</f>
        <v>1</v>
      </c>
      <c r="N1853">
        <f t="shared" si="150"/>
        <v>9741016</v>
      </c>
      <c r="O1853">
        <f t="shared" si="151"/>
        <v>0</v>
      </c>
      <c r="P1853">
        <f t="shared" si="152"/>
        <v>0</v>
      </c>
      <c r="Q1853">
        <f t="shared" si="149"/>
        <v>9</v>
      </c>
      <c r="R1853" t="str">
        <f t="shared" si="153"/>
        <v>Not open</v>
      </c>
    </row>
    <row r="1854" spans="1:18" x14ac:dyDescent="0.3">
      <c r="A1854" t="s">
        <v>2070</v>
      </c>
      <c r="B1854" t="s">
        <v>504</v>
      </c>
      <c r="C1854" t="s">
        <v>560</v>
      </c>
      <c r="D1854" s="1">
        <v>45444</v>
      </c>
      <c r="E1854" s="1">
        <v>45534</v>
      </c>
      <c r="F1854" t="s">
        <v>31</v>
      </c>
      <c r="G1854">
        <v>311574.43</v>
      </c>
      <c r="H1854" s="1">
        <v>45542</v>
      </c>
      <c r="I1854" t="s">
        <v>555</v>
      </c>
      <c r="J1854" t="s">
        <v>556</v>
      </c>
      <c r="L1854">
        <v>311574.43</v>
      </c>
      <c r="M1854">
        <f>IF(F1854="INR",1,INDEX('rates'!$B$2:$C$522,MATCH(D1854,'rates'!$A$2:$A$522,1),MATCH(F1854&amp;"/INR",'rates'!$B$1:$C$1,0)))</f>
        <v>90.488200000000006</v>
      </c>
      <c r="N1854">
        <f t="shared" si="150"/>
        <v>28193809.336726002</v>
      </c>
      <c r="O1854">
        <f t="shared" si="151"/>
        <v>0</v>
      </c>
      <c r="P1854">
        <f t="shared" si="152"/>
        <v>0</v>
      </c>
      <c r="Q1854">
        <f t="shared" si="149"/>
        <v>8</v>
      </c>
      <c r="R1854" t="str">
        <f t="shared" si="153"/>
        <v>Not open</v>
      </c>
    </row>
    <row r="1855" spans="1:18" x14ac:dyDescent="0.3">
      <c r="A1855" t="s">
        <v>2071</v>
      </c>
      <c r="B1855" t="s">
        <v>516</v>
      </c>
      <c r="C1855" t="s">
        <v>560</v>
      </c>
      <c r="D1855" s="1">
        <v>45444</v>
      </c>
      <c r="E1855" s="1">
        <v>45504</v>
      </c>
      <c r="F1855" t="s">
        <v>13</v>
      </c>
      <c r="G1855">
        <v>11583608</v>
      </c>
      <c r="H1855" s="1">
        <v>45506</v>
      </c>
      <c r="I1855" t="s">
        <v>555</v>
      </c>
      <c r="J1855" t="s">
        <v>556</v>
      </c>
      <c r="L1855">
        <v>11583608</v>
      </c>
      <c r="M1855">
        <f>IF(F1855="INR",1,INDEX('rates'!$B$2:$C$522,MATCH(D1855,'rates'!$A$2:$A$522,1),MATCH(F1855&amp;"/INR",'rates'!$B$1:$C$1,0)))</f>
        <v>1</v>
      </c>
      <c r="N1855">
        <f t="shared" si="150"/>
        <v>11583608</v>
      </c>
      <c r="O1855">
        <f t="shared" si="151"/>
        <v>0</v>
      </c>
      <c r="P1855">
        <f t="shared" si="152"/>
        <v>0</v>
      </c>
      <c r="Q1855">
        <f t="shared" si="149"/>
        <v>2</v>
      </c>
      <c r="R1855" t="str">
        <f t="shared" si="153"/>
        <v>Not open</v>
      </c>
    </row>
    <row r="1856" spans="1:18" x14ac:dyDescent="0.3">
      <c r="A1856" t="s">
        <v>2072</v>
      </c>
      <c r="B1856" t="s">
        <v>520</v>
      </c>
      <c r="C1856" t="s">
        <v>560</v>
      </c>
      <c r="D1856" s="1">
        <v>45444</v>
      </c>
      <c r="E1856" s="1">
        <v>45474</v>
      </c>
      <c r="F1856" t="s">
        <v>13</v>
      </c>
      <c r="G1856">
        <v>3612879</v>
      </c>
      <c r="H1856" s="1">
        <v>45496</v>
      </c>
      <c r="I1856" t="s">
        <v>555</v>
      </c>
      <c r="J1856" t="s">
        <v>556</v>
      </c>
      <c r="L1856">
        <v>3612879</v>
      </c>
      <c r="M1856">
        <f>IF(F1856="INR",1,INDEX('rates'!$B$2:$C$522,MATCH(D1856,'rates'!$A$2:$A$522,1),MATCH(F1856&amp;"/INR",'rates'!$B$1:$C$1,0)))</f>
        <v>1</v>
      </c>
      <c r="N1856">
        <f t="shared" si="150"/>
        <v>3612879</v>
      </c>
      <c r="O1856">
        <f t="shared" si="151"/>
        <v>0</v>
      </c>
      <c r="P1856">
        <f t="shared" si="152"/>
        <v>0</v>
      </c>
      <c r="Q1856">
        <f t="shared" ref="Q1856:Q1919" si="154">IF(H1856="","",H1856-E1856)</f>
        <v>22</v>
      </c>
      <c r="R1856" t="str">
        <f t="shared" si="153"/>
        <v>Not open</v>
      </c>
    </row>
    <row r="1857" spans="1:18" x14ac:dyDescent="0.3">
      <c r="A1857" t="s">
        <v>2073</v>
      </c>
      <c r="B1857" t="s">
        <v>154</v>
      </c>
      <c r="C1857" t="s">
        <v>566</v>
      </c>
      <c r="D1857" s="1">
        <v>45446</v>
      </c>
      <c r="E1857" s="1">
        <v>45476</v>
      </c>
      <c r="F1857" t="s">
        <v>13</v>
      </c>
      <c r="G1857">
        <v>10364169</v>
      </c>
      <c r="H1857" s="1">
        <v>45476</v>
      </c>
      <c r="I1857" t="s">
        <v>555</v>
      </c>
      <c r="J1857" t="s">
        <v>556</v>
      </c>
      <c r="L1857">
        <v>10364169</v>
      </c>
      <c r="M1857">
        <f>IF(F1857="INR",1,INDEX('rates'!$B$2:$C$522,MATCH(D1857,'rates'!$A$2:$A$522,1),MATCH(F1857&amp;"/INR",'rates'!$B$1:$C$1,0)))</f>
        <v>1</v>
      </c>
      <c r="N1857">
        <f t="shared" si="150"/>
        <v>10364169</v>
      </c>
      <c r="O1857">
        <f t="shared" si="151"/>
        <v>0</v>
      </c>
      <c r="P1857">
        <f t="shared" si="152"/>
        <v>0</v>
      </c>
      <c r="Q1857">
        <f t="shared" si="154"/>
        <v>0</v>
      </c>
      <c r="R1857" t="str">
        <f t="shared" si="153"/>
        <v>Not open</v>
      </c>
    </row>
    <row r="1858" spans="1:18" x14ac:dyDescent="0.3">
      <c r="A1858" t="s">
        <v>2074</v>
      </c>
      <c r="B1858" t="s">
        <v>156</v>
      </c>
      <c r="C1858" t="s">
        <v>566</v>
      </c>
      <c r="D1858" s="1">
        <v>45446</v>
      </c>
      <c r="E1858" s="1">
        <v>45476</v>
      </c>
      <c r="F1858" t="s">
        <v>13</v>
      </c>
      <c r="G1858">
        <v>4232682</v>
      </c>
      <c r="H1858" s="1">
        <v>45477</v>
      </c>
      <c r="I1858" t="s">
        <v>555</v>
      </c>
      <c r="J1858" t="s">
        <v>556</v>
      </c>
      <c r="L1858">
        <v>4232682</v>
      </c>
      <c r="M1858">
        <f>IF(F1858="INR",1,INDEX('rates'!$B$2:$C$522,MATCH(D1858,'rates'!$A$2:$A$522,1),MATCH(F1858&amp;"/INR",'rates'!$B$1:$C$1,0)))</f>
        <v>1</v>
      </c>
      <c r="N1858">
        <f t="shared" ref="N1858:N1921" si="155">G1858*M1858</f>
        <v>4232682</v>
      </c>
      <c r="O1858">
        <f t="shared" ref="O1858:O1921" si="156">IF(OR(I1858="OPEN",I1858="PARTIALLY PAID"),(G1858-L1858)*M1858,0)</f>
        <v>0</v>
      </c>
      <c r="P1858">
        <f t="shared" ref="P1858:P1921" si="157">IF(O1858&gt;0,MAX(0,DATE(2025,3,31)-E1858),0)</f>
        <v>0</v>
      </c>
      <c r="Q1858">
        <f t="shared" si="154"/>
        <v>1</v>
      </c>
      <c r="R1858" t="str">
        <f t="shared" ref="R1858:R1921" si="158">IF(O1858=0,"Not open",IF(P1858=0,"Not yet due",IF(P1858&lt;=30,"1-30",IF(P1858&lt;=60,"31-60",IF(P1858&lt;=90,"61-90","90+")))))</f>
        <v>Not open</v>
      </c>
    </row>
    <row r="1859" spans="1:18" x14ac:dyDescent="0.3">
      <c r="A1859" t="s">
        <v>2075</v>
      </c>
      <c r="B1859" t="s">
        <v>372</v>
      </c>
      <c r="C1859" t="s">
        <v>575</v>
      </c>
      <c r="D1859" s="1">
        <v>45446</v>
      </c>
      <c r="E1859" s="1">
        <v>45536</v>
      </c>
      <c r="F1859" t="s">
        <v>13</v>
      </c>
      <c r="G1859">
        <v>8177846</v>
      </c>
      <c r="H1859" s="1">
        <v>45545</v>
      </c>
      <c r="I1859" t="s">
        <v>555</v>
      </c>
      <c r="J1859" t="s">
        <v>556</v>
      </c>
      <c r="L1859">
        <v>8177846</v>
      </c>
      <c r="M1859">
        <f>IF(F1859="INR",1,INDEX('rates'!$B$2:$C$522,MATCH(D1859,'rates'!$A$2:$A$522,1),MATCH(F1859&amp;"/INR",'rates'!$B$1:$C$1,0)))</f>
        <v>1</v>
      </c>
      <c r="N1859">
        <f t="shared" si="155"/>
        <v>8177846</v>
      </c>
      <c r="O1859">
        <f t="shared" si="156"/>
        <v>0</v>
      </c>
      <c r="P1859">
        <f t="shared" si="157"/>
        <v>0</v>
      </c>
      <c r="Q1859">
        <f t="shared" si="154"/>
        <v>9</v>
      </c>
      <c r="R1859" t="str">
        <f t="shared" si="158"/>
        <v>Not open</v>
      </c>
    </row>
    <row r="1860" spans="1:18" x14ac:dyDescent="0.3">
      <c r="A1860" t="s">
        <v>2076</v>
      </c>
      <c r="B1860" t="s">
        <v>28</v>
      </c>
      <c r="C1860" t="s">
        <v>558</v>
      </c>
      <c r="D1860" s="1">
        <v>45447</v>
      </c>
      <c r="E1860" s="1">
        <v>45477</v>
      </c>
      <c r="F1860" t="s">
        <v>31</v>
      </c>
      <c r="G1860">
        <v>55818.37</v>
      </c>
      <c r="H1860" s="1">
        <v>45490</v>
      </c>
      <c r="I1860" t="s">
        <v>555</v>
      </c>
      <c r="J1860" t="s">
        <v>556</v>
      </c>
      <c r="L1860">
        <v>55818.37</v>
      </c>
      <c r="M1860">
        <f>IF(F1860="INR",1,INDEX('rates'!$B$2:$C$522,MATCH(D1860,'rates'!$A$2:$A$522,1),MATCH(F1860&amp;"/INR",'rates'!$B$1:$C$1,0)))</f>
        <v>90.853099999999998</v>
      </c>
      <c r="N1860">
        <f t="shared" si="155"/>
        <v>5071271.9514469998</v>
      </c>
      <c r="O1860">
        <f t="shared" si="156"/>
        <v>0</v>
      </c>
      <c r="P1860">
        <f t="shared" si="157"/>
        <v>0</v>
      </c>
      <c r="Q1860">
        <f t="shared" si="154"/>
        <v>13</v>
      </c>
      <c r="R1860" t="str">
        <f t="shared" si="158"/>
        <v>Not open</v>
      </c>
    </row>
    <row r="1861" spans="1:18" x14ac:dyDescent="0.3">
      <c r="A1861" t="s">
        <v>2077</v>
      </c>
      <c r="B1861" t="s">
        <v>228</v>
      </c>
      <c r="C1861" t="s">
        <v>554</v>
      </c>
      <c r="D1861" s="1">
        <v>45447</v>
      </c>
      <c r="E1861" s="1">
        <v>45492</v>
      </c>
      <c r="F1861" t="s">
        <v>13</v>
      </c>
      <c r="G1861">
        <v>4797621</v>
      </c>
      <c r="H1861" s="1">
        <v>45491</v>
      </c>
      <c r="I1861" t="s">
        <v>555</v>
      </c>
      <c r="J1861" t="s">
        <v>556</v>
      </c>
      <c r="L1861">
        <v>4797621</v>
      </c>
      <c r="M1861">
        <f>IF(F1861="INR",1,INDEX('rates'!$B$2:$C$522,MATCH(D1861,'rates'!$A$2:$A$522,1),MATCH(F1861&amp;"/INR",'rates'!$B$1:$C$1,0)))</f>
        <v>1</v>
      </c>
      <c r="N1861">
        <f t="shared" si="155"/>
        <v>4797621</v>
      </c>
      <c r="O1861">
        <f t="shared" si="156"/>
        <v>0</v>
      </c>
      <c r="P1861">
        <f t="shared" si="157"/>
        <v>0</v>
      </c>
      <c r="Q1861">
        <f t="shared" si="154"/>
        <v>-1</v>
      </c>
      <c r="R1861" t="str">
        <f t="shared" si="158"/>
        <v>Not open</v>
      </c>
    </row>
    <row r="1862" spans="1:18" x14ac:dyDescent="0.3">
      <c r="A1862" t="s">
        <v>2078</v>
      </c>
      <c r="B1862" t="s">
        <v>370</v>
      </c>
      <c r="C1862" t="s">
        <v>566</v>
      </c>
      <c r="D1862" s="1">
        <v>45447</v>
      </c>
      <c r="E1862" s="1">
        <v>45477</v>
      </c>
      <c r="F1862" t="s">
        <v>36</v>
      </c>
      <c r="G1862">
        <v>46409.34</v>
      </c>
      <c r="H1862" s="1">
        <v>45485</v>
      </c>
      <c r="I1862" t="s">
        <v>555</v>
      </c>
      <c r="J1862" t="s">
        <v>556</v>
      </c>
      <c r="L1862">
        <v>46409.34</v>
      </c>
      <c r="M1862">
        <f>IF(F1862="INR",1,INDEX('rates'!$B$2:$C$522,MATCH(D1862,'rates'!$A$2:$A$522,1),MATCH(F1862&amp;"/INR",'rates'!$B$1:$C$1,0)))</f>
        <v>83.52</v>
      </c>
      <c r="N1862">
        <f t="shared" si="155"/>
        <v>3876108.0767999995</v>
      </c>
      <c r="O1862">
        <f t="shared" si="156"/>
        <v>0</v>
      </c>
      <c r="P1862">
        <f t="shared" si="157"/>
        <v>0</v>
      </c>
      <c r="Q1862">
        <f t="shared" si="154"/>
        <v>8</v>
      </c>
      <c r="R1862" t="str">
        <f t="shared" si="158"/>
        <v>Not open</v>
      </c>
    </row>
    <row r="1863" spans="1:18" x14ac:dyDescent="0.3">
      <c r="A1863" t="s">
        <v>2079</v>
      </c>
      <c r="B1863" t="s">
        <v>192</v>
      </c>
      <c r="C1863" t="s">
        <v>554</v>
      </c>
      <c r="D1863" s="1">
        <v>45448</v>
      </c>
      <c r="E1863" s="1">
        <v>45508</v>
      </c>
      <c r="F1863" t="s">
        <v>13</v>
      </c>
      <c r="G1863">
        <v>1046680</v>
      </c>
      <c r="H1863" s="1">
        <v>45548</v>
      </c>
      <c r="I1863" t="s">
        <v>555</v>
      </c>
      <c r="J1863" t="s">
        <v>556</v>
      </c>
      <c r="L1863">
        <v>1046680</v>
      </c>
      <c r="M1863">
        <f>IF(F1863="INR",1,INDEX('rates'!$B$2:$C$522,MATCH(D1863,'rates'!$A$2:$A$522,1),MATCH(F1863&amp;"/INR",'rates'!$B$1:$C$1,0)))</f>
        <v>1</v>
      </c>
      <c r="N1863">
        <f t="shared" si="155"/>
        <v>1046680</v>
      </c>
      <c r="O1863">
        <f t="shared" si="156"/>
        <v>0</v>
      </c>
      <c r="P1863">
        <f t="shared" si="157"/>
        <v>0</v>
      </c>
      <c r="Q1863">
        <f t="shared" si="154"/>
        <v>40</v>
      </c>
      <c r="R1863" t="str">
        <f t="shared" si="158"/>
        <v>Not open</v>
      </c>
    </row>
    <row r="1864" spans="1:18" x14ac:dyDescent="0.3">
      <c r="A1864" t="s">
        <v>2080</v>
      </c>
      <c r="B1864" t="s">
        <v>512</v>
      </c>
      <c r="C1864" t="s">
        <v>566</v>
      </c>
      <c r="D1864" s="1">
        <v>45448</v>
      </c>
      <c r="E1864" s="1">
        <v>45508</v>
      </c>
      <c r="F1864" t="s">
        <v>31</v>
      </c>
      <c r="G1864">
        <v>77291.429999999993</v>
      </c>
      <c r="H1864" s="1">
        <v>45541</v>
      </c>
      <c r="I1864" t="s">
        <v>555</v>
      </c>
      <c r="J1864" t="s">
        <v>573</v>
      </c>
      <c r="K1864">
        <v>90.762699999999995</v>
      </c>
      <c r="L1864">
        <v>77291.429999999993</v>
      </c>
      <c r="M1864">
        <f>IF(F1864="INR",1,INDEX('rates'!$B$2:$C$522,MATCH(D1864,'rates'!$A$2:$A$522,1),MATCH(F1864&amp;"/INR",'rates'!$B$1:$C$1,0)))</f>
        <v>90.581500000000005</v>
      </c>
      <c r="N1864">
        <f t="shared" si="155"/>
        <v>7001173.6665449999</v>
      </c>
      <c r="O1864">
        <f t="shared" si="156"/>
        <v>0</v>
      </c>
      <c r="P1864">
        <f t="shared" si="157"/>
        <v>0</v>
      </c>
      <c r="Q1864">
        <f t="shared" si="154"/>
        <v>33</v>
      </c>
      <c r="R1864" t="str">
        <f t="shared" si="158"/>
        <v>Not open</v>
      </c>
    </row>
    <row r="1865" spans="1:18" x14ac:dyDescent="0.3">
      <c r="A1865" t="s">
        <v>2081</v>
      </c>
      <c r="B1865" t="s">
        <v>140</v>
      </c>
      <c r="C1865" t="s">
        <v>554</v>
      </c>
      <c r="D1865" s="1">
        <v>45449</v>
      </c>
      <c r="E1865" s="1">
        <v>45509</v>
      </c>
      <c r="F1865" t="s">
        <v>13</v>
      </c>
      <c r="G1865">
        <v>16665204</v>
      </c>
      <c r="H1865" s="1">
        <v>45527</v>
      </c>
      <c r="I1865" t="s">
        <v>555</v>
      </c>
      <c r="J1865" t="s">
        <v>556</v>
      </c>
      <c r="L1865">
        <v>16665204</v>
      </c>
      <c r="M1865">
        <f>IF(F1865="INR",1,INDEX('rates'!$B$2:$C$522,MATCH(D1865,'rates'!$A$2:$A$522,1),MATCH(F1865&amp;"/INR",'rates'!$B$1:$C$1,0)))</f>
        <v>1</v>
      </c>
      <c r="N1865">
        <f t="shared" si="155"/>
        <v>16665204</v>
      </c>
      <c r="O1865">
        <f t="shared" si="156"/>
        <v>0</v>
      </c>
      <c r="P1865">
        <f t="shared" si="157"/>
        <v>0</v>
      </c>
      <c r="Q1865">
        <f t="shared" si="154"/>
        <v>18</v>
      </c>
      <c r="R1865" t="str">
        <f t="shared" si="158"/>
        <v>Not open</v>
      </c>
    </row>
    <row r="1866" spans="1:18" x14ac:dyDescent="0.3">
      <c r="A1866" t="s">
        <v>2082</v>
      </c>
      <c r="B1866" t="s">
        <v>332</v>
      </c>
      <c r="C1866" t="s">
        <v>566</v>
      </c>
      <c r="D1866" s="1">
        <v>45449</v>
      </c>
      <c r="E1866" s="1">
        <v>45509</v>
      </c>
      <c r="F1866" t="s">
        <v>36</v>
      </c>
      <c r="G1866">
        <v>186080.4</v>
      </c>
      <c r="H1866" s="1">
        <v>45515</v>
      </c>
      <c r="I1866" t="s">
        <v>555</v>
      </c>
      <c r="J1866" t="s">
        <v>573</v>
      </c>
      <c r="K1866">
        <v>83.748199999999997</v>
      </c>
      <c r="L1866">
        <v>186080.4</v>
      </c>
      <c r="M1866">
        <f>IF(F1866="INR",1,INDEX('rates'!$B$2:$C$522,MATCH(D1866,'rates'!$A$2:$A$522,1),MATCH(F1866&amp;"/INR",'rates'!$B$1:$C$1,0)))</f>
        <v>83.47</v>
      </c>
      <c r="N1866">
        <f t="shared" si="155"/>
        <v>15532130.988</v>
      </c>
      <c r="O1866">
        <f t="shared" si="156"/>
        <v>0</v>
      </c>
      <c r="P1866">
        <f t="shared" si="157"/>
        <v>0</v>
      </c>
      <c r="Q1866">
        <f t="shared" si="154"/>
        <v>6</v>
      </c>
      <c r="R1866" t="str">
        <f t="shared" si="158"/>
        <v>Not open</v>
      </c>
    </row>
    <row r="1867" spans="1:18" x14ac:dyDescent="0.3">
      <c r="A1867" t="s">
        <v>2083</v>
      </c>
      <c r="B1867" t="s">
        <v>46</v>
      </c>
      <c r="C1867" t="s">
        <v>558</v>
      </c>
      <c r="D1867" s="1">
        <v>45450</v>
      </c>
      <c r="E1867" s="1">
        <v>45510</v>
      </c>
      <c r="F1867" t="s">
        <v>36</v>
      </c>
      <c r="G1867">
        <v>160243.5</v>
      </c>
      <c r="H1867" s="1">
        <v>45514</v>
      </c>
      <c r="I1867" t="s">
        <v>555</v>
      </c>
      <c r="J1867" t="s">
        <v>556</v>
      </c>
      <c r="L1867">
        <v>160243.5</v>
      </c>
      <c r="M1867">
        <f>IF(F1867="INR",1,INDEX('rates'!$B$2:$C$522,MATCH(D1867,'rates'!$A$2:$A$522,1),MATCH(F1867&amp;"/INR",'rates'!$B$1:$C$1,0)))</f>
        <v>83.38</v>
      </c>
      <c r="N1867">
        <f t="shared" si="155"/>
        <v>13361103.029999999</v>
      </c>
      <c r="O1867">
        <f t="shared" si="156"/>
        <v>0</v>
      </c>
      <c r="P1867">
        <f t="shared" si="157"/>
        <v>0</v>
      </c>
      <c r="Q1867">
        <f t="shared" si="154"/>
        <v>4</v>
      </c>
      <c r="R1867" t="str">
        <f t="shared" si="158"/>
        <v>Not open</v>
      </c>
    </row>
    <row r="1868" spans="1:18" x14ac:dyDescent="0.3">
      <c r="A1868" t="s">
        <v>2084</v>
      </c>
      <c r="B1868" t="s">
        <v>87</v>
      </c>
      <c r="C1868" t="s">
        <v>566</v>
      </c>
      <c r="D1868" s="1">
        <v>45450</v>
      </c>
      <c r="E1868" s="1">
        <v>45495</v>
      </c>
      <c r="F1868" t="s">
        <v>36</v>
      </c>
      <c r="G1868">
        <v>82427.33</v>
      </c>
      <c r="H1868" s="1">
        <v>45506</v>
      </c>
      <c r="I1868" t="s">
        <v>555</v>
      </c>
      <c r="J1868" t="s">
        <v>573</v>
      </c>
      <c r="K1868">
        <v>83.588399999999993</v>
      </c>
      <c r="L1868">
        <v>82427.33</v>
      </c>
      <c r="M1868">
        <f>IF(F1868="INR",1,INDEX('rates'!$B$2:$C$522,MATCH(D1868,'rates'!$A$2:$A$522,1),MATCH(F1868&amp;"/INR",'rates'!$B$1:$C$1,0)))</f>
        <v>83.38</v>
      </c>
      <c r="N1868">
        <f t="shared" si="155"/>
        <v>6872790.7753999997</v>
      </c>
      <c r="O1868">
        <f t="shared" si="156"/>
        <v>0</v>
      </c>
      <c r="P1868">
        <f t="shared" si="157"/>
        <v>0</v>
      </c>
      <c r="Q1868">
        <f t="shared" si="154"/>
        <v>11</v>
      </c>
      <c r="R1868" t="str">
        <f t="shared" si="158"/>
        <v>Not open</v>
      </c>
    </row>
    <row r="1869" spans="1:18" x14ac:dyDescent="0.3">
      <c r="A1869" t="s">
        <v>2085</v>
      </c>
      <c r="B1869" t="s">
        <v>446</v>
      </c>
      <c r="C1869" t="s">
        <v>554</v>
      </c>
      <c r="D1869" s="1">
        <v>45450</v>
      </c>
      <c r="E1869" s="1">
        <v>45495</v>
      </c>
      <c r="F1869" t="s">
        <v>13</v>
      </c>
      <c r="G1869">
        <v>3762976</v>
      </c>
      <c r="H1869" s="1">
        <v>45499</v>
      </c>
      <c r="I1869" t="s">
        <v>555</v>
      </c>
      <c r="J1869" t="s">
        <v>556</v>
      </c>
      <c r="L1869">
        <v>3762976</v>
      </c>
      <c r="M1869">
        <f>IF(F1869="INR",1,INDEX('rates'!$B$2:$C$522,MATCH(D1869,'rates'!$A$2:$A$522,1),MATCH(F1869&amp;"/INR",'rates'!$B$1:$C$1,0)))</f>
        <v>1</v>
      </c>
      <c r="N1869">
        <f t="shared" si="155"/>
        <v>3762976</v>
      </c>
      <c r="O1869">
        <f t="shared" si="156"/>
        <v>0</v>
      </c>
      <c r="P1869">
        <f t="shared" si="157"/>
        <v>0</v>
      </c>
      <c r="Q1869">
        <f t="shared" si="154"/>
        <v>4</v>
      </c>
      <c r="R1869" t="str">
        <f t="shared" si="158"/>
        <v>Not open</v>
      </c>
    </row>
    <row r="1870" spans="1:18" x14ac:dyDescent="0.3">
      <c r="A1870" t="s">
        <v>2086</v>
      </c>
      <c r="B1870" t="s">
        <v>478</v>
      </c>
      <c r="C1870" t="s">
        <v>560</v>
      </c>
      <c r="D1870" s="1">
        <v>45450</v>
      </c>
      <c r="E1870" s="1">
        <v>45480</v>
      </c>
      <c r="F1870" t="s">
        <v>13</v>
      </c>
      <c r="G1870">
        <v>13152675</v>
      </c>
      <c r="H1870" s="1">
        <v>45481</v>
      </c>
      <c r="I1870" t="s">
        <v>555</v>
      </c>
      <c r="J1870" t="s">
        <v>556</v>
      </c>
      <c r="L1870">
        <v>13152675</v>
      </c>
      <c r="M1870">
        <f>IF(F1870="INR",1,INDEX('rates'!$B$2:$C$522,MATCH(D1870,'rates'!$A$2:$A$522,1),MATCH(F1870&amp;"/INR",'rates'!$B$1:$C$1,0)))</f>
        <v>1</v>
      </c>
      <c r="N1870">
        <f t="shared" si="155"/>
        <v>13152675</v>
      </c>
      <c r="O1870">
        <f t="shared" si="156"/>
        <v>0</v>
      </c>
      <c r="P1870">
        <f t="shared" si="157"/>
        <v>0</v>
      </c>
      <c r="Q1870">
        <f t="shared" si="154"/>
        <v>1</v>
      </c>
      <c r="R1870" t="str">
        <f t="shared" si="158"/>
        <v>Not open</v>
      </c>
    </row>
    <row r="1871" spans="1:18" x14ac:dyDescent="0.3">
      <c r="A1871" t="s">
        <v>2087</v>
      </c>
      <c r="B1871" t="s">
        <v>33</v>
      </c>
      <c r="C1871" t="s">
        <v>566</v>
      </c>
      <c r="D1871" s="1">
        <v>45451</v>
      </c>
      <c r="E1871" s="1">
        <v>45481</v>
      </c>
      <c r="F1871" t="s">
        <v>36</v>
      </c>
      <c r="G1871">
        <v>100447.84</v>
      </c>
      <c r="H1871" s="1">
        <v>45549</v>
      </c>
      <c r="I1871" t="s">
        <v>555</v>
      </c>
      <c r="J1871" t="s">
        <v>573</v>
      </c>
      <c r="K1871">
        <v>83.519000000000005</v>
      </c>
      <c r="L1871">
        <v>100447.84</v>
      </c>
      <c r="M1871">
        <f>IF(F1871="INR",1,INDEX('rates'!$B$2:$C$522,MATCH(D1871,'rates'!$A$2:$A$522,1),MATCH(F1871&amp;"/INR",'rates'!$B$1:$C$1,0)))</f>
        <v>83.38</v>
      </c>
      <c r="N1871">
        <f t="shared" si="155"/>
        <v>8375340.8991999989</v>
      </c>
      <c r="O1871">
        <f t="shared" si="156"/>
        <v>0</v>
      </c>
      <c r="P1871">
        <f t="shared" si="157"/>
        <v>0</v>
      </c>
      <c r="Q1871">
        <f t="shared" si="154"/>
        <v>68</v>
      </c>
      <c r="R1871" t="str">
        <f t="shared" si="158"/>
        <v>Not open</v>
      </c>
    </row>
    <row r="1872" spans="1:18" x14ac:dyDescent="0.3">
      <c r="A1872" t="s">
        <v>2088</v>
      </c>
      <c r="B1872" t="s">
        <v>72</v>
      </c>
      <c r="C1872" t="s">
        <v>560</v>
      </c>
      <c r="D1872" s="1">
        <v>45451</v>
      </c>
      <c r="E1872" s="1">
        <v>45541</v>
      </c>
      <c r="F1872" t="s">
        <v>31</v>
      </c>
      <c r="G1872">
        <v>184522.02</v>
      </c>
      <c r="H1872" s="1">
        <v>45568</v>
      </c>
      <c r="I1872" t="s">
        <v>555</v>
      </c>
      <c r="J1872" t="s">
        <v>556</v>
      </c>
      <c r="L1872">
        <v>184522.02</v>
      </c>
      <c r="M1872">
        <f>IF(F1872="INR",1,INDEX('rates'!$B$2:$C$522,MATCH(D1872,'rates'!$A$2:$A$522,1),MATCH(F1872&amp;"/INR",'rates'!$B$1:$C$1,0)))</f>
        <v>90.108800000000002</v>
      </c>
      <c r="N1872">
        <f t="shared" si="155"/>
        <v>16627057.795776</v>
      </c>
      <c r="O1872">
        <f t="shared" si="156"/>
        <v>0</v>
      </c>
      <c r="P1872">
        <f t="shared" si="157"/>
        <v>0</v>
      </c>
      <c r="Q1872">
        <f t="shared" si="154"/>
        <v>27</v>
      </c>
      <c r="R1872" t="str">
        <f t="shared" si="158"/>
        <v>Not open</v>
      </c>
    </row>
    <row r="1873" spans="1:18" x14ac:dyDescent="0.3">
      <c r="A1873" t="s">
        <v>2089</v>
      </c>
      <c r="B1873" t="s">
        <v>103</v>
      </c>
      <c r="C1873" t="s">
        <v>554</v>
      </c>
      <c r="D1873" s="1">
        <v>45451</v>
      </c>
      <c r="E1873" s="1">
        <v>45511</v>
      </c>
      <c r="F1873" t="s">
        <v>13</v>
      </c>
      <c r="G1873">
        <v>3763551</v>
      </c>
      <c r="H1873" s="1">
        <v>45515</v>
      </c>
      <c r="I1873" t="s">
        <v>555</v>
      </c>
      <c r="J1873" t="s">
        <v>556</v>
      </c>
      <c r="L1873">
        <v>3763551</v>
      </c>
      <c r="M1873">
        <f>IF(F1873="INR",1,INDEX('rates'!$B$2:$C$522,MATCH(D1873,'rates'!$A$2:$A$522,1),MATCH(F1873&amp;"/INR",'rates'!$B$1:$C$1,0)))</f>
        <v>1</v>
      </c>
      <c r="N1873">
        <f t="shared" si="155"/>
        <v>3763551</v>
      </c>
      <c r="O1873">
        <f t="shared" si="156"/>
        <v>0</v>
      </c>
      <c r="P1873">
        <f t="shared" si="157"/>
        <v>0</v>
      </c>
      <c r="Q1873">
        <f t="shared" si="154"/>
        <v>4</v>
      </c>
      <c r="R1873" t="str">
        <f t="shared" si="158"/>
        <v>Not open</v>
      </c>
    </row>
    <row r="1874" spans="1:18" x14ac:dyDescent="0.3">
      <c r="A1874" t="s">
        <v>2090</v>
      </c>
      <c r="B1874" t="s">
        <v>132</v>
      </c>
      <c r="C1874" t="s">
        <v>554</v>
      </c>
      <c r="D1874" s="1">
        <v>45451</v>
      </c>
      <c r="E1874" s="1">
        <v>45481</v>
      </c>
      <c r="F1874" t="s">
        <v>13</v>
      </c>
      <c r="G1874">
        <v>8129831</v>
      </c>
      <c r="H1874" s="1">
        <v>45480</v>
      </c>
      <c r="I1874" t="s">
        <v>555</v>
      </c>
      <c r="J1874" t="s">
        <v>556</v>
      </c>
      <c r="L1874">
        <v>8129831</v>
      </c>
      <c r="M1874">
        <f>IF(F1874="INR",1,INDEX('rates'!$B$2:$C$522,MATCH(D1874,'rates'!$A$2:$A$522,1),MATCH(F1874&amp;"/INR",'rates'!$B$1:$C$1,0)))</f>
        <v>1</v>
      </c>
      <c r="N1874">
        <f t="shared" si="155"/>
        <v>8129831</v>
      </c>
      <c r="O1874">
        <f t="shared" si="156"/>
        <v>0</v>
      </c>
      <c r="P1874">
        <f t="shared" si="157"/>
        <v>0</v>
      </c>
      <c r="Q1874">
        <f t="shared" si="154"/>
        <v>-1</v>
      </c>
      <c r="R1874" t="str">
        <f t="shared" si="158"/>
        <v>Not open</v>
      </c>
    </row>
    <row r="1875" spans="1:18" x14ac:dyDescent="0.3">
      <c r="A1875" t="s">
        <v>2091</v>
      </c>
      <c r="B1875" t="s">
        <v>140</v>
      </c>
      <c r="C1875" t="s">
        <v>554</v>
      </c>
      <c r="D1875" s="1">
        <v>45451</v>
      </c>
      <c r="E1875" s="1">
        <v>45511</v>
      </c>
      <c r="F1875" t="s">
        <v>13</v>
      </c>
      <c r="G1875">
        <v>5101831</v>
      </c>
      <c r="H1875" s="1">
        <v>45511</v>
      </c>
      <c r="I1875" t="s">
        <v>555</v>
      </c>
      <c r="J1875" t="s">
        <v>556</v>
      </c>
      <c r="L1875">
        <v>5101831</v>
      </c>
      <c r="M1875">
        <f>IF(F1875="INR",1,INDEX('rates'!$B$2:$C$522,MATCH(D1875,'rates'!$A$2:$A$522,1),MATCH(F1875&amp;"/INR",'rates'!$B$1:$C$1,0)))</f>
        <v>1</v>
      </c>
      <c r="N1875">
        <f t="shared" si="155"/>
        <v>5101831</v>
      </c>
      <c r="O1875">
        <f t="shared" si="156"/>
        <v>0</v>
      </c>
      <c r="P1875">
        <f t="shared" si="157"/>
        <v>0</v>
      </c>
      <c r="Q1875">
        <f t="shared" si="154"/>
        <v>0</v>
      </c>
      <c r="R1875" t="str">
        <f t="shared" si="158"/>
        <v>Not open</v>
      </c>
    </row>
    <row r="1876" spans="1:18" x14ac:dyDescent="0.3">
      <c r="A1876" t="s">
        <v>2092</v>
      </c>
      <c r="B1876" t="s">
        <v>152</v>
      </c>
      <c r="C1876" t="s">
        <v>558</v>
      </c>
      <c r="D1876" s="1">
        <v>45451</v>
      </c>
      <c r="E1876" s="1">
        <v>45511</v>
      </c>
      <c r="F1876" t="s">
        <v>13</v>
      </c>
      <c r="G1876">
        <v>8651194</v>
      </c>
      <c r="H1876" s="1">
        <v>45520</v>
      </c>
      <c r="I1876" t="s">
        <v>555</v>
      </c>
      <c r="J1876" t="s">
        <v>556</v>
      </c>
      <c r="L1876">
        <v>8651194</v>
      </c>
      <c r="M1876">
        <f>IF(F1876="INR",1,INDEX('rates'!$B$2:$C$522,MATCH(D1876,'rates'!$A$2:$A$522,1),MATCH(F1876&amp;"/INR",'rates'!$B$1:$C$1,0)))</f>
        <v>1</v>
      </c>
      <c r="N1876">
        <f t="shared" si="155"/>
        <v>8651194</v>
      </c>
      <c r="O1876">
        <f t="shared" si="156"/>
        <v>0</v>
      </c>
      <c r="P1876">
        <f t="shared" si="157"/>
        <v>0</v>
      </c>
      <c r="Q1876">
        <f t="shared" si="154"/>
        <v>9</v>
      </c>
      <c r="R1876" t="str">
        <f t="shared" si="158"/>
        <v>Not open</v>
      </c>
    </row>
    <row r="1877" spans="1:18" x14ac:dyDescent="0.3">
      <c r="A1877" t="s">
        <v>2093</v>
      </c>
      <c r="B1877" t="s">
        <v>180</v>
      </c>
      <c r="C1877" t="s">
        <v>558</v>
      </c>
      <c r="D1877" s="1">
        <v>45451</v>
      </c>
      <c r="E1877" s="1">
        <v>45496</v>
      </c>
      <c r="F1877" t="s">
        <v>13</v>
      </c>
      <c r="G1877">
        <v>2211487</v>
      </c>
      <c r="H1877" s="1">
        <v>45511</v>
      </c>
      <c r="I1877" t="s">
        <v>555</v>
      </c>
      <c r="J1877" t="s">
        <v>556</v>
      </c>
      <c r="L1877">
        <v>2211487</v>
      </c>
      <c r="M1877">
        <f>IF(F1877="INR",1,INDEX('rates'!$B$2:$C$522,MATCH(D1877,'rates'!$A$2:$A$522,1),MATCH(F1877&amp;"/INR",'rates'!$B$1:$C$1,0)))</f>
        <v>1</v>
      </c>
      <c r="N1877">
        <f t="shared" si="155"/>
        <v>2211487</v>
      </c>
      <c r="O1877">
        <f t="shared" si="156"/>
        <v>0</v>
      </c>
      <c r="P1877">
        <f t="shared" si="157"/>
        <v>0</v>
      </c>
      <c r="Q1877">
        <f t="shared" si="154"/>
        <v>15</v>
      </c>
      <c r="R1877" t="str">
        <f t="shared" si="158"/>
        <v>Not open</v>
      </c>
    </row>
    <row r="1878" spans="1:18" x14ac:dyDescent="0.3">
      <c r="A1878" t="s">
        <v>2094</v>
      </c>
      <c r="B1878" t="s">
        <v>204</v>
      </c>
      <c r="C1878" t="s">
        <v>575</v>
      </c>
      <c r="D1878" s="1">
        <v>45451</v>
      </c>
      <c r="E1878" s="1">
        <v>45511</v>
      </c>
      <c r="F1878" t="s">
        <v>13</v>
      </c>
      <c r="G1878">
        <v>4088996</v>
      </c>
      <c r="H1878" s="1">
        <v>45529</v>
      </c>
      <c r="I1878" t="s">
        <v>555</v>
      </c>
      <c r="J1878" t="s">
        <v>556</v>
      </c>
      <c r="L1878">
        <v>4088996</v>
      </c>
      <c r="M1878">
        <f>IF(F1878="INR",1,INDEX('rates'!$B$2:$C$522,MATCH(D1878,'rates'!$A$2:$A$522,1),MATCH(F1878&amp;"/INR",'rates'!$B$1:$C$1,0)))</f>
        <v>1</v>
      </c>
      <c r="N1878">
        <f t="shared" si="155"/>
        <v>4088996</v>
      </c>
      <c r="O1878">
        <f t="shared" si="156"/>
        <v>0</v>
      </c>
      <c r="P1878">
        <f t="shared" si="157"/>
        <v>0</v>
      </c>
      <c r="Q1878">
        <f t="shared" si="154"/>
        <v>18</v>
      </c>
      <c r="R1878" t="str">
        <f t="shared" si="158"/>
        <v>Not open</v>
      </c>
    </row>
    <row r="1879" spans="1:18" x14ac:dyDescent="0.3">
      <c r="A1879" t="s">
        <v>2095</v>
      </c>
      <c r="B1879" t="s">
        <v>342</v>
      </c>
      <c r="C1879" t="s">
        <v>560</v>
      </c>
      <c r="D1879" s="1">
        <v>45451</v>
      </c>
      <c r="E1879" s="1">
        <v>45481</v>
      </c>
      <c r="F1879" t="s">
        <v>13</v>
      </c>
      <c r="G1879">
        <v>6579461</v>
      </c>
      <c r="H1879" s="1">
        <v>45483</v>
      </c>
      <c r="I1879" t="s">
        <v>555</v>
      </c>
      <c r="J1879" t="s">
        <v>556</v>
      </c>
      <c r="L1879">
        <v>6579461</v>
      </c>
      <c r="M1879">
        <f>IF(F1879="INR",1,INDEX('rates'!$B$2:$C$522,MATCH(D1879,'rates'!$A$2:$A$522,1),MATCH(F1879&amp;"/INR",'rates'!$B$1:$C$1,0)))</f>
        <v>1</v>
      </c>
      <c r="N1879">
        <f t="shared" si="155"/>
        <v>6579461</v>
      </c>
      <c r="O1879">
        <f t="shared" si="156"/>
        <v>0</v>
      </c>
      <c r="P1879">
        <f t="shared" si="157"/>
        <v>0</v>
      </c>
      <c r="Q1879">
        <f t="shared" si="154"/>
        <v>2</v>
      </c>
      <c r="R1879" t="str">
        <f t="shared" si="158"/>
        <v>Not open</v>
      </c>
    </row>
    <row r="1880" spans="1:18" x14ac:dyDescent="0.3">
      <c r="A1880" t="s">
        <v>2096</v>
      </c>
      <c r="B1880" t="s">
        <v>434</v>
      </c>
      <c r="C1880" t="s">
        <v>554</v>
      </c>
      <c r="D1880" s="1">
        <v>45451</v>
      </c>
      <c r="E1880" s="1">
        <v>45496</v>
      </c>
      <c r="F1880" t="s">
        <v>13</v>
      </c>
      <c r="G1880">
        <v>15247796</v>
      </c>
      <c r="H1880" s="1">
        <v>45498</v>
      </c>
      <c r="I1880" t="s">
        <v>555</v>
      </c>
      <c r="J1880" t="s">
        <v>556</v>
      </c>
      <c r="L1880">
        <v>15247796</v>
      </c>
      <c r="M1880">
        <f>IF(F1880="INR",1,INDEX('rates'!$B$2:$C$522,MATCH(D1880,'rates'!$A$2:$A$522,1),MATCH(F1880&amp;"/INR",'rates'!$B$1:$C$1,0)))</f>
        <v>1</v>
      </c>
      <c r="N1880">
        <f t="shared" si="155"/>
        <v>15247796</v>
      </c>
      <c r="O1880">
        <f t="shared" si="156"/>
        <v>0</v>
      </c>
      <c r="P1880">
        <f t="shared" si="157"/>
        <v>0</v>
      </c>
      <c r="Q1880">
        <f t="shared" si="154"/>
        <v>2</v>
      </c>
      <c r="R1880" t="str">
        <f t="shared" si="158"/>
        <v>Not open</v>
      </c>
    </row>
    <row r="1881" spans="1:18" x14ac:dyDescent="0.3">
      <c r="A1881" t="s">
        <v>2097</v>
      </c>
      <c r="B1881" t="s">
        <v>466</v>
      </c>
      <c r="C1881" t="s">
        <v>558</v>
      </c>
      <c r="D1881" s="1">
        <v>45451</v>
      </c>
      <c r="E1881" s="1">
        <v>45511</v>
      </c>
      <c r="F1881" t="s">
        <v>31</v>
      </c>
      <c r="G1881">
        <v>75850.53</v>
      </c>
      <c r="H1881" s="1">
        <v>45515</v>
      </c>
      <c r="I1881" t="s">
        <v>555</v>
      </c>
      <c r="J1881" t="s">
        <v>556</v>
      </c>
      <c r="L1881">
        <v>75850.53</v>
      </c>
      <c r="M1881">
        <f>IF(F1881="INR",1,INDEX('rates'!$B$2:$C$522,MATCH(D1881,'rates'!$A$2:$A$522,1),MATCH(F1881&amp;"/INR",'rates'!$B$1:$C$1,0)))</f>
        <v>90.108800000000002</v>
      </c>
      <c r="N1881">
        <f t="shared" si="155"/>
        <v>6834800.2376640001</v>
      </c>
      <c r="O1881">
        <f t="shared" si="156"/>
        <v>0</v>
      </c>
      <c r="P1881">
        <f t="shared" si="157"/>
        <v>0</v>
      </c>
      <c r="Q1881">
        <f t="shared" si="154"/>
        <v>4</v>
      </c>
      <c r="R1881" t="str">
        <f t="shared" si="158"/>
        <v>Not open</v>
      </c>
    </row>
    <row r="1882" spans="1:18" x14ac:dyDescent="0.3">
      <c r="A1882" t="s">
        <v>2098</v>
      </c>
      <c r="B1882" t="s">
        <v>506</v>
      </c>
      <c r="C1882" t="s">
        <v>554</v>
      </c>
      <c r="D1882" s="1">
        <v>45451</v>
      </c>
      <c r="E1882" s="1">
        <v>45511</v>
      </c>
      <c r="F1882" t="s">
        <v>13</v>
      </c>
      <c r="G1882">
        <v>1340445</v>
      </c>
      <c r="H1882" s="1">
        <v>45519</v>
      </c>
      <c r="I1882" t="s">
        <v>555</v>
      </c>
      <c r="J1882" t="s">
        <v>556</v>
      </c>
      <c r="L1882">
        <v>1340445</v>
      </c>
      <c r="M1882">
        <f>IF(F1882="INR",1,INDEX('rates'!$B$2:$C$522,MATCH(D1882,'rates'!$A$2:$A$522,1),MATCH(F1882&amp;"/INR",'rates'!$B$1:$C$1,0)))</f>
        <v>1</v>
      </c>
      <c r="N1882">
        <f t="shared" si="155"/>
        <v>1340445</v>
      </c>
      <c r="O1882">
        <f t="shared" si="156"/>
        <v>0</v>
      </c>
      <c r="P1882">
        <f t="shared" si="157"/>
        <v>0</v>
      </c>
      <c r="Q1882">
        <f t="shared" si="154"/>
        <v>8</v>
      </c>
      <c r="R1882" t="str">
        <f t="shared" si="158"/>
        <v>Not open</v>
      </c>
    </row>
    <row r="1883" spans="1:18" x14ac:dyDescent="0.3">
      <c r="A1883" t="s">
        <v>2100</v>
      </c>
      <c r="B1883" t="s">
        <v>72</v>
      </c>
      <c r="C1883" t="s">
        <v>560</v>
      </c>
      <c r="D1883" s="1">
        <v>45453</v>
      </c>
      <c r="E1883" s="1">
        <v>45543</v>
      </c>
      <c r="F1883" t="s">
        <v>31</v>
      </c>
      <c r="G1883">
        <v>20357.37</v>
      </c>
      <c r="H1883" s="1">
        <v>45559</v>
      </c>
      <c r="I1883" t="s">
        <v>555</v>
      </c>
      <c r="J1883" t="s">
        <v>556</v>
      </c>
      <c r="L1883">
        <v>20357.37</v>
      </c>
      <c r="M1883">
        <f>IF(F1883="INR",1,INDEX('rates'!$B$2:$C$522,MATCH(D1883,'rates'!$A$2:$A$522,1),MATCH(F1883&amp;"/INR",'rates'!$B$1:$C$1,0)))</f>
        <v>89.770799999999994</v>
      </c>
      <c r="N1883">
        <f t="shared" si="155"/>
        <v>1827497.3907959999</v>
      </c>
      <c r="O1883">
        <f t="shared" si="156"/>
        <v>0</v>
      </c>
      <c r="P1883">
        <f t="shared" si="157"/>
        <v>0</v>
      </c>
      <c r="Q1883">
        <f t="shared" si="154"/>
        <v>16</v>
      </c>
      <c r="R1883" t="str">
        <f t="shared" si="158"/>
        <v>Not open</v>
      </c>
    </row>
    <row r="1884" spans="1:18" x14ac:dyDescent="0.3">
      <c r="A1884" t="s">
        <v>2101</v>
      </c>
      <c r="B1884" t="s">
        <v>154</v>
      </c>
      <c r="C1884" t="s">
        <v>566</v>
      </c>
      <c r="D1884" s="1">
        <v>45453</v>
      </c>
      <c r="E1884" s="1">
        <v>45483</v>
      </c>
      <c r="F1884" t="s">
        <v>13</v>
      </c>
      <c r="G1884">
        <v>3800738</v>
      </c>
      <c r="H1884" s="1">
        <v>45489</v>
      </c>
      <c r="I1884" t="s">
        <v>555</v>
      </c>
      <c r="J1884" t="s">
        <v>556</v>
      </c>
      <c r="L1884">
        <v>3800738</v>
      </c>
      <c r="M1884">
        <f>IF(F1884="INR",1,INDEX('rates'!$B$2:$C$522,MATCH(D1884,'rates'!$A$2:$A$522,1),MATCH(F1884&amp;"/INR",'rates'!$B$1:$C$1,0)))</f>
        <v>1</v>
      </c>
      <c r="N1884">
        <f t="shared" si="155"/>
        <v>3800738</v>
      </c>
      <c r="O1884">
        <f t="shared" si="156"/>
        <v>0</v>
      </c>
      <c r="P1884">
        <f t="shared" si="157"/>
        <v>0</v>
      </c>
      <c r="Q1884">
        <f t="shared" si="154"/>
        <v>6</v>
      </c>
      <c r="R1884" t="str">
        <f t="shared" si="158"/>
        <v>Not open</v>
      </c>
    </row>
    <row r="1885" spans="1:18" x14ac:dyDescent="0.3">
      <c r="A1885" t="s">
        <v>2102</v>
      </c>
      <c r="B1885" t="s">
        <v>362</v>
      </c>
      <c r="C1885" t="s">
        <v>575</v>
      </c>
      <c r="D1885" s="1">
        <v>45453</v>
      </c>
      <c r="E1885" s="1">
        <v>45543</v>
      </c>
      <c r="F1885" t="s">
        <v>36</v>
      </c>
      <c r="G1885">
        <v>162312.97</v>
      </c>
      <c r="H1885" s="1">
        <v>45553</v>
      </c>
      <c r="I1885" t="s">
        <v>555</v>
      </c>
      <c r="J1885" t="s">
        <v>573</v>
      </c>
      <c r="K1885">
        <v>83.917500000000004</v>
      </c>
      <c r="L1885">
        <v>162312.97</v>
      </c>
      <c r="M1885">
        <f>IF(F1885="INR",1,INDEX('rates'!$B$2:$C$522,MATCH(D1885,'rates'!$A$2:$A$522,1),MATCH(F1885&amp;"/INR",'rates'!$B$1:$C$1,0)))</f>
        <v>83.5</v>
      </c>
      <c r="N1885">
        <f t="shared" si="155"/>
        <v>13553132.994999999</v>
      </c>
      <c r="O1885">
        <f t="shared" si="156"/>
        <v>0</v>
      </c>
      <c r="P1885">
        <f t="shared" si="157"/>
        <v>0</v>
      </c>
      <c r="Q1885">
        <f t="shared" si="154"/>
        <v>10</v>
      </c>
      <c r="R1885" t="str">
        <f t="shared" si="158"/>
        <v>Not open</v>
      </c>
    </row>
    <row r="1886" spans="1:18" x14ac:dyDescent="0.3">
      <c r="A1886" t="s">
        <v>2103</v>
      </c>
      <c r="B1886" t="s">
        <v>376</v>
      </c>
      <c r="C1886" t="s">
        <v>566</v>
      </c>
      <c r="D1886" s="1">
        <v>45453</v>
      </c>
      <c r="E1886" s="1">
        <v>45513</v>
      </c>
      <c r="F1886" t="s">
        <v>13</v>
      </c>
      <c r="G1886">
        <v>20001800</v>
      </c>
      <c r="H1886" s="1">
        <v>45519</v>
      </c>
      <c r="I1886" t="s">
        <v>555</v>
      </c>
      <c r="J1886" t="s">
        <v>556</v>
      </c>
      <c r="L1886">
        <v>20001800</v>
      </c>
      <c r="M1886">
        <f>IF(F1886="INR",1,INDEX('rates'!$B$2:$C$522,MATCH(D1886,'rates'!$A$2:$A$522,1),MATCH(F1886&amp;"/INR",'rates'!$B$1:$C$1,0)))</f>
        <v>1</v>
      </c>
      <c r="N1886">
        <f t="shared" si="155"/>
        <v>20001800</v>
      </c>
      <c r="O1886">
        <f t="shared" si="156"/>
        <v>0</v>
      </c>
      <c r="P1886">
        <f t="shared" si="157"/>
        <v>0</v>
      </c>
      <c r="Q1886">
        <f t="shared" si="154"/>
        <v>6</v>
      </c>
      <c r="R1886" t="str">
        <f t="shared" si="158"/>
        <v>Not open</v>
      </c>
    </row>
    <row r="1887" spans="1:18" x14ac:dyDescent="0.3">
      <c r="A1887" t="s">
        <v>2104</v>
      </c>
      <c r="B1887" t="s">
        <v>386</v>
      </c>
      <c r="C1887" t="s">
        <v>575</v>
      </c>
      <c r="D1887" s="1">
        <v>45453</v>
      </c>
      <c r="E1887" s="1">
        <v>45513</v>
      </c>
      <c r="F1887" t="s">
        <v>31</v>
      </c>
      <c r="G1887">
        <v>62581.78</v>
      </c>
      <c r="H1887" s="1">
        <v>45522</v>
      </c>
      <c r="I1887" t="s">
        <v>555</v>
      </c>
      <c r="J1887" t="s">
        <v>573</v>
      </c>
      <c r="K1887">
        <v>89.950299999999999</v>
      </c>
      <c r="L1887">
        <v>62581.78</v>
      </c>
      <c r="M1887">
        <f>IF(F1887="INR",1,INDEX('rates'!$B$2:$C$522,MATCH(D1887,'rates'!$A$2:$A$522,1),MATCH(F1887&amp;"/INR",'rates'!$B$1:$C$1,0)))</f>
        <v>89.770799999999994</v>
      </c>
      <c r="N1887">
        <f t="shared" si="155"/>
        <v>5618016.4560239995</v>
      </c>
      <c r="O1887">
        <f t="shared" si="156"/>
        <v>0</v>
      </c>
      <c r="P1887">
        <f t="shared" si="157"/>
        <v>0</v>
      </c>
      <c r="Q1887">
        <f t="shared" si="154"/>
        <v>9</v>
      </c>
      <c r="R1887" t="str">
        <f t="shared" si="158"/>
        <v>Not open</v>
      </c>
    </row>
    <row r="1888" spans="1:18" x14ac:dyDescent="0.3">
      <c r="A1888" t="s">
        <v>2105</v>
      </c>
      <c r="B1888" t="s">
        <v>394</v>
      </c>
      <c r="C1888" t="s">
        <v>575</v>
      </c>
      <c r="D1888" s="1">
        <v>45453</v>
      </c>
      <c r="E1888" s="1">
        <v>45513</v>
      </c>
      <c r="F1888" t="s">
        <v>31</v>
      </c>
      <c r="G1888">
        <v>190036.31</v>
      </c>
      <c r="H1888" s="1">
        <v>45512</v>
      </c>
      <c r="I1888" t="s">
        <v>555</v>
      </c>
      <c r="J1888" t="s">
        <v>556</v>
      </c>
      <c r="L1888">
        <v>190036.31</v>
      </c>
      <c r="M1888">
        <f>IF(F1888="INR",1,INDEX('rates'!$B$2:$C$522,MATCH(D1888,'rates'!$A$2:$A$522,1),MATCH(F1888&amp;"/INR",'rates'!$B$1:$C$1,0)))</f>
        <v>89.770799999999994</v>
      </c>
      <c r="N1888">
        <f t="shared" si="155"/>
        <v>17059711.577747997</v>
      </c>
      <c r="O1888">
        <f t="shared" si="156"/>
        <v>0</v>
      </c>
      <c r="P1888">
        <f t="shared" si="157"/>
        <v>0</v>
      </c>
      <c r="Q1888">
        <f t="shared" si="154"/>
        <v>-1</v>
      </c>
      <c r="R1888" t="str">
        <f t="shared" si="158"/>
        <v>Not open</v>
      </c>
    </row>
    <row r="1889" spans="1:18" x14ac:dyDescent="0.3">
      <c r="A1889" t="s">
        <v>2106</v>
      </c>
      <c r="B1889" t="s">
        <v>502</v>
      </c>
      <c r="C1889" t="s">
        <v>554</v>
      </c>
      <c r="D1889" s="1">
        <v>45453</v>
      </c>
      <c r="E1889" s="1">
        <v>45483</v>
      </c>
      <c r="F1889" t="s">
        <v>13</v>
      </c>
      <c r="G1889">
        <v>1866148</v>
      </c>
      <c r="H1889" s="1">
        <v>45496</v>
      </c>
      <c r="I1889" t="s">
        <v>555</v>
      </c>
      <c r="J1889" t="s">
        <v>556</v>
      </c>
      <c r="L1889">
        <v>1866148</v>
      </c>
      <c r="M1889">
        <f>IF(F1889="INR",1,INDEX('rates'!$B$2:$C$522,MATCH(D1889,'rates'!$A$2:$A$522,1),MATCH(F1889&amp;"/INR",'rates'!$B$1:$C$1,0)))</f>
        <v>1</v>
      </c>
      <c r="N1889">
        <f t="shared" si="155"/>
        <v>1866148</v>
      </c>
      <c r="O1889">
        <f t="shared" si="156"/>
        <v>0</v>
      </c>
      <c r="P1889">
        <f t="shared" si="157"/>
        <v>0</v>
      </c>
      <c r="Q1889">
        <f t="shared" si="154"/>
        <v>13</v>
      </c>
      <c r="R1889" t="str">
        <f t="shared" si="158"/>
        <v>Not open</v>
      </c>
    </row>
    <row r="1890" spans="1:18" x14ac:dyDescent="0.3">
      <c r="A1890" t="s">
        <v>2107</v>
      </c>
      <c r="B1890" t="s">
        <v>70</v>
      </c>
      <c r="C1890" t="s">
        <v>554</v>
      </c>
      <c r="D1890" s="1">
        <v>45454</v>
      </c>
      <c r="E1890" s="1">
        <v>45484</v>
      </c>
      <c r="F1890" t="s">
        <v>13</v>
      </c>
      <c r="G1890">
        <v>4753448</v>
      </c>
      <c r="H1890" s="1">
        <v>45503</v>
      </c>
      <c r="I1890" t="s">
        <v>555</v>
      </c>
      <c r="J1890" t="s">
        <v>556</v>
      </c>
      <c r="L1890">
        <v>4753448</v>
      </c>
      <c r="M1890">
        <f>IF(F1890="INR",1,INDEX('rates'!$B$2:$C$522,MATCH(D1890,'rates'!$A$2:$A$522,1),MATCH(F1890&amp;"/INR",'rates'!$B$1:$C$1,0)))</f>
        <v>1</v>
      </c>
      <c r="N1890">
        <f t="shared" si="155"/>
        <v>4753448</v>
      </c>
      <c r="O1890">
        <f t="shared" si="156"/>
        <v>0</v>
      </c>
      <c r="P1890">
        <f t="shared" si="157"/>
        <v>0</v>
      </c>
      <c r="Q1890">
        <f t="shared" si="154"/>
        <v>19</v>
      </c>
      <c r="R1890" t="str">
        <f t="shared" si="158"/>
        <v>Not open</v>
      </c>
    </row>
    <row r="1891" spans="1:18" x14ac:dyDescent="0.3">
      <c r="A1891" t="s">
        <v>2108</v>
      </c>
      <c r="B1891" t="s">
        <v>186</v>
      </c>
      <c r="C1891" t="s">
        <v>558</v>
      </c>
      <c r="D1891" s="1">
        <v>45454</v>
      </c>
      <c r="E1891" s="1">
        <v>45484</v>
      </c>
      <c r="F1891" t="s">
        <v>36</v>
      </c>
      <c r="G1891">
        <v>343276.07</v>
      </c>
      <c r="H1891" s="1">
        <v>45543</v>
      </c>
      <c r="I1891" t="s">
        <v>555</v>
      </c>
      <c r="J1891" t="s">
        <v>556</v>
      </c>
      <c r="L1891">
        <v>343276.07</v>
      </c>
      <c r="M1891">
        <f>IF(F1891="INR",1,INDEX('rates'!$B$2:$C$522,MATCH(D1891,'rates'!$A$2:$A$522,1),MATCH(F1891&amp;"/INR",'rates'!$B$1:$C$1,0)))</f>
        <v>83.5</v>
      </c>
      <c r="N1891">
        <f t="shared" si="155"/>
        <v>28663551.844999999</v>
      </c>
      <c r="O1891">
        <f t="shared" si="156"/>
        <v>0</v>
      </c>
      <c r="P1891">
        <f t="shared" si="157"/>
        <v>0</v>
      </c>
      <c r="Q1891">
        <f t="shared" si="154"/>
        <v>59</v>
      </c>
      <c r="R1891" t="str">
        <f t="shared" si="158"/>
        <v>Not open</v>
      </c>
    </row>
    <row r="1892" spans="1:18" x14ac:dyDescent="0.3">
      <c r="A1892" t="s">
        <v>2109</v>
      </c>
      <c r="B1892" t="s">
        <v>532</v>
      </c>
      <c r="C1892" t="s">
        <v>575</v>
      </c>
      <c r="D1892" s="1">
        <v>45454</v>
      </c>
      <c r="E1892" s="1">
        <v>45514</v>
      </c>
      <c r="F1892" t="s">
        <v>36</v>
      </c>
      <c r="G1892">
        <v>136938.87</v>
      </c>
      <c r="H1892" s="1">
        <v>45523</v>
      </c>
      <c r="I1892" t="s">
        <v>555</v>
      </c>
      <c r="J1892" t="s">
        <v>556</v>
      </c>
      <c r="L1892">
        <v>136938.87</v>
      </c>
      <c r="M1892">
        <f>IF(F1892="INR",1,INDEX('rates'!$B$2:$C$522,MATCH(D1892,'rates'!$A$2:$A$522,1),MATCH(F1892&amp;"/INR",'rates'!$B$1:$C$1,0)))</f>
        <v>83.5</v>
      </c>
      <c r="N1892">
        <f t="shared" si="155"/>
        <v>11434395.645</v>
      </c>
      <c r="O1892">
        <f t="shared" si="156"/>
        <v>0</v>
      </c>
      <c r="P1892">
        <f t="shared" si="157"/>
        <v>0</v>
      </c>
      <c r="Q1892">
        <f t="shared" si="154"/>
        <v>9</v>
      </c>
      <c r="R1892" t="str">
        <f t="shared" si="158"/>
        <v>Not open</v>
      </c>
    </row>
    <row r="1893" spans="1:18" x14ac:dyDescent="0.3">
      <c r="A1893" t="s">
        <v>2110</v>
      </c>
      <c r="B1893" t="s">
        <v>81</v>
      </c>
      <c r="C1893" t="s">
        <v>575</v>
      </c>
      <c r="D1893" s="1">
        <v>45455</v>
      </c>
      <c r="E1893" s="1">
        <v>45485</v>
      </c>
      <c r="F1893" t="s">
        <v>13</v>
      </c>
      <c r="G1893">
        <v>10619898</v>
      </c>
      <c r="H1893" s="1">
        <v>45486</v>
      </c>
      <c r="I1893" t="s">
        <v>555</v>
      </c>
      <c r="J1893" t="s">
        <v>556</v>
      </c>
      <c r="L1893">
        <v>10619898</v>
      </c>
      <c r="M1893">
        <f>IF(F1893="INR",1,INDEX('rates'!$B$2:$C$522,MATCH(D1893,'rates'!$A$2:$A$522,1),MATCH(F1893&amp;"/INR",'rates'!$B$1:$C$1,0)))</f>
        <v>1</v>
      </c>
      <c r="N1893">
        <f t="shared" si="155"/>
        <v>10619898</v>
      </c>
      <c r="O1893">
        <f t="shared" si="156"/>
        <v>0</v>
      </c>
      <c r="P1893">
        <f t="shared" si="157"/>
        <v>0</v>
      </c>
      <c r="Q1893">
        <f t="shared" si="154"/>
        <v>1</v>
      </c>
      <c r="R1893" t="str">
        <f t="shared" si="158"/>
        <v>Not open</v>
      </c>
    </row>
    <row r="1894" spans="1:18" x14ac:dyDescent="0.3">
      <c r="A1894" t="s">
        <v>2111</v>
      </c>
      <c r="B1894" t="s">
        <v>262</v>
      </c>
      <c r="C1894" t="s">
        <v>566</v>
      </c>
      <c r="D1894" s="1">
        <v>45455</v>
      </c>
      <c r="E1894" s="1">
        <v>45545</v>
      </c>
      <c r="F1894" t="s">
        <v>31</v>
      </c>
      <c r="G1894">
        <v>25444.62</v>
      </c>
      <c r="H1894" s="1">
        <v>45565</v>
      </c>
      <c r="I1894" t="s">
        <v>555</v>
      </c>
      <c r="J1894" t="s">
        <v>573</v>
      </c>
      <c r="K1894">
        <v>90.886799999999994</v>
      </c>
      <c r="L1894">
        <v>25444.62</v>
      </c>
      <c r="M1894">
        <f>IF(F1894="INR",1,INDEX('rates'!$B$2:$C$522,MATCH(D1894,'rates'!$A$2:$A$522,1),MATCH(F1894&amp;"/INR",'rates'!$B$1:$C$1,0)))</f>
        <v>90.614999999999995</v>
      </c>
      <c r="N1894">
        <f t="shared" si="155"/>
        <v>2305664.2412999999</v>
      </c>
      <c r="O1894">
        <f t="shared" si="156"/>
        <v>0</v>
      </c>
      <c r="P1894">
        <f t="shared" si="157"/>
        <v>0</v>
      </c>
      <c r="Q1894">
        <f t="shared" si="154"/>
        <v>20</v>
      </c>
      <c r="R1894" t="str">
        <f t="shared" si="158"/>
        <v>Not open</v>
      </c>
    </row>
    <row r="1895" spans="1:18" x14ac:dyDescent="0.3">
      <c r="A1895" t="s">
        <v>2112</v>
      </c>
      <c r="B1895" t="s">
        <v>262</v>
      </c>
      <c r="C1895" t="s">
        <v>566</v>
      </c>
      <c r="D1895" s="1">
        <v>45455</v>
      </c>
      <c r="E1895" s="1">
        <v>45545</v>
      </c>
      <c r="F1895" t="s">
        <v>31</v>
      </c>
      <c r="G1895">
        <v>228902.31</v>
      </c>
      <c r="H1895" s="1">
        <v>45598</v>
      </c>
      <c r="I1895" t="s">
        <v>555</v>
      </c>
      <c r="J1895" t="s">
        <v>556</v>
      </c>
      <c r="L1895">
        <v>228902.31</v>
      </c>
      <c r="M1895">
        <f>IF(F1895="INR",1,INDEX('rates'!$B$2:$C$522,MATCH(D1895,'rates'!$A$2:$A$522,1),MATCH(F1895&amp;"/INR",'rates'!$B$1:$C$1,0)))</f>
        <v>90.614999999999995</v>
      </c>
      <c r="N1895">
        <f t="shared" si="155"/>
        <v>20741982.82065</v>
      </c>
      <c r="O1895">
        <f t="shared" si="156"/>
        <v>0</v>
      </c>
      <c r="P1895">
        <f t="shared" si="157"/>
        <v>0</v>
      </c>
      <c r="Q1895">
        <f t="shared" si="154"/>
        <v>53</v>
      </c>
      <c r="R1895" t="str">
        <f t="shared" si="158"/>
        <v>Not open</v>
      </c>
    </row>
    <row r="1896" spans="1:18" x14ac:dyDescent="0.3">
      <c r="A1896" t="s">
        <v>2113</v>
      </c>
      <c r="B1896" t="s">
        <v>496</v>
      </c>
      <c r="C1896" t="s">
        <v>554</v>
      </c>
      <c r="D1896" s="1">
        <v>45455</v>
      </c>
      <c r="E1896" s="1">
        <v>45500</v>
      </c>
      <c r="F1896" t="s">
        <v>13</v>
      </c>
      <c r="G1896">
        <v>9000056</v>
      </c>
      <c r="H1896" s="1">
        <v>45502</v>
      </c>
      <c r="I1896" t="s">
        <v>555</v>
      </c>
      <c r="J1896" t="s">
        <v>556</v>
      </c>
      <c r="L1896">
        <v>9000056</v>
      </c>
      <c r="M1896">
        <f>IF(F1896="INR",1,INDEX('rates'!$B$2:$C$522,MATCH(D1896,'rates'!$A$2:$A$522,1),MATCH(F1896&amp;"/INR",'rates'!$B$1:$C$1,0)))</f>
        <v>1</v>
      </c>
      <c r="N1896">
        <f t="shared" si="155"/>
        <v>9000056</v>
      </c>
      <c r="O1896">
        <f t="shared" si="156"/>
        <v>0</v>
      </c>
      <c r="P1896">
        <f t="shared" si="157"/>
        <v>0</v>
      </c>
      <c r="Q1896">
        <f t="shared" si="154"/>
        <v>2</v>
      </c>
      <c r="R1896" t="str">
        <f t="shared" si="158"/>
        <v>Not open</v>
      </c>
    </row>
    <row r="1897" spans="1:18" x14ac:dyDescent="0.3">
      <c r="A1897" t="s">
        <v>2114</v>
      </c>
      <c r="B1897" t="s">
        <v>506</v>
      </c>
      <c r="C1897" t="s">
        <v>554</v>
      </c>
      <c r="D1897" s="1">
        <v>45455</v>
      </c>
      <c r="E1897" s="1">
        <v>45515</v>
      </c>
      <c r="F1897" t="s">
        <v>13</v>
      </c>
      <c r="G1897">
        <v>8481809</v>
      </c>
      <c r="H1897" s="1">
        <v>45530</v>
      </c>
      <c r="I1897" t="s">
        <v>555</v>
      </c>
      <c r="J1897" t="s">
        <v>556</v>
      </c>
      <c r="L1897">
        <v>8481809</v>
      </c>
      <c r="M1897">
        <f>IF(F1897="INR",1,INDEX('rates'!$B$2:$C$522,MATCH(D1897,'rates'!$A$2:$A$522,1),MATCH(F1897&amp;"/INR",'rates'!$B$1:$C$1,0)))</f>
        <v>1</v>
      </c>
      <c r="N1897">
        <f t="shared" si="155"/>
        <v>8481809</v>
      </c>
      <c r="O1897">
        <f t="shared" si="156"/>
        <v>0</v>
      </c>
      <c r="P1897">
        <f t="shared" si="157"/>
        <v>0</v>
      </c>
      <c r="Q1897">
        <f t="shared" si="154"/>
        <v>15</v>
      </c>
      <c r="R1897" t="str">
        <f t="shared" si="158"/>
        <v>Not open</v>
      </c>
    </row>
    <row r="1898" spans="1:18" x14ac:dyDescent="0.3">
      <c r="A1898" t="s">
        <v>2115</v>
      </c>
      <c r="B1898" t="s">
        <v>33</v>
      </c>
      <c r="C1898" t="s">
        <v>566</v>
      </c>
      <c r="D1898" s="1">
        <v>45456</v>
      </c>
      <c r="E1898" s="1">
        <v>45486</v>
      </c>
      <c r="F1898" t="s">
        <v>36</v>
      </c>
      <c r="G1898">
        <v>110992.53</v>
      </c>
      <c r="H1898" s="1">
        <v>45513</v>
      </c>
      <c r="I1898" t="s">
        <v>555</v>
      </c>
      <c r="J1898" t="s">
        <v>573</v>
      </c>
      <c r="K1898">
        <v>83.659199999999998</v>
      </c>
      <c r="L1898">
        <v>110992.53</v>
      </c>
      <c r="M1898">
        <f>IF(F1898="INR",1,INDEX('rates'!$B$2:$C$522,MATCH(D1898,'rates'!$A$2:$A$522,1),MATCH(F1898&amp;"/INR",'rates'!$B$1:$C$1,0)))</f>
        <v>83.52</v>
      </c>
      <c r="N1898">
        <f t="shared" si="155"/>
        <v>9270096.1055999994</v>
      </c>
      <c r="O1898">
        <f t="shared" si="156"/>
        <v>0</v>
      </c>
      <c r="P1898">
        <f t="shared" si="157"/>
        <v>0</v>
      </c>
      <c r="Q1898">
        <f t="shared" si="154"/>
        <v>27</v>
      </c>
      <c r="R1898" t="str">
        <f t="shared" si="158"/>
        <v>Not open</v>
      </c>
    </row>
    <row r="1899" spans="1:18" x14ac:dyDescent="0.3">
      <c r="A1899" t="s">
        <v>2116</v>
      </c>
      <c r="B1899" t="s">
        <v>42</v>
      </c>
      <c r="C1899" t="s">
        <v>566</v>
      </c>
      <c r="D1899" s="1">
        <v>45456</v>
      </c>
      <c r="E1899" s="1">
        <v>45516</v>
      </c>
      <c r="F1899" t="s">
        <v>13</v>
      </c>
      <c r="G1899">
        <v>1837127</v>
      </c>
      <c r="H1899" s="1">
        <v>45512</v>
      </c>
      <c r="I1899" t="s">
        <v>555</v>
      </c>
      <c r="J1899" t="s">
        <v>556</v>
      </c>
      <c r="L1899">
        <v>1837127</v>
      </c>
      <c r="M1899">
        <f>IF(F1899="INR",1,INDEX('rates'!$B$2:$C$522,MATCH(D1899,'rates'!$A$2:$A$522,1),MATCH(F1899&amp;"/INR",'rates'!$B$1:$C$1,0)))</f>
        <v>1</v>
      </c>
      <c r="N1899">
        <f t="shared" si="155"/>
        <v>1837127</v>
      </c>
      <c r="O1899">
        <f t="shared" si="156"/>
        <v>0</v>
      </c>
      <c r="P1899">
        <f t="shared" si="157"/>
        <v>0</v>
      </c>
      <c r="Q1899">
        <f t="shared" si="154"/>
        <v>-4</v>
      </c>
      <c r="R1899" t="str">
        <f t="shared" si="158"/>
        <v>Not open</v>
      </c>
    </row>
    <row r="1900" spans="1:18" x14ac:dyDescent="0.3">
      <c r="A1900" t="s">
        <v>2117</v>
      </c>
      <c r="B1900" t="s">
        <v>105</v>
      </c>
      <c r="C1900" t="s">
        <v>560</v>
      </c>
      <c r="D1900" s="1">
        <v>45456</v>
      </c>
      <c r="E1900" s="1">
        <v>45546</v>
      </c>
      <c r="F1900" t="s">
        <v>36</v>
      </c>
      <c r="G1900">
        <v>133558.51</v>
      </c>
      <c r="H1900" s="1">
        <v>45675</v>
      </c>
      <c r="I1900" t="s">
        <v>555</v>
      </c>
      <c r="J1900" t="s">
        <v>556</v>
      </c>
      <c r="L1900">
        <v>133558.51</v>
      </c>
      <c r="M1900">
        <f>IF(F1900="INR",1,INDEX('rates'!$B$2:$C$522,MATCH(D1900,'rates'!$A$2:$A$522,1),MATCH(F1900&amp;"/INR",'rates'!$B$1:$C$1,0)))</f>
        <v>83.52</v>
      </c>
      <c r="N1900">
        <f t="shared" si="155"/>
        <v>11154806.7552</v>
      </c>
      <c r="O1900">
        <f t="shared" si="156"/>
        <v>0</v>
      </c>
      <c r="P1900">
        <f t="shared" si="157"/>
        <v>0</v>
      </c>
      <c r="Q1900">
        <f t="shared" si="154"/>
        <v>129</v>
      </c>
      <c r="R1900" t="str">
        <f t="shared" si="158"/>
        <v>Not open</v>
      </c>
    </row>
    <row r="1901" spans="1:18" x14ac:dyDescent="0.3">
      <c r="A1901" t="s">
        <v>2118</v>
      </c>
      <c r="B1901" t="s">
        <v>166</v>
      </c>
      <c r="C1901" t="s">
        <v>560</v>
      </c>
      <c r="D1901" s="1">
        <v>45456</v>
      </c>
      <c r="E1901" s="1">
        <v>45516</v>
      </c>
      <c r="F1901" t="s">
        <v>13</v>
      </c>
      <c r="G1901">
        <v>11808072</v>
      </c>
      <c r="H1901" s="1">
        <v>45518</v>
      </c>
      <c r="I1901" t="s">
        <v>555</v>
      </c>
      <c r="J1901" t="s">
        <v>556</v>
      </c>
      <c r="L1901">
        <v>11808072</v>
      </c>
      <c r="M1901">
        <f>IF(F1901="INR",1,INDEX('rates'!$B$2:$C$522,MATCH(D1901,'rates'!$A$2:$A$522,1),MATCH(F1901&amp;"/INR",'rates'!$B$1:$C$1,0)))</f>
        <v>1</v>
      </c>
      <c r="N1901">
        <f t="shared" si="155"/>
        <v>11808072</v>
      </c>
      <c r="O1901">
        <f t="shared" si="156"/>
        <v>0</v>
      </c>
      <c r="P1901">
        <f t="shared" si="157"/>
        <v>0</v>
      </c>
      <c r="Q1901">
        <f t="shared" si="154"/>
        <v>2</v>
      </c>
      <c r="R1901" t="str">
        <f t="shared" si="158"/>
        <v>Not open</v>
      </c>
    </row>
    <row r="1902" spans="1:18" x14ac:dyDescent="0.3">
      <c r="A1902" t="s">
        <v>2120</v>
      </c>
      <c r="B1902" t="s">
        <v>368</v>
      </c>
      <c r="C1902" t="s">
        <v>566</v>
      </c>
      <c r="D1902" s="1">
        <v>45456</v>
      </c>
      <c r="E1902" s="1">
        <v>45516</v>
      </c>
      <c r="F1902" t="s">
        <v>36</v>
      </c>
      <c r="G1902">
        <v>36657.519999999997</v>
      </c>
      <c r="H1902" s="1"/>
      <c r="I1902" t="s">
        <v>555</v>
      </c>
      <c r="J1902" t="s">
        <v>573</v>
      </c>
      <c r="K1902">
        <v>83.798400000000001</v>
      </c>
      <c r="L1902">
        <v>36657.519999999997</v>
      </c>
      <c r="M1902">
        <f>IF(F1902="INR",1,INDEX('rates'!$B$2:$C$522,MATCH(D1902,'rates'!$A$2:$A$522,1),MATCH(F1902&amp;"/INR",'rates'!$B$1:$C$1,0)))</f>
        <v>83.52</v>
      </c>
      <c r="N1902">
        <f t="shared" si="155"/>
        <v>3061636.0703999996</v>
      </c>
      <c r="O1902">
        <f t="shared" si="156"/>
        <v>0</v>
      </c>
      <c r="P1902">
        <f t="shared" si="157"/>
        <v>0</v>
      </c>
      <c r="Q1902" t="str">
        <f t="shared" si="154"/>
        <v/>
      </c>
      <c r="R1902" t="str">
        <f t="shared" si="158"/>
        <v>Not open</v>
      </c>
    </row>
    <row r="1903" spans="1:18" x14ac:dyDescent="0.3">
      <c r="A1903" t="s">
        <v>2122</v>
      </c>
      <c r="B1903" t="s">
        <v>144</v>
      </c>
      <c r="C1903" t="s">
        <v>554</v>
      </c>
      <c r="D1903" s="1">
        <v>45458</v>
      </c>
      <c r="E1903" s="1">
        <v>45488</v>
      </c>
      <c r="F1903" t="s">
        <v>13</v>
      </c>
      <c r="G1903">
        <v>1962801</v>
      </c>
      <c r="H1903" s="1">
        <v>45503</v>
      </c>
      <c r="I1903" t="s">
        <v>555</v>
      </c>
      <c r="J1903" t="s">
        <v>556</v>
      </c>
      <c r="L1903">
        <v>1962801</v>
      </c>
      <c r="M1903">
        <f>IF(F1903="INR",1,INDEX('rates'!$B$2:$C$522,MATCH(D1903,'rates'!$A$2:$A$522,1),MATCH(F1903&amp;"/INR",'rates'!$B$1:$C$1,0)))</f>
        <v>1</v>
      </c>
      <c r="N1903">
        <f t="shared" si="155"/>
        <v>1962801</v>
      </c>
      <c r="O1903">
        <f t="shared" si="156"/>
        <v>0</v>
      </c>
      <c r="P1903">
        <f t="shared" si="157"/>
        <v>0</v>
      </c>
      <c r="Q1903">
        <f t="shared" si="154"/>
        <v>15</v>
      </c>
      <c r="R1903" t="str">
        <f t="shared" si="158"/>
        <v>Not open</v>
      </c>
    </row>
    <row r="1904" spans="1:18" x14ac:dyDescent="0.3">
      <c r="A1904" t="s">
        <v>2123</v>
      </c>
      <c r="B1904" t="s">
        <v>186</v>
      </c>
      <c r="C1904" t="s">
        <v>558</v>
      </c>
      <c r="D1904" s="1">
        <v>45458</v>
      </c>
      <c r="E1904" s="1">
        <v>45488</v>
      </c>
      <c r="F1904" t="s">
        <v>36</v>
      </c>
      <c r="G1904">
        <v>129023.16</v>
      </c>
      <c r="H1904" s="1">
        <v>45500</v>
      </c>
      <c r="I1904" t="s">
        <v>555</v>
      </c>
      <c r="J1904" t="s">
        <v>556</v>
      </c>
      <c r="L1904">
        <v>129023.16</v>
      </c>
      <c r="M1904">
        <f>IF(F1904="INR",1,INDEX('rates'!$B$2:$C$522,MATCH(D1904,'rates'!$A$2:$A$522,1),MATCH(F1904&amp;"/INR",'rates'!$B$1:$C$1,0)))</f>
        <v>83.54</v>
      </c>
      <c r="N1904">
        <f t="shared" si="155"/>
        <v>10778594.786400001</v>
      </c>
      <c r="O1904">
        <f t="shared" si="156"/>
        <v>0</v>
      </c>
      <c r="P1904">
        <f t="shared" si="157"/>
        <v>0</v>
      </c>
      <c r="Q1904">
        <f t="shared" si="154"/>
        <v>12</v>
      </c>
      <c r="R1904" t="str">
        <f t="shared" si="158"/>
        <v>Not open</v>
      </c>
    </row>
    <row r="1905" spans="1:18" x14ac:dyDescent="0.3">
      <c r="A1905" t="s">
        <v>2124</v>
      </c>
      <c r="B1905" t="s">
        <v>202</v>
      </c>
      <c r="C1905" t="s">
        <v>554</v>
      </c>
      <c r="D1905" s="1">
        <v>45458</v>
      </c>
      <c r="E1905" s="1">
        <v>45488</v>
      </c>
      <c r="F1905" t="s">
        <v>13</v>
      </c>
      <c r="G1905">
        <v>4720386</v>
      </c>
      <c r="H1905" s="1">
        <v>45510</v>
      </c>
      <c r="I1905" t="s">
        <v>555</v>
      </c>
      <c r="J1905" t="s">
        <v>556</v>
      </c>
      <c r="L1905">
        <v>4720386</v>
      </c>
      <c r="M1905">
        <f>IF(F1905="INR",1,INDEX('rates'!$B$2:$C$522,MATCH(D1905,'rates'!$A$2:$A$522,1),MATCH(F1905&amp;"/INR",'rates'!$B$1:$C$1,0)))</f>
        <v>1</v>
      </c>
      <c r="N1905">
        <f t="shared" si="155"/>
        <v>4720386</v>
      </c>
      <c r="O1905">
        <f t="shared" si="156"/>
        <v>0</v>
      </c>
      <c r="P1905">
        <f t="shared" si="157"/>
        <v>0</v>
      </c>
      <c r="Q1905">
        <f t="shared" si="154"/>
        <v>22</v>
      </c>
      <c r="R1905" t="str">
        <f t="shared" si="158"/>
        <v>Not open</v>
      </c>
    </row>
    <row r="1906" spans="1:18" x14ac:dyDescent="0.3">
      <c r="A1906" t="s">
        <v>2125</v>
      </c>
      <c r="B1906" t="s">
        <v>368</v>
      </c>
      <c r="C1906" t="s">
        <v>566</v>
      </c>
      <c r="D1906" s="1">
        <v>45458</v>
      </c>
      <c r="E1906" s="1">
        <v>45518</v>
      </c>
      <c r="F1906" t="s">
        <v>36</v>
      </c>
      <c r="G1906">
        <v>94406.35</v>
      </c>
      <c r="H1906" s="1">
        <v>45533</v>
      </c>
      <c r="I1906" t="s">
        <v>555</v>
      </c>
      <c r="J1906" t="s">
        <v>556</v>
      </c>
      <c r="L1906">
        <v>94406.35</v>
      </c>
      <c r="M1906">
        <f>IF(F1906="INR",1,INDEX('rates'!$B$2:$C$522,MATCH(D1906,'rates'!$A$2:$A$522,1),MATCH(F1906&amp;"/INR",'rates'!$B$1:$C$1,0)))</f>
        <v>83.54</v>
      </c>
      <c r="N1906">
        <f t="shared" si="155"/>
        <v>7886706.4790000012</v>
      </c>
      <c r="O1906">
        <f t="shared" si="156"/>
        <v>0</v>
      </c>
      <c r="P1906">
        <f t="shared" si="157"/>
        <v>0</v>
      </c>
      <c r="Q1906">
        <f t="shared" si="154"/>
        <v>15</v>
      </c>
      <c r="R1906" t="str">
        <f t="shared" si="158"/>
        <v>Not open</v>
      </c>
    </row>
    <row r="1907" spans="1:18" x14ac:dyDescent="0.3">
      <c r="A1907" t="s">
        <v>2127</v>
      </c>
      <c r="B1907" t="s">
        <v>394</v>
      </c>
      <c r="C1907" t="s">
        <v>566</v>
      </c>
      <c r="D1907" s="1">
        <v>45458</v>
      </c>
      <c r="E1907" s="1">
        <v>45518</v>
      </c>
      <c r="F1907" t="s">
        <v>31</v>
      </c>
      <c r="G1907">
        <v>34515.47</v>
      </c>
      <c r="H1907" s="1">
        <v>45514</v>
      </c>
      <c r="I1907" t="s">
        <v>555</v>
      </c>
      <c r="J1907" t="s">
        <v>573</v>
      </c>
      <c r="K1907">
        <v>89.558199999999999</v>
      </c>
      <c r="L1907">
        <v>34515.47</v>
      </c>
      <c r="M1907">
        <f>IF(F1907="INR",1,INDEX('rates'!$B$2:$C$522,MATCH(D1907,'rates'!$A$2:$A$522,1),MATCH(F1907&amp;"/INR",'rates'!$B$1:$C$1,0)))</f>
        <v>89.379400000000004</v>
      </c>
      <c r="N1907">
        <f t="shared" si="155"/>
        <v>3084971.9993180004</v>
      </c>
      <c r="O1907">
        <f t="shared" si="156"/>
        <v>0</v>
      </c>
      <c r="P1907">
        <f t="shared" si="157"/>
        <v>0</v>
      </c>
      <c r="Q1907">
        <f t="shared" si="154"/>
        <v>-4</v>
      </c>
      <c r="R1907" t="str">
        <f t="shared" si="158"/>
        <v>Not open</v>
      </c>
    </row>
    <row r="1908" spans="1:18" x14ac:dyDescent="0.3">
      <c r="A1908" t="s">
        <v>2128</v>
      </c>
      <c r="B1908" t="s">
        <v>512</v>
      </c>
      <c r="C1908" t="s">
        <v>566</v>
      </c>
      <c r="D1908" s="1">
        <v>45458</v>
      </c>
      <c r="E1908" s="1">
        <v>45518</v>
      </c>
      <c r="F1908" t="s">
        <v>31</v>
      </c>
      <c r="G1908">
        <v>58553.18</v>
      </c>
      <c r="H1908" s="1">
        <v>45562</v>
      </c>
      <c r="I1908" t="s">
        <v>555</v>
      </c>
      <c r="J1908" t="s">
        <v>573</v>
      </c>
      <c r="K1908">
        <v>89.558199999999999</v>
      </c>
      <c r="L1908">
        <v>58553.18</v>
      </c>
      <c r="M1908">
        <f>IF(F1908="INR",1,INDEX('rates'!$B$2:$C$522,MATCH(D1908,'rates'!$A$2:$A$522,1),MATCH(F1908&amp;"/INR",'rates'!$B$1:$C$1,0)))</f>
        <v>89.379400000000004</v>
      </c>
      <c r="N1908">
        <f t="shared" si="155"/>
        <v>5233448.0964919999</v>
      </c>
      <c r="O1908">
        <f t="shared" si="156"/>
        <v>0</v>
      </c>
      <c r="P1908">
        <f t="shared" si="157"/>
        <v>0</v>
      </c>
      <c r="Q1908">
        <f t="shared" si="154"/>
        <v>44</v>
      </c>
      <c r="R1908" t="str">
        <f t="shared" si="158"/>
        <v>Not open</v>
      </c>
    </row>
    <row r="1909" spans="1:18" x14ac:dyDescent="0.3">
      <c r="A1909" t="s">
        <v>2129</v>
      </c>
      <c r="B1909" t="s">
        <v>516</v>
      </c>
      <c r="C1909" t="s">
        <v>560</v>
      </c>
      <c r="D1909" s="1">
        <v>45458</v>
      </c>
      <c r="E1909" s="1">
        <v>45518</v>
      </c>
      <c r="F1909" t="s">
        <v>13</v>
      </c>
      <c r="G1909">
        <v>33607556</v>
      </c>
      <c r="H1909" s="1">
        <v>45524</v>
      </c>
      <c r="I1909" t="s">
        <v>555</v>
      </c>
      <c r="J1909" t="s">
        <v>556</v>
      </c>
      <c r="L1909">
        <v>33607556</v>
      </c>
      <c r="M1909">
        <f>IF(F1909="INR",1,INDEX('rates'!$B$2:$C$522,MATCH(D1909,'rates'!$A$2:$A$522,1),MATCH(F1909&amp;"/INR",'rates'!$B$1:$C$1,0)))</f>
        <v>1</v>
      </c>
      <c r="N1909">
        <f t="shared" si="155"/>
        <v>33607556</v>
      </c>
      <c r="O1909">
        <f t="shared" si="156"/>
        <v>0</v>
      </c>
      <c r="P1909">
        <f t="shared" si="157"/>
        <v>0</v>
      </c>
      <c r="Q1909">
        <f t="shared" si="154"/>
        <v>6</v>
      </c>
      <c r="R1909" t="str">
        <f t="shared" si="158"/>
        <v>Not open</v>
      </c>
    </row>
    <row r="1910" spans="1:18" x14ac:dyDescent="0.3">
      <c r="A1910" t="s">
        <v>2130</v>
      </c>
      <c r="B1910" t="s">
        <v>472</v>
      </c>
      <c r="C1910" t="s">
        <v>558</v>
      </c>
      <c r="D1910" s="1">
        <v>45460</v>
      </c>
      <c r="E1910" s="1">
        <v>45520</v>
      </c>
      <c r="F1910" t="s">
        <v>36</v>
      </c>
      <c r="G1910">
        <v>64077.440000000002</v>
      </c>
      <c r="H1910" s="1">
        <v>45533</v>
      </c>
      <c r="I1910" t="s">
        <v>555</v>
      </c>
      <c r="J1910" t="s">
        <v>573</v>
      </c>
      <c r="K1910">
        <v>83.798400000000001</v>
      </c>
      <c r="L1910">
        <v>64077.440000000002</v>
      </c>
      <c r="M1910">
        <f>IF(F1910="INR",1,INDEX('rates'!$B$2:$C$522,MATCH(D1910,'rates'!$A$2:$A$522,1),MATCH(F1910&amp;"/INR",'rates'!$B$1:$C$1,0)))</f>
        <v>83.52</v>
      </c>
      <c r="N1910">
        <f t="shared" si="155"/>
        <v>5351747.7888000002</v>
      </c>
      <c r="O1910">
        <f t="shared" si="156"/>
        <v>0</v>
      </c>
      <c r="P1910">
        <f t="shared" si="157"/>
        <v>0</v>
      </c>
      <c r="Q1910">
        <f t="shared" si="154"/>
        <v>13</v>
      </c>
      <c r="R1910" t="str">
        <f t="shared" si="158"/>
        <v>Not open</v>
      </c>
    </row>
    <row r="1911" spans="1:18" x14ac:dyDescent="0.3">
      <c r="A1911" t="s">
        <v>2132</v>
      </c>
      <c r="B1911" t="s">
        <v>49</v>
      </c>
      <c r="C1911" t="s">
        <v>554</v>
      </c>
      <c r="D1911" s="1">
        <v>45461</v>
      </c>
      <c r="E1911" s="1">
        <v>45506</v>
      </c>
      <c r="F1911" t="s">
        <v>13</v>
      </c>
      <c r="G1911">
        <v>13366734</v>
      </c>
      <c r="H1911" s="1">
        <v>45519</v>
      </c>
      <c r="I1911" t="s">
        <v>555</v>
      </c>
      <c r="J1911" t="s">
        <v>556</v>
      </c>
      <c r="L1911">
        <v>13366734</v>
      </c>
      <c r="M1911">
        <f>IF(F1911="INR",1,INDEX('rates'!$B$2:$C$522,MATCH(D1911,'rates'!$A$2:$A$522,1),MATCH(F1911&amp;"/INR",'rates'!$B$1:$C$1,0)))</f>
        <v>1</v>
      </c>
      <c r="N1911">
        <f t="shared" si="155"/>
        <v>13366734</v>
      </c>
      <c r="O1911">
        <f t="shared" si="156"/>
        <v>0</v>
      </c>
      <c r="P1911">
        <f t="shared" si="157"/>
        <v>0</v>
      </c>
      <c r="Q1911">
        <f t="shared" si="154"/>
        <v>13</v>
      </c>
      <c r="R1911" t="str">
        <f t="shared" si="158"/>
        <v>Not open</v>
      </c>
    </row>
    <row r="1912" spans="1:18" x14ac:dyDescent="0.3">
      <c r="A1912" t="s">
        <v>2133</v>
      </c>
      <c r="B1912" t="s">
        <v>184</v>
      </c>
      <c r="C1912" t="s">
        <v>575</v>
      </c>
      <c r="D1912" s="1">
        <v>45461</v>
      </c>
      <c r="E1912" s="1">
        <v>45551</v>
      </c>
      <c r="F1912" t="s">
        <v>31</v>
      </c>
      <c r="G1912">
        <v>102034.26</v>
      </c>
      <c r="H1912" s="1">
        <v>45573</v>
      </c>
      <c r="I1912" t="s">
        <v>555</v>
      </c>
      <c r="J1912" t="s">
        <v>556</v>
      </c>
      <c r="L1912">
        <v>102034.26</v>
      </c>
      <c r="M1912">
        <f>IF(F1912="INR",1,INDEX('rates'!$B$2:$C$522,MATCH(D1912,'rates'!$A$2:$A$522,1),MATCH(F1912&amp;"/INR",'rates'!$B$1:$C$1,0)))</f>
        <v>89.584699999999998</v>
      </c>
      <c r="N1912">
        <f t="shared" si="155"/>
        <v>9140708.5718219988</v>
      </c>
      <c r="O1912">
        <f t="shared" si="156"/>
        <v>0</v>
      </c>
      <c r="P1912">
        <f t="shared" si="157"/>
        <v>0</v>
      </c>
      <c r="Q1912">
        <f t="shared" si="154"/>
        <v>22</v>
      </c>
      <c r="R1912" t="str">
        <f t="shared" si="158"/>
        <v>Not open</v>
      </c>
    </row>
    <row r="1913" spans="1:18" x14ac:dyDescent="0.3">
      <c r="A1913" t="s">
        <v>2134</v>
      </c>
      <c r="B1913" t="s">
        <v>310</v>
      </c>
      <c r="C1913" t="s">
        <v>558</v>
      </c>
      <c r="D1913" s="1">
        <v>45461</v>
      </c>
      <c r="E1913" s="1">
        <v>45521</v>
      </c>
      <c r="F1913" t="s">
        <v>31</v>
      </c>
      <c r="G1913">
        <v>62828.2</v>
      </c>
      <c r="H1913" s="1">
        <v>45532</v>
      </c>
      <c r="I1913" t="s">
        <v>555</v>
      </c>
      <c r="J1913" t="s">
        <v>556</v>
      </c>
      <c r="L1913">
        <v>62828.2</v>
      </c>
      <c r="M1913">
        <f>IF(F1913="INR",1,INDEX('rates'!$B$2:$C$522,MATCH(D1913,'rates'!$A$2:$A$522,1),MATCH(F1913&amp;"/INR",'rates'!$B$1:$C$1,0)))</f>
        <v>89.584699999999998</v>
      </c>
      <c r="N1913">
        <f t="shared" si="155"/>
        <v>5628445.4485399993</v>
      </c>
      <c r="O1913">
        <f t="shared" si="156"/>
        <v>0</v>
      </c>
      <c r="P1913">
        <f t="shared" si="157"/>
        <v>0</v>
      </c>
      <c r="Q1913">
        <f t="shared" si="154"/>
        <v>11</v>
      </c>
      <c r="R1913" t="str">
        <f t="shared" si="158"/>
        <v>Not open</v>
      </c>
    </row>
    <row r="1914" spans="1:18" x14ac:dyDescent="0.3">
      <c r="A1914" t="s">
        <v>2135</v>
      </c>
      <c r="B1914" t="s">
        <v>126</v>
      </c>
      <c r="C1914" t="s">
        <v>558</v>
      </c>
      <c r="D1914" s="1">
        <v>45462</v>
      </c>
      <c r="E1914" s="1">
        <v>45507</v>
      </c>
      <c r="F1914" t="s">
        <v>13</v>
      </c>
      <c r="G1914">
        <v>11999071</v>
      </c>
      <c r="H1914" s="1">
        <v>45508</v>
      </c>
      <c r="I1914" t="s">
        <v>555</v>
      </c>
      <c r="J1914" t="s">
        <v>556</v>
      </c>
      <c r="L1914">
        <v>11999071</v>
      </c>
      <c r="M1914">
        <f>IF(F1914="INR",1,INDEX('rates'!$B$2:$C$522,MATCH(D1914,'rates'!$A$2:$A$522,1),MATCH(F1914&amp;"/INR",'rates'!$B$1:$C$1,0)))</f>
        <v>1</v>
      </c>
      <c r="N1914">
        <f t="shared" si="155"/>
        <v>11999071</v>
      </c>
      <c r="O1914">
        <f t="shared" si="156"/>
        <v>0</v>
      </c>
      <c r="P1914">
        <f t="shared" si="157"/>
        <v>0</v>
      </c>
      <c r="Q1914">
        <f t="shared" si="154"/>
        <v>1</v>
      </c>
      <c r="R1914" t="str">
        <f t="shared" si="158"/>
        <v>Not open</v>
      </c>
    </row>
    <row r="1915" spans="1:18" x14ac:dyDescent="0.3">
      <c r="A1915" t="s">
        <v>2137</v>
      </c>
      <c r="B1915" t="s">
        <v>222</v>
      </c>
      <c r="C1915" t="s">
        <v>560</v>
      </c>
      <c r="D1915" s="1">
        <v>45462</v>
      </c>
      <c r="E1915" s="1">
        <v>45522</v>
      </c>
      <c r="F1915" t="s">
        <v>36</v>
      </c>
      <c r="G1915">
        <v>327513.45</v>
      </c>
      <c r="H1915" s="1">
        <v>45533</v>
      </c>
      <c r="I1915" t="s">
        <v>555</v>
      </c>
      <c r="J1915" t="s">
        <v>556</v>
      </c>
      <c r="L1915">
        <v>327513.45</v>
      </c>
      <c r="M1915">
        <f>IF(F1915="INR",1,INDEX('rates'!$B$2:$C$522,MATCH(D1915,'rates'!$A$2:$A$522,1),MATCH(F1915&amp;"/INR",'rates'!$B$1:$C$1,0)))</f>
        <v>83.42</v>
      </c>
      <c r="N1915">
        <f t="shared" si="155"/>
        <v>27321171.999000002</v>
      </c>
      <c r="O1915">
        <f t="shared" si="156"/>
        <v>0</v>
      </c>
      <c r="P1915">
        <f t="shared" si="157"/>
        <v>0</v>
      </c>
      <c r="Q1915">
        <f t="shared" si="154"/>
        <v>11</v>
      </c>
      <c r="R1915" t="str">
        <f t="shared" si="158"/>
        <v>Not open</v>
      </c>
    </row>
    <row r="1916" spans="1:18" x14ac:dyDescent="0.3">
      <c r="A1916" t="s">
        <v>2138</v>
      </c>
      <c r="B1916" t="s">
        <v>332</v>
      </c>
      <c r="C1916" t="s">
        <v>566</v>
      </c>
      <c r="D1916" s="1">
        <v>45462</v>
      </c>
      <c r="E1916" s="1">
        <v>45522</v>
      </c>
      <c r="F1916" t="s">
        <v>36</v>
      </c>
      <c r="G1916">
        <v>69159.05</v>
      </c>
      <c r="H1916" s="1">
        <v>45539</v>
      </c>
      <c r="I1916" t="s">
        <v>555</v>
      </c>
      <c r="J1916" t="s">
        <v>573</v>
      </c>
      <c r="K1916">
        <v>83.698099999999997</v>
      </c>
      <c r="L1916">
        <v>69159.05</v>
      </c>
      <c r="M1916">
        <f>IF(F1916="INR",1,INDEX('rates'!$B$2:$C$522,MATCH(D1916,'rates'!$A$2:$A$522,1),MATCH(F1916&amp;"/INR",'rates'!$B$1:$C$1,0)))</f>
        <v>83.42</v>
      </c>
      <c r="N1916">
        <f t="shared" si="155"/>
        <v>5769247.9510000004</v>
      </c>
      <c r="O1916">
        <f t="shared" si="156"/>
        <v>0</v>
      </c>
      <c r="P1916">
        <f t="shared" si="157"/>
        <v>0</v>
      </c>
      <c r="Q1916">
        <f t="shared" si="154"/>
        <v>17</v>
      </c>
      <c r="R1916" t="str">
        <f t="shared" si="158"/>
        <v>Not open</v>
      </c>
    </row>
    <row r="1917" spans="1:18" x14ac:dyDescent="0.3">
      <c r="A1917" t="s">
        <v>2139</v>
      </c>
      <c r="B1917" t="s">
        <v>418</v>
      </c>
      <c r="C1917" t="s">
        <v>558</v>
      </c>
      <c r="D1917" s="1">
        <v>45462</v>
      </c>
      <c r="E1917" s="1">
        <v>45507</v>
      </c>
      <c r="F1917" t="s">
        <v>13</v>
      </c>
      <c r="G1917">
        <v>11768735</v>
      </c>
      <c r="H1917" s="1">
        <v>45567</v>
      </c>
      <c r="I1917" t="s">
        <v>555</v>
      </c>
      <c r="J1917" t="s">
        <v>556</v>
      </c>
      <c r="L1917">
        <v>11768735</v>
      </c>
      <c r="M1917">
        <f>IF(F1917="INR",1,INDEX('rates'!$B$2:$C$522,MATCH(D1917,'rates'!$A$2:$A$522,1),MATCH(F1917&amp;"/INR",'rates'!$B$1:$C$1,0)))</f>
        <v>1</v>
      </c>
      <c r="N1917">
        <f t="shared" si="155"/>
        <v>11768735</v>
      </c>
      <c r="O1917">
        <f t="shared" si="156"/>
        <v>0</v>
      </c>
      <c r="P1917">
        <f t="shared" si="157"/>
        <v>0</v>
      </c>
      <c r="Q1917">
        <f t="shared" si="154"/>
        <v>60</v>
      </c>
      <c r="R1917" t="str">
        <f t="shared" si="158"/>
        <v>Not open</v>
      </c>
    </row>
    <row r="1918" spans="1:18" x14ac:dyDescent="0.3">
      <c r="A1918" t="s">
        <v>2140</v>
      </c>
      <c r="B1918" t="s">
        <v>322</v>
      </c>
      <c r="C1918" t="s">
        <v>566</v>
      </c>
      <c r="D1918" s="1">
        <v>45463</v>
      </c>
      <c r="E1918" s="1">
        <v>45523</v>
      </c>
      <c r="F1918" t="s">
        <v>13</v>
      </c>
      <c r="G1918">
        <v>1206232</v>
      </c>
      <c r="H1918" s="1">
        <v>45530</v>
      </c>
      <c r="I1918" t="s">
        <v>555</v>
      </c>
      <c r="J1918" t="s">
        <v>556</v>
      </c>
      <c r="L1918">
        <v>1206232</v>
      </c>
      <c r="M1918">
        <f>IF(F1918="INR",1,INDEX('rates'!$B$2:$C$522,MATCH(D1918,'rates'!$A$2:$A$522,1),MATCH(F1918&amp;"/INR",'rates'!$B$1:$C$1,0)))</f>
        <v>1</v>
      </c>
      <c r="N1918">
        <f t="shared" si="155"/>
        <v>1206232</v>
      </c>
      <c r="O1918">
        <f t="shared" si="156"/>
        <v>0</v>
      </c>
      <c r="P1918">
        <f t="shared" si="157"/>
        <v>0</v>
      </c>
      <c r="Q1918">
        <f t="shared" si="154"/>
        <v>7</v>
      </c>
      <c r="R1918" t="str">
        <f t="shared" si="158"/>
        <v>Not open</v>
      </c>
    </row>
    <row r="1919" spans="1:18" x14ac:dyDescent="0.3">
      <c r="A1919" t="s">
        <v>2141</v>
      </c>
      <c r="B1919" t="s">
        <v>328</v>
      </c>
      <c r="C1919" t="s">
        <v>560</v>
      </c>
      <c r="D1919" s="1">
        <v>45463</v>
      </c>
      <c r="E1919" s="1">
        <v>45508</v>
      </c>
      <c r="F1919" t="s">
        <v>13</v>
      </c>
      <c r="G1919">
        <v>7229651</v>
      </c>
      <c r="H1919" s="1">
        <v>45507</v>
      </c>
      <c r="I1919" t="s">
        <v>555</v>
      </c>
      <c r="J1919" t="s">
        <v>556</v>
      </c>
      <c r="L1919">
        <v>7229651</v>
      </c>
      <c r="M1919">
        <f>IF(F1919="INR",1,INDEX('rates'!$B$2:$C$522,MATCH(D1919,'rates'!$A$2:$A$522,1),MATCH(F1919&amp;"/INR",'rates'!$B$1:$C$1,0)))</f>
        <v>1</v>
      </c>
      <c r="N1919">
        <f t="shared" si="155"/>
        <v>7229651</v>
      </c>
      <c r="O1919">
        <f t="shared" si="156"/>
        <v>0</v>
      </c>
      <c r="P1919">
        <f t="shared" si="157"/>
        <v>0</v>
      </c>
      <c r="Q1919">
        <f t="shared" si="154"/>
        <v>-1</v>
      </c>
      <c r="R1919" t="str">
        <f t="shared" si="158"/>
        <v>Not open</v>
      </c>
    </row>
    <row r="1920" spans="1:18" x14ac:dyDescent="0.3">
      <c r="A1920" t="s">
        <v>2142</v>
      </c>
      <c r="B1920" t="s">
        <v>105</v>
      </c>
      <c r="C1920" t="s">
        <v>560</v>
      </c>
      <c r="D1920" s="1">
        <v>45464</v>
      </c>
      <c r="E1920" s="1">
        <v>45554</v>
      </c>
      <c r="F1920" t="s">
        <v>36</v>
      </c>
      <c r="G1920">
        <v>29023.4</v>
      </c>
      <c r="H1920" s="1">
        <v>45596</v>
      </c>
      <c r="I1920" t="s">
        <v>555</v>
      </c>
      <c r="J1920" t="s">
        <v>556</v>
      </c>
      <c r="L1920">
        <v>29023.4</v>
      </c>
      <c r="M1920">
        <f>IF(F1920="INR",1,INDEX('rates'!$B$2:$C$522,MATCH(D1920,'rates'!$A$2:$A$522,1),MATCH(F1920&amp;"/INR",'rates'!$B$1:$C$1,0)))</f>
        <v>83.53</v>
      </c>
      <c r="N1920">
        <f t="shared" si="155"/>
        <v>2424324.602</v>
      </c>
      <c r="O1920">
        <f t="shared" si="156"/>
        <v>0</v>
      </c>
      <c r="P1920">
        <f t="shared" si="157"/>
        <v>0</v>
      </c>
      <c r="Q1920">
        <f t="shared" ref="Q1920:Q1983" si="159">IF(H1920="","",H1920-E1920)</f>
        <v>42</v>
      </c>
      <c r="R1920" t="str">
        <f t="shared" si="158"/>
        <v>Not open</v>
      </c>
    </row>
    <row r="1921" spans="1:18" x14ac:dyDescent="0.3">
      <c r="A1921" t="s">
        <v>2143</v>
      </c>
      <c r="B1921" t="s">
        <v>262</v>
      </c>
      <c r="C1921" t="s">
        <v>566</v>
      </c>
      <c r="D1921" s="1">
        <v>45465</v>
      </c>
      <c r="E1921" s="1">
        <v>45555</v>
      </c>
      <c r="F1921" t="s">
        <v>31</v>
      </c>
      <c r="G1921">
        <v>150263.85999999999</v>
      </c>
      <c r="H1921" s="1">
        <v>45600</v>
      </c>
      <c r="I1921" t="s">
        <v>555</v>
      </c>
      <c r="J1921" t="s">
        <v>573</v>
      </c>
      <c r="K1921">
        <v>89.594999999999999</v>
      </c>
      <c r="L1921">
        <v>150263.85999999999</v>
      </c>
      <c r="M1921">
        <f>IF(F1921="INR",1,INDEX('rates'!$B$2:$C$522,MATCH(D1921,'rates'!$A$2:$A$522,1),MATCH(F1921&amp;"/INR",'rates'!$B$1:$C$1,0)))</f>
        <v>89.326999999999998</v>
      </c>
      <c r="N1921">
        <f t="shared" si="155"/>
        <v>13422619.822219998</v>
      </c>
      <c r="O1921">
        <f t="shared" si="156"/>
        <v>0</v>
      </c>
      <c r="P1921">
        <f t="shared" si="157"/>
        <v>0</v>
      </c>
      <c r="Q1921">
        <f t="shared" si="159"/>
        <v>45</v>
      </c>
      <c r="R1921" t="str">
        <f t="shared" si="158"/>
        <v>Not open</v>
      </c>
    </row>
    <row r="1922" spans="1:18" x14ac:dyDescent="0.3">
      <c r="A1922" t="s">
        <v>2144</v>
      </c>
      <c r="B1922" t="s">
        <v>466</v>
      </c>
      <c r="C1922" t="s">
        <v>558</v>
      </c>
      <c r="D1922" s="1">
        <v>45465</v>
      </c>
      <c r="E1922" s="1">
        <v>45525</v>
      </c>
      <c r="F1922" t="s">
        <v>31</v>
      </c>
      <c r="G1922">
        <v>30584.7</v>
      </c>
      <c r="H1922" s="1">
        <v>45528</v>
      </c>
      <c r="I1922" t="s">
        <v>555</v>
      </c>
      <c r="J1922" t="s">
        <v>556</v>
      </c>
      <c r="L1922">
        <v>30584.7</v>
      </c>
      <c r="M1922">
        <f>IF(F1922="INR",1,INDEX('rates'!$B$2:$C$522,MATCH(D1922,'rates'!$A$2:$A$522,1),MATCH(F1922&amp;"/INR",'rates'!$B$1:$C$1,0)))</f>
        <v>89.326999999999998</v>
      </c>
      <c r="N1922">
        <f t="shared" ref="N1922:N1985" si="160">G1922*M1922</f>
        <v>2732039.4969000001</v>
      </c>
      <c r="O1922">
        <f t="shared" ref="O1922:O1985" si="161">IF(OR(I1922="OPEN",I1922="PARTIALLY PAID"),(G1922-L1922)*M1922,0)</f>
        <v>0</v>
      </c>
      <c r="P1922">
        <f t="shared" ref="P1922:P1985" si="162">IF(O1922&gt;0,MAX(0,DATE(2025,3,31)-E1922),0)</f>
        <v>0</v>
      </c>
      <c r="Q1922">
        <f t="shared" si="159"/>
        <v>3</v>
      </c>
      <c r="R1922" t="str">
        <f t="shared" ref="R1922:R1985" si="163">IF(O1922=0,"Not open",IF(P1922=0,"Not yet due",IF(P1922&lt;=30,"1-30",IF(P1922&lt;=60,"31-60",IF(P1922&lt;=90,"61-90","90+")))))</f>
        <v>Not open</v>
      </c>
    </row>
    <row r="1923" spans="1:18" x14ac:dyDescent="0.3">
      <c r="A1923" t="s">
        <v>2145</v>
      </c>
      <c r="B1923" t="s">
        <v>115</v>
      </c>
      <c r="C1923" t="s">
        <v>554</v>
      </c>
      <c r="D1923" s="1">
        <v>45467</v>
      </c>
      <c r="E1923" s="1">
        <v>45527</v>
      </c>
      <c r="F1923" t="s">
        <v>13</v>
      </c>
      <c r="G1923">
        <v>12026791</v>
      </c>
      <c r="H1923" s="1">
        <v>45527</v>
      </c>
      <c r="I1923" t="s">
        <v>555</v>
      </c>
      <c r="J1923" t="s">
        <v>556</v>
      </c>
      <c r="L1923">
        <v>12026791</v>
      </c>
      <c r="M1923">
        <f>IF(F1923="INR",1,INDEX('rates'!$B$2:$C$522,MATCH(D1923,'rates'!$A$2:$A$522,1),MATCH(F1923&amp;"/INR",'rates'!$B$1:$C$1,0)))</f>
        <v>1</v>
      </c>
      <c r="N1923">
        <f t="shared" si="160"/>
        <v>12026791</v>
      </c>
      <c r="O1923">
        <f t="shared" si="161"/>
        <v>0</v>
      </c>
      <c r="P1923">
        <f t="shared" si="162"/>
        <v>0</v>
      </c>
      <c r="Q1923">
        <f t="shared" si="159"/>
        <v>0</v>
      </c>
      <c r="R1923" t="str">
        <f t="shared" si="163"/>
        <v>Not open</v>
      </c>
    </row>
    <row r="1924" spans="1:18" x14ac:dyDescent="0.3">
      <c r="A1924" t="s">
        <v>2146</v>
      </c>
      <c r="B1924" t="s">
        <v>262</v>
      </c>
      <c r="C1924" t="s">
        <v>566</v>
      </c>
      <c r="D1924" s="1">
        <v>45467</v>
      </c>
      <c r="E1924" s="1">
        <v>45557</v>
      </c>
      <c r="F1924" t="s">
        <v>31</v>
      </c>
      <c r="G1924">
        <v>432256.78</v>
      </c>
      <c r="H1924" s="1">
        <v>45580</v>
      </c>
      <c r="I1924" t="s">
        <v>555</v>
      </c>
      <c r="J1924" t="s">
        <v>556</v>
      </c>
      <c r="L1924">
        <v>432256.78</v>
      </c>
      <c r="M1924">
        <f>IF(F1924="INR",1,INDEX('rates'!$B$2:$C$522,MATCH(D1924,'rates'!$A$2:$A$522,1),MATCH(F1924&amp;"/INR",'rates'!$B$1:$C$1,0)))</f>
        <v>89.4846</v>
      </c>
      <c r="N1924">
        <f t="shared" si="160"/>
        <v>38680325.055588</v>
      </c>
      <c r="O1924">
        <f t="shared" si="161"/>
        <v>0</v>
      </c>
      <c r="P1924">
        <f t="shared" si="162"/>
        <v>0</v>
      </c>
      <c r="Q1924">
        <f t="shared" si="159"/>
        <v>23</v>
      </c>
      <c r="R1924" t="str">
        <f t="shared" si="163"/>
        <v>Not open</v>
      </c>
    </row>
    <row r="1925" spans="1:18" x14ac:dyDescent="0.3">
      <c r="A1925" t="s">
        <v>2147</v>
      </c>
      <c r="B1925" t="s">
        <v>436</v>
      </c>
      <c r="C1925" t="s">
        <v>566</v>
      </c>
      <c r="D1925" s="1">
        <v>45467</v>
      </c>
      <c r="E1925" s="1">
        <v>45512</v>
      </c>
      <c r="F1925" t="s">
        <v>36</v>
      </c>
      <c r="G1925">
        <v>91199.25</v>
      </c>
      <c r="H1925" s="1">
        <v>45534</v>
      </c>
      <c r="I1925" t="s">
        <v>555</v>
      </c>
      <c r="J1925" t="s">
        <v>573</v>
      </c>
      <c r="K1925">
        <v>83.628600000000006</v>
      </c>
      <c r="L1925">
        <v>91199.25</v>
      </c>
      <c r="M1925">
        <f>IF(F1925="INR",1,INDEX('rates'!$B$2:$C$522,MATCH(D1925,'rates'!$A$2:$A$522,1),MATCH(F1925&amp;"/INR",'rates'!$B$1:$C$1,0)))</f>
        <v>83.42</v>
      </c>
      <c r="N1925">
        <f t="shared" si="160"/>
        <v>7607841.4350000005</v>
      </c>
      <c r="O1925">
        <f t="shared" si="161"/>
        <v>0</v>
      </c>
      <c r="P1925">
        <f t="shared" si="162"/>
        <v>0</v>
      </c>
      <c r="Q1925">
        <f t="shared" si="159"/>
        <v>22</v>
      </c>
      <c r="R1925" t="str">
        <f t="shared" si="163"/>
        <v>Not open</v>
      </c>
    </row>
    <row r="1926" spans="1:18" x14ac:dyDescent="0.3">
      <c r="A1926" t="s">
        <v>2148</v>
      </c>
      <c r="B1926" t="s">
        <v>528</v>
      </c>
      <c r="C1926" t="s">
        <v>566</v>
      </c>
      <c r="D1926" s="1">
        <v>45467</v>
      </c>
      <c r="E1926" s="1">
        <v>45527</v>
      </c>
      <c r="F1926" t="s">
        <v>13</v>
      </c>
      <c r="G1926">
        <v>37949557</v>
      </c>
      <c r="H1926" s="1">
        <v>45548</v>
      </c>
      <c r="I1926" t="s">
        <v>555</v>
      </c>
      <c r="J1926" t="s">
        <v>556</v>
      </c>
      <c r="L1926">
        <v>37949557</v>
      </c>
      <c r="M1926">
        <f>IF(F1926="INR",1,INDEX('rates'!$B$2:$C$522,MATCH(D1926,'rates'!$A$2:$A$522,1),MATCH(F1926&amp;"/INR",'rates'!$B$1:$C$1,0)))</f>
        <v>1</v>
      </c>
      <c r="N1926">
        <f t="shared" si="160"/>
        <v>37949557</v>
      </c>
      <c r="O1926">
        <f t="shared" si="161"/>
        <v>0</v>
      </c>
      <c r="P1926">
        <f t="shared" si="162"/>
        <v>0</v>
      </c>
      <c r="Q1926">
        <f t="shared" si="159"/>
        <v>21</v>
      </c>
      <c r="R1926" t="str">
        <f t="shared" si="163"/>
        <v>Not open</v>
      </c>
    </row>
    <row r="1927" spans="1:18" x14ac:dyDescent="0.3">
      <c r="A1927" t="s">
        <v>2149</v>
      </c>
      <c r="B1927" t="s">
        <v>28</v>
      </c>
      <c r="C1927" t="s">
        <v>566</v>
      </c>
      <c r="D1927" s="1">
        <v>45468</v>
      </c>
      <c r="E1927" s="1">
        <v>45498</v>
      </c>
      <c r="F1927" t="s">
        <v>31</v>
      </c>
      <c r="G1927">
        <v>44377.57</v>
      </c>
      <c r="H1927" s="1">
        <v>45500</v>
      </c>
      <c r="I1927" t="s">
        <v>555</v>
      </c>
      <c r="J1927" t="s">
        <v>573</v>
      </c>
      <c r="K1927">
        <v>89.369</v>
      </c>
      <c r="L1927">
        <v>44377.57</v>
      </c>
      <c r="M1927">
        <f>IF(F1927="INR",1,INDEX('rates'!$B$2:$C$522,MATCH(D1927,'rates'!$A$2:$A$522,1),MATCH(F1927&amp;"/INR",'rates'!$B$1:$C$1,0)))</f>
        <v>89.279700000000005</v>
      </c>
      <c r="N1927">
        <f t="shared" si="160"/>
        <v>3962016.1363290004</v>
      </c>
      <c r="O1927">
        <f t="shared" si="161"/>
        <v>0</v>
      </c>
      <c r="P1927">
        <f t="shared" si="162"/>
        <v>0</v>
      </c>
      <c r="Q1927">
        <f t="shared" si="159"/>
        <v>2</v>
      </c>
      <c r="R1927" t="str">
        <f t="shared" si="163"/>
        <v>Not open</v>
      </c>
    </row>
    <row r="1928" spans="1:18" x14ac:dyDescent="0.3">
      <c r="A1928" t="s">
        <v>2150</v>
      </c>
      <c r="B1928" t="s">
        <v>154</v>
      </c>
      <c r="C1928" t="s">
        <v>566</v>
      </c>
      <c r="D1928" s="1">
        <v>45468</v>
      </c>
      <c r="E1928" s="1">
        <v>45498</v>
      </c>
      <c r="F1928" t="s">
        <v>13</v>
      </c>
      <c r="G1928">
        <v>12648729</v>
      </c>
      <c r="H1928" s="1">
        <v>45493</v>
      </c>
      <c r="I1928" t="s">
        <v>555</v>
      </c>
      <c r="J1928" t="s">
        <v>556</v>
      </c>
      <c r="L1928">
        <v>12648729</v>
      </c>
      <c r="M1928">
        <f>IF(F1928="INR",1,INDEX('rates'!$B$2:$C$522,MATCH(D1928,'rates'!$A$2:$A$522,1),MATCH(F1928&amp;"/INR",'rates'!$B$1:$C$1,0)))</f>
        <v>1</v>
      </c>
      <c r="N1928">
        <f t="shared" si="160"/>
        <v>12648729</v>
      </c>
      <c r="O1928">
        <f t="shared" si="161"/>
        <v>0</v>
      </c>
      <c r="P1928">
        <f t="shared" si="162"/>
        <v>0</v>
      </c>
      <c r="Q1928">
        <f t="shared" si="159"/>
        <v>-5</v>
      </c>
      <c r="R1928" t="str">
        <f t="shared" si="163"/>
        <v>Not open</v>
      </c>
    </row>
    <row r="1929" spans="1:18" x14ac:dyDescent="0.3">
      <c r="A1929" t="s">
        <v>2151</v>
      </c>
      <c r="B1929" t="s">
        <v>206</v>
      </c>
      <c r="C1929" t="s">
        <v>566</v>
      </c>
      <c r="D1929" s="1">
        <v>45468</v>
      </c>
      <c r="E1929" s="1">
        <v>45513</v>
      </c>
      <c r="F1929" t="s">
        <v>13</v>
      </c>
      <c r="G1929">
        <v>5529939</v>
      </c>
      <c r="H1929" s="1">
        <v>45552</v>
      </c>
      <c r="I1929" t="s">
        <v>555</v>
      </c>
      <c r="J1929" t="s">
        <v>556</v>
      </c>
      <c r="L1929">
        <v>5529939</v>
      </c>
      <c r="M1929">
        <f>IF(F1929="INR",1,INDEX('rates'!$B$2:$C$522,MATCH(D1929,'rates'!$A$2:$A$522,1),MATCH(F1929&amp;"/INR",'rates'!$B$1:$C$1,0)))</f>
        <v>1</v>
      </c>
      <c r="N1929">
        <f t="shared" si="160"/>
        <v>5529939</v>
      </c>
      <c r="O1929">
        <f t="shared" si="161"/>
        <v>0</v>
      </c>
      <c r="P1929">
        <f t="shared" si="162"/>
        <v>0</v>
      </c>
      <c r="Q1929">
        <f t="shared" si="159"/>
        <v>39</v>
      </c>
      <c r="R1929" t="str">
        <f t="shared" si="163"/>
        <v>Not open</v>
      </c>
    </row>
    <row r="1930" spans="1:18" x14ac:dyDescent="0.3">
      <c r="A1930" t="s">
        <v>2152</v>
      </c>
      <c r="B1930" t="s">
        <v>318</v>
      </c>
      <c r="C1930" t="s">
        <v>558</v>
      </c>
      <c r="D1930" s="1">
        <v>45468</v>
      </c>
      <c r="E1930" s="1">
        <v>45528</v>
      </c>
      <c r="F1930" t="s">
        <v>36</v>
      </c>
      <c r="G1930">
        <v>33489.96</v>
      </c>
      <c r="H1930" s="1">
        <v>45549</v>
      </c>
      <c r="I1930" t="s">
        <v>555</v>
      </c>
      <c r="J1930" t="s">
        <v>573</v>
      </c>
      <c r="K1930">
        <v>83.677999999999997</v>
      </c>
      <c r="L1930">
        <v>33489.96</v>
      </c>
      <c r="M1930">
        <f>IF(F1930="INR",1,INDEX('rates'!$B$2:$C$522,MATCH(D1930,'rates'!$A$2:$A$522,1),MATCH(F1930&amp;"/INR",'rates'!$B$1:$C$1,0)))</f>
        <v>83.4</v>
      </c>
      <c r="N1930">
        <f t="shared" si="160"/>
        <v>2793062.6640000003</v>
      </c>
      <c r="O1930">
        <f t="shared" si="161"/>
        <v>0</v>
      </c>
      <c r="P1930">
        <f t="shared" si="162"/>
        <v>0</v>
      </c>
      <c r="Q1930">
        <f t="shared" si="159"/>
        <v>21</v>
      </c>
      <c r="R1930" t="str">
        <f t="shared" si="163"/>
        <v>Not open</v>
      </c>
    </row>
    <row r="1931" spans="1:18" x14ac:dyDescent="0.3">
      <c r="A1931" t="s">
        <v>2153</v>
      </c>
      <c r="B1931" t="s">
        <v>496</v>
      </c>
      <c r="C1931" t="s">
        <v>554</v>
      </c>
      <c r="D1931" s="1">
        <v>45468</v>
      </c>
      <c r="E1931" s="1">
        <v>45513</v>
      </c>
      <c r="F1931" t="s">
        <v>13</v>
      </c>
      <c r="G1931">
        <v>1992835</v>
      </c>
      <c r="H1931" s="1">
        <v>45516</v>
      </c>
      <c r="I1931" t="s">
        <v>555</v>
      </c>
      <c r="J1931" t="s">
        <v>556</v>
      </c>
      <c r="L1931">
        <v>1992835</v>
      </c>
      <c r="M1931">
        <f>IF(F1931="INR",1,INDEX('rates'!$B$2:$C$522,MATCH(D1931,'rates'!$A$2:$A$522,1),MATCH(F1931&amp;"/INR",'rates'!$B$1:$C$1,0)))</f>
        <v>1</v>
      </c>
      <c r="N1931">
        <f t="shared" si="160"/>
        <v>1992835</v>
      </c>
      <c r="O1931">
        <f t="shared" si="161"/>
        <v>0</v>
      </c>
      <c r="P1931">
        <f t="shared" si="162"/>
        <v>0</v>
      </c>
      <c r="Q1931">
        <f t="shared" si="159"/>
        <v>3</v>
      </c>
      <c r="R1931" t="str">
        <f t="shared" si="163"/>
        <v>Not open</v>
      </c>
    </row>
    <row r="1932" spans="1:18" x14ac:dyDescent="0.3">
      <c r="A1932" t="s">
        <v>2154</v>
      </c>
      <c r="B1932" t="s">
        <v>16</v>
      </c>
      <c r="C1932" t="s">
        <v>575</v>
      </c>
      <c r="D1932" s="1">
        <v>45469</v>
      </c>
      <c r="E1932" s="1">
        <v>45514</v>
      </c>
      <c r="F1932" t="s">
        <v>13</v>
      </c>
      <c r="G1932">
        <v>1885326</v>
      </c>
      <c r="H1932" s="1">
        <v>45523</v>
      </c>
      <c r="I1932" t="s">
        <v>555</v>
      </c>
      <c r="J1932" t="s">
        <v>556</v>
      </c>
      <c r="L1932">
        <v>1885326</v>
      </c>
      <c r="M1932">
        <f>IF(F1932="INR",1,INDEX('rates'!$B$2:$C$522,MATCH(D1932,'rates'!$A$2:$A$522,1),MATCH(F1932&amp;"/INR",'rates'!$B$1:$C$1,0)))</f>
        <v>1</v>
      </c>
      <c r="N1932">
        <f t="shared" si="160"/>
        <v>1885326</v>
      </c>
      <c r="O1932">
        <f t="shared" si="161"/>
        <v>0</v>
      </c>
      <c r="P1932">
        <f t="shared" si="162"/>
        <v>0</v>
      </c>
      <c r="Q1932">
        <f t="shared" si="159"/>
        <v>9</v>
      </c>
      <c r="R1932" t="str">
        <f t="shared" si="163"/>
        <v>Not open</v>
      </c>
    </row>
    <row r="1933" spans="1:18" x14ac:dyDescent="0.3">
      <c r="A1933" t="s">
        <v>2155</v>
      </c>
      <c r="B1933" t="s">
        <v>126</v>
      </c>
      <c r="C1933" t="s">
        <v>558</v>
      </c>
      <c r="D1933" s="1">
        <v>45469</v>
      </c>
      <c r="E1933" s="1">
        <v>45514</v>
      </c>
      <c r="F1933" t="s">
        <v>13</v>
      </c>
      <c r="G1933">
        <v>4000403</v>
      </c>
      <c r="H1933" s="1">
        <v>45515</v>
      </c>
      <c r="I1933" t="s">
        <v>555</v>
      </c>
      <c r="J1933" t="s">
        <v>556</v>
      </c>
      <c r="L1933">
        <v>4000403</v>
      </c>
      <c r="M1933">
        <f>IF(F1933="INR",1,INDEX('rates'!$B$2:$C$522,MATCH(D1933,'rates'!$A$2:$A$522,1),MATCH(F1933&amp;"/INR",'rates'!$B$1:$C$1,0)))</f>
        <v>1</v>
      </c>
      <c r="N1933">
        <f t="shared" si="160"/>
        <v>4000403</v>
      </c>
      <c r="O1933">
        <f t="shared" si="161"/>
        <v>0</v>
      </c>
      <c r="P1933">
        <f t="shared" si="162"/>
        <v>0</v>
      </c>
      <c r="Q1933">
        <f t="shared" si="159"/>
        <v>1</v>
      </c>
      <c r="R1933" t="str">
        <f t="shared" si="163"/>
        <v>Not open</v>
      </c>
    </row>
    <row r="1934" spans="1:18" x14ac:dyDescent="0.3">
      <c r="A1934" t="s">
        <v>2156</v>
      </c>
      <c r="B1934" t="s">
        <v>322</v>
      </c>
      <c r="C1934" t="s">
        <v>558</v>
      </c>
      <c r="D1934" s="1">
        <v>45469</v>
      </c>
      <c r="E1934" s="1">
        <v>45529</v>
      </c>
      <c r="F1934" t="s">
        <v>13</v>
      </c>
      <c r="G1934">
        <v>11271288</v>
      </c>
      <c r="H1934" s="1">
        <v>45555</v>
      </c>
      <c r="I1934" t="s">
        <v>555</v>
      </c>
      <c r="J1934" t="s">
        <v>556</v>
      </c>
      <c r="L1934">
        <v>11271288</v>
      </c>
      <c r="M1934">
        <f>IF(F1934="INR",1,INDEX('rates'!$B$2:$C$522,MATCH(D1934,'rates'!$A$2:$A$522,1),MATCH(F1934&amp;"/INR",'rates'!$B$1:$C$1,0)))</f>
        <v>1</v>
      </c>
      <c r="N1934">
        <f t="shared" si="160"/>
        <v>11271288</v>
      </c>
      <c r="O1934">
        <f t="shared" si="161"/>
        <v>0</v>
      </c>
      <c r="P1934">
        <f t="shared" si="162"/>
        <v>0</v>
      </c>
      <c r="Q1934">
        <f t="shared" si="159"/>
        <v>26</v>
      </c>
      <c r="R1934" t="str">
        <f t="shared" si="163"/>
        <v>Not open</v>
      </c>
    </row>
    <row r="1935" spans="1:18" x14ac:dyDescent="0.3">
      <c r="A1935" t="s">
        <v>2157</v>
      </c>
      <c r="B1935" t="s">
        <v>406</v>
      </c>
      <c r="C1935" t="s">
        <v>554</v>
      </c>
      <c r="D1935" s="1">
        <v>45469</v>
      </c>
      <c r="E1935" s="1">
        <v>45559</v>
      </c>
      <c r="F1935" t="s">
        <v>13</v>
      </c>
      <c r="G1935">
        <v>4699333</v>
      </c>
      <c r="H1935" s="1">
        <v>45561</v>
      </c>
      <c r="I1935" t="s">
        <v>555</v>
      </c>
      <c r="J1935" t="s">
        <v>556</v>
      </c>
      <c r="L1935">
        <v>4699333</v>
      </c>
      <c r="M1935">
        <f>IF(F1935="INR",1,INDEX('rates'!$B$2:$C$522,MATCH(D1935,'rates'!$A$2:$A$522,1),MATCH(F1935&amp;"/INR",'rates'!$B$1:$C$1,0)))</f>
        <v>1</v>
      </c>
      <c r="N1935">
        <f t="shared" si="160"/>
        <v>4699333</v>
      </c>
      <c r="O1935">
        <f t="shared" si="161"/>
        <v>0</v>
      </c>
      <c r="P1935">
        <f t="shared" si="162"/>
        <v>0</v>
      </c>
      <c r="Q1935">
        <f t="shared" si="159"/>
        <v>2</v>
      </c>
      <c r="R1935" t="str">
        <f t="shared" si="163"/>
        <v>Not open</v>
      </c>
    </row>
    <row r="1936" spans="1:18" x14ac:dyDescent="0.3">
      <c r="A1936" t="s">
        <v>2158</v>
      </c>
      <c r="B1936" t="s">
        <v>512</v>
      </c>
      <c r="C1936" t="s">
        <v>566</v>
      </c>
      <c r="D1936" s="1">
        <v>45469</v>
      </c>
      <c r="E1936" s="1">
        <v>45529</v>
      </c>
      <c r="F1936" t="s">
        <v>31</v>
      </c>
      <c r="G1936">
        <v>154945.41</v>
      </c>
      <c r="H1936" s="1">
        <v>45569</v>
      </c>
      <c r="I1936" t="s">
        <v>555</v>
      </c>
      <c r="J1936" t="s">
        <v>556</v>
      </c>
      <c r="L1936">
        <v>154945.41</v>
      </c>
      <c r="M1936">
        <f>IF(F1936="INR",1,INDEX('rates'!$B$2:$C$522,MATCH(D1936,'rates'!$A$2:$A$522,1),MATCH(F1936&amp;"/INR",'rates'!$B$1:$C$1,0)))</f>
        <v>89.248099999999994</v>
      </c>
      <c r="N1936">
        <f t="shared" si="160"/>
        <v>13828583.446221</v>
      </c>
      <c r="O1936">
        <f t="shared" si="161"/>
        <v>0</v>
      </c>
      <c r="P1936">
        <f t="shared" si="162"/>
        <v>0</v>
      </c>
      <c r="Q1936">
        <f t="shared" si="159"/>
        <v>40</v>
      </c>
      <c r="R1936" t="str">
        <f t="shared" si="163"/>
        <v>Not open</v>
      </c>
    </row>
    <row r="1937" spans="1:18" x14ac:dyDescent="0.3">
      <c r="A1937" t="s">
        <v>2159</v>
      </c>
      <c r="B1937" t="s">
        <v>318</v>
      </c>
      <c r="C1937" t="s">
        <v>558</v>
      </c>
      <c r="D1937" s="1">
        <v>45470</v>
      </c>
      <c r="E1937" s="1">
        <v>45530</v>
      </c>
      <c r="F1937" t="s">
        <v>36</v>
      </c>
      <c r="G1937">
        <v>130478.06</v>
      </c>
      <c r="H1937" s="1">
        <v>45560</v>
      </c>
      <c r="I1937" t="s">
        <v>555</v>
      </c>
      <c r="J1937" t="s">
        <v>556</v>
      </c>
      <c r="L1937">
        <v>130478.06</v>
      </c>
      <c r="M1937">
        <f>IF(F1937="INR",1,INDEX('rates'!$B$2:$C$522,MATCH(D1937,'rates'!$A$2:$A$522,1),MATCH(F1937&amp;"/INR",'rates'!$B$1:$C$1,0)))</f>
        <v>83.44</v>
      </c>
      <c r="N1937">
        <f t="shared" si="160"/>
        <v>10887089.326399999</v>
      </c>
      <c r="O1937">
        <f t="shared" si="161"/>
        <v>0</v>
      </c>
      <c r="P1937">
        <f t="shared" si="162"/>
        <v>0</v>
      </c>
      <c r="Q1937">
        <f t="shared" si="159"/>
        <v>30</v>
      </c>
      <c r="R1937" t="str">
        <f t="shared" si="163"/>
        <v>Not open</v>
      </c>
    </row>
    <row r="1938" spans="1:18" x14ac:dyDescent="0.3">
      <c r="A1938" t="s">
        <v>2160</v>
      </c>
      <c r="B1938" t="s">
        <v>334</v>
      </c>
      <c r="C1938" t="s">
        <v>560</v>
      </c>
      <c r="D1938" s="1">
        <v>45470</v>
      </c>
      <c r="E1938" s="1">
        <v>45560</v>
      </c>
      <c r="F1938" t="s">
        <v>13</v>
      </c>
      <c r="G1938">
        <v>6032935</v>
      </c>
      <c r="H1938" s="1">
        <v>45570</v>
      </c>
      <c r="I1938" t="s">
        <v>555</v>
      </c>
      <c r="J1938" t="s">
        <v>556</v>
      </c>
      <c r="L1938">
        <v>6032935</v>
      </c>
      <c r="M1938">
        <f>IF(F1938="INR",1,INDEX('rates'!$B$2:$C$522,MATCH(D1938,'rates'!$A$2:$A$522,1),MATCH(F1938&amp;"/INR",'rates'!$B$1:$C$1,0)))</f>
        <v>1</v>
      </c>
      <c r="N1938">
        <f t="shared" si="160"/>
        <v>6032935</v>
      </c>
      <c r="O1938">
        <f t="shared" si="161"/>
        <v>0</v>
      </c>
      <c r="P1938">
        <f t="shared" si="162"/>
        <v>0</v>
      </c>
      <c r="Q1938">
        <f t="shared" si="159"/>
        <v>10</v>
      </c>
      <c r="R1938" t="str">
        <f t="shared" si="163"/>
        <v>Not open</v>
      </c>
    </row>
    <row r="1939" spans="1:18" x14ac:dyDescent="0.3">
      <c r="A1939" t="s">
        <v>2161</v>
      </c>
      <c r="B1939" t="s">
        <v>462</v>
      </c>
      <c r="C1939" t="s">
        <v>566</v>
      </c>
      <c r="D1939" s="1">
        <v>45470</v>
      </c>
      <c r="E1939" s="1">
        <v>45515</v>
      </c>
      <c r="F1939" t="s">
        <v>13</v>
      </c>
      <c r="G1939">
        <v>6512040</v>
      </c>
      <c r="H1939" s="1">
        <v>45530</v>
      </c>
      <c r="I1939" t="s">
        <v>555</v>
      </c>
      <c r="J1939" t="s">
        <v>556</v>
      </c>
      <c r="L1939">
        <v>6512040</v>
      </c>
      <c r="M1939">
        <f>IF(F1939="INR",1,INDEX('rates'!$B$2:$C$522,MATCH(D1939,'rates'!$A$2:$A$522,1),MATCH(F1939&amp;"/INR",'rates'!$B$1:$C$1,0)))</f>
        <v>1</v>
      </c>
      <c r="N1939">
        <f t="shared" si="160"/>
        <v>6512040</v>
      </c>
      <c r="O1939">
        <f t="shared" si="161"/>
        <v>0</v>
      </c>
      <c r="P1939">
        <f t="shared" si="162"/>
        <v>0</v>
      </c>
      <c r="Q1939">
        <f t="shared" si="159"/>
        <v>15</v>
      </c>
      <c r="R1939" t="str">
        <f t="shared" si="163"/>
        <v>Not open</v>
      </c>
    </row>
    <row r="1940" spans="1:18" x14ac:dyDescent="0.3">
      <c r="A1940" t="s">
        <v>2162</v>
      </c>
      <c r="B1940" t="s">
        <v>500</v>
      </c>
      <c r="C1940" t="s">
        <v>554</v>
      </c>
      <c r="D1940" s="1">
        <v>45470</v>
      </c>
      <c r="E1940" s="1">
        <v>45500</v>
      </c>
      <c r="F1940" t="s">
        <v>13</v>
      </c>
      <c r="G1940">
        <v>2713331</v>
      </c>
      <c r="H1940" s="1">
        <v>45526</v>
      </c>
      <c r="I1940" t="s">
        <v>555</v>
      </c>
      <c r="J1940" t="s">
        <v>556</v>
      </c>
      <c r="L1940">
        <v>2713331</v>
      </c>
      <c r="M1940">
        <f>IF(F1940="INR",1,INDEX('rates'!$B$2:$C$522,MATCH(D1940,'rates'!$A$2:$A$522,1),MATCH(F1940&amp;"/INR",'rates'!$B$1:$C$1,0)))</f>
        <v>1</v>
      </c>
      <c r="N1940">
        <f t="shared" si="160"/>
        <v>2713331</v>
      </c>
      <c r="O1940">
        <f t="shared" si="161"/>
        <v>0</v>
      </c>
      <c r="P1940">
        <f t="shared" si="162"/>
        <v>0</v>
      </c>
      <c r="Q1940">
        <f t="shared" si="159"/>
        <v>26</v>
      </c>
      <c r="R1940" t="str">
        <f t="shared" si="163"/>
        <v>Not open</v>
      </c>
    </row>
    <row r="1941" spans="1:18" x14ac:dyDescent="0.3">
      <c r="A1941" t="s">
        <v>2163</v>
      </c>
      <c r="B1941" t="s">
        <v>105</v>
      </c>
      <c r="C1941" t="s">
        <v>560</v>
      </c>
      <c r="D1941" s="1">
        <v>45471</v>
      </c>
      <c r="E1941" s="1">
        <v>45561</v>
      </c>
      <c r="F1941" t="s">
        <v>36</v>
      </c>
      <c r="G1941">
        <v>84790.19</v>
      </c>
      <c r="H1941" s="1">
        <v>45579</v>
      </c>
      <c r="I1941" t="s">
        <v>555</v>
      </c>
      <c r="J1941" t="s">
        <v>573</v>
      </c>
      <c r="K1941">
        <v>83.746600000000001</v>
      </c>
      <c r="L1941">
        <v>84790.19</v>
      </c>
      <c r="M1941">
        <f>IF(F1941="INR",1,INDEX('rates'!$B$2:$C$522,MATCH(D1941,'rates'!$A$2:$A$522,1),MATCH(F1941&amp;"/INR",'rates'!$B$1:$C$1,0)))</f>
        <v>83.33</v>
      </c>
      <c r="N1941">
        <f t="shared" si="160"/>
        <v>7065566.5327000003</v>
      </c>
      <c r="O1941">
        <f t="shared" si="161"/>
        <v>0</v>
      </c>
      <c r="P1941">
        <f t="shared" si="162"/>
        <v>0</v>
      </c>
      <c r="Q1941">
        <f t="shared" si="159"/>
        <v>18</v>
      </c>
      <c r="R1941" t="str">
        <f t="shared" si="163"/>
        <v>Not open</v>
      </c>
    </row>
    <row r="1942" spans="1:18" x14ac:dyDescent="0.3">
      <c r="A1942" t="s">
        <v>2165</v>
      </c>
      <c r="B1942" t="s">
        <v>496</v>
      </c>
      <c r="C1942" t="s">
        <v>554</v>
      </c>
      <c r="D1942" s="1">
        <v>45471</v>
      </c>
      <c r="E1942" s="1">
        <v>45516</v>
      </c>
      <c r="F1942" t="s">
        <v>13</v>
      </c>
      <c r="G1942">
        <v>16199211</v>
      </c>
      <c r="H1942" s="1">
        <v>45530</v>
      </c>
      <c r="I1942" t="s">
        <v>555</v>
      </c>
      <c r="J1942" t="s">
        <v>556</v>
      </c>
      <c r="L1942">
        <v>16199211</v>
      </c>
      <c r="M1942">
        <f>IF(F1942="INR",1,INDEX('rates'!$B$2:$C$522,MATCH(D1942,'rates'!$A$2:$A$522,1),MATCH(F1942&amp;"/INR",'rates'!$B$1:$C$1,0)))</f>
        <v>1</v>
      </c>
      <c r="N1942">
        <f t="shared" si="160"/>
        <v>16199211</v>
      </c>
      <c r="O1942">
        <f t="shared" si="161"/>
        <v>0</v>
      </c>
      <c r="P1942">
        <f t="shared" si="162"/>
        <v>0</v>
      </c>
      <c r="Q1942">
        <f t="shared" si="159"/>
        <v>14</v>
      </c>
      <c r="R1942" t="str">
        <f t="shared" si="163"/>
        <v>Not open</v>
      </c>
    </row>
    <row r="1943" spans="1:18" x14ac:dyDescent="0.3">
      <c r="A1943" t="s">
        <v>2166</v>
      </c>
      <c r="B1943" t="s">
        <v>42</v>
      </c>
      <c r="C1943" t="s">
        <v>566</v>
      </c>
      <c r="D1943" s="1">
        <v>45472</v>
      </c>
      <c r="E1943" s="1">
        <v>45532</v>
      </c>
      <c r="F1943" t="s">
        <v>13</v>
      </c>
      <c r="G1943">
        <v>2148441</v>
      </c>
      <c r="H1943" s="1">
        <v>45538</v>
      </c>
      <c r="I1943" t="s">
        <v>555</v>
      </c>
      <c r="J1943" t="s">
        <v>556</v>
      </c>
      <c r="L1943">
        <v>2148441</v>
      </c>
      <c r="M1943">
        <f>IF(F1943="INR",1,INDEX('rates'!$B$2:$C$522,MATCH(D1943,'rates'!$A$2:$A$522,1),MATCH(F1943&amp;"/INR",'rates'!$B$1:$C$1,0)))</f>
        <v>1</v>
      </c>
      <c r="N1943">
        <f t="shared" si="160"/>
        <v>2148441</v>
      </c>
      <c r="O1943">
        <f t="shared" si="161"/>
        <v>0</v>
      </c>
      <c r="P1943">
        <f t="shared" si="162"/>
        <v>0</v>
      </c>
      <c r="Q1943">
        <f t="shared" si="159"/>
        <v>6</v>
      </c>
      <c r="R1943" t="str">
        <f t="shared" si="163"/>
        <v>Not open</v>
      </c>
    </row>
    <row r="1944" spans="1:18" x14ac:dyDescent="0.3">
      <c r="A1944" t="s">
        <v>2167</v>
      </c>
      <c r="B1944" t="s">
        <v>152</v>
      </c>
      <c r="C1944" t="s">
        <v>558</v>
      </c>
      <c r="D1944" s="1">
        <v>45472</v>
      </c>
      <c r="E1944" s="1">
        <v>45532</v>
      </c>
      <c r="F1944" t="s">
        <v>13</v>
      </c>
      <c r="G1944">
        <v>27231908</v>
      </c>
      <c r="H1944" s="1">
        <v>45538</v>
      </c>
      <c r="I1944" t="s">
        <v>555</v>
      </c>
      <c r="J1944" t="s">
        <v>556</v>
      </c>
      <c r="L1944">
        <v>27231908</v>
      </c>
      <c r="M1944">
        <f>IF(F1944="INR",1,INDEX('rates'!$B$2:$C$522,MATCH(D1944,'rates'!$A$2:$A$522,1),MATCH(F1944&amp;"/INR",'rates'!$B$1:$C$1,0)))</f>
        <v>1</v>
      </c>
      <c r="N1944">
        <f t="shared" si="160"/>
        <v>27231908</v>
      </c>
      <c r="O1944">
        <f t="shared" si="161"/>
        <v>0</v>
      </c>
      <c r="P1944">
        <f t="shared" si="162"/>
        <v>0</v>
      </c>
      <c r="Q1944">
        <f t="shared" si="159"/>
        <v>6</v>
      </c>
      <c r="R1944" t="str">
        <f t="shared" si="163"/>
        <v>Not open</v>
      </c>
    </row>
    <row r="1945" spans="1:18" x14ac:dyDescent="0.3">
      <c r="A1945" t="s">
        <v>2168</v>
      </c>
      <c r="B1945" t="s">
        <v>260</v>
      </c>
      <c r="C1945" t="s">
        <v>558</v>
      </c>
      <c r="D1945" s="1">
        <v>45472</v>
      </c>
      <c r="E1945" s="1">
        <v>45532</v>
      </c>
      <c r="F1945" t="s">
        <v>36</v>
      </c>
      <c r="G1945">
        <v>43065.01</v>
      </c>
      <c r="H1945" s="1">
        <v>45567</v>
      </c>
      <c r="I1945" t="s">
        <v>555</v>
      </c>
      <c r="J1945" t="s">
        <v>573</v>
      </c>
      <c r="K1945">
        <v>83.607799999999997</v>
      </c>
      <c r="L1945">
        <v>43065.01</v>
      </c>
      <c r="M1945">
        <f>IF(F1945="INR",1,INDEX('rates'!$B$2:$C$522,MATCH(D1945,'rates'!$A$2:$A$522,1),MATCH(F1945&amp;"/INR",'rates'!$B$1:$C$1,0)))</f>
        <v>83.33</v>
      </c>
      <c r="N1945">
        <f t="shared" si="160"/>
        <v>3588607.2833000002</v>
      </c>
      <c r="O1945">
        <f t="shared" si="161"/>
        <v>0</v>
      </c>
      <c r="P1945">
        <f t="shared" si="162"/>
        <v>0</v>
      </c>
      <c r="Q1945">
        <f t="shared" si="159"/>
        <v>35</v>
      </c>
      <c r="R1945" t="str">
        <f t="shared" si="163"/>
        <v>Not open</v>
      </c>
    </row>
    <row r="1946" spans="1:18" x14ac:dyDescent="0.3">
      <c r="A1946" t="s">
        <v>2169</v>
      </c>
      <c r="B1946" t="s">
        <v>494</v>
      </c>
      <c r="C1946" t="s">
        <v>560</v>
      </c>
      <c r="D1946" s="1">
        <v>45472</v>
      </c>
      <c r="E1946" s="1">
        <v>45517</v>
      </c>
      <c r="F1946" t="s">
        <v>13</v>
      </c>
      <c r="G1946">
        <v>2221406</v>
      </c>
      <c r="H1946" s="1">
        <v>45538</v>
      </c>
      <c r="I1946" t="s">
        <v>555</v>
      </c>
      <c r="J1946" t="s">
        <v>556</v>
      </c>
      <c r="L1946">
        <v>2221406</v>
      </c>
      <c r="M1946">
        <f>IF(F1946="INR",1,INDEX('rates'!$B$2:$C$522,MATCH(D1946,'rates'!$A$2:$A$522,1),MATCH(F1946&amp;"/INR",'rates'!$B$1:$C$1,0)))</f>
        <v>1</v>
      </c>
      <c r="N1946">
        <f t="shared" si="160"/>
        <v>2221406</v>
      </c>
      <c r="O1946">
        <f t="shared" si="161"/>
        <v>0</v>
      </c>
      <c r="P1946">
        <f t="shared" si="162"/>
        <v>0</v>
      </c>
      <c r="Q1946">
        <f t="shared" si="159"/>
        <v>21</v>
      </c>
      <c r="R1946" t="str">
        <f t="shared" si="163"/>
        <v>Not open</v>
      </c>
    </row>
    <row r="1947" spans="1:18" x14ac:dyDescent="0.3">
      <c r="A1947" t="s">
        <v>2170</v>
      </c>
      <c r="B1947" t="s">
        <v>512</v>
      </c>
      <c r="C1947" t="s">
        <v>566</v>
      </c>
      <c r="D1947" s="1">
        <v>45472</v>
      </c>
      <c r="E1947" s="1">
        <v>45532</v>
      </c>
      <c r="F1947" t="s">
        <v>31</v>
      </c>
      <c r="G1947">
        <v>816206.57</v>
      </c>
      <c r="H1947" s="1">
        <v>45550</v>
      </c>
      <c r="I1947" t="s">
        <v>555</v>
      </c>
      <c r="J1947" t="s">
        <v>573</v>
      </c>
      <c r="K1947">
        <v>89.433300000000003</v>
      </c>
      <c r="L1947">
        <v>816206.57</v>
      </c>
      <c r="M1947">
        <f>IF(F1947="INR",1,INDEX('rates'!$B$2:$C$522,MATCH(D1947,'rates'!$A$2:$A$522,1),MATCH(F1947&amp;"/INR",'rates'!$B$1:$C$1,0)))</f>
        <v>89.254800000000003</v>
      </c>
      <c r="N1947">
        <f t="shared" si="160"/>
        <v>72850354.164035991</v>
      </c>
      <c r="O1947">
        <f t="shared" si="161"/>
        <v>0</v>
      </c>
      <c r="P1947">
        <f t="shared" si="162"/>
        <v>0</v>
      </c>
      <c r="Q1947">
        <f t="shared" si="159"/>
        <v>18</v>
      </c>
      <c r="R1947" t="str">
        <f t="shared" si="163"/>
        <v>Not open</v>
      </c>
    </row>
    <row r="1948" spans="1:18" x14ac:dyDescent="0.3">
      <c r="A1948" t="s">
        <v>2171</v>
      </c>
      <c r="B1948" t="s">
        <v>117</v>
      </c>
      <c r="C1948" t="s">
        <v>554</v>
      </c>
      <c r="D1948" s="1">
        <v>45474</v>
      </c>
      <c r="E1948" s="1">
        <v>45534</v>
      </c>
      <c r="F1948" t="s">
        <v>13</v>
      </c>
      <c r="G1948">
        <v>2628506</v>
      </c>
      <c r="H1948" s="1">
        <v>45541</v>
      </c>
      <c r="I1948" t="s">
        <v>555</v>
      </c>
      <c r="J1948" t="s">
        <v>556</v>
      </c>
      <c r="L1948">
        <v>2628506</v>
      </c>
      <c r="M1948">
        <f>IF(F1948="INR",1,INDEX('rates'!$B$2:$C$522,MATCH(D1948,'rates'!$A$2:$A$522,1),MATCH(F1948&amp;"/INR",'rates'!$B$1:$C$1,0)))</f>
        <v>1</v>
      </c>
      <c r="N1948">
        <f t="shared" si="160"/>
        <v>2628506</v>
      </c>
      <c r="O1948">
        <f t="shared" si="161"/>
        <v>0</v>
      </c>
      <c r="P1948">
        <f t="shared" si="162"/>
        <v>0</v>
      </c>
      <c r="Q1948">
        <f t="shared" si="159"/>
        <v>7</v>
      </c>
      <c r="R1948" t="str">
        <f t="shared" si="163"/>
        <v>Not open</v>
      </c>
    </row>
    <row r="1949" spans="1:18" x14ac:dyDescent="0.3">
      <c r="A1949" t="s">
        <v>2172</v>
      </c>
      <c r="B1949" t="s">
        <v>124</v>
      </c>
      <c r="C1949" t="s">
        <v>566</v>
      </c>
      <c r="D1949" s="1">
        <v>45474</v>
      </c>
      <c r="E1949" s="1">
        <v>45534</v>
      </c>
      <c r="F1949" t="s">
        <v>31</v>
      </c>
      <c r="G1949">
        <v>57661.56</v>
      </c>
      <c r="H1949" s="1">
        <v>45541</v>
      </c>
      <c r="I1949" t="s">
        <v>555</v>
      </c>
      <c r="J1949" t="s">
        <v>556</v>
      </c>
      <c r="L1949">
        <v>57661.56</v>
      </c>
      <c r="M1949">
        <f>IF(F1949="INR",1,INDEX('rates'!$B$2:$C$522,MATCH(D1949,'rates'!$A$2:$A$522,1),MATCH(F1949&amp;"/INR",'rates'!$B$1:$C$1,0)))</f>
        <v>89.514399999999995</v>
      </c>
      <c r="N1949">
        <f t="shared" si="160"/>
        <v>5161539.9464639993</v>
      </c>
      <c r="O1949">
        <f t="shared" si="161"/>
        <v>0</v>
      </c>
      <c r="P1949">
        <f t="shared" si="162"/>
        <v>0</v>
      </c>
      <c r="Q1949">
        <f t="shared" si="159"/>
        <v>7</v>
      </c>
      <c r="R1949" t="str">
        <f t="shared" si="163"/>
        <v>Not open</v>
      </c>
    </row>
    <row r="1950" spans="1:18" x14ac:dyDescent="0.3">
      <c r="A1950" t="s">
        <v>2173</v>
      </c>
      <c r="B1950" t="s">
        <v>154</v>
      </c>
      <c r="C1950" t="s">
        <v>566</v>
      </c>
      <c r="D1950" s="1">
        <v>45474</v>
      </c>
      <c r="E1950" s="1">
        <v>45504</v>
      </c>
      <c r="F1950" t="s">
        <v>13</v>
      </c>
      <c r="G1950">
        <v>5922409</v>
      </c>
      <c r="H1950" s="1">
        <v>45500</v>
      </c>
      <c r="I1950" t="s">
        <v>555</v>
      </c>
      <c r="J1950" t="s">
        <v>556</v>
      </c>
      <c r="L1950">
        <v>5922409</v>
      </c>
      <c r="M1950">
        <f>IF(F1950="INR",1,INDEX('rates'!$B$2:$C$522,MATCH(D1950,'rates'!$A$2:$A$522,1),MATCH(F1950&amp;"/INR",'rates'!$B$1:$C$1,0)))</f>
        <v>1</v>
      </c>
      <c r="N1950">
        <f t="shared" si="160"/>
        <v>5922409</v>
      </c>
      <c r="O1950">
        <f t="shared" si="161"/>
        <v>0</v>
      </c>
      <c r="P1950">
        <f t="shared" si="162"/>
        <v>0</v>
      </c>
      <c r="Q1950">
        <f t="shared" si="159"/>
        <v>-4</v>
      </c>
      <c r="R1950" t="str">
        <f t="shared" si="163"/>
        <v>Not open</v>
      </c>
    </row>
    <row r="1951" spans="1:18" x14ac:dyDescent="0.3">
      <c r="A1951" t="s">
        <v>2174</v>
      </c>
      <c r="B1951" t="s">
        <v>440</v>
      </c>
      <c r="C1951" t="s">
        <v>558</v>
      </c>
      <c r="D1951" s="1">
        <v>45474</v>
      </c>
      <c r="E1951" s="1">
        <v>45534</v>
      </c>
      <c r="F1951" t="s">
        <v>31</v>
      </c>
      <c r="G1951">
        <v>42164.639999999999</v>
      </c>
      <c r="H1951" s="1">
        <v>45536</v>
      </c>
      <c r="I1951" t="s">
        <v>555</v>
      </c>
      <c r="J1951" t="s">
        <v>556</v>
      </c>
      <c r="L1951">
        <v>42164.639999999999</v>
      </c>
      <c r="M1951">
        <f>IF(F1951="INR",1,INDEX('rates'!$B$2:$C$522,MATCH(D1951,'rates'!$A$2:$A$522,1),MATCH(F1951&amp;"/INR",'rates'!$B$1:$C$1,0)))</f>
        <v>89.514399999999995</v>
      </c>
      <c r="N1951">
        <f t="shared" si="160"/>
        <v>3774342.4508159999</v>
      </c>
      <c r="O1951">
        <f t="shared" si="161"/>
        <v>0</v>
      </c>
      <c r="P1951">
        <f t="shared" si="162"/>
        <v>0</v>
      </c>
      <c r="Q1951">
        <f t="shared" si="159"/>
        <v>2</v>
      </c>
      <c r="R1951" t="str">
        <f t="shared" si="163"/>
        <v>Not open</v>
      </c>
    </row>
    <row r="1952" spans="1:18" x14ac:dyDescent="0.3">
      <c r="A1952" t="s">
        <v>2175</v>
      </c>
      <c r="B1952" t="s">
        <v>466</v>
      </c>
      <c r="C1952" t="s">
        <v>558</v>
      </c>
      <c r="D1952" s="1">
        <v>45474</v>
      </c>
      <c r="E1952" s="1">
        <v>45534</v>
      </c>
      <c r="F1952" t="s">
        <v>31</v>
      </c>
      <c r="G1952">
        <v>40599.07</v>
      </c>
      <c r="H1952" s="1">
        <v>45533</v>
      </c>
      <c r="I1952" t="s">
        <v>555</v>
      </c>
      <c r="J1952" t="s">
        <v>556</v>
      </c>
      <c r="L1952">
        <v>40599.07</v>
      </c>
      <c r="M1952">
        <f>IF(F1952="INR",1,INDEX('rates'!$B$2:$C$522,MATCH(D1952,'rates'!$A$2:$A$522,1),MATCH(F1952&amp;"/INR",'rates'!$B$1:$C$1,0)))</f>
        <v>89.514399999999995</v>
      </c>
      <c r="N1952">
        <f t="shared" si="160"/>
        <v>3634201.3916079998</v>
      </c>
      <c r="O1952">
        <f t="shared" si="161"/>
        <v>0</v>
      </c>
      <c r="P1952">
        <f t="shared" si="162"/>
        <v>0</v>
      </c>
      <c r="Q1952">
        <f t="shared" si="159"/>
        <v>-1</v>
      </c>
      <c r="R1952" t="str">
        <f t="shared" si="163"/>
        <v>Not open</v>
      </c>
    </row>
    <row r="1953" spans="1:18" x14ac:dyDescent="0.3">
      <c r="A1953" t="s">
        <v>2176</v>
      </c>
      <c r="B1953" t="s">
        <v>524</v>
      </c>
      <c r="C1953" t="s">
        <v>554</v>
      </c>
      <c r="D1953" s="1">
        <v>45474</v>
      </c>
      <c r="E1953" s="1">
        <v>45534</v>
      </c>
      <c r="F1953" t="s">
        <v>31</v>
      </c>
      <c r="G1953">
        <v>39214.449999999997</v>
      </c>
      <c r="H1953" s="1">
        <v>45545</v>
      </c>
      <c r="I1953" t="s">
        <v>555</v>
      </c>
      <c r="J1953" t="s">
        <v>573</v>
      </c>
      <c r="K1953">
        <v>89.693399999999997</v>
      </c>
      <c r="L1953">
        <v>39214.449999999997</v>
      </c>
      <c r="M1953">
        <f>IF(F1953="INR",1,INDEX('rates'!$B$2:$C$522,MATCH(D1953,'rates'!$A$2:$A$522,1),MATCH(F1953&amp;"/INR",'rates'!$B$1:$C$1,0)))</f>
        <v>89.514399999999995</v>
      </c>
      <c r="N1953">
        <f t="shared" si="160"/>
        <v>3510257.9630799997</v>
      </c>
      <c r="O1953">
        <f t="shared" si="161"/>
        <v>0</v>
      </c>
      <c r="P1953">
        <f t="shared" si="162"/>
        <v>0</v>
      </c>
      <c r="Q1953">
        <f t="shared" si="159"/>
        <v>11</v>
      </c>
      <c r="R1953" t="str">
        <f t="shared" si="163"/>
        <v>Not open</v>
      </c>
    </row>
    <row r="1954" spans="1:18" x14ac:dyDescent="0.3">
      <c r="A1954" t="s">
        <v>2177</v>
      </c>
      <c r="B1954" t="s">
        <v>262</v>
      </c>
      <c r="C1954" t="s">
        <v>566</v>
      </c>
      <c r="D1954" s="1">
        <v>45475</v>
      </c>
      <c r="E1954" s="1">
        <v>45565</v>
      </c>
      <c r="F1954" t="s">
        <v>31</v>
      </c>
      <c r="G1954">
        <v>68940.740000000005</v>
      </c>
      <c r="H1954" s="1"/>
      <c r="I1954" t="s">
        <v>555</v>
      </c>
      <c r="J1954" t="s">
        <v>556</v>
      </c>
      <c r="L1954">
        <v>68940.740000000005</v>
      </c>
      <c r="M1954">
        <f>IF(F1954="INR",1,INDEX('rates'!$B$2:$C$522,MATCH(D1954,'rates'!$A$2:$A$522,1),MATCH(F1954&amp;"/INR",'rates'!$B$1:$C$1,0)))</f>
        <v>89.653999999999996</v>
      </c>
      <c r="N1954">
        <f t="shared" si="160"/>
        <v>6180813.10396</v>
      </c>
      <c r="O1954">
        <f t="shared" si="161"/>
        <v>0</v>
      </c>
      <c r="P1954">
        <f t="shared" si="162"/>
        <v>0</v>
      </c>
      <c r="Q1954" t="str">
        <f t="shared" si="159"/>
        <v/>
      </c>
      <c r="R1954" t="str">
        <f t="shared" si="163"/>
        <v>Not open</v>
      </c>
    </row>
    <row r="1955" spans="1:18" x14ac:dyDescent="0.3">
      <c r="A1955" t="s">
        <v>2178</v>
      </c>
      <c r="B1955" t="s">
        <v>308</v>
      </c>
      <c r="C1955" t="s">
        <v>554</v>
      </c>
      <c r="D1955" s="1">
        <v>45475</v>
      </c>
      <c r="E1955" s="1">
        <v>45565</v>
      </c>
      <c r="F1955" t="s">
        <v>13</v>
      </c>
      <c r="G1955">
        <v>2567756</v>
      </c>
      <c r="H1955" s="1">
        <v>45563</v>
      </c>
      <c r="I1955" t="s">
        <v>555</v>
      </c>
      <c r="J1955" t="s">
        <v>556</v>
      </c>
      <c r="L1955">
        <v>2567756</v>
      </c>
      <c r="M1955">
        <f>IF(F1955="INR",1,INDEX('rates'!$B$2:$C$522,MATCH(D1955,'rates'!$A$2:$A$522,1),MATCH(F1955&amp;"/INR",'rates'!$B$1:$C$1,0)))</f>
        <v>1</v>
      </c>
      <c r="N1955">
        <f t="shared" si="160"/>
        <v>2567756</v>
      </c>
      <c r="O1955">
        <f t="shared" si="161"/>
        <v>0</v>
      </c>
      <c r="P1955">
        <f t="shared" si="162"/>
        <v>0</v>
      </c>
      <c r="Q1955">
        <f t="shared" si="159"/>
        <v>-2</v>
      </c>
      <c r="R1955" t="str">
        <f t="shared" si="163"/>
        <v>Not open</v>
      </c>
    </row>
    <row r="1956" spans="1:18" x14ac:dyDescent="0.3">
      <c r="A1956" t="s">
        <v>2179</v>
      </c>
      <c r="B1956" t="s">
        <v>378</v>
      </c>
      <c r="C1956" t="s">
        <v>566</v>
      </c>
      <c r="D1956" s="1">
        <v>45475</v>
      </c>
      <c r="E1956" s="1">
        <v>45520</v>
      </c>
      <c r="F1956" t="s">
        <v>31</v>
      </c>
      <c r="G1956">
        <v>97265.22</v>
      </c>
      <c r="H1956" s="1">
        <v>45520</v>
      </c>
      <c r="I1956" t="s">
        <v>555</v>
      </c>
      <c r="J1956" t="s">
        <v>556</v>
      </c>
      <c r="L1956">
        <v>97265.22</v>
      </c>
      <c r="M1956">
        <f>IF(F1956="INR",1,INDEX('rates'!$B$2:$C$522,MATCH(D1956,'rates'!$A$2:$A$522,1),MATCH(F1956&amp;"/INR",'rates'!$B$1:$C$1,0)))</f>
        <v>89.653999999999996</v>
      </c>
      <c r="N1956">
        <f t="shared" si="160"/>
        <v>8720216.0338799991</v>
      </c>
      <c r="O1956">
        <f t="shared" si="161"/>
        <v>0</v>
      </c>
      <c r="P1956">
        <f t="shared" si="162"/>
        <v>0</v>
      </c>
      <c r="Q1956">
        <f t="shared" si="159"/>
        <v>0</v>
      </c>
      <c r="R1956" t="str">
        <f t="shared" si="163"/>
        <v>Not open</v>
      </c>
    </row>
    <row r="1957" spans="1:18" x14ac:dyDescent="0.3">
      <c r="A1957" t="s">
        <v>2180</v>
      </c>
      <c r="B1957" t="s">
        <v>432</v>
      </c>
      <c r="C1957" t="s">
        <v>560</v>
      </c>
      <c r="D1957" s="1">
        <v>45475</v>
      </c>
      <c r="E1957" s="1">
        <v>45565</v>
      </c>
      <c r="F1957" t="s">
        <v>36</v>
      </c>
      <c r="G1957">
        <v>41348.43</v>
      </c>
      <c r="H1957" s="1">
        <v>45572</v>
      </c>
      <c r="I1957" t="s">
        <v>555</v>
      </c>
      <c r="J1957" t="s">
        <v>573</v>
      </c>
      <c r="K1957">
        <v>83.917500000000004</v>
      </c>
      <c r="L1957">
        <v>41348.43</v>
      </c>
      <c r="M1957">
        <f>IF(F1957="INR",1,INDEX('rates'!$B$2:$C$522,MATCH(D1957,'rates'!$A$2:$A$522,1),MATCH(F1957&amp;"/INR",'rates'!$B$1:$C$1,0)))</f>
        <v>83.5</v>
      </c>
      <c r="N1957">
        <f t="shared" si="160"/>
        <v>3452593.9049999998</v>
      </c>
      <c r="O1957">
        <f t="shared" si="161"/>
        <v>0</v>
      </c>
      <c r="P1957">
        <f t="shared" si="162"/>
        <v>0</v>
      </c>
      <c r="Q1957">
        <f t="shared" si="159"/>
        <v>7</v>
      </c>
      <c r="R1957" t="str">
        <f t="shared" si="163"/>
        <v>Not open</v>
      </c>
    </row>
    <row r="1958" spans="1:18" x14ac:dyDescent="0.3">
      <c r="A1958" t="s">
        <v>2181</v>
      </c>
      <c r="B1958" t="s">
        <v>524</v>
      </c>
      <c r="C1958" t="s">
        <v>554</v>
      </c>
      <c r="D1958" s="1">
        <v>45475</v>
      </c>
      <c r="E1958" s="1">
        <v>45535</v>
      </c>
      <c r="F1958" t="s">
        <v>31</v>
      </c>
      <c r="G1958">
        <v>52851.38</v>
      </c>
      <c r="H1958" s="1">
        <v>45544</v>
      </c>
      <c r="I1958" t="s">
        <v>555</v>
      </c>
      <c r="J1958" t="s">
        <v>556</v>
      </c>
      <c r="L1958">
        <v>52851.38</v>
      </c>
      <c r="M1958">
        <f>IF(F1958="INR",1,INDEX('rates'!$B$2:$C$522,MATCH(D1958,'rates'!$A$2:$A$522,1),MATCH(F1958&amp;"/INR",'rates'!$B$1:$C$1,0)))</f>
        <v>89.653999999999996</v>
      </c>
      <c r="N1958">
        <f t="shared" si="160"/>
        <v>4738337.6225199997</v>
      </c>
      <c r="O1958">
        <f t="shared" si="161"/>
        <v>0</v>
      </c>
      <c r="P1958">
        <f t="shared" si="162"/>
        <v>0</v>
      </c>
      <c r="Q1958">
        <f t="shared" si="159"/>
        <v>9</v>
      </c>
      <c r="R1958" t="str">
        <f t="shared" si="163"/>
        <v>Not open</v>
      </c>
    </row>
    <row r="1959" spans="1:18" x14ac:dyDescent="0.3">
      <c r="A1959" t="s">
        <v>2182</v>
      </c>
      <c r="B1959" t="s">
        <v>105</v>
      </c>
      <c r="C1959" t="s">
        <v>560</v>
      </c>
      <c r="D1959" s="1">
        <v>45476</v>
      </c>
      <c r="E1959" s="1">
        <v>45566</v>
      </c>
      <c r="F1959" t="s">
        <v>36</v>
      </c>
      <c r="G1959">
        <v>152090.42000000001</v>
      </c>
      <c r="H1959" s="1"/>
      <c r="I1959" t="s">
        <v>717</v>
      </c>
      <c r="J1959" t="s">
        <v>573</v>
      </c>
      <c r="K1959">
        <v>83.897400000000005</v>
      </c>
      <c r="L1959">
        <v>0</v>
      </c>
      <c r="M1959">
        <f>IF(F1959="INR",1,INDEX('rates'!$B$2:$C$522,MATCH(D1959,'rates'!$A$2:$A$522,1),MATCH(F1959&amp;"/INR",'rates'!$B$1:$C$1,0)))</f>
        <v>83.48</v>
      </c>
      <c r="N1959">
        <f t="shared" si="160"/>
        <v>12696508.261600001</v>
      </c>
      <c r="O1959">
        <f t="shared" si="161"/>
        <v>0</v>
      </c>
      <c r="P1959">
        <f t="shared" si="162"/>
        <v>0</v>
      </c>
      <c r="Q1959" t="str">
        <f t="shared" si="159"/>
        <v/>
      </c>
      <c r="R1959" t="str">
        <f t="shared" si="163"/>
        <v>Not open</v>
      </c>
    </row>
    <row r="1960" spans="1:18" x14ac:dyDescent="0.3">
      <c r="A1960" t="s">
        <v>2183</v>
      </c>
      <c r="B1960" t="s">
        <v>154</v>
      </c>
      <c r="C1960" t="s">
        <v>566</v>
      </c>
      <c r="D1960" s="1">
        <v>45476</v>
      </c>
      <c r="E1960" s="1">
        <v>45506</v>
      </c>
      <c r="F1960" t="s">
        <v>13</v>
      </c>
      <c r="G1960">
        <v>8094151</v>
      </c>
      <c r="H1960" s="1">
        <v>45515</v>
      </c>
      <c r="I1960" t="s">
        <v>555</v>
      </c>
      <c r="J1960" t="s">
        <v>556</v>
      </c>
      <c r="L1960">
        <v>8094151</v>
      </c>
      <c r="M1960">
        <f>IF(F1960="INR",1,INDEX('rates'!$B$2:$C$522,MATCH(D1960,'rates'!$A$2:$A$522,1),MATCH(F1960&amp;"/INR",'rates'!$B$1:$C$1,0)))</f>
        <v>1</v>
      </c>
      <c r="N1960">
        <f t="shared" si="160"/>
        <v>8094151</v>
      </c>
      <c r="O1960">
        <f t="shared" si="161"/>
        <v>0</v>
      </c>
      <c r="P1960">
        <f t="shared" si="162"/>
        <v>0</v>
      </c>
      <c r="Q1960">
        <f t="shared" si="159"/>
        <v>9</v>
      </c>
      <c r="R1960" t="str">
        <f t="shared" si="163"/>
        <v>Not open</v>
      </c>
    </row>
    <row r="1961" spans="1:18" x14ac:dyDescent="0.3">
      <c r="A1961" t="s">
        <v>2184</v>
      </c>
      <c r="B1961" t="s">
        <v>486</v>
      </c>
      <c r="C1961" t="s">
        <v>554</v>
      </c>
      <c r="D1961" s="1">
        <v>45476</v>
      </c>
      <c r="E1961" s="1">
        <v>45521</v>
      </c>
      <c r="F1961" t="s">
        <v>13</v>
      </c>
      <c r="G1961">
        <v>20636877</v>
      </c>
      <c r="H1961" s="1">
        <v>45555</v>
      </c>
      <c r="I1961" t="s">
        <v>555</v>
      </c>
      <c r="J1961" t="s">
        <v>556</v>
      </c>
      <c r="L1961">
        <v>20636877</v>
      </c>
      <c r="M1961">
        <f>IF(F1961="INR",1,INDEX('rates'!$B$2:$C$522,MATCH(D1961,'rates'!$A$2:$A$522,1),MATCH(F1961&amp;"/INR",'rates'!$B$1:$C$1,0)))</f>
        <v>1</v>
      </c>
      <c r="N1961">
        <f t="shared" si="160"/>
        <v>20636877</v>
      </c>
      <c r="O1961">
        <f t="shared" si="161"/>
        <v>0</v>
      </c>
      <c r="P1961">
        <f t="shared" si="162"/>
        <v>0</v>
      </c>
      <c r="Q1961">
        <f t="shared" si="159"/>
        <v>34</v>
      </c>
      <c r="R1961" t="str">
        <f t="shared" si="163"/>
        <v>Not open</v>
      </c>
    </row>
    <row r="1962" spans="1:18" x14ac:dyDescent="0.3">
      <c r="A1962" t="s">
        <v>2185</v>
      </c>
      <c r="B1962" t="s">
        <v>138</v>
      </c>
      <c r="C1962" t="s">
        <v>566</v>
      </c>
      <c r="D1962" s="1">
        <v>45477</v>
      </c>
      <c r="E1962" s="1">
        <v>45507</v>
      </c>
      <c r="F1962" t="s">
        <v>13</v>
      </c>
      <c r="G1962">
        <v>5114372</v>
      </c>
      <c r="H1962" s="1">
        <v>45498</v>
      </c>
      <c r="I1962" t="s">
        <v>555</v>
      </c>
      <c r="J1962" t="s">
        <v>556</v>
      </c>
      <c r="L1962">
        <v>5114372</v>
      </c>
      <c r="M1962">
        <f>IF(F1962="INR",1,INDEX('rates'!$B$2:$C$522,MATCH(D1962,'rates'!$A$2:$A$522,1),MATCH(F1962&amp;"/INR",'rates'!$B$1:$C$1,0)))</f>
        <v>1</v>
      </c>
      <c r="N1962">
        <f t="shared" si="160"/>
        <v>5114372</v>
      </c>
      <c r="O1962">
        <f t="shared" si="161"/>
        <v>0</v>
      </c>
      <c r="P1962">
        <f t="shared" si="162"/>
        <v>0</v>
      </c>
      <c r="Q1962">
        <f t="shared" si="159"/>
        <v>-9</v>
      </c>
      <c r="R1962" t="str">
        <f t="shared" si="163"/>
        <v>Not open</v>
      </c>
    </row>
    <row r="1963" spans="1:18" x14ac:dyDescent="0.3">
      <c r="A1963" t="s">
        <v>2186</v>
      </c>
      <c r="B1963" t="s">
        <v>496</v>
      </c>
      <c r="C1963" t="s">
        <v>554</v>
      </c>
      <c r="D1963" s="1">
        <v>45477</v>
      </c>
      <c r="E1963" s="1">
        <v>45522</v>
      </c>
      <c r="F1963" t="s">
        <v>13</v>
      </c>
      <c r="G1963">
        <v>8401185</v>
      </c>
      <c r="H1963" s="1">
        <v>45524</v>
      </c>
      <c r="I1963" t="s">
        <v>555</v>
      </c>
      <c r="J1963" t="s">
        <v>556</v>
      </c>
      <c r="L1963">
        <v>8401185</v>
      </c>
      <c r="M1963">
        <f>IF(F1963="INR",1,INDEX('rates'!$B$2:$C$522,MATCH(D1963,'rates'!$A$2:$A$522,1),MATCH(F1963&amp;"/INR",'rates'!$B$1:$C$1,0)))</f>
        <v>1</v>
      </c>
      <c r="N1963">
        <f t="shared" si="160"/>
        <v>8401185</v>
      </c>
      <c r="O1963">
        <f t="shared" si="161"/>
        <v>0</v>
      </c>
      <c r="P1963">
        <f t="shared" si="162"/>
        <v>0</v>
      </c>
      <c r="Q1963">
        <f t="shared" si="159"/>
        <v>2</v>
      </c>
      <c r="R1963" t="str">
        <f t="shared" si="163"/>
        <v>Not open</v>
      </c>
    </row>
    <row r="1964" spans="1:18" x14ac:dyDescent="0.3">
      <c r="A1964" t="s">
        <v>2187</v>
      </c>
      <c r="B1964" t="s">
        <v>496</v>
      </c>
      <c r="C1964" t="s">
        <v>554</v>
      </c>
      <c r="D1964" s="1">
        <v>45477</v>
      </c>
      <c r="E1964" s="1">
        <v>45522</v>
      </c>
      <c r="F1964" t="s">
        <v>13</v>
      </c>
      <c r="G1964">
        <v>3049085</v>
      </c>
      <c r="H1964" s="1">
        <v>45530</v>
      </c>
      <c r="I1964" t="s">
        <v>555</v>
      </c>
      <c r="J1964" t="s">
        <v>556</v>
      </c>
      <c r="L1964">
        <v>3049085</v>
      </c>
      <c r="M1964">
        <f>IF(F1964="INR",1,INDEX('rates'!$B$2:$C$522,MATCH(D1964,'rates'!$A$2:$A$522,1),MATCH(F1964&amp;"/INR",'rates'!$B$1:$C$1,0)))</f>
        <v>1</v>
      </c>
      <c r="N1964">
        <f t="shared" si="160"/>
        <v>3049085</v>
      </c>
      <c r="O1964">
        <f t="shared" si="161"/>
        <v>0</v>
      </c>
      <c r="P1964">
        <f t="shared" si="162"/>
        <v>0</v>
      </c>
      <c r="Q1964">
        <f t="shared" si="159"/>
        <v>8</v>
      </c>
      <c r="R1964" t="str">
        <f t="shared" si="163"/>
        <v>Not open</v>
      </c>
    </row>
    <row r="1965" spans="1:18" x14ac:dyDescent="0.3">
      <c r="A1965" t="s">
        <v>2188</v>
      </c>
      <c r="B1965" t="s">
        <v>49</v>
      </c>
      <c r="C1965" t="s">
        <v>554</v>
      </c>
      <c r="D1965" s="1">
        <v>45478</v>
      </c>
      <c r="E1965" s="1">
        <v>45523</v>
      </c>
      <c r="F1965" t="s">
        <v>13</v>
      </c>
      <c r="G1965">
        <v>17415565</v>
      </c>
      <c r="H1965" s="1">
        <v>45534</v>
      </c>
      <c r="I1965" t="s">
        <v>555</v>
      </c>
      <c r="J1965" t="s">
        <v>556</v>
      </c>
      <c r="L1965">
        <v>17415565</v>
      </c>
      <c r="M1965">
        <f>IF(F1965="INR",1,INDEX('rates'!$B$2:$C$522,MATCH(D1965,'rates'!$A$2:$A$522,1),MATCH(F1965&amp;"/INR",'rates'!$B$1:$C$1,0)))</f>
        <v>1</v>
      </c>
      <c r="N1965">
        <f t="shared" si="160"/>
        <v>17415565</v>
      </c>
      <c r="O1965">
        <f t="shared" si="161"/>
        <v>0</v>
      </c>
      <c r="P1965">
        <f t="shared" si="162"/>
        <v>0</v>
      </c>
      <c r="Q1965">
        <f t="shared" si="159"/>
        <v>11</v>
      </c>
      <c r="R1965" t="str">
        <f t="shared" si="163"/>
        <v>Not open</v>
      </c>
    </row>
    <row r="1966" spans="1:18" x14ac:dyDescent="0.3">
      <c r="A1966" t="s">
        <v>2189</v>
      </c>
      <c r="B1966" t="s">
        <v>117</v>
      </c>
      <c r="C1966" t="s">
        <v>554</v>
      </c>
      <c r="D1966" s="1">
        <v>45478</v>
      </c>
      <c r="E1966" s="1">
        <v>45538</v>
      </c>
      <c r="F1966" t="s">
        <v>13</v>
      </c>
      <c r="G1966">
        <v>3326320</v>
      </c>
      <c r="H1966" s="1">
        <v>45550</v>
      </c>
      <c r="I1966" t="s">
        <v>555</v>
      </c>
      <c r="J1966" t="s">
        <v>556</v>
      </c>
      <c r="L1966">
        <v>3326320</v>
      </c>
      <c r="M1966">
        <f>IF(F1966="INR",1,INDEX('rates'!$B$2:$C$522,MATCH(D1966,'rates'!$A$2:$A$522,1),MATCH(F1966&amp;"/INR",'rates'!$B$1:$C$1,0)))</f>
        <v>1</v>
      </c>
      <c r="N1966">
        <f t="shared" si="160"/>
        <v>3326320</v>
      </c>
      <c r="O1966">
        <f t="shared" si="161"/>
        <v>0</v>
      </c>
      <c r="P1966">
        <f t="shared" si="162"/>
        <v>0</v>
      </c>
      <c r="Q1966">
        <f t="shared" si="159"/>
        <v>12</v>
      </c>
      <c r="R1966" t="str">
        <f t="shared" si="163"/>
        <v>Not open</v>
      </c>
    </row>
    <row r="1967" spans="1:18" x14ac:dyDescent="0.3">
      <c r="A1967" t="s">
        <v>2190</v>
      </c>
      <c r="B1967" t="s">
        <v>146</v>
      </c>
      <c r="C1967" t="s">
        <v>560</v>
      </c>
      <c r="D1967" s="1">
        <v>45478</v>
      </c>
      <c r="E1967" s="1">
        <v>45538</v>
      </c>
      <c r="F1967" t="s">
        <v>31</v>
      </c>
      <c r="G1967">
        <v>11633.24</v>
      </c>
      <c r="H1967" s="1">
        <v>45552</v>
      </c>
      <c r="I1967" t="s">
        <v>555</v>
      </c>
      <c r="J1967" t="s">
        <v>556</v>
      </c>
      <c r="L1967">
        <v>11633.24</v>
      </c>
      <c r="M1967">
        <f>IF(F1967="INR",1,INDEX('rates'!$B$2:$C$522,MATCH(D1967,'rates'!$A$2:$A$522,1),MATCH(F1967&amp;"/INR",'rates'!$B$1:$C$1,0)))</f>
        <v>90.381299999999996</v>
      </c>
      <c r="N1967">
        <f t="shared" si="160"/>
        <v>1051427.3544119999</v>
      </c>
      <c r="O1967">
        <f t="shared" si="161"/>
        <v>0</v>
      </c>
      <c r="P1967">
        <f t="shared" si="162"/>
        <v>0</v>
      </c>
      <c r="Q1967">
        <f t="shared" si="159"/>
        <v>14</v>
      </c>
      <c r="R1967" t="str">
        <f t="shared" si="163"/>
        <v>Not open</v>
      </c>
    </row>
    <row r="1968" spans="1:18" x14ac:dyDescent="0.3">
      <c r="A1968" t="s">
        <v>2191</v>
      </c>
      <c r="B1968" t="s">
        <v>204</v>
      </c>
      <c r="C1968" t="s">
        <v>575</v>
      </c>
      <c r="D1968" s="1">
        <v>45478</v>
      </c>
      <c r="E1968" s="1">
        <v>45538</v>
      </c>
      <c r="F1968" t="s">
        <v>13</v>
      </c>
      <c r="G1968">
        <v>5388529</v>
      </c>
      <c r="H1968" s="1">
        <v>45555</v>
      </c>
      <c r="I1968" t="s">
        <v>555</v>
      </c>
      <c r="J1968" t="s">
        <v>556</v>
      </c>
      <c r="L1968">
        <v>5388529</v>
      </c>
      <c r="M1968">
        <f>IF(F1968="INR",1,INDEX('rates'!$B$2:$C$522,MATCH(D1968,'rates'!$A$2:$A$522,1),MATCH(F1968&amp;"/INR",'rates'!$B$1:$C$1,0)))</f>
        <v>1</v>
      </c>
      <c r="N1968">
        <f t="shared" si="160"/>
        <v>5388529</v>
      </c>
      <c r="O1968">
        <f t="shared" si="161"/>
        <v>0</v>
      </c>
      <c r="P1968">
        <f t="shared" si="162"/>
        <v>0</v>
      </c>
      <c r="Q1968">
        <f t="shared" si="159"/>
        <v>17</v>
      </c>
      <c r="R1968" t="str">
        <f t="shared" si="163"/>
        <v>Not open</v>
      </c>
    </row>
    <row r="1969" spans="1:18" x14ac:dyDescent="0.3">
      <c r="A1969" t="s">
        <v>2192</v>
      </c>
      <c r="B1969" t="s">
        <v>222</v>
      </c>
      <c r="C1969" t="s">
        <v>560</v>
      </c>
      <c r="D1969" s="1">
        <v>45478</v>
      </c>
      <c r="E1969" s="1">
        <v>45538</v>
      </c>
      <c r="F1969" t="s">
        <v>36</v>
      </c>
      <c r="G1969">
        <v>48410.29</v>
      </c>
      <c r="H1969" s="1">
        <v>45542</v>
      </c>
      <c r="I1969" t="s">
        <v>555</v>
      </c>
      <c r="J1969" t="s">
        <v>573</v>
      </c>
      <c r="K1969">
        <v>83.748199999999997</v>
      </c>
      <c r="L1969">
        <v>48410.29</v>
      </c>
      <c r="M1969">
        <f>IF(F1969="INR",1,INDEX('rates'!$B$2:$C$522,MATCH(D1969,'rates'!$A$2:$A$522,1),MATCH(F1969&amp;"/INR",'rates'!$B$1:$C$1,0)))</f>
        <v>83.47</v>
      </c>
      <c r="N1969">
        <f t="shared" si="160"/>
        <v>4040806.9062999999</v>
      </c>
      <c r="O1969">
        <f t="shared" si="161"/>
        <v>0</v>
      </c>
      <c r="P1969">
        <f t="shared" si="162"/>
        <v>0</v>
      </c>
      <c r="Q1969">
        <f t="shared" si="159"/>
        <v>4</v>
      </c>
      <c r="R1969" t="str">
        <f t="shared" si="163"/>
        <v>Not open</v>
      </c>
    </row>
    <row r="1970" spans="1:18" x14ac:dyDescent="0.3">
      <c r="A1970" t="s">
        <v>2193</v>
      </c>
      <c r="B1970" t="s">
        <v>228</v>
      </c>
      <c r="C1970" t="s">
        <v>554</v>
      </c>
      <c r="D1970" s="1">
        <v>45478</v>
      </c>
      <c r="E1970" s="1">
        <v>45523</v>
      </c>
      <c r="F1970" t="s">
        <v>13</v>
      </c>
      <c r="G1970">
        <v>723464</v>
      </c>
      <c r="H1970" s="1">
        <v>45521</v>
      </c>
      <c r="I1970" t="s">
        <v>555</v>
      </c>
      <c r="J1970" t="s">
        <v>556</v>
      </c>
      <c r="L1970">
        <v>723464</v>
      </c>
      <c r="M1970">
        <f>IF(F1970="INR",1,INDEX('rates'!$B$2:$C$522,MATCH(D1970,'rates'!$A$2:$A$522,1),MATCH(F1970&amp;"/INR",'rates'!$B$1:$C$1,0)))</f>
        <v>1</v>
      </c>
      <c r="N1970">
        <f t="shared" si="160"/>
        <v>723464</v>
      </c>
      <c r="O1970">
        <f t="shared" si="161"/>
        <v>0</v>
      </c>
      <c r="P1970">
        <f t="shared" si="162"/>
        <v>0</v>
      </c>
      <c r="Q1970">
        <f t="shared" si="159"/>
        <v>-2</v>
      </c>
      <c r="R1970" t="str">
        <f t="shared" si="163"/>
        <v>Not open</v>
      </c>
    </row>
    <row r="1971" spans="1:18" x14ac:dyDescent="0.3">
      <c r="A1971" t="s">
        <v>2194</v>
      </c>
      <c r="B1971" t="s">
        <v>316</v>
      </c>
      <c r="C1971" t="s">
        <v>575</v>
      </c>
      <c r="D1971" s="1">
        <v>45478</v>
      </c>
      <c r="E1971" s="1">
        <v>45508</v>
      </c>
      <c r="F1971" t="s">
        <v>13</v>
      </c>
      <c r="G1971">
        <v>3450797</v>
      </c>
      <c r="H1971" s="1">
        <v>45504</v>
      </c>
      <c r="I1971" t="s">
        <v>555</v>
      </c>
      <c r="J1971" t="s">
        <v>556</v>
      </c>
      <c r="L1971">
        <v>3450797</v>
      </c>
      <c r="M1971">
        <f>IF(F1971="INR",1,INDEX('rates'!$B$2:$C$522,MATCH(D1971,'rates'!$A$2:$A$522,1),MATCH(F1971&amp;"/INR",'rates'!$B$1:$C$1,0)))</f>
        <v>1</v>
      </c>
      <c r="N1971">
        <f t="shared" si="160"/>
        <v>3450797</v>
      </c>
      <c r="O1971">
        <f t="shared" si="161"/>
        <v>0</v>
      </c>
      <c r="P1971">
        <f t="shared" si="162"/>
        <v>0</v>
      </c>
      <c r="Q1971">
        <f t="shared" si="159"/>
        <v>-4</v>
      </c>
      <c r="R1971" t="str">
        <f t="shared" si="163"/>
        <v>Not open</v>
      </c>
    </row>
    <row r="1972" spans="1:18" x14ac:dyDescent="0.3">
      <c r="A1972" t="s">
        <v>2197</v>
      </c>
      <c r="B1972" t="s">
        <v>272</v>
      </c>
      <c r="C1972" t="s">
        <v>575</v>
      </c>
      <c r="D1972" s="1">
        <v>45479</v>
      </c>
      <c r="E1972" s="1">
        <v>45524</v>
      </c>
      <c r="F1972" t="s">
        <v>13</v>
      </c>
      <c r="G1972">
        <v>2757391</v>
      </c>
      <c r="H1972" s="1">
        <v>45561</v>
      </c>
      <c r="I1972" t="s">
        <v>555</v>
      </c>
      <c r="J1972" t="s">
        <v>556</v>
      </c>
      <c r="L1972">
        <v>2757391</v>
      </c>
      <c r="M1972">
        <f>IF(F1972="INR",1,INDEX('rates'!$B$2:$C$522,MATCH(D1972,'rates'!$A$2:$A$522,1),MATCH(F1972&amp;"/INR",'rates'!$B$1:$C$1,0)))</f>
        <v>1</v>
      </c>
      <c r="N1972">
        <f t="shared" si="160"/>
        <v>2757391</v>
      </c>
      <c r="O1972">
        <f t="shared" si="161"/>
        <v>0</v>
      </c>
      <c r="P1972">
        <f t="shared" si="162"/>
        <v>0</v>
      </c>
      <c r="Q1972">
        <f t="shared" si="159"/>
        <v>37</v>
      </c>
      <c r="R1972" t="str">
        <f t="shared" si="163"/>
        <v>Not open</v>
      </c>
    </row>
    <row r="1973" spans="1:18" x14ac:dyDescent="0.3">
      <c r="A1973" t="s">
        <v>2198</v>
      </c>
      <c r="B1973" t="s">
        <v>346</v>
      </c>
      <c r="C1973" t="s">
        <v>575</v>
      </c>
      <c r="D1973" s="1">
        <v>45479</v>
      </c>
      <c r="E1973" s="1">
        <v>45569</v>
      </c>
      <c r="F1973" t="s">
        <v>13</v>
      </c>
      <c r="G1973">
        <v>1743897</v>
      </c>
      <c r="H1973" s="1">
        <v>45573</v>
      </c>
      <c r="I1973" t="s">
        <v>555</v>
      </c>
      <c r="J1973" t="s">
        <v>556</v>
      </c>
      <c r="L1973">
        <v>1743897</v>
      </c>
      <c r="M1973">
        <f>IF(F1973="INR",1,INDEX('rates'!$B$2:$C$522,MATCH(D1973,'rates'!$A$2:$A$522,1),MATCH(F1973&amp;"/INR",'rates'!$B$1:$C$1,0)))</f>
        <v>1</v>
      </c>
      <c r="N1973">
        <f t="shared" si="160"/>
        <v>1743897</v>
      </c>
      <c r="O1973">
        <f t="shared" si="161"/>
        <v>0</v>
      </c>
      <c r="P1973">
        <f t="shared" si="162"/>
        <v>0</v>
      </c>
      <c r="Q1973">
        <f t="shared" si="159"/>
        <v>4</v>
      </c>
      <c r="R1973" t="str">
        <f t="shared" si="163"/>
        <v>Not open</v>
      </c>
    </row>
    <row r="1974" spans="1:18" x14ac:dyDescent="0.3">
      <c r="A1974" t="s">
        <v>2199</v>
      </c>
      <c r="B1974" t="s">
        <v>152</v>
      </c>
      <c r="C1974" t="s">
        <v>566</v>
      </c>
      <c r="D1974" s="1">
        <v>45481</v>
      </c>
      <c r="E1974" s="1">
        <v>45541</v>
      </c>
      <c r="F1974" t="s">
        <v>13</v>
      </c>
      <c r="G1974">
        <v>3712586</v>
      </c>
      <c r="H1974" s="1">
        <v>45550</v>
      </c>
      <c r="I1974" t="s">
        <v>555</v>
      </c>
      <c r="J1974" t="s">
        <v>556</v>
      </c>
      <c r="L1974">
        <v>3712586</v>
      </c>
      <c r="M1974">
        <f>IF(F1974="INR",1,INDEX('rates'!$B$2:$C$522,MATCH(D1974,'rates'!$A$2:$A$522,1),MATCH(F1974&amp;"/INR",'rates'!$B$1:$C$1,0)))</f>
        <v>1</v>
      </c>
      <c r="N1974">
        <f t="shared" si="160"/>
        <v>3712586</v>
      </c>
      <c r="O1974">
        <f t="shared" si="161"/>
        <v>0</v>
      </c>
      <c r="P1974">
        <f t="shared" si="162"/>
        <v>0</v>
      </c>
      <c r="Q1974">
        <f t="shared" si="159"/>
        <v>9</v>
      </c>
      <c r="R1974" t="str">
        <f t="shared" si="163"/>
        <v>Not open</v>
      </c>
    </row>
    <row r="1975" spans="1:18" x14ac:dyDescent="0.3">
      <c r="A1975" t="s">
        <v>2200</v>
      </c>
      <c r="B1975" t="s">
        <v>322</v>
      </c>
      <c r="C1975" t="s">
        <v>566</v>
      </c>
      <c r="D1975" s="1">
        <v>45481</v>
      </c>
      <c r="E1975" s="1">
        <v>45541</v>
      </c>
      <c r="F1975" t="s">
        <v>13</v>
      </c>
      <c r="G1975">
        <v>4298324</v>
      </c>
      <c r="H1975" s="1">
        <v>45547</v>
      </c>
      <c r="I1975" t="s">
        <v>555</v>
      </c>
      <c r="J1975" t="s">
        <v>556</v>
      </c>
      <c r="L1975">
        <v>4298324</v>
      </c>
      <c r="M1975">
        <f>IF(F1975="INR",1,INDEX('rates'!$B$2:$C$522,MATCH(D1975,'rates'!$A$2:$A$522,1),MATCH(F1975&amp;"/INR",'rates'!$B$1:$C$1,0)))</f>
        <v>1</v>
      </c>
      <c r="N1975">
        <f t="shared" si="160"/>
        <v>4298324</v>
      </c>
      <c r="O1975">
        <f t="shared" si="161"/>
        <v>0</v>
      </c>
      <c r="P1975">
        <f t="shared" si="162"/>
        <v>0</v>
      </c>
      <c r="Q1975">
        <f t="shared" si="159"/>
        <v>6</v>
      </c>
      <c r="R1975" t="str">
        <f t="shared" si="163"/>
        <v>Not open</v>
      </c>
    </row>
    <row r="1976" spans="1:18" x14ac:dyDescent="0.3">
      <c r="A1976" t="s">
        <v>2201</v>
      </c>
      <c r="B1976" t="s">
        <v>332</v>
      </c>
      <c r="C1976" t="s">
        <v>566</v>
      </c>
      <c r="D1976" s="1">
        <v>45481</v>
      </c>
      <c r="E1976" s="1">
        <v>45541</v>
      </c>
      <c r="F1976" t="s">
        <v>36</v>
      </c>
      <c r="G1976">
        <v>110498.65</v>
      </c>
      <c r="H1976" s="1">
        <v>45551</v>
      </c>
      <c r="I1976" t="s">
        <v>555</v>
      </c>
      <c r="J1976" t="s">
        <v>573</v>
      </c>
      <c r="K1976">
        <v>83.728200000000001</v>
      </c>
      <c r="L1976">
        <v>110498.65</v>
      </c>
      <c r="M1976">
        <f>IF(F1976="INR",1,INDEX('rates'!$B$2:$C$522,MATCH(D1976,'rates'!$A$2:$A$522,1),MATCH(F1976&amp;"/INR",'rates'!$B$1:$C$1,0)))</f>
        <v>83.45</v>
      </c>
      <c r="N1976">
        <f t="shared" si="160"/>
        <v>9221112.3424999993</v>
      </c>
      <c r="O1976">
        <f t="shared" si="161"/>
        <v>0</v>
      </c>
      <c r="P1976">
        <f t="shared" si="162"/>
        <v>0</v>
      </c>
      <c r="Q1976">
        <f t="shared" si="159"/>
        <v>10</v>
      </c>
      <c r="R1976" t="str">
        <f t="shared" si="163"/>
        <v>Not open</v>
      </c>
    </row>
    <row r="1977" spans="1:18" x14ac:dyDescent="0.3">
      <c r="A1977" t="s">
        <v>2202</v>
      </c>
      <c r="B1977" t="s">
        <v>436</v>
      </c>
      <c r="C1977" t="s">
        <v>566</v>
      </c>
      <c r="D1977" s="1">
        <v>45481</v>
      </c>
      <c r="E1977" s="1">
        <v>45526</v>
      </c>
      <c r="F1977" t="s">
        <v>36</v>
      </c>
      <c r="G1977">
        <v>51642.18</v>
      </c>
      <c r="H1977" s="1">
        <v>45538</v>
      </c>
      <c r="I1977" t="s">
        <v>555</v>
      </c>
      <c r="J1977" t="s">
        <v>573</v>
      </c>
      <c r="K1977">
        <v>83.658600000000007</v>
      </c>
      <c r="L1977">
        <v>51642.18</v>
      </c>
      <c r="M1977">
        <f>IF(F1977="INR",1,INDEX('rates'!$B$2:$C$522,MATCH(D1977,'rates'!$A$2:$A$522,1),MATCH(F1977&amp;"/INR",'rates'!$B$1:$C$1,0)))</f>
        <v>83.45</v>
      </c>
      <c r="N1977">
        <f t="shared" si="160"/>
        <v>4309539.9210000001</v>
      </c>
      <c r="O1977">
        <f t="shared" si="161"/>
        <v>0</v>
      </c>
      <c r="P1977">
        <f t="shared" si="162"/>
        <v>0</v>
      </c>
      <c r="Q1977">
        <f t="shared" si="159"/>
        <v>12</v>
      </c>
      <c r="R1977" t="str">
        <f t="shared" si="163"/>
        <v>Not open</v>
      </c>
    </row>
    <row r="1978" spans="1:18" x14ac:dyDescent="0.3">
      <c r="A1978" t="s">
        <v>2203</v>
      </c>
      <c r="B1978" t="s">
        <v>528</v>
      </c>
      <c r="C1978" t="s">
        <v>566</v>
      </c>
      <c r="D1978" s="1">
        <v>45481</v>
      </c>
      <c r="E1978" s="1">
        <v>45541</v>
      </c>
      <c r="F1978" t="s">
        <v>13</v>
      </c>
      <c r="G1978">
        <v>6435370</v>
      </c>
      <c r="H1978" s="1">
        <v>45610</v>
      </c>
      <c r="I1978" t="s">
        <v>555</v>
      </c>
      <c r="J1978" t="s">
        <v>556</v>
      </c>
      <c r="L1978">
        <v>6435370</v>
      </c>
      <c r="M1978">
        <f>IF(F1978="INR",1,INDEX('rates'!$B$2:$C$522,MATCH(D1978,'rates'!$A$2:$A$522,1),MATCH(F1978&amp;"/INR",'rates'!$B$1:$C$1,0)))</f>
        <v>1</v>
      </c>
      <c r="N1978">
        <f t="shared" si="160"/>
        <v>6435370</v>
      </c>
      <c r="O1978">
        <f t="shared" si="161"/>
        <v>0</v>
      </c>
      <c r="P1978">
        <f t="shared" si="162"/>
        <v>0</v>
      </c>
      <c r="Q1978">
        <f t="shared" si="159"/>
        <v>69</v>
      </c>
      <c r="R1978" t="str">
        <f t="shared" si="163"/>
        <v>Not open</v>
      </c>
    </row>
    <row r="1979" spans="1:18" x14ac:dyDescent="0.3">
      <c r="A1979" t="s">
        <v>2204</v>
      </c>
      <c r="B1979" t="s">
        <v>42</v>
      </c>
      <c r="C1979" t="s">
        <v>566</v>
      </c>
      <c r="D1979" s="1">
        <v>45482</v>
      </c>
      <c r="E1979" s="1">
        <v>45542</v>
      </c>
      <c r="F1979" t="s">
        <v>13</v>
      </c>
      <c r="G1979">
        <v>9379320</v>
      </c>
      <c r="H1979" s="1">
        <v>45544</v>
      </c>
      <c r="I1979" t="s">
        <v>555</v>
      </c>
      <c r="J1979" t="s">
        <v>556</v>
      </c>
      <c r="L1979">
        <v>9379320</v>
      </c>
      <c r="M1979">
        <f>IF(F1979="INR",1,INDEX('rates'!$B$2:$C$522,MATCH(D1979,'rates'!$A$2:$A$522,1),MATCH(F1979&amp;"/INR",'rates'!$B$1:$C$1,0)))</f>
        <v>1</v>
      </c>
      <c r="N1979">
        <f t="shared" si="160"/>
        <v>9379320</v>
      </c>
      <c r="O1979">
        <f t="shared" si="161"/>
        <v>0</v>
      </c>
      <c r="P1979">
        <f t="shared" si="162"/>
        <v>0</v>
      </c>
      <c r="Q1979">
        <f t="shared" si="159"/>
        <v>2</v>
      </c>
      <c r="R1979" t="str">
        <f t="shared" si="163"/>
        <v>Not open</v>
      </c>
    </row>
    <row r="1980" spans="1:18" x14ac:dyDescent="0.3">
      <c r="A1980" t="s">
        <v>2207</v>
      </c>
      <c r="B1980" t="s">
        <v>98</v>
      </c>
      <c r="C1980" t="s">
        <v>554</v>
      </c>
      <c r="D1980" s="1">
        <v>45482</v>
      </c>
      <c r="E1980" s="1">
        <v>45542</v>
      </c>
      <c r="F1980" t="s">
        <v>13</v>
      </c>
      <c r="G1980">
        <v>10013417</v>
      </c>
      <c r="H1980" s="1">
        <v>45545</v>
      </c>
      <c r="I1980" t="s">
        <v>555</v>
      </c>
      <c r="J1980" t="s">
        <v>556</v>
      </c>
      <c r="L1980">
        <v>10013417</v>
      </c>
      <c r="M1980">
        <f>IF(F1980="INR",1,INDEX('rates'!$B$2:$C$522,MATCH(D1980,'rates'!$A$2:$A$522,1),MATCH(F1980&amp;"/INR",'rates'!$B$1:$C$1,0)))</f>
        <v>1</v>
      </c>
      <c r="N1980">
        <f t="shared" si="160"/>
        <v>10013417</v>
      </c>
      <c r="O1980">
        <f t="shared" si="161"/>
        <v>0</v>
      </c>
      <c r="P1980">
        <f t="shared" si="162"/>
        <v>0</v>
      </c>
      <c r="Q1980">
        <f t="shared" si="159"/>
        <v>3</v>
      </c>
      <c r="R1980" t="str">
        <f t="shared" si="163"/>
        <v>Not open</v>
      </c>
    </row>
    <row r="1981" spans="1:18" x14ac:dyDescent="0.3">
      <c r="A1981" t="s">
        <v>2208</v>
      </c>
      <c r="B1981" t="s">
        <v>140</v>
      </c>
      <c r="C1981" t="s">
        <v>554</v>
      </c>
      <c r="D1981" s="1">
        <v>45482</v>
      </c>
      <c r="E1981" s="1">
        <v>45542</v>
      </c>
      <c r="F1981" t="s">
        <v>13</v>
      </c>
      <c r="G1981">
        <v>4140295</v>
      </c>
      <c r="H1981" s="1">
        <v>45552</v>
      </c>
      <c r="I1981" t="s">
        <v>555</v>
      </c>
      <c r="J1981" t="s">
        <v>556</v>
      </c>
      <c r="L1981">
        <v>4140295</v>
      </c>
      <c r="M1981">
        <f>IF(F1981="INR",1,INDEX('rates'!$B$2:$C$522,MATCH(D1981,'rates'!$A$2:$A$522,1),MATCH(F1981&amp;"/INR",'rates'!$B$1:$C$1,0)))</f>
        <v>1</v>
      </c>
      <c r="N1981">
        <f t="shared" si="160"/>
        <v>4140295</v>
      </c>
      <c r="O1981">
        <f t="shared" si="161"/>
        <v>0</v>
      </c>
      <c r="P1981">
        <f t="shared" si="162"/>
        <v>0</v>
      </c>
      <c r="Q1981">
        <f t="shared" si="159"/>
        <v>10</v>
      </c>
      <c r="R1981" t="str">
        <f t="shared" si="163"/>
        <v>Not open</v>
      </c>
    </row>
    <row r="1982" spans="1:18" x14ac:dyDescent="0.3">
      <c r="A1982" t="s">
        <v>2209</v>
      </c>
      <c r="B1982" t="s">
        <v>406</v>
      </c>
      <c r="C1982" t="s">
        <v>554</v>
      </c>
      <c r="D1982" s="1">
        <v>45482</v>
      </c>
      <c r="E1982" s="1">
        <v>45572</v>
      </c>
      <c r="F1982" t="s">
        <v>13</v>
      </c>
      <c r="G1982">
        <v>2425245</v>
      </c>
      <c r="H1982" s="1">
        <v>45577</v>
      </c>
      <c r="I1982" t="s">
        <v>555</v>
      </c>
      <c r="J1982" t="s">
        <v>556</v>
      </c>
      <c r="L1982">
        <v>2425245</v>
      </c>
      <c r="M1982">
        <f>IF(F1982="INR",1,INDEX('rates'!$B$2:$C$522,MATCH(D1982,'rates'!$A$2:$A$522,1),MATCH(F1982&amp;"/INR",'rates'!$B$1:$C$1,0)))</f>
        <v>1</v>
      </c>
      <c r="N1982">
        <f t="shared" si="160"/>
        <v>2425245</v>
      </c>
      <c r="O1982">
        <f t="shared" si="161"/>
        <v>0</v>
      </c>
      <c r="P1982">
        <f t="shared" si="162"/>
        <v>0</v>
      </c>
      <c r="Q1982">
        <f t="shared" si="159"/>
        <v>5</v>
      </c>
      <c r="R1982" t="str">
        <f t="shared" si="163"/>
        <v>Not open</v>
      </c>
    </row>
    <row r="1983" spans="1:18" x14ac:dyDescent="0.3">
      <c r="A1983" t="s">
        <v>2210</v>
      </c>
      <c r="B1983" t="s">
        <v>462</v>
      </c>
      <c r="C1983" t="s">
        <v>566</v>
      </c>
      <c r="D1983" s="1">
        <v>45482</v>
      </c>
      <c r="E1983" s="1">
        <v>45527</v>
      </c>
      <c r="F1983" t="s">
        <v>13</v>
      </c>
      <c r="G1983">
        <v>18177799</v>
      </c>
      <c r="H1983" s="1">
        <v>45551</v>
      </c>
      <c r="I1983" t="s">
        <v>555</v>
      </c>
      <c r="J1983" t="s">
        <v>556</v>
      </c>
      <c r="L1983">
        <v>18177799</v>
      </c>
      <c r="M1983">
        <f>IF(F1983="INR",1,INDEX('rates'!$B$2:$C$522,MATCH(D1983,'rates'!$A$2:$A$522,1),MATCH(F1983&amp;"/INR",'rates'!$B$1:$C$1,0)))</f>
        <v>1</v>
      </c>
      <c r="N1983">
        <f t="shared" si="160"/>
        <v>18177799</v>
      </c>
      <c r="O1983">
        <f t="shared" si="161"/>
        <v>0</v>
      </c>
      <c r="P1983">
        <f t="shared" si="162"/>
        <v>0</v>
      </c>
      <c r="Q1983">
        <f t="shared" si="159"/>
        <v>24</v>
      </c>
      <c r="R1983" t="str">
        <f t="shared" si="163"/>
        <v>Not open</v>
      </c>
    </row>
    <row r="1984" spans="1:18" x14ac:dyDescent="0.3">
      <c r="A1984" t="s">
        <v>2211</v>
      </c>
      <c r="B1984" t="s">
        <v>105</v>
      </c>
      <c r="C1984" t="s">
        <v>560</v>
      </c>
      <c r="D1984" s="1">
        <v>45483</v>
      </c>
      <c r="E1984" s="1">
        <v>45573</v>
      </c>
      <c r="F1984" t="s">
        <v>36</v>
      </c>
      <c r="G1984">
        <v>125415.91</v>
      </c>
      <c r="H1984" s="1">
        <v>45596</v>
      </c>
      <c r="I1984" t="s">
        <v>555</v>
      </c>
      <c r="J1984" t="s">
        <v>556</v>
      </c>
      <c r="L1984">
        <v>125415.91</v>
      </c>
      <c r="M1984">
        <f>IF(F1984="INR",1,INDEX('rates'!$B$2:$C$522,MATCH(D1984,'rates'!$A$2:$A$522,1),MATCH(F1984&amp;"/INR",'rates'!$B$1:$C$1,0)))</f>
        <v>83.5</v>
      </c>
      <c r="N1984">
        <f t="shared" si="160"/>
        <v>10472228.484999999</v>
      </c>
      <c r="O1984">
        <f t="shared" si="161"/>
        <v>0</v>
      </c>
      <c r="P1984">
        <f t="shared" si="162"/>
        <v>0</v>
      </c>
      <c r="Q1984">
        <f t="shared" ref="Q1984:Q2047" si="164">IF(H1984="","",H1984-E1984)</f>
        <v>23</v>
      </c>
      <c r="R1984" t="str">
        <f t="shared" si="163"/>
        <v>Not open</v>
      </c>
    </row>
    <row r="1985" spans="1:18" x14ac:dyDescent="0.3">
      <c r="A1985" t="s">
        <v>2212</v>
      </c>
      <c r="B1985" t="s">
        <v>262</v>
      </c>
      <c r="C1985" t="s">
        <v>566</v>
      </c>
      <c r="D1985" s="1">
        <v>45483</v>
      </c>
      <c r="E1985" s="1">
        <v>45573</v>
      </c>
      <c r="F1985" t="s">
        <v>31</v>
      </c>
      <c r="G1985">
        <v>221490.49</v>
      </c>
      <c r="H1985" s="1">
        <v>45597</v>
      </c>
      <c r="I1985" t="s">
        <v>555</v>
      </c>
      <c r="J1985" t="s">
        <v>573</v>
      </c>
      <c r="K1985">
        <v>90.643100000000004</v>
      </c>
      <c r="L1985">
        <v>221490.49</v>
      </c>
      <c r="M1985">
        <f>IF(F1985="INR",1,INDEX('rates'!$B$2:$C$522,MATCH(D1985,'rates'!$A$2:$A$522,1),MATCH(F1985&amp;"/INR",'rates'!$B$1:$C$1,0)))</f>
        <v>90.372</v>
      </c>
      <c r="N1985">
        <f t="shared" si="160"/>
        <v>20016538.562279999</v>
      </c>
      <c r="O1985">
        <f t="shared" si="161"/>
        <v>0</v>
      </c>
      <c r="P1985">
        <f t="shared" si="162"/>
        <v>0</v>
      </c>
      <c r="Q1985">
        <f t="shared" si="164"/>
        <v>24</v>
      </c>
      <c r="R1985" t="str">
        <f t="shared" si="163"/>
        <v>Not open</v>
      </c>
    </row>
    <row r="1986" spans="1:18" x14ac:dyDescent="0.3">
      <c r="A1986" t="s">
        <v>2213</v>
      </c>
      <c r="B1986" t="s">
        <v>492</v>
      </c>
      <c r="C1986" t="s">
        <v>566</v>
      </c>
      <c r="D1986" s="1">
        <v>45483</v>
      </c>
      <c r="E1986" s="1">
        <v>45528</v>
      </c>
      <c r="F1986" t="s">
        <v>13</v>
      </c>
      <c r="G1986">
        <v>5568181</v>
      </c>
      <c r="H1986" s="1">
        <v>45521</v>
      </c>
      <c r="I1986" t="s">
        <v>555</v>
      </c>
      <c r="J1986" t="s">
        <v>556</v>
      </c>
      <c r="L1986">
        <v>5568181</v>
      </c>
      <c r="M1986">
        <f>IF(F1986="INR",1,INDEX('rates'!$B$2:$C$522,MATCH(D1986,'rates'!$A$2:$A$522,1),MATCH(F1986&amp;"/INR",'rates'!$B$1:$C$1,0)))</f>
        <v>1</v>
      </c>
      <c r="N1986">
        <f t="shared" ref="N1986:N2049" si="165">G1986*M1986</f>
        <v>5568181</v>
      </c>
      <c r="O1986">
        <f t="shared" ref="O1986:O2049" si="166">IF(OR(I1986="OPEN",I1986="PARTIALLY PAID"),(G1986-L1986)*M1986,0)</f>
        <v>0</v>
      </c>
      <c r="P1986">
        <f t="shared" ref="P1986:P2049" si="167">IF(O1986&gt;0,MAX(0,DATE(2025,3,31)-E1986),0)</f>
        <v>0</v>
      </c>
      <c r="Q1986">
        <f t="shared" si="164"/>
        <v>-7</v>
      </c>
      <c r="R1986" t="str">
        <f t="shared" ref="R1986:R2049" si="168">IF(O1986=0,"Not open",IF(P1986=0,"Not yet due",IF(P1986&lt;=30,"1-30",IF(P1986&lt;=60,"31-60",IF(P1986&lt;=90,"61-90","90+")))))</f>
        <v>Not open</v>
      </c>
    </row>
    <row r="1987" spans="1:18" x14ac:dyDescent="0.3">
      <c r="A1987" t="s">
        <v>2214</v>
      </c>
      <c r="B1987" t="s">
        <v>28</v>
      </c>
      <c r="C1987" t="s">
        <v>558</v>
      </c>
      <c r="D1987" s="1">
        <v>45484</v>
      </c>
      <c r="E1987" s="1">
        <v>45514</v>
      </c>
      <c r="F1987" t="s">
        <v>31</v>
      </c>
      <c r="G1987">
        <v>98578.7</v>
      </c>
      <c r="H1987" s="1">
        <v>45524</v>
      </c>
      <c r="I1987" t="s">
        <v>555</v>
      </c>
      <c r="J1987" t="s">
        <v>556</v>
      </c>
      <c r="L1987">
        <v>98578.7</v>
      </c>
      <c r="M1987">
        <f>IF(F1987="INR",1,INDEX('rates'!$B$2:$C$522,MATCH(D1987,'rates'!$A$2:$A$522,1),MATCH(F1987&amp;"/INR",'rates'!$B$1:$C$1,0)))</f>
        <v>90.840599999999995</v>
      </c>
      <c r="N1987">
        <f t="shared" si="165"/>
        <v>8954948.2552199997</v>
      </c>
      <c r="O1987">
        <f t="shared" si="166"/>
        <v>0</v>
      </c>
      <c r="P1987">
        <f t="shared" si="167"/>
        <v>0</v>
      </c>
      <c r="Q1987">
        <f t="shared" si="164"/>
        <v>10</v>
      </c>
      <c r="R1987" t="str">
        <f t="shared" si="168"/>
        <v>Not open</v>
      </c>
    </row>
    <row r="1988" spans="1:18" x14ac:dyDescent="0.3">
      <c r="A1988" t="s">
        <v>2215</v>
      </c>
      <c r="B1988" t="s">
        <v>72</v>
      </c>
      <c r="C1988" t="s">
        <v>560</v>
      </c>
      <c r="D1988" s="1">
        <v>45484</v>
      </c>
      <c r="E1988" s="1">
        <v>45574</v>
      </c>
      <c r="F1988" t="s">
        <v>31</v>
      </c>
      <c r="G1988">
        <v>178238.11</v>
      </c>
      <c r="H1988" s="1">
        <v>45589</v>
      </c>
      <c r="I1988" t="s">
        <v>555</v>
      </c>
      <c r="J1988" t="s">
        <v>573</v>
      </c>
      <c r="K1988">
        <v>91.113100000000003</v>
      </c>
      <c r="L1988">
        <v>178238.11</v>
      </c>
      <c r="M1988">
        <f>IF(F1988="INR",1,INDEX('rates'!$B$2:$C$522,MATCH(D1988,'rates'!$A$2:$A$522,1),MATCH(F1988&amp;"/INR",'rates'!$B$1:$C$1,0)))</f>
        <v>90.840599999999995</v>
      </c>
      <c r="N1988">
        <f t="shared" si="165"/>
        <v>16191256.855265997</v>
      </c>
      <c r="O1988">
        <f t="shared" si="166"/>
        <v>0</v>
      </c>
      <c r="P1988">
        <f t="shared" si="167"/>
        <v>0</v>
      </c>
      <c r="Q1988">
        <f t="shared" si="164"/>
        <v>15</v>
      </c>
      <c r="R1988" t="str">
        <f t="shared" si="168"/>
        <v>Not open</v>
      </c>
    </row>
    <row r="1989" spans="1:18" x14ac:dyDescent="0.3">
      <c r="A1989" t="s">
        <v>2216</v>
      </c>
      <c r="B1989" t="s">
        <v>186</v>
      </c>
      <c r="C1989" t="s">
        <v>558</v>
      </c>
      <c r="D1989" s="1">
        <v>45484</v>
      </c>
      <c r="E1989" s="1">
        <v>45514</v>
      </c>
      <c r="F1989" t="s">
        <v>36</v>
      </c>
      <c r="G1989">
        <v>119259.9</v>
      </c>
      <c r="H1989" s="1">
        <v>45544</v>
      </c>
      <c r="I1989" t="s">
        <v>555</v>
      </c>
      <c r="J1989" t="s">
        <v>556</v>
      </c>
      <c r="L1989">
        <v>119259.9</v>
      </c>
      <c r="M1989">
        <f>IF(F1989="INR",1,INDEX('rates'!$B$2:$C$522,MATCH(D1989,'rates'!$A$2:$A$522,1),MATCH(F1989&amp;"/INR",'rates'!$B$1:$C$1,0)))</f>
        <v>83.57</v>
      </c>
      <c r="N1989">
        <f t="shared" si="165"/>
        <v>9966549.8429999985</v>
      </c>
      <c r="O1989">
        <f t="shared" si="166"/>
        <v>0</v>
      </c>
      <c r="P1989">
        <f t="shared" si="167"/>
        <v>0</v>
      </c>
      <c r="Q1989">
        <f t="shared" si="164"/>
        <v>30</v>
      </c>
      <c r="R1989" t="str">
        <f t="shared" si="168"/>
        <v>Not open</v>
      </c>
    </row>
    <row r="1990" spans="1:18" x14ac:dyDescent="0.3">
      <c r="A1990" t="s">
        <v>2217</v>
      </c>
      <c r="B1990" t="s">
        <v>294</v>
      </c>
      <c r="C1990" t="s">
        <v>560</v>
      </c>
      <c r="D1990" s="1">
        <v>45484</v>
      </c>
      <c r="E1990" s="1">
        <v>45544</v>
      </c>
      <c r="F1990" t="s">
        <v>13</v>
      </c>
      <c r="G1990">
        <v>14354528</v>
      </c>
      <c r="H1990" s="1">
        <v>45608</v>
      </c>
      <c r="I1990" t="s">
        <v>555</v>
      </c>
      <c r="J1990" t="s">
        <v>556</v>
      </c>
      <c r="L1990">
        <v>14354528</v>
      </c>
      <c r="M1990">
        <f>IF(F1990="INR",1,INDEX('rates'!$B$2:$C$522,MATCH(D1990,'rates'!$A$2:$A$522,1),MATCH(F1990&amp;"/INR",'rates'!$B$1:$C$1,0)))</f>
        <v>1</v>
      </c>
      <c r="N1990">
        <f t="shared" si="165"/>
        <v>14354528</v>
      </c>
      <c r="O1990">
        <f t="shared" si="166"/>
        <v>0</v>
      </c>
      <c r="P1990">
        <f t="shared" si="167"/>
        <v>0</v>
      </c>
      <c r="Q1990">
        <f t="shared" si="164"/>
        <v>64</v>
      </c>
      <c r="R1990" t="str">
        <f t="shared" si="168"/>
        <v>Not open</v>
      </c>
    </row>
    <row r="1991" spans="1:18" x14ac:dyDescent="0.3">
      <c r="A1991" t="s">
        <v>2219</v>
      </c>
      <c r="B1991" t="s">
        <v>470</v>
      </c>
      <c r="C1991" t="s">
        <v>575</v>
      </c>
      <c r="D1991" s="1">
        <v>45485</v>
      </c>
      <c r="E1991" s="1">
        <v>45515</v>
      </c>
      <c r="F1991" t="s">
        <v>36</v>
      </c>
      <c r="G1991">
        <v>88009.2</v>
      </c>
      <c r="H1991" s="1">
        <v>45521</v>
      </c>
      <c r="I1991" t="s">
        <v>555</v>
      </c>
      <c r="J1991" t="s">
        <v>556</v>
      </c>
      <c r="L1991">
        <v>88009.2</v>
      </c>
      <c r="M1991">
        <f>IF(F1991="INR",1,INDEX('rates'!$B$2:$C$522,MATCH(D1991,'rates'!$A$2:$A$522,1),MATCH(F1991&amp;"/INR",'rates'!$B$1:$C$1,0)))</f>
        <v>83.48</v>
      </c>
      <c r="N1991">
        <f t="shared" si="165"/>
        <v>7347008.0159999998</v>
      </c>
      <c r="O1991">
        <f t="shared" si="166"/>
        <v>0</v>
      </c>
      <c r="P1991">
        <f t="shared" si="167"/>
        <v>0</v>
      </c>
      <c r="Q1991">
        <f t="shared" si="164"/>
        <v>6</v>
      </c>
      <c r="R1991" t="str">
        <f t="shared" si="168"/>
        <v>Not open</v>
      </c>
    </row>
    <row r="1992" spans="1:18" x14ac:dyDescent="0.3">
      <c r="A1992" t="s">
        <v>2220</v>
      </c>
      <c r="B1992" t="s">
        <v>496</v>
      </c>
      <c r="C1992" t="s">
        <v>554</v>
      </c>
      <c r="D1992" s="1">
        <v>45485</v>
      </c>
      <c r="E1992" s="1">
        <v>45530</v>
      </c>
      <c r="F1992" t="s">
        <v>13</v>
      </c>
      <c r="G1992">
        <v>16671283</v>
      </c>
      <c r="H1992" s="1">
        <v>45543</v>
      </c>
      <c r="I1992" t="s">
        <v>555</v>
      </c>
      <c r="J1992" t="s">
        <v>556</v>
      </c>
      <c r="L1992">
        <v>16671283</v>
      </c>
      <c r="M1992">
        <f>IF(F1992="INR",1,INDEX('rates'!$B$2:$C$522,MATCH(D1992,'rates'!$A$2:$A$522,1),MATCH(F1992&amp;"/INR",'rates'!$B$1:$C$1,0)))</f>
        <v>1</v>
      </c>
      <c r="N1992">
        <f t="shared" si="165"/>
        <v>16671283</v>
      </c>
      <c r="O1992">
        <f t="shared" si="166"/>
        <v>0</v>
      </c>
      <c r="P1992">
        <f t="shared" si="167"/>
        <v>0</v>
      </c>
      <c r="Q1992">
        <f t="shared" si="164"/>
        <v>13</v>
      </c>
      <c r="R1992" t="str">
        <f t="shared" si="168"/>
        <v>Not open</v>
      </c>
    </row>
    <row r="1993" spans="1:18" x14ac:dyDescent="0.3">
      <c r="A1993" t="s">
        <v>2221</v>
      </c>
      <c r="B1993" t="s">
        <v>87</v>
      </c>
      <c r="C1993" t="s">
        <v>566</v>
      </c>
      <c r="D1993" s="1">
        <v>45486</v>
      </c>
      <c r="E1993" s="1">
        <v>45531</v>
      </c>
      <c r="F1993" t="s">
        <v>36</v>
      </c>
      <c r="G1993">
        <v>189952.68</v>
      </c>
      <c r="H1993" s="1">
        <v>45566</v>
      </c>
      <c r="I1993" t="s">
        <v>555</v>
      </c>
      <c r="J1993" t="s">
        <v>556</v>
      </c>
      <c r="L1993">
        <v>189952.68</v>
      </c>
      <c r="M1993">
        <f>IF(F1993="INR",1,INDEX('rates'!$B$2:$C$522,MATCH(D1993,'rates'!$A$2:$A$522,1),MATCH(F1993&amp;"/INR",'rates'!$B$1:$C$1,0)))</f>
        <v>83.48</v>
      </c>
      <c r="N1993">
        <f t="shared" si="165"/>
        <v>15857249.726400001</v>
      </c>
      <c r="O1993">
        <f t="shared" si="166"/>
        <v>0</v>
      </c>
      <c r="P1993">
        <f t="shared" si="167"/>
        <v>0</v>
      </c>
      <c r="Q1993">
        <f t="shared" si="164"/>
        <v>35</v>
      </c>
      <c r="R1993" t="str">
        <f t="shared" si="168"/>
        <v>Not open</v>
      </c>
    </row>
    <row r="1994" spans="1:18" x14ac:dyDescent="0.3">
      <c r="A1994" t="s">
        <v>2222</v>
      </c>
      <c r="B1994" t="s">
        <v>117</v>
      </c>
      <c r="C1994" t="s">
        <v>554</v>
      </c>
      <c r="D1994" s="1">
        <v>45486</v>
      </c>
      <c r="E1994" s="1">
        <v>45546</v>
      </c>
      <c r="F1994" t="s">
        <v>13</v>
      </c>
      <c r="G1994">
        <v>2951278</v>
      </c>
      <c r="H1994" s="1">
        <v>45555</v>
      </c>
      <c r="I1994" t="s">
        <v>555</v>
      </c>
      <c r="J1994" t="s">
        <v>556</v>
      </c>
      <c r="L1994">
        <v>2951278</v>
      </c>
      <c r="M1994">
        <f>IF(F1994="INR",1,INDEX('rates'!$B$2:$C$522,MATCH(D1994,'rates'!$A$2:$A$522,1),MATCH(F1994&amp;"/INR",'rates'!$B$1:$C$1,0)))</f>
        <v>1</v>
      </c>
      <c r="N1994">
        <f t="shared" si="165"/>
        <v>2951278</v>
      </c>
      <c r="O1994">
        <f t="shared" si="166"/>
        <v>0</v>
      </c>
      <c r="P1994">
        <f t="shared" si="167"/>
        <v>0</v>
      </c>
      <c r="Q1994">
        <f t="shared" si="164"/>
        <v>9</v>
      </c>
      <c r="R1994" t="str">
        <f t="shared" si="168"/>
        <v>Not open</v>
      </c>
    </row>
    <row r="1995" spans="1:18" x14ac:dyDescent="0.3">
      <c r="A1995" t="s">
        <v>2223</v>
      </c>
      <c r="B1995" t="s">
        <v>238</v>
      </c>
      <c r="C1995" t="s">
        <v>566</v>
      </c>
      <c r="D1995" s="1">
        <v>45486</v>
      </c>
      <c r="E1995" s="1">
        <v>45546</v>
      </c>
      <c r="F1995" t="s">
        <v>31</v>
      </c>
      <c r="G1995">
        <v>135717.24</v>
      </c>
      <c r="H1995" s="1">
        <v>45557</v>
      </c>
      <c r="I1995" t="s">
        <v>555</v>
      </c>
      <c r="J1995" t="s">
        <v>556</v>
      </c>
      <c r="L1995">
        <v>135717.24</v>
      </c>
      <c r="M1995">
        <f>IF(F1995="INR",1,INDEX('rates'!$B$2:$C$522,MATCH(D1995,'rates'!$A$2:$A$522,1),MATCH(F1995&amp;"/INR",'rates'!$B$1:$C$1,0)))</f>
        <v>91.009900000000002</v>
      </c>
      <c r="N1995">
        <f t="shared" si="165"/>
        <v>12351612.440676</v>
      </c>
      <c r="O1995">
        <f t="shared" si="166"/>
        <v>0</v>
      </c>
      <c r="P1995">
        <f t="shared" si="167"/>
        <v>0</v>
      </c>
      <c r="Q1995">
        <f t="shared" si="164"/>
        <v>11</v>
      </c>
      <c r="R1995" t="str">
        <f t="shared" si="168"/>
        <v>Not open</v>
      </c>
    </row>
    <row r="1996" spans="1:18" x14ac:dyDescent="0.3">
      <c r="A1996" t="s">
        <v>2224</v>
      </c>
      <c r="B1996" t="s">
        <v>262</v>
      </c>
      <c r="C1996" t="s">
        <v>566</v>
      </c>
      <c r="D1996" s="1">
        <v>45486</v>
      </c>
      <c r="E1996" s="1">
        <v>45576</v>
      </c>
      <c r="F1996" t="s">
        <v>31</v>
      </c>
      <c r="G1996">
        <v>161620.42000000001</v>
      </c>
      <c r="H1996" s="1">
        <v>45596</v>
      </c>
      <c r="I1996" t="s">
        <v>555</v>
      </c>
      <c r="J1996" t="s">
        <v>556</v>
      </c>
      <c r="L1996">
        <v>161620.42000000001</v>
      </c>
      <c r="M1996">
        <f>IF(F1996="INR",1,INDEX('rates'!$B$2:$C$522,MATCH(D1996,'rates'!$A$2:$A$522,1),MATCH(F1996&amp;"/INR",'rates'!$B$1:$C$1,0)))</f>
        <v>91.009900000000002</v>
      </c>
      <c r="N1996">
        <f t="shared" si="165"/>
        <v>14709058.262158001</v>
      </c>
      <c r="O1996">
        <f t="shared" si="166"/>
        <v>0</v>
      </c>
      <c r="P1996">
        <f t="shared" si="167"/>
        <v>0</v>
      </c>
      <c r="Q1996">
        <f t="shared" si="164"/>
        <v>20</v>
      </c>
      <c r="R1996" t="str">
        <f t="shared" si="168"/>
        <v>Not open</v>
      </c>
    </row>
    <row r="1997" spans="1:18" x14ac:dyDescent="0.3">
      <c r="A1997" t="s">
        <v>2225</v>
      </c>
      <c r="B1997" t="s">
        <v>382</v>
      </c>
      <c r="C1997" t="s">
        <v>566</v>
      </c>
      <c r="D1997" s="1">
        <v>45486</v>
      </c>
      <c r="E1997" s="1">
        <v>45576</v>
      </c>
      <c r="F1997" t="s">
        <v>36</v>
      </c>
      <c r="G1997">
        <v>8112.6</v>
      </c>
      <c r="H1997" s="1">
        <v>45579</v>
      </c>
      <c r="I1997" t="s">
        <v>555</v>
      </c>
      <c r="J1997" t="s">
        <v>573</v>
      </c>
      <c r="K1997">
        <v>83.897400000000005</v>
      </c>
      <c r="L1997">
        <v>8112.6</v>
      </c>
      <c r="M1997">
        <f>IF(F1997="INR",1,INDEX('rates'!$B$2:$C$522,MATCH(D1997,'rates'!$A$2:$A$522,1),MATCH(F1997&amp;"/INR",'rates'!$B$1:$C$1,0)))</f>
        <v>83.48</v>
      </c>
      <c r="N1997">
        <f t="shared" si="165"/>
        <v>677239.84800000011</v>
      </c>
      <c r="O1997">
        <f t="shared" si="166"/>
        <v>0</v>
      </c>
      <c r="P1997">
        <f t="shared" si="167"/>
        <v>0</v>
      </c>
      <c r="Q1997">
        <f t="shared" si="164"/>
        <v>3</v>
      </c>
      <c r="R1997" t="str">
        <f t="shared" si="168"/>
        <v>Not open</v>
      </c>
    </row>
    <row r="1998" spans="1:18" x14ac:dyDescent="0.3">
      <c r="A1998" t="s">
        <v>2226</v>
      </c>
      <c r="B1998" t="s">
        <v>468</v>
      </c>
      <c r="C1998" t="s">
        <v>554</v>
      </c>
      <c r="D1998" s="1">
        <v>45486</v>
      </c>
      <c r="E1998" s="1">
        <v>45516</v>
      </c>
      <c r="F1998" t="s">
        <v>13</v>
      </c>
      <c r="G1998">
        <v>2022262</v>
      </c>
      <c r="H1998" s="1">
        <v>45520</v>
      </c>
      <c r="I1998" t="s">
        <v>555</v>
      </c>
      <c r="J1998" t="s">
        <v>556</v>
      </c>
      <c r="L1998">
        <v>2022262</v>
      </c>
      <c r="M1998">
        <f>IF(F1998="INR",1,INDEX('rates'!$B$2:$C$522,MATCH(D1998,'rates'!$A$2:$A$522,1),MATCH(F1998&amp;"/INR",'rates'!$B$1:$C$1,0)))</f>
        <v>1</v>
      </c>
      <c r="N1998">
        <f t="shared" si="165"/>
        <v>2022262</v>
      </c>
      <c r="O1998">
        <f t="shared" si="166"/>
        <v>0</v>
      </c>
      <c r="P1998">
        <f t="shared" si="167"/>
        <v>0</v>
      </c>
      <c r="Q1998">
        <f t="shared" si="164"/>
        <v>4</v>
      </c>
      <c r="R1998" t="str">
        <f t="shared" si="168"/>
        <v>Not open</v>
      </c>
    </row>
    <row r="1999" spans="1:18" x14ac:dyDescent="0.3">
      <c r="A1999" t="s">
        <v>2227</v>
      </c>
      <c r="B1999" t="s">
        <v>33</v>
      </c>
      <c r="C1999" t="s">
        <v>566</v>
      </c>
      <c r="D1999" s="1">
        <v>45488</v>
      </c>
      <c r="E1999" s="1">
        <v>45518</v>
      </c>
      <c r="F1999" t="s">
        <v>36</v>
      </c>
      <c r="G1999">
        <v>232765</v>
      </c>
      <c r="H1999" s="1"/>
      <c r="I1999" t="s">
        <v>717</v>
      </c>
      <c r="J1999" t="s">
        <v>573</v>
      </c>
      <c r="K1999">
        <v>83.689300000000003</v>
      </c>
      <c r="L1999">
        <v>0</v>
      </c>
      <c r="M1999">
        <f>IF(F1999="INR",1,INDEX('rates'!$B$2:$C$522,MATCH(D1999,'rates'!$A$2:$A$522,1),MATCH(F1999&amp;"/INR",'rates'!$B$1:$C$1,0)))</f>
        <v>83.55</v>
      </c>
      <c r="N1999">
        <f t="shared" si="165"/>
        <v>19447515.75</v>
      </c>
      <c r="O1999">
        <f t="shared" si="166"/>
        <v>0</v>
      </c>
      <c r="P1999">
        <f t="shared" si="167"/>
        <v>0</v>
      </c>
      <c r="Q1999" t="str">
        <f t="shared" si="164"/>
        <v/>
      </c>
      <c r="R1999" t="str">
        <f t="shared" si="168"/>
        <v>Not open</v>
      </c>
    </row>
    <row r="2000" spans="1:18" x14ac:dyDescent="0.3">
      <c r="A2000" t="s">
        <v>2228</v>
      </c>
      <c r="B2000" t="s">
        <v>83</v>
      </c>
      <c r="C2000" t="s">
        <v>558</v>
      </c>
      <c r="D2000" s="1">
        <v>45488</v>
      </c>
      <c r="E2000" s="1">
        <v>45533</v>
      </c>
      <c r="F2000" t="s">
        <v>13</v>
      </c>
      <c r="G2000">
        <v>18271038</v>
      </c>
      <c r="H2000" s="1">
        <v>45584</v>
      </c>
      <c r="I2000" t="s">
        <v>555</v>
      </c>
      <c r="J2000" t="s">
        <v>556</v>
      </c>
      <c r="L2000">
        <v>18271038</v>
      </c>
      <c r="M2000">
        <f>IF(F2000="INR",1,INDEX('rates'!$B$2:$C$522,MATCH(D2000,'rates'!$A$2:$A$522,1),MATCH(F2000&amp;"/INR",'rates'!$B$1:$C$1,0)))</f>
        <v>1</v>
      </c>
      <c r="N2000">
        <f t="shared" si="165"/>
        <v>18271038</v>
      </c>
      <c r="O2000">
        <f t="shared" si="166"/>
        <v>0</v>
      </c>
      <c r="P2000">
        <f t="shared" si="167"/>
        <v>0</v>
      </c>
      <c r="Q2000">
        <f t="shared" si="164"/>
        <v>51</v>
      </c>
      <c r="R2000" t="str">
        <f t="shared" si="168"/>
        <v>Not open</v>
      </c>
    </row>
    <row r="2001" spans="1:18" x14ac:dyDescent="0.3">
      <c r="A2001" t="s">
        <v>2229</v>
      </c>
      <c r="B2001" t="s">
        <v>105</v>
      </c>
      <c r="C2001" t="s">
        <v>560</v>
      </c>
      <c r="D2001" s="1">
        <v>45488</v>
      </c>
      <c r="E2001" s="1">
        <v>45578</v>
      </c>
      <c r="F2001" t="s">
        <v>36</v>
      </c>
      <c r="G2001">
        <v>245570.17</v>
      </c>
      <c r="H2001" s="1">
        <v>45625</v>
      </c>
      <c r="I2001" t="s">
        <v>555</v>
      </c>
      <c r="J2001" t="s">
        <v>573</v>
      </c>
      <c r="K2001">
        <v>83.967699999999994</v>
      </c>
      <c r="L2001">
        <v>245570.17</v>
      </c>
      <c r="M2001">
        <f>IF(F2001="INR",1,INDEX('rates'!$B$2:$C$522,MATCH(D2001,'rates'!$A$2:$A$522,1),MATCH(F2001&amp;"/INR",'rates'!$B$1:$C$1,0)))</f>
        <v>83.55</v>
      </c>
      <c r="N2001">
        <f t="shared" si="165"/>
        <v>20517387.703499999</v>
      </c>
      <c r="O2001">
        <f t="shared" si="166"/>
        <v>0</v>
      </c>
      <c r="P2001">
        <f t="shared" si="167"/>
        <v>0</v>
      </c>
      <c r="Q2001">
        <f t="shared" si="164"/>
        <v>47</v>
      </c>
      <c r="R2001" t="str">
        <f t="shared" si="168"/>
        <v>Not open</v>
      </c>
    </row>
    <row r="2002" spans="1:18" x14ac:dyDescent="0.3">
      <c r="A2002" t="s">
        <v>2230</v>
      </c>
      <c r="B2002" t="s">
        <v>266</v>
      </c>
      <c r="C2002" t="s">
        <v>554</v>
      </c>
      <c r="D2002" s="1">
        <v>45488</v>
      </c>
      <c r="E2002" s="1">
        <v>45578</v>
      </c>
      <c r="F2002" t="s">
        <v>13</v>
      </c>
      <c r="G2002">
        <v>4657865</v>
      </c>
      <c r="H2002" s="1">
        <v>45569</v>
      </c>
      <c r="I2002" t="s">
        <v>555</v>
      </c>
      <c r="J2002" t="s">
        <v>556</v>
      </c>
      <c r="L2002">
        <v>4657865</v>
      </c>
      <c r="M2002">
        <f>IF(F2002="INR",1,INDEX('rates'!$B$2:$C$522,MATCH(D2002,'rates'!$A$2:$A$522,1),MATCH(F2002&amp;"/INR",'rates'!$B$1:$C$1,0)))</f>
        <v>1</v>
      </c>
      <c r="N2002">
        <f t="shared" si="165"/>
        <v>4657865</v>
      </c>
      <c r="O2002">
        <f t="shared" si="166"/>
        <v>0</v>
      </c>
      <c r="P2002">
        <f t="shared" si="167"/>
        <v>0</v>
      </c>
      <c r="Q2002">
        <f t="shared" si="164"/>
        <v>-9</v>
      </c>
      <c r="R2002" t="str">
        <f t="shared" si="168"/>
        <v>Not open</v>
      </c>
    </row>
    <row r="2003" spans="1:18" x14ac:dyDescent="0.3">
      <c r="A2003" t="s">
        <v>2231</v>
      </c>
      <c r="B2003" t="s">
        <v>394</v>
      </c>
      <c r="C2003" t="s">
        <v>566</v>
      </c>
      <c r="D2003" s="1">
        <v>45488</v>
      </c>
      <c r="E2003" s="1">
        <v>45548</v>
      </c>
      <c r="F2003" t="s">
        <v>31</v>
      </c>
      <c r="G2003">
        <v>180854.93</v>
      </c>
      <c r="H2003" s="1">
        <v>45551</v>
      </c>
      <c r="I2003" t="s">
        <v>555</v>
      </c>
      <c r="J2003" t="s">
        <v>573</v>
      </c>
      <c r="K2003">
        <v>91.352099999999993</v>
      </c>
      <c r="L2003">
        <v>180854.93</v>
      </c>
      <c r="M2003">
        <f>IF(F2003="INR",1,INDEX('rates'!$B$2:$C$522,MATCH(D2003,'rates'!$A$2:$A$522,1),MATCH(F2003&amp;"/INR",'rates'!$B$1:$C$1,0)))</f>
        <v>91.169799999999995</v>
      </c>
      <c r="N2003">
        <f t="shared" si="165"/>
        <v>16488507.797113998</v>
      </c>
      <c r="O2003">
        <f t="shared" si="166"/>
        <v>0</v>
      </c>
      <c r="P2003">
        <f t="shared" si="167"/>
        <v>0</v>
      </c>
      <c r="Q2003">
        <f t="shared" si="164"/>
        <v>3</v>
      </c>
      <c r="R2003" t="str">
        <f t="shared" si="168"/>
        <v>Not open</v>
      </c>
    </row>
    <row r="2004" spans="1:18" x14ac:dyDescent="0.3">
      <c r="A2004" t="s">
        <v>2233</v>
      </c>
      <c r="B2004" t="s">
        <v>482</v>
      </c>
      <c r="C2004" t="s">
        <v>558</v>
      </c>
      <c r="D2004" s="1">
        <v>45488</v>
      </c>
      <c r="E2004" s="1">
        <v>45548</v>
      </c>
      <c r="F2004" t="s">
        <v>13</v>
      </c>
      <c r="G2004">
        <v>3412165</v>
      </c>
      <c r="H2004" s="1">
        <v>45563</v>
      </c>
      <c r="I2004" t="s">
        <v>555</v>
      </c>
      <c r="J2004" t="s">
        <v>556</v>
      </c>
      <c r="L2004">
        <v>3412165</v>
      </c>
      <c r="M2004">
        <f>IF(F2004="INR",1,INDEX('rates'!$B$2:$C$522,MATCH(D2004,'rates'!$A$2:$A$522,1),MATCH(F2004&amp;"/INR",'rates'!$B$1:$C$1,0)))</f>
        <v>1</v>
      </c>
      <c r="N2004">
        <f t="shared" si="165"/>
        <v>3412165</v>
      </c>
      <c r="O2004">
        <f t="shared" si="166"/>
        <v>0</v>
      </c>
      <c r="P2004">
        <f t="shared" si="167"/>
        <v>0</v>
      </c>
      <c r="Q2004">
        <f t="shared" si="164"/>
        <v>15</v>
      </c>
      <c r="R2004" t="str">
        <f t="shared" si="168"/>
        <v>Not open</v>
      </c>
    </row>
    <row r="2005" spans="1:18" x14ac:dyDescent="0.3">
      <c r="A2005" t="s">
        <v>2234</v>
      </c>
      <c r="B2005" t="s">
        <v>518</v>
      </c>
      <c r="C2005" t="s">
        <v>558</v>
      </c>
      <c r="D2005" s="1">
        <v>45489</v>
      </c>
      <c r="E2005" s="1">
        <v>45534</v>
      </c>
      <c r="F2005" t="s">
        <v>13</v>
      </c>
      <c r="G2005">
        <v>7701192</v>
      </c>
      <c r="H2005" s="1">
        <v>45641</v>
      </c>
      <c r="I2005" t="s">
        <v>555</v>
      </c>
      <c r="J2005" t="s">
        <v>556</v>
      </c>
      <c r="L2005">
        <v>7701192</v>
      </c>
      <c r="M2005">
        <f>IF(F2005="INR",1,INDEX('rates'!$B$2:$C$522,MATCH(D2005,'rates'!$A$2:$A$522,1),MATCH(F2005&amp;"/INR",'rates'!$B$1:$C$1,0)))</f>
        <v>1</v>
      </c>
      <c r="N2005">
        <f t="shared" si="165"/>
        <v>7701192</v>
      </c>
      <c r="O2005">
        <f t="shared" si="166"/>
        <v>0</v>
      </c>
      <c r="P2005">
        <f t="shared" si="167"/>
        <v>0</v>
      </c>
      <c r="Q2005">
        <f t="shared" si="164"/>
        <v>107</v>
      </c>
      <c r="R2005" t="str">
        <f t="shared" si="168"/>
        <v>Not open</v>
      </c>
    </row>
    <row r="2006" spans="1:18" x14ac:dyDescent="0.3">
      <c r="A2006" t="s">
        <v>2235</v>
      </c>
      <c r="B2006" t="s">
        <v>154</v>
      </c>
      <c r="C2006" t="s">
        <v>566</v>
      </c>
      <c r="D2006" s="1">
        <v>45490</v>
      </c>
      <c r="E2006" s="1">
        <v>45520</v>
      </c>
      <c r="F2006" t="s">
        <v>13</v>
      </c>
      <c r="G2006">
        <v>9416213</v>
      </c>
      <c r="H2006" s="1">
        <v>45523</v>
      </c>
      <c r="I2006" t="s">
        <v>555</v>
      </c>
      <c r="J2006" t="s">
        <v>556</v>
      </c>
      <c r="L2006">
        <v>9416213</v>
      </c>
      <c r="M2006">
        <f>IF(F2006="INR",1,INDEX('rates'!$B$2:$C$522,MATCH(D2006,'rates'!$A$2:$A$522,1),MATCH(F2006&amp;"/INR",'rates'!$B$1:$C$1,0)))</f>
        <v>1</v>
      </c>
      <c r="N2006">
        <f t="shared" si="165"/>
        <v>9416213</v>
      </c>
      <c r="O2006">
        <f t="shared" si="166"/>
        <v>0</v>
      </c>
      <c r="P2006">
        <f t="shared" si="167"/>
        <v>0</v>
      </c>
      <c r="Q2006">
        <f t="shared" si="164"/>
        <v>3</v>
      </c>
      <c r="R2006" t="str">
        <f t="shared" si="168"/>
        <v>Not open</v>
      </c>
    </row>
    <row r="2007" spans="1:18" x14ac:dyDescent="0.3">
      <c r="A2007" t="s">
        <v>2236</v>
      </c>
      <c r="B2007" t="s">
        <v>208</v>
      </c>
      <c r="C2007" t="s">
        <v>566</v>
      </c>
      <c r="D2007" s="1">
        <v>45490</v>
      </c>
      <c r="E2007" s="1">
        <v>45535</v>
      </c>
      <c r="F2007" t="s">
        <v>13</v>
      </c>
      <c r="G2007">
        <v>10502013</v>
      </c>
      <c r="H2007" s="1">
        <v>45534</v>
      </c>
      <c r="I2007" t="s">
        <v>555</v>
      </c>
      <c r="J2007" t="s">
        <v>556</v>
      </c>
      <c r="L2007">
        <v>10502013</v>
      </c>
      <c r="M2007">
        <f>IF(F2007="INR",1,INDEX('rates'!$B$2:$C$522,MATCH(D2007,'rates'!$A$2:$A$522,1),MATCH(F2007&amp;"/INR",'rates'!$B$1:$C$1,0)))</f>
        <v>1</v>
      </c>
      <c r="N2007">
        <f t="shared" si="165"/>
        <v>10502013</v>
      </c>
      <c r="O2007">
        <f t="shared" si="166"/>
        <v>0</v>
      </c>
      <c r="P2007">
        <f t="shared" si="167"/>
        <v>0</v>
      </c>
      <c r="Q2007">
        <f t="shared" si="164"/>
        <v>-1</v>
      </c>
      <c r="R2007" t="str">
        <f t="shared" si="168"/>
        <v>Not open</v>
      </c>
    </row>
    <row r="2008" spans="1:18" x14ac:dyDescent="0.3">
      <c r="A2008" t="s">
        <v>2237</v>
      </c>
      <c r="B2008" t="s">
        <v>370</v>
      </c>
      <c r="C2008" t="s">
        <v>575</v>
      </c>
      <c r="D2008" s="1">
        <v>45490</v>
      </c>
      <c r="E2008" s="1">
        <v>45520</v>
      </c>
      <c r="F2008" t="s">
        <v>36</v>
      </c>
      <c r="G2008">
        <v>150415.66</v>
      </c>
      <c r="H2008" s="1">
        <v>45531</v>
      </c>
      <c r="I2008" t="s">
        <v>555</v>
      </c>
      <c r="J2008" t="s">
        <v>556</v>
      </c>
      <c r="L2008">
        <v>150415.66</v>
      </c>
      <c r="M2008">
        <f>IF(F2008="INR",1,INDEX('rates'!$B$2:$C$522,MATCH(D2008,'rates'!$A$2:$A$522,1),MATCH(F2008&amp;"/INR",'rates'!$B$1:$C$1,0)))</f>
        <v>83.55</v>
      </c>
      <c r="N2008">
        <f t="shared" si="165"/>
        <v>12567228.392999999</v>
      </c>
      <c r="O2008">
        <f t="shared" si="166"/>
        <v>0</v>
      </c>
      <c r="P2008">
        <f t="shared" si="167"/>
        <v>0</v>
      </c>
      <c r="Q2008">
        <f t="shared" si="164"/>
        <v>11</v>
      </c>
      <c r="R2008" t="str">
        <f t="shared" si="168"/>
        <v>Not open</v>
      </c>
    </row>
    <row r="2009" spans="1:18" x14ac:dyDescent="0.3">
      <c r="A2009" t="s">
        <v>2238</v>
      </c>
      <c r="B2009" t="s">
        <v>334</v>
      </c>
      <c r="C2009" t="s">
        <v>566</v>
      </c>
      <c r="D2009" s="1">
        <v>45491</v>
      </c>
      <c r="E2009" s="1">
        <v>45581</v>
      </c>
      <c r="F2009" t="s">
        <v>13</v>
      </c>
      <c r="G2009">
        <v>4843762</v>
      </c>
      <c r="H2009" s="1">
        <v>45586</v>
      </c>
      <c r="I2009" t="s">
        <v>555</v>
      </c>
      <c r="J2009" t="s">
        <v>556</v>
      </c>
      <c r="L2009">
        <v>4843762</v>
      </c>
      <c r="M2009">
        <f>IF(F2009="INR",1,INDEX('rates'!$B$2:$C$522,MATCH(D2009,'rates'!$A$2:$A$522,1),MATCH(F2009&amp;"/INR",'rates'!$B$1:$C$1,0)))</f>
        <v>1</v>
      </c>
      <c r="N2009">
        <f t="shared" si="165"/>
        <v>4843762</v>
      </c>
      <c r="O2009">
        <f t="shared" si="166"/>
        <v>0</v>
      </c>
      <c r="P2009">
        <f t="shared" si="167"/>
        <v>0</v>
      </c>
      <c r="Q2009">
        <f t="shared" si="164"/>
        <v>5</v>
      </c>
      <c r="R2009" t="str">
        <f t="shared" si="168"/>
        <v>Not open</v>
      </c>
    </row>
    <row r="2010" spans="1:18" x14ac:dyDescent="0.3">
      <c r="A2010" t="s">
        <v>2239</v>
      </c>
      <c r="B2010" t="s">
        <v>144</v>
      </c>
      <c r="C2010" t="s">
        <v>554</v>
      </c>
      <c r="D2010" s="1">
        <v>45492</v>
      </c>
      <c r="E2010" s="1">
        <v>45522</v>
      </c>
      <c r="F2010" t="s">
        <v>13</v>
      </c>
      <c r="G2010">
        <v>2218091</v>
      </c>
      <c r="H2010" s="1">
        <v>45531</v>
      </c>
      <c r="I2010" t="s">
        <v>555</v>
      </c>
      <c r="J2010" t="s">
        <v>556</v>
      </c>
      <c r="L2010">
        <v>2218091</v>
      </c>
      <c r="M2010">
        <f>IF(F2010="INR",1,INDEX('rates'!$B$2:$C$522,MATCH(D2010,'rates'!$A$2:$A$522,1),MATCH(F2010&amp;"/INR",'rates'!$B$1:$C$1,0)))</f>
        <v>1</v>
      </c>
      <c r="N2010">
        <f t="shared" si="165"/>
        <v>2218091</v>
      </c>
      <c r="O2010">
        <f t="shared" si="166"/>
        <v>0</v>
      </c>
      <c r="P2010">
        <f t="shared" si="167"/>
        <v>0</v>
      </c>
      <c r="Q2010">
        <f t="shared" si="164"/>
        <v>9</v>
      </c>
      <c r="R2010" t="str">
        <f t="shared" si="168"/>
        <v>Not open</v>
      </c>
    </row>
    <row r="2011" spans="1:18" x14ac:dyDescent="0.3">
      <c r="A2011" t="s">
        <v>2240</v>
      </c>
      <c r="B2011" t="s">
        <v>200</v>
      </c>
      <c r="C2011" t="s">
        <v>575</v>
      </c>
      <c r="D2011" s="1">
        <v>45492</v>
      </c>
      <c r="E2011" s="1">
        <v>45552</v>
      </c>
      <c r="F2011" t="s">
        <v>13</v>
      </c>
      <c r="G2011">
        <v>26855031</v>
      </c>
      <c r="H2011" s="1">
        <v>45577</v>
      </c>
      <c r="I2011" t="s">
        <v>555</v>
      </c>
      <c r="J2011" t="s">
        <v>556</v>
      </c>
      <c r="L2011">
        <v>26855031</v>
      </c>
      <c r="M2011">
        <f>IF(F2011="INR",1,INDEX('rates'!$B$2:$C$522,MATCH(D2011,'rates'!$A$2:$A$522,1),MATCH(F2011&amp;"/INR",'rates'!$B$1:$C$1,0)))</f>
        <v>1</v>
      </c>
      <c r="N2011">
        <f t="shared" si="165"/>
        <v>26855031</v>
      </c>
      <c r="O2011">
        <f t="shared" si="166"/>
        <v>0</v>
      </c>
      <c r="P2011">
        <f t="shared" si="167"/>
        <v>0</v>
      </c>
      <c r="Q2011">
        <f t="shared" si="164"/>
        <v>25</v>
      </c>
      <c r="R2011" t="str">
        <f t="shared" si="168"/>
        <v>Not open</v>
      </c>
    </row>
    <row r="2012" spans="1:18" x14ac:dyDescent="0.3">
      <c r="A2012" t="s">
        <v>2241</v>
      </c>
      <c r="B2012" t="s">
        <v>334</v>
      </c>
      <c r="C2012" t="s">
        <v>566</v>
      </c>
      <c r="D2012" s="1">
        <v>45492</v>
      </c>
      <c r="E2012" s="1">
        <v>45582</v>
      </c>
      <c r="F2012" t="s">
        <v>13</v>
      </c>
      <c r="G2012">
        <v>13218956</v>
      </c>
      <c r="H2012" s="1">
        <v>45600</v>
      </c>
      <c r="I2012" t="s">
        <v>555</v>
      </c>
      <c r="J2012" t="s">
        <v>556</v>
      </c>
      <c r="L2012">
        <v>13218956</v>
      </c>
      <c r="M2012">
        <f>IF(F2012="INR",1,INDEX('rates'!$B$2:$C$522,MATCH(D2012,'rates'!$A$2:$A$522,1),MATCH(F2012&amp;"/INR",'rates'!$B$1:$C$1,0)))</f>
        <v>1</v>
      </c>
      <c r="N2012">
        <f t="shared" si="165"/>
        <v>13218956</v>
      </c>
      <c r="O2012">
        <f t="shared" si="166"/>
        <v>0</v>
      </c>
      <c r="P2012">
        <f t="shared" si="167"/>
        <v>0</v>
      </c>
      <c r="Q2012">
        <f t="shared" si="164"/>
        <v>18</v>
      </c>
      <c r="R2012" t="str">
        <f t="shared" si="168"/>
        <v>Not open</v>
      </c>
    </row>
    <row r="2013" spans="1:18" x14ac:dyDescent="0.3">
      <c r="A2013" t="s">
        <v>2242</v>
      </c>
      <c r="B2013" t="s">
        <v>336</v>
      </c>
      <c r="C2013" t="s">
        <v>554</v>
      </c>
      <c r="D2013" s="1">
        <v>45492</v>
      </c>
      <c r="E2013" s="1">
        <v>45522</v>
      </c>
      <c r="F2013" t="s">
        <v>13</v>
      </c>
      <c r="G2013">
        <v>2509482</v>
      </c>
      <c r="H2013" s="1">
        <v>45527</v>
      </c>
      <c r="I2013" t="s">
        <v>555</v>
      </c>
      <c r="J2013" t="s">
        <v>556</v>
      </c>
      <c r="L2013">
        <v>2509482</v>
      </c>
      <c r="M2013">
        <f>IF(F2013="INR",1,INDEX('rates'!$B$2:$C$522,MATCH(D2013,'rates'!$A$2:$A$522,1),MATCH(F2013&amp;"/INR",'rates'!$B$1:$C$1,0)))</f>
        <v>1</v>
      </c>
      <c r="N2013">
        <f t="shared" si="165"/>
        <v>2509482</v>
      </c>
      <c r="O2013">
        <f t="shared" si="166"/>
        <v>0</v>
      </c>
      <c r="P2013">
        <f t="shared" si="167"/>
        <v>0</v>
      </c>
      <c r="Q2013">
        <f t="shared" si="164"/>
        <v>5</v>
      </c>
      <c r="R2013" t="str">
        <f t="shared" si="168"/>
        <v>Not open</v>
      </c>
    </row>
    <row r="2014" spans="1:18" x14ac:dyDescent="0.3">
      <c r="A2014" t="s">
        <v>2243</v>
      </c>
      <c r="B2014" t="s">
        <v>98</v>
      </c>
      <c r="C2014" t="s">
        <v>554</v>
      </c>
      <c r="D2014" s="1">
        <v>45493</v>
      </c>
      <c r="E2014" s="1">
        <v>45553</v>
      </c>
      <c r="F2014" t="s">
        <v>13</v>
      </c>
      <c r="G2014">
        <v>2551259</v>
      </c>
      <c r="H2014" s="1">
        <v>45564</v>
      </c>
      <c r="I2014" t="s">
        <v>555</v>
      </c>
      <c r="J2014" t="s">
        <v>556</v>
      </c>
      <c r="L2014">
        <v>2551259</v>
      </c>
      <c r="M2014">
        <f>IF(F2014="INR",1,INDEX('rates'!$B$2:$C$522,MATCH(D2014,'rates'!$A$2:$A$522,1),MATCH(F2014&amp;"/INR",'rates'!$B$1:$C$1,0)))</f>
        <v>1</v>
      </c>
      <c r="N2014">
        <f t="shared" si="165"/>
        <v>2551259</v>
      </c>
      <c r="O2014">
        <f t="shared" si="166"/>
        <v>0</v>
      </c>
      <c r="P2014">
        <f t="shared" si="167"/>
        <v>0</v>
      </c>
      <c r="Q2014">
        <f t="shared" si="164"/>
        <v>11</v>
      </c>
      <c r="R2014" t="str">
        <f t="shared" si="168"/>
        <v>Not open</v>
      </c>
    </row>
    <row r="2015" spans="1:18" x14ac:dyDescent="0.3">
      <c r="A2015" t="s">
        <v>2244</v>
      </c>
      <c r="B2015" t="s">
        <v>132</v>
      </c>
      <c r="C2015" t="s">
        <v>554</v>
      </c>
      <c r="D2015" s="1">
        <v>45493</v>
      </c>
      <c r="E2015" s="1">
        <v>45523</v>
      </c>
      <c r="F2015" t="s">
        <v>13</v>
      </c>
      <c r="G2015">
        <v>8563502</v>
      </c>
      <c r="H2015" s="1">
        <v>45523</v>
      </c>
      <c r="I2015" t="s">
        <v>555</v>
      </c>
      <c r="J2015" t="s">
        <v>556</v>
      </c>
      <c r="L2015">
        <v>8563502</v>
      </c>
      <c r="M2015">
        <f>IF(F2015="INR",1,INDEX('rates'!$B$2:$C$522,MATCH(D2015,'rates'!$A$2:$A$522,1),MATCH(F2015&amp;"/INR",'rates'!$B$1:$C$1,0)))</f>
        <v>1</v>
      </c>
      <c r="N2015">
        <f t="shared" si="165"/>
        <v>8563502</v>
      </c>
      <c r="O2015">
        <f t="shared" si="166"/>
        <v>0</v>
      </c>
      <c r="P2015">
        <f t="shared" si="167"/>
        <v>0</v>
      </c>
      <c r="Q2015">
        <f t="shared" si="164"/>
        <v>0</v>
      </c>
      <c r="R2015" t="str">
        <f t="shared" si="168"/>
        <v>Not open</v>
      </c>
    </row>
    <row r="2016" spans="1:18" x14ac:dyDescent="0.3">
      <c r="A2016" t="s">
        <v>2245</v>
      </c>
      <c r="B2016" t="s">
        <v>138</v>
      </c>
      <c r="C2016" t="s">
        <v>566</v>
      </c>
      <c r="D2016" s="1">
        <v>45493</v>
      </c>
      <c r="E2016" s="1">
        <v>45523</v>
      </c>
      <c r="F2016" t="s">
        <v>13</v>
      </c>
      <c r="G2016">
        <v>6380196</v>
      </c>
      <c r="H2016" s="1">
        <v>45525</v>
      </c>
      <c r="I2016" t="s">
        <v>555</v>
      </c>
      <c r="J2016" t="s">
        <v>556</v>
      </c>
      <c r="L2016">
        <v>6380196</v>
      </c>
      <c r="M2016">
        <f>IF(F2016="INR",1,INDEX('rates'!$B$2:$C$522,MATCH(D2016,'rates'!$A$2:$A$522,1),MATCH(F2016&amp;"/INR",'rates'!$B$1:$C$1,0)))</f>
        <v>1</v>
      </c>
      <c r="N2016">
        <f t="shared" si="165"/>
        <v>6380196</v>
      </c>
      <c r="O2016">
        <f t="shared" si="166"/>
        <v>0</v>
      </c>
      <c r="P2016">
        <f t="shared" si="167"/>
        <v>0</v>
      </c>
      <c r="Q2016">
        <f t="shared" si="164"/>
        <v>2</v>
      </c>
      <c r="R2016" t="str">
        <f t="shared" si="168"/>
        <v>Not open</v>
      </c>
    </row>
    <row r="2017" spans="1:18" x14ac:dyDescent="0.3">
      <c r="A2017" t="s">
        <v>2246</v>
      </c>
      <c r="B2017" t="s">
        <v>186</v>
      </c>
      <c r="C2017" t="s">
        <v>558</v>
      </c>
      <c r="D2017" s="1">
        <v>45493</v>
      </c>
      <c r="E2017" s="1">
        <v>45523</v>
      </c>
      <c r="F2017" t="s">
        <v>36</v>
      </c>
      <c r="G2017">
        <v>130436.33</v>
      </c>
      <c r="H2017" s="1">
        <v>45555</v>
      </c>
      <c r="I2017" t="s">
        <v>555</v>
      </c>
      <c r="J2017" t="s">
        <v>556</v>
      </c>
      <c r="L2017">
        <v>130436.33</v>
      </c>
      <c r="M2017">
        <f>IF(F2017="INR",1,INDEX('rates'!$B$2:$C$522,MATCH(D2017,'rates'!$A$2:$A$522,1),MATCH(F2017&amp;"/INR",'rates'!$B$1:$C$1,0)))</f>
        <v>83.7</v>
      </c>
      <c r="N2017">
        <f t="shared" si="165"/>
        <v>10917520.821</v>
      </c>
      <c r="O2017">
        <f t="shared" si="166"/>
        <v>0</v>
      </c>
      <c r="P2017">
        <f t="shared" si="167"/>
        <v>0</v>
      </c>
      <c r="Q2017">
        <f t="shared" si="164"/>
        <v>32</v>
      </c>
      <c r="R2017" t="str">
        <f t="shared" si="168"/>
        <v>Not open</v>
      </c>
    </row>
    <row r="2018" spans="1:18" x14ac:dyDescent="0.3">
      <c r="A2018" t="s">
        <v>2247</v>
      </c>
      <c r="B2018" t="s">
        <v>238</v>
      </c>
      <c r="C2018" t="s">
        <v>566</v>
      </c>
      <c r="D2018" s="1">
        <v>45493</v>
      </c>
      <c r="E2018" s="1">
        <v>45553</v>
      </c>
      <c r="F2018" t="s">
        <v>31</v>
      </c>
      <c r="G2018">
        <v>252461.76</v>
      </c>
      <c r="H2018" s="1">
        <v>45577</v>
      </c>
      <c r="I2018" t="s">
        <v>555</v>
      </c>
      <c r="J2018" t="s">
        <v>556</v>
      </c>
      <c r="L2018">
        <v>252461.76</v>
      </c>
      <c r="M2018">
        <f>IF(F2018="INR",1,INDEX('rates'!$B$2:$C$522,MATCH(D2018,'rates'!$A$2:$A$522,1),MATCH(F2018&amp;"/INR",'rates'!$B$1:$C$1,0)))</f>
        <v>91.132599999999996</v>
      </c>
      <c r="N2018">
        <f t="shared" si="165"/>
        <v>23007496.589375999</v>
      </c>
      <c r="O2018">
        <f t="shared" si="166"/>
        <v>0</v>
      </c>
      <c r="P2018">
        <f t="shared" si="167"/>
        <v>0</v>
      </c>
      <c r="Q2018">
        <f t="shared" si="164"/>
        <v>24</v>
      </c>
      <c r="R2018" t="str">
        <f t="shared" si="168"/>
        <v>Not open</v>
      </c>
    </row>
    <row r="2019" spans="1:18" x14ac:dyDescent="0.3">
      <c r="A2019" t="s">
        <v>2248</v>
      </c>
      <c r="B2019" t="s">
        <v>258</v>
      </c>
      <c r="C2019" t="s">
        <v>558</v>
      </c>
      <c r="D2019" s="1">
        <v>45493</v>
      </c>
      <c r="E2019" s="1">
        <v>45538</v>
      </c>
      <c r="F2019" t="s">
        <v>13</v>
      </c>
      <c r="G2019">
        <v>3197959</v>
      </c>
      <c r="H2019" s="1">
        <v>45539</v>
      </c>
      <c r="I2019" t="s">
        <v>555</v>
      </c>
      <c r="J2019" t="s">
        <v>556</v>
      </c>
      <c r="L2019">
        <v>3197959</v>
      </c>
      <c r="M2019">
        <f>IF(F2019="INR",1,INDEX('rates'!$B$2:$C$522,MATCH(D2019,'rates'!$A$2:$A$522,1),MATCH(F2019&amp;"/INR",'rates'!$B$1:$C$1,0)))</f>
        <v>1</v>
      </c>
      <c r="N2019">
        <f t="shared" si="165"/>
        <v>3197959</v>
      </c>
      <c r="O2019">
        <f t="shared" si="166"/>
        <v>0</v>
      </c>
      <c r="P2019">
        <f t="shared" si="167"/>
        <v>0</v>
      </c>
      <c r="Q2019">
        <f t="shared" si="164"/>
        <v>1</v>
      </c>
      <c r="R2019" t="str">
        <f t="shared" si="168"/>
        <v>Not open</v>
      </c>
    </row>
    <row r="2020" spans="1:18" x14ac:dyDescent="0.3">
      <c r="A2020" t="s">
        <v>2249</v>
      </c>
      <c r="B2020" t="s">
        <v>344</v>
      </c>
      <c r="C2020" t="s">
        <v>554</v>
      </c>
      <c r="D2020" s="1">
        <v>45493</v>
      </c>
      <c r="E2020" s="1">
        <v>45553</v>
      </c>
      <c r="F2020" t="s">
        <v>13</v>
      </c>
      <c r="G2020">
        <v>2694234</v>
      </c>
      <c r="H2020" s="1">
        <v>45556</v>
      </c>
      <c r="I2020" t="s">
        <v>555</v>
      </c>
      <c r="J2020" t="s">
        <v>556</v>
      </c>
      <c r="L2020">
        <v>2694234</v>
      </c>
      <c r="M2020">
        <f>IF(F2020="INR",1,INDEX('rates'!$B$2:$C$522,MATCH(D2020,'rates'!$A$2:$A$522,1),MATCH(F2020&amp;"/INR",'rates'!$B$1:$C$1,0)))</f>
        <v>1</v>
      </c>
      <c r="N2020">
        <f t="shared" si="165"/>
        <v>2694234</v>
      </c>
      <c r="O2020">
        <f t="shared" si="166"/>
        <v>0</v>
      </c>
      <c r="P2020">
        <f t="shared" si="167"/>
        <v>0</v>
      </c>
      <c r="Q2020">
        <f t="shared" si="164"/>
        <v>3</v>
      </c>
      <c r="R2020" t="str">
        <f t="shared" si="168"/>
        <v>Not open</v>
      </c>
    </row>
    <row r="2021" spans="1:18" x14ac:dyDescent="0.3">
      <c r="A2021" t="s">
        <v>2250</v>
      </c>
      <c r="B2021" t="s">
        <v>105</v>
      </c>
      <c r="C2021" t="s">
        <v>560</v>
      </c>
      <c r="D2021" s="1">
        <v>45495</v>
      </c>
      <c r="E2021" s="1">
        <v>45585</v>
      </c>
      <c r="F2021" t="s">
        <v>36</v>
      </c>
      <c r="G2021">
        <v>25962.93</v>
      </c>
      <c r="H2021" s="1">
        <v>45616</v>
      </c>
      <c r="I2021" t="s">
        <v>555</v>
      </c>
      <c r="J2021" t="s">
        <v>556</v>
      </c>
      <c r="L2021">
        <v>25962.93</v>
      </c>
      <c r="M2021">
        <f>IF(F2021="INR",1,INDEX('rates'!$B$2:$C$522,MATCH(D2021,'rates'!$A$2:$A$522,1),MATCH(F2021&amp;"/INR",'rates'!$B$1:$C$1,0)))</f>
        <v>83.65</v>
      </c>
      <c r="N2021">
        <f t="shared" si="165"/>
        <v>2171799.0945000001</v>
      </c>
      <c r="O2021">
        <f t="shared" si="166"/>
        <v>0</v>
      </c>
      <c r="P2021">
        <f t="shared" si="167"/>
        <v>0</v>
      </c>
      <c r="Q2021">
        <f t="shared" si="164"/>
        <v>31</v>
      </c>
      <c r="R2021" t="str">
        <f t="shared" si="168"/>
        <v>Not open</v>
      </c>
    </row>
    <row r="2022" spans="1:18" x14ac:dyDescent="0.3">
      <c r="A2022" t="s">
        <v>2251</v>
      </c>
      <c r="B2022" t="s">
        <v>148</v>
      </c>
      <c r="C2022" t="s">
        <v>575</v>
      </c>
      <c r="D2022" s="1">
        <v>45495</v>
      </c>
      <c r="E2022" s="1">
        <v>45555</v>
      </c>
      <c r="F2022" t="s">
        <v>31</v>
      </c>
      <c r="G2022">
        <v>51222.02</v>
      </c>
      <c r="H2022" s="1">
        <v>45559</v>
      </c>
      <c r="I2022" t="s">
        <v>555</v>
      </c>
      <c r="J2022" t="s">
        <v>573</v>
      </c>
      <c r="K2022">
        <v>91.193200000000004</v>
      </c>
      <c r="L2022">
        <v>51222.02</v>
      </c>
      <c r="M2022">
        <f>IF(F2022="INR",1,INDEX('rates'!$B$2:$C$522,MATCH(D2022,'rates'!$A$2:$A$522,1),MATCH(F2022&amp;"/INR",'rates'!$B$1:$C$1,0)))</f>
        <v>91.011200000000002</v>
      </c>
      <c r="N2022">
        <f t="shared" si="165"/>
        <v>4661777.5066240001</v>
      </c>
      <c r="O2022">
        <f t="shared" si="166"/>
        <v>0</v>
      </c>
      <c r="P2022">
        <f t="shared" si="167"/>
        <v>0</v>
      </c>
      <c r="Q2022">
        <f t="shared" si="164"/>
        <v>4</v>
      </c>
      <c r="R2022" t="str">
        <f t="shared" si="168"/>
        <v>Not open</v>
      </c>
    </row>
    <row r="2023" spans="1:18" x14ac:dyDescent="0.3">
      <c r="A2023" t="s">
        <v>2252</v>
      </c>
      <c r="B2023" t="s">
        <v>246</v>
      </c>
      <c r="C2023" t="s">
        <v>554</v>
      </c>
      <c r="D2023" s="1">
        <v>45495</v>
      </c>
      <c r="E2023" s="1">
        <v>45555</v>
      </c>
      <c r="F2023" t="s">
        <v>13</v>
      </c>
      <c r="G2023">
        <v>7236646</v>
      </c>
      <c r="H2023" s="1">
        <v>45564</v>
      </c>
      <c r="I2023" t="s">
        <v>555</v>
      </c>
      <c r="J2023" t="s">
        <v>556</v>
      </c>
      <c r="L2023">
        <v>7236646</v>
      </c>
      <c r="M2023">
        <f>IF(F2023="INR",1,INDEX('rates'!$B$2:$C$522,MATCH(D2023,'rates'!$A$2:$A$522,1),MATCH(F2023&amp;"/INR",'rates'!$B$1:$C$1,0)))</f>
        <v>1</v>
      </c>
      <c r="N2023">
        <f t="shared" si="165"/>
        <v>7236646</v>
      </c>
      <c r="O2023">
        <f t="shared" si="166"/>
        <v>0</v>
      </c>
      <c r="P2023">
        <f t="shared" si="167"/>
        <v>0</v>
      </c>
      <c r="Q2023">
        <f t="shared" si="164"/>
        <v>9</v>
      </c>
      <c r="R2023" t="str">
        <f t="shared" si="168"/>
        <v>Not open</v>
      </c>
    </row>
    <row r="2024" spans="1:18" x14ac:dyDescent="0.3">
      <c r="A2024" t="s">
        <v>2253</v>
      </c>
      <c r="B2024" t="s">
        <v>240</v>
      </c>
      <c r="C2024" t="s">
        <v>575</v>
      </c>
      <c r="D2024" s="1">
        <v>45496</v>
      </c>
      <c r="E2024" s="1">
        <v>45556</v>
      </c>
      <c r="F2024" t="s">
        <v>36</v>
      </c>
      <c r="G2024">
        <v>75925.850000000006</v>
      </c>
      <c r="H2024" s="1">
        <v>45565</v>
      </c>
      <c r="I2024" t="s">
        <v>555</v>
      </c>
      <c r="J2024" t="s">
        <v>573</v>
      </c>
      <c r="K2024">
        <v>83.9589</v>
      </c>
      <c r="L2024">
        <v>75925.850000000006</v>
      </c>
      <c r="M2024">
        <f>IF(F2024="INR",1,INDEX('rates'!$B$2:$C$522,MATCH(D2024,'rates'!$A$2:$A$522,1),MATCH(F2024&amp;"/INR",'rates'!$B$1:$C$1,0)))</f>
        <v>83.68</v>
      </c>
      <c r="N2024">
        <f t="shared" si="165"/>
        <v>6353475.1280000014</v>
      </c>
      <c r="O2024">
        <f t="shared" si="166"/>
        <v>0</v>
      </c>
      <c r="P2024">
        <f t="shared" si="167"/>
        <v>0</v>
      </c>
      <c r="Q2024">
        <f t="shared" si="164"/>
        <v>9</v>
      </c>
      <c r="R2024" t="str">
        <f t="shared" si="168"/>
        <v>Not open</v>
      </c>
    </row>
    <row r="2025" spans="1:18" x14ac:dyDescent="0.3">
      <c r="A2025" t="s">
        <v>2254</v>
      </c>
      <c r="B2025" t="s">
        <v>370</v>
      </c>
      <c r="C2025" t="s">
        <v>566</v>
      </c>
      <c r="D2025" s="1">
        <v>45496</v>
      </c>
      <c r="E2025" s="1">
        <v>45526</v>
      </c>
      <c r="F2025" t="s">
        <v>36</v>
      </c>
      <c r="G2025">
        <v>148438.12</v>
      </c>
      <c r="H2025" s="1">
        <v>45535</v>
      </c>
      <c r="I2025" t="s">
        <v>555</v>
      </c>
      <c r="J2025" t="s">
        <v>573</v>
      </c>
      <c r="K2025">
        <v>83.819500000000005</v>
      </c>
      <c r="L2025">
        <v>148438.12</v>
      </c>
      <c r="M2025">
        <f>IF(F2025="INR",1,INDEX('rates'!$B$2:$C$522,MATCH(D2025,'rates'!$A$2:$A$522,1),MATCH(F2025&amp;"/INR",'rates'!$B$1:$C$1,0)))</f>
        <v>83.68</v>
      </c>
      <c r="N2025">
        <f t="shared" si="165"/>
        <v>12421301.8816</v>
      </c>
      <c r="O2025">
        <f t="shared" si="166"/>
        <v>0</v>
      </c>
      <c r="P2025">
        <f t="shared" si="167"/>
        <v>0</v>
      </c>
      <c r="Q2025">
        <f t="shared" si="164"/>
        <v>9</v>
      </c>
      <c r="R2025" t="str">
        <f t="shared" si="168"/>
        <v>Not open</v>
      </c>
    </row>
    <row r="2026" spans="1:18" x14ac:dyDescent="0.3">
      <c r="A2026" t="s">
        <v>2255</v>
      </c>
      <c r="B2026" t="s">
        <v>478</v>
      </c>
      <c r="C2026" t="s">
        <v>560</v>
      </c>
      <c r="D2026" s="1">
        <v>45496</v>
      </c>
      <c r="E2026" s="1">
        <v>45526</v>
      </c>
      <c r="F2026" t="s">
        <v>13</v>
      </c>
      <c r="G2026">
        <v>1291297</v>
      </c>
      <c r="H2026" s="1">
        <v>45527</v>
      </c>
      <c r="I2026" t="s">
        <v>555</v>
      </c>
      <c r="J2026" t="s">
        <v>556</v>
      </c>
      <c r="L2026">
        <v>1291297</v>
      </c>
      <c r="M2026">
        <f>IF(F2026="INR",1,INDEX('rates'!$B$2:$C$522,MATCH(D2026,'rates'!$A$2:$A$522,1),MATCH(F2026&amp;"/INR",'rates'!$B$1:$C$1,0)))</f>
        <v>1</v>
      </c>
      <c r="N2026">
        <f t="shared" si="165"/>
        <v>1291297</v>
      </c>
      <c r="O2026">
        <f t="shared" si="166"/>
        <v>0</v>
      </c>
      <c r="P2026">
        <f t="shared" si="167"/>
        <v>0</v>
      </c>
      <c r="Q2026">
        <f t="shared" si="164"/>
        <v>1</v>
      </c>
      <c r="R2026" t="str">
        <f t="shared" si="168"/>
        <v>Not open</v>
      </c>
    </row>
    <row r="2027" spans="1:18" x14ac:dyDescent="0.3">
      <c r="A2027" t="s">
        <v>2256</v>
      </c>
      <c r="B2027" t="s">
        <v>516</v>
      </c>
      <c r="C2027" t="s">
        <v>560</v>
      </c>
      <c r="D2027" s="1">
        <v>45496</v>
      </c>
      <c r="E2027" s="1">
        <v>45556</v>
      </c>
      <c r="F2027" t="s">
        <v>13</v>
      </c>
      <c r="G2027">
        <v>4994403</v>
      </c>
      <c r="H2027" s="1">
        <v>45564</v>
      </c>
      <c r="I2027" t="s">
        <v>555</v>
      </c>
      <c r="J2027" t="s">
        <v>556</v>
      </c>
      <c r="L2027">
        <v>4994403</v>
      </c>
      <c r="M2027">
        <f>IF(F2027="INR",1,INDEX('rates'!$B$2:$C$522,MATCH(D2027,'rates'!$A$2:$A$522,1),MATCH(F2027&amp;"/INR",'rates'!$B$1:$C$1,0)))</f>
        <v>1</v>
      </c>
      <c r="N2027">
        <f t="shared" si="165"/>
        <v>4994403</v>
      </c>
      <c r="O2027">
        <f t="shared" si="166"/>
        <v>0</v>
      </c>
      <c r="P2027">
        <f t="shared" si="167"/>
        <v>0</v>
      </c>
      <c r="Q2027">
        <f t="shared" si="164"/>
        <v>8</v>
      </c>
      <c r="R2027" t="str">
        <f t="shared" si="168"/>
        <v>Not open</v>
      </c>
    </row>
    <row r="2028" spans="1:18" x14ac:dyDescent="0.3">
      <c r="A2028" t="s">
        <v>2257</v>
      </c>
      <c r="B2028" t="s">
        <v>117</v>
      </c>
      <c r="C2028" t="s">
        <v>554</v>
      </c>
      <c r="D2028" s="1">
        <v>45497</v>
      </c>
      <c r="E2028" s="1">
        <v>45557</v>
      </c>
      <c r="F2028" t="s">
        <v>13</v>
      </c>
      <c r="G2028">
        <v>9906850</v>
      </c>
      <c r="H2028" s="1">
        <v>45565</v>
      </c>
      <c r="I2028" t="s">
        <v>555</v>
      </c>
      <c r="J2028" t="s">
        <v>556</v>
      </c>
      <c r="L2028">
        <v>9906850</v>
      </c>
      <c r="M2028">
        <f>IF(F2028="INR",1,INDEX('rates'!$B$2:$C$522,MATCH(D2028,'rates'!$A$2:$A$522,1),MATCH(F2028&amp;"/INR",'rates'!$B$1:$C$1,0)))</f>
        <v>1</v>
      </c>
      <c r="N2028">
        <f t="shared" si="165"/>
        <v>9906850</v>
      </c>
      <c r="O2028">
        <f t="shared" si="166"/>
        <v>0</v>
      </c>
      <c r="P2028">
        <f t="shared" si="167"/>
        <v>0</v>
      </c>
      <c r="Q2028">
        <f t="shared" si="164"/>
        <v>8</v>
      </c>
      <c r="R2028" t="str">
        <f t="shared" si="168"/>
        <v>Not open</v>
      </c>
    </row>
    <row r="2029" spans="1:18" x14ac:dyDescent="0.3">
      <c r="A2029" t="s">
        <v>2258</v>
      </c>
      <c r="B2029" t="s">
        <v>246</v>
      </c>
      <c r="C2029" t="s">
        <v>554</v>
      </c>
      <c r="D2029" s="1">
        <v>45497</v>
      </c>
      <c r="E2029" s="1">
        <v>45557</v>
      </c>
      <c r="F2029" t="s">
        <v>13</v>
      </c>
      <c r="G2029">
        <v>6297341</v>
      </c>
      <c r="H2029" s="1">
        <v>45561</v>
      </c>
      <c r="I2029" t="s">
        <v>555</v>
      </c>
      <c r="J2029" t="s">
        <v>556</v>
      </c>
      <c r="L2029">
        <v>6297341</v>
      </c>
      <c r="M2029">
        <f>IF(F2029="INR",1,INDEX('rates'!$B$2:$C$522,MATCH(D2029,'rates'!$A$2:$A$522,1),MATCH(F2029&amp;"/INR",'rates'!$B$1:$C$1,0)))</f>
        <v>1</v>
      </c>
      <c r="N2029">
        <f t="shared" si="165"/>
        <v>6297341</v>
      </c>
      <c r="O2029">
        <f t="shared" si="166"/>
        <v>0</v>
      </c>
      <c r="P2029">
        <f t="shared" si="167"/>
        <v>0</v>
      </c>
      <c r="Q2029">
        <f t="shared" si="164"/>
        <v>4</v>
      </c>
      <c r="R2029" t="str">
        <f t="shared" si="168"/>
        <v>Not open</v>
      </c>
    </row>
    <row r="2030" spans="1:18" x14ac:dyDescent="0.3">
      <c r="A2030" t="s">
        <v>2259</v>
      </c>
      <c r="B2030" t="s">
        <v>266</v>
      </c>
      <c r="C2030" t="s">
        <v>554</v>
      </c>
      <c r="D2030" s="1">
        <v>45497</v>
      </c>
      <c r="E2030" s="1">
        <v>45587</v>
      </c>
      <c r="F2030" t="s">
        <v>13</v>
      </c>
      <c r="G2030">
        <v>2557326</v>
      </c>
      <c r="H2030" s="1">
        <v>45594</v>
      </c>
      <c r="I2030" t="s">
        <v>555</v>
      </c>
      <c r="J2030" t="s">
        <v>556</v>
      </c>
      <c r="L2030">
        <v>2557326</v>
      </c>
      <c r="M2030">
        <f>IF(F2030="INR",1,INDEX('rates'!$B$2:$C$522,MATCH(D2030,'rates'!$A$2:$A$522,1),MATCH(F2030&amp;"/INR",'rates'!$B$1:$C$1,0)))</f>
        <v>1</v>
      </c>
      <c r="N2030">
        <f t="shared" si="165"/>
        <v>2557326</v>
      </c>
      <c r="O2030">
        <f t="shared" si="166"/>
        <v>0</v>
      </c>
      <c r="P2030">
        <f t="shared" si="167"/>
        <v>0</v>
      </c>
      <c r="Q2030">
        <f t="shared" si="164"/>
        <v>7</v>
      </c>
      <c r="R2030" t="str">
        <f t="shared" si="168"/>
        <v>Not open</v>
      </c>
    </row>
    <row r="2031" spans="1:18" x14ac:dyDescent="0.3">
      <c r="A2031" t="s">
        <v>2260</v>
      </c>
      <c r="B2031" t="s">
        <v>486</v>
      </c>
      <c r="C2031" t="s">
        <v>554</v>
      </c>
      <c r="D2031" s="1">
        <v>45497</v>
      </c>
      <c r="E2031" s="1">
        <v>45542</v>
      </c>
      <c r="F2031" t="s">
        <v>13</v>
      </c>
      <c r="G2031">
        <v>4523043</v>
      </c>
      <c r="H2031" s="1">
        <v>45575</v>
      </c>
      <c r="I2031" t="s">
        <v>555</v>
      </c>
      <c r="J2031" t="s">
        <v>556</v>
      </c>
      <c r="L2031">
        <v>4523043</v>
      </c>
      <c r="M2031">
        <f>IF(F2031="INR",1,INDEX('rates'!$B$2:$C$522,MATCH(D2031,'rates'!$A$2:$A$522,1),MATCH(F2031&amp;"/INR",'rates'!$B$1:$C$1,0)))</f>
        <v>1</v>
      </c>
      <c r="N2031">
        <f t="shared" si="165"/>
        <v>4523043</v>
      </c>
      <c r="O2031">
        <f t="shared" si="166"/>
        <v>0</v>
      </c>
      <c r="P2031">
        <f t="shared" si="167"/>
        <v>0</v>
      </c>
      <c r="Q2031">
        <f t="shared" si="164"/>
        <v>33</v>
      </c>
      <c r="R2031" t="str">
        <f t="shared" si="168"/>
        <v>Not open</v>
      </c>
    </row>
    <row r="2032" spans="1:18" x14ac:dyDescent="0.3">
      <c r="A2032" t="s">
        <v>2261</v>
      </c>
      <c r="B2032" t="s">
        <v>528</v>
      </c>
      <c r="C2032" t="s">
        <v>566</v>
      </c>
      <c r="D2032" s="1">
        <v>45497</v>
      </c>
      <c r="E2032" s="1">
        <v>45557</v>
      </c>
      <c r="F2032" t="s">
        <v>13</v>
      </c>
      <c r="G2032">
        <v>3681039</v>
      </c>
      <c r="H2032" s="1">
        <v>45611</v>
      </c>
      <c r="I2032" t="s">
        <v>555</v>
      </c>
      <c r="J2032" t="s">
        <v>556</v>
      </c>
      <c r="L2032">
        <v>3681039</v>
      </c>
      <c r="M2032">
        <f>IF(F2032="INR",1,INDEX('rates'!$B$2:$C$522,MATCH(D2032,'rates'!$A$2:$A$522,1),MATCH(F2032&amp;"/INR",'rates'!$B$1:$C$1,0)))</f>
        <v>1</v>
      </c>
      <c r="N2032">
        <f t="shared" si="165"/>
        <v>3681039</v>
      </c>
      <c r="O2032">
        <f t="shared" si="166"/>
        <v>0</v>
      </c>
      <c r="P2032">
        <f t="shared" si="167"/>
        <v>0</v>
      </c>
      <c r="Q2032">
        <f t="shared" si="164"/>
        <v>54</v>
      </c>
      <c r="R2032" t="str">
        <f t="shared" si="168"/>
        <v>Not open</v>
      </c>
    </row>
    <row r="2033" spans="1:18" x14ac:dyDescent="0.3">
      <c r="A2033" t="s">
        <v>2262</v>
      </c>
      <c r="B2033" t="s">
        <v>390</v>
      </c>
      <c r="C2033" t="s">
        <v>554</v>
      </c>
      <c r="D2033" s="1">
        <v>45498</v>
      </c>
      <c r="E2033" s="1">
        <v>45558</v>
      </c>
      <c r="F2033" t="s">
        <v>13</v>
      </c>
      <c r="G2033">
        <v>3397037</v>
      </c>
      <c r="H2033" s="1">
        <v>45607</v>
      </c>
      <c r="I2033" t="s">
        <v>555</v>
      </c>
      <c r="J2033" t="s">
        <v>556</v>
      </c>
      <c r="L2033">
        <v>3397037</v>
      </c>
      <c r="M2033">
        <f>IF(F2033="INR",1,INDEX('rates'!$B$2:$C$522,MATCH(D2033,'rates'!$A$2:$A$522,1),MATCH(F2033&amp;"/INR",'rates'!$B$1:$C$1,0)))</f>
        <v>1</v>
      </c>
      <c r="N2033">
        <f t="shared" si="165"/>
        <v>3397037</v>
      </c>
      <c r="O2033">
        <f t="shared" si="166"/>
        <v>0</v>
      </c>
      <c r="P2033">
        <f t="shared" si="167"/>
        <v>0</v>
      </c>
      <c r="Q2033">
        <f t="shared" si="164"/>
        <v>49</v>
      </c>
      <c r="R2033" t="str">
        <f t="shared" si="168"/>
        <v>Not open</v>
      </c>
    </row>
    <row r="2034" spans="1:18" x14ac:dyDescent="0.3">
      <c r="A2034" t="s">
        <v>2263</v>
      </c>
      <c r="B2034" t="s">
        <v>406</v>
      </c>
      <c r="C2034" t="s">
        <v>554</v>
      </c>
      <c r="D2034" s="1">
        <v>45498</v>
      </c>
      <c r="E2034" s="1">
        <v>45588</v>
      </c>
      <c r="F2034" t="s">
        <v>13</v>
      </c>
      <c r="G2034">
        <v>5763316</v>
      </c>
      <c r="H2034" s="1">
        <v>45594</v>
      </c>
      <c r="I2034" t="s">
        <v>555</v>
      </c>
      <c r="J2034" t="s">
        <v>556</v>
      </c>
      <c r="L2034">
        <v>5763316</v>
      </c>
      <c r="M2034">
        <f>IF(F2034="INR",1,INDEX('rates'!$B$2:$C$522,MATCH(D2034,'rates'!$A$2:$A$522,1),MATCH(F2034&amp;"/INR",'rates'!$B$1:$C$1,0)))</f>
        <v>1</v>
      </c>
      <c r="N2034">
        <f t="shared" si="165"/>
        <v>5763316</v>
      </c>
      <c r="O2034">
        <f t="shared" si="166"/>
        <v>0</v>
      </c>
      <c r="P2034">
        <f t="shared" si="167"/>
        <v>0</v>
      </c>
      <c r="Q2034">
        <f t="shared" si="164"/>
        <v>6</v>
      </c>
      <c r="R2034" t="str">
        <f t="shared" si="168"/>
        <v>Not open</v>
      </c>
    </row>
    <row r="2035" spans="1:18" x14ac:dyDescent="0.3">
      <c r="A2035" t="s">
        <v>2264</v>
      </c>
      <c r="B2035" t="s">
        <v>204</v>
      </c>
      <c r="C2035" t="s">
        <v>575</v>
      </c>
      <c r="D2035" s="1">
        <v>45499</v>
      </c>
      <c r="E2035" s="1">
        <v>45559</v>
      </c>
      <c r="F2035" t="s">
        <v>13</v>
      </c>
      <c r="G2035">
        <v>16017268</v>
      </c>
      <c r="H2035" s="1">
        <v>45571</v>
      </c>
      <c r="I2035" t="s">
        <v>555</v>
      </c>
      <c r="J2035" t="s">
        <v>556</v>
      </c>
      <c r="L2035">
        <v>16017268</v>
      </c>
      <c r="M2035">
        <f>IF(F2035="INR",1,INDEX('rates'!$B$2:$C$522,MATCH(D2035,'rates'!$A$2:$A$522,1),MATCH(F2035&amp;"/INR",'rates'!$B$1:$C$1,0)))</f>
        <v>1</v>
      </c>
      <c r="N2035">
        <f t="shared" si="165"/>
        <v>16017268</v>
      </c>
      <c r="O2035">
        <f t="shared" si="166"/>
        <v>0</v>
      </c>
      <c r="P2035">
        <f t="shared" si="167"/>
        <v>0</v>
      </c>
      <c r="Q2035">
        <f t="shared" si="164"/>
        <v>12</v>
      </c>
      <c r="R2035" t="str">
        <f t="shared" si="168"/>
        <v>Not open</v>
      </c>
    </row>
    <row r="2036" spans="1:18" x14ac:dyDescent="0.3">
      <c r="A2036" t="s">
        <v>2265</v>
      </c>
      <c r="B2036" t="s">
        <v>264</v>
      </c>
      <c r="C2036" t="s">
        <v>575</v>
      </c>
      <c r="D2036" s="1">
        <v>45499</v>
      </c>
      <c r="E2036" s="1">
        <v>45544</v>
      </c>
      <c r="F2036" t="s">
        <v>13</v>
      </c>
      <c r="G2036">
        <v>18640059</v>
      </c>
      <c r="H2036" s="1">
        <v>45687</v>
      </c>
      <c r="I2036" t="s">
        <v>555</v>
      </c>
      <c r="J2036" t="s">
        <v>556</v>
      </c>
      <c r="L2036">
        <v>18640059</v>
      </c>
      <c r="M2036">
        <f>IF(F2036="INR",1,INDEX('rates'!$B$2:$C$522,MATCH(D2036,'rates'!$A$2:$A$522,1),MATCH(F2036&amp;"/INR",'rates'!$B$1:$C$1,0)))</f>
        <v>1</v>
      </c>
      <c r="N2036">
        <f t="shared" si="165"/>
        <v>18640059</v>
      </c>
      <c r="O2036">
        <f t="shared" si="166"/>
        <v>0</v>
      </c>
      <c r="P2036">
        <f t="shared" si="167"/>
        <v>0</v>
      </c>
      <c r="Q2036">
        <f t="shared" si="164"/>
        <v>143</v>
      </c>
      <c r="R2036" t="str">
        <f t="shared" si="168"/>
        <v>Not open</v>
      </c>
    </row>
    <row r="2037" spans="1:18" x14ac:dyDescent="0.3">
      <c r="A2037" t="s">
        <v>2266</v>
      </c>
      <c r="B2037" t="s">
        <v>512</v>
      </c>
      <c r="C2037" t="s">
        <v>566</v>
      </c>
      <c r="D2037" s="1">
        <v>45499</v>
      </c>
      <c r="E2037" s="1">
        <v>45559</v>
      </c>
      <c r="F2037" t="s">
        <v>31</v>
      </c>
      <c r="G2037">
        <v>226503.7</v>
      </c>
      <c r="H2037" s="1">
        <v>45697</v>
      </c>
      <c r="I2037" t="s">
        <v>555</v>
      </c>
      <c r="J2037" t="s">
        <v>573</v>
      </c>
      <c r="K2037">
        <v>91.071600000000004</v>
      </c>
      <c r="L2037">
        <v>226503.7</v>
      </c>
      <c r="M2037">
        <f>IF(F2037="INR",1,INDEX('rates'!$B$2:$C$522,MATCH(D2037,'rates'!$A$2:$A$522,1),MATCH(F2037&amp;"/INR",'rates'!$B$1:$C$1,0)))</f>
        <v>90.889799999999994</v>
      </c>
      <c r="N2037">
        <f t="shared" si="165"/>
        <v>20586875.992259998</v>
      </c>
      <c r="O2037">
        <f t="shared" si="166"/>
        <v>0</v>
      </c>
      <c r="P2037">
        <f t="shared" si="167"/>
        <v>0</v>
      </c>
      <c r="Q2037">
        <f t="shared" si="164"/>
        <v>138</v>
      </c>
      <c r="R2037" t="str">
        <f t="shared" si="168"/>
        <v>Not open</v>
      </c>
    </row>
    <row r="2038" spans="1:18" x14ac:dyDescent="0.3">
      <c r="A2038" t="s">
        <v>2267</v>
      </c>
      <c r="B2038" t="s">
        <v>516</v>
      </c>
      <c r="C2038" t="s">
        <v>560</v>
      </c>
      <c r="D2038" s="1">
        <v>45499</v>
      </c>
      <c r="E2038" s="1">
        <v>45559</v>
      </c>
      <c r="F2038" t="s">
        <v>13</v>
      </c>
      <c r="G2038">
        <v>28523929</v>
      </c>
      <c r="H2038" s="1">
        <v>45562</v>
      </c>
      <c r="I2038" t="s">
        <v>555</v>
      </c>
      <c r="J2038" t="s">
        <v>556</v>
      </c>
      <c r="L2038">
        <v>28523929</v>
      </c>
      <c r="M2038">
        <f>IF(F2038="INR",1,INDEX('rates'!$B$2:$C$522,MATCH(D2038,'rates'!$A$2:$A$522,1),MATCH(F2038&amp;"/INR",'rates'!$B$1:$C$1,0)))</f>
        <v>1</v>
      </c>
      <c r="N2038">
        <f t="shared" si="165"/>
        <v>28523929</v>
      </c>
      <c r="O2038">
        <f t="shared" si="166"/>
        <v>0</v>
      </c>
      <c r="P2038">
        <f t="shared" si="167"/>
        <v>0</v>
      </c>
      <c r="Q2038">
        <f t="shared" si="164"/>
        <v>3</v>
      </c>
      <c r="R2038" t="str">
        <f t="shared" si="168"/>
        <v>Not open</v>
      </c>
    </row>
    <row r="2039" spans="1:18" x14ac:dyDescent="0.3">
      <c r="A2039" t="s">
        <v>2268</v>
      </c>
      <c r="B2039" t="s">
        <v>520</v>
      </c>
      <c r="C2039" t="s">
        <v>560</v>
      </c>
      <c r="D2039" s="1">
        <v>45499</v>
      </c>
      <c r="E2039" s="1">
        <v>45529</v>
      </c>
      <c r="F2039" t="s">
        <v>13</v>
      </c>
      <c r="G2039">
        <v>6203788</v>
      </c>
      <c r="H2039" s="1">
        <v>45541</v>
      </c>
      <c r="I2039" t="s">
        <v>555</v>
      </c>
      <c r="J2039" t="s">
        <v>556</v>
      </c>
      <c r="L2039">
        <v>6203788</v>
      </c>
      <c r="M2039">
        <f>IF(F2039="INR",1,INDEX('rates'!$B$2:$C$522,MATCH(D2039,'rates'!$A$2:$A$522,1),MATCH(F2039&amp;"/INR",'rates'!$B$1:$C$1,0)))</f>
        <v>1</v>
      </c>
      <c r="N2039">
        <f t="shared" si="165"/>
        <v>6203788</v>
      </c>
      <c r="O2039">
        <f t="shared" si="166"/>
        <v>0</v>
      </c>
      <c r="P2039">
        <f t="shared" si="167"/>
        <v>0</v>
      </c>
      <c r="Q2039">
        <f t="shared" si="164"/>
        <v>12</v>
      </c>
      <c r="R2039" t="str">
        <f t="shared" si="168"/>
        <v>Not open</v>
      </c>
    </row>
    <row r="2040" spans="1:18" x14ac:dyDescent="0.3">
      <c r="A2040" t="s">
        <v>2269</v>
      </c>
      <c r="B2040" t="s">
        <v>538</v>
      </c>
      <c r="C2040" t="s">
        <v>575</v>
      </c>
      <c r="D2040" s="1">
        <v>45499</v>
      </c>
      <c r="E2040" s="1">
        <v>45589</v>
      </c>
      <c r="F2040" t="s">
        <v>31</v>
      </c>
      <c r="G2040">
        <v>21140.080000000002</v>
      </c>
      <c r="H2040" s="1">
        <v>45614</v>
      </c>
      <c r="I2040" t="s">
        <v>555</v>
      </c>
      <c r="J2040" t="s">
        <v>556</v>
      </c>
      <c r="L2040">
        <v>21140.080000000002</v>
      </c>
      <c r="M2040">
        <f>IF(F2040="INR",1,INDEX('rates'!$B$2:$C$522,MATCH(D2040,'rates'!$A$2:$A$522,1),MATCH(F2040&amp;"/INR",'rates'!$B$1:$C$1,0)))</f>
        <v>90.889799999999994</v>
      </c>
      <c r="N2040">
        <f t="shared" si="165"/>
        <v>1921417.6431839999</v>
      </c>
      <c r="O2040">
        <f t="shared" si="166"/>
        <v>0</v>
      </c>
      <c r="P2040">
        <f t="shared" si="167"/>
        <v>0</v>
      </c>
      <c r="Q2040">
        <f t="shared" si="164"/>
        <v>25</v>
      </c>
      <c r="R2040" t="str">
        <f t="shared" si="168"/>
        <v>Not open</v>
      </c>
    </row>
    <row r="2041" spans="1:18" x14ac:dyDescent="0.3">
      <c r="A2041" t="s">
        <v>2270</v>
      </c>
      <c r="B2041" t="s">
        <v>138</v>
      </c>
      <c r="C2041" t="s">
        <v>566</v>
      </c>
      <c r="D2041" s="1">
        <v>45500</v>
      </c>
      <c r="E2041" s="1">
        <v>45530</v>
      </c>
      <c r="F2041" t="s">
        <v>13</v>
      </c>
      <c r="G2041">
        <v>4546073</v>
      </c>
      <c r="H2041" s="1">
        <v>45533</v>
      </c>
      <c r="I2041" t="s">
        <v>555</v>
      </c>
      <c r="J2041" t="s">
        <v>556</v>
      </c>
      <c r="L2041">
        <v>4546073</v>
      </c>
      <c r="M2041">
        <f>IF(F2041="INR",1,INDEX('rates'!$B$2:$C$522,MATCH(D2041,'rates'!$A$2:$A$522,1),MATCH(F2041&amp;"/INR",'rates'!$B$1:$C$1,0)))</f>
        <v>1</v>
      </c>
      <c r="N2041">
        <f t="shared" si="165"/>
        <v>4546073</v>
      </c>
      <c r="O2041">
        <f t="shared" si="166"/>
        <v>0</v>
      </c>
      <c r="P2041">
        <f t="shared" si="167"/>
        <v>0</v>
      </c>
      <c r="Q2041">
        <f t="shared" si="164"/>
        <v>3</v>
      </c>
      <c r="R2041" t="str">
        <f t="shared" si="168"/>
        <v>Not open</v>
      </c>
    </row>
    <row r="2042" spans="1:18" x14ac:dyDescent="0.3">
      <c r="A2042" t="s">
        <v>2271</v>
      </c>
      <c r="B2042" t="s">
        <v>204</v>
      </c>
      <c r="C2042" t="s">
        <v>575</v>
      </c>
      <c r="D2042" s="1">
        <v>45500</v>
      </c>
      <c r="E2042" s="1">
        <v>45560</v>
      </c>
      <c r="F2042" t="s">
        <v>13</v>
      </c>
      <c r="G2042">
        <v>3474541</v>
      </c>
      <c r="H2042" s="1">
        <v>45561</v>
      </c>
      <c r="I2042" t="s">
        <v>555</v>
      </c>
      <c r="J2042" t="s">
        <v>556</v>
      </c>
      <c r="L2042">
        <v>3474541</v>
      </c>
      <c r="M2042">
        <f>IF(F2042="INR",1,INDEX('rates'!$B$2:$C$522,MATCH(D2042,'rates'!$A$2:$A$522,1),MATCH(F2042&amp;"/INR",'rates'!$B$1:$C$1,0)))</f>
        <v>1</v>
      </c>
      <c r="N2042">
        <f t="shared" si="165"/>
        <v>3474541</v>
      </c>
      <c r="O2042">
        <f t="shared" si="166"/>
        <v>0</v>
      </c>
      <c r="P2042">
        <f t="shared" si="167"/>
        <v>0</v>
      </c>
      <c r="Q2042">
        <f t="shared" si="164"/>
        <v>1</v>
      </c>
      <c r="R2042" t="str">
        <f t="shared" si="168"/>
        <v>Not open</v>
      </c>
    </row>
    <row r="2043" spans="1:18" x14ac:dyDescent="0.3">
      <c r="A2043" t="s">
        <v>2272</v>
      </c>
      <c r="B2043" t="s">
        <v>406</v>
      </c>
      <c r="C2043" t="s">
        <v>554</v>
      </c>
      <c r="D2043" s="1">
        <v>45500</v>
      </c>
      <c r="E2043" s="1">
        <v>45590</v>
      </c>
      <c r="F2043" t="s">
        <v>13</v>
      </c>
      <c r="G2043">
        <v>10869157</v>
      </c>
      <c r="H2043" s="1">
        <v>45597</v>
      </c>
      <c r="I2043" t="s">
        <v>555</v>
      </c>
      <c r="J2043" t="s">
        <v>556</v>
      </c>
      <c r="L2043">
        <v>10869157</v>
      </c>
      <c r="M2043">
        <f>IF(F2043="INR",1,INDEX('rates'!$B$2:$C$522,MATCH(D2043,'rates'!$A$2:$A$522,1),MATCH(F2043&amp;"/INR",'rates'!$B$1:$C$1,0)))</f>
        <v>1</v>
      </c>
      <c r="N2043">
        <f t="shared" si="165"/>
        <v>10869157</v>
      </c>
      <c r="O2043">
        <f t="shared" si="166"/>
        <v>0</v>
      </c>
      <c r="P2043">
        <f t="shared" si="167"/>
        <v>0</v>
      </c>
      <c r="Q2043">
        <f t="shared" si="164"/>
        <v>7</v>
      </c>
      <c r="R2043" t="str">
        <f t="shared" si="168"/>
        <v>Not open</v>
      </c>
    </row>
    <row r="2044" spans="1:18" x14ac:dyDescent="0.3">
      <c r="A2044" t="s">
        <v>2274</v>
      </c>
      <c r="B2044" t="s">
        <v>522</v>
      </c>
      <c r="C2044" t="s">
        <v>566</v>
      </c>
      <c r="D2044" s="1">
        <v>45500</v>
      </c>
      <c r="E2044" s="1">
        <v>45560</v>
      </c>
      <c r="F2044" t="s">
        <v>31</v>
      </c>
      <c r="G2044">
        <v>36559.64</v>
      </c>
      <c r="H2044" s="1">
        <v>45565</v>
      </c>
      <c r="I2044" t="s">
        <v>555</v>
      </c>
      <c r="J2044" t="s">
        <v>573</v>
      </c>
      <c r="K2044">
        <v>91.071600000000004</v>
      </c>
      <c r="L2044">
        <v>36559.64</v>
      </c>
      <c r="M2044">
        <f>IF(F2044="INR",1,INDEX('rates'!$B$2:$C$522,MATCH(D2044,'rates'!$A$2:$A$522,1),MATCH(F2044&amp;"/INR",'rates'!$B$1:$C$1,0)))</f>
        <v>90.889799999999994</v>
      </c>
      <c r="N2044">
        <f t="shared" si="165"/>
        <v>3322898.3676719996</v>
      </c>
      <c r="O2044">
        <f t="shared" si="166"/>
        <v>0</v>
      </c>
      <c r="P2044">
        <f t="shared" si="167"/>
        <v>0</v>
      </c>
      <c r="Q2044">
        <f t="shared" si="164"/>
        <v>5</v>
      </c>
      <c r="R2044" t="str">
        <f t="shared" si="168"/>
        <v>Not open</v>
      </c>
    </row>
    <row r="2045" spans="1:18" x14ac:dyDescent="0.3">
      <c r="A2045" t="s">
        <v>2275</v>
      </c>
      <c r="B2045" t="s">
        <v>262</v>
      </c>
      <c r="C2045" t="s">
        <v>566</v>
      </c>
      <c r="D2045" s="1">
        <v>45502</v>
      </c>
      <c r="E2045" s="1">
        <v>45592</v>
      </c>
      <c r="F2045" t="s">
        <v>31</v>
      </c>
      <c r="G2045">
        <v>29915.87</v>
      </c>
      <c r="H2045" s="1">
        <v>45626</v>
      </c>
      <c r="I2045" t="s">
        <v>555</v>
      </c>
      <c r="J2045" t="s">
        <v>573</v>
      </c>
      <c r="K2045">
        <v>90.880899999999997</v>
      </c>
      <c r="L2045">
        <v>29915.87</v>
      </c>
      <c r="M2045">
        <f>IF(F2045="INR",1,INDEX('rates'!$B$2:$C$522,MATCH(D2045,'rates'!$A$2:$A$522,1),MATCH(F2045&amp;"/INR",'rates'!$B$1:$C$1,0)))</f>
        <v>90.609099999999998</v>
      </c>
      <c r="N2045">
        <f t="shared" si="165"/>
        <v>2710650.056417</v>
      </c>
      <c r="O2045">
        <f t="shared" si="166"/>
        <v>0</v>
      </c>
      <c r="P2045">
        <f t="shared" si="167"/>
        <v>0</v>
      </c>
      <c r="Q2045">
        <f t="shared" si="164"/>
        <v>34</v>
      </c>
      <c r="R2045" t="str">
        <f t="shared" si="168"/>
        <v>Not open</v>
      </c>
    </row>
    <row r="2046" spans="1:18" x14ac:dyDescent="0.3">
      <c r="A2046" t="s">
        <v>2276</v>
      </c>
      <c r="B2046" t="s">
        <v>516</v>
      </c>
      <c r="C2046" t="s">
        <v>560</v>
      </c>
      <c r="D2046" s="1">
        <v>45502</v>
      </c>
      <c r="E2046" s="1">
        <v>45562</v>
      </c>
      <c r="F2046" t="s">
        <v>13</v>
      </c>
      <c r="G2046">
        <v>13799484</v>
      </c>
      <c r="H2046" s="1">
        <v>45562</v>
      </c>
      <c r="I2046" t="s">
        <v>555</v>
      </c>
      <c r="J2046" t="s">
        <v>556</v>
      </c>
      <c r="L2046">
        <v>13799484</v>
      </c>
      <c r="M2046">
        <f>IF(F2046="INR",1,INDEX('rates'!$B$2:$C$522,MATCH(D2046,'rates'!$A$2:$A$522,1),MATCH(F2046&amp;"/INR",'rates'!$B$1:$C$1,0)))</f>
        <v>1</v>
      </c>
      <c r="N2046">
        <f t="shared" si="165"/>
        <v>13799484</v>
      </c>
      <c r="O2046">
        <f t="shared" si="166"/>
        <v>0</v>
      </c>
      <c r="P2046">
        <f t="shared" si="167"/>
        <v>0</v>
      </c>
      <c r="Q2046">
        <f t="shared" si="164"/>
        <v>0</v>
      </c>
      <c r="R2046" t="str">
        <f t="shared" si="168"/>
        <v>Not open</v>
      </c>
    </row>
    <row r="2047" spans="1:18" x14ac:dyDescent="0.3">
      <c r="A2047" t="s">
        <v>2278</v>
      </c>
      <c r="B2047" t="s">
        <v>186</v>
      </c>
      <c r="C2047" t="s">
        <v>558</v>
      </c>
      <c r="D2047" s="1">
        <v>45503</v>
      </c>
      <c r="E2047" s="1">
        <v>45533</v>
      </c>
      <c r="F2047" t="s">
        <v>36</v>
      </c>
      <c r="G2047">
        <v>318090.95</v>
      </c>
      <c r="H2047" s="1">
        <v>45549</v>
      </c>
      <c r="I2047" t="s">
        <v>555</v>
      </c>
      <c r="J2047" t="s">
        <v>556</v>
      </c>
      <c r="L2047">
        <v>318090.95</v>
      </c>
      <c r="M2047">
        <f>IF(F2047="INR",1,INDEX('rates'!$B$2:$C$522,MATCH(D2047,'rates'!$A$2:$A$522,1),MATCH(F2047&amp;"/INR",'rates'!$B$1:$C$1,0)))</f>
        <v>83.7</v>
      </c>
      <c r="N2047">
        <f t="shared" si="165"/>
        <v>26624212.515000001</v>
      </c>
      <c r="O2047">
        <f t="shared" si="166"/>
        <v>0</v>
      </c>
      <c r="P2047">
        <f t="shared" si="167"/>
        <v>0</v>
      </c>
      <c r="Q2047">
        <f t="shared" si="164"/>
        <v>16</v>
      </c>
      <c r="R2047" t="str">
        <f t="shared" si="168"/>
        <v>Not open</v>
      </c>
    </row>
    <row r="2048" spans="1:18" x14ac:dyDescent="0.3">
      <c r="A2048" t="s">
        <v>2279</v>
      </c>
      <c r="B2048" t="s">
        <v>386</v>
      </c>
      <c r="C2048" t="s">
        <v>575</v>
      </c>
      <c r="D2048" s="1">
        <v>45503</v>
      </c>
      <c r="E2048" s="1">
        <v>45563</v>
      </c>
      <c r="F2048" t="s">
        <v>31</v>
      </c>
      <c r="G2048">
        <v>78979.92</v>
      </c>
      <c r="H2048" s="1">
        <v>45582</v>
      </c>
      <c r="I2048" t="s">
        <v>555</v>
      </c>
      <c r="J2048" t="s">
        <v>556</v>
      </c>
      <c r="L2048">
        <v>78979.92</v>
      </c>
      <c r="M2048">
        <f>IF(F2048="INR",1,INDEX('rates'!$B$2:$C$522,MATCH(D2048,'rates'!$A$2:$A$522,1),MATCH(F2048&amp;"/INR",'rates'!$B$1:$C$1,0)))</f>
        <v>90.471299999999999</v>
      </c>
      <c r="N2048">
        <f t="shared" si="165"/>
        <v>7145416.0362959998</v>
      </c>
      <c r="O2048">
        <f t="shared" si="166"/>
        <v>0</v>
      </c>
      <c r="P2048">
        <f t="shared" si="167"/>
        <v>0</v>
      </c>
      <c r="Q2048">
        <f t="shared" ref="Q2048:Q2075" si="169">IF(H2048="","",H2048-E2048)</f>
        <v>19</v>
      </c>
      <c r="R2048" t="str">
        <f t="shared" si="168"/>
        <v>Not open</v>
      </c>
    </row>
    <row r="2049" spans="1:18" x14ac:dyDescent="0.3">
      <c r="A2049" t="s">
        <v>2280</v>
      </c>
      <c r="B2049" t="s">
        <v>512</v>
      </c>
      <c r="C2049" t="s">
        <v>558</v>
      </c>
      <c r="D2049" s="1">
        <v>45503</v>
      </c>
      <c r="E2049" s="1">
        <v>45563</v>
      </c>
      <c r="F2049" t="s">
        <v>31</v>
      </c>
      <c r="G2049">
        <v>482838.65</v>
      </c>
      <c r="H2049" s="1">
        <v>45577</v>
      </c>
      <c r="I2049" t="s">
        <v>555</v>
      </c>
      <c r="J2049" t="s">
        <v>556</v>
      </c>
      <c r="L2049">
        <v>482838.65</v>
      </c>
      <c r="M2049">
        <f>IF(F2049="INR",1,INDEX('rates'!$B$2:$C$522,MATCH(D2049,'rates'!$A$2:$A$522,1),MATCH(F2049&amp;"/INR",'rates'!$B$1:$C$1,0)))</f>
        <v>90.471299999999999</v>
      </c>
      <c r="N2049">
        <f t="shared" si="165"/>
        <v>43683040.355745003</v>
      </c>
      <c r="O2049">
        <f t="shared" si="166"/>
        <v>0</v>
      </c>
      <c r="P2049">
        <f t="shared" si="167"/>
        <v>0</v>
      </c>
      <c r="Q2049">
        <f t="shared" si="169"/>
        <v>14</v>
      </c>
      <c r="R2049" t="str">
        <f t="shared" si="168"/>
        <v>Not open</v>
      </c>
    </row>
    <row r="2050" spans="1:18" x14ac:dyDescent="0.3">
      <c r="A2050" t="s">
        <v>2281</v>
      </c>
      <c r="B2050" t="s">
        <v>208</v>
      </c>
      <c r="C2050" t="s">
        <v>566</v>
      </c>
      <c r="D2050" s="1">
        <v>45505</v>
      </c>
      <c r="E2050" s="1">
        <v>45550</v>
      </c>
      <c r="F2050" t="s">
        <v>13</v>
      </c>
      <c r="G2050">
        <v>3606414</v>
      </c>
      <c r="H2050" s="1">
        <v>45550</v>
      </c>
      <c r="I2050" t="s">
        <v>555</v>
      </c>
      <c r="J2050" t="s">
        <v>556</v>
      </c>
      <c r="L2050">
        <v>3606414</v>
      </c>
      <c r="M2050">
        <f>IF(F2050="INR",1,INDEX('rates'!$B$2:$C$522,MATCH(D2050,'rates'!$A$2:$A$522,1),MATCH(F2050&amp;"/INR",'rates'!$B$1:$C$1,0)))</f>
        <v>1</v>
      </c>
      <c r="N2050">
        <f t="shared" ref="N2050:N2113" si="170">G2050*M2050</f>
        <v>3606414</v>
      </c>
      <c r="O2050">
        <f t="shared" ref="O2050:O2113" si="171">IF(OR(I2050="OPEN",I2050="PARTIALLY PAID"),(G2050-L2050)*M2050,0)</f>
        <v>0</v>
      </c>
      <c r="P2050">
        <f t="shared" ref="P2050:P2113" si="172">IF(O2050&gt;0,MAX(0,DATE(2025,3,31)-E2050),0)</f>
        <v>0</v>
      </c>
      <c r="Q2050">
        <f t="shared" si="169"/>
        <v>0</v>
      </c>
      <c r="R2050" t="str">
        <f t="shared" ref="R2050:R2113" si="173">IF(O2050=0,"Not open",IF(P2050=0,"Not yet due",IF(P2050&lt;=30,"1-30",IF(P2050&lt;=60,"31-60",IF(P2050&lt;=90,"61-90","90+")))))</f>
        <v>Not open</v>
      </c>
    </row>
    <row r="2051" spans="1:18" x14ac:dyDescent="0.3">
      <c r="A2051" t="s">
        <v>2282</v>
      </c>
      <c r="B2051" t="s">
        <v>362</v>
      </c>
      <c r="C2051" t="s">
        <v>575</v>
      </c>
      <c r="D2051" s="1">
        <v>45505</v>
      </c>
      <c r="E2051" s="1">
        <v>45595</v>
      </c>
      <c r="F2051" t="s">
        <v>36</v>
      </c>
      <c r="G2051">
        <v>29680.06</v>
      </c>
      <c r="H2051" s="1">
        <v>45625</v>
      </c>
      <c r="I2051" t="s">
        <v>555</v>
      </c>
      <c r="J2051" t="s">
        <v>573</v>
      </c>
      <c r="K2051">
        <v>84.118499999999997</v>
      </c>
      <c r="L2051">
        <v>29680.06</v>
      </c>
      <c r="M2051">
        <f>IF(F2051="INR",1,INDEX('rates'!$B$2:$C$522,MATCH(D2051,'rates'!$A$2:$A$522,1),MATCH(F2051&amp;"/INR",'rates'!$B$1:$C$1,0)))</f>
        <v>83.7</v>
      </c>
      <c r="N2051">
        <f t="shared" si="170"/>
        <v>2484221.0220000003</v>
      </c>
      <c r="O2051">
        <f t="shared" si="171"/>
        <v>0</v>
      </c>
      <c r="P2051">
        <f t="shared" si="172"/>
        <v>0</v>
      </c>
      <c r="Q2051">
        <f t="shared" si="169"/>
        <v>30</v>
      </c>
      <c r="R2051" t="str">
        <f t="shared" si="173"/>
        <v>Not open</v>
      </c>
    </row>
    <row r="2052" spans="1:18" x14ac:dyDescent="0.3">
      <c r="A2052" t="s">
        <v>2283</v>
      </c>
      <c r="B2052" t="s">
        <v>384</v>
      </c>
      <c r="C2052" t="s">
        <v>575</v>
      </c>
      <c r="D2052" s="1">
        <v>45505</v>
      </c>
      <c r="E2052" s="1">
        <v>45535</v>
      </c>
      <c r="F2052" t="s">
        <v>13</v>
      </c>
      <c r="G2052">
        <v>5194257</v>
      </c>
      <c r="H2052" s="1">
        <v>45537</v>
      </c>
      <c r="I2052" t="s">
        <v>555</v>
      </c>
      <c r="J2052" t="s">
        <v>556</v>
      </c>
      <c r="L2052">
        <v>5194257</v>
      </c>
      <c r="M2052">
        <f>IF(F2052="INR",1,INDEX('rates'!$B$2:$C$522,MATCH(D2052,'rates'!$A$2:$A$522,1),MATCH(F2052&amp;"/INR",'rates'!$B$1:$C$1,0)))</f>
        <v>1</v>
      </c>
      <c r="N2052">
        <f t="shared" si="170"/>
        <v>5194257</v>
      </c>
      <c r="O2052">
        <f t="shared" si="171"/>
        <v>0</v>
      </c>
      <c r="P2052">
        <f t="shared" si="172"/>
        <v>0</v>
      </c>
      <c r="Q2052">
        <f t="shared" si="169"/>
        <v>2</v>
      </c>
      <c r="R2052" t="str">
        <f t="shared" si="173"/>
        <v>Not open</v>
      </c>
    </row>
    <row r="2053" spans="1:18" x14ac:dyDescent="0.3">
      <c r="A2053" t="s">
        <v>2284</v>
      </c>
      <c r="B2053" t="s">
        <v>436</v>
      </c>
      <c r="C2053" t="s">
        <v>566</v>
      </c>
      <c r="D2053" s="1">
        <v>45505</v>
      </c>
      <c r="E2053" s="1">
        <v>45550</v>
      </c>
      <c r="F2053" t="s">
        <v>36</v>
      </c>
      <c r="G2053">
        <v>97857.54</v>
      </c>
      <c r="H2053" s="1">
        <v>45574</v>
      </c>
      <c r="I2053" t="s">
        <v>555</v>
      </c>
      <c r="J2053" t="s">
        <v>573</v>
      </c>
      <c r="K2053">
        <v>83.909300000000002</v>
      </c>
      <c r="L2053">
        <v>97857.54</v>
      </c>
      <c r="M2053">
        <f>IF(F2053="INR",1,INDEX('rates'!$B$2:$C$522,MATCH(D2053,'rates'!$A$2:$A$522,1),MATCH(F2053&amp;"/INR",'rates'!$B$1:$C$1,0)))</f>
        <v>83.7</v>
      </c>
      <c r="N2053">
        <f t="shared" si="170"/>
        <v>8190676.0979999993</v>
      </c>
      <c r="O2053">
        <f t="shared" si="171"/>
        <v>0</v>
      </c>
      <c r="P2053">
        <f t="shared" si="172"/>
        <v>0</v>
      </c>
      <c r="Q2053">
        <f t="shared" si="169"/>
        <v>24</v>
      </c>
      <c r="R2053" t="str">
        <f t="shared" si="173"/>
        <v>Not open</v>
      </c>
    </row>
    <row r="2054" spans="1:18" x14ac:dyDescent="0.3">
      <c r="A2054" t="s">
        <v>2285</v>
      </c>
      <c r="B2054" t="s">
        <v>470</v>
      </c>
      <c r="C2054" t="s">
        <v>575</v>
      </c>
      <c r="D2054" s="1">
        <v>45505</v>
      </c>
      <c r="E2054" s="1">
        <v>45535</v>
      </c>
      <c r="F2054" t="s">
        <v>36</v>
      </c>
      <c r="G2054">
        <v>46952.91</v>
      </c>
      <c r="H2054" s="1">
        <v>45553</v>
      </c>
      <c r="I2054" t="s">
        <v>555</v>
      </c>
      <c r="J2054" t="s">
        <v>556</v>
      </c>
      <c r="L2054">
        <v>46952.91</v>
      </c>
      <c r="M2054">
        <f>IF(F2054="INR",1,INDEX('rates'!$B$2:$C$522,MATCH(D2054,'rates'!$A$2:$A$522,1),MATCH(F2054&amp;"/INR",'rates'!$B$1:$C$1,0)))</f>
        <v>83.7</v>
      </c>
      <c r="N2054">
        <f t="shared" si="170"/>
        <v>3929958.5670000003</v>
      </c>
      <c r="O2054">
        <f t="shared" si="171"/>
        <v>0</v>
      </c>
      <c r="P2054">
        <f t="shared" si="172"/>
        <v>0</v>
      </c>
      <c r="Q2054">
        <f t="shared" si="169"/>
        <v>18</v>
      </c>
      <c r="R2054" t="str">
        <f t="shared" si="173"/>
        <v>Not open</v>
      </c>
    </row>
    <row r="2055" spans="1:18" x14ac:dyDescent="0.3">
      <c r="A2055" t="s">
        <v>2286</v>
      </c>
      <c r="B2055" t="s">
        <v>62</v>
      </c>
      <c r="C2055" t="s">
        <v>566</v>
      </c>
      <c r="D2055" s="1">
        <v>45506</v>
      </c>
      <c r="E2055" s="1">
        <v>45566</v>
      </c>
      <c r="F2055" t="s">
        <v>13</v>
      </c>
      <c r="G2055">
        <v>2033681</v>
      </c>
      <c r="H2055" s="1">
        <v>45561</v>
      </c>
      <c r="I2055" t="s">
        <v>555</v>
      </c>
      <c r="J2055" t="s">
        <v>556</v>
      </c>
      <c r="L2055">
        <v>2033681</v>
      </c>
      <c r="M2055">
        <f>IF(F2055="INR",1,INDEX('rates'!$B$2:$C$522,MATCH(D2055,'rates'!$A$2:$A$522,1),MATCH(F2055&amp;"/INR",'rates'!$B$1:$C$1,0)))</f>
        <v>1</v>
      </c>
      <c r="N2055">
        <f t="shared" si="170"/>
        <v>2033681</v>
      </c>
      <c r="O2055">
        <f t="shared" si="171"/>
        <v>0</v>
      </c>
      <c r="P2055">
        <f t="shared" si="172"/>
        <v>0</v>
      </c>
      <c r="Q2055">
        <f t="shared" si="169"/>
        <v>-5</v>
      </c>
      <c r="R2055" t="str">
        <f t="shared" si="173"/>
        <v>Not open</v>
      </c>
    </row>
    <row r="2056" spans="1:18" x14ac:dyDescent="0.3">
      <c r="A2056" t="s">
        <v>2287</v>
      </c>
      <c r="B2056" t="s">
        <v>119</v>
      </c>
      <c r="C2056" t="s">
        <v>560</v>
      </c>
      <c r="D2056" s="1">
        <v>45506</v>
      </c>
      <c r="E2056" s="1">
        <v>45536</v>
      </c>
      <c r="F2056" t="s">
        <v>31</v>
      </c>
      <c r="G2056">
        <v>45055.65</v>
      </c>
      <c r="H2056" s="1">
        <v>45556</v>
      </c>
      <c r="I2056" t="s">
        <v>555</v>
      </c>
      <c r="J2056" t="s">
        <v>556</v>
      </c>
      <c r="L2056">
        <v>45055.65</v>
      </c>
      <c r="M2056">
        <f>IF(F2056="INR",1,INDEX('rates'!$B$2:$C$522,MATCH(D2056,'rates'!$A$2:$A$522,1),MATCH(F2056&amp;"/INR",'rates'!$B$1:$C$1,0)))</f>
        <v>91.448400000000007</v>
      </c>
      <c r="N2056">
        <f t="shared" si="170"/>
        <v>4120267.1034600004</v>
      </c>
      <c r="O2056">
        <f t="shared" si="171"/>
        <v>0</v>
      </c>
      <c r="P2056">
        <f t="shared" si="172"/>
        <v>0</v>
      </c>
      <c r="Q2056">
        <f t="shared" si="169"/>
        <v>20</v>
      </c>
      <c r="R2056" t="str">
        <f t="shared" si="173"/>
        <v>Not open</v>
      </c>
    </row>
    <row r="2057" spans="1:18" x14ac:dyDescent="0.3">
      <c r="A2057" t="s">
        <v>2288</v>
      </c>
      <c r="B2057" t="s">
        <v>232</v>
      </c>
      <c r="C2057" t="s">
        <v>566</v>
      </c>
      <c r="D2057" s="1">
        <v>45506</v>
      </c>
      <c r="E2057" s="1">
        <v>45566</v>
      </c>
      <c r="F2057" t="s">
        <v>36</v>
      </c>
      <c r="G2057">
        <v>174512.51</v>
      </c>
      <c r="H2057" s="1">
        <v>45661</v>
      </c>
      <c r="I2057" t="s">
        <v>555</v>
      </c>
      <c r="J2057" t="s">
        <v>556</v>
      </c>
      <c r="L2057">
        <v>174512.51</v>
      </c>
      <c r="M2057">
        <f>IF(F2057="INR",1,INDEX('rates'!$B$2:$C$522,MATCH(D2057,'rates'!$A$2:$A$522,1),MATCH(F2057&amp;"/INR",'rates'!$B$1:$C$1,0)))</f>
        <v>83.79</v>
      </c>
      <c r="N2057">
        <f t="shared" si="170"/>
        <v>14622403.212900002</v>
      </c>
      <c r="O2057">
        <f t="shared" si="171"/>
        <v>0</v>
      </c>
      <c r="P2057">
        <f t="shared" si="172"/>
        <v>0</v>
      </c>
      <c r="Q2057">
        <f t="shared" si="169"/>
        <v>95</v>
      </c>
      <c r="R2057" t="str">
        <f t="shared" si="173"/>
        <v>Not open</v>
      </c>
    </row>
    <row r="2058" spans="1:18" x14ac:dyDescent="0.3">
      <c r="A2058" t="s">
        <v>2289</v>
      </c>
      <c r="B2058" t="s">
        <v>284</v>
      </c>
      <c r="C2058" t="s">
        <v>566</v>
      </c>
      <c r="D2058" s="1">
        <v>45506</v>
      </c>
      <c r="E2058" s="1">
        <v>45551</v>
      </c>
      <c r="F2058" t="s">
        <v>31</v>
      </c>
      <c r="G2058">
        <v>26988.85</v>
      </c>
      <c r="H2058" s="1">
        <v>45574</v>
      </c>
      <c r="I2058" t="s">
        <v>555</v>
      </c>
      <c r="J2058" t="s">
        <v>573</v>
      </c>
      <c r="K2058">
        <v>91.585599999999999</v>
      </c>
      <c r="L2058">
        <v>26988.85</v>
      </c>
      <c r="M2058">
        <f>IF(F2058="INR",1,INDEX('rates'!$B$2:$C$522,MATCH(D2058,'rates'!$A$2:$A$522,1),MATCH(F2058&amp;"/INR",'rates'!$B$1:$C$1,0)))</f>
        <v>91.448400000000007</v>
      </c>
      <c r="N2058">
        <f t="shared" si="170"/>
        <v>2468087.1503400002</v>
      </c>
      <c r="O2058">
        <f t="shared" si="171"/>
        <v>0</v>
      </c>
      <c r="P2058">
        <f t="shared" si="172"/>
        <v>0</v>
      </c>
      <c r="Q2058">
        <f t="shared" si="169"/>
        <v>23</v>
      </c>
      <c r="R2058" t="str">
        <f t="shared" si="173"/>
        <v>Not open</v>
      </c>
    </row>
    <row r="2059" spans="1:18" x14ac:dyDescent="0.3">
      <c r="A2059" t="s">
        <v>2290</v>
      </c>
      <c r="B2059" t="s">
        <v>358</v>
      </c>
      <c r="C2059" t="s">
        <v>575</v>
      </c>
      <c r="D2059" s="1">
        <v>45506</v>
      </c>
      <c r="E2059" s="1">
        <v>45551</v>
      </c>
      <c r="F2059" t="s">
        <v>13</v>
      </c>
      <c r="G2059">
        <v>2890701</v>
      </c>
      <c r="H2059" s="1">
        <v>45556</v>
      </c>
      <c r="I2059" t="s">
        <v>555</v>
      </c>
      <c r="J2059" t="s">
        <v>556</v>
      </c>
      <c r="L2059">
        <v>2890701</v>
      </c>
      <c r="M2059">
        <f>IF(F2059="INR",1,INDEX('rates'!$B$2:$C$522,MATCH(D2059,'rates'!$A$2:$A$522,1),MATCH(F2059&amp;"/INR",'rates'!$B$1:$C$1,0)))</f>
        <v>1</v>
      </c>
      <c r="N2059">
        <f t="shared" si="170"/>
        <v>2890701</v>
      </c>
      <c r="O2059">
        <f t="shared" si="171"/>
        <v>0</v>
      </c>
      <c r="P2059">
        <f t="shared" si="172"/>
        <v>0</v>
      </c>
      <c r="Q2059">
        <f t="shared" si="169"/>
        <v>5</v>
      </c>
      <c r="R2059" t="str">
        <f t="shared" si="173"/>
        <v>Not open</v>
      </c>
    </row>
    <row r="2060" spans="1:18" x14ac:dyDescent="0.3">
      <c r="A2060" t="s">
        <v>2291</v>
      </c>
      <c r="B2060" t="s">
        <v>200</v>
      </c>
      <c r="C2060" t="s">
        <v>554</v>
      </c>
      <c r="D2060" s="1">
        <v>45507</v>
      </c>
      <c r="E2060" s="1">
        <v>45567</v>
      </c>
      <c r="F2060" t="s">
        <v>13</v>
      </c>
      <c r="G2060">
        <v>4359133</v>
      </c>
      <c r="H2060" s="1">
        <v>45586</v>
      </c>
      <c r="I2060" t="s">
        <v>555</v>
      </c>
      <c r="J2060" t="s">
        <v>556</v>
      </c>
      <c r="L2060">
        <v>4359133</v>
      </c>
      <c r="M2060">
        <f>IF(F2060="INR",1,INDEX('rates'!$B$2:$C$522,MATCH(D2060,'rates'!$A$2:$A$522,1),MATCH(F2060&amp;"/INR",'rates'!$B$1:$C$1,0)))</f>
        <v>1</v>
      </c>
      <c r="N2060">
        <f t="shared" si="170"/>
        <v>4359133</v>
      </c>
      <c r="O2060">
        <f t="shared" si="171"/>
        <v>0</v>
      </c>
      <c r="P2060">
        <f t="shared" si="172"/>
        <v>0</v>
      </c>
      <c r="Q2060">
        <f t="shared" si="169"/>
        <v>19</v>
      </c>
      <c r="R2060" t="str">
        <f t="shared" si="173"/>
        <v>Not open</v>
      </c>
    </row>
    <row r="2061" spans="1:18" x14ac:dyDescent="0.3">
      <c r="A2061" t="s">
        <v>2292</v>
      </c>
      <c r="B2061" t="s">
        <v>262</v>
      </c>
      <c r="C2061" t="s">
        <v>566</v>
      </c>
      <c r="D2061" s="1">
        <v>45507</v>
      </c>
      <c r="E2061" s="1">
        <v>45597</v>
      </c>
      <c r="F2061" t="s">
        <v>31</v>
      </c>
      <c r="G2061">
        <v>47706.87</v>
      </c>
      <c r="H2061" s="1">
        <v>45616</v>
      </c>
      <c r="I2061" t="s">
        <v>555</v>
      </c>
      <c r="J2061" t="s">
        <v>573</v>
      </c>
      <c r="K2061">
        <v>91.722700000000003</v>
      </c>
      <c r="L2061">
        <v>47706.87</v>
      </c>
      <c r="M2061">
        <f>IF(F2061="INR",1,INDEX('rates'!$B$2:$C$522,MATCH(D2061,'rates'!$A$2:$A$522,1),MATCH(F2061&amp;"/INR",'rates'!$B$1:$C$1,0)))</f>
        <v>91.448400000000007</v>
      </c>
      <c r="N2061">
        <f t="shared" si="170"/>
        <v>4362716.9305080008</v>
      </c>
      <c r="O2061">
        <f t="shared" si="171"/>
        <v>0</v>
      </c>
      <c r="P2061">
        <f t="shared" si="172"/>
        <v>0</v>
      </c>
      <c r="Q2061">
        <f t="shared" si="169"/>
        <v>19</v>
      </c>
      <c r="R2061" t="str">
        <f t="shared" si="173"/>
        <v>Not open</v>
      </c>
    </row>
    <row r="2062" spans="1:18" x14ac:dyDescent="0.3">
      <c r="A2062" t="s">
        <v>2293</v>
      </c>
      <c r="B2062" t="s">
        <v>394</v>
      </c>
      <c r="C2062" t="s">
        <v>566</v>
      </c>
      <c r="D2062" s="1">
        <v>45507</v>
      </c>
      <c r="E2062" s="1">
        <v>45567</v>
      </c>
      <c r="F2062" t="s">
        <v>31</v>
      </c>
      <c r="G2062">
        <v>19447.77</v>
      </c>
      <c r="H2062" s="1">
        <v>45574</v>
      </c>
      <c r="I2062" t="s">
        <v>555</v>
      </c>
      <c r="J2062" t="s">
        <v>573</v>
      </c>
      <c r="K2062">
        <v>91.631299999999996</v>
      </c>
      <c r="L2062">
        <v>19447.77</v>
      </c>
      <c r="M2062">
        <f>IF(F2062="INR",1,INDEX('rates'!$B$2:$C$522,MATCH(D2062,'rates'!$A$2:$A$522,1),MATCH(F2062&amp;"/INR",'rates'!$B$1:$C$1,0)))</f>
        <v>91.448400000000007</v>
      </c>
      <c r="N2062">
        <f t="shared" si="170"/>
        <v>1778467.4500680002</v>
      </c>
      <c r="O2062">
        <f t="shared" si="171"/>
        <v>0</v>
      </c>
      <c r="P2062">
        <f t="shared" si="172"/>
        <v>0</v>
      </c>
      <c r="Q2062">
        <f t="shared" si="169"/>
        <v>7</v>
      </c>
      <c r="R2062" t="str">
        <f t="shared" si="173"/>
        <v>Not open</v>
      </c>
    </row>
    <row r="2063" spans="1:18" x14ac:dyDescent="0.3">
      <c r="A2063" t="s">
        <v>2295</v>
      </c>
      <c r="B2063" t="s">
        <v>436</v>
      </c>
      <c r="C2063" t="s">
        <v>566</v>
      </c>
      <c r="D2063" s="1">
        <v>45507</v>
      </c>
      <c r="E2063" s="1">
        <v>45552</v>
      </c>
      <c r="F2063" t="s">
        <v>36</v>
      </c>
      <c r="G2063">
        <v>102538.4</v>
      </c>
      <c r="H2063" s="1"/>
      <c r="I2063" t="s">
        <v>717</v>
      </c>
      <c r="J2063" t="s">
        <v>573</v>
      </c>
      <c r="K2063">
        <v>83.999499999999998</v>
      </c>
      <c r="L2063">
        <v>0</v>
      </c>
      <c r="M2063">
        <f>IF(F2063="INR",1,INDEX('rates'!$B$2:$C$522,MATCH(D2063,'rates'!$A$2:$A$522,1),MATCH(F2063&amp;"/INR",'rates'!$B$1:$C$1,0)))</f>
        <v>83.79</v>
      </c>
      <c r="N2063">
        <f t="shared" si="170"/>
        <v>8591692.5360000003</v>
      </c>
      <c r="O2063">
        <f t="shared" si="171"/>
        <v>0</v>
      </c>
      <c r="P2063">
        <f t="shared" si="172"/>
        <v>0</v>
      </c>
      <c r="Q2063" t="str">
        <f t="shared" si="169"/>
        <v/>
      </c>
      <c r="R2063" t="str">
        <f t="shared" si="173"/>
        <v>Not open</v>
      </c>
    </row>
    <row r="2064" spans="1:18" x14ac:dyDescent="0.3">
      <c r="A2064" t="s">
        <v>2296</v>
      </c>
      <c r="B2064" t="s">
        <v>464</v>
      </c>
      <c r="C2064" t="s">
        <v>560</v>
      </c>
      <c r="D2064" s="1">
        <v>45507</v>
      </c>
      <c r="E2064" s="1">
        <v>45597</v>
      </c>
      <c r="F2064" t="s">
        <v>13</v>
      </c>
      <c r="G2064">
        <v>6633193</v>
      </c>
      <c r="H2064" s="1">
        <v>45605</v>
      </c>
      <c r="I2064" t="s">
        <v>555</v>
      </c>
      <c r="J2064" t="s">
        <v>556</v>
      </c>
      <c r="L2064">
        <v>6633193</v>
      </c>
      <c r="M2064">
        <f>IF(F2064="INR",1,INDEX('rates'!$B$2:$C$522,MATCH(D2064,'rates'!$A$2:$A$522,1),MATCH(F2064&amp;"/INR",'rates'!$B$1:$C$1,0)))</f>
        <v>1</v>
      </c>
      <c r="N2064">
        <f t="shared" si="170"/>
        <v>6633193</v>
      </c>
      <c r="O2064">
        <f t="shared" si="171"/>
        <v>0</v>
      </c>
      <c r="P2064">
        <f t="shared" si="172"/>
        <v>0</v>
      </c>
      <c r="Q2064">
        <f t="shared" si="169"/>
        <v>8</v>
      </c>
      <c r="R2064" t="str">
        <f t="shared" si="173"/>
        <v>Not open</v>
      </c>
    </row>
    <row r="2065" spans="1:18" x14ac:dyDescent="0.3">
      <c r="A2065" t="s">
        <v>2297</v>
      </c>
      <c r="B2065" t="s">
        <v>512</v>
      </c>
      <c r="C2065" t="s">
        <v>566</v>
      </c>
      <c r="D2065" s="1">
        <v>45507</v>
      </c>
      <c r="E2065" s="1">
        <v>45567</v>
      </c>
      <c r="F2065" t="s">
        <v>31</v>
      </c>
      <c r="G2065">
        <v>170767.93</v>
      </c>
      <c r="H2065" s="1">
        <v>45597</v>
      </c>
      <c r="I2065" t="s">
        <v>555</v>
      </c>
      <c r="J2065" t="s">
        <v>556</v>
      </c>
      <c r="L2065">
        <v>170767.93</v>
      </c>
      <c r="M2065">
        <f>IF(F2065="INR",1,INDEX('rates'!$B$2:$C$522,MATCH(D2065,'rates'!$A$2:$A$522,1),MATCH(F2065&amp;"/INR",'rates'!$B$1:$C$1,0)))</f>
        <v>91.448400000000007</v>
      </c>
      <c r="N2065">
        <f t="shared" si="170"/>
        <v>15616453.969812</v>
      </c>
      <c r="O2065">
        <f t="shared" si="171"/>
        <v>0</v>
      </c>
      <c r="P2065">
        <f t="shared" si="172"/>
        <v>0</v>
      </c>
      <c r="Q2065">
        <f t="shared" si="169"/>
        <v>30</v>
      </c>
      <c r="R2065" t="str">
        <f t="shared" si="173"/>
        <v>Not open</v>
      </c>
    </row>
    <row r="2066" spans="1:18" x14ac:dyDescent="0.3">
      <c r="A2066" t="s">
        <v>2298</v>
      </c>
      <c r="B2066" t="s">
        <v>22</v>
      </c>
      <c r="C2066" t="s">
        <v>554</v>
      </c>
      <c r="D2066" s="1">
        <v>45509</v>
      </c>
      <c r="E2066" s="1">
        <v>45554</v>
      </c>
      <c r="F2066" t="s">
        <v>13</v>
      </c>
      <c r="G2066">
        <v>4492432</v>
      </c>
      <c r="H2066" s="1">
        <v>45558</v>
      </c>
      <c r="I2066" t="s">
        <v>555</v>
      </c>
      <c r="J2066" t="s">
        <v>556</v>
      </c>
      <c r="L2066">
        <v>4492432</v>
      </c>
      <c r="M2066">
        <f>IF(F2066="INR",1,INDEX('rates'!$B$2:$C$522,MATCH(D2066,'rates'!$A$2:$A$522,1),MATCH(F2066&amp;"/INR",'rates'!$B$1:$C$1,0)))</f>
        <v>1</v>
      </c>
      <c r="N2066">
        <f t="shared" si="170"/>
        <v>4492432</v>
      </c>
      <c r="O2066">
        <f t="shared" si="171"/>
        <v>0</v>
      </c>
      <c r="P2066">
        <f t="shared" si="172"/>
        <v>0</v>
      </c>
      <c r="Q2066">
        <f t="shared" si="169"/>
        <v>4</v>
      </c>
      <c r="R2066" t="str">
        <f t="shared" si="173"/>
        <v>Not open</v>
      </c>
    </row>
    <row r="2067" spans="1:18" x14ac:dyDescent="0.3">
      <c r="A2067" t="s">
        <v>2299</v>
      </c>
      <c r="B2067" t="s">
        <v>322</v>
      </c>
      <c r="C2067" t="s">
        <v>566</v>
      </c>
      <c r="D2067" s="1">
        <v>45509</v>
      </c>
      <c r="E2067" s="1">
        <v>45569</v>
      </c>
      <c r="F2067" t="s">
        <v>13</v>
      </c>
      <c r="G2067">
        <v>6246664</v>
      </c>
      <c r="H2067" s="1">
        <v>45577</v>
      </c>
      <c r="I2067" t="s">
        <v>555</v>
      </c>
      <c r="J2067" t="s">
        <v>556</v>
      </c>
      <c r="L2067">
        <v>6246664</v>
      </c>
      <c r="M2067">
        <f>IF(F2067="INR",1,INDEX('rates'!$B$2:$C$522,MATCH(D2067,'rates'!$A$2:$A$522,1),MATCH(F2067&amp;"/INR",'rates'!$B$1:$C$1,0)))</f>
        <v>1</v>
      </c>
      <c r="N2067">
        <f t="shared" si="170"/>
        <v>6246664</v>
      </c>
      <c r="O2067">
        <f t="shared" si="171"/>
        <v>0</v>
      </c>
      <c r="P2067">
        <f t="shared" si="172"/>
        <v>0</v>
      </c>
      <c r="Q2067">
        <f t="shared" si="169"/>
        <v>8</v>
      </c>
      <c r="R2067" t="str">
        <f t="shared" si="173"/>
        <v>Not open</v>
      </c>
    </row>
    <row r="2068" spans="1:18" x14ac:dyDescent="0.3">
      <c r="A2068" t="s">
        <v>2300</v>
      </c>
      <c r="B2068" t="s">
        <v>344</v>
      </c>
      <c r="C2068" t="s">
        <v>554</v>
      </c>
      <c r="D2068" s="1">
        <v>45509</v>
      </c>
      <c r="E2068" s="1">
        <v>45569</v>
      </c>
      <c r="F2068" t="s">
        <v>13</v>
      </c>
      <c r="G2068">
        <v>3395112</v>
      </c>
      <c r="H2068" s="1">
        <v>45565</v>
      </c>
      <c r="I2068" t="s">
        <v>555</v>
      </c>
      <c r="J2068" t="s">
        <v>556</v>
      </c>
      <c r="L2068">
        <v>3395112</v>
      </c>
      <c r="M2068">
        <f>IF(F2068="INR",1,INDEX('rates'!$B$2:$C$522,MATCH(D2068,'rates'!$A$2:$A$522,1),MATCH(F2068&amp;"/INR",'rates'!$B$1:$C$1,0)))</f>
        <v>1</v>
      </c>
      <c r="N2068">
        <f t="shared" si="170"/>
        <v>3395112</v>
      </c>
      <c r="O2068">
        <f t="shared" si="171"/>
        <v>0</v>
      </c>
      <c r="P2068">
        <f t="shared" si="172"/>
        <v>0</v>
      </c>
      <c r="Q2068">
        <f t="shared" si="169"/>
        <v>-4</v>
      </c>
      <c r="R2068" t="str">
        <f t="shared" si="173"/>
        <v>Not open</v>
      </c>
    </row>
    <row r="2069" spans="1:18" x14ac:dyDescent="0.3">
      <c r="A2069" t="s">
        <v>2301</v>
      </c>
      <c r="B2069" t="s">
        <v>496</v>
      </c>
      <c r="C2069" t="s">
        <v>554</v>
      </c>
      <c r="D2069" s="1">
        <v>45509</v>
      </c>
      <c r="E2069" s="1">
        <v>45554</v>
      </c>
      <c r="F2069" t="s">
        <v>13</v>
      </c>
      <c r="G2069">
        <v>9028443</v>
      </c>
      <c r="H2069" s="1">
        <v>45566</v>
      </c>
      <c r="I2069" t="s">
        <v>555</v>
      </c>
      <c r="J2069" t="s">
        <v>556</v>
      </c>
      <c r="L2069">
        <v>9028443</v>
      </c>
      <c r="M2069">
        <f>IF(F2069="INR",1,INDEX('rates'!$B$2:$C$522,MATCH(D2069,'rates'!$A$2:$A$522,1),MATCH(F2069&amp;"/INR",'rates'!$B$1:$C$1,0)))</f>
        <v>1</v>
      </c>
      <c r="N2069">
        <f t="shared" si="170"/>
        <v>9028443</v>
      </c>
      <c r="O2069">
        <f t="shared" si="171"/>
        <v>0</v>
      </c>
      <c r="P2069">
        <f t="shared" si="172"/>
        <v>0</v>
      </c>
      <c r="Q2069">
        <f t="shared" si="169"/>
        <v>12</v>
      </c>
      <c r="R2069" t="str">
        <f t="shared" si="173"/>
        <v>Not open</v>
      </c>
    </row>
    <row r="2070" spans="1:18" x14ac:dyDescent="0.3">
      <c r="A2070" t="s">
        <v>2302</v>
      </c>
      <c r="B2070" t="s">
        <v>502</v>
      </c>
      <c r="C2070" t="s">
        <v>554</v>
      </c>
      <c r="D2070" s="1">
        <v>45509</v>
      </c>
      <c r="E2070" s="1">
        <v>45539</v>
      </c>
      <c r="F2070" t="s">
        <v>13</v>
      </c>
      <c r="G2070">
        <v>2095173</v>
      </c>
      <c r="H2070" s="1">
        <v>45548</v>
      </c>
      <c r="I2070" t="s">
        <v>555</v>
      </c>
      <c r="J2070" t="s">
        <v>556</v>
      </c>
      <c r="L2070">
        <v>2095173</v>
      </c>
      <c r="M2070">
        <f>IF(F2070="INR",1,INDEX('rates'!$B$2:$C$522,MATCH(D2070,'rates'!$A$2:$A$522,1),MATCH(F2070&amp;"/INR",'rates'!$B$1:$C$1,0)))</f>
        <v>1</v>
      </c>
      <c r="N2070">
        <f t="shared" si="170"/>
        <v>2095173</v>
      </c>
      <c r="O2070">
        <f t="shared" si="171"/>
        <v>0</v>
      </c>
      <c r="P2070">
        <f t="shared" si="172"/>
        <v>0</v>
      </c>
      <c r="Q2070">
        <f t="shared" si="169"/>
        <v>9</v>
      </c>
      <c r="R2070" t="str">
        <f t="shared" si="173"/>
        <v>Not open</v>
      </c>
    </row>
    <row r="2071" spans="1:18" x14ac:dyDescent="0.3">
      <c r="A2071" t="s">
        <v>2303</v>
      </c>
      <c r="B2071" t="s">
        <v>186</v>
      </c>
      <c r="C2071" t="s">
        <v>558</v>
      </c>
      <c r="D2071" s="1">
        <v>45510</v>
      </c>
      <c r="E2071" s="1">
        <v>45540</v>
      </c>
      <c r="F2071" t="s">
        <v>36</v>
      </c>
      <c r="G2071">
        <v>138176.35</v>
      </c>
      <c r="H2071" s="1">
        <v>45551</v>
      </c>
      <c r="I2071" t="s">
        <v>555</v>
      </c>
      <c r="J2071" t="s">
        <v>556</v>
      </c>
      <c r="L2071">
        <v>138176.35</v>
      </c>
      <c r="M2071">
        <f>IF(F2071="INR",1,INDEX('rates'!$B$2:$C$522,MATCH(D2071,'rates'!$A$2:$A$522,1),MATCH(F2071&amp;"/INR",'rates'!$B$1:$C$1,0)))</f>
        <v>83.91</v>
      </c>
      <c r="N2071">
        <f t="shared" si="170"/>
        <v>11594377.5285</v>
      </c>
      <c r="O2071">
        <f t="shared" si="171"/>
        <v>0</v>
      </c>
      <c r="P2071">
        <f t="shared" si="172"/>
        <v>0</v>
      </c>
      <c r="Q2071">
        <f t="shared" si="169"/>
        <v>11</v>
      </c>
      <c r="R2071" t="str">
        <f t="shared" si="173"/>
        <v>Not open</v>
      </c>
    </row>
    <row r="2072" spans="1:18" x14ac:dyDescent="0.3">
      <c r="A2072" t="s">
        <v>2304</v>
      </c>
      <c r="B2072" t="s">
        <v>334</v>
      </c>
      <c r="C2072" t="s">
        <v>566</v>
      </c>
      <c r="D2072" s="1">
        <v>45510</v>
      </c>
      <c r="E2072" s="1">
        <v>45600</v>
      </c>
      <c r="F2072" t="s">
        <v>13</v>
      </c>
      <c r="G2072">
        <v>2749688</v>
      </c>
      <c r="H2072" s="1">
        <v>45611</v>
      </c>
      <c r="I2072" t="s">
        <v>555</v>
      </c>
      <c r="J2072" t="s">
        <v>556</v>
      </c>
      <c r="L2072">
        <v>2749688</v>
      </c>
      <c r="M2072">
        <f>IF(F2072="INR",1,INDEX('rates'!$B$2:$C$522,MATCH(D2072,'rates'!$A$2:$A$522,1),MATCH(F2072&amp;"/INR",'rates'!$B$1:$C$1,0)))</f>
        <v>1</v>
      </c>
      <c r="N2072">
        <f t="shared" si="170"/>
        <v>2749688</v>
      </c>
      <c r="O2072">
        <f t="shared" si="171"/>
        <v>0</v>
      </c>
      <c r="P2072">
        <f t="shared" si="172"/>
        <v>0</v>
      </c>
      <c r="Q2072">
        <f t="shared" si="169"/>
        <v>11</v>
      </c>
      <c r="R2072" t="str">
        <f t="shared" si="173"/>
        <v>Not open</v>
      </c>
    </row>
    <row r="2073" spans="1:18" x14ac:dyDescent="0.3">
      <c r="A2073" t="s">
        <v>2305</v>
      </c>
      <c r="B2073" t="s">
        <v>402</v>
      </c>
      <c r="C2073" t="s">
        <v>558</v>
      </c>
      <c r="D2073" s="1">
        <v>45510</v>
      </c>
      <c r="E2073" s="1">
        <v>45570</v>
      </c>
      <c r="F2073" t="s">
        <v>13</v>
      </c>
      <c r="G2073">
        <v>13456280</v>
      </c>
      <c r="H2073" s="1">
        <v>45575</v>
      </c>
      <c r="I2073" t="s">
        <v>555</v>
      </c>
      <c r="J2073" t="s">
        <v>556</v>
      </c>
      <c r="L2073">
        <v>13456280</v>
      </c>
      <c r="M2073">
        <f>IF(F2073="INR",1,INDEX('rates'!$B$2:$C$522,MATCH(D2073,'rates'!$A$2:$A$522,1),MATCH(F2073&amp;"/INR",'rates'!$B$1:$C$1,0)))</f>
        <v>1</v>
      </c>
      <c r="N2073">
        <f t="shared" si="170"/>
        <v>13456280</v>
      </c>
      <c r="O2073">
        <f t="shared" si="171"/>
        <v>0</v>
      </c>
      <c r="P2073">
        <f t="shared" si="172"/>
        <v>0</v>
      </c>
      <c r="Q2073">
        <f t="shared" si="169"/>
        <v>5</v>
      </c>
      <c r="R2073" t="str">
        <f t="shared" si="173"/>
        <v>Not open</v>
      </c>
    </row>
    <row r="2074" spans="1:18" x14ac:dyDescent="0.3">
      <c r="A2074" t="s">
        <v>2306</v>
      </c>
      <c r="B2074" t="s">
        <v>294</v>
      </c>
      <c r="C2074" t="s">
        <v>560</v>
      </c>
      <c r="D2074" s="1">
        <v>45511</v>
      </c>
      <c r="E2074" s="1">
        <v>45571</v>
      </c>
      <c r="F2074" t="s">
        <v>13</v>
      </c>
      <c r="G2074">
        <v>600963</v>
      </c>
      <c r="H2074" s="1">
        <v>45650</v>
      </c>
      <c r="I2074" t="s">
        <v>555</v>
      </c>
      <c r="J2074" t="s">
        <v>556</v>
      </c>
      <c r="L2074">
        <v>600963</v>
      </c>
      <c r="M2074">
        <f>IF(F2074="INR",1,INDEX('rates'!$B$2:$C$522,MATCH(D2074,'rates'!$A$2:$A$522,1),MATCH(F2074&amp;"/INR",'rates'!$B$1:$C$1,0)))</f>
        <v>1</v>
      </c>
      <c r="N2074">
        <f t="shared" si="170"/>
        <v>600963</v>
      </c>
      <c r="O2074">
        <f t="shared" si="171"/>
        <v>0</v>
      </c>
      <c r="P2074">
        <f t="shared" si="172"/>
        <v>0</v>
      </c>
      <c r="Q2074">
        <f t="shared" si="169"/>
        <v>79</v>
      </c>
      <c r="R2074" t="str">
        <f t="shared" si="173"/>
        <v>Not open</v>
      </c>
    </row>
    <row r="2075" spans="1:18" x14ac:dyDescent="0.3">
      <c r="A2075" t="s">
        <v>2307</v>
      </c>
      <c r="B2075" t="s">
        <v>322</v>
      </c>
      <c r="C2075" t="s">
        <v>566</v>
      </c>
      <c r="D2075" s="1">
        <v>45511</v>
      </c>
      <c r="E2075" s="1">
        <v>45571</v>
      </c>
      <c r="F2075" t="s">
        <v>13</v>
      </c>
      <c r="G2075">
        <v>48142878</v>
      </c>
      <c r="H2075" s="1">
        <v>45573</v>
      </c>
      <c r="I2075" t="s">
        <v>555</v>
      </c>
      <c r="J2075" t="s">
        <v>556</v>
      </c>
      <c r="L2075">
        <v>48142878</v>
      </c>
      <c r="M2075">
        <f>IF(F2075="INR",1,INDEX('rates'!$B$2:$C$522,MATCH(D2075,'rates'!$A$2:$A$522,1),MATCH(F2075&amp;"/INR",'rates'!$B$1:$C$1,0)))</f>
        <v>1</v>
      </c>
      <c r="N2075">
        <f t="shared" si="170"/>
        <v>48142878</v>
      </c>
      <c r="O2075">
        <f t="shared" si="171"/>
        <v>0</v>
      </c>
      <c r="P2075">
        <f t="shared" si="172"/>
        <v>0</v>
      </c>
      <c r="Q2075">
        <f t="shared" si="169"/>
        <v>2</v>
      </c>
      <c r="R2075" t="str">
        <f t="shared" si="173"/>
        <v>Not open</v>
      </c>
    </row>
    <row r="2076" spans="1:18" x14ac:dyDescent="0.3">
      <c r="A2076" t="s">
        <v>2308</v>
      </c>
      <c r="B2076" t="s">
        <v>322</v>
      </c>
      <c r="C2076" t="s">
        <v>566</v>
      </c>
      <c r="D2076" s="1">
        <v>45511</v>
      </c>
      <c r="E2076" s="1">
        <v>45571</v>
      </c>
      <c r="F2076" t="s">
        <v>13</v>
      </c>
      <c r="G2076">
        <v>5698797</v>
      </c>
      <c r="H2076" s="1"/>
      <c r="I2076" t="s">
        <v>555</v>
      </c>
      <c r="J2076" t="s">
        <v>556</v>
      </c>
      <c r="L2076">
        <v>5698797</v>
      </c>
      <c r="M2076">
        <f>IF(F2076="INR",1,INDEX('rates'!$B$2:$C$522,MATCH(D2076,'rates'!$A$2:$A$522,1),MATCH(F2076&amp;"/INR",'rates'!$B$1:$C$1,0)))</f>
        <v>1</v>
      </c>
      <c r="N2076">
        <f t="shared" si="170"/>
        <v>5698797</v>
      </c>
      <c r="O2076">
        <f t="shared" si="171"/>
        <v>0</v>
      </c>
      <c r="P2076">
        <f t="shared" si="172"/>
        <v>0</v>
      </c>
      <c r="R2076" t="str">
        <f t="shared" si="173"/>
        <v>Not open</v>
      </c>
    </row>
    <row r="2077" spans="1:18" x14ac:dyDescent="0.3">
      <c r="A2077" t="s">
        <v>2309</v>
      </c>
      <c r="B2077" t="s">
        <v>140</v>
      </c>
      <c r="C2077" t="s">
        <v>554</v>
      </c>
      <c r="D2077" s="1">
        <v>45512</v>
      </c>
      <c r="E2077" s="1">
        <v>45572</v>
      </c>
      <c r="F2077" t="s">
        <v>13</v>
      </c>
      <c r="G2077">
        <v>9404840</v>
      </c>
      <c r="H2077" s="1">
        <v>45575</v>
      </c>
      <c r="I2077" t="s">
        <v>555</v>
      </c>
      <c r="J2077" t="s">
        <v>556</v>
      </c>
      <c r="L2077">
        <v>9404840</v>
      </c>
      <c r="M2077">
        <f>IF(F2077="INR",1,INDEX('rates'!$B$2:$C$522,MATCH(D2077,'rates'!$A$2:$A$522,1),MATCH(F2077&amp;"/INR",'rates'!$B$1:$C$1,0)))</f>
        <v>1</v>
      </c>
      <c r="N2077">
        <f t="shared" si="170"/>
        <v>9404840</v>
      </c>
      <c r="O2077">
        <f t="shared" si="171"/>
        <v>0</v>
      </c>
      <c r="P2077">
        <f t="shared" si="172"/>
        <v>0</v>
      </c>
      <c r="Q2077">
        <f t="shared" ref="Q2077:Q2140" si="174">IF(H2077="","",H2077-E2077)</f>
        <v>3</v>
      </c>
      <c r="R2077" t="str">
        <f t="shared" si="173"/>
        <v>Not open</v>
      </c>
    </row>
    <row r="2078" spans="1:18" x14ac:dyDescent="0.3">
      <c r="A2078" t="s">
        <v>2310</v>
      </c>
      <c r="B2078" t="s">
        <v>246</v>
      </c>
      <c r="C2078" t="s">
        <v>554</v>
      </c>
      <c r="D2078" s="1">
        <v>45512</v>
      </c>
      <c r="E2078" s="1">
        <v>45572</v>
      </c>
      <c r="F2078" t="s">
        <v>13</v>
      </c>
      <c r="G2078">
        <v>11441141</v>
      </c>
      <c r="H2078" s="1">
        <v>45580</v>
      </c>
      <c r="I2078" t="s">
        <v>555</v>
      </c>
      <c r="J2078" t="s">
        <v>556</v>
      </c>
      <c r="L2078">
        <v>11441141</v>
      </c>
      <c r="M2078">
        <f>IF(F2078="INR",1,INDEX('rates'!$B$2:$C$522,MATCH(D2078,'rates'!$A$2:$A$522,1),MATCH(F2078&amp;"/INR",'rates'!$B$1:$C$1,0)))</f>
        <v>1</v>
      </c>
      <c r="N2078">
        <f t="shared" si="170"/>
        <v>11441141</v>
      </c>
      <c r="O2078">
        <f t="shared" si="171"/>
        <v>0</v>
      </c>
      <c r="P2078">
        <f t="shared" si="172"/>
        <v>0</v>
      </c>
      <c r="Q2078">
        <f t="shared" si="174"/>
        <v>8</v>
      </c>
      <c r="R2078" t="str">
        <f t="shared" si="173"/>
        <v>Not open</v>
      </c>
    </row>
    <row r="2079" spans="1:18" x14ac:dyDescent="0.3">
      <c r="A2079" t="s">
        <v>2311</v>
      </c>
      <c r="B2079" t="s">
        <v>312</v>
      </c>
      <c r="C2079" t="s">
        <v>554</v>
      </c>
      <c r="D2079" s="1">
        <v>45512</v>
      </c>
      <c r="E2079" s="1">
        <v>45572</v>
      </c>
      <c r="F2079" t="s">
        <v>13</v>
      </c>
      <c r="G2079">
        <v>3090442</v>
      </c>
      <c r="H2079" s="1">
        <v>45570</v>
      </c>
      <c r="I2079" t="s">
        <v>555</v>
      </c>
      <c r="J2079" t="s">
        <v>556</v>
      </c>
      <c r="L2079">
        <v>3090442</v>
      </c>
      <c r="M2079">
        <f>IF(F2079="INR",1,INDEX('rates'!$B$2:$C$522,MATCH(D2079,'rates'!$A$2:$A$522,1),MATCH(F2079&amp;"/INR",'rates'!$B$1:$C$1,0)))</f>
        <v>1</v>
      </c>
      <c r="N2079">
        <f t="shared" si="170"/>
        <v>3090442</v>
      </c>
      <c r="O2079">
        <f t="shared" si="171"/>
        <v>0</v>
      </c>
      <c r="P2079">
        <f t="shared" si="172"/>
        <v>0</v>
      </c>
      <c r="Q2079">
        <f t="shared" si="174"/>
        <v>-2</v>
      </c>
      <c r="R2079" t="str">
        <f t="shared" si="173"/>
        <v>Not open</v>
      </c>
    </row>
    <row r="2080" spans="1:18" x14ac:dyDescent="0.3">
      <c r="A2080" t="s">
        <v>2313</v>
      </c>
      <c r="B2080" t="s">
        <v>111</v>
      </c>
      <c r="C2080" t="s">
        <v>558</v>
      </c>
      <c r="D2080" s="1">
        <v>45513</v>
      </c>
      <c r="E2080" s="1">
        <v>45558</v>
      </c>
      <c r="F2080" t="s">
        <v>13</v>
      </c>
      <c r="G2080">
        <v>7776793</v>
      </c>
      <c r="H2080" s="1">
        <v>45565</v>
      </c>
      <c r="I2080" t="s">
        <v>555</v>
      </c>
      <c r="J2080" t="s">
        <v>556</v>
      </c>
      <c r="L2080">
        <v>7776793</v>
      </c>
      <c r="M2080">
        <f>IF(F2080="INR",1,INDEX('rates'!$B$2:$C$522,MATCH(D2080,'rates'!$A$2:$A$522,1),MATCH(F2080&amp;"/INR",'rates'!$B$1:$C$1,0)))</f>
        <v>1</v>
      </c>
      <c r="N2080">
        <f t="shared" si="170"/>
        <v>7776793</v>
      </c>
      <c r="O2080">
        <f t="shared" si="171"/>
        <v>0</v>
      </c>
      <c r="P2080">
        <f t="shared" si="172"/>
        <v>0</v>
      </c>
      <c r="Q2080">
        <f t="shared" si="174"/>
        <v>7</v>
      </c>
      <c r="R2080" t="str">
        <f t="shared" si="173"/>
        <v>Not open</v>
      </c>
    </row>
    <row r="2081" spans="1:18" x14ac:dyDescent="0.3">
      <c r="A2081" t="s">
        <v>2314</v>
      </c>
      <c r="B2081" t="s">
        <v>140</v>
      </c>
      <c r="C2081" t="s">
        <v>554</v>
      </c>
      <c r="D2081" s="1">
        <v>45513</v>
      </c>
      <c r="E2081" s="1">
        <v>45573</v>
      </c>
      <c r="F2081" t="s">
        <v>13</v>
      </c>
      <c r="G2081">
        <v>13536679</v>
      </c>
      <c r="H2081" s="1">
        <v>45576</v>
      </c>
      <c r="I2081" t="s">
        <v>555</v>
      </c>
      <c r="J2081" t="s">
        <v>556</v>
      </c>
      <c r="L2081">
        <v>13536679</v>
      </c>
      <c r="M2081">
        <f>IF(F2081="INR",1,INDEX('rates'!$B$2:$C$522,MATCH(D2081,'rates'!$A$2:$A$522,1),MATCH(F2081&amp;"/INR",'rates'!$B$1:$C$1,0)))</f>
        <v>1</v>
      </c>
      <c r="N2081">
        <f t="shared" si="170"/>
        <v>13536679</v>
      </c>
      <c r="O2081">
        <f t="shared" si="171"/>
        <v>0</v>
      </c>
      <c r="P2081">
        <f t="shared" si="172"/>
        <v>0</v>
      </c>
      <c r="Q2081">
        <f t="shared" si="174"/>
        <v>3</v>
      </c>
      <c r="R2081" t="str">
        <f t="shared" si="173"/>
        <v>Not open</v>
      </c>
    </row>
    <row r="2082" spans="1:18" x14ac:dyDescent="0.3">
      <c r="A2082" t="s">
        <v>2315</v>
      </c>
      <c r="B2082" t="s">
        <v>222</v>
      </c>
      <c r="C2082" t="s">
        <v>560</v>
      </c>
      <c r="D2082" s="1">
        <v>45513</v>
      </c>
      <c r="E2082" s="1">
        <v>45573</v>
      </c>
      <c r="F2082" t="s">
        <v>36</v>
      </c>
      <c r="G2082">
        <v>45725.93</v>
      </c>
      <c r="H2082" s="1">
        <v>45581</v>
      </c>
      <c r="I2082" t="s">
        <v>555</v>
      </c>
      <c r="J2082" t="s">
        <v>556</v>
      </c>
      <c r="L2082">
        <v>45725.93</v>
      </c>
      <c r="M2082">
        <f>IF(F2082="INR",1,INDEX('rates'!$B$2:$C$522,MATCH(D2082,'rates'!$A$2:$A$522,1),MATCH(F2082&amp;"/INR",'rates'!$B$1:$C$1,0)))</f>
        <v>83.92</v>
      </c>
      <c r="N2082">
        <f t="shared" si="170"/>
        <v>3837320.0456000003</v>
      </c>
      <c r="O2082">
        <f t="shared" si="171"/>
        <v>0</v>
      </c>
      <c r="P2082">
        <f t="shared" si="172"/>
        <v>0</v>
      </c>
      <c r="Q2082">
        <f t="shared" si="174"/>
        <v>8</v>
      </c>
      <c r="R2082" t="str">
        <f t="shared" si="173"/>
        <v>Not open</v>
      </c>
    </row>
    <row r="2083" spans="1:18" x14ac:dyDescent="0.3">
      <c r="A2083" t="s">
        <v>2316</v>
      </c>
      <c r="B2083" t="s">
        <v>246</v>
      </c>
      <c r="C2083" t="s">
        <v>554</v>
      </c>
      <c r="D2083" s="1">
        <v>45513</v>
      </c>
      <c r="E2083" s="1">
        <v>45573</v>
      </c>
      <c r="F2083" t="s">
        <v>13</v>
      </c>
      <c r="G2083">
        <v>12648163</v>
      </c>
      <c r="H2083" s="1">
        <v>45574</v>
      </c>
      <c r="I2083" t="s">
        <v>555</v>
      </c>
      <c r="J2083" t="s">
        <v>556</v>
      </c>
      <c r="L2083">
        <v>12648163</v>
      </c>
      <c r="M2083">
        <f>IF(F2083="INR",1,INDEX('rates'!$B$2:$C$522,MATCH(D2083,'rates'!$A$2:$A$522,1),MATCH(F2083&amp;"/INR",'rates'!$B$1:$C$1,0)))</f>
        <v>1</v>
      </c>
      <c r="N2083">
        <f t="shared" si="170"/>
        <v>12648163</v>
      </c>
      <c r="O2083">
        <f t="shared" si="171"/>
        <v>0</v>
      </c>
      <c r="P2083">
        <f t="shared" si="172"/>
        <v>0</v>
      </c>
      <c r="Q2083">
        <f t="shared" si="174"/>
        <v>1</v>
      </c>
      <c r="R2083" t="str">
        <f t="shared" si="173"/>
        <v>Not open</v>
      </c>
    </row>
    <row r="2084" spans="1:18" x14ac:dyDescent="0.3">
      <c r="A2084" t="s">
        <v>2317</v>
      </c>
      <c r="B2084" t="s">
        <v>256</v>
      </c>
      <c r="C2084" t="s">
        <v>554</v>
      </c>
      <c r="D2084" s="1">
        <v>45513</v>
      </c>
      <c r="E2084" s="1">
        <v>45558</v>
      </c>
      <c r="F2084" t="s">
        <v>13</v>
      </c>
      <c r="G2084">
        <v>3627784</v>
      </c>
      <c r="H2084" s="1">
        <v>45555</v>
      </c>
      <c r="I2084" t="s">
        <v>555</v>
      </c>
      <c r="J2084" t="s">
        <v>556</v>
      </c>
      <c r="L2084">
        <v>3627784</v>
      </c>
      <c r="M2084">
        <f>IF(F2084="INR",1,INDEX('rates'!$B$2:$C$522,MATCH(D2084,'rates'!$A$2:$A$522,1),MATCH(F2084&amp;"/INR",'rates'!$B$1:$C$1,0)))</f>
        <v>1</v>
      </c>
      <c r="N2084">
        <f t="shared" si="170"/>
        <v>3627784</v>
      </c>
      <c r="O2084">
        <f t="shared" si="171"/>
        <v>0</v>
      </c>
      <c r="P2084">
        <f t="shared" si="172"/>
        <v>0</v>
      </c>
      <c r="Q2084">
        <f t="shared" si="174"/>
        <v>-3</v>
      </c>
      <c r="R2084" t="str">
        <f t="shared" si="173"/>
        <v>Not open</v>
      </c>
    </row>
    <row r="2085" spans="1:18" x14ac:dyDescent="0.3">
      <c r="A2085" t="s">
        <v>2318</v>
      </c>
      <c r="B2085" t="s">
        <v>134</v>
      </c>
      <c r="C2085" t="s">
        <v>575</v>
      </c>
      <c r="D2085" s="1">
        <v>45514</v>
      </c>
      <c r="E2085" s="1">
        <v>45604</v>
      </c>
      <c r="F2085" t="s">
        <v>36</v>
      </c>
      <c r="G2085">
        <v>163998.87</v>
      </c>
      <c r="H2085" s="1">
        <v>45614</v>
      </c>
      <c r="I2085" t="s">
        <v>555</v>
      </c>
      <c r="J2085" t="s">
        <v>556</v>
      </c>
      <c r="L2085">
        <v>163998.87</v>
      </c>
      <c r="M2085">
        <f>IF(F2085="INR",1,INDEX('rates'!$B$2:$C$522,MATCH(D2085,'rates'!$A$2:$A$522,1),MATCH(F2085&amp;"/INR",'rates'!$B$1:$C$1,0)))</f>
        <v>83.92</v>
      </c>
      <c r="N2085">
        <f t="shared" si="170"/>
        <v>13762785.170399999</v>
      </c>
      <c r="O2085">
        <f t="shared" si="171"/>
        <v>0</v>
      </c>
      <c r="P2085">
        <f t="shared" si="172"/>
        <v>0</v>
      </c>
      <c r="Q2085">
        <f t="shared" si="174"/>
        <v>10</v>
      </c>
      <c r="R2085" t="str">
        <f t="shared" si="173"/>
        <v>Not open</v>
      </c>
    </row>
    <row r="2086" spans="1:18" x14ac:dyDescent="0.3">
      <c r="A2086" t="s">
        <v>2319</v>
      </c>
      <c r="B2086" t="s">
        <v>206</v>
      </c>
      <c r="C2086" t="s">
        <v>566</v>
      </c>
      <c r="D2086" s="1">
        <v>45514</v>
      </c>
      <c r="E2086" s="1">
        <v>45559</v>
      </c>
      <c r="F2086" t="s">
        <v>13</v>
      </c>
      <c r="G2086">
        <v>13222850</v>
      </c>
      <c r="H2086" s="1">
        <v>45577</v>
      </c>
      <c r="I2086" t="s">
        <v>555</v>
      </c>
      <c r="J2086" t="s">
        <v>556</v>
      </c>
      <c r="L2086">
        <v>13222850</v>
      </c>
      <c r="M2086">
        <f>IF(F2086="INR",1,INDEX('rates'!$B$2:$C$522,MATCH(D2086,'rates'!$A$2:$A$522,1),MATCH(F2086&amp;"/INR",'rates'!$B$1:$C$1,0)))</f>
        <v>1</v>
      </c>
      <c r="N2086">
        <f t="shared" si="170"/>
        <v>13222850</v>
      </c>
      <c r="O2086">
        <f t="shared" si="171"/>
        <v>0</v>
      </c>
      <c r="P2086">
        <f t="shared" si="172"/>
        <v>0</v>
      </c>
      <c r="Q2086">
        <f t="shared" si="174"/>
        <v>18</v>
      </c>
      <c r="R2086" t="str">
        <f t="shared" si="173"/>
        <v>Not open</v>
      </c>
    </row>
    <row r="2087" spans="1:18" x14ac:dyDescent="0.3">
      <c r="A2087" t="s">
        <v>2320</v>
      </c>
      <c r="B2087" t="s">
        <v>258</v>
      </c>
      <c r="C2087" t="s">
        <v>558</v>
      </c>
      <c r="D2087" s="1">
        <v>45514</v>
      </c>
      <c r="E2087" s="1">
        <v>45559</v>
      </c>
      <c r="F2087" t="s">
        <v>13</v>
      </c>
      <c r="G2087">
        <v>12598604</v>
      </c>
      <c r="H2087" s="1">
        <v>45566</v>
      </c>
      <c r="I2087" t="s">
        <v>555</v>
      </c>
      <c r="J2087" t="s">
        <v>556</v>
      </c>
      <c r="L2087">
        <v>12598604</v>
      </c>
      <c r="M2087">
        <f>IF(F2087="INR",1,INDEX('rates'!$B$2:$C$522,MATCH(D2087,'rates'!$A$2:$A$522,1),MATCH(F2087&amp;"/INR",'rates'!$B$1:$C$1,0)))</f>
        <v>1</v>
      </c>
      <c r="N2087">
        <f t="shared" si="170"/>
        <v>12598604</v>
      </c>
      <c r="O2087">
        <f t="shared" si="171"/>
        <v>0</v>
      </c>
      <c r="P2087">
        <f t="shared" si="172"/>
        <v>0</v>
      </c>
      <c r="Q2087">
        <f t="shared" si="174"/>
        <v>7</v>
      </c>
      <c r="R2087" t="str">
        <f t="shared" si="173"/>
        <v>Not open</v>
      </c>
    </row>
    <row r="2088" spans="1:18" x14ac:dyDescent="0.3">
      <c r="A2088" t="s">
        <v>2321</v>
      </c>
      <c r="B2088" t="s">
        <v>314</v>
      </c>
      <c r="C2088" t="s">
        <v>558</v>
      </c>
      <c r="D2088" s="1">
        <v>45514</v>
      </c>
      <c r="E2088" s="1">
        <v>45574</v>
      </c>
      <c r="F2088" t="s">
        <v>36</v>
      </c>
      <c r="G2088">
        <v>61729.93</v>
      </c>
      <c r="H2088" s="1">
        <v>45606</v>
      </c>
      <c r="I2088" t="s">
        <v>555</v>
      </c>
      <c r="J2088" t="s">
        <v>556</v>
      </c>
      <c r="L2088">
        <v>61729.93</v>
      </c>
      <c r="M2088">
        <f>IF(F2088="INR",1,INDEX('rates'!$B$2:$C$522,MATCH(D2088,'rates'!$A$2:$A$522,1),MATCH(F2088&amp;"/INR",'rates'!$B$1:$C$1,0)))</f>
        <v>83.92</v>
      </c>
      <c r="N2088">
        <f t="shared" si="170"/>
        <v>5180375.7256000005</v>
      </c>
      <c r="O2088">
        <f t="shared" si="171"/>
        <v>0</v>
      </c>
      <c r="P2088">
        <f t="shared" si="172"/>
        <v>0</v>
      </c>
      <c r="Q2088">
        <f t="shared" si="174"/>
        <v>32</v>
      </c>
      <c r="R2088" t="str">
        <f t="shared" si="173"/>
        <v>Not open</v>
      </c>
    </row>
    <row r="2089" spans="1:18" x14ac:dyDescent="0.3">
      <c r="A2089" t="s">
        <v>2322</v>
      </c>
      <c r="B2089" t="s">
        <v>332</v>
      </c>
      <c r="C2089" t="s">
        <v>566</v>
      </c>
      <c r="D2089" s="1">
        <v>45514</v>
      </c>
      <c r="E2089" s="1">
        <v>45574</v>
      </c>
      <c r="F2089" t="s">
        <v>36</v>
      </c>
      <c r="G2089">
        <v>57314.73</v>
      </c>
      <c r="H2089" s="1">
        <v>45586</v>
      </c>
      <c r="I2089" t="s">
        <v>555</v>
      </c>
      <c r="J2089" t="s">
        <v>573</v>
      </c>
      <c r="K2089">
        <v>84.199700000000007</v>
      </c>
      <c r="L2089">
        <v>57314.73</v>
      </c>
      <c r="M2089">
        <f>IF(F2089="INR",1,INDEX('rates'!$B$2:$C$522,MATCH(D2089,'rates'!$A$2:$A$522,1),MATCH(F2089&amp;"/INR",'rates'!$B$1:$C$1,0)))</f>
        <v>83.92</v>
      </c>
      <c r="N2089">
        <f t="shared" si="170"/>
        <v>4809852.1416000007</v>
      </c>
      <c r="O2089">
        <f t="shared" si="171"/>
        <v>0</v>
      </c>
      <c r="P2089">
        <f t="shared" si="172"/>
        <v>0</v>
      </c>
      <c r="Q2089">
        <f t="shared" si="174"/>
        <v>12</v>
      </c>
      <c r="R2089" t="str">
        <f t="shared" si="173"/>
        <v>Not open</v>
      </c>
    </row>
    <row r="2090" spans="1:18" x14ac:dyDescent="0.3">
      <c r="A2090" t="s">
        <v>2323</v>
      </c>
      <c r="B2090" t="s">
        <v>358</v>
      </c>
      <c r="C2090" t="s">
        <v>575</v>
      </c>
      <c r="D2090" s="1">
        <v>45514</v>
      </c>
      <c r="E2090" s="1">
        <v>45559</v>
      </c>
      <c r="F2090" t="s">
        <v>13</v>
      </c>
      <c r="G2090">
        <v>2694085</v>
      </c>
      <c r="H2090" s="1">
        <v>45560</v>
      </c>
      <c r="I2090" t="s">
        <v>555</v>
      </c>
      <c r="J2090" t="s">
        <v>556</v>
      </c>
      <c r="L2090">
        <v>2694085</v>
      </c>
      <c r="M2090">
        <f>IF(F2090="INR",1,INDEX('rates'!$B$2:$C$522,MATCH(D2090,'rates'!$A$2:$A$522,1),MATCH(F2090&amp;"/INR",'rates'!$B$1:$C$1,0)))</f>
        <v>1</v>
      </c>
      <c r="N2090">
        <f t="shared" si="170"/>
        <v>2694085</v>
      </c>
      <c r="O2090">
        <f t="shared" si="171"/>
        <v>0</v>
      </c>
      <c r="P2090">
        <f t="shared" si="172"/>
        <v>0</v>
      </c>
      <c r="Q2090">
        <f t="shared" si="174"/>
        <v>1</v>
      </c>
      <c r="R2090" t="str">
        <f t="shared" si="173"/>
        <v>Not open</v>
      </c>
    </row>
    <row r="2091" spans="1:18" x14ac:dyDescent="0.3">
      <c r="A2091" t="s">
        <v>2324</v>
      </c>
      <c r="B2091" t="s">
        <v>486</v>
      </c>
      <c r="C2091" t="s">
        <v>554</v>
      </c>
      <c r="D2091" s="1">
        <v>45514</v>
      </c>
      <c r="E2091" s="1">
        <v>45559</v>
      </c>
      <c r="F2091" t="s">
        <v>13</v>
      </c>
      <c r="G2091">
        <v>5137175</v>
      </c>
      <c r="H2091" s="1">
        <v>45588</v>
      </c>
      <c r="I2091" t="s">
        <v>555</v>
      </c>
      <c r="J2091" t="s">
        <v>556</v>
      </c>
      <c r="L2091">
        <v>5137175</v>
      </c>
      <c r="M2091">
        <f>IF(F2091="INR",1,INDEX('rates'!$B$2:$C$522,MATCH(D2091,'rates'!$A$2:$A$522,1),MATCH(F2091&amp;"/INR",'rates'!$B$1:$C$1,0)))</f>
        <v>1</v>
      </c>
      <c r="N2091">
        <f t="shared" si="170"/>
        <v>5137175</v>
      </c>
      <c r="O2091">
        <f t="shared" si="171"/>
        <v>0</v>
      </c>
      <c r="P2091">
        <f t="shared" si="172"/>
        <v>0</v>
      </c>
      <c r="Q2091">
        <f t="shared" si="174"/>
        <v>29</v>
      </c>
      <c r="R2091" t="str">
        <f t="shared" si="173"/>
        <v>Not open</v>
      </c>
    </row>
    <row r="2092" spans="1:18" x14ac:dyDescent="0.3">
      <c r="A2092" t="s">
        <v>2325</v>
      </c>
      <c r="B2092" t="s">
        <v>492</v>
      </c>
      <c r="C2092" t="s">
        <v>566</v>
      </c>
      <c r="D2092" s="1">
        <v>45514</v>
      </c>
      <c r="E2092" s="1">
        <v>45559</v>
      </c>
      <c r="F2092" t="s">
        <v>13</v>
      </c>
      <c r="G2092">
        <v>8051129</v>
      </c>
      <c r="H2092" s="1">
        <v>45566</v>
      </c>
      <c r="I2092" t="s">
        <v>555</v>
      </c>
      <c r="J2092" t="s">
        <v>556</v>
      </c>
      <c r="L2092">
        <v>8051129</v>
      </c>
      <c r="M2092">
        <f>IF(F2092="INR",1,INDEX('rates'!$B$2:$C$522,MATCH(D2092,'rates'!$A$2:$A$522,1),MATCH(F2092&amp;"/INR",'rates'!$B$1:$C$1,0)))</f>
        <v>1</v>
      </c>
      <c r="N2092">
        <f t="shared" si="170"/>
        <v>8051129</v>
      </c>
      <c r="O2092">
        <f t="shared" si="171"/>
        <v>0</v>
      </c>
      <c r="P2092">
        <f t="shared" si="172"/>
        <v>0</v>
      </c>
      <c r="Q2092">
        <f t="shared" si="174"/>
        <v>7</v>
      </c>
      <c r="R2092" t="str">
        <f t="shared" si="173"/>
        <v>Not open</v>
      </c>
    </row>
    <row r="2093" spans="1:18" x14ac:dyDescent="0.3">
      <c r="A2093" t="s">
        <v>2326</v>
      </c>
      <c r="B2093" t="s">
        <v>492</v>
      </c>
      <c r="C2093" t="s">
        <v>566</v>
      </c>
      <c r="D2093" s="1">
        <v>45514</v>
      </c>
      <c r="E2093" s="1">
        <v>45559</v>
      </c>
      <c r="F2093" t="s">
        <v>13</v>
      </c>
      <c r="G2093">
        <v>2600510</v>
      </c>
      <c r="H2093" s="1">
        <v>45574</v>
      </c>
      <c r="I2093" t="s">
        <v>555</v>
      </c>
      <c r="J2093" t="s">
        <v>556</v>
      </c>
      <c r="L2093">
        <v>2600510</v>
      </c>
      <c r="M2093">
        <f>IF(F2093="INR",1,INDEX('rates'!$B$2:$C$522,MATCH(D2093,'rates'!$A$2:$A$522,1),MATCH(F2093&amp;"/INR",'rates'!$B$1:$C$1,0)))</f>
        <v>1</v>
      </c>
      <c r="N2093">
        <f t="shared" si="170"/>
        <v>2600510</v>
      </c>
      <c r="O2093">
        <f t="shared" si="171"/>
        <v>0</v>
      </c>
      <c r="P2093">
        <f t="shared" si="172"/>
        <v>0</v>
      </c>
      <c r="Q2093">
        <f t="shared" si="174"/>
        <v>15</v>
      </c>
      <c r="R2093" t="str">
        <f t="shared" si="173"/>
        <v>Not open</v>
      </c>
    </row>
    <row r="2094" spans="1:18" x14ac:dyDescent="0.3">
      <c r="A2094" t="s">
        <v>2328</v>
      </c>
      <c r="B2094" t="s">
        <v>42</v>
      </c>
      <c r="C2094" t="s">
        <v>566</v>
      </c>
      <c r="D2094" s="1">
        <v>45516</v>
      </c>
      <c r="E2094" s="1">
        <v>45576</v>
      </c>
      <c r="F2094" t="s">
        <v>13</v>
      </c>
      <c r="G2094">
        <v>2120582</v>
      </c>
      <c r="H2094" s="1">
        <v>45571</v>
      </c>
      <c r="I2094" t="s">
        <v>555</v>
      </c>
      <c r="J2094" t="s">
        <v>556</v>
      </c>
      <c r="L2094">
        <v>2120582</v>
      </c>
      <c r="M2094">
        <f>IF(F2094="INR",1,INDEX('rates'!$B$2:$C$522,MATCH(D2094,'rates'!$A$2:$A$522,1),MATCH(F2094&amp;"/INR",'rates'!$B$1:$C$1,0)))</f>
        <v>1</v>
      </c>
      <c r="N2094">
        <f t="shared" si="170"/>
        <v>2120582</v>
      </c>
      <c r="O2094">
        <f t="shared" si="171"/>
        <v>0</v>
      </c>
      <c r="P2094">
        <f t="shared" si="172"/>
        <v>0</v>
      </c>
      <c r="Q2094">
        <f t="shared" si="174"/>
        <v>-5</v>
      </c>
      <c r="R2094" t="str">
        <f t="shared" si="173"/>
        <v>Not open</v>
      </c>
    </row>
    <row r="2095" spans="1:18" x14ac:dyDescent="0.3">
      <c r="A2095" t="s">
        <v>2329</v>
      </c>
      <c r="B2095" t="s">
        <v>196</v>
      </c>
      <c r="C2095" t="s">
        <v>554</v>
      </c>
      <c r="D2095" s="1">
        <v>45516</v>
      </c>
      <c r="E2095" s="1">
        <v>45561</v>
      </c>
      <c r="F2095" t="s">
        <v>13</v>
      </c>
      <c r="G2095">
        <v>5580762</v>
      </c>
      <c r="H2095" s="1">
        <v>45551</v>
      </c>
      <c r="I2095" t="s">
        <v>555</v>
      </c>
      <c r="J2095" t="s">
        <v>556</v>
      </c>
      <c r="L2095">
        <v>5580762</v>
      </c>
      <c r="M2095">
        <f>IF(F2095="INR",1,INDEX('rates'!$B$2:$C$522,MATCH(D2095,'rates'!$A$2:$A$522,1),MATCH(F2095&amp;"/INR",'rates'!$B$1:$C$1,0)))</f>
        <v>1</v>
      </c>
      <c r="N2095">
        <f t="shared" si="170"/>
        <v>5580762</v>
      </c>
      <c r="O2095">
        <f t="shared" si="171"/>
        <v>0</v>
      </c>
      <c r="P2095">
        <f t="shared" si="172"/>
        <v>0</v>
      </c>
      <c r="Q2095">
        <f t="shared" si="174"/>
        <v>-10</v>
      </c>
      <c r="R2095" t="str">
        <f t="shared" si="173"/>
        <v>Not open</v>
      </c>
    </row>
    <row r="2096" spans="1:18" x14ac:dyDescent="0.3">
      <c r="A2096" t="s">
        <v>2330</v>
      </c>
      <c r="B2096" t="s">
        <v>272</v>
      </c>
      <c r="C2096" t="s">
        <v>575</v>
      </c>
      <c r="D2096" s="1">
        <v>45516</v>
      </c>
      <c r="E2096" s="1">
        <v>45561</v>
      </c>
      <c r="F2096" t="s">
        <v>13</v>
      </c>
      <c r="G2096">
        <v>3713123</v>
      </c>
      <c r="H2096" s="1">
        <v>45572</v>
      </c>
      <c r="I2096" t="s">
        <v>555</v>
      </c>
      <c r="J2096" t="s">
        <v>556</v>
      </c>
      <c r="L2096">
        <v>3713123</v>
      </c>
      <c r="M2096">
        <f>IF(F2096="INR",1,INDEX('rates'!$B$2:$C$522,MATCH(D2096,'rates'!$A$2:$A$522,1),MATCH(F2096&amp;"/INR",'rates'!$B$1:$C$1,0)))</f>
        <v>1</v>
      </c>
      <c r="N2096">
        <f t="shared" si="170"/>
        <v>3713123</v>
      </c>
      <c r="O2096">
        <f t="shared" si="171"/>
        <v>0</v>
      </c>
      <c r="P2096">
        <f t="shared" si="172"/>
        <v>0</v>
      </c>
      <c r="Q2096">
        <f t="shared" si="174"/>
        <v>11</v>
      </c>
      <c r="R2096" t="str">
        <f t="shared" si="173"/>
        <v>Not open</v>
      </c>
    </row>
    <row r="2097" spans="1:18" x14ac:dyDescent="0.3">
      <c r="A2097" t="s">
        <v>2331</v>
      </c>
      <c r="B2097" t="s">
        <v>496</v>
      </c>
      <c r="C2097" t="s">
        <v>554</v>
      </c>
      <c r="D2097" s="1">
        <v>45516</v>
      </c>
      <c r="E2097" s="1">
        <v>45561</v>
      </c>
      <c r="F2097" t="s">
        <v>13</v>
      </c>
      <c r="G2097">
        <v>17062748</v>
      </c>
      <c r="H2097" s="1">
        <v>45563</v>
      </c>
      <c r="I2097" t="s">
        <v>555</v>
      </c>
      <c r="J2097" t="s">
        <v>556</v>
      </c>
      <c r="L2097">
        <v>17062748</v>
      </c>
      <c r="M2097">
        <f>IF(F2097="INR",1,INDEX('rates'!$B$2:$C$522,MATCH(D2097,'rates'!$A$2:$A$522,1),MATCH(F2097&amp;"/INR",'rates'!$B$1:$C$1,0)))</f>
        <v>1</v>
      </c>
      <c r="N2097">
        <f t="shared" si="170"/>
        <v>17062748</v>
      </c>
      <c r="O2097">
        <f t="shared" si="171"/>
        <v>0</v>
      </c>
      <c r="P2097">
        <f t="shared" si="172"/>
        <v>0</v>
      </c>
      <c r="Q2097">
        <f t="shared" si="174"/>
        <v>2</v>
      </c>
      <c r="R2097" t="str">
        <f t="shared" si="173"/>
        <v>Not open</v>
      </c>
    </row>
    <row r="2098" spans="1:18" x14ac:dyDescent="0.3">
      <c r="A2098" t="s">
        <v>2332</v>
      </c>
      <c r="B2098" t="s">
        <v>22</v>
      </c>
      <c r="C2098" t="s">
        <v>554</v>
      </c>
      <c r="D2098" s="1">
        <v>45517</v>
      </c>
      <c r="E2098" s="1">
        <v>45562</v>
      </c>
      <c r="F2098" t="s">
        <v>13</v>
      </c>
      <c r="G2098">
        <v>12837681</v>
      </c>
      <c r="H2098" s="1">
        <v>45568</v>
      </c>
      <c r="I2098" t="s">
        <v>555</v>
      </c>
      <c r="J2098" t="s">
        <v>556</v>
      </c>
      <c r="L2098">
        <v>12837681</v>
      </c>
      <c r="M2098">
        <f>IF(F2098="INR",1,INDEX('rates'!$B$2:$C$522,MATCH(D2098,'rates'!$A$2:$A$522,1),MATCH(F2098&amp;"/INR",'rates'!$B$1:$C$1,0)))</f>
        <v>1</v>
      </c>
      <c r="N2098">
        <f t="shared" si="170"/>
        <v>12837681</v>
      </c>
      <c r="O2098">
        <f t="shared" si="171"/>
        <v>0</v>
      </c>
      <c r="P2098">
        <f t="shared" si="172"/>
        <v>0</v>
      </c>
      <c r="Q2098">
        <f t="shared" si="174"/>
        <v>6</v>
      </c>
      <c r="R2098" t="str">
        <f t="shared" si="173"/>
        <v>Not open</v>
      </c>
    </row>
    <row r="2099" spans="1:18" x14ac:dyDescent="0.3">
      <c r="A2099" t="s">
        <v>2333</v>
      </c>
      <c r="B2099" t="s">
        <v>148</v>
      </c>
      <c r="C2099" t="s">
        <v>575</v>
      </c>
      <c r="D2099" s="1">
        <v>45517</v>
      </c>
      <c r="E2099" s="1">
        <v>45577</v>
      </c>
      <c r="F2099" t="s">
        <v>31</v>
      </c>
      <c r="G2099">
        <v>339799.97</v>
      </c>
      <c r="H2099" s="1">
        <v>45587</v>
      </c>
      <c r="I2099" t="s">
        <v>555</v>
      </c>
      <c r="J2099" t="s">
        <v>556</v>
      </c>
      <c r="L2099">
        <v>339799.97</v>
      </c>
      <c r="M2099">
        <f>IF(F2099="INR",1,INDEX('rates'!$B$2:$C$522,MATCH(D2099,'rates'!$A$2:$A$522,1),MATCH(F2099&amp;"/INR",'rates'!$B$1:$C$1,0)))</f>
        <v>91.980699999999999</v>
      </c>
      <c r="N2099">
        <f t="shared" si="170"/>
        <v>31255039.100578997</v>
      </c>
      <c r="O2099">
        <f t="shared" si="171"/>
        <v>0</v>
      </c>
      <c r="P2099">
        <f t="shared" si="172"/>
        <v>0</v>
      </c>
      <c r="Q2099">
        <f t="shared" si="174"/>
        <v>10</v>
      </c>
      <c r="R2099" t="str">
        <f t="shared" si="173"/>
        <v>Not open</v>
      </c>
    </row>
    <row r="2100" spans="1:18" x14ac:dyDescent="0.3">
      <c r="A2100" t="s">
        <v>2334</v>
      </c>
      <c r="B2100" t="s">
        <v>254</v>
      </c>
      <c r="C2100" t="s">
        <v>558</v>
      </c>
      <c r="D2100" s="1">
        <v>45517</v>
      </c>
      <c r="E2100" s="1">
        <v>45547</v>
      </c>
      <c r="F2100" t="s">
        <v>13</v>
      </c>
      <c r="G2100">
        <v>10964795</v>
      </c>
      <c r="H2100" s="1">
        <v>45695</v>
      </c>
      <c r="I2100" t="s">
        <v>555</v>
      </c>
      <c r="J2100" t="s">
        <v>556</v>
      </c>
      <c r="L2100">
        <v>10964795</v>
      </c>
      <c r="M2100">
        <f>IF(F2100="INR",1,INDEX('rates'!$B$2:$C$522,MATCH(D2100,'rates'!$A$2:$A$522,1),MATCH(F2100&amp;"/INR",'rates'!$B$1:$C$1,0)))</f>
        <v>1</v>
      </c>
      <c r="N2100">
        <f t="shared" si="170"/>
        <v>10964795</v>
      </c>
      <c r="O2100">
        <f t="shared" si="171"/>
        <v>0</v>
      </c>
      <c r="P2100">
        <f t="shared" si="172"/>
        <v>0</v>
      </c>
      <c r="Q2100">
        <f t="shared" si="174"/>
        <v>148</v>
      </c>
      <c r="R2100" t="str">
        <f t="shared" si="173"/>
        <v>Not open</v>
      </c>
    </row>
    <row r="2101" spans="1:18" x14ac:dyDescent="0.3">
      <c r="A2101" t="s">
        <v>2335</v>
      </c>
      <c r="B2101" t="s">
        <v>262</v>
      </c>
      <c r="C2101" t="s">
        <v>566</v>
      </c>
      <c r="D2101" s="1">
        <v>45517</v>
      </c>
      <c r="E2101" s="1">
        <v>45607</v>
      </c>
      <c r="F2101" t="s">
        <v>31</v>
      </c>
      <c r="G2101">
        <v>147613.43</v>
      </c>
      <c r="H2101" s="1">
        <v>45618</v>
      </c>
      <c r="I2101" t="s">
        <v>555</v>
      </c>
      <c r="J2101" t="s">
        <v>573</v>
      </c>
      <c r="K2101">
        <v>92.256600000000006</v>
      </c>
      <c r="L2101">
        <v>147613.43</v>
      </c>
      <c r="M2101">
        <f>IF(F2101="INR",1,INDEX('rates'!$B$2:$C$522,MATCH(D2101,'rates'!$A$2:$A$522,1),MATCH(F2101&amp;"/INR",'rates'!$B$1:$C$1,0)))</f>
        <v>91.980699999999999</v>
      </c>
      <c r="N2101">
        <f t="shared" si="170"/>
        <v>13577586.620801</v>
      </c>
      <c r="O2101">
        <f t="shared" si="171"/>
        <v>0</v>
      </c>
      <c r="P2101">
        <f t="shared" si="172"/>
        <v>0</v>
      </c>
      <c r="Q2101">
        <f t="shared" si="174"/>
        <v>11</v>
      </c>
      <c r="R2101" t="str">
        <f t="shared" si="173"/>
        <v>Not open</v>
      </c>
    </row>
    <row r="2102" spans="1:18" x14ac:dyDescent="0.3">
      <c r="A2102" t="s">
        <v>2336</v>
      </c>
      <c r="B2102" t="s">
        <v>262</v>
      </c>
      <c r="C2102" t="s">
        <v>566</v>
      </c>
      <c r="D2102" s="1">
        <v>45517</v>
      </c>
      <c r="E2102" s="1">
        <v>45607</v>
      </c>
      <c r="F2102" t="s">
        <v>31</v>
      </c>
      <c r="G2102">
        <v>146316.34</v>
      </c>
      <c r="H2102" s="1">
        <v>45650</v>
      </c>
      <c r="I2102" t="s">
        <v>555</v>
      </c>
      <c r="J2102" t="s">
        <v>556</v>
      </c>
      <c r="L2102">
        <v>146316.34</v>
      </c>
      <c r="M2102">
        <f>IF(F2102="INR",1,INDEX('rates'!$B$2:$C$522,MATCH(D2102,'rates'!$A$2:$A$522,1),MATCH(F2102&amp;"/INR",'rates'!$B$1:$C$1,0)))</f>
        <v>91.980699999999999</v>
      </c>
      <c r="N2102">
        <f t="shared" si="170"/>
        <v>13458279.374637999</v>
      </c>
      <c r="O2102">
        <f t="shared" si="171"/>
        <v>0</v>
      </c>
      <c r="P2102">
        <f t="shared" si="172"/>
        <v>0</v>
      </c>
      <c r="Q2102">
        <f t="shared" si="174"/>
        <v>43</v>
      </c>
      <c r="R2102" t="str">
        <f t="shared" si="173"/>
        <v>Not open</v>
      </c>
    </row>
    <row r="2103" spans="1:18" x14ac:dyDescent="0.3">
      <c r="A2103" t="s">
        <v>2338</v>
      </c>
      <c r="B2103" t="s">
        <v>152</v>
      </c>
      <c r="C2103" t="s">
        <v>558</v>
      </c>
      <c r="D2103" s="1">
        <v>45519</v>
      </c>
      <c r="E2103" s="1">
        <v>45579</v>
      </c>
      <c r="F2103" t="s">
        <v>13</v>
      </c>
      <c r="G2103">
        <v>3667280</v>
      </c>
      <c r="H2103" s="1">
        <v>45599</v>
      </c>
      <c r="I2103" t="s">
        <v>555</v>
      </c>
      <c r="J2103" t="s">
        <v>556</v>
      </c>
      <c r="L2103">
        <v>3667280</v>
      </c>
      <c r="M2103">
        <f>IF(F2103="INR",1,INDEX('rates'!$B$2:$C$522,MATCH(D2103,'rates'!$A$2:$A$522,1),MATCH(F2103&amp;"/INR",'rates'!$B$1:$C$1,0)))</f>
        <v>1</v>
      </c>
      <c r="N2103">
        <f t="shared" si="170"/>
        <v>3667280</v>
      </c>
      <c r="O2103">
        <f t="shared" si="171"/>
        <v>0</v>
      </c>
      <c r="P2103">
        <f t="shared" si="172"/>
        <v>0</v>
      </c>
      <c r="Q2103">
        <f t="shared" si="174"/>
        <v>20</v>
      </c>
      <c r="R2103" t="str">
        <f t="shared" si="173"/>
        <v>Not open</v>
      </c>
    </row>
    <row r="2104" spans="1:18" x14ac:dyDescent="0.3">
      <c r="A2104" t="s">
        <v>2339</v>
      </c>
      <c r="B2104" t="s">
        <v>316</v>
      </c>
      <c r="C2104" t="s">
        <v>575</v>
      </c>
      <c r="D2104" s="1">
        <v>45519</v>
      </c>
      <c r="E2104" s="1">
        <v>45549</v>
      </c>
      <c r="F2104" t="s">
        <v>13</v>
      </c>
      <c r="G2104">
        <v>7091968</v>
      </c>
      <c r="H2104" s="1">
        <v>45557</v>
      </c>
      <c r="I2104" t="s">
        <v>555</v>
      </c>
      <c r="J2104" t="s">
        <v>556</v>
      </c>
      <c r="L2104">
        <v>7091968</v>
      </c>
      <c r="M2104">
        <f>IF(F2104="INR",1,INDEX('rates'!$B$2:$C$522,MATCH(D2104,'rates'!$A$2:$A$522,1),MATCH(F2104&amp;"/INR",'rates'!$B$1:$C$1,0)))</f>
        <v>1</v>
      </c>
      <c r="N2104">
        <f t="shared" si="170"/>
        <v>7091968</v>
      </c>
      <c r="O2104">
        <f t="shared" si="171"/>
        <v>0</v>
      </c>
      <c r="P2104">
        <f t="shared" si="172"/>
        <v>0</v>
      </c>
      <c r="Q2104">
        <f t="shared" si="174"/>
        <v>8</v>
      </c>
      <c r="R2104" t="str">
        <f t="shared" si="173"/>
        <v>Not open</v>
      </c>
    </row>
    <row r="2105" spans="1:18" x14ac:dyDescent="0.3">
      <c r="A2105" t="s">
        <v>2340</v>
      </c>
      <c r="B2105" t="s">
        <v>516</v>
      </c>
      <c r="C2105" t="s">
        <v>560</v>
      </c>
      <c r="D2105" s="1">
        <v>45519</v>
      </c>
      <c r="E2105" s="1">
        <v>45579</v>
      </c>
      <c r="F2105" t="s">
        <v>13</v>
      </c>
      <c r="G2105">
        <v>2520701</v>
      </c>
      <c r="H2105" s="1">
        <v>45589</v>
      </c>
      <c r="I2105" t="s">
        <v>555</v>
      </c>
      <c r="J2105" t="s">
        <v>556</v>
      </c>
      <c r="L2105">
        <v>2520701</v>
      </c>
      <c r="M2105">
        <f>IF(F2105="INR",1,INDEX('rates'!$B$2:$C$522,MATCH(D2105,'rates'!$A$2:$A$522,1),MATCH(F2105&amp;"/INR",'rates'!$B$1:$C$1,0)))</f>
        <v>1</v>
      </c>
      <c r="N2105">
        <f t="shared" si="170"/>
        <v>2520701</v>
      </c>
      <c r="O2105">
        <f t="shared" si="171"/>
        <v>0</v>
      </c>
      <c r="P2105">
        <f t="shared" si="172"/>
        <v>0</v>
      </c>
      <c r="Q2105">
        <f t="shared" si="174"/>
        <v>10</v>
      </c>
      <c r="R2105" t="str">
        <f t="shared" si="173"/>
        <v>Not open</v>
      </c>
    </row>
    <row r="2106" spans="1:18" x14ac:dyDescent="0.3">
      <c r="A2106" t="s">
        <v>2341</v>
      </c>
      <c r="B2106" t="s">
        <v>72</v>
      </c>
      <c r="C2106" t="s">
        <v>560</v>
      </c>
      <c r="D2106" s="1">
        <v>45520</v>
      </c>
      <c r="E2106" s="1">
        <v>45610</v>
      </c>
      <c r="F2106" t="s">
        <v>31</v>
      </c>
      <c r="G2106">
        <v>215271.8</v>
      </c>
      <c r="H2106" s="1">
        <v>45641</v>
      </c>
      <c r="I2106" t="s">
        <v>555</v>
      </c>
      <c r="J2106" t="s">
        <v>556</v>
      </c>
      <c r="L2106">
        <v>215271.8</v>
      </c>
      <c r="M2106">
        <f>IF(F2106="INR",1,INDEX('rates'!$B$2:$C$522,MATCH(D2106,'rates'!$A$2:$A$522,1),MATCH(F2106&amp;"/INR",'rates'!$B$1:$C$1,0)))</f>
        <v>92.311400000000006</v>
      </c>
      <c r="N2106">
        <f t="shared" si="170"/>
        <v>19872041.23852</v>
      </c>
      <c r="O2106">
        <f t="shared" si="171"/>
        <v>0</v>
      </c>
      <c r="P2106">
        <f t="shared" si="172"/>
        <v>0</v>
      </c>
      <c r="Q2106">
        <f t="shared" si="174"/>
        <v>31</v>
      </c>
      <c r="R2106" t="str">
        <f t="shared" si="173"/>
        <v>Not open</v>
      </c>
    </row>
    <row r="2107" spans="1:18" x14ac:dyDescent="0.3">
      <c r="A2107" t="s">
        <v>2342</v>
      </c>
      <c r="B2107" t="s">
        <v>302</v>
      </c>
      <c r="C2107" t="s">
        <v>558</v>
      </c>
      <c r="D2107" s="1">
        <v>45520</v>
      </c>
      <c r="E2107" s="1">
        <v>45610</v>
      </c>
      <c r="F2107" t="s">
        <v>13</v>
      </c>
      <c r="G2107">
        <v>4304889</v>
      </c>
      <c r="H2107" s="1">
        <v>45616</v>
      </c>
      <c r="I2107" t="s">
        <v>555</v>
      </c>
      <c r="J2107" t="s">
        <v>556</v>
      </c>
      <c r="L2107">
        <v>4304889</v>
      </c>
      <c r="M2107">
        <f>IF(F2107="INR",1,INDEX('rates'!$B$2:$C$522,MATCH(D2107,'rates'!$A$2:$A$522,1),MATCH(F2107&amp;"/INR",'rates'!$B$1:$C$1,0)))</f>
        <v>1</v>
      </c>
      <c r="N2107">
        <f t="shared" si="170"/>
        <v>4304889</v>
      </c>
      <c r="O2107">
        <f t="shared" si="171"/>
        <v>0</v>
      </c>
      <c r="P2107">
        <f t="shared" si="172"/>
        <v>0</v>
      </c>
      <c r="Q2107">
        <f t="shared" si="174"/>
        <v>6</v>
      </c>
      <c r="R2107" t="str">
        <f t="shared" si="173"/>
        <v>Not open</v>
      </c>
    </row>
    <row r="2108" spans="1:18" x14ac:dyDescent="0.3">
      <c r="A2108" t="s">
        <v>2344</v>
      </c>
      <c r="B2108" t="s">
        <v>152</v>
      </c>
      <c r="C2108" t="s">
        <v>558</v>
      </c>
      <c r="D2108" s="1">
        <v>45521</v>
      </c>
      <c r="E2108" s="1">
        <v>45581</v>
      </c>
      <c r="F2108" t="s">
        <v>13</v>
      </c>
      <c r="G2108">
        <v>1559091</v>
      </c>
      <c r="H2108" s="1">
        <v>45588</v>
      </c>
      <c r="I2108" t="s">
        <v>555</v>
      </c>
      <c r="J2108" t="s">
        <v>556</v>
      </c>
      <c r="L2108">
        <v>1559091</v>
      </c>
      <c r="M2108">
        <f>IF(F2108="INR",1,INDEX('rates'!$B$2:$C$522,MATCH(D2108,'rates'!$A$2:$A$522,1),MATCH(F2108&amp;"/INR",'rates'!$B$1:$C$1,0)))</f>
        <v>1</v>
      </c>
      <c r="N2108">
        <f t="shared" si="170"/>
        <v>1559091</v>
      </c>
      <c r="O2108">
        <f t="shared" si="171"/>
        <v>0</v>
      </c>
      <c r="P2108">
        <f t="shared" si="172"/>
        <v>0</v>
      </c>
      <c r="Q2108">
        <f t="shared" si="174"/>
        <v>7</v>
      </c>
      <c r="R2108" t="str">
        <f t="shared" si="173"/>
        <v>Not open</v>
      </c>
    </row>
    <row r="2109" spans="1:18" x14ac:dyDescent="0.3">
      <c r="A2109" t="s">
        <v>2345</v>
      </c>
      <c r="B2109" t="s">
        <v>200</v>
      </c>
      <c r="C2109" t="s">
        <v>554</v>
      </c>
      <c r="D2109" s="1">
        <v>45521</v>
      </c>
      <c r="E2109" s="1">
        <v>45581</v>
      </c>
      <c r="F2109" t="s">
        <v>13</v>
      </c>
      <c r="G2109">
        <v>5125613</v>
      </c>
      <c r="H2109" s="1">
        <v>45595</v>
      </c>
      <c r="I2109" t="s">
        <v>555</v>
      </c>
      <c r="J2109" t="s">
        <v>556</v>
      </c>
      <c r="L2109">
        <v>5125613</v>
      </c>
      <c r="M2109">
        <f>IF(F2109="INR",1,INDEX('rates'!$B$2:$C$522,MATCH(D2109,'rates'!$A$2:$A$522,1),MATCH(F2109&amp;"/INR",'rates'!$B$1:$C$1,0)))</f>
        <v>1</v>
      </c>
      <c r="N2109">
        <f t="shared" si="170"/>
        <v>5125613</v>
      </c>
      <c r="O2109">
        <f t="shared" si="171"/>
        <v>0</v>
      </c>
      <c r="P2109">
        <f t="shared" si="172"/>
        <v>0</v>
      </c>
      <c r="Q2109">
        <f t="shared" si="174"/>
        <v>14</v>
      </c>
      <c r="R2109" t="str">
        <f t="shared" si="173"/>
        <v>Not open</v>
      </c>
    </row>
    <row r="2110" spans="1:18" x14ac:dyDescent="0.3">
      <c r="A2110" t="s">
        <v>2346</v>
      </c>
      <c r="B2110" t="s">
        <v>258</v>
      </c>
      <c r="C2110" t="s">
        <v>558</v>
      </c>
      <c r="D2110" s="1">
        <v>45521</v>
      </c>
      <c r="E2110" s="1">
        <v>45566</v>
      </c>
      <c r="F2110" t="s">
        <v>13</v>
      </c>
      <c r="G2110">
        <v>13866065</v>
      </c>
      <c r="H2110" s="1">
        <v>45574</v>
      </c>
      <c r="I2110" t="s">
        <v>555</v>
      </c>
      <c r="J2110" t="s">
        <v>556</v>
      </c>
      <c r="L2110">
        <v>13866065</v>
      </c>
      <c r="M2110">
        <f>IF(F2110="INR",1,INDEX('rates'!$B$2:$C$522,MATCH(D2110,'rates'!$A$2:$A$522,1),MATCH(F2110&amp;"/INR",'rates'!$B$1:$C$1,0)))</f>
        <v>1</v>
      </c>
      <c r="N2110">
        <f t="shared" si="170"/>
        <v>13866065</v>
      </c>
      <c r="O2110">
        <f t="shared" si="171"/>
        <v>0</v>
      </c>
      <c r="P2110">
        <f t="shared" si="172"/>
        <v>0</v>
      </c>
      <c r="Q2110">
        <f t="shared" si="174"/>
        <v>8</v>
      </c>
      <c r="R2110" t="str">
        <f t="shared" si="173"/>
        <v>Not open</v>
      </c>
    </row>
    <row r="2111" spans="1:18" x14ac:dyDescent="0.3">
      <c r="A2111" t="s">
        <v>2347</v>
      </c>
      <c r="B2111" t="s">
        <v>282</v>
      </c>
      <c r="C2111" t="s">
        <v>554</v>
      </c>
      <c r="D2111" s="1">
        <v>45521</v>
      </c>
      <c r="E2111" s="1">
        <v>45581</v>
      </c>
      <c r="F2111" t="s">
        <v>13</v>
      </c>
      <c r="G2111">
        <v>12283916</v>
      </c>
      <c r="H2111" s="1">
        <v>45579</v>
      </c>
      <c r="I2111" t="s">
        <v>555</v>
      </c>
      <c r="J2111" t="s">
        <v>556</v>
      </c>
      <c r="L2111">
        <v>12283916</v>
      </c>
      <c r="M2111">
        <f>IF(F2111="INR",1,INDEX('rates'!$B$2:$C$522,MATCH(D2111,'rates'!$A$2:$A$522,1),MATCH(F2111&amp;"/INR",'rates'!$B$1:$C$1,0)))</f>
        <v>1</v>
      </c>
      <c r="N2111">
        <f t="shared" si="170"/>
        <v>12283916</v>
      </c>
      <c r="O2111">
        <f t="shared" si="171"/>
        <v>0</v>
      </c>
      <c r="P2111">
        <f t="shared" si="172"/>
        <v>0</v>
      </c>
      <c r="Q2111">
        <f t="shared" si="174"/>
        <v>-2</v>
      </c>
      <c r="R2111" t="str">
        <f t="shared" si="173"/>
        <v>Not open</v>
      </c>
    </row>
    <row r="2112" spans="1:18" x14ac:dyDescent="0.3">
      <c r="A2112" t="s">
        <v>2348</v>
      </c>
      <c r="B2112" t="s">
        <v>322</v>
      </c>
      <c r="C2112" t="s">
        <v>566</v>
      </c>
      <c r="D2112" s="1">
        <v>45521</v>
      </c>
      <c r="E2112" s="1">
        <v>45581</v>
      </c>
      <c r="F2112" t="s">
        <v>13</v>
      </c>
      <c r="G2112">
        <v>2005156</v>
      </c>
      <c r="H2112" s="1">
        <v>45582</v>
      </c>
      <c r="I2112" t="s">
        <v>555</v>
      </c>
      <c r="J2112" t="s">
        <v>556</v>
      </c>
      <c r="L2112">
        <v>2005156</v>
      </c>
      <c r="M2112">
        <f>IF(F2112="INR",1,INDEX('rates'!$B$2:$C$522,MATCH(D2112,'rates'!$A$2:$A$522,1),MATCH(F2112&amp;"/INR",'rates'!$B$1:$C$1,0)))</f>
        <v>1</v>
      </c>
      <c r="N2112">
        <f t="shared" si="170"/>
        <v>2005156</v>
      </c>
      <c r="O2112">
        <f t="shared" si="171"/>
        <v>0</v>
      </c>
      <c r="P2112">
        <f t="shared" si="172"/>
        <v>0</v>
      </c>
      <c r="Q2112">
        <f t="shared" si="174"/>
        <v>1</v>
      </c>
      <c r="R2112" t="str">
        <f t="shared" si="173"/>
        <v>Not open</v>
      </c>
    </row>
    <row r="2113" spans="1:18" x14ac:dyDescent="0.3">
      <c r="A2113" t="s">
        <v>2349</v>
      </c>
      <c r="B2113" t="s">
        <v>516</v>
      </c>
      <c r="C2113" t="s">
        <v>560</v>
      </c>
      <c r="D2113" s="1">
        <v>45521</v>
      </c>
      <c r="E2113" s="1">
        <v>45581</v>
      </c>
      <c r="F2113" t="s">
        <v>13</v>
      </c>
      <c r="G2113">
        <v>5332279</v>
      </c>
      <c r="H2113" s="1">
        <v>45582</v>
      </c>
      <c r="I2113" t="s">
        <v>555</v>
      </c>
      <c r="J2113" t="s">
        <v>556</v>
      </c>
      <c r="L2113">
        <v>5332279</v>
      </c>
      <c r="M2113">
        <f>IF(F2113="INR",1,INDEX('rates'!$B$2:$C$522,MATCH(D2113,'rates'!$A$2:$A$522,1),MATCH(F2113&amp;"/INR",'rates'!$B$1:$C$1,0)))</f>
        <v>1</v>
      </c>
      <c r="N2113">
        <f t="shared" si="170"/>
        <v>5332279</v>
      </c>
      <c r="O2113">
        <f t="shared" si="171"/>
        <v>0</v>
      </c>
      <c r="P2113">
        <f t="shared" si="172"/>
        <v>0</v>
      </c>
      <c r="Q2113">
        <f t="shared" si="174"/>
        <v>1</v>
      </c>
      <c r="R2113" t="str">
        <f t="shared" si="173"/>
        <v>Not open</v>
      </c>
    </row>
    <row r="2114" spans="1:18" x14ac:dyDescent="0.3">
      <c r="A2114" t="s">
        <v>2350</v>
      </c>
      <c r="B2114" t="s">
        <v>46</v>
      </c>
      <c r="C2114" t="s">
        <v>558</v>
      </c>
      <c r="D2114" s="1">
        <v>45523</v>
      </c>
      <c r="E2114" s="1">
        <v>45583</v>
      </c>
      <c r="F2114" t="s">
        <v>36</v>
      </c>
      <c r="G2114">
        <v>67741.460000000006</v>
      </c>
      <c r="H2114" s="1">
        <v>45590</v>
      </c>
      <c r="I2114" t="s">
        <v>555</v>
      </c>
      <c r="J2114" t="s">
        <v>556</v>
      </c>
      <c r="L2114">
        <v>67741.460000000006</v>
      </c>
      <c r="M2114">
        <f>IF(F2114="INR",1,INDEX('rates'!$B$2:$C$522,MATCH(D2114,'rates'!$A$2:$A$522,1),MATCH(F2114&amp;"/INR",'rates'!$B$1:$C$1,0)))</f>
        <v>83.82</v>
      </c>
      <c r="N2114">
        <f t="shared" ref="N2114:N2177" si="175">G2114*M2114</f>
        <v>5678089.1771999998</v>
      </c>
      <c r="O2114">
        <f t="shared" ref="O2114:O2177" si="176">IF(OR(I2114="OPEN",I2114="PARTIALLY PAID"),(G2114-L2114)*M2114,0)</f>
        <v>0</v>
      </c>
      <c r="P2114">
        <f t="shared" ref="P2114:P2177" si="177">IF(O2114&gt;0,MAX(0,DATE(2025,3,31)-E2114),0)</f>
        <v>0</v>
      </c>
      <c r="Q2114">
        <f t="shared" si="174"/>
        <v>7</v>
      </c>
      <c r="R2114" t="str">
        <f t="shared" ref="R2114:R2177" si="178">IF(O2114=0,"Not open",IF(P2114=0,"Not yet due",IF(P2114&lt;=30,"1-30",IF(P2114&lt;=60,"31-60",IF(P2114&lt;=90,"61-90","90+")))))</f>
        <v>Not open</v>
      </c>
    </row>
    <row r="2115" spans="1:18" x14ac:dyDescent="0.3">
      <c r="A2115" t="s">
        <v>2351</v>
      </c>
      <c r="B2115" t="s">
        <v>186</v>
      </c>
      <c r="C2115" t="s">
        <v>558</v>
      </c>
      <c r="D2115" s="1">
        <v>45523</v>
      </c>
      <c r="E2115" s="1">
        <v>45553</v>
      </c>
      <c r="F2115" t="s">
        <v>36</v>
      </c>
      <c r="G2115">
        <v>44098.27</v>
      </c>
      <c r="H2115" s="1">
        <v>45560</v>
      </c>
      <c r="I2115" t="s">
        <v>555</v>
      </c>
      <c r="J2115" t="s">
        <v>556</v>
      </c>
      <c r="L2115">
        <v>44098.27</v>
      </c>
      <c r="M2115">
        <f>IF(F2115="INR",1,INDEX('rates'!$B$2:$C$522,MATCH(D2115,'rates'!$A$2:$A$522,1),MATCH(F2115&amp;"/INR",'rates'!$B$1:$C$1,0)))</f>
        <v>83.82</v>
      </c>
      <c r="N2115">
        <f t="shared" si="175"/>
        <v>3696316.9913999992</v>
      </c>
      <c r="O2115">
        <f t="shared" si="176"/>
        <v>0</v>
      </c>
      <c r="P2115">
        <f t="shared" si="177"/>
        <v>0</v>
      </c>
      <c r="Q2115">
        <f t="shared" si="174"/>
        <v>7</v>
      </c>
      <c r="R2115" t="str">
        <f t="shared" si="178"/>
        <v>Not open</v>
      </c>
    </row>
    <row r="2116" spans="1:18" x14ac:dyDescent="0.3">
      <c r="A2116" t="s">
        <v>2352</v>
      </c>
      <c r="B2116" t="s">
        <v>262</v>
      </c>
      <c r="C2116" t="s">
        <v>566</v>
      </c>
      <c r="D2116" s="1">
        <v>45523</v>
      </c>
      <c r="E2116" s="1">
        <v>45613</v>
      </c>
      <c r="F2116" t="s">
        <v>31</v>
      </c>
      <c r="G2116">
        <v>86294.74</v>
      </c>
      <c r="H2116" s="1">
        <v>45663</v>
      </c>
      <c r="I2116" t="s">
        <v>555</v>
      </c>
      <c r="J2116" t="s">
        <v>573</v>
      </c>
      <c r="K2116">
        <v>93.067099999999996</v>
      </c>
      <c r="L2116">
        <v>86294.74</v>
      </c>
      <c r="M2116">
        <f>IF(F2116="INR",1,INDEX('rates'!$B$2:$C$522,MATCH(D2116,'rates'!$A$2:$A$522,1),MATCH(F2116&amp;"/INR",'rates'!$B$1:$C$1,0)))</f>
        <v>92.788700000000006</v>
      </c>
      <c r="N2116">
        <f t="shared" si="175"/>
        <v>8007176.7414380014</v>
      </c>
      <c r="O2116">
        <f t="shared" si="176"/>
        <v>0</v>
      </c>
      <c r="P2116">
        <f t="shared" si="177"/>
        <v>0</v>
      </c>
      <c r="Q2116">
        <f t="shared" si="174"/>
        <v>50</v>
      </c>
      <c r="R2116" t="str">
        <f t="shared" si="178"/>
        <v>Not open</v>
      </c>
    </row>
    <row r="2117" spans="1:18" x14ac:dyDescent="0.3">
      <c r="A2117" t="s">
        <v>2353</v>
      </c>
      <c r="B2117" t="s">
        <v>406</v>
      </c>
      <c r="C2117" t="s">
        <v>554</v>
      </c>
      <c r="D2117" s="1">
        <v>45523</v>
      </c>
      <c r="E2117" s="1">
        <v>45613</v>
      </c>
      <c r="F2117" t="s">
        <v>13</v>
      </c>
      <c r="G2117">
        <v>29585532</v>
      </c>
      <c r="H2117" s="1">
        <v>45621</v>
      </c>
      <c r="I2117" t="s">
        <v>555</v>
      </c>
      <c r="J2117" t="s">
        <v>556</v>
      </c>
      <c r="L2117">
        <v>29585532</v>
      </c>
      <c r="M2117">
        <f>IF(F2117="INR",1,INDEX('rates'!$B$2:$C$522,MATCH(D2117,'rates'!$A$2:$A$522,1),MATCH(F2117&amp;"/INR",'rates'!$B$1:$C$1,0)))</f>
        <v>1</v>
      </c>
      <c r="N2117">
        <f t="shared" si="175"/>
        <v>29585532</v>
      </c>
      <c r="O2117">
        <f t="shared" si="176"/>
        <v>0</v>
      </c>
      <c r="P2117">
        <f t="shared" si="177"/>
        <v>0</v>
      </c>
      <c r="Q2117">
        <f t="shared" si="174"/>
        <v>8</v>
      </c>
      <c r="R2117" t="str">
        <f t="shared" si="178"/>
        <v>Not open</v>
      </c>
    </row>
    <row r="2118" spans="1:18" x14ac:dyDescent="0.3">
      <c r="A2118" t="s">
        <v>2354</v>
      </c>
      <c r="B2118" t="s">
        <v>506</v>
      </c>
      <c r="C2118" t="s">
        <v>554</v>
      </c>
      <c r="D2118" s="1">
        <v>45523</v>
      </c>
      <c r="E2118" s="1">
        <v>45583</v>
      </c>
      <c r="F2118" t="s">
        <v>13</v>
      </c>
      <c r="G2118">
        <v>13409435</v>
      </c>
      <c r="H2118" s="1">
        <v>45588</v>
      </c>
      <c r="I2118" t="s">
        <v>555</v>
      </c>
      <c r="J2118" t="s">
        <v>556</v>
      </c>
      <c r="L2118">
        <v>13409435</v>
      </c>
      <c r="M2118">
        <f>IF(F2118="INR",1,INDEX('rates'!$B$2:$C$522,MATCH(D2118,'rates'!$A$2:$A$522,1),MATCH(F2118&amp;"/INR",'rates'!$B$1:$C$1,0)))</f>
        <v>1</v>
      </c>
      <c r="N2118">
        <f t="shared" si="175"/>
        <v>13409435</v>
      </c>
      <c r="O2118">
        <f t="shared" si="176"/>
        <v>0</v>
      </c>
      <c r="P2118">
        <f t="shared" si="177"/>
        <v>0</v>
      </c>
      <c r="Q2118">
        <f t="shared" si="174"/>
        <v>5</v>
      </c>
      <c r="R2118" t="str">
        <f t="shared" si="178"/>
        <v>Not open</v>
      </c>
    </row>
    <row r="2119" spans="1:18" x14ac:dyDescent="0.3">
      <c r="A2119" t="s">
        <v>2355</v>
      </c>
      <c r="B2119" t="s">
        <v>532</v>
      </c>
      <c r="C2119" t="s">
        <v>575</v>
      </c>
      <c r="D2119" s="1">
        <v>45523</v>
      </c>
      <c r="E2119" s="1">
        <v>45583</v>
      </c>
      <c r="F2119" t="s">
        <v>36</v>
      </c>
      <c r="G2119">
        <v>60347.25</v>
      </c>
      <c r="H2119" s="1">
        <v>45594</v>
      </c>
      <c r="I2119" t="s">
        <v>555</v>
      </c>
      <c r="J2119" t="s">
        <v>573</v>
      </c>
      <c r="K2119">
        <v>84.099400000000003</v>
      </c>
      <c r="L2119">
        <v>60347.25</v>
      </c>
      <c r="M2119">
        <f>IF(F2119="INR",1,INDEX('rates'!$B$2:$C$522,MATCH(D2119,'rates'!$A$2:$A$522,1),MATCH(F2119&amp;"/INR",'rates'!$B$1:$C$1,0)))</f>
        <v>83.82</v>
      </c>
      <c r="N2119">
        <f t="shared" si="175"/>
        <v>5058306.4949999992</v>
      </c>
      <c r="O2119">
        <f t="shared" si="176"/>
        <v>0</v>
      </c>
      <c r="P2119">
        <f t="shared" si="177"/>
        <v>0</v>
      </c>
      <c r="Q2119">
        <f t="shared" si="174"/>
        <v>11</v>
      </c>
      <c r="R2119" t="str">
        <f t="shared" si="178"/>
        <v>Not open</v>
      </c>
    </row>
    <row r="2120" spans="1:18" x14ac:dyDescent="0.3">
      <c r="A2120" t="s">
        <v>2356</v>
      </c>
      <c r="B2120" t="s">
        <v>126</v>
      </c>
      <c r="C2120" t="s">
        <v>558</v>
      </c>
      <c r="D2120" s="1">
        <v>45524</v>
      </c>
      <c r="E2120" s="1">
        <v>45569</v>
      </c>
      <c r="F2120" t="s">
        <v>13</v>
      </c>
      <c r="G2120">
        <v>31602925</v>
      </c>
      <c r="H2120" s="1">
        <v>45573</v>
      </c>
      <c r="I2120" t="s">
        <v>555</v>
      </c>
      <c r="J2120" t="s">
        <v>556</v>
      </c>
      <c r="L2120">
        <v>31602925</v>
      </c>
      <c r="M2120">
        <f>IF(F2120="INR",1,INDEX('rates'!$B$2:$C$522,MATCH(D2120,'rates'!$A$2:$A$522,1),MATCH(F2120&amp;"/INR",'rates'!$B$1:$C$1,0)))</f>
        <v>1</v>
      </c>
      <c r="N2120">
        <f t="shared" si="175"/>
        <v>31602925</v>
      </c>
      <c r="O2120">
        <f t="shared" si="176"/>
        <v>0</v>
      </c>
      <c r="P2120">
        <f t="shared" si="177"/>
        <v>0</v>
      </c>
      <c r="Q2120">
        <f t="shared" si="174"/>
        <v>4</v>
      </c>
      <c r="R2120" t="str">
        <f t="shared" si="178"/>
        <v>Not open</v>
      </c>
    </row>
    <row r="2121" spans="1:18" x14ac:dyDescent="0.3">
      <c r="A2121" t="s">
        <v>2357</v>
      </c>
      <c r="B2121" t="s">
        <v>326</v>
      </c>
      <c r="C2121" t="s">
        <v>554</v>
      </c>
      <c r="D2121" s="1">
        <v>45524</v>
      </c>
      <c r="E2121" s="1">
        <v>45554</v>
      </c>
      <c r="F2121" t="s">
        <v>13</v>
      </c>
      <c r="G2121">
        <v>4404441</v>
      </c>
      <c r="H2121" s="1"/>
      <c r="I2121" t="s">
        <v>555</v>
      </c>
      <c r="J2121" t="s">
        <v>556</v>
      </c>
      <c r="L2121">
        <v>4404441</v>
      </c>
      <c r="M2121">
        <f>IF(F2121="INR",1,INDEX('rates'!$B$2:$C$522,MATCH(D2121,'rates'!$A$2:$A$522,1),MATCH(F2121&amp;"/INR",'rates'!$B$1:$C$1,0)))</f>
        <v>1</v>
      </c>
      <c r="N2121">
        <f t="shared" si="175"/>
        <v>4404441</v>
      </c>
      <c r="O2121">
        <f t="shared" si="176"/>
        <v>0</v>
      </c>
      <c r="P2121">
        <f t="shared" si="177"/>
        <v>0</v>
      </c>
      <c r="Q2121" t="str">
        <f t="shared" si="174"/>
        <v/>
      </c>
      <c r="R2121" t="str">
        <f t="shared" si="178"/>
        <v>Not open</v>
      </c>
    </row>
    <row r="2122" spans="1:18" x14ac:dyDescent="0.3">
      <c r="A2122" t="s">
        <v>2358</v>
      </c>
      <c r="B2122" t="s">
        <v>83</v>
      </c>
      <c r="C2122" t="s">
        <v>558</v>
      </c>
      <c r="D2122" s="1">
        <v>45525</v>
      </c>
      <c r="E2122" s="1">
        <v>45570</v>
      </c>
      <c r="F2122" t="s">
        <v>13</v>
      </c>
      <c r="G2122">
        <v>7920575</v>
      </c>
      <c r="H2122" s="1">
        <v>45640</v>
      </c>
      <c r="I2122" t="s">
        <v>555</v>
      </c>
      <c r="J2122" t="s">
        <v>556</v>
      </c>
      <c r="L2122">
        <v>7920575</v>
      </c>
      <c r="M2122">
        <f>IF(F2122="INR",1,INDEX('rates'!$B$2:$C$522,MATCH(D2122,'rates'!$A$2:$A$522,1),MATCH(F2122&amp;"/INR",'rates'!$B$1:$C$1,0)))</f>
        <v>1</v>
      </c>
      <c r="N2122">
        <f t="shared" si="175"/>
        <v>7920575</v>
      </c>
      <c r="O2122">
        <f t="shared" si="176"/>
        <v>0</v>
      </c>
      <c r="P2122">
        <f t="shared" si="177"/>
        <v>0</v>
      </c>
      <c r="Q2122">
        <f t="shared" si="174"/>
        <v>70</v>
      </c>
      <c r="R2122" t="str">
        <f t="shared" si="178"/>
        <v>Not open</v>
      </c>
    </row>
    <row r="2123" spans="1:18" x14ac:dyDescent="0.3">
      <c r="A2123" t="s">
        <v>2359</v>
      </c>
      <c r="B2123" t="s">
        <v>268</v>
      </c>
      <c r="C2123" t="s">
        <v>566</v>
      </c>
      <c r="D2123" s="1">
        <v>45525</v>
      </c>
      <c r="E2123" s="1">
        <v>45585</v>
      </c>
      <c r="F2123" t="s">
        <v>13</v>
      </c>
      <c r="G2123">
        <v>3979640</v>
      </c>
      <c r="H2123" s="1">
        <v>45674</v>
      </c>
      <c r="I2123" t="s">
        <v>555</v>
      </c>
      <c r="J2123" t="s">
        <v>556</v>
      </c>
      <c r="L2123">
        <v>3979640</v>
      </c>
      <c r="M2123">
        <f>IF(F2123="INR",1,INDEX('rates'!$B$2:$C$522,MATCH(D2123,'rates'!$A$2:$A$522,1),MATCH(F2123&amp;"/INR",'rates'!$B$1:$C$1,0)))</f>
        <v>1</v>
      </c>
      <c r="N2123">
        <f t="shared" si="175"/>
        <v>3979640</v>
      </c>
      <c r="O2123">
        <f t="shared" si="176"/>
        <v>0</v>
      </c>
      <c r="P2123">
        <f t="shared" si="177"/>
        <v>0</v>
      </c>
      <c r="Q2123">
        <f t="shared" si="174"/>
        <v>89</v>
      </c>
      <c r="R2123" t="str">
        <f t="shared" si="178"/>
        <v>Not open</v>
      </c>
    </row>
    <row r="2124" spans="1:18" x14ac:dyDescent="0.3">
      <c r="A2124" t="s">
        <v>2360</v>
      </c>
      <c r="B2124" t="s">
        <v>148</v>
      </c>
      <c r="C2124" t="s">
        <v>575</v>
      </c>
      <c r="D2124" s="1">
        <v>45526</v>
      </c>
      <c r="E2124" s="1">
        <v>45586</v>
      </c>
      <c r="F2124" t="s">
        <v>31</v>
      </c>
      <c r="G2124">
        <v>21116.86</v>
      </c>
      <c r="H2124" s="1">
        <v>45602</v>
      </c>
      <c r="I2124" t="s">
        <v>555</v>
      </c>
      <c r="J2124" t="s">
        <v>573</v>
      </c>
      <c r="K2124">
        <v>93.466399999999993</v>
      </c>
      <c r="L2124">
        <v>21116.86</v>
      </c>
      <c r="M2124">
        <f>IF(F2124="INR",1,INDEX('rates'!$B$2:$C$522,MATCH(D2124,'rates'!$A$2:$A$522,1),MATCH(F2124&amp;"/INR",'rates'!$B$1:$C$1,0)))</f>
        <v>93.279799999999994</v>
      </c>
      <c r="N2124">
        <f t="shared" si="175"/>
        <v>1969776.477428</v>
      </c>
      <c r="O2124">
        <f t="shared" si="176"/>
        <v>0</v>
      </c>
      <c r="P2124">
        <f t="shared" si="177"/>
        <v>0</v>
      </c>
      <c r="Q2124">
        <f t="shared" si="174"/>
        <v>16</v>
      </c>
      <c r="R2124" t="str">
        <f t="shared" si="178"/>
        <v>Not open</v>
      </c>
    </row>
    <row r="2125" spans="1:18" x14ac:dyDescent="0.3">
      <c r="A2125" t="s">
        <v>2361</v>
      </c>
      <c r="B2125" t="s">
        <v>234</v>
      </c>
      <c r="C2125" t="s">
        <v>566</v>
      </c>
      <c r="D2125" s="1">
        <v>45527</v>
      </c>
      <c r="E2125" s="1">
        <v>45572</v>
      </c>
      <c r="F2125" t="s">
        <v>13</v>
      </c>
      <c r="G2125">
        <v>7056726</v>
      </c>
      <c r="H2125" s="1">
        <v>45562</v>
      </c>
      <c r="I2125" t="s">
        <v>555</v>
      </c>
      <c r="J2125" t="s">
        <v>556</v>
      </c>
      <c r="L2125">
        <v>7056726</v>
      </c>
      <c r="M2125">
        <f>IF(F2125="INR",1,INDEX('rates'!$B$2:$C$522,MATCH(D2125,'rates'!$A$2:$A$522,1),MATCH(F2125&amp;"/INR",'rates'!$B$1:$C$1,0)))</f>
        <v>1</v>
      </c>
      <c r="N2125">
        <f t="shared" si="175"/>
        <v>7056726</v>
      </c>
      <c r="O2125">
        <f t="shared" si="176"/>
        <v>0</v>
      </c>
      <c r="P2125">
        <f t="shared" si="177"/>
        <v>0</v>
      </c>
      <c r="Q2125">
        <f t="shared" si="174"/>
        <v>-10</v>
      </c>
      <c r="R2125" t="str">
        <f t="shared" si="178"/>
        <v>Not open</v>
      </c>
    </row>
    <row r="2126" spans="1:18" x14ac:dyDescent="0.3">
      <c r="A2126" t="s">
        <v>2362</v>
      </c>
      <c r="B2126" t="s">
        <v>72</v>
      </c>
      <c r="C2126" t="s">
        <v>560</v>
      </c>
      <c r="D2126" s="1">
        <v>45528</v>
      </c>
      <c r="E2126" s="1">
        <v>45618</v>
      </c>
      <c r="F2126" t="s">
        <v>31</v>
      </c>
      <c r="G2126">
        <v>172593.59</v>
      </c>
      <c r="H2126" s="1">
        <v>45642</v>
      </c>
      <c r="I2126" t="s">
        <v>555</v>
      </c>
      <c r="J2126" t="s">
        <v>556</v>
      </c>
      <c r="L2126">
        <v>172593.59</v>
      </c>
      <c r="M2126">
        <f>IF(F2126="INR",1,INDEX('rates'!$B$2:$C$522,MATCH(D2126,'rates'!$A$2:$A$522,1),MATCH(F2126&amp;"/INR",'rates'!$B$1:$C$1,0)))</f>
        <v>93.777799999999999</v>
      </c>
      <c r="N2126">
        <f t="shared" si="175"/>
        <v>16185447.164301999</v>
      </c>
      <c r="O2126">
        <f t="shared" si="176"/>
        <v>0</v>
      </c>
      <c r="P2126">
        <f t="shared" si="177"/>
        <v>0</v>
      </c>
      <c r="Q2126">
        <f t="shared" si="174"/>
        <v>24</v>
      </c>
      <c r="R2126" t="str">
        <f t="shared" si="178"/>
        <v>Not open</v>
      </c>
    </row>
    <row r="2127" spans="1:18" x14ac:dyDescent="0.3">
      <c r="A2127" t="s">
        <v>2363</v>
      </c>
      <c r="B2127" t="s">
        <v>117</v>
      </c>
      <c r="C2127" t="s">
        <v>554</v>
      </c>
      <c r="D2127" s="1">
        <v>45528</v>
      </c>
      <c r="E2127" s="1">
        <v>45588</v>
      </c>
      <c r="F2127" t="s">
        <v>13</v>
      </c>
      <c r="G2127">
        <v>8856479</v>
      </c>
      <c r="H2127" s="1">
        <v>45595</v>
      </c>
      <c r="I2127" t="s">
        <v>555</v>
      </c>
      <c r="J2127" t="s">
        <v>556</v>
      </c>
      <c r="L2127">
        <v>8856479</v>
      </c>
      <c r="M2127">
        <f>IF(F2127="INR",1,INDEX('rates'!$B$2:$C$522,MATCH(D2127,'rates'!$A$2:$A$522,1),MATCH(F2127&amp;"/INR",'rates'!$B$1:$C$1,0)))</f>
        <v>1</v>
      </c>
      <c r="N2127">
        <f t="shared" si="175"/>
        <v>8856479</v>
      </c>
      <c r="O2127">
        <f t="shared" si="176"/>
        <v>0</v>
      </c>
      <c r="P2127">
        <f t="shared" si="177"/>
        <v>0</v>
      </c>
      <c r="Q2127">
        <f t="shared" si="174"/>
        <v>7</v>
      </c>
      <c r="R2127" t="str">
        <f t="shared" si="178"/>
        <v>Not open</v>
      </c>
    </row>
    <row r="2128" spans="1:18" x14ac:dyDescent="0.3">
      <c r="A2128" t="s">
        <v>2364</v>
      </c>
      <c r="B2128" t="s">
        <v>184</v>
      </c>
      <c r="C2128" t="s">
        <v>575</v>
      </c>
      <c r="D2128" s="1">
        <v>45528</v>
      </c>
      <c r="E2128" s="1">
        <v>45618</v>
      </c>
      <c r="F2128" t="s">
        <v>31</v>
      </c>
      <c r="G2128">
        <v>34042.699999999997</v>
      </c>
      <c r="H2128" s="1">
        <v>45633</v>
      </c>
      <c r="I2128" t="s">
        <v>555</v>
      </c>
      <c r="J2128" t="s">
        <v>556</v>
      </c>
      <c r="L2128">
        <v>34042.699999999997</v>
      </c>
      <c r="M2128">
        <f>IF(F2128="INR",1,INDEX('rates'!$B$2:$C$522,MATCH(D2128,'rates'!$A$2:$A$522,1),MATCH(F2128&amp;"/INR",'rates'!$B$1:$C$1,0)))</f>
        <v>93.777799999999999</v>
      </c>
      <c r="N2128">
        <f t="shared" si="175"/>
        <v>3192449.5120599996</v>
      </c>
      <c r="O2128">
        <f t="shared" si="176"/>
        <v>0</v>
      </c>
      <c r="P2128">
        <f t="shared" si="177"/>
        <v>0</v>
      </c>
      <c r="Q2128">
        <f t="shared" si="174"/>
        <v>15</v>
      </c>
      <c r="R2128" t="str">
        <f t="shared" si="178"/>
        <v>Not open</v>
      </c>
    </row>
    <row r="2129" spans="1:18" x14ac:dyDescent="0.3">
      <c r="A2129" t="s">
        <v>2365</v>
      </c>
      <c r="B2129" t="s">
        <v>236</v>
      </c>
      <c r="C2129" t="s">
        <v>558</v>
      </c>
      <c r="D2129" s="1">
        <v>45528</v>
      </c>
      <c r="E2129" s="1">
        <v>45618</v>
      </c>
      <c r="F2129" t="s">
        <v>13</v>
      </c>
      <c r="G2129">
        <v>2501338</v>
      </c>
      <c r="H2129" s="1">
        <v>45631</v>
      </c>
      <c r="I2129" t="s">
        <v>555</v>
      </c>
      <c r="J2129" t="s">
        <v>556</v>
      </c>
      <c r="L2129">
        <v>2501338</v>
      </c>
      <c r="M2129">
        <f>IF(F2129="INR",1,INDEX('rates'!$B$2:$C$522,MATCH(D2129,'rates'!$A$2:$A$522,1),MATCH(F2129&amp;"/INR",'rates'!$B$1:$C$1,0)))</f>
        <v>1</v>
      </c>
      <c r="N2129">
        <f t="shared" si="175"/>
        <v>2501338</v>
      </c>
      <c r="O2129">
        <f t="shared" si="176"/>
        <v>0</v>
      </c>
      <c r="P2129">
        <f t="shared" si="177"/>
        <v>0</v>
      </c>
      <c r="Q2129">
        <f t="shared" si="174"/>
        <v>13</v>
      </c>
      <c r="R2129" t="str">
        <f t="shared" si="178"/>
        <v>Not open</v>
      </c>
    </row>
    <row r="2130" spans="1:18" x14ac:dyDescent="0.3">
      <c r="A2130" t="s">
        <v>2367</v>
      </c>
      <c r="B2130" t="s">
        <v>464</v>
      </c>
      <c r="C2130" t="s">
        <v>560</v>
      </c>
      <c r="D2130" s="1">
        <v>45528</v>
      </c>
      <c r="E2130" s="1">
        <v>45618</v>
      </c>
      <c r="F2130" t="s">
        <v>13</v>
      </c>
      <c r="G2130">
        <v>4964299</v>
      </c>
      <c r="H2130" s="1">
        <v>45617</v>
      </c>
      <c r="I2130" t="s">
        <v>555</v>
      </c>
      <c r="J2130" t="s">
        <v>556</v>
      </c>
      <c r="L2130">
        <v>4964299</v>
      </c>
      <c r="M2130">
        <f>IF(F2130="INR",1,INDEX('rates'!$B$2:$C$522,MATCH(D2130,'rates'!$A$2:$A$522,1),MATCH(F2130&amp;"/INR",'rates'!$B$1:$C$1,0)))</f>
        <v>1</v>
      </c>
      <c r="N2130">
        <f t="shared" si="175"/>
        <v>4964299</v>
      </c>
      <c r="O2130">
        <f t="shared" si="176"/>
        <v>0</v>
      </c>
      <c r="P2130">
        <f t="shared" si="177"/>
        <v>0</v>
      </c>
      <c r="Q2130">
        <f t="shared" si="174"/>
        <v>-1</v>
      </c>
      <c r="R2130" t="str">
        <f t="shared" si="178"/>
        <v>Not open</v>
      </c>
    </row>
    <row r="2131" spans="1:18" x14ac:dyDescent="0.3">
      <c r="A2131" t="s">
        <v>2368</v>
      </c>
      <c r="B2131" t="s">
        <v>19</v>
      </c>
      <c r="C2131" t="s">
        <v>554</v>
      </c>
      <c r="D2131" s="1">
        <v>45530</v>
      </c>
      <c r="E2131" s="1">
        <v>45575</v>
      </c>
      <c r="F2131" t="s">
        <v>13</v>
      </c>
      <c r="G2131">
        <v>3214832</v>
      </c>
      <c r="H2131" s="1">
        <v>45589</v>
      </c>
      <c r="I2131" t="s">
        <v>555</v>
      </c>
      <c r="J2131" t="s">
        <v>556</v>
      </c>
      <c r="L2131">
        <v>3214832</v>
      </c>
      <c r="M2131">
        <f>IF(F2131="INR",1,INDEX('rates'!$B$2:$C$522,MATCH(D2131,'rates'!$A$2:$A$522,1),MATCH(F2131&amp;"/INR",'rates'!$B$1:$C$1,0)))</f>
        <v>1</v>
      </c>
      <c r="N2131">
        <f t="shared" si="175"/>
        <v>3214832</v>
      </c>
      <c r="O2131">
        <f t="shared" si="176"/>
        <v>0</v>
      </c>
      <c r="P2131">
        <f t="shared" si="177"/>
        <v>0</v>
      </c>
      <c r="Q2131">
        <f t="shared" si="174"/>
        <v>14</v>
      </c>
      <c r="R2131" t="str">
        <f t="shared" si="178"/>
        <v>Not open</v>
      </c>
    </row>
    <row r="2132" spans="1:18" x14ac:dyDescent="0.3">
      <c r="A2132" t="s">
        <v>2369</v>
      </c>
      <c r="B2132" t="s">
        <v>51</v>
      </c>
      <c r="C2132" t="s">
        <v>558</v>
      </c>
      <c r="D2132" s="1">
        <v>45530</v>
      </c>
      <c r="E2132" s="1">
        <v>45590</v>
      </c>
      <c r="F2132" t="s">
        <v>31</v>
      </c>
      <c r="G2132">
        <v>29684.62</v>
      </c>
      <c r="H2132" s="1">
        <v>45606</v>
      </c>
      <c r="I2132" t="s">
        <v>555</v>
      </c>
      <c r="J2132" t="s">
        <v>556</v>
      </c>
      <c r="L2132">
        <v>29684.62</v>
      </c>
      <c r="M2132">
        <f>IF(F2132="INR",1,INDEX('rates'!$B$2:$C$522,MATCH(D2132,'rates'!$A$2:$A$522,1),MATCH(F2132&amp;"/INR",'rates'!$B$1:$C$1,0)))</f>
        <v>93.632499999999993</v>
      </c>
      <c r="N2132">
        <f t="shared" si="175"/>
        <v>2779445.1821499998</v>
      </c>
      <c r="O2132">
        <f t="shared" si="176"/>
        <v>0</v>
      </c>
      <c r="P2132">
        <f t="shared" si="177"/>
        <v>0</v>
      </c>
      <c r="Q2132">
        <f t="shared" si="174"/>
        <v>16</v>
      </c>
      <c r="R2132" t="str">
        <f t="shared" si="178"/>
        <v>Not open</v>
      </c>
    </row>
    <row r="2133" spans="1:18" x14ac:dyDescent="0.3">
      <c r="A2133" t="s">
        <v>2370</v>
      </c>
      <c r="B2133" t="s">
        <v>55</v>
      </c>
      <c r="C2133" t="s">
        <v>575</v>
      </c>
      <c r="D2133" s="1">
        <v>45530</v>
      </c>
      <c r="E2133" s="1">
        <v>45575</v>
      </c>
      <c r="F2133" t="s">
        <v>36</v>
      </c>
      <c r="G2133">
        <v>12063.44</v>
      </c>
      <c r="H2133" s="1">
        <v>45592</v>
      </c>
      <c r="I2133" t="s">
        <v>555</v>
      </c>
      <c r="J2133" t="s">
        <v>573</v>
      </c>
      <c r="K2133">
        <v>84.079700000000003</v>
      </c>
      <c r="L2133">
        <v>12063.44</v>
      </c>
      <c r="M2133">
        <f>IF(F2133="INR",1,INDEX('rates'!$B$2:$C$522,MATCH(D2133,'rates'!$A$2:$A$522,1),MATCH(F2133&amp;"/INR",'rates'!$B$1:$C$1,0)))</f>
        <v>83.87</v>
      </c>
      <c r="N2133">
        <f t="shared" si="175"/>
        <v>1011760.7128000001</v>
      </c>
      <c r="O2133">
        <f t="shared" si="176"/>
        <v>0</v>
      </c>
      <c r="P2133">
        <f t="shared" si="177"/>
        <v>0</v>
      </c>
      <c r="Q2133">
        <f t="shared" si="174"/>
        <v>17</v>
      </c>
      <c r="R2133" t="str">
        <f t="shared" si="178"/>
        <v>Not open</v>
      </c>
    </row>
    <row r="2134" spans="1:18" x14ac:dyDescent="0.3">
      <c r="A2134" t="s">
        <v>2371</v>
      </c>
      <c r="B2134" t="s">
        <v>87</v>
      </c>
      <c r="C2134" t="s">
        <v>566</v>
      </c>
      <c r="D2134" s="1">
        <v>45530</v>
      </c>
      <c r="E2134" s="1">
        <v>45575</v>
      </c>
      <c r="F2134" t="s">
        <v>36</v>
      </c>
      <c r="G2134">
        <v>151453.13</v>
      </c>
      <c r="H2134" s="1">
        <v>45584</v>
      </c>
      <c r="I2134" t="s">
        <v>555</v>
      </c>
      <c r="J2134" t="s">
        <v>573</v>
      </c>
      <c r="K2134">
        <v>84.079700000000003</v>
      </c>
      <c r="L2134">
        <v>151453.13</v>
      </c>
      <c r="M2134">
        <f>IF(F2134="INR",1,INDEX('rates'!$B$2:$C$522,MATCH(D2134,'rates'!$A$2:$A$522,1),MATCH(F2134&amp;"/INR",'rates'!$B$1:$C$1,0)))</f>
        <v>83.87</v>
      </c>
      <c r="N2134">
        <f t="shared" si="175"/>
        <v>12702374.013100002</v>
      </c>
      <c r="O2134">
        <f t="shared" si="176"/>
        <v>0</v>
      </c>
      <c r="P2134">
        <f t="shared" si="177"/>
        <v>0</v>
      </c>
      <c r="Q2134">
        <f t="shared" si="174"/>
        <v>9</v>
      </c>
      <c r="R2134" t="str">
        <f t="shared" si="178"/>
        <v>Not open</v>
      </c>
    </row>
    <row r="2135" spans="1:18" x14ac:dyDescent="0.3">
      <c r="A2135" t="s">
        <v>2372</v>
      </c>
      <c r="B2135" t="s">
        <v>306</v>
      </c>
      <c r="C2135" t="s">
        <v>560</v>
      </c>
      <c r="D2135" s="1">
        <v>45530</v>
      </c>
      <c r="E2135" s="1">
        <v>45620</v>
      </c>
      <c r="F2135" t="s">
        <v>36</v>
      </c>
      <c r="G2135">
        <v>229852.63</v>
      </c>
      <c r="H2135" s="1">
        <v>45633</v>
      </c>
      <c r="I2135" t="s">
        <v>555</v>
      </c>
      <c r="J2135" t="s">
        <v>556</v>
      </c>
      <c r="L2135">
        <v>229852.63</v>
      </c>
      <c r="M2135">
        <f>IF(F2135="INR",1,INDEX('rates'!$B$2:$C$522,MATCH(D2135,'rates'!$A$2:$A$522,1),MATCH(F2135&amp;"/INR",'rates'!$B$1:$C$1,0)))</f>
        <v>83.87</v>
      </c>
      <c r="N2135">
        <f t="shared" si="175"/>
        <v>19277740.0781</v>
      </c>
      <c r="O2135">
        <f t="shared" si="176"/>
        <v>0</v>
      </c>
      <c r="P2135">
        <f t="shared" si="177"/>
        <v>0</v>
      </c>
      <c r="Q2135">
        <f t="shared" si="174"/>
        <v>13</v>
      </c>
      <c r="R2135" t="str">
        <f t="shared" si="178"/>
        <v>Not open</v>
      </c>
    </row>
    <row r="2136" spans="1:18" x14ac:dyDescent="0.3">
      <c r="A2136" t="s">
        <v>2373</v>
      </c>
      <c r="B2136" t="s">
        <v>140</v>
      </c>
      <c r="C2136" t="s">
        <v>554</v>
      </c>
      <c r="D2136" s="1">
        <v>45531</v>
      </c>
      <c r="E2136" s="1">
        <v>45591</v>
      </c>
      <c r="F2136" t="s">
        <v>13</v>
      </c>
      <c r="G2136">
        <v>8612168</v>
      </c>
      <c r="H2136" s="1">
        <v>45598</v>
      </c>
      <c r="I2136" t="s">
        <v>555</v>
      </c>
      <c r="J2136" t="s">
        <v>556</v>
      </c>
      <c r="L2136">
        <v>8612168</v>
      </c>
      <c r="M2136">
        <f>IF(F2136="INR",1,INDEX('rates'!$B$2:$C$522,MATCH(D2136,'rates'!$A$2:$A$522,1),MATCH(F2136&amp;"/INR",'rates'!$B$1:$C$1,0)))</f>
        <v>1</v>
      </c>
      <c r="N2136">
        <f t="shared" si="175"/>
        <v>8612168</v>
      </c>
      <c r="O2136">
        <f t="shared" si="176"/>
        <v>0</v>
      </c>
      <c r="P2136">
        <f t="shared" si="177"/>
        <v>0</v>
      </c>
      <c r="Q2136">
        <f t="shared" si="174"/>
        <v>7</v>
      </c>
      <c r="R2136" t="str">
        <f t="shared" si="178"/>
        <v>Not open</v>
      </c>
    </row>
    <row r="2137" spans="1:18" x14ac:dyDescent="0.3">
      <c r="A2137" t="s">
        <v>2374</v>
      </c>
      <c r="B2137" t="s">
        <v>154</v>
      </c>
      <c r="C2137" t="s">
        <v>566</v>
      </c>
      <c r="D2137" s="1">
        <v>45531</v>
      </c>
      <c r="E2137" s="1">
        <v>45561</v>
      </c>
      <c r="F2137" t="s">
        <v>13</v>
      </c>
      <c r="G2137">
        <v>20992659</v>
      </c>
      <c r="H2137" s="1">
        <v>45559</v>
      </c>
      <c r="I2137" t="s">
        <v>555</v>
      </c>
      <c r="J2137" t="s">
        <v>556</v>
      </c>
      <c r="L2137">
        <v>20992659</v>
      </c>
      <c r="M2137">
        <f>IF(F2137="INR",1,INDEX('rates'!$B$2:$C$522,MATCH(D2137,'rates'!$A$2:$A$522,1),MATCH(F2137&amp;"/INR",'rates'!$B$1:$C$1,0)))</f>
        <v>1</v>
      </c>
      <c r="N2137">
        <f t="shared" si="175"/>
        <v>20992659</v>
      </c>
      <c r="O2137">
        <f t="shared" si="176"/>
        <v>0</v>
      </c>
      <c r="P2137">
        <f t="shared" si="177"/>
        <v>0</v>
      </c>
      <c r="Q2137">
        <f t="shared" si="174"/>
        <v>-2</v>
      </c>
      <c r="R2137" t="str">
        <f t="shared" si="178"/>
        <v>Not open</v>
      </c>
    </row>
    <row r="2138" spans="1:18" x14ac:dyDescent="0.3">
      <c r="A2138" t="s">
        <v>2375</v>
      </c>
      <c r="B2138" t="s">
        <v>254</v>
      </c>
      <c r="C2138" t="s">
        <v>558</v>
      </c>
      <c r="D2138" s="1">
        <v>45531</v>
      </c>
      <c r="E2138" s="1">
        <v>45561</v>
      </c>
      <c r="F2138" t="s">
        <v>13</v>
      </c>
      <c r="G2138">
        <v>5437164</v>
      </c>
      <c r="H2138" s="1">
        <v>45619</v>
      </c>
      <c r="I2138" t="s">
        <v>555</v>
      </c>
      <c r="J2138" t="s">
        <v>556</v>
      </c>
      <c r="L2138">
        <v>5437164</v>
      </c>
      <c r="M2138">
        <f>IF(F2138="INR",1,INDEX('rates'!$B$2:$C$522,MATCH(D2138,'rates'!$A$2:$A$522,1),MATCH(F2138&amp;"/INR",'rates'!$B$1:$C$1,0)))</f>
        <v>1</v>
      </c>
      <c r="N2138">
        <f t="shared" si="175"/>
        <v>5437164</v>
      </c>
      <c r="O2138">
        <f t="shared" si="176"/>
        <v>0</v>
      </c>
      <c r="P2138">
        <f t="shared" si="177"/>
        <v>0</v>
      </c>
      <c r="Q2138">
        <f t="shared" si="174"/>
        <v>58</v>
      </c>
      <c r="R2138" t="str">
        <f t="shared" si="178"/>
        <v>Not open</v>
      </c>
    </row>
    <row r="2139" spans="1:18" x14ac:dyDescent="0.3">
      <c r="A2139" t="s">
        <v>2376</v>
      </c>
      <c r="B2139" t="s">
        <v>336</v>
      </c>
      <c r="C2139" t="s">
        <v>554</v>
      </c>
      <c r="D2139" s="1">
        <v>45531</v>
      </c>
      <c r="E2139" s="1">
        <v>45561</v>
      </c>
      <c r="F2139" t="s">
        <v>13</v>
      </c>
      <c r="G2139">
        <v>3500892</v>
      </c>
      <c r="H2139" s="1">
        <v>45558</v>
      </c>
      <c r="I2139" t="s">
        <v>555</v>
      </c>
      <c r="J2139" t="s">
        <v>556</v>
      </c>
      <c r="L2139">
        <v>3500892</v>
      </c>
      <c r="M2139">
        <f>IF(F2139="INR",1,INDEX('rates'!$B$2:$C$522,MATCH(D2139,'rates'!$A$2:$A$522,1),MATCH(F2139&amp;"/INR",'rates'!$B$1:$C$1,0)))</f>
        <v>1</v>
      </c>
      <c r="N2139">
        <f t="shared" si="175"/>
        <v>3500892</v>
      </c>
      <c r="O2139">
        <f t="shared" si="176"/>
        <v>0</v>
      </c>
      <c r="P2139">
        <f t="shared" si="177"/>
        <v>0</v>
      </c>
      <c r="Q2139">
        <f t="shared" si="174"/>
        <v>-3</v>
      </c>
      <c r="R2139" t="str">
        <f t="shared" si="178"/>
        <v>Not open</v>
      </c>
    </row>
    <row r="2140" spans="1:18" x14ac:dyDescent="0.3">
      <c r="A2140" t="s">
        <v>2377</v>
      </c>
      <c r="B2140" t="s">
        <v>540</v>
      </c>
      <c r="C2140" t="s">
        <v>554</v>
      </c>
      <c r="D2140" s="1">
        <v>45531</v>
      </c>
      <c r="E2140" s="1">
        <v>45591</v>
      </c>
      <c r="F2140" t="s">
        <v>13</v>
      </c>
      <c r="G2140">
        <v>12137705</v>
      </c>
      <c r="H2140" s="1">
        <v>45593</v>
      </c>
      <c r="I2140" t="s">
        <v>555</v>
      </c>
      <c r="J2140" t="s">
        <v>556</v>
      </c>
      <c r="L2140">
        <v>12137705</v>
      </c>
      <c r="M2140">
        <f>IF(F2140="INR",1,INDEX('rates'!$B$2:$C$522,MATCH(D2140,'rates'!$A$2:$A$522,1),MATCH(F2140&amp;"/INR",'rates'!$B$1:$C$1,0)))</f>
        <v>1</v>
      </c>
      <c r="N2140">
        <f t="shared" si="175"/>
        <v>12137705</v>
      </c>
      <c r="O2140">
        <f t="shared" si="176"/>
        <v>0</v>
      </c>
      <c r="P2140">
        <f t="shared" si="177"/>
        <v>0</v>
      </c>
      <c r="Q2140">
        <f t="shared" si="174"/>
        <v>2</v>
      </c>
      <c r="R2140" t="str">
        <f t="shared" si="178"/>
        <v>Not open</v>
      </c>
    </row>
    <row r="2141" spans="1:18" x14ac:dyDescent="0.3">
      <c r="A2141" t="s">
        <v>2378</v>
      </c>
      <c r="B2141" t="s">
        <v>198</v>
      </c>
      <c r="C2141" t="s">
        <v>566</v>
      </c>
      <c r="D2141" s="1">
        <v>45532</v>
      </c>
      <c r="E2141" s="1">
        <v>45622</v>
      </c>
      <c r="F2141" t="s">
        <v>36</v>
      </c>
      <c r="G2141">
        <v>28745.9</v>
      </c>
      <c r="H2141" s="1">
        <v>45632</v>
      </c>
      <c r="I2141" t="s">
        <v>555</v>
      </c>
      <c r="J2141" t="s">
        <v>573</v>
      </c>
      <c r="K2141">
        <v>84.319500000000005</v>
      </c>
      <c r="L2141">
        <v>28745.9</v>
      </c>
      <c r="M2141">
        <f>IF(F2141="INR",1,INDEX('rates'!$B$2:$C$522,MATCH(D2141,'rates'!$A$2:$A$522,1),MATCH(F2141&amp;"/INR",'rates'!$B$1:$C$1,0)))</f>
        <v>83.9</v>
      </c>
      <c r="N2141">
        <f t="shared" si="175"/>
        <v>2411781.0100000002</v>
      </c>
      <c r="O2141">
        <f t="shared" si="176"/>
        <v>0</v>
      </c>
      <c r="P2141">
        <f t="shared" si="177"/>
        <v>0</v>
      </c>
      <c r="Q2141">
        <f t="shared" ref="Q2141:Q2204" si="179">IF(H2141="","",H2141-E2141)</f>
        <v>10</v>
      </c>
      <c r="R2141" t="str">
        <f t="shared" si="178"/>
        <v>Not open</v>
      </c>
    </row>
    <row r="2142" spans="1:18" x14ac:dyDescent="0.3">
      <c r="A2142" t="s">
        <v>2379</v>
      </c>
      <c r="B2142" t="s">
        <v>220</v>
      </c>
      <c r="C2142" t="s">
        <v>560</v>
      </c>
      <c r="D2142" s="1">
        <v>45532</v>
      </c>
      <c r="E2142" s="1">
        <v>45622</v>
      </c>
      <c r="F2142" t="s">
        <v>31</v>
      </c>
      <c r="G2142">
        <v>23802.9</v>
      </c>
      <c r="H2142" s="1">
        <v>45655</v>
      </c>
      <c r="I2142" t="s">
        <v>555</v>
      </c>
      <c r="J2142" t="s">
        <v>573</v>
      </c>
      <c r="K2142">
        <v>93.635599999999997</v>
      </c>
      <c r="L2142">
        <v>23802.9</v>
      </c>
      <c r="M2142">
        <f>IF(F2142="INR",1,INDEX('rates'!$B$2:$C$522,MATCH(D2142,'rates'!$A$2:$A$522,1),MATCH(F2142&amp;"/INR",'rates'!$B$1:$C$1,0)))</f>
        <v>93.355500000000006</v>
      </c>
      <c r="N2142">
        <f t="shared" si="175"/>
        <v>2222131.6309500001</v>
      </c>
      <c r="O2142">
        <f t="shared" si="176"/>
        <v>0</v>
      </c>
      <c r="P2142">
        <f t="shared" si="177"/>
        <v>0</v>
      </c>
      <c r="Q2142">
        <f t="shared" si="179"/>
        <v>33</v>
      </c>
      <c r="R2142" t="str">
        <f t="shared" si="178"/>
        <v>Not open</v>
      </c>
    </row>
    <row r="2143" spans="1:18" x14ac:dyDescent="0.3">
      <c r="A2143" t="s">
        <v>2380</v>
      </c>
      <c r="B2143" t="s">
        <v>332</v>
      </c>
      <c r="C2143" t="s">
        <v>566</v>
      </c>
      <c r="D2143" s="1">
        <v>45532</v>
      </c>
      <c r="E2143" s="1">
        <v>45592</v>
      </c>
      <c r="F2143" t="s">
        <v>36</v>
      </c>
      <c r="G2143">
        <v>99865.49</v>
      </c>
      <c r="H2143" s="1">
        <v>45595</v>
      </c>
      <c r="I2143" t="s">
        <v>555</v>
      </c>
      <c r="J2143" t="s">
        <v>556</v>
      </c>
      <c r="L2143">
        <v>99865.49</v>
      </c>
      <c r="M2143">
        <f>IF(F2143="INR",1,INDEX('rates'!$B$2:$C$522,MATCH(D2143,'rates'!$A$2:$A$522,1),MATCH(F2143&amp;"/INR",'rates'!$B$1:$C$1,0)))</f>
        <v>83.9</v>
      </c>
      <c r="N2143">
        <f t="shared" si="175"/>
        <v>8378714.6110000014</v>
      </c>
      <c r="O2143">
        <f t="shared" si="176"/>
        <v>0</v>
      </c>
      <c r="P2143">
        <f t="shared" si="177"/>
        <v>0</v>
      </c>
      <c r="Q2143">
        <f t="shared" si="179"/>
        <v>3</v>
      </c>
      <c r="R2143" t="str">
        <f t="shared" si="178"/>
        <v>Not open</v>
      </c>
    </row>
    <row r="2144" spans="1:18" x14ac:dyDescent="0.3">
      <c r="A2144" t="s">
        <v>2381</v>
      </c>
      <c r="B2144" t="s">
        <v>154</v>
      </c>
      <c r="C2144" t="s">
        <v>566</v>
      </c>
      <c r="D2144" s="1">
        <v>45533</v>
      </c>
      <c r="E2144" s="1">
        <v>45563</v>
      </c>
      <c r="F2144" t="s">
        <v>13</v>
      </c>
      <c r="G2144">
        <v>24333591</v>
      </c>
      <c r="H2144" s="1">
        <v>45565</v>
      </c>
      <c r="I2144" t="s">
        <v>555</v>
      </c>
      <c r="J2144" t="s">
        <v>556</v>
      </c>
      <c r="L2144">
        <v>24333591</v>
      </c>
      <c r="M2144">
        <f>IF(F2144="INR",1,INDEX('rates'!$B$2:$C$522,MATCH(D2144,'rates'!$A$2:$A$522,1),MATCH(F2144&amp;"/INR",'rates'!$B$1:$C$1,0)))</f>
        <v>1</v>
      </c>
      <c r="N2144">
        <f t="shared" si="175"/>
        <v>24333591</v>
      </c>
      <c r="O2144">
        <f t="shared" si="176"/>
        <v>0</v>
      </c>
      <c r="P2144">
        <f t="shared" si="177"/>
        <v>0</v>
      </c>
      <c r="Q2144">
        <f t="shared" si="179"/>
        <v>2</v>
      </c>
      <c r="R2144" t="str">
        <f t="shared" si="178"/>
        <v>Not open</v>
      </c>
    </row>
    <row r="2145" spans="1:18" x14ac:dyDescent="0.3">
      <c r="A2145" t="s">
        <v>2382</v>
      </c>
      <c r="B2145" t="s">
        <v>238</v>
      </c>
      <c r="C2145" t="s">
        <v>566</v>
      </c>
      <c r="D2145" s="1">
        <v>45533</v>
      </c>
      <c r="E2145" s="1">
        <v>45593</v>
      </c>
      <c r="F2145" t="s">
        <v>31</v>
      </c>
      <c r="G2145">
        <v>108770.29</v>
      </c>
      <c r="H2145" s="1">
        <v>45600</v>
      </c>
      <c r="I2145" t="s">
        <v>555</v>
      </c>
      <c r="J2145" t="s">
        <v>573</v>
      </c>
      <c r="K2145">
        <v>93.130899999999997</v>
      </c>
      <c r="L2145">
        <v>108770.29</v>
      </c>
      <c r="M2145">
        <f>IF(F2145="INR",1,INDEX('rates'!$B$2:$C$522,MATCH(D2145,'rates'!$A$2:$A$522,1),MATCH(F2145&amp;"/INR",'rates'!$B$1:$C$1,0)))</f>
        <v>92.944999999999993</v>
      </c>
      <c r="N2145">
        <f t="shared" si="175"/>
        <v>10109654.604049999</v>
      </c>
      <c r="O2145">
        <f t="shared" si="176"/>
        <v>0</v>
      </c>
      <c r="P2145">
        <f t="shared" si="177"/>
        <v>0</v>
      </c>
      <c r="Q2145">
        <f t="shared" si="179"/>
        <v>7</v>
      </c>
      <c r="R2145" t="str">
        <f t="shared" si="178"/>
        <v>Not open</v>
      </c>
    </row>
    <row r="2146" spans="1:18" x14ac:dyDescent="0.3">
      <c r="A2146" t="s">
        <v>2383</v>
      </c>
      <c r="B2146" t="s">
        <v>272</v>
      </c>
      <c r="C2146" t="s">
        <v>575</v>
      </c>
      <c r="D2146" s="1">
        <v>45533</v>
      </c>
      <c r="E2146" s="1">
        <v>45578</v>
      </c>
      <c r="F2146" t="s">
        <v>13</v>
      </c>
      <c r="G2146">
        <v>13283846</v>
      </c>
      <c r="H2146" s="1">
        <v>45586</v>
      </c>
      <c r="I2146" t="s">
        <v>555</v>
      </c>
      <c r="J2146" t="s">
        <v>556</v>
      </c>
      <c r="L2146">
        <v>13283846</v>
      </c>
      <c r="M2146">
        <f>IF(F2146="INR",1,INDEX('rates'!$B$2:$C$522,MATCH(D2146,'rates'!$A$2:$A$522,1),MATCH(F2146&amp;"/INR",'rates'!$B$1:$C$1,0)))</f>
        <v>1</v>
      </c>
      <c r="N2146">
        <f t="shared" si="175"/>
        <v>13283846</v>
      </c>
      <c r="O2146">
        <f t="shared" si="176"/>
        <v>0</v>
      </c>
      <c r="P2146">
        <f t="shared" si="177"/>
        <v>0</v>
      </c>
      <c r="Q2146">
        <f t="shared" si="179"/>
        <v>8</v>
      </c>
      <c r="R2146" t="str">
        <f t="shared" si="178"/>
        <v>Not open</v>
      </c>
    </row>
    <row r="2147" spans="1:18" x14ac:dyDescent="0.3">
      <c r="A2147" t="s">
        <v>2385</v>
      </c>
      <c r="B2147" t="s">
        <v>154</v>
      </c>
      <c r="C2147" t="s">
        <v>566</v>
      </c>
      <c r="D2147" s="1">
        <v>45534</v>
      </c>
      <c r="E2147" s="1">
        <v>45564</v>
      </c>
      <c r="F2147" t="s">
        <v>13</v>
      </c>
      <c r="G2147">
        <v>7011591</v>
      </c>
      <c r="H2147" s="1">
        <v>45566</v>
      </c>
      <c r="I2147" t="s">
        <v>555</v>
      </c>
      <c r="J2147" t="s">
        <v>556</v>
      </c>
      <c r="L2147">
        <v>7011591</v>
      </c>
      <c r="M2147">
        <f>IF(F2147="INR",1,INDEX('rates'!$B$2:$C$522,MATCH(D2147,'rates'!$A$2:$A$522,1),MATCH(F2147&amp;"/INR",'rates'!$B$1:$C$1,0)))</f>
        <v>1</v>
      </c>
      <c r="N2147">
        <f t="shared" si="175"/>
        <v>7011591</v>
      </c>
      <c r="O2147">
        <f t="shared" si="176"/>
        <v>0</v>
      </c>
      <c r="P2147">
        <f t="shared" si="177"/>
        <v>0</v>
      </c>
      <c r="Q2147">
        <f t="shared" si="179"/>
        <v>2</v>
      </c>
      <c r="R2147" t="str">
        <f t="shared" si="178"/>
        <v>Not open</v>
      </c>
    </row>
    <row r="2148" spans="1:18" x14ac:dyDescent="0.3">
      <c r="A2148" t="s">
        <v>2386</v>
      </c>
      <c r="B2148" t="s">
        <v>186</v>
      </c>
      <c r="C2148" t="s">
        <v>558</v>
      </c>
      <c r="D2148" s="1">
        <v>45534</v>
      </c>
      <c r="E2148" s="1">
        <v>45564</v>
      </c>
      <c r="F2148" t="s">
        <v>36</v>
      </c>
      <c r="G2148">
        <v>173923.64</v>
      </c>
      <c r="H2148" s="1">
        <v>45604</v>
      </c>
      <c r="I2148" t="s">
        <v>555</v>
      </c>
      <c r="J2148" t="s">
        <v>556</v>
      </c>
      <c r="L2148">
        <v>173923.64</v>
      </c>
      <c r="M2148">
        <f>IF(F2148="INR",1,INDEX('rates'!$B$2:$C$522,MATCH(D2148,'rates'!$A$2:$A$522,1),MATCH(F2148&amp;"/INR",'rates'!$B$1:$C$1,0)))</f>
        <v>83.83</v>
      </c>
      <c r="N2148">
        <f t="shared" si="175"/>
        <v>14580018.7412</v>
      </c>
      <c r="O2148">
        <f t="shared" si="176"/>
        <v>0</v>
      </c>
      <c r="P2148">
        <f t="shared" si="177"/>
        <v>0</v>
      </c>
      <c r="Q2148">
        <f t="shared" si="179"/>
        <v>40</v>
      </c>
      <c r="R2148" t="str">
        <f t="shared" si="178"/>
        <v>Not open</v>
      </c>
    </row>
    <row r="2149" spans="1:18" x14ac:dyDescent="0.3">
      <c r="A2149" t="s">
        <v>2387</v>
      </c>
      <c r="B2149" t="s">
        <v>262</v>
      </c>
      <c r="C2149" t="s">
        <v>566</v>
      </c>
      <c r="D2149" s="1">
        <v>45534</v>
      </c>
      <c r="E2149" s="1">
        <v>45624</v>
      </c>
      <c r="F2149" t="s">
        <v>31</v>
      </c>
      <c r="G2149">
        <v>161028.01</v>
      </c>
      <c r="H2149" s="1">
        <v>45651</v>
      </c>
      <c r="I2149" t="s">
        <v>555</v>
      </c>
      <c r="J2149" t="s">
        <v>573</v>
      </c>
      <c r="K2149">
        <v>92.994100000000003</v>
      </c>
      <c r="L2149">
        <v>161028.01</v>
      </c>
      <c r="M2149">
        <f>IF(F2149="INR",1,INDEX('rates'!$B$2:$C$522,MATCH(D2149,'rates'!$A$2:$A$522,1),MATCH(F2149&amp;"/INR",'rates'!$B$1:$C$1,0)))</f>
        <v>92.715999999999994</v>
      </c>
      <c r="N2149">
        <f t="shared" si="175"/>
        <v>14929872.975159999</v>
      </c>
      <c r="O2149">
        <f t="shared" si="176"/>
        <v>0</v>
      </c>
      <c r="P2149">
        <f t="shared" si="177"/>
        <v>0</v>
      </c>
      <c r="Q2149">
        <f t="shared" si="179"/>
        <v>27</v>
      </c>
      <c r="R2149" t="str">
        <f t="shared" si="178"/>
        <v>Not open</v>
      </c>
    </row>
    <row r="2150" spans="1:18" x14ac:dyDescent="0.3">
      <c r="A2150" t="s">
        <v>2388</v>
      </c>
      <c r="B2150" t="s">
        <v>286</v>
      </c>
      <c r="C2150" t="s">
        <v>558</v>
      </c>
      <c r="D2150" s="1">
        <v>45534</v>
      </c>
      <c r="E2150" s="1">
        <v>45594</v>
      </c>
      <c r="F2150" t="s">
        <v>36</v>
      </c>
      <c r="G2150">
        <v>52788.03</v>
      </c>
      <c r="H2150" s="1">
        <v>45608</v>
      </c>
      <c r="I2150" t="s">
        <v>555</v>
      </c>
      <c r="J2150" t="s">
        <v>556</v>
      </c>
      <c r="L2150">
        <v>52788.03</v>
      </c>
      <c r="M2150">
        <f>IF(F2150="INR",1,INDEX('rates'!$B$2:$C$522,MATCH(D2150,'rates'!$A$2:$A$522,1),MATCH(F2150&amp;"/INR",'rates'!$B$1:$C$1,0)))</f>
        <v>83.83</v>
      </c>
      <c r="N2150">
        <f t="shared" si="175"/>
        <v>4425220.5548999999</v>
      </c>
      <c r="O2150">
        <f t="shared" si="176"/>
        <v>0</v>
      </c>
      <c r="P2150">
        <f t="shared" si="177"/>
        <v>0</v>
      </c>
      <c r="Q2150">
        <f t="shared" si="179"/>
        <v>14</v>
      </c>
      <c r="R2150" t="str">
        <f t="shared" si="178"/>
        <v>Not open</v>
      </c>
    </row>
    <row r="2151" spans="1:18" x14ac:dyDescent="0.3">
      <c r="A2151" t="s">
        <v>2389</v>
      </c>
      <c r="B2151" t="s">
        <v>476</v>
      </c>
      <c r="C2151" t="s">
        <v>566</v>
      </c>
      <c r="D2151" s="1">
        <v>45534</v>
      </c>
      <c r="E2151" s="1">
        <v>45579</v>
      </c>
      <c r="F2151" t="s">
        <v>13</v>
      </c>
      <c r="G2151">
        <v>12423670</v>
      </c>
      <c r="H2151" s="1">
        <v>45606</v>
      </c>
      <c r="I2151" t="s">
        <v>555</v>
      </c>
      <c r="J2151" t="s">
        <v>556</v>
      </c>
      <c r="L2151">
        <v>12423670</v>
      </c>
      <c r="M2151">
        <f>IF(F2151="INR",1,INDEX('rates'!$B$2:$C$522,MATCH(D2151,'rates'!$A$2:$A$522,1),MATCH(F2151&amp;"/INR",'rates'!$B$1:$C$1,0)))</f>
        <v>1</v>
      </c>
      <c r="N2151">
        <f t="shared" si="175"/>
        <v>12423670</v>
      </c>
      <c r="O2151">
        <f t="shared" si="176"/>
        <v>0</v>
      </c>
      <c r="P2151">
        <f t="shared" si="177"/>
        <v>0</v>
      </c>
      <c r="Q2151">
        <f t="shared" si="179"/>
        <v>27</v>
      </c>
      <c r="R2151" t="str">
        <f t="shared" si="178"/>
        <v>Not open</v>
      </c>
    </row>
    <row r="2152" spans="1:18" x14ac:dyDescent="0.3">
      <c r="A2152" t="s">
        <v>2390</v>
      </c>
      <c r="B2152" t="s">
        <v>22</v>
      </c>
      <c r="C2152" t="s">
        <v>554</v>
      </c>
      <c r="D2152" s="1">
        <v>45535</v>
      </c>
      <c r="E2152" s="1">
        <v>45580</v>
      </c>
      <c r="F2152" t="s">
        <v>13</v>
      </c>
      <c r="G2152">
        <v>2929076</v>
      </c>
      <c r="H2152" s="1">
        <v>45589</v>
      </c>
      <c r="I2152" t="s">
        <v>555</v>
      </c>
      <c r="J2152" t="s">
        <v>556</v>
      </c>
      <c r="L2152">
        <v>2929076</v>
      </c>
      <c r="M2152">
        <f>IF(F2152="INR",1,INDEX('rates'!$B$2:$C$522,MATCH(D2152,'rates'!$A$2:$A$522,1),MATCH(F2152&amp;"/INR",'rates'!$B$1:$C$1,0)))</f>
        <v>1</v>
      </c>
      <c r="N2152">
        <f t="shared" si="175"/>
        <v>2929076</v>
      </c>
      <c r="O2152">
        <f t="shared" si="176"/>
        <v>0</v>
      </c>
      <c r="P2152">
        <f t="shared" si="177"/>
        <v>0</v>
      </c>
      <c r="Q2152">
        <f t="shared" si="179"/>
        <v>9</v>
      </c>
      <c r="R2152" t="str">
        <f t="shared" si="178"/>
        <v>Not open</v>
      </c>
    </row>
    <row r="2153" spans="1:18" x14ac:dyDescent="0.3">
      <c r="A2153" t="s">
        <v>2391</v>
      </c>
      <c r="B2153" t="s">
        <v>126</v>
      </c>
      <c r="C2153" t="s">
        <v>558</v>
      </c>
      <c r="D2153" s="1">
        <v>45535</v>
      </c>
      <c r="E2153" s="1">
        <v>45580</v>
      </c>
      <c r="F2153" t="s">
        <v>13</v>
      </c>
      <c r="G2153">
        <v>12386555</v>
      </c>
      <c r="H2153" s="1">
        <v>45577</v>
      </c>
      <c r="I2153" t="s">
        <v>555</v>
      </c>
      <c r="J2153" t="s">
        <v>556</v>
      </c>
      <c r="L2153">
        <v>12386555</v>
      </c>
      <c r="M2153">
        <f>IF(F2153="INR",1,INDEX('rates'!$B$2:$C$522,MATCH(D2153,'rates'!$A$2:$A$522,1),MATCH(F2153&amp;"/INR",'rates'!$B$1:$C$1,0)))</f>
        <v>1</v>
      </c>
      <c r="N2153">
        <f t="shared" si="175"/>
        <v>12386555</v>
      </c>
      <c r="O2153">
        <f t="shared" si="176"/>
        <v>0</v>
      </c>
      <c r="P2153">
        <f t="shared" si="177"/>
        <v>0</v>
      </c>
      <c r="Q2153">
        <f t="shared" si="179"/>
        <v>-3</v>
      </c>
      <c r="R2153" t="str">
        <f t="shared" si="178"/>
        <v>Not open</v>
      </c>
    </row>
    <row r="2154" spans="1:18" x14ac:dyDescent="0.3">
      <c r="A2154" t="s">
        <v>2392</v>
      </c>
      <c r="B2154" t="s">
        <v>286</v>
      </c>
      <c r="C2154" t="s">
        <v>558</v>
      </c>
      <c r="D2154" s="1">
        <v>45535</v>
      </c>
      <c r="E2154" s="1">
        <v>45595</v>
      </c>
      <c r="F2154" t="s">
        <v>36</v>
      </c>
      <c r="G2154">
        <v>28505.97</v>
      </c>
      <c r="H2154" s="1">
        <v>45617</v>
      </c>
      <c r="I2154" t="s">
        <v>555</v>
      </c>
      <c r="J2154" t="s">
        <v>573</v>
      </c>
      <c r="K2154">
        <v>84.109399999999994</v>
      </c>
      <c r="L2154">
        <v>28505.97</v>
      </c>
      <c r="M2154">
        <f>IF(F2154="INR",1,INDEX('rates'!$B$2:$C$522,MATCH(D2154,'rates'!$A$2:$A$522,1),MATCH(F2154&amp;"/INR",'rates'!$B$1:$C$1,0)))</f>
        <v>83.83</v>
      </c>
      <c r="N2154">
        <f t="shared" si="175"/>
        <v>2389655.4651000001</v>
      </c>
      <c r="O2154">
        <f t="shared" si="176"/>
        <v>0</v>
      </c>
      <c r="P2154">
        <f t="shared" si="177"/>
        <v>0</v>
      </c>
      <c r="Q2154">
        <f t="shared" si="179"/>
        <v>22</v>
      </c>
      <c r="R2154" t="str">
        <f t="shared" si="178"/>
        <v>Not open</v>
      </c>
    </row>
    <row r="2155" spans="1:18" x14ac:dyDescent="0.3">
      <c r="A2155" t="s">
        <v>2393</v>
      </c>
      <c r="B2155" t="s">
        <v>488</v>
      </c>
      <c r="C2155" t="s">
        <v>558</v>
      </c>
      <c r="D2155" s="1">
        <v>45535</v>
      </c>
      <c r="E2155" s="1">
        <v>45565</v>
      </c>
      <c r="F2155" t="s">
        <v>31</v>
      </c>
      <c r="G2155">
        <v>97894.11</v>
      </c>
      <c r="H2155" s="1">
        <v>45628</v>
      </c>
      <c r="I2155" t="s">
        <v>555</v>
      </c>
      <c r="J2155" t="s">
        <v>573</v>
      </c>
      <c r="K2155">
        <v>92.808700000000002</v>
      </c>
      <c r="L2155">
        <v>97894.11</v>
      </c>
      <c r="M2155">
        <f>IF(F2155="INR",1,INDEX('rates'!$B$2:$C$522,MATCH(D2155,'rates'!$A$2:$A$522,1),MATCH(F2155&amp;"/INR",'rates'!$B$1:$C$1,0)))</f>
        <v>92.715999999999994</v>
      </c>
      <c r="N2155">
        <f t="shared" si="175"/>
        <v>9076350.3027599994</v>
      </c>
      <c r="O2155">
        <f t="shared" si="176"/>
        <v>0</v>
      </c>
      <c r="P2155">
        <f t="shared" si="177"/>
        <v>0</v>
      </c>
      <c r="Q2155">
        <f t="shared" si="179"/>
        <v>63</v>
      </c>
      <c r="R2155" t="str">
        <f t="shared" si="178"/>
        <v>Not open</v>
      </c>
    </row>
    <row r="2156" spans="1:18" x14ac:dyDescent="0.3">
      <c r="A2156" t="s">
        <v>2394</v>
      </c>
      <c r="B2156" t="s">
        <v>380</v>
      </c>
      <c r="C2156" t="s">
        <v>560</v>
      </c>
      <c r="D2156" s="1">
        <v>45537</v>
      </c>
      <c r="E2156" s="1">
        <v>45597</v>
      </c>
      <c r="F2156" t="s">
        <v>13</v>
      </c>
      <c r="G2156">
        <v>7137454</v>
      </c>
      <c r="H2156" s="1">
        <v>45600</v>
      </c>
      <c r="I2156" t="s">
        <v>555</v>
      </c>
      <c r="J2156" t="s">
        <v>556</v>
      </c>
      <c r="L2156">
        <v>7137454</v>
      </c>
      <c r="M2156">
        <f>IF(F2156="INR",1,INDEX('rates'!$B$2:$C$522,MATCH(D2156,'rates'!$A$2:$A$522,1),MATCH(F2156&amp;"/INR",'rates'!$B$1:$C$1,0)))</f>
        <v>1</v>
      </c>
      <c r="N2156">
        <f t="shared" si="175"/>
        <v>7137454</v>
      </c>
      <c r="O2156">
        <f t="shared" si="176"/>
        <v>0</v>
      </c>
      <c r="P2156">
        <f t="shared" si="177"/>
        <v>0</v>
      </c>
      <c r="Q2156">
        <f t="shared" si="179"/>
        <v>3</v>
      </c>
      <c r="R2156" t="str">
        <f t="shared" si="178"/>
        <v>Not open</v>
      </c>
    </row>
    <row r="2157" spans="1:18" x14ac:dyDescent="0.3">
      <c r="A2157" t="s">
        <v>2396</v>
      </c>
      <c r="B2157" t="s">
        <v>496</v>
      </c>
      <c r="C2157" t="s">
        <v>554</v>
      </c>
      <c r="D2157" s="1">
        <v>45537</v>
      </c>
      <c r="E2157" s="1">
        <v>45582</v>
      </c>
      <c r="F2157" t="s">
        <v>13</v>
      </c>
      <c r="G2157">
        <v>8769575</v>
      </c>
      <c r="H2157" s="1">
        <v>45598</v>
      </c>
      <c r="I2157" t="s">
        <v>555</v>
      </c>
      <c r="J2157" t="s">
        <v>556</v>
      </c>
      <c r="L2157">
        <v>8769575</v>
      </c>
      <c r="M2157">
        <f>IF(F2157="INR",1,INDEX('rates'!$B$2:$C$522,MATCH(D2157,'rates'!$A$2:$A$522,1),MATCH(F2157&amp;"/INR",'rates'!$B$1:$C$1,0)))</f>
        <v>1</v>
      </c>
      <c r="N2157">
        <f t="shared" si="175"/>
        <v>8769575</v>
      </c>
      <c r="O2157">
        <f t="shared" si="176"/>
        <v>0</v>
      </c>
      <c r="P2157">
        <f t="shared" si="177"/>
        <v>0</v>
      </c>
      <c r="Q2157">
        <f t="shared" si="179"/>
        <v>16</v>
      </c>
      <c r="R2157" t="str">
        <f t="shared" si="178"/>
        <v>Not open</v>
      </c>
    </row>
    <row r="2158" spans="1:18" x14ac:dyDescent="0.3">
      <c r="A2158" t="s">
        <v>2397</v>
      </c>
      <c r="B2158" t="s">
        <v>402</v>
      </c>
      <c r="C2158" t="s">
        <v>558</v>
      </c>
      <c r="D2158" s="1">
        <v>45538</v>
      </c>
      <c r="E2158" s="1">
        <v>45598</v>
      </c>
      <c r="F2158" t="s">
        <v>13</v>
      </c>
      <c r="G2158">
        <v>1429617</v>
      </c>
      <c r="H2158" s="1">
        <v>45604</v>
      </c>
      <c r="I2158" t="s">
        <v>555</v>
      </c>
      <c r="J2158" t="s">
        <v>556</v>
      </c>
      <c r="L2158">
        <v>1429617</v>
      </c>
      <c r="M2158">
        <f>IF(F2158="INR",1,INDEX('rates'!$B$2:$C$522,MATCH(D2158,'rates'!$A$2:$A$522,1),MATCH(F2158&amp;"/INR",'rates'!$B$1:$C$1,0)))</f>
        <v>1</v>
      </c>
      <c r="N2158">
        <f t="shared" si="175"/>
        <v>1429617</v>
      </c>
      <c r="O2158">
        <f t="shared" si="176"/>
        <v>0</v>
      </c>
      <c r="P2158">
        <f t="shared" si="177"/>
        <v>0</v>
      </c>
      <c r="Q2158">
        <f t="shared" si="179"/>
        <v>6</v>
      </c>
      <c r="R2158" t="str">
        <f t="shared" si="178"/>
        <v>Not open</v>
      </c>
    </row>
    <row r="2159" spans="1:18" x14ac:dyDescent="0.3">
      <c r="A2159" t="s">
        <v>2398</v>
      </c>
      <c r="B2159" t="s">
        <v>258</v>
      </c>
      <c r="C2159" t="s">
        <v>558</v>
      </c>
      <c r="D2159" s="1">
        <v>45539</v>
      </c>
      <c r="E2159" s="1">
        <v>45584</v>
      </c>
      <c r="F2159" t="s">
        <v>13</v>
      </c>
      <c r="G2159">
        <v>1783708</v>
      </c>
      <c r="H2159" s="1">
        <v>45590</v>
      </c>
      <c r="I2159" t="s">
        <v>555</v>
      </c>
      <c r="J2159" t="s">
        <v>556</v>
      </c>
      <c r="L2159">
        <v>1783708</v>
      </c>
      <c r="M2159">
        <f>IF(F2159="INR",1,INDEX('rates'!$B$2:$C$522,MATCH(D2159,'rates'!$A$2:$A$522,1),MATCH(F2159&amp;"/INR",'rates'!$B$1:$C$1,0)))</f>
        <v>1</v>
      </c>
      <c r="N2159">
        <f t="shared" si="175"/>
        <v>1783708</v>
      </c>
      <c r="O2159">
        <f t="shared" si="176"/>
        <v>0</v>
      </c>
      <c r="P2159">
        <f t="shared" si="177"/>
        <v>0</v>
      </c>
      <c r="Q2159">
        <f t="shared" si="179"/>
        <v>6</v>
      </c>
      <c r="R2159" t="str">
        <f t="shared" si="178"/>
        <v>Not open</v>
      </c>
    </row>
    <row r="2160" spans="1:18" x14ac:dyDescent="0.3">
      <c r="A2160" t="s">
        <v>2399</v>
      </c>
      <c r="B2160" t="s">
        <v>382</v>
      </c>
      <c r="C2160" t="s">
        <v>566</v>
      </c>
      <c r="D2160" s="1">
        <v>45539</v>
      </c>
      <c r="E2160" s="1">
        <v>45629</v>
      </c>
      <c r="F2160" t="s">
        <v>36</v>
      </c>
      <c r="G2160">
        <v>28770.55</v>
      </c>
      <c r="H2160" s="1">
        <v>45638</v>
      </c>
      <c r="I2160" t="s">
        <v>555</v>
      </c>
      <c r="J2160" t="s">
        <v>573</v>
      </c>
      <c r="K2160">
        <v>84.369699999999995</v>
      </c>
      <c r="L2160">
        <v>28770.55</v>
      </c>
      <c r="M2160">
        <f>IF(F2160="INR",1,INDEX('rates'!$B$2:$C$522,MATCH(D2160,'rates'!$A$2:$A$522,1),MATCH(F2160&amp;"/INR",'rates'!$B$1:$C$1,0)))</f>
        <v>83.95</v>
      </c>
      <c r="N2160">
        <f t="shared" si="175"/>
        <v>2415287.6724999999</v>
      </c>
      <c r="O2160">
        <f t="shared" si="176"/>
        <v>0</v>
      </c>
      <c r="P2160">
        <f t="shared" si="177"/>
        <v>0</v>
      </c>
      <c r="Q2160">
        <f t="shared" si="179"/>
        <v>9</v>
      </c>
      <c r="R2160" t="str">
        <f t="shared" si="178"/>
        <v>Not open</v>
      </c>
    </row>
    <row r="2161" spans="1:18" x14ac:dyDescent="0.3">
      <c r="A2161" t="s">
        <v>2400</v>
      </c>
      <c r="B2161" t="s">
        <v>144</v>
      </c>
      <c r="C2161" t="s">
        <v>554</v>
      </c>
      <c r="D2161" s="1">
        <v>45540</v>
      </c>
      <c r="E2161" s="1">
        <v>45570</v>
      </c>
      <c r="F2161" t="s">
        <v>13</v>
      </c>
      <c r="G2161">
        <v>2795847</v>
      </c>
      <c r="H2161" s="1"/>
      <c r="I2161" t="s">
        <v>555</v>
      </c>
      <c r="J2161" t="s">
        <v>556</v>
      </c>
      <c r="L2161">
        <v>2795847</v>
      </c>
      <c r="M2161">
        <f>IF(F2161="INR",1,INDEX('rates'!$B$2:$C$522,MATCH(D2161,'rates'!$A$2:$A$522,1),MATCH(F2161&amp;"/INR",'rates'!$B$1:$C$1,0)))</f>
        <v>1</v>
      </c>
      <c r="N2161">
        <f t="shared" si="175"/>
        <v>2795847</v>
      </c>
      <c r="O2161">
        <f t="shared" si="176"/>
        <v>0</v>
      </c>
      <c r="P2161">
        <f t="shared" si="177"/>
        <v>0</v>
      </c>
      <c r="Q2161" t="str">
        <f t="shared" si="179"/>
        <v/>
      </c>
      <c r="R2161" t="str">
        <f t="shared" si="178"/>
        <v>Not open</v>
      </c>
    </row>
    <row r="2162" spans="1:18" x14ac:dyDescent="0.3">
      <c r="A2162" t="s">
        <v>2401</v>
      </c>
      <c r="B2162" t="s">
        <v>286</v>
      </c>
      <c r="C2162" t="s">
        <v>558</v>
      </c>
      <c r="D2162" s="1">
        <v>45540</v>
      </c>
      <c r="E2162" s="1">
        <v>45600</v>
      </c>
      <c r="F2162" t="s">
        <v>36</v>
      </c>
      <c r="G2162">
        <v>44886.03</v>
      </c>
      <c r="H2162" s="1">
        <v>45625</v>
      </c>
      <c r="I2162" t="s">
        <v>555</v>
      </c>
      <c r="J2162" t="s">
        <v>556</v>
      </c>
      <c r="L2162">
        <v>44886.03</v>
      </c>
      <c r="M2162">
        <f>IF(F2162="INR",1,INDEX('rates'!$B$2:$C$522,MATCH(D2162,'rates'!$A$2:$A$522,1),MATCH(F2162&amp;"/INR",'rates'!$B$1:$C$1,0)))</f>
        <v>83.96</v>
      </c>
      <c r="N2162">
        <f t="shared" si="175"/>
        <v>3768631.0787999998</v>
      </c>
      <c r="O2162">
        <f t="shared" si="176"/>
        <v>0</v>
      </c>
      <c r="P2162">
        <f t="shared" si="177"/>
        <v>0</v>
      </c>
      <c r="Q2162">
        <f t="shared" si="179"/>
        <v>25</v>
      </c>
      <c r="R2162" t="str">
        <f t="shared" si="178"/>
        <v>Not open</v>
      </c>
    </row>
    <row r="2163" spans="1:18" x14ac:dyDescent="0.3">
      <c r="A2163" t="s">
        <v>2402</v>
      </c>
      <c r="B2163" t="s">
        <v>436</v>
      </c>
      <c r="C2163" t="s">
        <v>566</v>
      </c>
      <c r="D2163" s="1">
        <v>45540</v>
      </c>
      <c r="E2163" s="1">
        <v>45585</v>
      </c>
      <c r="F2163" t="s">
        <v>36</v>
      </c>
      <c r="G2163">
        <v>173513.78</v>
      </c>
      <c r="H2163" s="1">
        <v>45603</v>
      </c>
      <c r="I2163" t="s">
        <v>555</v>
      </c>
      <c r="J2163" t="s">
        <v>556</v>
      </c>
      <c r="L2163">
        <v>173513.78</v>
      </c>
      <c r="M2163">
        <f>IF(F2163="INR",1,INDEX('rates'!$B$2:$C$522,MATCH(D2163,'rates'!$A$2:$A$522,1),MATCH(F2163&amp;"/INR",'rates'!$B$1:$C$1,0)))</f>
        <v>83.96</v>
      </c>
      <c r="N2163">
        <f t="shared" si="175"/>
        <v>14568216.968799999</v>
      </c>
      <c r="O2163">
        <f t="shared" si="176"/>
        <v>0</v>
      </c>
      <c r="P2163">
        <f t="shared" si="177"/>
        <v>0</v>
      </c>
      <c r="Q2163">
        <f t="shared" si="179"/>
        <v>18</v>
      </c>
      <c r="R2163" t="str">
        <f t="shared" si="178"/>
        <v>Not open</v>
      </c>
    </row>
    <row r="2164" spans="1:18" x14ac:dyDescent="0.3">
      <c r="A2164" t="s">
        <v>2403</v>
      </c>
      <c r="B2164" t="s">
        <v>486</v>
      </c>
      <c r="C2164" t="s">
        <v>554</v>
      </c>
      <c r="D2164" s="1">
        <v>45540</v>
      </c>
      <c r="E2164" s="1">
        <v>45585</v>
      </c>
      <c r="F2164" t="s">
        <v>13</v>
      </c>
      <c r="G2164">
        <v>8045851</v>
      </c>
      <c r="H2164" s="1">
        <v>45646</v>
      </c>
      <c r="I2164" t="s">
        <v>555</v>
      </c>
      <c r="J2164" t="s">
        <v>556</v>
      </c>
      <c r="L2164">
        <v>8045851</v>
      </c>
      <c r="M2164">
        <f>IF(F2164="INR",1,INDEX('rates'!$B$2:$C$522,MATCH(D2164,'rates'!$A$2:$A$522,1),MATCH(F2164&amp;"/INR",'rates'!$B$1:$C$1,0)))</f>
        <v>1</v>
      </c>
      <c r="N2164">
        <f t="shared" si="175"/>
        <v>8045851</v>
      </c>
      <c r="O2164">
        <f t="shared" si="176"/>
        <v>0</v>
      </c>
      <c r="P2164">
        <f t="shared" si="177"/>
        <v>0</v>
      </c>
      <c r="Q2164">
        <f t="shared" si="179"/>
        <v>61</v>
      </c>
      <c r="R2164" t="str">
        <f t="shared" si="178"/>
        <v>Not open</v>
      </c>
    </row>
    <row r="2165" spans="1:18" x14ac:dyDescent="0.3">
      <c r="A2165" t="s">
        <v>2404</v>
      </c>
      <c r="B2165" t="s">
        <v>16</v>
      </c>
      <c r="C2165" t="s">
        <v>575</v>
      </c>
      <c r="D2165" s="1">
        <v>45541</v>
      </c>
      <c r="E2165" s="1">
        <v>45586</v>
      </c>
      <c r="F2165" t="s">
        <v>13</v>
      </c>
      <c r="G2165">
        <v>3471047</v>
      </c>
      <c r="H2165" s="1">
        <v>45609</v>
      </c>
      <c r="I2165" t="s">
        <v>555</v>
      </c>
      <c r="J2165" t="s">
        <v>556</v>
      </c>
      <c r="L2165">
        <v>3471047</v>
      </c>
      <c r="M2165">
        <f>IF(F2165="INR",1,INDEX('rates'!$B$2:$C$522,MATCH(D2165,'rates'!$A$2:$A$522,1),MATCH(F2165&amp;"/INR",'rates'!$B$1:$C$1,0)))</f>
        <v>1</v>
      </c>
      <c r="N2165">
        <f t="shared" si="175"/>
        <v>3471047</v>
      </c>
      <c r="O2165">
        <f t="shared" si="176"/>
        <v>0</v>
      </c>
      <c r="P2165">
        <f t="shared" si="177"/>
        <v>0</v>
      </c>
      <c r="Q2165">
        <f t="shared" si="179"/>
        <v>23</v>
      </c>
      <c r="R2165" t="str">
        <f t="shared" si="178"/>
        <v>Not open</v>
      </c>
    </row>
    <row r="2166" spans="1:18" x14ac:dyDescent="0.3">
      <c r="A2166" t="s">
        <v>2405</v>
      </c>
      <c r="B2166" t="s">
        <v>22</v>
      </c>
      <c r="C2166" t="s">
        <v>554</v>
      </c>
      <c r="D2166" s="1">
        <v>45542</v>
      </c>
      <c r="E2166" s="1">
        <v>45587</v>
      </c>
      <c r="F2166" t="s">
        <v>13</v>
      </c>
      <c r="G2166">
        <v>11138767</v>
      </c>
      <c r="H2166" s="1">
        <v>45592</v>
      </c>
      <c r="I2166" t="s">
        <v>555</v>
      </c>
      <c r="J2166" t="s">
        <v>556</v>
      </c>
      <c r="L2166">
        <v>11138767</v>
      </c>
      <c r="M2166">
        <f>IF(F2166="INR",1,INDEX('rates'!$B$2:$C$522,MATCH(D2166,'rates'!$A$2:$A$522,1),MATCH(F2166&amp;"/INR",'rates'!$B$1:$C$1,0)))</f>
        <v>1</v>
      </c>
      <c r="N2166">
        <f t="shared" si="175"/>
        <v>11138767</v>
      </c>
      <c r="O2166">
        <f t="shared" si="176"/>
        <v>0</v>
      </c>
      <c r="P2166">
        <f t="shared" si="177"/>
        <v>0</v>
      </c>
      <c r="Q2166">
        <f t="shared" si="179"/>
        <v>5</v>
      </c>
      <c r="R2166" t="str">
        <f t="shared" si="178"/>
        <v>Not open</v>
      </c>
    </row>
    <row r="2167" spans="1:18" x14ac:dyDescent="0.3">
      <c r="A2167" t="s">
        <v>2406</v>
      </c>
      <c r="B2167" t="s">
        <v>89</v>
      </c>
      <c r="C2167" t="s">
        <v>558</v>
      </c>
      <c r="D2167" s="1">
        <v>45542</v>
      </c>
      <c r="E2167" s="1">
        <v>45572</v>
      </c>
      <c r="F2167" t="s">
        <v>13</v>
      </c>
      <c r="G2167">
        <v>3092015</v>
      </c>
      <c r="H2167" s="1">
        <v>45579</v>
      </c>
      <c r="I2167" t="s">
        <v>555</v>
      </c>
      <c r="J2167" t="s">
        <v>556</v>
      </c>
      <c r="L2167">
        <v>3092015</v>
      </c>
      <c r="M2167">
        <f>IF(F2167="INR",1,INDEX('rates'!$B$2:$C$522,MATCH(D2167,'rates'!$A$2:$A$522,1),MATCH(F2167&amp;"/INR",'rates'!$B$1:$C$1,0)))</f>
        <v>1</v>
      </c>
      <c r="N2167">
        <f t="shared" si="175"/>
        <v>3092015</v>
      </c>
      <c r="O2167">
        <f t="shared" si="176"/>
        <v>0</v>
      </c>
      <c r="P2167">
        <f t="shared" si="177"/>
        <v>0</v>
      </c>
      <c r="Q2167">
        <f t="shared" si="179"/>
        <v>7</v>
      </c>
      <c r="R2167" t="str">
        <f t="shared" si="178"/>
        <v>Not open</v>
      </c>
    </row>
    <row r="2168" spans="1:18" x14ac:dyDescent="0.3">
      <c r="A2168" t="s">
        <v>2407</v>
      </c>
      <c r="B2168" t="s">
        <v>166</v>
      </c>
      <c r="C2168" t="s">
        <v>560</v>
      </c>
      <c r="D2168" s="1">
        <v>45542</v>
      </c>
      <c r="E2168" s="1">
        <v>45602</v>
      </c>
      <c r="F2168" t="s">
        <v>13</v>
      </c>
      <c r="G2168">
        <v>12703920</v>
      </c>
      <c r="H2168" s="1">
        <v>45608</v>
      </c>
      <c r="I2168" t="s">
        <v>555</v>
      </c>
      <c r="J2168" t="s">
        <v>556</v>
      </c>
      <c r="L2168">
        <v>12703920</v>
      </c>
      <c r="M2168">
        <f>IF(F2168="INR",1,INDEX('rates'!$B$2:$C$522,MATCH(D2168,'rates'!$A$2:$A$522,1),MATCH(F2168&amp;"/INR",'rates'!$B$1:$C$1,0)))</f>
        <v>1</v>
      </c>
      <c r="N2168">
        <f t="shared" si="175"/>
        <v>12703920</v>
      </c>
      <c r="O2168">
        <f t="shared" si="176"/>
        <v>0</v>
      </c>
      <c r="P2168">
        <f t="shared" si="177"/>
        <v>0</v>
      </c>
      <c r="Q2168">
        <f t="shared" si="179"/>
        <v>6</v>
      </c>
      <c r="R2168" t="str">
        <f t="shared" si="178"/>
        <v>Not open</v>
      </c>
    </row>
    <row r="2169" spans="1:18" x14ac:dyDescent="0.3">
      <c r="A2169" t="s">
        <v>2408</v>
      </c>
      <c r="B2169" t="s">
        <v>208</v>
      </c>
      <c r="C2169" t="s">
        <v>566</v>
      </c>
      <c r="D2169" s="1">
        <v>45542</v>
      </c>
      <c r="E2169" s="1">
        <v>45587</v>
      </c>
      <c r="F2169" t="s">
        <v>13</v>
      </c>
      <c r="G2169">
        <v>3051393</v>
      </c>
      <c r="H2169" s="1">
        <v>45581</v>
      </c>
      <c r="I2169" t="s">
        <v>555</v>
      </c>
      <c r="J2169" t="s">
        <v>556</v>
      </c>
      <c r="L2169">
        <v>3051393</v>
      </c>
      <c r="M2169">
        <f>IF(F2169="INR",1,INDEX('rates'!$B$2:$C$522,MATCH(D2169,'rates'!$A$2:$A$522,1),MATCH(F2169&amp;"/INR",'rates'!$B$1:$C$1,0)))</f>
        <v>1</v>
      </c>
      <c r="N2169">
        <f t="shared" si="175"/>
        <v>3051393</v>
      </c>
      <c r="O2169">
        <f t="shared" si="176"/>
        <v>0</v>
      </c>
      <c r="P2169">
        <f t="shared" si="177"/>
        <v>0</v>
      </c>
      <c r="Q2169">
        <f t="shared" si="179"/>
        <v>-6</v>
      </c>
      <c r="R2169" t="str">
        <f t="shared" si="178"/>
        <v>Not open</v>
      </c>
    </row>
    <row r="2170" spans="1:18" x14ac:dyDescent="0.3">
      <c r="A2170" t="s">
        <v>2409</v>
      </c>
      <c r="B2170" t="s">
        <v>368</v>
      </c>
      <c r="C2170" t="s">
        <v>566</v>
      </c>
      <c r="D2170" s="1">
        <v>45542</v>
      </c>
      <c r="E2170" s="1">
        <v>45602</v>
      </c>
      <c r="F2170" t="s">
        <v>36</v>
      </c>
      <c r="G2170">
        <v>143478.01</v>
      </c>
      <c r="H2170" s="1">
        <v>45636</v>
      </c>
      <c r="I2170" t="s">
        <v>555</v>
      </c>
      <c r="J2170" t="s">
        <v>573</v>
      </c>
      <c r="K2170">
        <v>84.189700000000002</v>
      </c>
      <c r="L2170">
        <v>143478.01</v>
      </c>
      <c r="M2170">
        <f>IF(F2170="INR",1,INDEX('rates'!$B$2:$C$522,MATCH(D2170,'rates'!$A$2:$A$522,1),MATCH(F2170&amp;"/INR",'rates'!$B$1:$C$1,0)))</f>
        <v>83.91</v>
      </c>
      <c r="N2170">
        <f t="shared" si="175"/>
        <v>12039239.8191</v>
      </c>
      <c r="O2170">
        <f t="shared" si="176"/>
        <v>0</v>
      </c>
      <c r="P2170">
        <f t="shared" si="177"/>
        <v>0</v>
      </c>
      <c r="Q2170">
        <f t="shared" si="179"/>
        <v>34</v>
      </c>
      <c r="R2170" t="str">
        <f t="shared" si="178"/>
        <v>Not open</v>
      </c>
    </row>
    <row r="2171" spans="1:18" x14ac:dyDescent="0.3">
      <c r="A2171" t="s">
        <v>2410</v>
      </c>
      <c r="B2171" t="s">
        <v>262</v>
      </c>
      <c r="C2171" t="s">
        <v>566</v>
      </c>
      <c r="D2171" s="1">
        <v>45544</v>
      </c>
      <c r="E2171" s="1">
        <v>45634</v>
      </c>
      <c r="F2171" t="s">
        <v>31</v>
      </c>
      <c r="G2171">
        <v>39021.230000000003</v>
      </c>
      <c r="H2171" s="1">
        <v>45639</v>
      </c>
      <c r="I2171" t="s">
        <v>555</v>
      </c>
      <c r="J2171" t="s">
        <v>573</v>
      </c>
      <c r="K2171">
        <v>92.953500000000005</v>
      </c>
      <c r="L2171">
        <v>39021.230000000003</v>
      </c>
      <c r="M2171">
        <f>IF(F2171="INR",1,INDEX('rates'!$B$2:$C$522,MATCH(D2171,'rates'!$A$2:$A$522,1),MATCH(F2171&amp;"/INR",'rates'!$B$1:$C$1,0)))</f>
        <v>92.6755</v>
      </c>
      <c r="N2171">
        <f t="shared" si="175"/>
        <v>3616312.0008650003</v>
      </c>
      <c r="O2171">
        <f t="shared" si="176"/>
        <v>0</v>
      </c>
      <c r="P2171">
        <f t="shared" si="177"/>
        <v>0</v>
      </c>
      <c r="Q2171">
        <f t="shared" si="179"/>
        <v>5</v>
      </c>
      <c r="R2171" t="str">
        <f t="shared" si="178"/>
        <v>Not open</v>
      </c>
    </row>
    <row r="2172" spans="1:18" x14ac:dyDescent="0.3">
      <c r="A2172" t="s">
        <v>2411</v>
      </c>
      <c r="B2172" t="s">
        <v>516</v>
      </c>
      <c r="C2172" t="s">
        <v>560</v>
      </c>
      <c r="D2172" s="1">
        <v>45544</v>
      </c>
      <c r="E2172" s="1">
        <v>45604</v>
      </c>
      <c r="F2172" t="s">
        <v>13</v>
      </c>
      <c r="G2172">
        <v>5584059</v>
      </c>
      <c r="H2172" s="1">
        <v>45610</v>
      </c>
      <c r="I2172" t="s">
        <v>555</v>
      </c>
      <c r="J2172" t="s">
        <v>556</v>
      </c>
      <c r="L2172">
        <v>5584059</v>
      </c>
      <c r="M2172">
        <f>IF(F2172="INR",1,INDEX('rates'!$B$2:$C$522,MATCH(D2172,'rates'!$A$2:$A$522,1),MATCH(F2172&amp;"/INR",'rates'!$B$1:$C$1,0)))</f>
        <v>1</v>
      </c>
      <c r="N2172">
        <f t="shared" si="175"/>
        <v>5584059</v>
      </c>
      <c r="O2172">
        <f t="shared" si="176"/>
        <v>0</v>
      </c>
      <c r="P2172">
        <f t="shared" si="177"/>
        <v>0</v>
      </c>
      <c r="Q2172">
        <f t="shared" si="179"/>
        <v>6</v>
      </c>
      <c r="R2172" t="str">
        <f t="shared" si="178"/>
        <v>Not open</v>
      </c>
    </row>
    <row r="2173" spans="1:18" x14ac:dyDescent="0.3">
      <c r="A2173" t="s">
        <v>2412</v>
      </c>
      <c r="B2173" t="s">
        <v>186</v>
      </c>
      <c r="C2173" t="s">
        <v>558</v>
      </c>
      <c r="D2173" s="1">
        <v>45545</v>
      </c>
      <c r="E2173" s="1">
        <v>45575</v>
      </c>
      <c r="F2173" t="s">
        <v>36</v>
      </c>
      <c r="G2173">
        <v>81937.63</v>
      </c>
      <c r="H2173" s="1">
        <v>45594</v>
      </c>
      <c r="I2173" t="s">
        <v>555</v>
      </c>
      <c r="J2173" t="s">
        <v>556</v>
      </c>
      <c r="L2173">
        <v>81937.63</v>
      </c>
      <c r="M2173">
        <f>IF(F2173="INR",1,INDEX('rates'!$B$2:$C$522,MATCH(D2173,'rates'!$A$2:$A$522,1),MATCH(F2173&amp;"/INR",'rates'!$B$1:$C$1,0)))</f>
        <v>83.95</v>
      </c>
      <c r="N2173">
        <f t="shared" si="175"/>
        <v>6878664.0385000007</v>
      </c>
      <c r="O2173">
        <f t="shared" si="176"/>
        <v>0</v>
      </c>
      <c r="P2173">
        <f t="shared" si="177"/>
        <v>0</v>
      </c>
      <c r="Q2173">
        <f t="shared" si="179"/>
        <v>19</v>
      </c>
      <c r="R2173" t="str">
        <f t="shared" si="178"/>
        <v>Not open</v>
      </c>
    </row>
    <row r="2174" spans="1:18" x14ac:dyDescent="0.3">
      <c r="A2174" t="s">
        <v>2413</v>
      </c>
      <c r="B2174" t="s">
        <v>358</v>
      </c>
      <c r="C2174" t="s">
        <v>575</v>
      </c>
      <c r="D2174" s="1">
        <v>45545</v>
      </c>
      <c r="E2174" s="1">
        <v>45590</v>
      </c>
      <c r="F2174" t="s">
        <v>13</v>
      </c>
      <c r="G2174">
        <v>1588705</v>
      </c>
      <c r="H2174" s="1">
        <v>45599</v>
      </c>
      <c r="I2174" t="s">
        <v>555</v>
      </c>
      <c r="J2174" t="s">
        <v>556</v>
      </c>
      <c r="L2174">
        <v>1588705</v>
      </c>
      <c r="M2174">
        <f>IF(F2174="INR",1,INDEX('rates'!$B$2:$C$522,MATCH(D2174,'rates'!$A$2:$A$522,1),MATCH(F2174&amp;"/INR",'rates'!$B$1:$C$1,0)))</f>
        <v>1</v>
      </c>
      <c r="N2174">
        <f t="shared" si="175"/>
        <v>1588705</v>
      </c>
      <c r="O2174">
        <f t="shared" si="176"/>
        <v>0</v>
      </c>
      <c r="P2174">
        <f t="shared" si="177"/>
        <v>0</v>
      </c>
      <c r="Q2174">
        <f t="shared" si="179"/>
        <v>9</v>
      </c>
      <c r="R2174" t="str">
        <f t="shared" si="178"/>
        <v>Not open</v>
      </c>
    </row>
    <row r="2175" spans="1:18" x14ac:dyDescent="0.3">
      <c r="A2175" t="s">
        <v>2414</v>
      </c>
      <c r="B2175" t="s">
        <v>512</v>
      </c>
      <c r="C2175" t="s">
        <v>566</v>
      </c>
      <c r="D2175" s="1">
        <v>45545</v>
      </c>
      <c r="E2175" s="1">
        <v>45605</v>
      </c>
      <c r="F2175" t="s">
        <v>31</v>
      </c>
      <c r="G2175">
        <v>202358.82</v>
      </c>
      <c r="H2175" s="1">
        <v>45673</v>
      </c>
      <c r="I2175" t="s">
        <v>555</v>
      </c>
      <c r="J2175" t="s">
        <v>573</v>
      </c>
      <c r="K2175">
        <v>92.74</v>
      </c>
      <c r="L2175">
        <v>202358.82</v>
      </c>
      <c r="M2175">
        <f>IF(F2175="INR",1,INDEX('rates'!$B$2:$C$522,MATCH(D2175,'rates'!$A$2:$A$522,1),MATCH(F2175&amp;"/INR",'rates'!$B$1:$C$1,0)))</f>
        <v>92.554900000000004</v>
      </c>
      <c r="N2175">
        <f t="shared" si="175"/>
        <v>18729300.349218</v>
      </c>
      <c r="O2175">
        <f t="shared" si="176"/>
        <v>0</v>
      </c>
      <c r="P2175">
        <f t="shared" si="177"/>
        <v>0</v>
      </c>
      <c r="Q2175">
        <f t="shared" si="179"/>
        <v>68</v>
      </c>
      <c r="R2175" t="str">
        <f t="shared" si="178"/>
        <v>Not open</v>
      </c>
    </row>
    <row r="2176" spans="1:18" x14ac:dyDescent="0.3">
      <c r="A2176" t="s">
        <v>2415</v>
      </c>
      <c r="B2176" t="s">
        <v>220</v>
      </c>
      <c r="C2176" t="s">
        <v>560</v>
      </c>
      <c r="D2176" s="1">
        <v>45546</v>
      </c>
      <c r="E2176" s="1">
        <v>45636</v>
      </c>
      <c r="F2176" t="s">
        <v>31</v>
      </c>
      <c r="G2176">
        <v>96130.78</v>
      </c>
      <c r="H2176" s="1">
        <v>45648</v>
      </c>
      <c r="I2176" t="s">
        <v>555</v>
      </c>
      <c r="J2176" t="s">
        <v>556</v>
      </c>
      <c r="L2176">
        <v>96130.78</v>
      </c>
      <c r="M2176">
        <f>IF(F2176="INR",1,INDEX('rates'!$B$2:$C$522,MATCH(D2176,'rates'!$A$2:$A$522,1),MATCH(F2176&amp;"/INR",'rates'!$B$1:$C$1,0)))</f>
        <v>92.445700000000002</v>
      </c>
      <c r="N2176">
        <f t="shared" si="175"/>
        <v>8886877.2486460004</v>
      </c>
      <c r="O2176">
        <f t="shared" si="176"/>
        <v>0</v>
      </c>
      <c r="P2176">
        <f t="shared" si="177"/>
        <v>0</v>
      </c>
      <c r="Q2176">
        <f t="shared" si="179"/>
        <v>12</v>
      </c>
      <c r="R2176" t="str">
        <f t="shared" si="178"/>
        <v>Not open</v>
      </c>
    </row>
    <row r="2177" spans="1:18" x14ac:dyDescent="0.3">
      <c r="A2177" t="s">
        <v>2416</v>
      </c>
      <c r="B2177" t="s">
        <v>238</v>
      </c>
      <c r="C2177" t="s">
        <v>566</v>
      </c>
      <c r="D2177" s="1">
        <v>45546</v>
      </c>
      <c r="E2177" s="1">
        <v>45606</v>
      </c>
      <c r="F2177" t="s">
        <v>31</v>
      </c>
      <c r="G2177">
        <v>153494.37</v>
      </c>
      <c r="H2177" s="1">
        <v>45617</v>
      </c>
      <c r="I2177" t="s">
        <v>555</v>
      </c>
      <c r="J2177" t="s">
        <v>573</v>
      </c>
      <c r="K2177">
        <v>92.630600000000001</v>
      </c>
      <c r="L2177">
        <v>153494.37</v>
      </c>
      <c r="M2177">
        <f>IF(F2177="INR",1,INDEX('rates'!$B$2:$C$522,MATCH(D2177,'rates'!$A$2:$A$522,1),MATCH(F2177&amp;"/INR",'rates'!$B$1:$C$1,0)))</f>
        <v>92.445700000000002</v>
      </c>
      <c r="N2177">
        <f t="shared" si="175"/>
        <v>14189894.480709</v>
      </c>
      <c r="O2177">
        <f t="shared" si="176"/>
        <v>0</v>
      </c>
      <c r="P2177">
        <f t="shared" si="177"/>
        <v>0</v>
      </c>
      <c r="Q2177">
        <f t="shared" si="179"/>
        <v>11</v>
      </c>
      <c r="R2177" t="str">
        <f t="shared" si="178"/>
        <v>Not open</v>
      </c>
    </row>
    <row r="2178" spans="1:18" x14ac:dyDescent="0.3">
      <c r="A2178" t="s">
        <v>2417</v>
      </c>
      <c r="B2178" t="s">
        <v>318</v>
      </c>
      <c r="C2178" t="s">
        <v>558</v>
      </c>
      <c r="D2178" s="1">
        <v>45546</v>
      </c>
      <c r="E2178" s="1">
        <v>45606</v>
      </c>
      <c r="F2178" t="s">
        <v>36</v>
      </c>
      <c r="G2178">
        <v>78784.36</v>
      </c>
      <c r="H2178" s="1">
        <v>45620</v>
      </c>
      <c r="I2178" t="s">
        <v>555</v>
      </c>
      <c r="J2178" t="s">
        <v>573</v>
      </c>
      <c r="K2178">
        <v>84.229799999999997</v>
      </c>
      <c r="L2178">
        <v>78784.36</v>
      </c>
      <c r="M2178">
        <f>IF(F2178="INR",1,INDEX('rates'!$B$2:$C$522,MATCH(D2178,'rates'!$A$2:$A$522,1),MATCH(F2178&amp;"/INR",'rates'!$B$1:$C$1,0)))</f>
        <v>83.95</v>
      </c>
      <c r="N2178">
        <f t="shared" ref="N2178:N2241" si="180">G2178*M2178</f>
        <v>6613947.0219999999</v>
      </c>
      <c r="O2178">
        <f t="shared" ref="O2178:O2241" si="181">IF(OR(I2178="OPEN",I2178="PARTIALLY PAID"),(G2178-L2178)*M2178,0)</f>
        <v>0</v>
      </c>
      <c r="P2178">
        <f t="shared" ref="P2178:P2241" si="182">IF(O2178&gt;0,MAX(0,DATE(2025,3,31)-E2178),0)</f>
        <v>0</v>
      </c>
      <c r="Q2178">
        <f t="shared" si="179"/>
        <v>14</v>
      </c>
      <c r="R2178" t="str">
        <f t="shared" ref="R2178:R2241" si="183">IF(O2178=0,"Not open",IF(P2178=0,"Not yet due",IF(P2178&lt;=30,"1-30",IF(P2178&lt;=60,"31-60",IF(P2178&lt;=90,"61-90","90+")))))</f>
        <v>Not open</v>
      </c>
    </row>
    <row r="2179" spans="1:18" x14ac:dyDescent="0.3">
      <c r="A2179" t="s">
        <v>2418</v>
      </c>
      <c r="B2179" t="s">
        <v>472</v>
      </c>
      <c r="C2179" t="s">
        <v>558</v>
      </c>
      <c r="D2179" s="1">
        <v>45546</v>
      </c>
      <c r="E2179" s="1">
        <v>45606</v>
      </c>
      <c r="F2179" t="s">
        <v>36</v>
      </c>
      <c r="G2179">
        <v>67793.289999999994</v>
      </c>
      <c r="H2179" s="1">
        <v>45613</v>
      </c>
      <c r="I2179" t="s">
        <v>555</v>
      </c>
      <c r="J2179" t="s">
        <v>556</v>
      </c>
      <c r="L2179">
        <v>67793.289999999994</v>
      </c>
      <c r="M2179">
        <f>IF(F2179="INR",1,INDEX('rates'!$B$2:$C$522,MATCH(D2179,'rates'!$A$2:$A$522,1),MATCH(F2179&amp;"/INR",'rates'!$B$1:$C$1,0)))</f>
        <v>83.95</v>
      </c>
      <c r="N2179">
        <f t="shared" si="180"/>
        <v>5691246.6954999994</v>
      </c>
      <c r="O2179">
        <f t="shared" si="181"/>
        <v>0</v>
      </c>
      <c r="P2179">
        <f t="shared" si="182"/>
        <v>0</v>
      </c>
      <c r="Q2179">
        <f t="shared" si="179"/>
        <v>7</v>
      </c>
      <c r="R2179" t="str">
        <f t="shared" si="183"/>
        <v>Not open</v>
      </c>
    </row>
    <row r="2180" spans="1:18" x14ac:dyDescent="0.3">
      <c r="A2180" t="s">
        <v>2419</v>
      </c>
      <c r="B2180" t="s">
        <v>55</v>
      </c>
      <c r="C2180" t="s">
        <v>575</v>
      </c>
      <c r="D2180" s="1">
        <v>45547</v>
      </c>
      <c r="E2180" s="1">
        <v>45592</v>
      </c>
      <c r="F2180" t="s">
        <v>36</v>
      </c>
      <c r="G2180">
        <v>93036.12</v>
      </c>
      <c r="H2180" s="1">
        <v>45605</v>
      </c>
      <c r="I2180" t="s">
        <v>555</v>
      </c>
      <c r="J2180" t="s">
        <v>556</v>
      </c>
      <c r="L2180">
        <v>93036.12</v>
      </c>
      <c r="M2180">
        <f>IF(F2180="INR",1,INDEX('rates'!$B$2:$C$522,MATCH(D2180,'rates'!$A$2:$A$522,1),MATCH(F2180&amp;"/INR",'rates'!$B$1:$C$1,0)))</f>
        <v>83.92</v>
      </c>
      <c r="N2180">
        <f t="shared" si="180"/>
        <v>7807591.1903999997</v>
      </c>
      <c r="O2180">
        <f t="shared" si="181"/>
        <v>0</v>
      </c>
      <c r="P2180">
        <f t="shared" si="182"/>
        <v>0</v>
      </c>
      <c r="Q2180">
        <f t="shared" si="179"/>
        <v>13</v>
      </c>
      <c r="R2180" t="str">
        <f t="shared" si="183"/>
        <v>Not open</v>
      </c>
    </row>
    <row r="2181" spans="1:18" x14ac:dyDescent="0.3">
      <c r="A2181" t="s">
        <v>2420</v>
      </c>
      <c r="B2181" t="s">
        <v>496</v>
      </c>
      <c r="C2181" t="s">
        <v>554</v>
      </c>
      <c r="D2181" s="1">
        <v>45547</v>
      </c>
      <c r="E2181" s="1">
        <v>45592</v>
      </c>
      <c r="F2181" t="s">
        <v>13</v>
      </c>
      <c r="G2181">
        <v>2580076</v>
      </c>
      <c r="H2181" s="1">
        <v>45602</v>
      </c>
      <c r="I2181" t="s">
        <v>555</v>
      </c>
      <c r="J2181" t="s">
        <v>556</v>
      </c>
      <c r="L2181">
        <v>2580076</v>
      </c>
      <c r="M2181">
        <f>IF(F2181="INR",1,INDEX('rates'!$B$2:$C$522,MATCH(D2181,'rates'!$A$2:$A$522,1),MATCH(F2181&amp;"/INR",'rates'!$B$1:$C$1,0)))</f>
        <v>1</v>
      </c>
      <c r="N2181">
        <f t="shared" si="180"/>
        <v>2580076</v>
      </c>
      <c r="O2181">
        <f t="shared" si="181"/>
        <v>0</v>
      </c>
      <c r="P2181">
        <f t="shared" si="182"/>
        <v>0</v>
      </c>
      <c r="Q2181">
        <f t="shared" si="179"/>
        <v>10</v>
      </c>
      <c r="R2181" t="str">
        <f t="shared" si="183"/>
        <v>Not open</v>
      </c>
    </row>
    <row r="2182" spans="1:18" x14ac:dyDescent="0.3">
      <c r="A2182" t="s">
        <v>2421</v>
      </c>
      <c r="B2182" t="s">
        <v>512</v>
      </c>
      <c r="C2182" t="s">
        <v>566</v>
      </c>
      <c r="D2182" s="1">
        <v>45547</v>
      </c>
      <c r="E2182" s="1">
        <v>45607</v>
      </c>
      <c r="F2182" t="s">
        <v>31</v>
      </c>
      <c r="G2182">
        <v>144427.13</v>
      </c>
      <c r="H2182" s="1">
        <v>45632</v>
      </c>
      <c r="I2182" t="s">
        <v>555</v>
      </c>
      <c r="J2182" t="s">
        <v>573</v>
      </c>
      <c r="K2182">
        <v>92.841399999999993</v>
      </c>
      <c r="L2182">
        <v>144427.13</v>
      </c>
      <c r="M2182">
        <f>IF(F2182="INR",1,INDEX('rates'!$B$2:$C$522,MATCH(D2182,'rates'!$A$2:$A$522,1),MATCH(F2182&amp;"/INR",'rates'!$B$1:$C$1,0)))</f>
        <v>92.656099999999995</v>
      </c>
      <c r="N2182">
        <f t="shared" si="180"/>
        <v>13382054.599993</v>
      </c>
      <c r="O2182">
        <f t="shared" si="181"/>
        <v>0</v>
      </c>
      <c r="P2182">
        <f t="shared" si="182"/>
        <v>0</v>
      </c>
      <c r="Q2182">
        <f t="shared" si="179"/>
        <v>25</v>
      </c>
      <c r="R2182" t="str">
        <f t="shared" si="183"/>
        <v>Not open</v>
      </c>
    </row>
    <row r="2183" spans="1:18" x14ac:dyDescent="0.3">
      <c r="A2183" t="s">
        <v>2422</v>
      </c>
      <c r="B2183" t="s">
        <v>59</v>
      </c>
      <c r="C2183" t="s">
        <v>566</v>
      </c>
      <c r="D2183" s="1">
        <v>45548</v>
      </c>
      <c r="E2183" s="1">
        <v>45593</v>
      </c>
      <c r="F2183" t="s">
        <v>31</v>
      </c>
      <c r="G2183">
        <v>57804.1</v>
      </c>
      <c r="H2183" s="1">
        <v>45602</v>
      </c>
      <c r="I2183" t="s">
        <v>555</v>
      </c>
      <c r="J2183" t="s">
        <v>573</v>
      </c>
      <c r="K2183">
        <v>93.120500000000007</v>
      </c>
      <c r="L2183">
        <v>57804.1</v>
      </c>
      <c r="M2183">
        <f>IF(F2183="INR",1,INDEX('rates'!$B$2:$C$522,MATCH(D2183,'rates'!$A$2:$A$522,1),MATCH(F2183&amp;"/INR",'rates'!$B$1:$C$1,0)))</f>
        <v>92.980999999999995</v>
      </c>
      <c r="N2183">
        <f t="shared" si="180"/>
        <v>5374683.0220999997</v>
      </c>
      <c r="O2183">
        <f t="shared" si="181"/>
        <v>0</v>
      </c>
      <c r="P2183">
        <f t="shared" si="182"/>
        <v>0</v>
      </c>
      <c r="Q2183">
        <f t="shared" si="179"/>
        <v>9</v>
      </c>
      <c r="R2183" t="str">
        <f t="shared" si="183"/>
        <v>Not open</v>
      </c>
    </row>
    <row r="2184" spans="1:18" x14ac:dyDescent="0.3">
      <c r="A2184" t="s">
        <v>2423</v>
      </c>
      <c r="B2184" t="s">
        <v>270</v>
      </c>
      <c r="C2184" t="s">
        <v>558</v>
      </c>
      <c r="D2184" s="1">
        <v>45548</v>
      </c>
      <c r="E2184" s="1">
        <v>45608</v>
      </c>
      <c r="F2184" t="s">
        <v>31</v>
      </c>
      <c r="G2184">
        <v>41095.4</v>
      </c>
      <c r="H2184" s="1">
        <v>45642</v>
      </c>
      <c r="I2184" t="s">
        <v>555</v>
      </c>
      <c r="J2184" t="s">
        <v>556</v>
      </c>
      <c r="L2184">
        <v>41095.4</v>
      </c>
      <c r="M2184">
        <f>IF(F2184="INR",1,INDEX('rates'!$B$2:$C$522,MATCH(D2184,'rates'!$A$2:$A$522,1),MATCH(F2184&amp;"/INR",'rates'!$B$1:$C$1,0)))</f>
        <v>92.980999999999995</v>
      </c>
      <c r="N2184">
        <f t="shared" si="180"/>
        <v>3821091.3873999999</v>
      </c>
      <c r="O2184">
        <f t="shared" si="181"/>
        <v>0</v>
      </c>
      <c r="P2184">
        <f t="shared" si="182"/>
        <v>0</v>
      </c>
      <c r="Q2184">
        <f t="shared" si="179"/>
        <v>34</v>
      </c>
      <c r="R2184" t="str">
        <f t="shared" si="183"/>
        <v>Not open</v>
      </c>
    </row>
    <row r="2185" spans="1:18" x14ac:dyDescent="0.3">
      <c r="A2185" t="s">
        <v>2424</v>
      </c>
      <c r="B2185" t="s">
        <v>258</v>
      </c>
      <c r="C2185" t="s">
        <v>558</v>
      </c>
      <c r="D2185" s="1">
        <v>45549</v>
      </c>
      <c r="E2185" s="1">
        <v>45594</v>
      </c>
      <c r="F2185" t="s">
        <v>13</v>
      </c>
      <c r="G2185">
        <v>2118140</v>
      </c>
      <c r="H2185" s="1">
        <v>45610</v>
      </c>
      <c r="I2185" t="s">
        <v>555</v>
      </c>
      <c r="J2185" t="s">
        <v>556</v>
      </c>
      <c r="L2185">
        <v>2118140</v>
      </c>
      <c r="M2185">
        <f>IF(F2185="INR",1,INDEX('rates'!$B$2:$C$522,MATCH(D2185,'rates'!$A$2:$A$522,1),MATCH(F2185&amp;"/INR",'rates'!$B$1:$C$1,0)))</f>
        <v>1</v>
      </c>
      <c r="N2185">
        <f t="shared" si="180"/>
        <v>2118140</v>
      </c>
      <c r="O2185">
        <f t="shared" si="181"/>
        <v>0</v>
      </c>
      <c r="P2185">
        <f t="shared" si="182"/>
        <v>0</v>
      </c>
      <c r="Q2185">
        <f t="shared" si="179"/>
        <v>16</v>
      </c>
      <c r="R2185" t="str">
        <f t="shared" si="183"/>
        <v>Not open</v>
      </c>
    </row>
    <row r="2186" spans="1:18" x14ac:dyDescent="0.3">
      <c r="A2186" t="s">
        <v>2425</v>
      </c>
      <c r="B2186" t="s">
        <v>262</v>
      </c>
      <c r="C2186" t="s">
        <v>566</v>
      </c>
      <c r="D2186" s="1">
        <v>45549</v>
      </c>
      <c r="E2186" s="1">
        <v>45639</v>
      </c>
      <c r="F2186" t="s">
        <v>31</v>
      </c>
      <c r="G2186">
        <v>331298.62</v>
      </c>
      <c r="H2186" s="1">
        <v>45726</v>
      </c>
      <c r="I2186" t="s">
        <v>555</v>
      </c>
      <c r="J2186" t="s">
        <v>556</v>
      </c>
      <c r="L2186">
        <v>331298.62</v>
      </c>
      <c r="M2186">
        <f>IF(F2186="INR",1,INDEX('rates'!$B$2:$C$522,MATCH(D2186,'rates'!$A$2:$A$522,1),MATCH(F2186&amp;"/INR",'rates'!$B$1:$C$1,0)))</f>
        <v>92.980999999999995</v>
      </c>
      <c r="N2186">
        <f t="shared" si="180"/>
        <v>30804476.986219998</v>
      </c>
      <c r="O2186">
        <f t="shared" si="181"/>
        <v>0</v>
      </c>
      <c r="P2186">
        <f t="shared" si="182"/>
        <v>0</v>
      </c>
      <c r="Q2186">
        <f t="shared" si="179"/>
        <v>87</v>
      </c>
      <c r="R2186" t="str">
        <f t="shared" si="183"/>
        <v>Not open</v>
      </c>
    </row>
    <row r="2187" spans="1:18" x14ac:dyDescent="0.3">
      <c r="A2187" t="s">
        <v>2426</v>
      </c>
      <c r="B2187" t="s">
        <v>464</v>
      </c>
      <c r="C2187" t="s">
        <v>560</v>
      </c>
      <c r="D2187" s="1">
        <v>45549</v>
      </c>
      <c r="E2187" s="1">
        <v>45639</v>
      </c>
      <c r="F2187" t="s">
        <v>13</v>
      </c>
      <c r="G2187">
        <v>6942323</v>
      </c>
      <c r="H2187" s="1">
        <v>45632</v>
      </c>
      <c r="I2187" t="s">
        <v>555</v>
      </c>
      <c r="J2187" t="s">
        <v>556</v>
      </c>
      <c r="L2187">
        <v>6942323</v>
      </c>
      <c r="M2187">
        <f>IF(F2187="INR",1,INDEX('rates'!$B$2:$C$522,MATCH(D2187,'rates'!$A$2:$A$522,1),MATCH(F2187&amp;"/INR",'rates'!$B$1:$C$1,0)))</f>
        <v>1</v>
      </c>
      <c r="N2187">
        <f t="shared" si="180"/>
        <v>6942323</v>
      </c>
      <c r="O2187">
        <f t="shared" si="181"/>
        <v>0</v>
      </c>
      <c r="P2187">
        <f t="shared" si="182"/>
        <v>0</v>
      </c>
      <c r="Q2187">
        <f t="shared" si="179"/>
        <v>-7</v>
      </c>
      <c r="R2187" t="str">
        <f t="shared" si="183"/>
        <v>Not open</v>
      </c>
    </row>
    <row r="2188" spans="1:18" x14ac:dyDescent="0.3">
      <c r="A2188" t="s">
        <v>2427</v>
      </c>
      <c r="B2188" t="s">
        <v>476</v>
      </c>
      <c r="C2188" t="s">
        <v>566</v>
      </c>
      <c r="D2188" s="1">
        <v>45549</v>
      </c>
      <c r="E2188" s="1">
        <v>45594</v>
      </c>
      <c r="F2188" t="s">
        <v>13</v>
      </c>
      <c r="G2188">
        <v>2641217</v>
      </c>
      <c r="H2188" s="1">
        <v>45605</v>
      </c>
      <c r="I2188" t="s">
        <v>555</v>
      </c>
      <c r="J2188" t="s">
        <v>556</v>
      </c>
      <c r="L2188">
        <v>2641217</v>
      </c>
      <c r="M2188">
        <f>IF(F2188="INR",1,INDEX('rates'!$B$2:$C$522,MATCH(D2188,'rates'!$A$2:$A$522,1),MATCH(F2188&amp;"/INR",'rates'!$B$1:$C$1,0)))</f>
        <v>1</v>
      </c>
      <c r="N2188">
        <f t="shared" si="180"/>
        <v>2641217</v>
      </c>
      <c r="O2188">
        <f t="shared" si="181"/>
        <v>0</v>
      </c>
      <c r="P2188">
        <f t="shared" si="182"/>
        <v>0</v>
      </c>
      <c r="Q2188">
        <f t="shared" si="179"/>
        <v>11</v>
      </c>
      <c r="R2188" t="str">
        <f t="shared" si="183"/>
        <v>Not open</v>
      </c>
    </row>
    <row r="2189" spans="1:18" x14ac:dyDescent="0.3">
      <c r="A2189" t="s">
        <v>2428</v>
      </c>
      <c r="B2189" t="s">
        <v>512</v>
      </c>
      <c r="C2189" t="s">
        <v>566</v>
      </c>
      <c r="D2189" s="1">
        <v>45549</v>
      </c>
      <c r="E2189" s="1">
        <v>45609</v>
      </c>
      <c r="F2189" t="s">
        <v>31</v>
      </c>
      <c r="G2189">
        <v>71859.61</v>
      </c>
      <c r="H2189" s="1">
        <v>45642</v>
      </c>
      <c r="I2189" t="s">
        <v>555</v>
      </c>
      <c r="J2189" t="s">
        <v>573</v>
      </c>
      <c r="K2189">
        <v>93.167000000000002</v>
      </c>
      <c r="L2189">
        <v>71859.61</v>
      </c>
      <c r="M2189">
        <f>IF(F2189="INR",1,INDEX('rates'!$B$2:$C$522,MATCH(D2189,'rates'!$A$2:$A$522,1),MATCH(F2189&amp;"/INR",'rates'!$B$1:$C$1,0)))</f>
        <v>92.980999999999995</v>
      </c>
      <c r="N2189">
        <f t="shared" si="180"/>
        <v>6681578.3974099997</v>
      </c>
      <c r="O2189">
        <f t="shared" si="181"/>
        <v>0</v>
      </c>
      <c r="P2189">
        <f t="shared" si="182"/>
        <v>0</v>
      </c>
      <c r="Q2189">
        <f t="shared" si="179"/>
        <v>33</v>
      </c>
      <c r="R2189" t="str">
        <f t="shared" si="183"/>
        <v>Not open</v>
      </c>
    </row>
    <row r="2190" spans="1:18" x14ac:dyDescent="0.3">
      <c r="A2190" t="s">
        <v>2429</v>
      </c>
      <c r="B2190" t="s">
        <v>524</v>
      </c>
      <c r="C2190" t="s">
        <v>554</v>
      </c>
      <c r="D2190" s="1">
        <v>45549</v>
      </c>
      <c r="E2190" s="1">
        <v>45609</v>
      </c>
      <c r="F2190" t="s">
        <v>31</v>
      </c>
      <c r="G2190">
        <v>84381.38</v>
      </c>
      <c r="H2190" s="1">
        <v>45620</v>
      </c>
      <c r="I2190" t="s">
        <v>555</v>
      </c>
      <c r="J2190" t="s">
        <v>573</v>
      </c>
      <c r="K2190">
        <v>93.167000000000002</v>
      </c>
      <c r="L2190">
        <v>84381.38</v>
      </c>
      <c r="M2190">
        <f>IF(F2190="INR",1,INDEX('rates'!$B$2:$C$522,MATCH(D2190,'rates'!$A$2:$A$522,1),MATCH(F2190&amp;"/INR",'rates'!$B$1:$C$1,0)))</f>
        <v>92.980999999999995</v>
      </c>
      <c r="N2190">
        <f t="shared" si="180"/>
        <v>7845865.0937799998</v>
      </c>
      <c r="O2190">
        <f t="shared" si="181"/>
        <v>0</v>
      </c>
      <c r="P2190">
        <f t="shared" si="182"/>
        <v>0</v>
      </c>
      <c r="Q2190">
        <f t="shared" si="179"/>
        <v>11</v>
      </c>
      <c r="R2190" t="str">
        <f t="shared" si="183"/>
        <v>Not open</v>
      </c>
    </row>
    <row r="2191" spans="1:18" x14ac:dyDescent="0.3">
      <c r="A2191" t="s">
        <v>2430</v>
      </c>
      <c r="B2191" t="s">
        <v>534</v>
      </c>
      <c r="C2191" t="s">
        <v>575</v>
      </c>
      <c r="D2191" s="1">
        <v>45549</v>
      </c>
      <c r="E2191" s="1">
        <v>45594</v>
      </c>
      <c r="F2191" t="s">
        <v>36</v>
      </c>
      <c r="G2191">
        <v>55236.25</v>
      </c>
      <c r="H2191" s="1">
        <v>45624</v>
      </c>
      <c r="I2191" t="s">
        <v>555</v>
      </c>
      <c r="J2191" t="s">
        <v>556</v>
      </c>
      <c r="L2191">
        <v>55236.25</v>
      </c>
      <c r="M2191">
        <f>IF(F2191="INR",1,INDEX('rates'!$B$2:$C$522,MATCH(D2191,'rates'!$A$2:$A$522,1),MATCH(F2191&amp;"/INR",'rates'!$B$1:$C$1,0)))</f>
        <v>83.88</v>
      </c>
      <c r="N2191">
        <f t="shared" si="180"/>
        <v>4633216.6499999994</v>
      </c>
      <c r="O2191">
        <f t="shared" si="181"/>
        <v>0</v>
      </c>
      <c r="P2191">
        <f t="shared" si="182"/>
        <v>0</v>
      </c>
      <c r="Q2191">
        <f t="shared" si="179"/>
        <v>30</v>
      </c>
      <c r="R2191" t="str">
        <f t="shared" si="183"/>
        <v>Not open</v>
      </c>
    </row>
    <row r="2192" spans="1:18" x14ac:dyDescent="0.3">
      <c r="A2192" t="s">
        <v>2431</v>
      </c>
      <c r="B2192" t="s">
        <v>22</v>
      </c>
      <c r="C2192" t="s">
        <v>554</v>
      </c>
      <c r="D2192" s="1">
        <v>45551</v>
      </c>
      <c r="E2192" s="1">
        <v>45596</v>
      </c>
      <c r="F2192" t="s">
        <v>13</v>
      </c>
      <c r="G2192">
        <v>8979682</v>
      </c>
      <c r="H2192" s="1">
        <v>45612</v>
      </c>
      <c r="I2192" t="s">
        <v>555</v>
      </c>
      <c r="J2192" t="s">
        <v>556</v>
      </c>
      <c r="L2192">
        <v>8979682</v>
      </c>
      <c r="M2192">
        <f>IF(F2192="INR",1,INDEX('rates'!$B$2:$C$522,MATCH(D2192,'rates'!$A$2:$A$522,1),MATCH(F2192&amp;"/INR",'rates'!$B$1:$C$1,0)))</f>
        <v>1</v>
      </c>
      <c r="N2192">
        <f t="shared" si="180"/>
        <v>8979682</v>
      </c>
      <c r="O2192">
        <f t="shared" si="181"/>
        <v>0</v>
      </c>
      <c r="P2192">
        <f t="shared" si="182"/>
        <v>0</v>
      </c>
      <c r="Q2192">
        <f t="shared" si="179"/>
        <v>16</v>
      </c>
      <c r="R2192" t="str">
        <f t="shared" si="183"/>
        <v>Not open</v>
      </c>
    </row>
    <row r="2193" spans="1:18" x14ac:dyDescent="0.3">
      <c r="A2193" t="s">
        <v>2432</v>
      </c>
      <c r="B2193" t="s">
        <v>184</v>
      </c>
      <c r="C2193" t="s">
        <v>575</v>
      </c>
      <c r="D2193" s="1">
        <v>45551</v>
      </c>
      <c r="E2193" s="1">
        <v>45641</v>
      </c>
      <c r="F2193" t="s">
        <v>31</v>
      </c>
      <c r="G2193">
        <v>48193.18</v>
      </c>
      <c r="H2193" s="1">
        <v>45664</v>
      </c>
      <c r="I2193" t="s">
        <v>555</v>
      </c>
      <c r="J2193" t="s">
        <v>556</v>
      </c>
      <c r="L2193">
        <v>48193.18</v>
      </c>
      <c r="M2193">
        <f>IF(F2193="INR",1,INDEX('rates'!$B$2:$C$522,MATCH(D2193,'rates'!$A$2:$A$522,1),MATCH(F2193&amp;"/INR",'rates'!$B$1:$C$1,0)))</f>
        <v>93.3108</v>
      </c>
      <c r="N2193">
        <f t="shared" si="180"/>
        <v>4496944.1803440005</v>
      </c>
      <c r="O2193">
        <f t="shared" si="181"/>
        <v>0</v>
      </c>
      <c r="P2193">
        <f t="shared" si="182"/>
        <v>0</v>
      </c>
      <c r="Q2193">
        <f t="shared" si="179"/>
        <v>23</v>
      </c>
      <c r="R2193" t="str">
        <f t="shared" si="183"/>
        <v>Not open</v>
      </c>
    </row>
    <row r="2194" spans="1:18" x14ac:dyDescent="0.3">
      <c r="A2194" t="s">
        <v>2433</v>
      </c>
      <c r="B2194" t="s">
        <v>228</v>
      </c>
      <c r="C2194" t="s">
        <v>554</v>
      </c>
      <c r="D2194" s="1">
        <v>45551</v>
      </c>
      <c r="E2194" s="1">
        <v>45596</v>
      </c>
      <c r="F2194" t="s">
        <v>13</v>
      </c>
      <c r="G2194">
        <v>22883155</v>
      </c>
      <c r="H2194" s="1">
        <v>45592</v>
      </c>
      <c r="I2194" t="s">
        <v>555</v>
      </c>
      <c r="J2194" t="s">
        <v>556</v>
      </c>
      <c r="L2194">
        <v>22883155</v>
      </c>
      <c r="M2194">
        <f>IF(F2194="INR",1,INDEX('rates'!$B$2:$C$522,MATCH(D2194,'rates'!$A$2:$A$522,1),MATCH(F2194&amp;"/INR",'rates'!$B$1:$C$1,0)))</f>
        <v>1</v>
      </c>
      <c r="N2194">
        <f t="shared" si="180"/>
        <v>22883155</v>
      </c>
      <c r="O2194">
        <f t="shared" si="181"/>
        <v>0</v>
      </c>
      <c r="P2194">
        <f t="shared" si="182"/>
        <v>0</v>
      </c>
      <c r="Q2194">
        <f t="shared" si="179"/>
        <v>-4</v>
      </c>
      <c r="R2194" t="str">
        <f t="shared" si="183"/>
        <v>Not open</v>
      </c>
    </row>
    <row r="2195" spans="1:18" x14ac:dyDescent="0.3">
      <c r="A2195" t="s">
        <v>2434</v>
      </c>
      <c r="B2195" t="s">
        <v>238</v>
      </c>
      <c r="C2195" t="s">
        <v>566</v>
      </c>
      <c r="D2195" s="1">
        <v>45551</v>
      </c>
      <c r="E2195" s="1">
        <v>45611</v>
      </c>
      <c r="F2195" t="s">
        <v>31</v>
      </c>
      <c r="G2195">
        <v>81313.149999999994</v>
      </c>
      <c r="H2195" s="1">
        <v>45628</v>
      </c>
      <c r="I2195" t="s">
        <v>555</v>
      </c>
      <c r="J2195" t="s">
        <v>573</v>
      </c>
      <c r="K2195">
        <v>93.497399999999999</v>
      </c>
      <c r="L2195">
        <v>81313.149999999994</v>
      </c>
      <c r="M2195">
        <f>IF(F2195="INR",1,INDEX('rates'!$B$2:$C$522,MATCH(D2195,'rates'!$A$2:$A$522,1),MATCH(F2195&amp;"/INR",'rates'!$B$1:$C$1,0)))</f>
        <v>93.3108</v>
      </c>
      <c r="N2195">
        <f t="shared" si="180"/>
        <v>7587395.0770199997</v>
      </c>
      <c r="O2195">
        <f t="shared" si="181"/>
        <v>0</v>
      </c>
      <c r="P2195">
        <f t="shared" si="182"/>
        <v>0</v>
      </c>
      <c r="Q2195">
        <f t="shared" si="179"/>
        <v>17</v>
      </c>
      <c r="R2195" t="str">
        <f t="shared" si="183"/>
        <v>Not open</v>
      </c>
    </row>
    <row r="2196" spans="1:18" x14ac:dyDescent="0.3">
      <c r="A2196" t="s">
        <v>2435</v>
      </c>
      <c r="B2196" t="s">
        <v>246</v>
      </c>
      <c r="C2196" t="s">
        <v>554</v>
      </c>
      <c r="D2196" s="1">
        <v>45551</v>
      </c>
      <c r="E2196" s="1">
        <v>45611</v>
      </c>
      <c r="F2196" t="s">
        <v>13</v>
      </c>
      <c r="G2196">
        <v>7593434</v>
      </c>
      <c r="H2196" s="1">
        <v>45619</v>
      </c>
      <c r="I2196" t="s">
        <v>555</v>
      </c>
      <c r="J2196" t="s">
        <v>556</v>
      </c>
      <c r="L2196">
        <v>7593434</v>
      </c>
      <c r="M2196">
        <f>IF(F2196="INR",1,INDEX('rates'!$B$2:$C$522,MATCH(D2196,'rates'!$A$2:$A$522,1),MATCH(F2196&amp;"/INR",'rates'!$B$1:$C$1,0)))</f>
        <v>1</v>
      </c>
      <c r="N2196">
        <f t="shared" si="180"/>
        <v>7593434</v>
      </c>
      <c r="O2196">
        <f t="shared" si="181"/>
        <v>0</v>
      </c>
      <c r="P2196">
        <f t="shared" si="182"/>
        <v>0</v>
      </c>
      <c r="Q2196">
        <f t="shared" si="179"/>
        <v>8</v>
      </c>
      <c r="R2196" t="str">
        <f t="shared" si="183"/>
        <v>Not open</v>
      </c>
    </row>
    <row r="2197" spans="1:18" x14ac:dyDescent="0.3">
      <c r="A2197" t="s">
        <v>2436</v>
      </c>
      <c r="B2197" t="s">
        <v>298</v>
      </c>
      <c r="C2197" t="s">
        <v>560</v>
      </c>
      <c r="D2197" s="1">
        <v>45551</v>
      </c>
      <c r="E2197" s="1">
        <v>45611</v>
      </c>
      <c r="F2197" t="s">
        <v>31</v>
      </c>
      <c r="G2197">
        <v>13505.5</v>
      </c>
      <c r="H2197" s="1"/>
      <c r="I2197" t="s">
        <v>555</v>
      </c>
      <c r="J2197" t="s">
        <v>556</v>
      </c>
      <c r="L2197">
        <v>13505.5</v>
      </c>
      <c r="M2197">
        <f>IF(F2197="INR",1,INDEX('rates'!$B$2:$C$522,MATCH(D2197,'rates'!$A$2:$A$522,1),MATCH(F2197&amp;"/INR",'rates'!$B$1:$C$1,0)))</f>
        <v>93.3108</v>
      </c>
      <c r="N2197">
        <f t="shared" si="180"/>
        <v>1260209.0094000001</v>
      </c>
      <c r="O2197">
        <f t="shared" si="181"/>
        <v>0</v>
      </c>
      <c r="P2197">
        <f t="shared" si="182"/>
        <v>0</v>
      </c>
      <c r="Q2197" t="str">
        <f t="shared" si="179"/>
        <v/>
      </c>
      <c r="R2197" t="str">
        <f t="shared" si="183"/>
        <v>Not open</v>
      </c>
    </row>
    <row r="2198" spans="1:18" x14ac:dyDescent="0.3">
      <c r="A2198" t="s">
        <v>2437</v>
      </c>
      <c r="B2198" t="s">
        <v>138</v>
      </c>
      <c r="C2198" t="s">
        <v>566</v>
      </c>
      <c r="D2198" s="1">
        <v>45552</v>
      </c>
      <c r="E2198" s="1">
        <v>45582</v>
      </c>
      <c r="F2198" t="s">
        <v>13</v>
      </c>
      <c r="G2198">
        <v>8351012</v>
      </c>
      <c r="H2198" s="1">
        <v>45582</v>
      </c>
      <c r="I2198" t="s">
        <v>555</v>
      </c>
      <c r="J2198" t="s">
        <v>556</v>
      </c>
      <c r="L2198">
        <v>8351012</v>
      </c>
      <c r="M2198">
        <f>IF(F2198="INR",1,INDEX('rates'!$B$2:$C$522,MATCH(D2198,'rates'!$A$2:$A$522,1),MATCH(F2198&amp;"/INR",'rates'!$B$1:$C$1,0)))</f>
        <v>1</v>
      </c>
      <c r="N2198">
        <f t="shared" si="180"/>
        <v>8351012</v>
      </c>
      <c r="O2198">
        <f t="shared" si="181"/>
        <v>0</v>
      </c>
      <c r="P2198">
        <f t="shared" si="182"/>
        <v>0</v>
      </c>
      <c r="Q2198">
        <f t="shared" si="179"/>
        <v>0</v>
      </c>
      <c r="R2198" t="str">
        <f t="shared" si="183"/>
        <v>Not open</v>
      </c>
    </row>
    <row r="2199" spans="1:18" x14ac:dyDescent="0.3">
      <c r="A2199" t="s">
        <v>2438</v>
      </c>
      <c r="B2199" t="s">
        <v>296</v>
      </c>
      <c r="C2199" t="s">
        <v>554</v>
      </c>
      <c r="D2199" s="1">
        <v>45552</v>
      </c>
      <c r="E2199" s="1">
        <v>45582</v>
      </c>
      <c r="F2199" t="s">
        <v>13</v>
      </c>
      <c r="G2199">
        <v>5396966</v>
      </c>
      <c r="H2199" s="1">
        <v>45596</v>
      </c>
      <c r="I2199" t="s">
        <v>555</v>
      </c>
      <c r="J2199" t="s">
        <v>556</v>
      </c>
      <c r="L2199">
        <v>5396966</v>
      </c>
      <c r="M2199">
        <f>IF(F2199="INR",1,INDEX('rates'!$B$2:$C$522,MATCH(D2199,'rates'!$A$2:$A$522,1),MATCH(F2199&amp;"/INR",'rates'!$B$1:$C$1,0)))</f>
        <v>1</v>
      </c>
      <c r="N2199">
        <f t="shared" si="180"/>
        <v>5396966</v>
      </c>
      <c r="O2199">
        <f t="shared" si="181"/>
        <v>0</v>
      </c>
      <c r="P2199">
        <f t="shared" si="182"/>
        <v>0</v>
      </c>
      <c r="Q2199">
        <f t="shared" si="179"/>
        <v>14</v>
      </c>
      <c r="R2199" t="str">
        <f t="shared" si="183"/>
        <v>Not open</v>
      </c>
    </row>
    <row r="2200" spans="1:18" x14ac:dyDescent="0.3">
      <c r="A2200" t="s">
        <v>2439</v>
      </c>
      <c r="B2200" t="s">
        <v>302</v>
      </c>
      <c r="C2200" t="s">
        <v>558</v>
      </c>
      <c r="D2200" s="1">
        <v>45552</v>
      </c>
      <c r="E2200" s="1">
        <v>45642</v>
      </c>
      <c r="F2200" t="s">
        <v>13</v>
      </c>
      <c r="G2200">
        <v>770249</v>
      </c>
      <c r="H2200" s="1">
        <v>45642</v>
      </c>
      <c r="I2200" t="s">
        <v>555</v>
      </c>
      <c r="J2200" t="s">
        <v>556</v>
      </c>
      <c r="L2200">
        <v>770249</v>
      </c>
      <c r="M2200">
        <f>IF(F2200="INR",1,INDEX('rates'!$B$2:$C$522,MATCH(D2200,'rates'!$A$2:$A$522,1),MATCH(F2200&amp;"/INR",'rates'!$B$1:$C$1,0)))</f>
        <v>1</v>
      </c>
      <c r="N2200">
        <f t="shared" si="180"/>
        <v>770249</v>
      </c>
      <c r="O2200">
        <f t="shared" si="181"/>
        <v>0</v>
      </c>
      <c r="P2200">
        <f t="shared" si="182"/>
        <v>0</v>
      </c>
      <c r="Q2200">
        <f t="shared" si="179"/>
        <v>0</v>
      </c>
      <c r="R2200" t="str">
        <f t="shared" si="183"/>
        <v>Not open</v>
      </c>
    </row>
    <row r="2201" spans="1:18" x14ac:dyDescent="0.3">
      <c r="A2201" t="s">
        <v>2440</v>
      </c>
      <c r="B2201" t="s">
        <v>306</v>
      </c>
      <c r="C2201" t="s">
        <v>558</v>
      </c>
      <c r="D2201" s="1">
        <v>45552</v>
      </c>
      <c r="E2201" s="1">
        <v>45642</v>
      </c>
      <c r="F2201" t="s">
        <v>36</v>
      </c>
      <c r="G2201">
        <v>56264.32</v>
      </c>
      <c r="H2201" s="1">
        <v>45654</v>
      </c>
      <c r="I2201" t="s">
        <v>555</v>
      </c>
      <c r="J2201" t="s">
        <v>556</v>
      </c>
      <c r="L2201">
        <v>56264.32</v>
      </c>
      <c r="M2201">
        <f>IF(F2201="INR",1,INDEX('rates'!$B$2:$C$522,MATCH(D2201,'rates'!$A$2:$A$522,1),MATCH(F2201&amp;"/INR",'rates'!$B$1:$C$1,0)))</f>
        <v>83.75</v>
      </c>
      <c r="N2201">
        <f t="shared" si="180"/>
        <v>4712136.8</v>
      </c>
      <c r="O2201">
        <f t="shared" si="181"/>
        <v>0</v>
      </c>
      <c r="P2201">
        <f t="shared" si="182"/>
        <v>0</v>
      </c>
      <c r="Q2201">
        <f t="shared" si="179"/>
        <v>12</v>
      </c>
      <c r="R2201" t="str">
        <f t="shared" si="183"/>
        <v>Not open</v>
      </c>
    </row>
    <row r="2202" spans="1:18" x14ac:dyDescent="0.3">
      <c r="A2202" t="s">
        <v>2441</v>
      </c>
      <c r="B2202" t="s">
        <v>378</v>
      </c>
      <c r="C2202" t="s">
        <v>566</v>
      </c>
      <c r="D2202" s="1">
        <v>45552</v>
      </c>
      <c r="E2202" s="1">
        <v>45597</v>
      </c>
      <c r="F2202" t="s">
        <v>31</v>
      </c>
      <c r="G2202">
        <v>21694.45</v>
      </c>
      <c r="H2202" s="1">
        <v>45604</v>
      </c>
      <c r="I2202" t="s">
        <v>555</v>
      </c>
      <c r="J2202" t="s">
        <v>573</v>
      </c>
      <c r="K2202">
        <v>93.252899999999997</v>
      </c>
      <c r="L2202">
        <v>21694.45</v>
      </c>
      <c r="M2202">
        <f>IF(F2202="INR",1,INDEX('rates'!$B$2:$C$522,MATCH(D2202,'rates'!$A$2:$A$522,1),MATCH(F2202&amp;"/INR",'rates'!$B$1:$C$1,0)))</f>
        <v>93.113200000000006</v>
      </c>
      <c r="N2202">
        <f t="shared" si="180"/>
        <v>2020039.6617400001</v>
      </c>
      <c r="O2202">
        <f t="shared" si="181"/>
        <v>0</v>
      </c>
      <c r="P2202">
        <f t="shared" si="182"/>
        <v>0</v>
      </c>
      <c r="Q2202">
        <f t="shared" si="179"/>
        <v>7</v>
      </c>
      <c r="R2202" t="str">
        <f t="shared" si="183"/>
        <v>Not open</v>
      </c>
    </row>
    <row r="2203" spans="1:18" x14ac:dyDescent="0.3">
      <c r="A2203" t="s">
        <v>2442</v>
      </c>
      <c r="B2203" t="s">
        <v>450</v>
      </c>
      <c r="C2203" t="s">
        <v>560</v>
      </c>
      <c r="D2203" s="1">
        <v>45552</v>
      </c>
      <c r="E2203" s="1">
        <v>45582</v>
      </c>
      <c r="F2203" t="s">
        <v>13</v>
      </c>
      <c r="G2203">
        <v>1911991</v>
      </c>
      <c r="H2203" s="1">
        <v>45602</v>
      </c>
      <c r="I2203" t="s">
        <v>555</v>
      </c>
      <c r="J2203" t="s">
        <v>556</v>
      </c>
      <c r="L2203">
        <v>1911991</v>
      </c>
      <c r="M2203">
        <f>IF(F2203="INR",1,INDEX('rates'!$B$2:$C$522,MATCH(D2203,'rates'!$A$2:$A$522,1),MATCH(F2203&amp;"/INR",'rates'!$B$1:$C$1,0)))</f>
        <v>1</v>
      </c>
      <c r="N2203">
        <f t="shared" si="180"/>
        <v>1911991</v>
      </c>
      <c r="O2203">
        <f t="shared" si="181"/>
        <v>0</v>
      </c>
      <c r="P2203">
        <f t="shared" si="182"/>
        <v>0</v>
      </c>
      <c r="Q2203">
        <f t="shared" si="179"/>
        <v>20</v>
      </c>
      <c r="R2203" t="str">
        <f t="shared" si="183"/>
        <v>Not open</v>
      </c>
    </row>
    <row r="2204" spans="1:18" x14ac:dyDescent="0.3">
      <c r="A2204" t="s">
        <v>2443</v>
      </c>
      <c r="B2204" t="s">
        <v>500</v>
      </c>
      <c r="C2204" t="s">
        <v>554</v>
      </c>
      <c r="D2204" s="1">
        <v>45552</v>
      </c>
      <c r="E2204" s="1">
        <v>45582</v>
      </c>
      <c r="F2204" t="s">
        <v>13</v>
      </c>
      <c r="G2204">
        <v>4478778</v>
      </c>
      <c r="H2204" s="1">
        <v>45607</v>
      </c>
      <c r="I2204" t="s">
        <v>555</v>
      </c>
      <c r="J2204" t="s">
        <v>556</v>
      </c>
      <c r="L2204">
        <v>4478778</v>
      </c>
      <c r="M2204">
        <f>IF(F2204="INR",1,INDEX('rates'!$B$2:$C$522,MATCH(D2204,'rates'!$A$2:$A$522,1),MATCH(F2204&amp;"/INR",'rates'!$B$1:$C$1,0)))</f>
        <v>1</v>
      </c>
      <c r="N2204">
        <f t="shared" si="180"/>
        <v>4478778</v>
      </c>
      <c r="O2204">
        <f t="shared" si="181"/>
        <v>0</v>
      </c>
      <c r="P2204">
        <f t="shared" si="182"/>
        <v>0</v>
      </c>
      <c r="Q2204">
        <f t="shared" si="179"/>
        <v>25</v>
      </c>
      <c r="R2204" t="str">
        <f t="shared" si="183"/>
        <v>Not open</v>
      </c>
    </row>
    <row r="2205" spans="1:18" x14ac:dyDescent="0.3">
      <c r="A2205" t="s">
        <v>2444</v>
      </c>
      <c r="B2205" t="s">
        <v>158</v>
      </c>
      <c r="C2205" t="s">
        <v>566</v>
      </c>
      <c r="D2205" s="1">
        <v>45553</v>
      </c>
      <c r="E2205" s="1">
        <v>45583</v>
      </c>
      <c r="F2205" t="s">
        <v>13</v>
      </c>
      <c r="G2205">
        <v>2904154</v>
      </c>
      <c r="H2205" s="1">
        <v>45589</v>
      </c>
      <c r="I2205" t="s">
        <v>555</v>
      </c>
      <c r="J2205" t="s">
        <v>556</v>
      </c>
      <c r="L2205">
        <v>2904154</v>
      </c>
      <c r="M2205">
        <f>IF(F2205="INR",1,INDEX('rates'!$B$2:$C$522,MATCH(D2205,'rates'!$A$2:$A$522,1),MATCH(F2205&amp;"/INR",'rates'!$B$1:$C$1,0)))</f>
        <v>1</v>
      </c>
      <c r="N2205">
        <f t="shared" si="180"/>
        <v>2904154</v>
      </c>
      <c r="O2205">
        <f t="shared" si="181"/>
        <v>0</v>
      </c>
      <c r="P2205">
        <f t="shared" si="182"/>
        <v>0</v>
      </c>
      <c r="Q2205">
        <f t="shared" ref="Q2205:Q2268" si="184">IF(H2205="","",H2205-E2205)</f>
        <v>6</v>
      </c>
      <c r="R2205" t="str">
        <f t="shared" si="183"/>
        <v>Not open</v>
      </c>
    </row>
    <row r="2206" spans="1:18" x14ac:dyDescent="0.3">
      <c r="A2206" t="s">
        <v>2445</v>
      </c>
      <c r="B2206" t="s">
        <v>496</v>
      </c>
      <c r="C2206" t="s">
        <v>554</v>
      </c>
      <c r="D2206" s="1">
        <v>45553</v>
      </c>
      <c r="E2206" s="1">
        <v>45598</v>
      </c>
      <c r="F2206" t="s">
        <v>13</v>
      </c>
      <c r="G2206">
        <v>4239705</v>
      </c>
      <c r="H2206" s="1">
        <v>45605</v>
      </c>
      <c r="I2206" t="s">
        <v>555</v>
      </c>
      <c r="J2206" t="s">
        <v>556</v>
      </c>
      <c r="L2206">
        <v>4239705</v>
      </c>
      <c r="M2206">
        <f>IF(F2206="INR",1,INDEX('rates'!$B$2:$C$522,MATCH(D2206,'rates'!$A$2:$A$522,1),MATCH(F2206&amp;"/INR",'rates'!$B$1:$C$1,0)))</f>
        <v>1</v>
      </c>
      <c r="N2206">
        <f t="shared" si="180"/>
        <v>4239705</v>
      </c>
      <c r="O2206">
        <f t="shared" si="181"/>
        <v>0</v>
      </c>
      <c r="P2206">
        <f t="shared" si="182"/>
        <v>0</v>
      </c>
      <c r="Q2206">
        <f t="shared" si="184"/>
        <v>7</v>
      </c>
      <c r="R2206" t="str">
        <f t="shared" si="183"/>
        <v>Not open</v>
      </c>
    </row>
    <row r="2207" spans="1:18" x14ac:dyDescent="0.3">
      <c r="A2207" t="s">
        <v>2446</v>
      </c>
      <c r="B2207" t="s">
        <v>512</v>
      </c>
      <c r="C2207" t="s">
        <v>558</v>
      </c>
      <c r="D2207" s="1">
        <v>45553</v>
      </c>
      <c r="E2207" s="1">
        <v>45613</v>
      </c>
      <c r="F2207" t="s">
        <v>31</v>
      </c>
      <c r="G2207">
        <v>145674.42000000001</v>
      </c>
      <c r="H2207" s="1">
        <v>45653</v>
      </c>
      <c r="I2207" t="s">
        <v>555</v>
      </c>
      <c r="J2207" t="s">
        <v>556</v>
      </c>
      <c r="L2207">
        <v>145674.42000000001</v>
      </c>
      <c r="M2207">
        <f>IF(F2207="INR",1,INDEX('rates'!$B$2:$C$522,MATCH(D2207,'rates'!$A$2:$A$522,1),MATCH(F2207&amp;"/INR",'rates'!$B$1:$C$1,0)))</f>
        <v>93.096500000000006</v>
      </c>
      <c r="N2207">
        <f t="shared" si="180"/>
        <v>13561778.641530002</v>
      </c>
      <c r="O2207">
        <f t="shared" si="181"/>
        <v>0</v>
      </c>
      <c r="P2207">
        <f t="shared" si="182"/>
        <v>0</v>
      </c>
      <c r="Q2207">
        <f t="shared" si="184"/>
        <v>40</v>
      </c>
      <c r="R2207" t="str">
        <f t="shared" si="183"/>
        <v>Not open</v>
      </c>
    </row>
    <row r="2208" spans="1:18" x14ac:dyDescent="0.3">
      <c r="A2208" t="s">
        <v>2448</v>
      </c>
      <c r="B2208" t="s">
        <v>22</v>
      </c>
      <c r="C2208" t="s">
        <v>554</v>
      </c>
      <c r="D2208" s="1">
        <v>45555</v>
      </c>
      <c r="E2208" s="1">
        <v>45600</v>
      </c>
      <c r="F2208" t="s">
        <v>13</v>
      </c>
      <c r="G2208">
        <v>7585853</v>
      </c>
      <c r="H2208" s="1">
        <v>45609</v>
      </c>
      <c r="I2208" t="s">
        <v>555</v>
      </c>
      <c r="J2208" t="s">
        <v>556</v>
      </c>
      <c r="L2208">
        <v>7585853</v>
      </c>
      <c r="M2208">
        <f>IF(F2208="INR",1,INDEX('rates'!$B$2:$C$522,MATCH(D2208,'rates'!$A$2:$A$522,1),MATCH(F2208&amp;"/INR",'rates'!$B$1:$C$1,0)))</f>
        <v>1</v>
      </c>
      <c r="N2208">
        <f t="shared" si="180"/>
        <v>7585853</v>
      </c>
      <c r="O2208">
        <f t="shared" si="181"/>
        <v>0</v>
      </c>
      <c r="P2208">
        <f t="shared" si="182"/>
        <v>0</v>
      </c>
      <c r="Q2208">
        <f t="shared" si="184"/>
        <v>9</v>
      </c>
      <c r="R2208" t="str">
        <f t="shared" si="183"/>
        <v>Not open</v>
      </c>
    </row>
    <row r="2209" spans="1:18" x14ac:dyDescent="0.3">
      <c r="A2209" t="s">
        <v>2449</v>
      </c>
      <c r="B2209" t="s">
        <v>111</v>
      </c>
      <c r="C2209" t="s">
        <v>558</v>
      </c>
      <c r="D2209" s="1">
        <v>45555</v>
      </c>
      <c r="E2209" s="1">
        <v>45600</v>
      </c>
      <c r="F2209" t="s">
        <v>13</v>
      </c>
      <c r="G2209">
        <v>4983786</v>
      </c>
      <c r="H2209" s="1">
        <v>45597</v>
      </c>
      <c r="I2209" t="s">
        <v>555</v>
      </c>
      <c r="J2209" t="s">
        <v>556</v>
      </c>
      <c r="L2209">
        <v>4983786</v>
      </c>
      <c r="M2209">
        <f>IF(F2209="INR",1,INDEX('rates'!$B$2:$C$522,MATCH(D2209,'rates'!$A$2:$A$522,1),MATCH(F2209&amp;"/INR",'rates'!$B$1:$C$1,0)))</f>
        <v>1</v>
      </c>
      <c r="N2209">
        <f t="shared" si="180"/>
        <v>4983786</v>
      </c>
      <c r="O2209">
        <f t="shared" si="181"/>
        <v>0</v>
      </c>
      <c r="P2209">
        <f t="shared" si="182"/>
        <v>0</v>
      </c>
      <c r="Q2209">
        <f t="shared" si="184"/>
        <v>-3</v>
      </c>
      <c r="R2209" t="str">
        <f t="shared" si="183"/>
        <v>Not open</v>
      </c>
    </row>
    <row r="2210" spans="1:18" x14ac:dyDescent="0.3">
      <c r="A2210" t="s">
        <v>2450</v>
      </c>
      <c r="B2210" t="s">
        <v>140</v>
      </c>
      <c r="C2210" t="s">
        <v>554</v>
      </c>
      <c r="D2210" s="1">
        <v>45555</v>
      </c>
      <c r="E2210" s="1">
        <v>45615</v>
      </c>
      <c r="F2210" t="s">
        <v>13</v>
      </c>
      <c r="G2210">
        <v>27210451</v>
      </c>
      <c r="H2210" s="1">
        <v>45621</v>
      </c>
      <c r="I2210" t="s">
        <v>555</v>
      </c>
      <c r="J2210" t="s">
        <v>556</v>
      </c>
      <c r="L2210">
        <v>27210451</v>
      </c>
      <c r="M2210">
        <f>IF(F2210="INR",1,INDEX('rates'!$B$2:$C$522,MATCH(D2210,'rates'!$A$2:$A$522,1),MATCH(F2210&amp;"/INR",'rates'!$B$1:$C$1,0)))</f>
        <v>1</v>
      </c>
      <c r="N2210">
        <f t="shared" si="180"/>
        <v>27210451</v>
      </c>
      <c r="O2210">
        <f t="shared" si="181"/>
        <v>0</v>
      </c>
      <c r="P2210">
        <f t="shared" si="182"/>
        <v>0</v>
      </c>
      <c r="Q2210">
        <f t="shared" si="184"/>
        <v>6</v>
      </c>
      <c r="R2210" t="str">
        <f t="shared" si="183"/>
        <v>Not open</v>
      </c>
    </row>
    <row r="2211" spans="1:18" x14ac:dyDescent="0.3">
      <c r="A2211" t="s">
        <v>2451</v>
      </c>
      <c r="B2211" t="s">
        <v>222</v>
      </c>
      <c r="C2211" t="s">
        <v>560</v>
      </c>
      <c r="D2211" s="1">
        <v>45555</v>
      </c>
      <c r="E2211" s="1">
        <v>45615</v>
      </c>
      <c r="F2211" t="s">
        <v>36</v>
      </c>
      <c r="G2211">
        <v>223400.42</v>
      </c>
      <c r="H2211" s="1">
        <v>45626</v>
      </c>
      <c r="I2211" t="s">
        <v>555</v>
      </c>
      <c r="J2211" t="s">
        <v>556</v>
      </c>
      <c r="L2211">
        <v>223400.42</v>
      </c>
      <c r="M2211">
        <f>IF(F2211="INR",1,INDEX('rates'!$B$2:$C$522,MATCH(D2211,'rates'!$A$2:$A$522,1),MATCH(F2211&amp;"/INR",'rates'!$B$1:$C$1,0)))</f>
        <v>83.57</v>
      </c>
      <c r="N2211">
        <f t="shared" si="180"/>
        <v>18669573.099399999</v>
      </c>
      <c r="O2211">
        <f t="shared" si="181"/>
        <v>0</v>
      </c>
      <c r="P2211">
        <f t="shared" si="182"/>
        <v>0</v>
      </c>
      <c r="Q2211">
        <f t="shared" si="184"/>
        <v>11</v>
      </c>
      <c r="R2211" t="str">
        <f t="shared" si="183"/>
        <v>Not open</v>
      </c>
    </row>
    <row r="2212" spans="1:18" x14ac:dyDescent="0.3">
      <c r="A2212" t="s">
        <v>2452</v>
      </c>
      <c r="B2212" t="s">
        <v>418</v>
      </c>
      <c r="C2212" t="s">
        <v>558</v>
      </c>
      <c r="D2212" s="1">
        <v>45555</v>
      </c>
      <c r="E2212" s="1">
        <v>45600</v>
      </c>
      <c r="F2212" t="s">
        <v>13</v>
      </c>
      <c r="G2212">
        <v>3146930</v>
      </c>
      <c r="H2212" s="1">
        <v>45613</v>
      </c>
      <c r="I2212" t="s">
        <v>555</v>
      </c>
      <c r="J2212" t="s">
        <v>556</v>
      </c>
      <c r="L2212">
        <v>3146930</v>
      </c>
      <c r="M2212">
        <f>IF(F2212="INR",1,INDEX('rates'!$B$2:$C$522,MATCH(D2212,'rates'!$A$2:$A$522,1),MATCH(F2212&amp;"/INR",'rates'!$B$1:$C$1,0)))</f>
        <v>1</v>
      </c>
      <c r="N2212">
        <f t="shared" si="180"/>
        <v>3146930</v>
      </c>
      <c r="O2212">
        <f t="shared" si="181"/>
        <v>0</v>
      </c>
      <c r="P2212">
        <f t="shared" si="182"/>
        <v>0</v>
      </c>
      <c r="Q2212">
        <f t="shared" si="184"/>
        <v>13</v>
      </c>
      <c r="R2212" t="str">
        <f t="shared" si="183"/>
        <v>Not open</v>
      </c>
    </row>
    <row r="2213" spans="1:18" x14ac:dyDescent="0.3">
      <c r="A2213" t="s">
        <v>2453</v>
      </c>
      <c r="B2213" t="s">
        <v>508</v>
      </c>
      <c r="C2213" t="s">
        <v>554</v>
      </c>
      <c r="D2213" s="1">
        <v>45555</v>
      </c>
      <c r="E2213" s="1">
        <v>45615</v>
      </c>
      <c r="F2213" t="s">
        <v>13</v>
      </c>
      <c r="G2213">
        <v>2712533</v>
      </c>
      <c r="H2213" s="1">
        <v>45627</v>
      </c>
      <c r="I2213" t="s">
        <v>555</v>
      </c>
      <c r="J2213" t="s">
        <v>556</v>
      </c>
      <c r="L2213">
        <v>2712533</v>
      </c>
      <c r="M2213">
        <f>IF(F2213="INR",1,INDEX('rates'!$B$2:$C$522,MATCH(D2213,'rates'!$A$2:$A$522,1),MATCH(F2213&amp;"/INR",'rates'!$B$1:$C$1,0)))</f>
        <v>1</v>
      </c>
      <c r="N2213">
        <f t="shared" si="180"/>
        <v>2712533</v>
      </c>
      <c r="O2213">
        <f t="shared" si="181"/>
        <v>0</v>
      </c>
      <c r="P2213">
        <f t="shared" si="182"/>
        <v>0</v>
      </c>
      <c r="Q2213">
        <f t="shared" si="184"/>
        <v>12</v>
      </c>
      <c r="R2213" t="str">
        <f t="shared" si="183"/>
        <v>Not open</v>
      </c>
    </row>
    <row r="2214" spans="1:18" x14ac:dyDescent="0.3">
      <c r="A2214" t="s">
        <v>2454</v>
      </c>
      <c r="B2214" t="s">
        <v>22</v>
      </c>
      <c r="C2214" t="s">
        <v>554</v>
      </c>
      <c r="D2214" s="1">
        <v>45556</v>
      </c>
      <c r="E2214" s="1">
        <v>45601</v>
      </c>
      <c r="F2214" t="s">
        <v>13</v>
      </c>
      <c r="G2214">
        <v>17233203</v>
      </c>
      <c r="H2214" s="1">
        <v>45604</v>
      </c>
      <c r="I2214" t="s">
        <v>555</v>
      </c>
      <c r="J2214" t="s">
        <v>556</v>
      </c>
      <c r="L2214">
        <v>17233203</v>
      </c>
      <c r="M2214">
        <f>IF(F2214="INR",1,INDEX('rates'!$B$2:$C$522,MATCH(D2214,'rates'!$A$2:$A$522,1),MATCH(F2214&amp;"/INR",'rates'!$B$1:$C$1,0)))</f>
        <v>1</v>
      </c>
      <c r="N2214">
        <f t="shared" si="180"/>
        <v>17233203</v>
      </c>
      <c r="O2214">
        <f t="shared" si="181"/>
        <v>0</v>
      </c>
      <c r="P2214">
        <f t="shared" si="182"/>
        <v>0</v>
      </c>
      <c r="Q2214">
        <f t="shared" si="184"/>
        <v>3</v>
      </c>
      <c r="R2214" t="str">
        <f t="shared" si="183"/>
        <v>Not open</v>
      </c>
    </row>
    <row r="2215" spans="1:18" x14ac:dyDescent="0.3">
      <c r="A2215" t="s">
        <v>2455</v>
      </c>
      <c r="B2215" t="s">
        <v>65</v>
      </c>
      <c r="C2215" t="s">
        <v>575</v>
      </c>
      <c r="D2215" s="1">
        <v>45556</v>
      </c>
      <c r="E2215" s="1">
        <v>45586</v>
      </c>
      <c r="F2215" t="s">
        <v>13</v>
      </c>
      <c r="G2215">
        <v>3096145</v>
      </c>
      <c r="H2215" s="1">
        <v>45591</v>
      </c>
      <c r="I2215" t="s">
        <v>555</v>
      </c>
      <c r="J2215" t="s">
        <v>556</v>
      </c>
      <c r="L2215">
        <v>3096145</v>
      </c>
      <c r="M2215">
        <f>IF(F2215="INR",1,INDEX('rates'!$B$2:$C$522,MATCH(D2215,'rates'!$A$2:$A$522,1),MATCH(F2215&amp;"/INR",'rates'!$B$1:$C$1,0)))</f>
        <v>1</v>
      </c>
      <c r="N2215">
        <f t="shared" si="180"/>
        <v>3096145</v>
      </c>
      <c r="O2215">
        <f t="shared" si="181"/>
        <v>0</v>
      </c>
      <c r="P2215">
        <f t="shared" si="182"/>
        <v>0</v>
      </c>
      <c r="Q2215">
        <f t="shared" si="184"/>
        <v>5</v>
      </c>
      <c r="R2215" t="str">
        <f t="shared" si="183"/>
        <v>Not open</v>
      </c>
    </row>
    <row r="2216" spans="1:18" x14ac:dyDescent="0.3">
      <c r="A2216" t="s">
        <v>2456</v>
      </c>
      <c r="B2216" t="s">
        <v>126</v>
      </c>
      <c r="C2216" t="s">
        <v>558</v>
      </c>
      <c r="D2216" s="1">
        <v>45556</v>
      </c>
      <c r="E2216" s="1">
        <v>45601</v>
      </c>
      <c r="F2216" t="s">
        <v>13</v>
      </c>
      <c r="G2216">
        <v>7140933</v>
      </c>
      <c r="H2216" s="1">
        <v>45617</v>
      </c>
      <c r="I2216" t="s">
        <v>555</v>
      </c>
      <c r="J2216" t="s">
        <v>556</v>
      </c>
      <c r="L2216">
        <v>7140933</v>
      </c>
      <c r="M2216">
        <f>IF(F2216="INR",1,INDEX('rates'!$B$2:$C$522,MATCH(D2216,'rates'!$A$2:$A$522,1),MATCH(F2216&amp;"/INR",'rates'!$B$1:$C$1,0)))</f>
        <v>1</v>
      </c>
      <c r="N2216">
        <f t="shared" si="180"/>
        <v>7140933</v>
      </c>
      <c r="O2216">
        <f t="shared" si="181"/>
        <v>0</v>
      </c>
      <c r="P2216">
        <f t="shared" si="182"/>
        <v>0</v>
      </c>
      <c r="Q2216">
        <f t="shared" si="184"/>
        <v>16</v>
      </c>
      <c r="R2216" t="str">
        <f t="shared" si="183"/>
        <v>Not open</v>
      </c>
    </row>
    <row r="2217" spans="1:18" x14ac:dyDescent="0.3">
      <c r="A2217" t="s">
        <v>2457</v>
      </c>
      <c r="B2217" t="s">
        <v>144</v>
      </c>
      <c r="C2217" t="s">
        <v>554</v>
      </c>
      <c r="D2217" s="1">
        <v>45556</v>
      </c>
      <c r="E2217" s="1">
        <v>45586</v>
      </c>
      <c r="F2217" t="s">
        <v>13</v>
      </c>
      <c r="G2217">
        <v>2180104</v>
      </c>
      <c r="H2217" s="1">
        <v>45595</v>
      </c>
      <c r="I2217" t="s">
        <v>555</v>
      </c>
      <c r="J2217" t="s">
        <v>556</v>
      </c>
      <c r="L2217">
        <v>2180104</v>
      </c>
      <c r="M2217">
        <f>IF(F2217="INR",1,INDEX('rates'!$B$2:$C$522,MATCH(D2217,'rates'!$A$2:$A$522,1),MATCH(F2217&amp;"/INR",'rates'!$B$1:$C$1,0)))</f>
        <v>1</v>
      </c>
      <c r="N2217">
        <f t="shared" si="180"/>
        <v>2180104</v>
      </c>
      <c r="O2217">
        <f t="shared" si="181"/>
        <v>0</v>
      </c>
      <c r="P2217">
        <f t="shared" si="182"/>
        <v>0</v>
      </c>
      <c r="Q2217">
        <f t="shared" si="184"/>
        <v>9</v>
      </c>
      <c r="R2217" t="str">
        <f t="shared" si="183"/>
        <v>Not open</v>
      </c>
    </row>
    <row r="2218" spans="1:18" x14ac:dyDescent="0.3">
      <c r="A2218" t="s">
        <v>2458</v>
      </c>
      <c r="B2218" t="s">
        <v>240</v>
      </c>
      <c r="C2218" t="s">
        <v>575</v>
      </c>
      <c r="D2218" s="1">
        <v>45556</v>
      </c>
      <c r="E2218" s="1">
        <v>45616</v>
      </c>
      <c r="F2218" t="s">
        <v>36</v>
      </c>
      <c r="G2218">
        <v>39923.64</v>
      </c>
      <c r="H2218" s="1">
        <v>45629</v>
      </c>
      <c r="I2218" t="s">
        <v>555</v>
      </c>
      <c r="J2218" t="s">
        <v>556</v>
      </c>
      <c r="L2218">
        <v>39923.64</v>
      </c>
      <c r="M2218">
        <f>IF(F2218="INR",1,INDEX('rates'!$B$2:$C$522,MATCH(D2218,'rates'!$A$2:$A$522,1),MATCH(F2218&amp;"/INR",'rates'!$B$1:$C$1,0)))</f>
        <v>83.57</v>
      </c>
      <c r="N2218">
        <f t="shared" si="180"/>
        <v>3336418.5947999996</v>
      </c>
      <c r="O2218">
        <f t="shared" si="181"/>
        <v>0</v>
      </c>
      <c r="P2218">
        <f t="shared" si="182"/>
        <v>0</v>
      </c>
      <c r="Q2218">
        <f t="shared" si="184"/>
        <v>13</v>
      </c>
      <c r="R2218" t="str">
        <f t="shared" si="183"/>
        <v>Not open</v>
      </c>
    </row>
    <row r="2219" spans="1:18" x14ac:dyDescent="0.3">
      <c r="A2219" t="s">
        <v>2459</v>
      </c>
      <c r="B2219" t="s">
        <v>332</v>
      </c>
      <c r="C2219" t="s">
        <v>566</v>
      </c>
      <c r="D2219" s="1">
        <v>45556</v>
      </c>
      <c r="E2219" s="1">
        <v>45616</v>
      </c>
      <c r="F2219" t="s">
        <v>36</v>
      </c>
      <c r="G2219">
        <v>368540.53</v>
      </c>
      <c r="H2219" s="1">
        <v>45624</v>
      </c>
      <c r="I2219" t="s">
        <v>555</v>
      </c>
      <c r="J2219" t="s">
        <v>573</v>
      </c>
      <c r="K2219">
        <v>83.848600000000005</v>
      </c>
      <c r="L2219">
        <v>368540.53</v>
      </c>
      <c r="M2219">
        <f>IF(F2219="INR",1,INDEX('rates'!$B$2:$C$522,MATCH(D2219,'rates'!$A$2:$A$522,1),MATCH(F2219&amp;"/INR",'rates'!$B$1:$C$1,0)))</f>
        <v>83.57</v>
      </c>
      <c r="N2219">
        <f t="shared" si="180"/>
        <v>30798932.092099998</v>
      </c>
      <c r="O2219">
        <f t="shared" si="181"/>
        <v>0</v>
      </c>
      <c r="P2219">
        <f t="shared" si="182"/>
        <v>0</v>
      </c>
      <c r="Q2219">
        <f t="shared" si="184"/>
        <v>8</v>
      </c>
      <c r="R2219" t="str">
        <f t="shared" si="183"/>
        <v>Not open</v>
      </c>
    </row>
    <row r="2220" spans="1:18" x14ac:dyDescent="0.3">
      <c r="A2220" t="s">
        <v>2460</v>
      </c>
      <c r="B2220" t="s">
        <v>444</v>
      </c>
      <c r="C2220" t="s">
        <v>575</v>
      </c>
      <c r="D2220" s="1">
        <v>45556</v>
      </c>
      <c r="E2220" s="1">
        <v>45601</v>
      </c>
      <c r="F2220" t="s">
        <v>36</v>
      </c>
      <c r="G2220">
        <v>44078.01</v>
      </c>
      <c r="H2220" s="1">
        <v>45615</v>
      </c>
      <c r="I2220" t="s">
        <v>555</v>
      </c>
      <c r="J2220" t="s">
        <v>556</v>
      </c>
      <c r="L2220">
        <v>44078.01</v>
      </c>
      <c r="M2220">
        <f>IF(F2220="INR",1,INDEX('rates'!$B$2:$C$522,MATCH(D2220,'rates'!$A$2:$A$522,1),MATCH(F2220&amp;"/INR",'rates'!$B$1:$C$1,0)))</f>
        <v>83.57</v>
      </c>
      <c r="N2220">
        <f t="shared" si="180"/>
        <v>3683599.2956999997</v>
      </c>
      <c r="O2220">
        <f t="shared" si="181"/>
        <v>0</v>
      </c>
      <c r="P2220">
        <f t="shared" si="182"/>
        <v>0</v>
      </c>
      <c r="Q2220">
        <f t="shared" si="184"/>
        <v>14</v>
      </c>
      <c r="R2220" t="str">
        <f t="shared" si="183"/>
        <v>Not open</v>
      </c>
    </row>
    <row r="2221" spans="1:18" x14ac:dyDescent="0.3">
      <c r="A2221" t="s">
        <v>2461</v>
      </c>
      <c r="B2221" t="s">
        <v>444</v>
      </c>
      <c r="C2221" t="s">
        <v>566</v>
      </c>
      <c r="D2221" s="1">
        <v>45556</v>
      </c>
      <c r="E2221" s="1">
        <v>45601</v>
      </c>
      <c r="F2221" t="s">
        <v>36</v>
      </c>
      <c r="G2221">
        <v>49580.76</v>
      </c>
      <c r="H2221" s="1">
        <v>45614</v>
      </c>
      <c r="I2221" t="s">
        <v>555</v>
      </c>
      <c r="J2221" t="s">
        <v>573</v>
      </c>
      <c r="K2221">
        <v>83.778899999999993</v>
      </c>
      <c r="L2221">
        <v>49580.76</v>
      </c>
      <c r="M2221">
        <f>IF(F2221="INR",1,INDEX('rates'!$B$2:$C$522,MATCH(D2221,'rates'!$A$2:$A$522,1),MATCH(F2221&amp;"/INR",'rates'!$B$1:$C$1,0)))</f>
        <v>83.57</v>
      </c>
      <c r="N2221">
        <f t="shared" si="180"/>
        <v>4143464.1132</v>
      </c>
      <c r="O2221">
        <f t="shared" si="181"/>
        <v>0</v>
      </c>
      <c r="P2221">
        <f t="shared" si="182"/>
        <v>0</v>
      </c>
      <c r="Q2221">
        <f t="shared" si="184"/>
        <v>13</v>
      </c>
      <c r="R2221" t="str">
        <f t="shared" si="183"/>
        <v>Not open</v>
      </c>
    </row>
    <row r="2222" spans="1:18" x14ac:dyDescent="0.3">
      <c r="A2222" t="s">
        <v>2463</v>
      </c>
      <c r="B2222" t="s">
        <v>496</v>
      </c>
      <c r="C2222" t="s">
        <v>554</v>
      </c>
      <c r="D2222" s="1">
        <v>45556</v>
      </c>
      <c r="E2222" s="1">
        <v>45601</v>
      </c>
      <c r="F2222" t="s">
        <v>13</v>
      </c>
      <c r="G2222">
        <v>33818074</v>
      </c>
      <c r="H2222" s="1">
        <v>45609</v>
      </c>
      <c r="I2222" t="s">
        <v>555</v>
      </c>
      <c r="J2222" t="s">
        <v>556</v>
      </c>
      <c r="L2222">
        <v>33818074</v>
      </c>
      <c r="M2222">
        <f>IF(F2222="INR",1,INDEX('rates'!$B$2:$C$522,MATCH(D2222,'rates'!$A$2:$A$522,1),MATCH(F2222&amp;"/INR",'rates'!$B$1:$C$1,0)))</f>
        <v>1</v>
      </c>
      <c r="N2222">
        <f t="shared" si="180"/>
        <v>33818074</v>
      </c>
      <c r="O2222">
        <f t="shared" si="181"/>
        <v>0</v>
      </c>
      <c r="P2222">
        <f t="shared" si="182"/>
        <v>0</v>
      </c>
      <c r="Q2222">
        <f t="shared" si="184"/>
        <v>8</v>
      </c>
      <c r="R2222" t="str">
        <f t="shared" si="183"/>
        <v>Not open</v>
      </c>
    </row>
    <row r="2223" spans="1:18" x14ac:dyDescent="0.3">
      <c r="A2223" t="s">
        <v>2464</v>
      </c>
      <c r="B2223" t="s">
        <v>158</v>
      </c>
      <c r="C2223" t="s">
        <v>566</v>
      </c>
      <c r="D2223" s="1">
        <v>45558</v>
      </c>
      <c r="E2223" s="1">
        <v>45588</v>
      </c>
      <c r="F2223" t="s">
        <v>13</v>
      </c>
      <c r="G2223">
        <v>5137032</v>
      </c>
      <c r="H2223" s="1">
        <v>45596</v>
      </c>
      <c r="I2223" t="s">
        <v>555</v>
      </c>
      <c r="J2223" t="s">
        <v>556</v>
      </c>
      <c r="L2223">
        <v>5137032</v>
      </c>
      <c r="M2223">
        <f>IF(F2223="INR",1,INDEX('rates'!$B$2:$C$522,MATCH(D2223,'rates'!$A$2:$A$522,1),MATCH(F2223&amp;"/INR",'rates'!$B$1:$C$1,0)))</f>
        <v>1</v>
      </c>
      <c r="N2223">
        <f t="shared" si="180"/>
        <v>5137032</v>
      </c>
      <c r="O2223">
        <f t="shared" si="181"/>
        <v>0</v>
      </c>
      <c r="P2223">
        <f t="shared" si="182"/>
        <v>0</v>
      </c>
      <c r="Q2223">
        <f t="shared" si="184"/>
        <v>8</v>
      </c>
      <c r="R2223" t="str">
        <f t="shared" si="183"/>
        <v>Not open</v>
      </c>
    </row>
    <row r="2224" spans="1:18" x14ac:dyDescent="0.3">
      <c r="A2224" t="s">
        <v>2465</v>
      </c>
      <c r="B2224" t="s">
        <v>310</v>
      </c>
      <c r="C2224" t="s">
        <v>558</v>
      </c>
      <c r="D2224" s="1">
        <v>45558</v>
      </c>
      <c r="E2224" s="1">
        <v>45618</v>
      </c>
      <c r="F2224" t="s">
        <v>31</v>
      </c>
      <c r="G2224">
        <v>11581.86</v>
      </c>
      <c r="H2224" s="1">
        <v>45647</v>
      </c>
      <c r="I2224" t="s">
        <v>555</v>
      </c>
      <c r="J2224" t="s">
        <v>556</v>
      </c>
      <c r="L2224">
        <v>11581.86</v>
      </c>
      <c r="M2224">
        <f>IF(F2224="INR",1,INDEX('rates'!$B$2:$C$522,MATCH(D2224,'rates'!$A$2:$A$522,1),MATCH(F2224&amp;"/INR",'rates'!$B$1:$C$1,0)))</f>
        <v>92.968900000000005</v>
      </c>
      <c r="N2224">
        <f t="shared" si="180"/>
        <v>1076752.7841540002</v>
      </c>
      <c r="O2224">
        <f t="shared" si="181"/>
        <v>0</v>
      </c>
      <c r="P2224">
        <f t="shared" si="182"/>
        <v>0</v>
      </c>
      <c r="Q2224">
        <f t="shared" si="184"/>
        <v>29</v>
      </c>
      <c r="R2224" t="str">
        <f t="shared" si="183"/>
        <v>Not open</v>
      </c>
    </row>
    <row r="2225" spans="1:18" x14ac:dyDescent="0.3">
      <c r="A2225" t="s">
        <v>2466</v>
      </c>
      <c r="B2225" t="s">
        <v>370</v>
      </c>
      <c r="C2225" t="s">
        <v>566</v>
      </c>
      <c r="D2225" s="1">
        <v>45558</v>
      </c>
      <c r="E2225" s="1">
        <v>45588</v>
      </c>
      <c r="F2225" t="s">
        <v>36</v>
      </c>
      <c r="G2225">
        <v>114213.3</v>
      </c>
      <c r="H2225" s="1">
        <v>45596</v>
      </c>
      <c r="I2225" t="s">
        <v>555</v>
      </c>
      <c r="J2225" t="s">
        <v>556</v>
      </c>
      <c r="L2225">
        <v>114213.3</v>
      </c>
      <c r="M2225">
        <f>IF(F2225="INR",1,INDEX('rates'!$B$2:$C$522,MATCH(D2225,'rates'!$A$2:$A$522,1),MATCH(F2225&amp;"/INR",'rates'!$B$1:$C$1,0)))</f>
        <v>83.53</v>
      </c>
      <c r="N2225">
        <f t="shared" si="180"/>
        <v>9540236.949000001</v>
      </c>
      <c r="O2225">
        <f t="shared" si="181"/>
        <v>0</v>
      </c>
      <c r="P2225">
        <f t="shared" si="182"/>
        <v>0</v>
      </c>
      <c r="Q2225">
        <f t="shared" si="184"/>
        <v>8</v>
      </c>
      <c r="R2225" t="str">
        <f t="shared" si="183"/>
        <v>Not open</v>
      </c>
    </row>
    <row r="2226" spans="1:18" x14ac:dyDescent="0.3">
      <c r="A2226" t="s">
        <v>2467</v>
      </c>
      <c r="B2226" t="s">
        <v>466</v>
      </c>
      <c r="C2226" t="s">
        <v>558</v>
      </c>
      <c r="D2226" s="1">
        <v>45558</v>
      </c>
      <c r="E2226" s="1">
        <v>45618</v>
      </c>
      <c r="F2226" t="s">
        <v>31</v>
      </c>
      <c r="G2226">
        <v>118296.76</v>
      </c>
      <c r="H2226" s="1">
        <v>45624</v>
      </c>
      <c r="I2226" t="s">
        <v>555</v>
      </c>
      <c r="J2226" t="s">
        <v>573</v>
      </c>
      <c r="K2226">
        <v>93.154799999999994</v>
      </c>
      <c r="L2226">
        <v>118296.76</v>
      </c>
      <c r="M2226">
        <f>IF(F2226="INR",1,INDEX('rates'!$B$2:$C$522,MATCH(D2226,'rates'!$A$2:$A$522,1),MATCH(F2226&amp;"/INR",'rates'!$B$1:$C$1,0)))</f>
        <v>92.968900000000005</v>
      </c>
      <c r="N2226">
        <f t="shared" si="180"/>
        <v>10997919.650764</v>
      </c>
      <c r="O2226">
        <f t="shared" si="181"/>
        <v>0</v>
      </c>
      <c r="P2226">
        <f t="shared" si="182"/>
        <v>0</v>
      </c>
      <c r="Q2226">
        <f t="shared" si="184"/>
        <v>6</v>
      </c>
      <c r="R2226" t="str">
        <f t="shared" si="183"/>
        <v>Not open</v>
      </c>
    </row>
    <row r="2227" spans="1:18" x14ac:dyDescent="0.3">
      <c r="A2227" t="s">
        <v>2468</v>
      </c>
      <c r="B2227" t="s">
        <v>140</v>
      </c>
      <c r="C2227" t="s">
        <v>554</v>
      </c>
      <c r="D2227" s="1">
        <v>45559</v>
      </c>
      <c r="E2227" s="1">
        <v>45619</v>
      </c>
      <c r="F2227" t="s">
        <v>13</v>
      </c>
      <c r="G2227">
        <v>14502291</v>
      </c>
      <c r="H2227" s="1">
        <v>45627</v>
      </c>
      <c r="I2227" t="s">
        <v>555</v>
      </c>
      <c r="J2227" t="s">
        <v>556</v>
      </c>
      <c r="L2227">
        <v>14502291</v>
      </c>
      <c r="M2227">
        <f>IF(F2227="INR",1,INDEX('rates'!$B$2:$C$522,MATCH(D2227,'rates'!$A$2:$A$522,1),MATCH(F2227&amp;"/INR",'rates'!$B$1:$C$1,0)))</f>
        <v>1</v>
      </c>
      <c r="N2227">
        <f t="shared" si="180"/>
        <v>14502291</v>
      </c>
      <c r="O2227">
        <f t="shared" si="181"/>
        <v>0</v>
      </c>
      <c r="P2227">
        <f t="shared" si="182"/>
        <v>0</v>
      </c>
      <c r="Q2227">
        <f t="shared" si="184"/>
        <v>8</v>
      </c>
      <c r="R2227" t="str">
        <f t="shared" si="183"/>
        <v>Not open</v>
      </c>
    </row>
    <row r="2228" spans="1:18" x14ac:dyDescent="0.3">
      <c r="A2228" t="s">
        <v>2469</v>
      </c>
      <c r="B2228" t="s">
        <v>286</v>
      </c>
      <c r="C2228" t="s">
        <v>558</v>
      </c>
      <c r="D2228" s="1">
        <v>45559</v>
      </c>
      <c r="E2228" s="1">
        <v>45619</v>
      </c>
      <c r="F2228" t="s">
        <v>36</v>
      </c>
      <c r="G2228">
        <v>69490.63</v>
      </c>
      <c r="H2228" s="1">
        <v>45636</v>
      </c>
      <c r="I2228" t="s">
        <v>555</v>
      </c>
      <c r="J2228" t="s">
        <v>573</v>
      </c>
      <c r="K2228">
        <v>83.938900000000004</v>
      </c>
      <c r="L2228">
        <v>69490.63</v>
      </c>
      <c r="M2228">
        <f>IF(F2228="INR",1,INDEX('rates'!$B$2:$C$522,MATCH(D2228,'rates'!$A$2:$A$522,1),MATCH(F2228&amp;"/INR",'rates'!$B$1:$C$1,0)))</f>
        <v>83.66</v>
      </c>
      <c r="N2228">
        <f t="shared" si="180"/>
        <v>5813586.1058</v>
      </c>
      <c r="O2228">
        <f t="shared" si="181"/>
        <v>0</v>
      </c>
      <c r="P2228">
        <f t="shared" si="182"/>
        <v>0</v>
      </c>
      <c r="Q2228">
        <f t="shared" si="184"/>
        <v>17</v>
      </c>
      <c r="R2228" t="str">
        <f t="shared" si="183"/>
        <v>Not open</v>
      </c>
    </row>
    <row r="2229" spans="1:18" x14ac:dyDescent="0.3">
      <c r="A2229" t="s">
        <v>2470</v>
      </c>
      <c r="B2229" t="s">
        <v>532</v>
      </c>
      <c r="C2229" t="s">
        <v>575</v>
      </c>
      <c r="D2229" s="1">
        <v>45559</v>
      </c>
      <c r="E2229" s="1">
        <v>45619</v>
      </c>
      <c r="F2229" t="s">
        <v>36</v>
      </c>
      <c r="G2229">
        <v>239696.04</v>
      </c>
      <c r="H2229" s="1">
        <v>45624</v>
      </c>
      <c r="I2229" t="s">
        <v>555</v>
      </c>
      <c r="J2229" t="s">
        <v>556</v>
      </c>
      <c r="L2229">
        <v>239696.04</v>
      </c>
      <c r="M2229">
        <f>IF(F2229="INR",1,INDEX('rates'!$B$2:$C$522,MATCH(D2229,'rates'!$A$2:$A$522,1),MATCH(F2229&amp;"/INR",'rates'!$B$1:$C$1,0)))</f>
        <v>83.66</v>
      </c>
      <c r="N2229">
        <f t="shared" si="180"/>
        <v>20052970.7064</v>
      </c>
      <c r="O2229">
        <f t="shared" si="181"/>
        <v>0</v>
      </c>
      <c r="P2229">
        <f t="shared" si="182"/>
        <v>0</v>
      </c>
      <c r="Q2229">
        <f t="shared" si="184"/>
        <v>5</v>
      </c>
      <c r="R2229" t="str">
        <f t="shared" si="183"/>
        <v>Not open</v>
      </c>
    </row>
    <row r="2230" spans="1:18" x14ac:dyDescent="0.3">
      <c r="A2230" t="s">
        <v>2471</v>
      </c>
      <c r="B2230" t="s">
        <v>144</v>
      </c>
      <c r="C2230" t="s">
        <v>554</v>
      </c>
      <c r="D2230" s="1">
        <v>45560</v>
      </c>
      <c r="E2230" s="1">
        <v>45590</v>
      </c>
      <c r="F2230" t="s">
        <v>13</v>
      </c>
      <c r="G2230">
        <v>4851188</v>
      </c>
      <c r="H2230" s="1">
        <v>45600</v>
      </c>
      <c r="I2230" t="s">
        <v>555</v>
      </c>
      <c r="J2230" t="s">
        <v>556</v>
      </c>
      <c r="L2230">
        <v>4851188</v>
      </c>
      <c r="M2230">
        <f>IF(F2230="INR",1,INDEX('rates'!$B$2:$C$522,MATCH(D2230,'rates'!$A$2:$A$522,1),MATCH(F2230&amp;"/INR",'rates'!$B$1:$C$1,0)))</f>
        <v>1</v>
      </c>
      <c r="N2230">
        <f t="shared" si="180"/>
        <v>4851188</v>
      </c>
      <c r="O2230">
        <f t="shared" si="181"/>
        <v>0</v>
      </c>
      <c r="P2230">
        <f t="shared" si="182"/>
        <v>0</v>
      </c>
      <c r="Q2230">
        <f t="shared" si="184"/>
        <v>10</v>
      </c>
      <c r="R2230" t="str">
        <f t="shared" si="183"/>
        <v>Not open</v>
      </c>
    </row>
    <row r="2231" spans="1:18" x14ac:dyDescent="0.3">
      <c r="A2231" t="s">
        <v>2472</v>
      </c>
      <c r="B2231" t="s">
        <v>144</v>
      </c>
      <c r="C2231" t="s">
        <v>554</v>
      </c>
      <c r="D2231" s="1">
        <v>45560</v>
      </c>
      <c r="E2231" s="1">
        <v>45590</v>
      </c>
      <c r="F2231" t="s">
        <v>13</v>
      </c>
      <c r="G2231">
        <v>5018100</v>
      </c>
      <c r="H2231" s="1">
        <v>45590</v>
      </c>
      <c r="I2231" t="s">
        <v>555</v>
      </c>
      <c r="J2231" t="s">
        <v>556</v>
      </c>
      <c r="L2231">
        <v>5018100</v>
      </c>
      <c r="M2231">
        <f>IF(F2231="INR",1,INDEX('rates'!$B$2:$C$522,MATCH(D2231,'rates'!$A$2:$A$522,1),MATCH(F2231&amp;"/INR",'rates'!$B$1:$C$1,0)))</f>
        <v>1</v>
      </c>
      <c r="N2231">
        <f t="shared" si="180"/>
        <v>5018100</v>
      </c>
      <c r="O2231">
        <f t="shared" si="181"/>
        <v>0</v>
      </c>
      <c r="P2231">
        <f t="shared" si="182"/>
        <v>0</v>
      </c>
      <c r="Q2231">
        <f t="shared" si="184"/>
        <v>0</v>
      </c>
      <c r="R2231" t="str">
        <f t="shared" si="183"/>
        <v>Not open</v>
      </c>
    </row>
    <row r="2232" spans="1:18" x14ac:dyDescent="0.3">
      <c r="A2232" t="s">
        <v>2473</v>
      </c>
      <c r="B2232" t="s">
        <v>154</v>
      </c>
      <c r="C2232" t="s">
        <v>566</v>
      </c>
      <c r="D2232" s="1">
        <v>45560</v>
      </c>
      <c r="E2232" s="1">
        <v>45590</v>
      </c>
      <c r="F2232" t="s">
        <v>13</v>
      </c>
      <c r="G2232">
        <v>7897704</v>
      </c>
      <c r="H2232" s="1">
        <v>45581</v>
      </c>
      <c r="I2232" t="s">
        <v>555</v>
      </c>
      <c r="J2232" t="s">
        <v>556</v>
      </c>
      <c r="L2232">
        <v>7897704</v>
      </c>
      <c r="M2232">
        <f>IF(F2232="INR",1,INDEX('rates'!$B$2:$C$522,MATCH(D2232,'rates'!$A$2:$A$522,1),MATCH(F2232&amp;"/INR",'rates'!$B$1:$C$1,0)))</f>
        <v>1</v>
      </c>
      <c r="N2232">
        <f t="shared" si="180"/>
        <v>7897704</v>
      </c>
      <c r="O2232">
        <f t="shared" si="181"/>
        <v>0</v>
      </c>
      <c r="P2232">
        <f t="shared" si="182"/>
        <v>0</v>
      </c>
      <c r="Q2232">
        <f t="shared" si="184"/>
        <v>-9</v>
      </c>
      <c r="R2232" t="str">
        <f t="shared" si="183"/>
        <v>Not open</v>
      </c>
    </row>
    <row r="2233" spans="1:18" x14ac:dyDescent="0.3">
      <c r="A2233" t="s">
        <v>2474</v>
      </c>
      <c r="B2233" t="s">
        <v>164</v>
      </c>
      <c r="C2233" t="s">
        <v>575</v>
      </c>
      <c r="D2233" s="1">
        <v>45560</v>
      </c>
      <c r="E2233" s="1">
        <v>45620</v>
      </c>
      <c r="F2233" t="s">
        <v>36</v>
      </c>
      <c r="G2233">
        <v>101175.8</v>
      </c>
      <c r="H2233" s="1">
        <v>45634</v>
      </c>
      <c r="I2233" t="s">
        <v>555</v>
      </c>
      <c r="J2233" t="s">
        <v>573</v>
      </c>
      <c r="K2233">
        <v>83.838499999999996</v>
      </c>
      <c r="L2233">
        <v>101175.8</v>
      </c>
      <c r="M2233">
        <f>IF(F2233="INR",1,INDEX('rates'!$B$2:$C$522,MATCH(D2233,'rates'!$A$2:$A$522,1),MATCH(F2233&amp;"/INR",'rates'!$B$1:$C$1,0)))</f>
        <v>83.56</v>
      </c>
      <c r="N2233">
        <f t="shared" si="180"/>
        <v>8454249.8480000012</v>
      </c>
      <c r="O2233">
        <f t="shared" si="181"/>
        <v>0</v>
      </c>
      <c r="P2233">
        <f t="shared" si="182"/>
        <v>0</v>
      </c>
      <c r="Q2233">
        <f t="shared" si="184"/>
        <v>14</v>
      </c>
      <c r="R2233" t="str">
        <f t="shared" si="183"/>
        <v>Not open</v>
      </c>
    </row>
    <row r="2234" spans="1:18" x14ac:dyDescent="0.3">
      <c r="A2234" t="s">
        <v>2475</v>
      </c>
      <c r="B2234" t="s">
        <v>178</v>
      </c>
      <c r="C2234" t="s">
        <v>560</v>
      </c>
      <c r="D2234" s="1">
        <v>45560</v>
      </c>
      <c r="E2234" s="1">
        <v>45590</v>
      </c>
      <c r="F2234" t="s">
        <v>13</v>
      </c>
      <c r="G2234">
        <v>4743482</v>
      </c>
      <c r="H2234" s="1">
        <v>45604</v>
      </c>
      <c r="I2234" t="s">
        <v>555</v>
      </c>
      <c r="J2234" t="s">
        <v>556</v>
      </c>
      <c r="L2234">
        <v>4743482</v>
      </c>
      <c r="M2234">
        <f>IF(F2234="INR",1,INDEX('rates'!$B$2:$C$522,MATCH(D2234,'rates'!$A$2:$A$522,1),MATCH(F2234&amp;"/INR",'rates'!$B$1:$C$1,0)))</f>
        <v>1</v>
      </c>
      <c r="N2234">
        <f t="shared" si="180"/>
        <v>4743482</v>
      </c>
      <c r="O2234">
        <f t="shared" si="181"/>
        <v>0</v>
      </c>
      <c r="P2234">
        <f t="shared" si="182"/>
        <v>0</v>
      </c>
      <c r="Q2234">
        <f t="shared" si="184"/>
        <v>14</v>
      </c>
      <c r="R2234" t="str">
        <f t="shared" si="183"/>
        <v>Not open</v>
      </c>
    </row>
    <row r="2235" spans="1:18" x14ac:dyDescent="0.3">
      <c r="A2235" t="s">
        <v>2476</v>
      </c>
      <c r="B2235" t="s">
        <v>260</v>
      </c>
      <c r="C2235" t="s">
        <v>558</v>
      </c>
      <c r="D2235" s="1">
        <v>45560</v>
      </c>
      <c r="E2235" s="1">
        <v>45620</v>
      </c>
      <c r="F2235" t="s">
        <v>36</v>
      </c>
      <c r="G2235">
        <v>83348.88</v>
      </c>
      <c r="H2235" s="1">
        <v>45658</v>
      </c>
      <c r="I2235" t="s">
        <v>555</v>
      </c>
      <c r="J2235" t="s">
        <v>573</v>
      </c>
      <c r="K2235">
        <v>83.838499999999996</v>
      </c>
      <c r="L2235">
        <v>83348.88</v>
      </c>
      <c r="M2235">
        <f>IF(F2235="INR",1,INDEX('rates'!$B$2:$C$522,MATCH(D2235,'rates'!$A$2:$A$522,1),MATCH(F2235&amp;"/INR",'rates'!$B$1:$C$1,0)))</f>
        <v>83.56</v>
      </c>
      <c r="N2235">
        <f t="shared" si="180"/>
        <v>6964632.412800001</v>
      </c>
      <c r="O2235">
        <f t="shared" si="181"/>
        <v>0</v>
      </c>
      <c r="P2235">
        <f t="shared" si="182"/>
        <v>0</v>
      </c>
      <c r="Q2235">
        <f t="shared" si="184"/>
        <v>38</v>
      </c>
      <c r="R2235" t="str">
        <f t="shared" si="183"/>
        <v>Not open</v>
      </c>
    </row>
    <row r="2236" spans="1:18" x14ac:dyDescent="0.3">
      <c r="A2236" t="s">
        <v>2477</v>
      </c>
      <c r="B2236" t="s">
        <v>368</v>
      </c>
      <c r="C2236" t="s">
        <v>566</v>
      </c>
      <c r="D2236" s="1">
        <v>45560</v>
      </c>
      <c r="E2236" s="1">
        <v>45620</v>
      </c>
      <c r="F2236" t="s">
        <v>36</v>
      </c>
      <c r="G2236">
        <v>122006.26</v>
      </c>
      <c r="H2236" s="1">
        <v>45628</v>
      </c>
      <c r="I2236" t="s">
        <v>555</v>
      </c>
      <c r="J2236" t="s">
        <v>573</v>
      </c>
      <c r="K2236">
        <v>83.838499999999996</v>
      </c>
      <c r="L2236">
        <v>122006.26</v>
      </c>
      <c r="M2236">
        <f>IF(F2236="INR",1,INDEX('rates'!$B$2:$C$522,MATCH(D2236,'rates'!$A$2:$A$522,1),MATCH(F2236&amp;"/INR",'rates'!$B$1:$C$1,0)))</f>
        <v>83.56</v>
      </c>
      <c r="N2236">
        <f t="shared" si="180"/>
        <v>10194843.0856</v>
      </c>
      <c r="O2236">
        <f t="shared" si="181"/>
        <v>0</v>
      </c>
      <c r="P2236">
        <f t="shared" si="182"/>
        <v>0</v>
      </c>
      <c r="Q2236">
        <f t="shared" si="184"/>
        <v>8</v>
      </c>
      <c r="R2236" t="str">
        <f t="shared" si="183"/>
        <v>Not open</v>
      </c>
    </row>
    <row r="2237" spans="1:18" x14ac:dyDescent="0.3">
      <c r="A2237" t="s">
        <v>2478</v>
      </c>
      <c r="B2237" t="s">
        <v>522</v>
      </c>
      <c r="C2237" t="s">
        <v>566</v>
      </c>
      <c r="D2237" s="1">
        <v>45560</v>
      </c>
      <c r="E2237" s="1">
        <v>45620</v>
      </c>
      <c r="F2237" t="s">
        <v>31</v>
      </c>
      <c r="G2237">
        <v>54237.98</v>
      </c>
      <c r="H2237" s="1">
        <v>45634</v>
      </c>
      <c r="I2237" t="s">
        <v>555</v>
      </c>
      <c r="J2237" t="s">
        <v>573</v>
      </c>
      <c r="K2237">
        <v>93.2971</v>
      </c>
      <c r="L2237">
        <v>54237.98</v>
      </c>
      <c r="M2237">
        <f>IF(F2237="INR",1,INDEX('rates'!$B$2:$C$522,MATCH(D2237,'rates'!$A$2:$A$522,1),MATCH(F2237&amp;"/INR",'rates'!$B$1:$C$1,0)))</f>
        <v>93.110900000000001</v>
      </c>
      <c r="N2237">
        <f t="shared" si="180"/>
        <v>5050147.1319820005</v>
      </c>
      <c r="O2237">
        <f t="shared" si="181"/>
        <v>0</v>
      </c>
      <c r="P2237">
        <f t="shared" si="182"/>
        <v>0</v>
      </c>
      <c r="Q2237">
        <f t="shared" si="184"/>
        <v>14</v>
      </c>
      <c r="R2237" t="str">
        <f t="shared" si="183"/>
        <v>Not open</v>
      </c>
    </row>
    <row r="2238" spans="1:18" x14ac:dyDescent="0.3">
      <c r="A2238" t="s">
        <v>2479</v>
      </c>
      <c r="B2238" t="s">
        <v>222</v>
      </c>
      <c r="C2238" t="s">
        <v>560</v>
      </c>
      <c r="D2238" s="1">
        <v>45561</v>
      </c>
      <c r="E2238" s="1">
        <v>45621</v>
      </c>
      <c r="F2238" t="s">
        <v>36</v>
      </c>
      <c r="G2238">
        <v>80462.97</v>
      </c>
      <c r="H2238" s="1">
        <v>45642</v>
      </c>
      <c r="I2238" t="s">
        <v>555</v>
      </c>
      <c r="J2238" t="s">
        <v>556</v>
      </c>
      <c r="L2238">
        <v>80462.97</v>
      </c>
      <c r="M2238">
        <f>IF(F2238="INR",1,INDEX('rates'!$B$2:$C$522,MATCH(D2238,'rates'!$A$2:$A$522,1),MATCH(F2238&amp;"/INR",'rates'!$B$1:$C$1,0)))</f>
        <v>83.6</v>
      </c>
      <c r="N2238">
        <f t="shared" si="180"/>
        <v>6726704.2919999994</v>
      </c>
      <c r="O2238">
        <f t="shared" si="181"/>
        <v>0</v>
      </c>
      <c r="P2238">
        <f t="shared" si="182"/>
        <v>0</v>
      </c>
      <c r="Q2238">
        <f t="shared" si="184"/>
        <v>21</v>
      </c>
      <c r="R2238" t="str">
        <f t="shared" si="183"/>
        <v>Not open</v>
      </c>
    </row>
    <row r="2239" spans="1:18" x14ac:dyDescent="0.3">
      <c r="A2239" t="s">
        <v>2481</v>
      </c>
      <c r="B2239" t="s">
        <v>262</v>
      </c>
      <c r="C2239" t="s">
        <v>566</v>
      </c>
      <c r="D2239" s="1">
        <v>45561</v>
      </c>
      <c r="E2239" s="1">
        <v>45651</v>
      </c>
      <c r="F2239" t="s">
        <v>31</v>
      </c>
      <c r="G2239">
        <v>64390.09</v>
      </c>
      <c r="H2239" s="1">
        <v>45686</v>
      </c>
      <c r="I2239" t="s">
        <v>555</v>
      </c>
      <c r="J2239" t="s">
        <v>573</v>
      </c>
      <c r="K2239">
        <v>93.778700000000001</v>
      </c>
      <c r="L2239">
        <v>64390.09</v>
      </c>
      <c r="M2239">
        <f>IF(F2239="INR",1,INDEX('rates'!$B$2:$C$522,MATCH(D2239,'rates'!$A$2:$A$522,1),MATCH(F2239&amp;"/INR",'rates'!$B$1:$C$1,0)))</f>
        <v>93.498199999999997</v>
      </c>
      <c r="N2239">
        <f t="shared" si="180"/>
        <v>6020357.5128379995</v>
      </c>
      <c r="O2239">
        <f t="shared" si="181"/>
        <v>0</v>
      </c>
      <c r="P2239">
        <f t="shared" si="182"/>
        <v>0</v>
      </c>
      <c r="Q2239">
        <f t="shared" si="184"/>
        <v>35</v>
      </c>
      <c r="R2239" t="str">
        <f t="shared" si="183"/>
        <v>Not open</v>
      </c>
    </row>
    <row r="2240" spans="1:18" x14ac:dyDescent="0.3">
      <c r="A2240" t="s">
        <v>2482</v>
      </c>
      <c r="B2240" t="s">
        <v>272</v>
      </c>
      <c r="C2240" t="s">
        <v>575</v>
      </c>
      <c r="D2240" s="1">
        <v>45561</v>
      </c>
      <c r="E2240" s="1">
        <v>45606</v>
      </c>
      <c r="F2240" t="s">
        <v>13</v>
      </c>
      <c r="G2240">
        <v>3446421</v>
      </c>
      <c r="H2240" s="1">
        <v>45639</v>
      </c>
      <c r="I2240" t="s">
        <v>555</v>
      </c>
      <c r="J2240" t="s">
        <v>556</v>
      </c>
      <c r="L2240">
        <v>3446421</v>
      </c>
      <c r="M2240">
        <f>IF(F2240="INR",1,INDEX('rates'!$B$2:$C$522,MATCH(D2240,'rates'!$A$2:$A$522,1),MATCH(F2240&amp;"/INR",'rates'!$B$1:$C$1,0)))</f>
        <v>1</v>
      </c>
      <c r="N2240">
        <f t="shared" si="180"/>
        <v>3446421</v>
      </c>
      <c r="O2240">
        <f t="shared" si="181"/>
        <v>0</v>
      </c>
      <c r="P2240">
        <f t="shared" si="182"/>
        <v>0</v>
      </c>
      <c r="Q2240">
        <f t="shared" si="184"/>
        <v>33</v>
      </c>
      <c r="R2240" t="str">
        <f t="shared" si="183"/>
        <v>Not open</v>
      </c>
    </row>
    <row r="2241" spans="1:18" x14ac:dyDescent="0.3">
      <c r="A2241" t="s">
        <v>2483</v>
      </c>
      <c r="B2241" t="s">
        <v>352</v>
      </c>
      <c r="C2241" t="s">
        <v>554</v>
      </c>
      <c r="D2241" s="1">
        <v>45561</v>
      </c>
      <c r="E2241" s="1">
        <v>45606</v>
      </c>
      <c r="F2241" t="s">
        <v>36</v>
      </c>
      <c r="G2241">
        <v>136318.39999999999</v>
      </c>
      <c r="H2241" s="1">
        <v>45624</v>
      </c>
      <c r="I2241" t="s">
        <v>555</v>
      </c>
      <c r="J2241" t="s">
        <v>556</v>
      </c>
      <c r="L2241">
        <v>136318.39999999999</v>
      </c>
      <c r="M2241">
        <f>IF(F2241="INR",1,INDEX('rates'!$B$2:$C$522,MATCH(D2241,'rates'!$A$2:$A$522,1),MATCH(F2241&amp;"/INR",'rates'!$B$1:$C$1,0)))</f>
        <v>83.6</v>
      </c>
      <c r="N2241">
        <f t="shared" si="180"/>
        <v>11396218.239999998</v>
      </c>
      <c r="O2241">
        <f t="shared" si="181"/>
        <v>0</v>
      </c>
      <c r="P2241">
        <f t="shared" si="182"/>
        <v>0</v>
      </c>
      <c r="Q2241">
        <f t="shared" si="184"/>
        <v>18</v>
      </c>
      <c r="R2241" t="str">
        <f t="shared" si="183"/>
        <v>Not open</v>
      </c>
    </row>
    <row r="2242" spans="1:18" x14ac:dyDescent="0.3">
      <c r="A2242" t="s">
        <v>2485</v>
      </c>
      <c r="B2242" t="s">
        <v>238</v>
      </c>
      <c r="C2242" t="s">
        <v>566</v>
      </c>
      <c r="D2242" s="1">
        <v>45562</v>
      </c>
      <c r="E2242" s="1">
        <v>45622</v>
      </c>
      <c r="F2242" t="s">
        <v>31</v>
      </c>
      <c r="G2242">
        <v>136049.88</v>
      </c>
      <c r="H2242" s="1">
        <v>45637</v>
      </c>
      <c r="I2242" t="s">
        <v>555</v>
      </c>
      <c r="J2242" t="s">
        <v>556</v>
      </c>
      <c r="L2242">
        <v>136049.88</v>
      </c>
      <c r="M2242">
        <f>IF(F2242="INR",1,INDEX('rates'!$B$2:$C$522,MATCH(D2242,'rates'!$A$2:$A$522,1),MATCH(F2242&amp;"/INR",'rates'!$B$1:$C$1,0)))</f>
        <v>93.378500000000003</v>
      </c>
      <c r="N2242">
        <f t="shared" ref="N2242:N2305" si="185">G2242*M2242</f>
        <v>12704133.71958</v>
      </c>
      <c r="O2242">
        <f t="shared" ref="O2242:O2305" si="186">IF(OR(I2242="OPEN",I2242="PARTIALLY PAID"),(G2242-L2242)*M2242,0)</f>
        <v>0</v>
      </c>
      <c r="P2242">
        <f t="shared" ref="P2242:P2305" si="187">IF(O2242&gt;0,MAX(0,DATE(2025,3,31)-E2242),0)</f>
        <v>0</v>
      </c>
      <c r="Q2242">
        <f t="shared" si="184"/>
        <v>15</v>
      </c>
      <c r="R2242" t="str">
        <f t="shared" ref="R2242:R2305" si="188">IF(O2242=0,"Not open",IF(P2242=0,"Not yet due",IF(P2242&lt;=30,"1-30",IF(P2242&lt;=60,"31-60",IF(P2242&lt;=90,"61-90","90+")))))</f>
        <v>Not open</v>
      </c>
    </row>
    <row r="2243" spans="1:18" x14ac:dyDescent="0.3">
      <c r="A2243" t="s">
        <v>2486</v>
      </c>
      <c r="B2243" t="s">
        <v>268</v>
      </c>
      <c r="C2243" t="s">
        <v>566</v>
      </c>
      <c r="D2243" s="1">
        <v>45562</v>
      </c>
      <c r="E2243" s="1">
        <v>45622</v>
      </c>
      <c r="F2243" t="s">
        <v>13</v>
      </c>
      <c r="G2243">
        <v>2989180</v>
      </c>
      <c r="H2243" s="1">
        <v>45678</v>
      </c>
      <c r="I2243" t="s">
        <v>555</v>
      </c>
      <c r="J2243" t="s">
        <v>556</v>
      </c>
      <c r="L2243">
        <v>2989180</v>
      </c>
      <c r="M2243">
        <f>IF(F2243="INR",1,INDEX('rates'!$B$2:$C$522,MATCH(D2243,'rates'!$A$2:$A$522,1),MATCH(F2243&amp;"/INR",'rates'!$B$1:$C$1,0)))</f>
        <v>1</v>
      </c>
      <c r="N2243">
        <f t="shared" si="185"/>
        <v>2989180</v>
      </c>
      <c r="O2243">
        <f t="shared" si="186"/>
        <v>0</v>
      </c>
      <c r="P2243">
        <f t="shared" si="187"/>
        <v>0</v>
      </c>
      <c r="Q2243">
        <f t="shared" si="184"/>
        <v>56</v>
      </c>
      <c r="R2243" t="str">
        <f t="shared" si="188"/>
        <v>Not open</v>
      </c>
    </row>
    <row r="2244" spans="1:18" x14ac:dyDescent="0.3">
      <c r="A2244" t="s">
        <v>2487</v>
      </c>
      <c r="B2244" t="s">
        <v>392</v>
      </c>
      <c r="C2244" t="s">
        <v>554</v>
      </c>
      <c r="D2244" s="1">
        <v>45562</v>
      </c>
      <c r="E2244" s="1">
        <v>45592</v>
      </c>
      <c r="F2244" t="s">
        <v>13</v>
      </c>
      <c r="G2244">
        <v>2580571</v>
      </c>
      <c r="H2244" s="1">
        <v>45594</v>
      </c>
      <c r="I2244" t="s">
        <v>555</v>
      </c>
      <c r="J2244" t="s">
        <v>556</v>
      </c>
      <c r="L2244">
        <v>2580571</v>
      </c>
      <c r="M2244">
        <f>IF(F2244="INR",1,INDEX('rates'!$B$2:$C$522,MATCH(D2244,'rates'!$A$2:$A$522,1),MATCH(F2244&amp;"/INR",'rates'!$B$1:$C$1,0)))</f>
        <v>1</v>
      </c>
      <c r="N2244">
        <f t="shared" si="185"/>
        <v>2580571</v>
      </c>
      <c r="O2244">
        <f t="shared" si="186"/>
        <v>0</v>
      </c>
      <c r="P2244">
        <f t="shared" si="187"/>
        <v>0</v>
      </c>
      <c r="Q2244">
        <f t="shared" si="184"/>
        <v>2</v>
      </c>
      <c r="R2244" t="str">
        <f t="shared" si="188"/>
        <v>Not open</v>
      </c>
    </row>
    <row r="2245" spans="1:18" x14ac:dyDescent="0.3">
      <c r="A2245" t="s">
        <v>2488</v>
      </c>
      <c r="B2245" t="s">
        <v>512</v>
      </c>
      <c r="C2245" t="s">
        <v>566</v>
      </c>
      <c r="D2245" s="1">
        <v>45562</v>
      </c>
      <c r="E2245" s="1">
        <v>45622</v>
      </c>
      <c r="F2245" t="s">
        <v>31</v>
      </c>
      <c r="G2245">
        <v>548924.12</v>
      </c>
      <c r="H2245" s="1">
        <v>45649</v>
      </c>
      <c r="I2245" t="s">
        <v>555</v>
      </c>
      <c r="J2245" t="s">
        <v>573</v>
      </c>
      <c r="K2245">
        <v>93.565299999999993</v>
      </c>
      <c r="L2245">
        <v>548924.12</v>
      </c>
      <c r="M2245">
        <f>IF(F2245="INR",1,INDEX('rates'!$B$2:$C$522,MATCH(D2245,'rates'!$A$2:$A$522,1),MATCH(F2245&amp;"/INR",'rates'!$B$1:$C$1,0)))</f>
        <v>93.378500000000003</v>
      </c>
      <c r="N2245">
        <f t="shared" si="185"/>
        <v>51257710.93942</v>
      </c>
      <c r="O2245">
        <f t="shared" si="186"/>
        <v>0</v>
      </c>
      <c r="P2245">
        <f t="shared" si="187"/>
        <v>0</v>
      </c>
      <c r="Q2245">
        <f t="shared" si="184"/>
        <v>27</v>
      </c>
      <c r="R2245" t="str">
        <f t="shared" si="188"/>
        <v>Not open</v>
      </c>
    </row>
    <row r="2246" spans="1:18" x14ac:dyDescent="0.3">
      <c r="A2246" t="s">
        <v>2489</v>
      </c>
      <c r="B2246" t="s">
        <v>166</v>
      </c>
      <c r="C2246" t="s">
        <v>560</v>
      </c>
      <c r="D2246" s="1">
        <v>45563</v>
      </c>
      <c r="E2246" s="1">
        <v>45623</v>
      </c>
      <c r="F2246" t="s">
        <v>13</v>
      </c>
      <c r="G2246">
        <v>9025866</v>
      </c>
      <c r="H2246" s="1">
        <v>45624</v>
      </c>
      <c r="I2246" t="s">
        <v>555</v>
      </c>
      <c r="J2246" t="s">
        <v>556</v>
      </c>
      <c r="L2246">
        <v>9025866</v>
      </c>
      <c r="M2246">
        <f>IF(F2246="INR",1,INDEX('rates'!$B$2:$C$522,MATCH(D2246,'rates'!$A$2:$A$522,1),MATCH(F2246&amp;"/INR",'rates'!$B$1:$C$1,0)))</f>
        <v>1</v>
      </c>
      <c r="N2246">
        <f t="shared" si="185"/>
        <v>9025866</v>
      </c>
      <c r="O2246">
        <f t="shared" si="186"/>
        <v>0</v>
      </c>
      <c r="P2246">
        <f t="shared" si="187"/>
        <v>0</v>
      </c>
      <c r="Q2246">
        <f t="shared" si="184"/>
        <v>1</v>
      </c>
      <c r="R2246" t="str">
        <f t="shared" si="188"/>
        <v>Not open</v>
      </c>
    </row>
    <row r="2247" spans="1:18" x14ac:dyDescent="0.3">
      <c r="A2247" t="s">
        <v>2490</v>
      </c>
      <c r="B2247" t="s">
        <v>220</v>
      </c>
      <c r="C2247" t="s">
        <v>560</v>
      </c>
      <c r="D2247" s="1">
        <v>45563</v>
      </c>
      <c r="E2247" s="1">
        <v>45653</v>
      </c>
      <c r="F2247" t="s">
        <v>31</v>
      </c>
      <c r="G2247">
        <v>36183.599999999999</v>
      </c>
      <c r="H2247" s="1">
        <v>45692</v>
      </c>
      <c r="I2247" t="s">
        <v>555</v>
      </c>
      <c r="J2247" t="s">
        <v>573</v>
      </c>
      <c r="K2247">
        <v>93.658600000000007</v>
      </c>
      <c r="L2247">
        <v>36183.599999999999</v>
      </c>
      <c r="M2247">
        <f>IF(F2247="INR",1,INDEX('rates'!$B$2:$C$522,MATCH(D2247,'rates'!$A$2:$A$522,1),MATCH(F2247&amp;"/INR",'rates'!$B$1:$C$1,0)))</f>
        <v>93.378500000000003</v>
      </c>
      <c r="N2247">
        <f t="shared" si="185"/>
        <v>3378770.2925999998</v>
      </c>
      <c r="O2247">
        <f t="shared" si="186"/>
        <v>0</v>
      </c>
      <c r="P2247">
        <f t="shared" si="187"/>
        <v>0</v>
      </c>
      <c r="Q2247">
        <f t="shared" si="184"/>
        <v>39</v>
      </c>
      <c r="R2247" t="str">
        <f t="shared" si="188"/>
        <v>Not open</v>
      </c>
    </row>
    <row r="2248" spans="1:18" x14ac:dyDescent="0.3">
      <c r="A2248" t="s">
        <v>2491</v>
      </c>
      <c r="B2248" t="s">
        <v>222</v>
      </c>
      <c r="C2248" t="s">
        <v>560</v>
      </c>
      <c r="D2248" s="1">
        <v>45563</v>
      </c>
      <c r="E2248" s="1">
        <v>45623</v>
      </c>
      <c r="F2248" t="s">
        <v>36</v>
      </c>
      <c r="G2248">
        <v>91346.53</v>
      </c>
      <c r="H2248" s="1">
        <v>45632</v>
      </c>
      <c r="I2248" t="s">
        <v>555</v>
      </c>
      <c r="J2248" t="s">
        <v>573</v>
      </c>
      <c r="K2248">
        <v>83.9589</v>
      </c>
      <c r="L2248">
        <v>91346.53</v>
      </c>
      <c r="M2248">
        <f>IF(F2248="INR",1,INDEX('rates'!$B$2:$C$522,MATCH(D2248,'rates'!$A$2:$A$522,1),MATCH(F2248&amp;"/INR",'rates'!$B$1:$C$1,0)))</f>
        <v>83.68</v>
      </c>
      <c r="N2248">
        <f t="shared" si="185"/>
        <v>7643877.6304000001</v>
      </c>
      <c r="O2248">
        <f t="shared" si="186"/>
        <v>0</v>
      </c>
      <c r="P2248">
        <f t="shared" si="187"/>
        <v>0</v>
      </c>
      <c r="Q2248">
        <f t="shared" si="184"/>
        <v>9</v>
      </c>
      <c r="R2248" t="str">
        <f t="shared" si="188"/>
        <v>Not open</v>
      </c>
    </row>
    <row r="2249" spans="1:18" x14ac:dyDescent="0.3">
      <c r="A2249" t="s">
        <v>2492</v>
      </c>
      <c r="B2249" t="s">
        <v>454</v>
      </c>
      <c r="C2249" t="s">
        <v>575</v>
      </c>
      <c r="D2249" s="1">
        <v>45563</v>
      </c>
      <c r="E2249" s="1">
        <v>45623</v>
      </c>
      <c r="F2249" t="s">
        <v>13</v>
      </c>
      <c r="G2249">
        <v>21337090</v>
      </c>
      <c r="H2249" s="1">
        <v>45631</v>
      </c>
      <c r="I2249" t="s">
        <v>555</v>
      </c>
      <c r="J2249" t="s">
        <v>556</v>
      </c>
      <c r="L2249">
        <v>21337090</v>
      </c>
      <c r="M2249">
        <f>IF(F2249="INR",1,INDEX('rates'!$B$2:$C$522,MATCH(D2249,'rates'!$A$2:$A$522,1),MATCH(F2249&amp;"/INR",'rates'!$B$1:$C$1,0)))</f>
        <v>1</v>
      </c>
      <c r="N2249">
        <f t="shared" si="185"/>
        <v>21337090</v>
      </c>
      <c r="O2249">
        <f t="shared" si="186"/>
        <v>0</v>
      </c>
      <c r="P2249">
        <f t="shared" si="187"/>
        <v>0</v>
      </c>
      <c r="Q2249">
        <f t="shared" si="184"/>
        <v>8</v>
      </c>
      <c r="R2249" t="str">
        <f t="shared" si="188"/>
        <v>Not open</v>
      </c>
    </row>
    <row r="2250" spans="1:18" x14ac:dyDescent="0.3">
      <c r="A2250" t="s">
        <v>2493</v>
      </c>
      <c r="B2250" t="s">
        <v>496</v>
      </c>
      <c r="C2250" t="s">
        <v>554</v>
      </c>
      <c r="D2250" s="1">
        <v>45563</v>
      </c>
      <c r="E2250" s="1">
        <v>45608</v>
      </c>
      <c r="F2250" t="s">
        <v>13</v>
      </c>
      <c r="G2250">
        <v>2348988</v>
      </c>
      <c r="H2250" s="1">
        <v>45615</v>
      </c>
      <c r="I2250" t="s">
        <v>555</v>
      </c>
      <c r="J2250" t="s">
        <v>556</v>
      </c>
      <c r="L2250">
        <v>2348988</v>
      </c>
      <c r="M2250">
        <f>IF(F2250="INR",1,INDEX('rates'!$B$2:$C$522,MATCH(D2250,'rates'!$A$2:$A$522,1),MATCH(F2250&amp;"/INR",'rates'!$B$1:$C$1,0)))</f>
        <v>1</v>
      </c>
      <c r="N2250">
        <f t="shared" si="185"/>
        <v>2348988</v>
      </c>
      <c r="O2250">
        <f t="shared" si="186"/>
        <v>0</v>
      </c>
      <c r="P2250">
        <f t="shared" si="187"/>
        <v>0</v>
      </c>
      <c r="Q2250">
        <f t="shared" si="184"/>
        <v>7</v>
      </c>
      <c r="R2250" t="str">
        <f t="shared" si="188"/>
        <v>Not open</v>
      </c>
    </row>
    <row r="2251" spans="1:18" x14ac:dyDescent="0.3">
      <c r="A2251" t="s">
        <v>2494</v>
      </c>
      <c r="B2251" t="s">
        <v>138</v>
      </c>
      <c r="C2251" t="s">
        <v>566</v>
      </c>
      <c r="D2251" s="1">
        <v>45565</v>
      </c>
      <c r="E2251" s="1">
        <v>45595</v>
      </c>
      <c r="F2251" t="s">
        <v>13</v>
      </c>
      <c r="G2251">
        <v>3103495</v>
      </c>
      <c r="H2251" s="1">
        <v>45589</v>
      </c>
      <c r="I2251" t="s">
        <v>555</v>
      </c>
      <c r="J2251" t="s">
        <v>556</v>
      </c>
      <c r="L2251">
        <v>3103495</v>
      </c>
      <c r="M2251">
        <f>IF(F2251="INR",1,INDEX('rates'!$B$2:$C$522,MATCH(D2251,'rates'!$A$2:$A$522,1),MATCH(F2251&amp;"/INR",'rates'!$B$1:$C$1,0)))</f>
        <v>1</v>
      </c>
      <c r="N2251">
        <f t="shared" si="185"/>
        <v>3103495</v>
      </c>
      <c r="O2251">
        <f t="shared" si="186"/>
        <v>0</v>
      </c>
      <c r="P2251">
        <f t="shared" si="187"/>
        <v>0</v>
      </c>
      <c r="Q2251">
        <f t="shared" si="184"/>
        <v>-6</v>
      </c>
      <c r="R2251" t="str">
        <f t="shared" si="188"/>
        <v>Not open</v>
      </c>
    </row>
    <row r="2252" spans="1:18" x14ac:dyDescent="0.3">
      <c r="A2252" t="s">
        <v>2495</v>
      </c>
      <c r="B2252" t="s">
        <v>262</v>
      </c>
      <c r="C2252" t="s">
        <v>566</v>
      </c>
      <c r="D2252" s="1">
        <v>45565</v>
      </c>
      <c r="E2252" s="1">
        <v>45655</v>
      </c>
      <c r="F2252" t="s">
        <v>31</v>
      </c>
      <c r="G2252">
        <v>70201.179999999993</v>
      </c>
      <c r="H2252" s="1">
        <v>45672</v>
      </c>
      <c r="I2252" t="s">
        <v>555</v>
      </c>
      <c r="J2252" t="s">
        <v>556</v>
      </c>
      <c r="L2252">
        <v>70201.179999999993</v>
      </c>
      <c r="M2252">
        <f>IF(F2252="INR",1,INDEX('rates'!$B$2:$C$522,MATCH(D2252,'rates'!$A$2:$A$522,1),MATCH(F2252&amp;"/INR",'rates'!$B$1:$C$1,0)))</f>
        <v>93.350499999999997</v>
      </c>
      <c r="N2252">
        <f t="shared" si="185"/>
        <v>6553315.2535899989</v>
      </c>
      <c r="O2252">
        <f t="shared" si="186"/>
        <v>0</v>
      </c>
      <c r="P2252">
        <f t="shared" si="187"/>
        <v>0</v>
      </c>
      <c r="Q2252">
        <f t="shared" si="184"/>
        <v>17</v>
      </c>
      <c r="R2252" t="str">
        <f t="shared" si="188"/>
        <v>Not open</v>
      </c>
    </row>
    <row r="2253" spans="1:18" x14ac:dyDescent="0.3">
      <c r="A2253" t="s">
        <v>2496</v>
      </c>
      <c r="B2253" t="s">
        <v>262</v>
      </c>
      <c r="C2253" t="s">
        <v>566</v>
      </c>
      <c r="D2253" s="1">
        <v>45565</v>
      </c>
      <c r="E2253" s="1">
        <v>45655</v>
      </c>
      <c r="F2253" t="s">
        <v>31</v>
      </c>
      <c r="G2253">
        <v>74573.009999999995</v>
      </c>
      <c r="H2253" s="1">
        <v>45699</v>
      </c>
      <c r="I2253" t="s">
        <v>555</v>
      </c>
      <c r="J2253" t="s">
        <v>573</v>
      </c>
      <c r="K2253">
        <v>93.630600000000001</v>
      </c>
      <c r="L2253">
        <v>74573.009999999995</v>
      </c>
      <c r="M2253">
        <f>IF(F2253="INR",1,INDEX('rates'!$B$2:$C$522,MATCH(D2253,'rates'!$A$2:$A$522,1),MATCH(F2253&amp;"/INR",'rates'!$B$1:$C$1,0)))</f>
        <v>93.350499999999997</v>
      </c>
      <c r="N2253">
        <f t="shared" si="185"/>
        <v>6961427.7700049989</v>
      </c>
      <c r="O2253">
        <f t="shared" si="186"/>
        <v>0</v>
      </c>
      <c r="P2253">
        <f t="shared" si="187"/>
        <v>0</v>
      </c>
      <c r="Q2253">
        <f t="shared" si="184"/>
        <v>44</v>
      </c>
      <c r="R2253" t="str">
        <f t="shared" si="188"/>
        <v>Not open</v>
      </c>
    </row>
    <row r="2254" spans="1:18" x14ac:dyDescent="0.3">
      <c r="A2254" t="s">
        <v>2497</v>
      </c>
      <c r="B2254" t="s">
        <v>286</v>
      </c>
      <c r="C2254" t="s">
        <v>558</v>
      </c>
      <c r="D2254" s="1">
        <v>45565</v>
      </c>
      <c r="E2254" s="1">
        <v>45625</v>
      </c>
      <c r="F2254" t="s">
        <v>36</v>
      </c>
      <c r="G2254">
        <v>66412.58</v>
      </c>
      <c r="H2254" s="1">
        <v>45621</v>
      </c>
      <c r="I2254" t="s">
        <v>555</v>
      </c>
      <c r="J2254" t="s">
        <v>556</v>
      </c>
      <c r="L2254">
        <v>66412.58</v>
      </c>
      <c r="M2254">
        <f>IF(F2254="INR",1,INDEX('rates'!$B$2:$C$522,MATCH(D2254,'rates'!$A$2:$A$522,1),MATCH(F2254&amp;"/INR",'rates'!$B$1:$C$1,0)))</f>
        <v>83.76</v>
      </c>
      <c r="N2254">
        <f t="shared" si="185"/>
        <v>5562717.7008000007</v>
      </c>
      <c r="O2254">
        <f t="shared" si="186"/>
        <v>0</v>
      </c>
      <c r="P2254">
        <f t="shared" si="187"/>
        <v>0</v>
      </c>
      <c r="Q2254">
        <f t="shared" si="184"/>
        <v>-4</v>
      </c>
      <c r="R2254" t="str">
        <f t="shared" si="188"/>
        <v>Not open</v>
      </c>
    </row>
    <row r="2255" spans="1:18" x14ac:dyDescent="0.3">
      <c r="A2255" t="s">
        <v>2498</v>
      </c>
      <c r="B2255" t="s">
        <v>294</v>
      </c>
      <c r="C2255" t="s">
        <v>560</v>
      </c>
      <c r="D2255" s="1">
        <v>45565</v>
      </c>
      <c r="E2255" s="1">
        <v>45625</v>
      </c>
      <c r="F2255" t="s">
        <v>13</v>
      </c>
      <c r="G2255">
        <v>15272598</v>
      </c>
      <c r="H2255" s="1">
        <v>45692</v>
      </c>
      <c r="I2255" t="s">
        <v>555</v>
      </c>
      <c r="J2255" t="s">
        <v>556</v>
      </c>
      <c r="L2255">
        <v>15272598</v>
      </c>
      <c r="M2255">
        <f>IF(F2255="INR",1,INDEX('rates'!$B$2:$C$522,MATCH(D2255,'rates'!$A$2:$A$522,1),MATCH(F2255&amp;"/INR",'rates'!$B$1:$C$1,0)))</f>
        <v>1</v>
      </c>
      <c r="N2255">
        <f t="shared" si="185"/>
        <v>15272598</v>
      </c>
      <c r="O2255">
        <f t="shared" si="186"/>
        <v>0</v>
      </c>
      <c r="P2255">
        <f t="shared" si="187"/>
        <v>0</v>
      </c>
      <c r="Q2255">
        <f t="shared" si="184"/>
        <v>67</v>
      </c>
      <c r="R2255" t="str">
        <f t="shared" si="188"/>
        <v>Not open</v>
      </c>
    </row>
    <row r="2256" spans="1:18" x14ac:dyDescent="0.3">
      <c r="A2256" t="s">
        <v>2499</v>
      </c>
      <c r="B2256" t="s">
        <v>390</v>
      </c>
      <c r="C2256" t="s">
        <v>554</v>
      </c>
      <c r="D2256" s="1">
        <v>45565</v>
      </c>
      <c r="E2256" s="1">
        <v>45625</v>
      </c>
      <c r="F2256" t="s">
        <v>13</v>
      </c>
      <c r="G2256">
        <v>992922</v>
      </c>
      <c r="H2256" s="1">
        <v>45647</v>
      </c>
      <c r="I2256" t="s">
        <v>555</v>
      </c>
      <c r="J2256" t="s">
        <v>556</v>
      </c>
      <c r="L2256">
        <v>992922</v>
      </c>
      <c r="M2256">
        <f>IF(F2256="INR",1,INDEX('rates'!$B$2:$C$522,MATCH(D2256,'rates'!$A$2:$A$522,1),MATCH(F2256&amp;"/INR",'rates'!$B$1:$C$1,0)))</f>
        <v>1</v>
      </c>
      <c r="N2256">
        <f t="shared" si="185"/>
        <v>992922</v>
      </c>
      <c r="O2256">
        <f t="shared" si="186"/>
        <v>0</v>
      </c>
      <c r="P2256">
        <f t="shared" si="187"/>
        <v>0</v>
      </c>
      <c r="Q2256">
        <f t="shared" si="184"/>
        <v>22</v>
      </c>
      <c r="R2256" t="str">
        <f t="shared" si="188"/>
        <v>Not open</v>
      </c>
    </row>
    <row r="2257" spans="1:18" x14ac:dyDescent="0.3">
      <c r="A2257" t="s">
        <v>2501</v>
      </c>
      <c r="B2257" t="s">
        <v>434</v>
      </c>
      <c r="C2257" t="s">
        <v>554</v>
      </c>
      <c r="D2257" s="1">
        <v>45565</v>
      </c>
      <c r="E2257" s="1">
        <v>45610</v>
      </c>
      <c r="F2257" t="s">
        <v>13</v>
      </c>
      <c r="G2257">
        <v>10030571</v>
      </c>
      <c r="H2257" s="1">
        <v>45615</v>
      </c>
      <c r="I2257" t="s">
        <v>555</v>
      </c>
      <c r="J2257" t="s">
        <v>556</v>
      </c>
      <c r="L2257">
        <v>10030571</v>
      </c>
      <c r="M2257">
        <f>IF(F2257="INR",1,INDEX('rates'!$B$2:$C$522,MATCH(D2257,'rates'!$A$2:$A$522,1),MATCH(F2257&amp;"/INR",'rates'!$B$1:$C$1,0)))</f>
        <v>1</v>
      </c>
      <c r="N2257">
        <f t="shared" si="185"/>
        <v>10030571</v>
      </c>
      <c r="O2257">
        <f t="shared" si="186"/>
        <v>0</v>
      </c>
      <c r="P2257">
        <f t="shared" si="187"/>
        <v>0</v>
      </c>
      <c r="Q2257">
        <f t="shared" si="184"/>
        <v>5</v>
      </c>
      <c r="R2257" t="str">
        <f t="shared" si="188"/>
        <v>Not open</v>
      </c>
    </row>
    <row r="2258" spans="1:18" x14ac:dyDescent="0.3">
      <c r="A2258" t="s">
        <v>2503</v>
      </c>
      <c r="B2258" t="s">
        <v>140</v>
      </c>
      <c r="C2258" t="s">
        <v>554</v>
      </c>
      <c r="D2258" s="1">
        <v>45566</v>
      </c>
      <c r="E2258" s="1">
        <v>45626</v>
      </c>
      <c r="F2258" t="s">
        <v>13</v>
      </c>
      <c r="G2258">
        <v>5194041</v>
      </c>
      <c r="H2258" s="1">
        <v>45629</v>
      </c>
      <c r="I2258" t="s">
        <v>555</v>
      </c>
      <c r="J2258" t="s">
        <v>556</v>
      </c>
      <c r="L2258">
        <v>5194041</v>
      </c>
      <c r="M2258">
        <f>IF(F2258="INR",1,INDEX('rates'!$B$2:$C$522,MATCH(D2258,'rates'!$A$2:$A$522,1),MATCH(F2258&amp;"/INR",'rates'!$B$1:$C$1,0)))</f>
        <v>1</v>
      </c>
      <c r="N2258">
        <f t="shared" si="185"/>
        <v>5194041</v>
      </c>
      <c r="O2258">
        <f t="shared" si="186"/>
        <v>0</v>
      </c>
      <c r="P2258">
        <f t="shared" si="187"/>
        <v>0</v>
      </c>
      <c r="Q2258">
        <f t="shared" si="184"/>
        <v>3</v>
      </c>
      <c r="R2258" t="str">
        <f t="shared" si="188"/>
        <v>Not open</v>
      </c>
    </row>
    <row r="2259" spans="1:18" x14ac:dyDescent="0.3">
      <c r="A2259" t="s">
        <v>2505</v>
      </c>
      <c r="B2259" t="s">
        <v>406</v>
      </c>
      <c r="C2259" t="s">
        <v>554</v>
      </c>
      <c r="D2259" s="1">
        <v>45566</v>
      </c>
      <c r="E2259" s="1">
        <v>45656</v>
      </c>
      <c r="F2259" t="s">
        <v>13</v>
      </c>
      <c r="G2259">
        <v>3844744</v>
      </c>
      <c r="H2259" s="1">
        <v>45662</v>
      </c>
      <c r="I2259" t="s">
        <v>555</v>
      </c>
      <c r="J2259" t="s">
        <v>556</v>
      </c>
      <c r="L2259">
        <v>3844744</v>
      </c>
      <c r="M2259">
        <f>IF(F2259="INR",1,INDEX('rates'!$B$2:$C$522,MATCH(D2259,'rates'!$A$2:$A$522,1),MATCH(F2259&amp;"/INR",'rates'!$B$1:$C$1,0)))</f>
        <v>1</v>
      </c>
      <c r="N2259">
        <f t="shared" si="185"/>
        <v>3844744</v>
      </c>
      <c r="O2259">
        <f t="shared" si="186"/>
        <v>0</v>
      </c>
      <c r="P2259">
        <f t="shared" si="187"/>
        <v>0</v>
      </c>
      <c r="Q2259">
        <f t="shared" si="184"/>
        <v>6</v>
      </c>
      <c r="R2259" t="str">
        <f t="shared" si="188"/>
        <v>Not open</v>
      </c>
    </row>
    <row r="2260" spans="1:18" x14ac:dyDescent="0.3">
      <c r="A2260" t="s">
        <v>2506</v>
      </c>
      <c r="B2260" t="s">
        <v>460</v>
      </c>
      <c r="C2260" t="s">
        <v>566</v>
      </c>
      <c r="D2260" s="1">
        <v>45566</v>
      </c>
      <c r="E2260" s="1">
        <v>45611</v>
      </c>
      <c r="F2260" t="s">
        <v>36</v>
      </c>
      <c r="G2260">
        <v>42188.800000000003</v>
      </c>
      <c r="H2260" s="1">
        <v>45631</v>
      </c>
      <c r="I2260" t="s">
        <v>555</v>
      </c>
      <c r="J2260" t="s">
        <v>556</v>
      </c>
      <c r="L2260">
        <v>42188.800000000003</v>
      </c>
      <c r="M2260">
        <f>IF(F2260="INR",1,INDEX('rates'!$B$2:$C$522,MATCH(D2260,'rates'!$A$2:$A$522,1),MATCH(F2260&amp;"/INR",'rates'!$B$1:$C$1,0)))</f>
        <v>83.81</v>
      </c>
      <c r="N2260">
        <f t="shared" si="185"/>
        <v>3535843.3280000002</v>
      </c>
      <c r="O2260">
        <f t="shared" si="186"/>
        <v>0</v>
      </c>
      <c r="P2260">
        <f t="shared" si="187"/>
        <v>0</v>
      </c>
      <c r="Q2260">
        <f t="shared" si="184"/>
        <v>20</v>
      </c>
      <c r="R2260" t="str">
        <f t="shared" si="188"/>
        <v>Not open</v>
      </c>
    </row>
    <row r="2261" spans="1:18" x14ac:dyDescent="0.3">
      <c r="A2261" t="s">
        <v>2507</v>
      </c>
      <c r="B2261" t="s">
        <v>468</v>
      </c>
      <c r="C2261" t="s">
        <v>554</v>
      </c>
      <c r="D2261" s="1">
        <v>45566</v>
      </c>
      <c r="E2261" s="1">
        <v>45596</v>
      </c>
      <c r="F2261" t="s">
        <v>13</v>
      </c>
      <c r="G2261">
        <v>1560275</v>
      </c>
      <c r="H2261" s="1">
        <v>45591</v>
      </c>
      <c r="I2261" t="s">
        <v>555</v>
      </c>
      <c r="J2261" t="s">
        <v>556</v>
      </c>
      <c r="L2261">
        <v>1560275</v>
      </c>
      <c r="M2261">
        <f>IF(F2261="INR",1,INDEX('rates'!$B$2:$C$522,MATCH(D2261,'rates'!$A$2:$A$522,1),MATCH(F2261&amp;"/INR",'rates'!$B$1:$C$1,0)))</f>
        <v>1</v>
      </c>
      <c r="N2261">
        <f t="shared" si="185"/>
        <v>1560275</v>
      </c>
      <c r="O2261">
        <f t="shared" si="186"/>
        <v>0</v>
      </c>
      <c r="P2261">
        <f t="shared" si="187"/>
        <v>0</v>
      </c>
      <c r="Q2261">
        <f t="shared" si="184"/>
        <v>-5</v>
      </c>
      <c r="R2261" t="str">
        <f t="shared" si="188"/>
        <v>Not open</v>
      </c>
    </row>
    <row r="2262" spans="1:18" x14ac:dyDescent="0.3">
      <c r="A2262" t="s">
        <v>2508</v>
      </c>
      <c r="B2262" t="s">
        <v>89</v>
      </c>
      <c r="C2262" t="s">
        <v>575</v>
      </c>
      <c r="D2262" s="1">
        <v>45567</v>
      </c>
      <c r="E2262" s="1">
        <v>45597</v>
      </c>
      <c r="F2262" t="s">
        <v>13</v>
      </c>
      <c r="G2262">
        <v>14373890</v>
      </c>
      <c r="H2262" s="1">
        <v>45602</v>
      </c>
      <c r="I2262" t="s">
        <v>555</v>
      </c>
      <c r="J2262" t="s">
        <v>556</v>
      </c>
      <c r="L2262">
        <v>14373890</v>
      </c>
      <c r="M2262">
        <f>IF(F2262="INR",1,INDEX('rates'!$B$2:$C$522,MATCH(D2262,'rates'!$A$2:$A$522,1),MATCH(F2262&amp;"/INR",'rates'!$B$1:$C$1,0)))</f>
        <v>1</v>
      </c>
      <c r="N2262">
        <f t="shared" si="185"/>
        <v>14373890</v>
      </c>
      <c r="O2262">
        <f t="shared" si="186"/>
        <v>0</v>
      </c>
      <c r="P2262">
        <f t="shared" si="187"/>
        <v>0</v>
      </c>
      <c r="Q2262">
        <f t="shared" si="184"/>
        <v>5</v>
      </c>
      <c r="R2262" t="str">
        <f t="shared" si="188"/>
        <v>Not open</v>
      </c>
    </row>
    <row r="2263" spans="1:18" x14ac:dyDescent="0.3">
      <c r="A2263" t="s">
        <v>2509</v>
      </c>
      <c r="B2263" t="s">
        <v>222</v>
      </c>
      <c r="C2263" t="s">
        <v>560</v>
      </c>
      <c r="D2263" s="1">
        <v>45567</v>
      </c>
      <c r="E2263" s="1">
        <v>45627</v>
      </c>
      <c r="F2263" t="s">
        <v>36</v>
      </c>
      <c r="G2263">
        <v>113723.76</v>
      </c>
      <c r="H2263" s="1">
        <v>45638</v>
      </c>
      <c r="I2263" t="s">
        <v>555</v>
      </c>
      <c r="J2263" t="s">
        <v>573</v>
      </c>
      <c r="K2263">
        <v>84.089399999999998</v>
      </c>
      <c r="L2263">
        <v>113723.76</v>
      </c>
      <c r="M2263">
        <f>IF(F2263="INR",1,INDEX('rates'!$B$2:$C$522,MATCH(D2263,'rates'!$A$2:$A$522,1),MATCH(F2263&amp;"/INR",'rates'!$B$1:$C$1,0)))</f>
        <v>83.81</v>
      </c>
      <c r="N2263">
        <f t="shared" si="185"/>
        <v>9531188.3256000001</v>
      </c>
      <c r="O2263">
        <f t="shared" si="186"/>
        <v>0</v>
      </c>
      <c r="P2263">
        <f t="shared" si="187"/>
        <v>0</v>
      </c>
      <c r="Q2263">
        <f t="shared" si="184"/>
        <v>11</v>
      </c>
      <c r="R2263" t="str">
        <f t="shared" si="188"/>
        <v>Not open</v>
      </c>
    </row>
    <row r="2264" spans="1:18" x14ac:dyDescent="0.3">
      <c r="A2264" t="s">
        <v>2510</v>
      </c>
      <c r="B2264" t="s">
        <v>222</v>
      </c>
      <c r="C2264" t="s">
        <v>560</v>
      </c>
      <c r="D2264" s="1">
        <v>45567</v>
      </c>
      <c r="E2264" s="1">
        <v>45627</v>
      </c>
      <c r="F2264" t="s">
        <v>36</v>
      </c>
      <c r="G2264">
        <v>94928.73</v>
      </c>
      <c r="H2264" s="1">
        <v>45633</v>
      </c>
      <c r="I2264" t="s">
        <v>555</v>
      </c>
      <c r="J2264" t="s">
        <v>556</v>
      </c>
      <c r="L2264">
        <v>94928.73</v>
      </c>
      <c r="M2264">
        <f>IF(F2264="INR",1,INDEX('rates'!$B$2:$C$522,MATCH(D2264,'rates'!$A$2:$A$522,1),MATCH(F2264&amp;"/INR",'rates'!$B$1:$C$1,0)))</f>
        <v>83.81</v>
      </c>
      <c r="N2264">
        <f t="shared" si="185"/>
        <v>7955976.8613</v>
      </c>
      <c r="O2264">
        <f t="shared" si="186"/>
        <v>0</v>
      </c>
      <c r="P2264">
        <f t="shared" si="187"/>
        <v>0</v>
      </c>
      <c r="Q2264">
        <f t="shared" si="184"/>
        <v>6</v>
      </c>
      <c r="R2264" t="str">
        <f t="shared" si="188"/>
        <v>Not open</v>
      </c>
    </row>
    <row r="2265" spans="1:18" x14ac:dyDescent="0.3">
      <c r="A2265" t="s">
        <v>2512</v>
      </c>
      <c r="B2265" t="s">
        <v>462</v>
      </c>
      <c r="C2265" t="s">
        <v>566</v>
      </c>
      <c r="D2265" s="1">
        <v>45567</v>
      </c>
      <c r="E2265" s="1">
        <v>45612</v>
      </c>
      <c r="F2265" t="s">
        <v>13</v>
      </c>
      <c r="G2265">
        <v>6896049</v>
      </c>
      <c r="H2265" s="1">
        <v>45625</v>
      </c>
      <c r="I2265" t="s">
        <v>555</v>
      </c>
      <c r="J2265" t="s">
        <v>556</v>
      </c>
      <c r="L2265">
        <v>6896049</v>
      </c>
      <c r="M2265">
        <f>IF(F2265="INR",1,INDEX('rates'!$B$2:$C$522,MATCH(D2265,'rates'!$A$2:$A$522,1),MATCH(F2265&amp;"/INR",'rates'!$B$1:$C$1,0)))</f>
        <v>1</v>
      </c>
      <c r="N2265">
        <f t="shared" si="185"/>
        <v>6896049</v>
      </c>
      <c r="O2265">
        <f t="shared" si="186"/>
        <v>0</v>
      </c>
      <c r="P2265">
        <f t="shared" si="187"/>
        <v>0</v>
      </c>
      <c r="Q2265">
        <f t="shared" si="184"/>
        <v>13</v>
      </c>
      <c r="R2265" t="str">
        <f t="shared" si="188"/>
        <v>Not open</v>
      </c>
    </row>
    <row r="2266" spans="1:18" x14ac:dyDescent="0.3">
      <c r="A2266" t="s">
        <v>2513</v>
      </c>
      <c r="B2266" t="s">
        <v>22</v>
      </c>
      <c r="C2266" t="s">
        <v>554</v>
      </c>
      <c r="D2266" s="1">
        <v>45568</v>
      </c>
      <c r="E2266" s="1">
        <v>45613</v>
      </c>
      <c r="F2266" t="s">
        <v>13</v>
      </c>
      <c r="G2266">
        <v>4785946</v>
      </c>
      <c r="H2266" s="1">
        <v>45622</v>
      </c>
      <c r="I2266" t="s">
        <v>555</v>
      </c>
      <c r="J2266" t="s">
        <v>556</v>
      </c>
      <c r="L2266">
        <v>4785946</v>
      </c>
      <c r="M2266">
        <f>IF(F2266="INR",1,INDEX('rates'!$B$2:$C$522,MATCH(D2266,'rates'!$A$2:$A$522,1),MATCH(F2266&amp;"/INR",'rates'!$B$1:$C$1,0)))</f>
        <v>1</v>
      </c>
      <c r="N2266">
        <f t="shared" si="185"/>
        <v>4785946</v>
      </c>
      <c r="O2266">
        <f t="shared" si="186"/>
        <v>0</v>
      </c>
      <c r="P2266">
        <f t="shared" si="187"/>
        <v>0</v>
      </c>
      <c r="Q2266">
        <f t="shared" si="184"/>
        <v>9</v>
      </c>
      <c r="R2266" t="str">
        <f t="shared" si="188"/>
        <v>Not open</v>
      </c>
    </row>
    <row r="2267" spans="1:18" x14ac:dyDescent="0.3">
      <c r="A2267" t="s">
        <v>2514</v>
      </c>
      <c r="B2267" t="s">
        <v>246</v>
      </c>
      <c r="C2267" t="s">
        <v>554</v>
      </c>
      <c r="D2267" s="1">
        <v>45568</v>
      </c>
      <c r="E2267" s="1">
        <v>45628</v>
      </c>
      <c r="F2267" t="s">
        <v>13</v>
      </c>
      <c r="G2267">
        <v>4571160</v>
      </c>
      <c r="H2267" s="1">
        <v>45635</v>
      </c>
      <c r="I2267" t="s">
        <v>555</v>
      </c>
      <c r="J2267" t="s">
        <v>556</v>
      </c>
      <c r="L2267">
        <v>4571160</v>
      </c>
      <c r="M2267">
        <f>IF(F2267="INR",1,INDEX('rates'!$B$2:$C$522,MATCH(D2267,'rates'!$A$2:$A$522,1),MATCH(F2267&amp;"/INR",'rates'!$B$1:$C$1,0)))</f>
        <v>1</v>
      </c>
      <c r="N2267">
        <f t="shared" si="185"/>
        <v>4571160</v>
      </c>
      <c r="O2267">
        <f t="shared" si="186"/>
        <v>0</v>
      </c>
      <c r="P2267">
        <f t="shared" si="187"/>
        <v>0</v>
      </c>
      <c r="Q2267">
        <f t="shared" si="184"/>
        <v>7</v>
      </c>
      <c r="R2267" t="str">
        <f t="shared" si="188"/>
        <v>Not open</v>
      </c>
    </row>
    <row r="2268" spans="1:18" x14ac:dyDescent="0.3">
      <c r="A2268" t="s">
        <v>2515</v>
      </c>
      <c r="B2268" t="s">
        <v>260</v>
      </c>
      <c r="C2268" t="s">
        <v>558</v>
      </c>
      <c r="D2268" s="1">
        <v>45568</v>
      </c>
      <c r="E2268" s="1">
        <v>45628</v>
      </c>
      <c r="F2268" t="s">
        <v>36</v>
      </c>
      <c r="G2268">
        <v>61922.67</v>
      </c>
      <c r="H2268" s="1">
        <v>45667</v>
      </c>
      <c r="I2268" t="s">
        <v>555</v>
      </c>
      <c r="J2268" t="s">
        <v>556</v>
      </c>
      <c r="L2268">
        <v>61922.67</v>
      </c>
      <c r="M2268">
        <f>IF(F2268="INR",1,INDEX('rates'!$B$2:$C$522,MATCH(D2268,'rates'!$A$2:$A$522,1),MATCH(F2268&amp;"/INR",'rates'!$B$1:$C$1,0)))</f>
        <v>84</v>
      </c>
      <c r="N2268">
        <f t="shared" si="185"/>
        <v>5201504.28</v>
      </c>
      <c r="O2268">
        <f t="shared" si="186"/>
        <v>0</v>
      </c>
      <c r="P2268">
        <f t="shared" si="187"/>
        <v>0</v>
      </c>
      <c r="Q2268">
        <f t="shared" si="184"/>
        <v>39</v>
      </c>
      <c r="R2268" t="str">
        <f t="shared" si="188"/>
        <v>Not open</v>
      </c>
    </row>
    <row r="2269" spans="1:18" x14ac:dyDescent="0.3">
      <c r="A2269" t="s">
        <v>2516</v>
      </c>
      <c r="B2269" t="s">
        <v>482</v>
      </c>
      <c r="C2269" t="s">
        <v>558</v>
      </c>
      <c r="D2269" s="1">
        <v>45568</v>
      </c>
      <c r="E2269" s="1">
        <v>45628</v>
      </c>
      <c r="F2269" t="s">
        <v>13</v>
      </c>
      <c r="G2269">
        <v>2689235</v>
      </c>
      <c r="H2269" s="1">
        <v>45649</v>
      </c>
      <c r="I2269" t="s">
        <v>555</v>
      </c>
      <c r="J2269" t="s">
        <v>556</v>
      </c>
      <c r="L2269">
        <v>2689235</v>
      </c>
      <c r="M2269">
        <f>IF(F2269="INR",1,INDEX('rates'!$B$2:$C$522,MATCH(D2269,'rates'!$A$2:$A$522,1),MATCH(F2269&amp;"/INR",'rates'!$B$1:$C$1,0)))</f>
        <v>1</v>
      </c>
      <c r="N2269">
        <f t="shared" si="185"/>
        <v>2689235</v>
      </c>
      <c r="O2269">
        <f t="shared" si="186"/>
        <v>0</v>
      </c>
      <c r="P2269">
        <f t="shared" si="187"/>
        <v>0</v>
      </c>
      <c r="Q2269">
        <f t="shared" ref="Q2269:Q2332" si="189">IF(H2269="","",H2269-E2269)</f>
        <v>21</v>
      </c>
      <c r="R2269" t="str">
        <f t="shared" si="188"/>
        <v>Not open</v>
      </c>
    </row>
    <row r="2270" spans="1:18" x14ac:dyDescent="0.3">
      <c r="A2270" t="s">
        <v>2517</v>
      </c>
      <c r="B2270" t="s">
        <v>528</v>
      </c>
      <c r="C2270" t="s">
        <v>566</v>
      </c>
      <c r="D2270" s="1">
        <v>45568</v>
      </c>
      <c r="E2270" s="1">
        <v>45628</v>
      </c>
      <c r="F2270" t="s">
        <v>13</v>
      </c>
      <c r="G2270">
        <v>10736079</v>
      </c>
      <c r="H2270" s="1">
        <v>45723</v>
      </c>
      <c r="I2270" t="s">
        <v>555</v>
      </c>
      <c r="J2270" t="s">
        <v>556</v>
      </c>
      <c r="L2270">
        <v>10736079</v>
      </c>
      <c r="M2270">
        <f>IF(F2270="INR",1,INDEX('rates'!$B$2:$C$522,MATCH(D2270,'rates'!$A$2:$A$522,1),MATCH(F2270&amp;"/INR",'rates'!$B$1:$C$1,0)))</f>
        <v>1</v>
      </c>
      <c r="N2270">
        <f t="shared" si="185"/>
        <v>10736079</v>
      </c>
      <c r="O2270">
        <f t="shared" si="186"/>
        <v>0</v>
      </c>
      <c r="P2270">
        <f t="shared" si="187"/>
        <v>0</v>
      </c>
      <c r="Q2270">
        <f t="shared" si="189"/>
        <v>95</v>
      </c>
      <c r="R2270" t="str">
        <f t="shared" si="188"/>
        <v>Not open</v>
      </c>
    </row>
    <row r="2271" spans="1:18" x14ac:dyDescent="0.3">
      <c r="A2271" t="s">
        <v>2518</v>
      </c>
      <c r="B2271" t="s">
        <v>138</v>
      </c>
      <c r="C2271" t="s">
        <v>566</v>
      </c>
      <c r="D2271" s="1">
        <v>45569</v>
      </c>
      <c r="E2271" s="1">
        <v>45599</v>
      </c>
      <c r="F2271" t="s">
        <v>13</v>
      </c>
      <c r="G2271">
        <v>8796706</v>
      </c>
      <c r="H2271" s="1">
        <v>45602</v>
      </c>
      <c r="I2271" t="s">
        <v>555</v>
      </c>
      <c r="J2271" t="s">
        <v>556</v>
      </c>
      <c r="L2271">
        <v>8796706</v>
      </c>
      <c r="M2271">
        <f>IF(F2271="INR",1,INDEX('rates'!$B$2:$C$522,MATCH(D2271,'rates'!$A$2:$A$522,1),MATCH(F2271&amp;"/INR",'rates'!$B$1:$C$1,0)))</f>
        <v>1</v>
      </c>
      <c r="N2271">
        <f t="shared" si="185"/>
        <v>8796706</v>
      </c>
      <c r="O2271">
        <f t="shared" si="186"/>
        <v>0</v>
      </c>
      <c r="P2271">
        <f t="shared" si="187"/>
        <v>0</v>
      </c>
      <c r="Q2271">
        <f t="shared" si="189"/>
        <v>3</v>
      </c>
      <c r="R2271" t="str">
        <f t="shared" si="188"/>
        <v>Not open</v>
      </c>
    </row>
    <row r="2272" spans="1:18" x14ac:dyDescent="0.3">
      <c r="A2272" t="s">
        <v>2519</v>
      </c>
      <c r="B2272" t="s">
        <v>238</v>
      </c>
      <c r="C2272" t="s">
        <v>566</v>
      </c>
      <c r="D2272" s="1">
        <v>45569</v>
      </c>
      <c r="E2272" s="1">
        <v>45629</v>
      </c>
      <c r="F2272" t="s">
        <v>31</v>
      </c>
      <c r="G2272">
        <v>54239.32</v>
      </c>
      <c r="H2272" s="1">
        <v>45649</v>
      </c>
      <c r="I2272" t="s">
        <v>555</v>
      </c>
      <c r="J2272" t="s">
        <v>556</v>
      </c>
      <c r="L2272">
        <v>54239.32</v>
      </c>
      <c r="M2272">
        <f>IF(F2272="INR",1,INDEX('rates'!$B$2:$C$522,MATCH(D2272,'rates'!$A$2:$A$522,1),MATCH(F2272&amp;"/INR",'rates'!$B$1:$C$1,0)))</f>
        <v>92.061400000000006</v>
      </c>
      <c r="N2272">
        <f t="shared" si="185"/>
        <v>4993347.7342480002</v>
      </c>
      <c r="O2272">
        <f t="shared" si="186"/>
        <v>0</v>
      </c>
      <c r="P2272">
        <f t="shared" si="187"/>
        <v>0</v>
      </c>
      <c r="Q2272">
        <f t="shared" si="189"/>
        <v>20</v>
      </c>
      <c r="R2272" t="str">
        <f t="shared" si="188"/>
        <v>Not open</v>
      </c>
    </row>
    <row r="2273" spans="1:18" x14ac:dyDescent="0.3">
      <c r="A2273" t="s">
        <v>2520</v>
      </c>
      <c r="B2273" t="s">
        <v>408</v>
      </c>
      <c r="C2273" t="s">
        <v>554</v>
      </c>
      <c r="D2273" s="1">
        <v>45569</v>
      </c>
      <c r="E2273" s="1">
        <v>45614</v>
      </c>
      <c r="F2273" t="s">
        <v>13</v>
      </c>
      <c r="G2273">
        <v>6408594</v>
      </c>
      <c r="H2273" s="1">
        <v>45649</v>
      </c>
      <c r="I2273" t="s">
        <v>555</v>
      </c>
      <c r="J2273" t="s">
        <v>556</v>
      </c>
      <c r="L2273">
        <v>6408594</v>
      </c>
      <c r="M2273">
        <f>IF(F2273="INR",1,INDEX('rates'!$B$2:$C$522,MATCH(D2273,'rates'!$A$2:$A$522,1),MATCH(F2273&amp;"/INR",'rates'!$B$1:$C$1,0)))</f>
        <v>1</v>
      </c>
      <c r="N2273">
        <f t="shared" si="185"/>
        <v>6408594</v>
      </c>
      <c r="O2273">
        <f t="shared" si="186"/>
        <v>0</v>
      </c>
      <c r="P2273">
        <f t="shared" si="187"/>
        <v>0</v>
      </c>
      <c r="Q2273">
        <f t="shared" si="189"/>
        <v>35</v>
      </c>
      <c r="R2273" t="str">
        <f t="shared" si="188"/>
        <v>Not open</v>
      </c>
    </row>
    <row r="2274" spans="1:18" x14ac:dyDescent="0.3">
      <c r="A2274" t="s">
        <v>2521</v>
      </c>
      <c r="B2274" t="s">
        <v>454</v>
      </c>
      <c r="C2274" t="s">
        <v>575</v>
      </c>
      <c r="D2274" s="1">
        <v>45569</v>
      </c>
      <c r="E2274" s="1">
        <v>45629</v>
      </c>
      <c r="F2274" t="s">
        <v>13</v>
      </c>
      <c r="G2274">
        <v>16233691</v>
      </c>
      <c r="H2274" s="1">
        <v>45643</v>
      </c>
      <c r="I2274" t="s">
        <v>555</v>
      </c>
      <c r="J2274" t="s">
        <v>556</v>
      </c>
      <c r="L2274">
        <v>16233691</v>
      </c>
      <c r="M2274">
        <f>IF(F2274="INR",1,INDEX('rates'!$B$2:$C$522,MATCH(D2274,'rates'!$A$2:$A$522,1),MATCH(F2274&amp;"/INR",'rates'!$B$1:$C$1,0)))</f>
        <v>1</v>
      </c>
      <c r="N2274">
        <f t="shared" si="185"/>
        <v>16233691</v>
      </c>
      <c r="O2274">
        <f t="shared" si="186"/>
        <v>0</v>
      </c>
      <c r="P2274">
        <f t="shared" si="187"/>
        <v>0</v>
      </c>
      <c r="Q2274">
        <f t="shared" si="189"/>
        <v>14</v>
      </c>
      <c r="R2274" t="str">
        <f t="shared" si="188"/>
        <v>Not open</v>
      </c>
    </row>
    <row r="2275" spans="1:18" x14ac:dyDescent="0.3">
      <c r="A2275" t="s">
        <v>2522</v>
      </c>
      <c r="B2275" t="s">
        <v>460</v>
      </c>
      <c r="C2275" t="s">
        <v>566</v>
      </c>
      <c r="D2275" s="1">
        <v>45569</v>
      </c>
      <c r="E2275" s="1">
        <v>45614</v>
      </c>
      <c r="F2275" t="s">
        <v>36</v>
      </c>
      <c r="G2275">
        <v>22330.240000000002</v>
      </c>
      <c r="H2275" s="1">
        <v>45626</v>
      </c>
      <c r="I2275" t="s">
        <v>555</v>
      </c>
      <c r="J2275" t="s">
        <v>573</v>
      </c>
      <c r="K2275">
        <v>84.2</v>
      </c>
      <c r="L2275">
        <v>22330.240000000002</v>
      </c>
      <c r="M2275">
        <f>IF(F2275="INR",1,INDEX('rates'!$B$2:$C$522,MATCH(D2275,'rates'!$A$2:$A$522,1),MATCH(F2275&amp;"/INR",'rates'!$B$1:$C$1,0)))</f>
        <v>83.99</v>
      </c>
      <c r="N2275">
        <f t="shared" si="185"/>
        <v>1875516.8576</v>
      </c>
      <c r="O2275">
        <f t="shared" si="186"/>
        <v>0</v>
      </c>
      <c r="P2275">
        <f t="shared" si="187"/>
        <v>0</v>
      </c>
      <c r="Q2275">
        <f t="shared" si="189"/>
        <v>12</v>
      </c>
      <c r="R2275" t="str">
        <f t="shared" si="188"/>
        <v>Not open</v>
      </c>
    </row>
    <row r="2276" spans="1:18" x14ac:dyDescent="0.3">
      <c r="A2276" t="s">
        <v>2523</v>
      </c>
      <c r="B2276" t="s">
        <v>472</v>
      </c>
      <c r="C2276" t="s">
        <v>558</v>
      </c>
      <c r="D2276" s="1">
        <v>45569</v>
      </c>
      <c r="E2276" s="1">
        <v>45629</v>
      </c>
      <c r="F2276" t="s">
        <v>36</v>
      </c>
      <c r="G2276">
        <v>93593.63</v>
      </c>
      <c r="H2276" s="1">
        <v>45646</v>
      </c>
      <c r="I2276" t="s">
        <v>555</v>
      </c>
      <c r="J2276" t="s">
        <v>573</v>
      </c>
      <c r="K2276">
        <v>84.27</v>
      </c>
      <c r="L2276">
        <v>93593.63</v>
      </c>
      <c r="M2276">
        <f>IF(F2276="INR",1,INDEX('rates'!$B$2:$C$522,MATCH(D2276,'rates'!$A$2:$A$522,1),MATCH(F2276&amp;"/INR",'rates'!$B$1:$C$1,0)))</f>
        <v>83.99</v>
      </c>
      <c r="N2276">
        <f t="shared" si="185"/>
        <v>7860928.9836999997</v>
      </c>
      <c r="O2276">
        <f t="shared" si="186"/>
        <v>0</v>
      </c>
      <c r="P2276">
        <f t="shared" si="187"/>
        <v>0</v>
      </c>
      <c r="Q2276">
        <f t="shared" si="189"/>
        <v>17</v>
      </c>
      <c r="R2276" t="str">
        <f t="shared" si="188"/>
        <v>Not open</v>
      </c>
    </row>
    <row r="2277" spans="1:18" x14ac:dyDescent="0.3">
      <c r="A2277" t="s">
        <v>2525</v>
      </c>
      <c r="B2277" t="s">
        <v>28</v>
      </c>
      <c r="C2277" t="s">
        <v>558</v>
      </c>
      <c r="D2277" s="1">
        <v>45570</v>
      </c>
      <c r="E2277" s="1">
        <v>45600</v>
      </c>
      <c r="F2277" t="s">
        <v>31</v>
      </c>
      <c r="G2277">
        <v>40058.410000000003</v>
      </c>
      <c r="H2277" s="1">
        <v>45606</v>
      </c>
      <c r="I2277" t="s">
        <v>555</v>
      </c>
      <c r="J2277" t="s">
        <v>556</v>
      </c>
      <c r="L2277">
        <v>40058.410000000003</v>
      </c>
      <c r="M2277">
        <f>IF(F2277="INR",1,INDEX('rates'!$B$2:$C$522,MATCH(D2277,'rates'!$A$2:$A$522,1),MATCH(F2277&amp;"/INR",'rates'!$B$1:$C$1,0)))</f>
        <v>92.061400000000006</v>
      </c>
      <c r="N2277">
        <f t="shared" si="185"/>
        <v>3687833.3063740004</v>
      </c>
      <c r="O2277">
        <f t="shared" si="186"/>
        <v>0</v>
      </c>
      <c r="P2277">
        <f t="shared" si="187"/>
        <v>0</v>
      </c>
      <c r="Q2277">
        <f t="shared" si="189"/>
        <v>6</v>
      </c>
      <c r="R2277" t="str">
        <f t="shared" si="188"/>
        <v>Not open</v>
      </c>
    </row>
    <row r="2278" spans="1:18" x14ac:dyDescent="0.3">
      <c r="A2278" t="s">
        <v>2526</v>
      </c>
      <c r="B2278" t="s">
        <v>33</v>
      </c>
      <c r="C2278" t="s">
        <v>575</v>
      </c>
      <c r="D2278" s="1">
        <v>45570</v>
      </c>
      <c r="E2278" s="1">
        <v>45600</v>
      </c>
      <c r="F2278" t="s">
        <v>36</v>
      </c>
      <c r="G2278">
        <v>180878.04</v>
      </c>
      <c r="H2278" s="1">
        <v>45636</v>
      </c>
      <c r="I2278" t="s">
        <v>555</v>
      </c>
      <c r="J2278" t="s">
        <v>556</v>
      </c>
      <c r="L2278">
        <v>180878.04</v>
      </c>
      <c r="M2278">
        <f>IF(F2278="INR",1,INDEX('rates'!$B$2:$C$522,MATCH(D2278,'rates'!$A$2:$A$522,1),MATCH(F2278&amp;"/INR",'rates'!$B$1:$C$1,0)))</f>
        <v>83.99</v>
      </c>
      <c r="N2278">
        <f t="shared" si="185"/>
        <v>15191946.579599999</v>
      </c>
      <c r="O2278">
        <f t="shared" si="186"/>
        <v>0</v>
      </c>
      <c r="P2278">
        <f t="shared" si="187"/>
        <v>0</v>
      </c>
      <c r="Q2278">
        <f t="shared" si="189"/>
        <v>36</v>
      </c>
      <c r="R2278" t="str">
        <f t="shared" si="188"/>
        <v>Not open</v>
      </c>
    </row>
    <row r="2279" spans="1:18" x14ac:dyDescent="0.3">
      <c r="A2279" t="s">
        <v>2527</v>
      </c>
      <c r="B2279" t="s">
        <v>46</v>
      </c>
      <c r="C2279" t="s">
        <v>558</v>
      </c>
      <c r="D2279" s="1">
        <v>45570</v>
      </c>
      <c r="E2279" s="1">
        <v>45630</v>
      </c>
      <c r="F2279" t="s">
        <v>36</v>
      </c>
      <c r="G2279">
        <v>107647.53</v>
      </c>
      <c r="H2279" s="1">
        <v>45642</v>
      </c>
      <c r="I2279" t="s">
        <v>555</v>
      </c>
      <c r="J2279" t="s">
        <v>556</v>
      </c>
      <c r="L2279">
        <v>107647.53</v>
      </c>
      <c r="M2279">
        <f>IF(F2279="INR",1,INDEX('rates'!$B$2:$C$522,MATCH(D2279,'rates'!$A$2:$A$522,1),MATCH(F2279&amp;"/INR",'rates'!$B$1:$C$1,0)))</f>
        <v>83.99</v>
      </c>
      <c r="N2279">
        <f t="shared" si="185"/>
        <v>9041316.0446999986</v>
      </c>
      <c r="O2279">
        <f t="shared" si="186"/>
        <v>0</v>
      </c>
      <c r="P2279">
        <f t="shared" si="187"/>
        <v>0</v>
      </c>
      <c r="Q2279">
        <f t="shared" si="189"/>
        <v>12</v>
      </c>
      <c r="R2279" t="str">
        <f t="shared" si="188"/>
        <v>Not open</v>
      </c>
    </row>
    <row r="2280" spans="1:18" x14ac:dyDescent="0.3">
      <c r="A2280" t="s">
        <v>2528</v>
      </c>
      <c r="B2280" t="s">
        <v>70</v>
      </c>
      <c r="C2280" t="s">
        <v>554</v>
      </c>
      <c r="D2280" s="1">
        <v>45570</v>
      </c>
      <c r="E2280" s="1">
        <v>45600</v>
      </c>
      <c r="F2280" t="s">
        <v>13</v>
      </c>
      <c r="G2280">
        <v>1846444</v>
      </c>
      <c r="H2280" s="1">
        <v>45606</v>
      </c>
      <c r="I2280" t="s">
        <v>555</v>
      </c>
      <c r="J2280" t="s">
        <v>556</v>
      </c>
      <c r="L2280">
        <v>1846444</v>
      </c>
      <c r="M2280">
        <f>IF(F2280="INR",1,INDEX('rates'!$B$2:$C$522,MATCH(D2280,'rates'!$A$2:$A$522,1),MATCH(F2280&amp;"/INR",'rates'!$B$1:$C$1,0)))</f>
        <v>1</v>
      </c>
      <c r="N2280">
        <f t="shared" si="185"/>
        <v>1846444</v>
      </c>
      <c r="O2280">
        <f t="shared" si="186"/>
        <v>0</v>
      </c>
      <c r="P2280">
        <f t="shared" si="187"/>
        <v>0</v>
      </c>
      <c r="Q2280">
        <f t="shared" si="189"/>
        <v>6</v>
      </c>
      <c r="R2280" t="str">
        <f t="shared" si="188"/>
        <v>Not open</v>
      </c>
    </row>
    <row r="2281" spans="1:18" x14ac:dyDescent="0.3">
      <c r="A2281" t="s">
        <v>2529</v>
      </c>
      <c r="B2281" t="s">
        <v>160</v>
      </c>
      <c r="C2281" t="s">
        <v>554</v>
      </c>
      <c r="D2281" s="1">
        <v>45570</v>
      </c>
      <c r="E2281" s="1">
        <v>45615</v>
      </c>
      <c r="F2281" t="s">
        <v>13</v>
      </c>
      <c r="G2281">
        <v>10853114</v>
      </c>
      <c r="H2281" s="1">
        <v>45620</v>
      </c>
      <c r="I2281" t="s">
        <v>555</v>
      </c>
      <c r="J2281" t="s">
        <v>556</v>
      </c>
      <c r="L2281">
        <v>10853114</v>
      </c>
      <c r="M2281">
        <f>IF(F2281="INR",1,INDEX('rates'!$B$2:$C$522,MATCH(D2281,'rates'!$A$2:$A$522,1),MATCH(F2281&amp;"/INR",'rates'!$B$1:$C$1,0)))</f>
        <v>1</v>
      </c>
      <c r="N2281">
        <f t="shared" si="185"/>
        <v>10853114</v>
      </c>
      <c r="O2281">
        <f t="shared" si="186"/>
        <v>0</v>
      </c>
      <c r="P2281">
        <f t="shared" si="187"/>
        <v>0</v>
      </c>
      <c r="Q2281">
        <f t="shared" si="189"/>
        <v>5</v>
      </c>
      <c r="R2281" t="str">
        <f t="shared" si="188"/>
        <v>Not open</v>
      </c>
    </row>
    <row r="2282" spans="1:18" x14ac:dyDescent="0.3">
      <c r="A2282" t="s">
        <v>2530</v>
      </c>
      <c r="B2282" t="s">
        <v>186</v>
      </c>
      <c r="C2282" t="s">
        <v>558</v>
      </c>
      <c r="D2282" s="1">
        <v>45570</v>
      </c>
      <c r="E2282" s="1">
        <v>45600</v>
      </c>
      <c r="F2282" t="s">
        <v>36</v>
      </c>
      <c r="G2282">
        <v>113889</v>
      </c>
      <c r="H2282" s="1">
        <v>45652</v>
      </c>
      <c r="I2282" t="s">
        <v>555</v>
      </c>
      <c r="J2282" t="s">
        <v>573</v>
      </c>
      <c r="K2282">
        <v>84.13</v>
      </c>
      <c r="L2282">
        <v>113889</v>
      </c>
      <c r="M2282">
        <f>IF(F2282="INR",1,INDEX('rates'!$B$2:$C$522,MATCH(D2282,'rates'!$A$2:$A$522,1),MATCH(F2282&amp;"/INR",'rates'!$B$1:$C$1,0)))</f>
        <v>83.99</v>
      </c>
      <c r="N2282">
        <f t="shared" si="185"/>
        <v>9565537.1099999994</v>
      </c>
      <c r="O2282">
        <f t="shared" si="186"/>
        <v>0</v>
      </c>
      <c r="P2282">
        <f t="shared" si="187"/>
        <v>0</v>
      </c>
      <c r="Q2282">
        <f t="shared" si="189"/>
        <v>52</v>
      </c>
      <c r="R2282" t="str">
        <f t="shared" si="188"/>
        <v>Not open</v>
      </c>
    </row>
    <row r="2283" spans="1:18" x14ac:dyDescent="0.3">
      <c r="A2283" t="s">
        <v>2531</v>
      </c>
      <c r="B2283" t="s">
        <v>196</v>
      </c>
      <c r="C2283" t="s">
        <v>554</v>
      </c>
      <c r="D2283" s="1">
        <v>45570</v>
      </c>
      <c r="E2283" s="1">
        <v>45615</v>
      </c>
      <c r="F2283" t="s">
        <v>13</v>
      </c>
      <c r="G2283">
        <v>19542704</v>
      </c>
      <c r="H2283" s="1">
        <v>45617</v>
      </c>
      <c r="I2283" t="s">
        <v>555</v>
      </c>
      <c r="J2283" t="s">
        <v>556</v>
      </c>
      <c r="L2283">
        <v>19542704</v>
      </c>
      <c r="M2283">
        <f>IF(F2283="INR",1,INDEX('rates'!$B$2:$C$522,MATCH(D2283,'rates'!$A$2:$A$522,1),MATCH(F2283&amp;"/INR",'rates'!$B$1:$C$1,0)))</f>
        <v>1</v>
      </c>
      <c r="N2283">
        <f t="shared" si="185"/>
        <v>19542704</v>
      </c>
      <c r="O2283">
        <f t="shared" si="186"/>
        <v>0</v>
      </c>
      <c r="P2283">
        <f t="shared" si="187"/>
        <v>0</v>
      </c>
      <c r="Q2283">
        <f t="shared" si="189"/>
        <v>2</v>
      </c>
      <c r="R2283" t="str">
        <f t="shared" si="188"/>
        <v>Not open</v>
      </c>
    </row>
    <row r="2284" spans="1:18" x14ac:dyDescent="0.3">
      <c r="A2284" t="s">
        <v>2532</v>
      </c>
      <c r="B2284" t="s">
        <v>326</v>
      </c>
      <c r="C2284" t="s">
        <v>554</v>
      </c>
      <c r="D2284" s="1">
        <v>45570</v>
      </c>
      <c r="E2284" s="1">
        <v>45600</v>
      </c>
      <c r="F2284" t="s">
        <v>13</v>
      </c>
      <c r="G2284">
        <v>3155107</v>
      </c>
      <c r="H2284" s="1">
        <v>45630</v>
      </c>
      <c r="I2284" t="s">
        <v>555</v>
      </c>
      <c r="J2284" t="s">
        <v>556</v>
      </c>
      <c r="L2284">
        <v>3155107</v>
      </c>
      <c r="M2284">
        <f>IF(F2284="INR",1,INDEX('rates'!$B$2:$C$522,MATCH(D2284,'rates'!$A$2:$A$522,1),MATCH(F2284&amp;"/INR",'rates'!$B$1:$C$1,0)))</f>
        <v>1</v>
      </c>
      <c r="N2284">
        <f t="shared" si="185"/>
        <v>3155107</v>
      </c>
      <c r="O2284">
        <f t="shared" si="186"/>
        <v>0</v>
      </c>
      <c r="P2284">
        <f t="shared" si="187"/>
        <v>0</v>
      </c>
      <c r="Q2284">
        <f t="shared" si="189"/>
        <v>30</v>
      </c>
      <c r="R2284" t="str">
        <f t="shared" si="188"/>
        <v>Not open</v>
      </c>
    </row>
    <row r="2285" spans="1:18" x14ac:dyDescent="0.3">
      <c r="A2285" t="s">
        <v>2533</v>
      </c>
      <c r="B2285" t="s">
        <v>352</v>
      </c>
      <c r="C2285" t="s">
        <v>554</v>
      </c>
      <c r="D2285" s="1">
        <v>45570</v>
      </c>
      <c r="E2285" s="1">
        <v>45615</v>
      </c>
      <c r="F2285" t="s">
        <v>36</v>
      </c>
      <c r="G2285">
        <v>49580.91</v>
      </c>
      <c r="H2285" s="1">
        <v>45625</v>
      </c>
      <c r="I2285" t="s">
        <v>555</v>
      </c>
      <c r="J2285" t="s">
        <v>556</v>
      </c>
      <c r="L2285">
        <v>49580.91</v>
      </c>
      <c r="M2285">
        <f>IF(F2285="INR",1,INDEX('rates'!$B$2:$C$522,MATCH(D2285,'rates'!$A$2:$A$522,1),MATCH(F2285&amp;"/INR",'rates'!$B$1:$C$1,0)))</f>
        <v>83.99</v>
      </c>
      <c r="N2285">
        <f t="shared" si="185"/>
        <v>4164300.6309000002</v>
      </c>
      <c r="O2285">
        <f t="shared" si="186"/>
        <v>0</v>
      </c>
      <c r="P2285">
        <f t="shared" si="187"/>
        <v>0</v>
      </c>
      <c r="Q2285">
        <f t="shared" si="189"/>
        <v>10</v>
      </c>
      <c r="R2285" t="str">
        <f t="shared" si="188"/>
        <v>Not open</v>
      </c>
    </row>
    <row r="2286" spans="1:18" x14ac:dyDescent="0.3">
      <c r="A2286" t="s">
        <v>2534</v>
      </c>
      <c r="B2286" t="s">
        <v>380</v>
      </c>
      <c r="C2286" t="s">
        <v>560</v>
      </c>
      <c r="D2286" s="1">
        <v>45570</v>
      </c>
      <c r="E2286" s="1">
        <v>45630</v>
      </c>
      <c r="F2286" t="s">
        <v>13</v>
      </c>
      <c r="G2286">
        <v>3692536</v>
      </c>
      <c r="H2286" s="1">
        <v>45662</v>
      </c>
      <c r="I2286" t="s">
        <v>555</v>
      </c>
      <c r="J2286" t="s">
        <v>556</v>
      </c>
      <c r="L2286">
        <v>3692536</v>
      </c>
      <c r="M2286">
        <f>IF(F2286="INR",1,INDEX('rates'!$B$2:$C$522,MATCH(D2286,'rates'!$A$2:$A$522,1),MATCH(F2286&amp;"/INR",'rates'!$B$1:$C$1,0)))</f>
        <v>1</v>
      </c>
      <c r="N2286">
        <f t="shared" si="185"/>
        <v>3692536</v>
      </c>
      <c r="O2286">
        <f t="shared" si="186"/>
        <v>0</v>
      </c>
      <c r="P2286">
        <f t="shared" si="187"/>
        <v>0</v>
      </c>
      <c r="Q2286">
        <f t="shared" si="189"/>
        <v>32</v>
      </c>
      <c r="R2286" t="str">
        <f t="shared" si="188"/>
        <v>Not open</v>
      </c>
    </row>
    <row r="2287" spans="1:18" x14ac:dyDescent="0.3">
      <c r="A2287" t="s">
        <v>2536</v>
      </c>
      <c r="B2287" t="s">
        <v>496</v>
      </c>
      <c r="C2287" t="s">
        <v>554</v>
      </c>
      <c r="D2287" s="1">
        <v>45570</v>
      </c>
      <c r="E2287" s="1">
        <v>45615</v>
      </c>
      <c r="F2287" t="s">
        <v>13</v>
      </c>
      <c r="G2287">
        <v>24216094</v>
      </c>
      <c r="H2287" s="1">
        <v>45622</v>
      </c>
      <c r="I2287" t="s">
        <v>555</v>
      </c>
      <c r="J2287" t="s">
        <v>556</v>
      </c>
      <c r="L2287">
        <v>24216094</v>
      </c>
      <c r="M2287">
        <f>IF(F2287="INR",1,INDEX('rates'!$B$2:$C$522,MATCH(D2287,'rates'!$A$2:$A$522,1),MATCH(F2287&amp;"/INR",'rates'!$B$1:$C$1,0)))</f>
        <v>1</v>
      </c>
      <c r="N2287">
        <f t="shared" si="185"/>
        <v>24216094</v>
      </c>
      <c r="O2287">
        <f t="shared" si="186"/>
        <v>0</v>
      </c>
      <c r="P2287">
        <f t="shared" si="187"/>
        <v>0</v>
      </c>
      <c r="Q2287">
        <f t="shared" si="189"/>
        <v>7</v>
      </c>
      <c r="R2287" t="str">
        <f t="shared" si="188"/>
        <v>Not open</v>
      </c>
    </row>
    <row r="2288" spans="1:18" x14ac:dyDescent="0.3">
      <c r="A2288" t="s">
        <v>2537</v>
      </c>
      <c r="B2288" t="s">
        <v>528</v>
      </c>
      <c r="C2288" t="s">
        <v>566</v>
      </c>
      <c r="D2288" s="1">
        <v>45570</v>
      </c>
      <c r="E2288" s="1">
        <v>45630</v>
      </c>
      <c r="F2288" t="s">
        <v>13</v>
      </c>
      <c r="G2288">
        <v>10641833</v>
      </c>
      <c r="H2288" s="1">
        <v>45650</v>
      </c>
      <c r="I2288" t="s">
        <v>555</v>
      </c>
      <c r="J2288" t="s">
        <v>556</v>
      </c>
      <c r="L2288">
        <v>10641833</v>
      </c>
      <c r="M2288">
        <f>IF(F2288="INR",1,INDEX('rates'!$B$2:$C$522,MATCH(D2288,'rates'!$A$2:$A$522,1),MATCH(F2288&amp;"/INR",'rates'!$B$1:$C$1,0)))</f>
        <v>1</v>
      </c>
      <c r="N2288">
        <f t="shared" si="185"/>
        <v>10641833</v>
      </c>
      <c r="O2288">
        <f t="shared" si="186"/>
        <v>0</v>
      </c>
      <c r="P2288">
        <f t="shared" si="187"/>
        <v>0</v>
      </c>
      <c r="Q2288">
        <f t="shared" si="189"/>
        <v>20</v>
      </c>
      <c r="R2288" t="str">
        <f t="shared" si="188"/>
        <v>Not open</v>
      </c>
    </row>
    <row r="2289" spans="1:18" x14ac:dyDescent="0.3">
      <c r="A2289" t="s">
        <v>2538</v>
      </c>
      <c r="B2289" t="s">
        <v>150</v>
      </c>
      <c r="C2289" t="s">
        <v>558</v>
      </c>
      <c r="D2289" s="1">
        <v>45572</v>
      </c>
      <c r="E2289" s="1">
        <v>45617</v>
      </c>
      <c r="F2289" t="s">
        <v>13</v>
      </c>
      <c r="G2289">
        <v>4583964</v>
      </c>
      <c r="H2289" s="1">
        <v>45620</v>
      </c>
      <c r="I2289" t="s">
        <v>555</v>
      </c>
      <c r="J2289" t="s">
        <v>556</v>
      </c>
      <c r="L2289">
        <v>4583964</v>
      </c>
      <c r="M2289">
        <f>IF(F2289="INR",1,INDEX('rates'!$B$2:$C$522,MATCH(D2289,'rates'!$A$2:$A$522,1),MATCH(F2289&amp;"/INR",'rates'!$B$1:$C$1,0)))</f>
        <v>1</v>
      </c>
      <c r="N2289">
        <f t="shared" si="185"/>
        <v>4583964</v>
      </c>
      <c r="O2289">
        <f t="shared" si="186"/>
        <v>0</v>
      </c>
      <c r="P2289">
        <f t="shared" si="187"/>
        <v>0</v>
      </c>
      <c r="Q2289">
        <f t="shared" si="189"/>
        <v>3</v>
      </c>
      <c r="R2289" t="str">
        <f t="shared" si="188"/>
        <v>Not open</v>
      </c>
    </row>
    <row r="2290" spans="1:18" x14ac:dyDescent="0.3">
      <c r="A2290" t="s">
        <v>2539</v>
      </c>
      <c r="B2290" t="s">
        <v>248</v>
      </c>
      <c r="C2290" t="s">
        <v>575</v>
      </c>
      <c r="D2290" s="1">
        <v>45572</v>
      </c>
      <c r="E2290" s="1">
        <v>45602</v>
      </c>
      <c r="F2290" t="s">
        <v>13</v>
      </c>
      <c r="G2290">
        <v>1579409</v>
      </c>
      <c r="H2290" s="1">
        <v>45616</v>
      </c>
      <c r="I2290" t="s">
        <v>555</v>
      </c>
      <c r="J2290" t="s">
        <v>556</v>
      </c>
      <c r="L2290">
        <v>1579409</v>
      </c>
      <c r="M2290">
        <f>IF(F2290="INR",1,INDEX('rates'!$B$2:$C$522,MATCH(D2290,'rates'!$A$2:$A$522,1),MATCH(F2290&amp;"/INR",'rates'!$B$1:$C$1,0)))</f>
        <v>1</v>
      </c>
      <c r="N2290">
        <f t="shared" si="185"/>
        <v>1579409</v>
      </c>
      <c r="O2290">
        <f t="shared" si="186"/>
        <v>0</v>
      </c>
      <c r="P2290">
        <f t="shared" si="187"/>
        <v>0</v>
      </c>
      <c r="Q2290">
        <f t="shared" si="189"/>
        <v>14</v>
      </c>
      <c r="R2290" t="str">
        <f t="shared" si="188"/>
        <v>Not open</v>
      </c>
    </row>
    <row r="2291" spans="1:18" x14ac:dyDescent="0.3">
      <c r="A2291" t="s">
        <v>2540</v>
      </c>
      <c r="B2291" t="s">
        <v>302</v>
      </c>
      <c r="C2291" t="s">
        <v>575</v>
      </c>
      <c r="D2291" s="1">
        <v>45572</v>
      </c>
      <c r="E2291" s="1">
        <v>45662</v>
      </c>
      <c r="F2291" t="s">
        <v>13</v>
      </c>
      <c r="G2291">
        <v>5602737</v>
      </c>
      <c r="H2291" s="1">
        <v>45669</v>
      </c>
      <c r="I2291" t="s">
        <v>555</v>
      </c>
      <c r="J2291" t="s">
        <v>556</v>
      </c>
      <c r="L2291">
        <v>5602737</v>
      </c>
      <c r="M2291">
        <f>IF(F2291="INR",1,INDEX('rates'!$B$2:$C$522,MATCH(D2291,'rates'!$A$2:$A$522,1),MATCH(F2291&amp;"/INR",'rates'!$B$1:$C$1,0)))</f>
        <v>1</v>
      </c>
      <c r="N2291">
        <f t="shared" si="185"/>
        <v>5602737</v>
      </c>
      <c r="O2291">
        <f t="shared" si="186"/>
        <v>0</v>
      </c>
      <c r="P2291">
        <f t="shared" si="187"/>
        <v>0</v>
      </c>
      <c r="Q2291">
        <f t="shared" si="189"/>
        <v>7</v>
      </c>
      <c r="R2291" t="str">
        <f t="shared" si="188"/>
        <v>Not open</v>
      </c>
    </row>
    <row r="2292" spans="1:18" x14ac:dyDescent="0.3">
      <c r="A2292" t="s">
        <v>2541</v>
      </c>
      <c r="B2292" t="s">
        <v>386</v>
      </c>
      <c r="C2292" t="s">
        <v>575</v>
      </c>
      <c r="D2292" s="1">
        <v>45572</v>
      </c>
      <c r="E2292" s="1">
        <v>45632</v>
      </c>
      <c r="F2292" t="s">
        <v>31</v>
      </c>
      <c r="G2292">
        <v>113946.38</v>
      </c>
      <c r="H2292" s="1">
        <v>45634</v>
      </c>
      <c r="I2292" t="s">
        <v>555</v>
      </c>
      <c r="J2292" t="s">
        <v>573</v>
      </c>
      <c r="K2292">
        <v>92.338800000000006</v>
      </c>
      <c r="L2292">
        <v>113946.38</v>
      </c>
      <c r="M2292">
        <f>IF(F2292="INR",1,INDEX('rates'!$B$2:$C$522,MATCH(D2292,'rates'!$A$2:$A$522,1),MATCH(F2292&amp;"/INR",'rates'!$B$1:$C$1,0)))</f>
        <v>92.154499999999999</v>
      </c>
      <c r="N2292">
        <f t="shared" si="185"/>
        <v>10500671.67571</v>
      </c>
      <c r="O2292">
        <f t="shared" si="186"/>
        <v>0</v>
      </c>
      <c r="P2292">
        <f t="shared" si="187"/>
        <v>0</v>
      </c>
      <c r="Q2292">
        <f t="shared" si="189"/>
        <v>2</v>
      </c>
      <c r="R2292" t="str">
        <f t="shared" si="188"/>
        <v>Not open</v>
      </c>
    </row>
    <row r="2293" spans="1:18" x14ac:dyDescent="0.3">
      <c r="A2293" t="s">
        <v>2543</v>
      </c>
      <c r="B2293" t="s">
        <v>496</v>
      </c>
      <c r="C2293" t="s">
        <v>554</v>
      </c>
      <c r="D2293" s="1">
        <v>45572</v>
      </c>
      <c r="E2293" s="1">
        <v>45617</v>
      </c>
      <c r="F2293" t="s">
        <v>13</v>
      </c>
      <c r="G2293">
        <v>6854082</v>
      </c>
      <c r="H2293" s="1">
        <v>45632</v>
      </c>
      <c r="I2293" t="s">
        <v>555</v>
      </c>
      <c r="J2293" t="s">
        <v>556</v>
      </c>
      <c r="L2293">
        <v>6854082</v>
      </c>
      <c r="M2293">
        <f>IF(F2293="INR",1,INDEX('rates'!$B$2:$C$522,MATCH(D2293,'rates'!$A$2:$A$522,1),MATCH(F2293&amp;"/INR",'rates'!$B$1:$C$1,0)))</f>
        <v>1</v>
      </c>
      <c r="N2293">
        <f t="shared" si="185"/>
        <v>6854082</v>
      </c>
      <c r="O2293">
        <f t="shared" si="186"/>
        <v>0</v>
      </c>
      <c r="P2293">
        <f t="shared" si="187"/>
        <v>0</v>
      </c>
      <c r="Q2293">
        <f t="shared" si="189"/>
        <v>15</v>
      </c>
      <c r="R2293" t="str">
        <f t="shared" si="188"/>
        <v>Not open</v>
      </c>
    </row>
    <row r="2294" spans="1:18" x14ac:dyDescent="0.3">
      <c r="A2294" t="s">
        <v>2544</v>
      </c>
      <c r="B2294" t="s">
        <v>154</v>
      </c>
      <c r="C2294" t="s">
        <v>566</v>
      </c>
      <c r="D2294" s="1">
        <v>45573</v>
      </c>
      <c r="E2294" s="1">
        <v>45603</v>
      </c>
      <c r="F2294" t="s">
        <v>13</v>
      </c>
      <c r="G2294">
        <v>47978695</v>
      </c>
      <c r="H2294" s="1">
        <v>45595</v>
      </c>
      <c r="I2294" t="s">
        <v>555</v>
      </c>
      <c r="J2294" t="s">
        <v>556</v>
      </c>
      <c r="L2294">
        <v>47978695</v>
      </c>
      <c r="M2294">
        <f>IF(F2294="INR",1,INDEX('rates'!$B$2:$C$522,MATCH(D2294,'rates'!$A$2:$A$522,1),MATCH(F2294&amp;"/INR",'rates'!$B$1:$C$1,0)))</f>
        <v>1</v>
      </c>
      <c r="N2294">
        <f t="shared" si="185"/>
        <v>47978695</v>
      </c>
      <c r="O2294">
        <f t="shared" si="186"/>
        <v>0</v>
      </c>
      <c r="P2294">
        <f t="shared" si="187"/>
        <v>0</v>
      </c>
      <c r="Q2294">
        <f t="shared" si="189"/>
        <v>-8</v>
      </c>
      <c r="R2294" t="str">
        <f t="shared" si="188"/>
        <v>Not open</v>
      </c>
    </row>
    <row r="2295" spans="1:18" x14ac:dyDescent="0.3">
      <c r="A2295" t="s">
        <v>2545</v>
      </c>
      <c r="B2295" t="s">
        <v>198</v>
      </c>
      <c r="C2295" t="s">
        <v>566</v>
      </c>
      <c r="D2295" s="1">
        <v>45573</v>
      </c>
      <c r="E2295" s="1">
        <v>45663</v>
      </c>
      <c r="F2295" t="s">
        <v>36</v>
      </c>
      <c r="G2295">
        <v>55774.51</v>
      </c>
      <c r="H2295" s="1">
        <v>45682</v>
      </c>
      <c r="I2295" t="s">
        <v>555</v>
      </c>
      <c r="J2295" t="s">
        <v>573</v>
      </c>
      <c r="K2295">
        <v>84.369699999999995</v>
      </c>
      <c r="L2295">
        <v>55774.51</v>
      </c>
      <c r="M2295">
        <f>IF(F2295="INR",1,INDEX('rates'!$B$2:$C$522,MATCH(D2295,'rates'!$A$2:$A$522,1),MATCH(F2295&amp;"/INR",'rates'!$B$1:$C$1,0)))</f>
        <v>83.95</v>
      </c>
      <c r="N2295">
        <f t="shared" si="185"/>
        <v>4682270.1145000001</v>
      </c>
      <c r="O2295">
        <f t="shared" si="186"/>
        <v>0</v>
      </c>
      <c r="P2295">
        <f t="shared" si="187"/>
        <v>0</v>
      </c>
      <c r="Q2295">
        <f t="shared" si="189"/>
        <v>19</v>
      </c>
      <c r="R2295" t="str">
        <f t="shared" si="188"/>
        <v>Not open</v>
      </c>
    </row>
    <row r="2296" spans="1:18" x14ac:dyDescent="0.3">
      <c r="A2296" t="s">
        <v>2546</v>
      </c>
      <c r="B2296" t="s">
        <v>286</v>
      </c>
      <c r="C2296" t="s">
        <v>558</v>
      </c>
      <c r="D2296" s="1">
        <v>45573</v>
      </c>
      <c r="E2296" s="1">
        <v>45633</v>
      </c>
      <c r="F2296" t="s">
        <v>36</v>
      </c>
      <c r="G2296">
        <v>56995.87</v>
      </c>
      <c r="H2296" s="1">
        <v>45704</v>
      </c>
      <c r="I2296" t="s">
        <v>555</v>
      </c>
      <c r="J2296" t="s">
        <v>556</v>
      </c>
      <c r="L2296">
        <v>56995.87</v>
      </c>
      <c r="M2296">
        <f>IF(F2296="INR",1,INDEX('rates'!$B$2:$C$522,MATCH(D2296,'rates'!$A$2:$A$522,1),MATCH(F2296&amp;"/INR",'rates'!$B$1:$C$1,0)))</f>
        <v>83.95</v>
      </c>
      <c r="N2296">
        <f t="shared" si="185"/>
        <v>4784803.2865000004</v>
      </c>
      <c r="O2296">
        <f t="shared" si="186"/>
        <v>0</v>
      </c>
      <c r="P2296">
        <f t="shared" si="187"/>
        <v>0</v>
      </c>
      <c r="Q2296">
        <f t="shared" si="189"/>
        <v>71</v>
      </c>
      <c r="R2296" t="str">
        <f t="shared" si="188"/>
        <v>Not open</v>
      </c>
    </row>
    <row r="2297" spans="1:18" x14ac:dyDescent="0.3">
      <c r="A2297" t="s">
        <v>2547</v>
      </c>
      <c r="B2297" t="s">
        <v>306</v>
      </c>
      <c r="C2297" t="s">
        <v>558</v>
      </c>
      <c r="D2297" s="1">
        <v>45573</v>
      </c>
      <c r="E2297" s="1">
        <v>45663</v>
      </c>
      <c r="F2297" t="s">
        <v>36</v>
      </c>
      <c r="G2297">
        <v>186810.66</v>
      </c>
      <c r="H2297" s="1">
        <v>45669</v>
      </c>
      <c r="I2297" t="s">
        <v>555</v>
      </c>
      <c r="J2297" t="s">
        <v>556</v>
      </c>
      <c r="L2297">
        <v>186810.66</v>
      </c>
      <c r="M2297">
        <f>IF(F2297="INR",1,INDEX('rates'!$B$2:$C$522,MATCH(D2297,'rates'!$A$2:$A$522,1),MATCH(F2297&amp;"/INR",'rates'!$B$1:$C$1,0)))</f>
        <v>83.95</v>
      </c>
      <c r="N2297">
        <f t="shared" si="185"/>
        <v>15682754.907000002</v>
      </c>
      <c r="O2297">
        <f t="shared" si="186"/>
        <v>0</v>
      </c>
      <c r="P2297">
        <f t="shared" si="187"/>
        <v>0</v>
      </c>
      <c r="Q2297">
        <f t="shared" si="189"/>
        <v>6</v>
      </c>
      <c r="R2297" t="str">
        <f t="shared" si="188"/>
        <v>Not open</v>
      </c>
    </row>
    <row r="2298" spans="1:18" x14ac:dyDescent="0.3">
      <c r="A2298" t="s">
        <v>2548</v>
      </c>
      <c r="B2298" t="s">
        <v>368</v>
      </c>
      <c r="C2298" t="s">
        <v>566</v>
      </c>
      <c r="D2298" s="1">
        <v>45573</v>
      </c>
      <c r="E2298" s="1">
        <v>45633</v>
      </c>
      <c r="F2298" t="s">
        <v>36</v>
      </c>
      <c r="G2298">
        <v>16588.509999999998</v>
      </c>
      <c r="H2298" s="1">
        <v>45647</v>
      </c>
      <c r="I2298" t="s">
        <v>555</v>
      </c>
      <c r="J2298" t="s">
        <v>573</v>
      </c>
      <c r="K2298">
        <v>84.229799999999997</v>
      </c>
      <c r="L2298">
        <v>16588.509999999998</v>
      </c>
      <c r="M2298">
        <f>IF(F2298="INR",1,INDEX('rates'!$B$2:$C$522,MATCH(D2298,'rates'!$A$2:$A$522,1),MATCH(F2298&amp;"/INR",'rates'!$B$1:$C$1,0)))</f>
        <v>83.95</v>
      </c>
      <c r="N2298">
        <f t="shared" si="185"/>
        <v>1392605.4145</v>
      </c>
      <c r="O2298">
        <f t="shared" si="186"/>
        <v>0</v>
      </c>
      <c r="P2298">
        <f t="shared" si="187"/>
        <v>0</v>
      </c>
      <c r="Q2298">
        <f t="shared" si="189"/>
        <v>14</v>
      </c>
      <c r="R2298" t="str">
        <f t="shared" si="188"/>
        <v>Not open</v>
      </c>
    </row>
    <row r="2299" spans="1:18" x14ac:dyDescent="0.3">
      <c r="A2299" t="s">
        <v>2550</v>
      </c>
      <c r="B2299" t="s">
        <v>220</v>
      </c>
      <c r="C2299" t="s">
        <v>560</v>
      </c>
      <c r="D2299" s="1">
        <v>45574</v>
      </c>
      <c r="E2299" s="1">
        <v>45664</v>
      </c>
      <c r="F2299" t="s">
        <v>31</v>
      </c>
      <c r="G2299">
        <v>123706.81</v>
      </c>
      <c r="H2299" s="1">
        <v>45704</v>
      </c>
      <c r="I2299" t="s">
        <v>555</v>
      </c>
      <c r="J2299" t="s">
        <v>556</v>
      </c>
      <c r="L2299">
        <v>123706.81</v>
      </c>
      <c r="M2299">
        <f>IF(F2299="INR",1,INDEX('rates'!$B$2:$C$522,MATCH(D2299,'rates'!$A$2:$A$522,1),MATCH(F2299&amp;"/INR",'rates'!$B$1:$C$1,0)))</f>
        <v>91.911699999999996</v>
      </c>
      <c r="N2299">
        <f t="shared" si="185"/>
        <v>11370103.208676999</v>
      </c>
      <c r="O2299">
        <f t="shared" si="186"/>
        <v>0</v>
      </c>
      <c r="P2299">
        <f t="shared" si="187"/>
        <v>0</v>
      </c>
      <c r="Q2299">
        <f t="shared" si="189"/>
        <v>40</v>
      </c>
      <c r="R2299" t="str">
        <f t="shared" si="188"/>
        <v>Not open</v>
      </c>
    </row>
    <row r="2300" spans="1:18" x14ac:dyDescent="0.3">
      <c r="A2300" t="s">
        <v>2551</v>
      </c>
      <c r="B2300" t="s">
        <v>364</v>
      </c>
      <c r="C2300" t="s">
        <v>558</v>
      </c>
      <c r="D2300" s="1">
        <v>45574</v>
      </c>
      <c r="E2300" s="1">
        <v>45604</v>
      </c>
      <c r="F2300" t="s">
        <v>13</v>
      </c>
      <c r="G2300">
        <v>20605210</v>
      </c>
      <c r="H2300" s="1">
        <v>45617</v>
      </c>
      <c r="I2300" t="s">
        <v>555</v>
      </c>
      <c r="J2300" t="s">
        <v>556</v>
      </c>
      <c r="L2300">
        <v>20605210</v>
      </c>
      <c r="M2300">
        <f>IF(F2300="INR",1,INDEX('rates'!$B$2:$C$522,MATCH(D2300,'rates'!$A$2:$A$522,1),MATCH(F2300&amp;"/INR",'rates'!$B$1:$C$1,0)))</f>
        <v>1</v>
      </c>
      <c r="N2300">
        <f t="shared" si="185"/>
        <v>20605210</v>
      </c>
      <c r="O2300">
        <f t="shared" si="186"/>
        <v>0</v>
      </c>
      <c r="P2300">
        <f t="shared" si="187"/>
        <v>0</v>
      </c>
      <c r="Q2300">
        <f t="shared" si="189"/>
        <v>13</v>
      </c>
      <c r="R2300" t="str">
        <f t="shared" si="188"/>
        <v>Not open</v>
      </c>
    </row>
    <row r="2301" spans="1:18" x14ac:dyDescent="0.3">
      <c r="A2301" t="s">
        <v>2552</v>
      </c>
      <c r="B2301" t="s">
        <v>436</v>
      </c>
      <c r="C2301" t="s">
        <v>566</v>
      </c>
      <c r="D2301" s="1">
        <v>45574</v>
      </c>
      <c r="E2301" s="1">
        <v>45619</v>
      </c>
      <c r="F2301" t="s">
        <v>36</v>
      </c>
      <c r="G2301">
        <v>76065.240000000005</v>
      </c>
      <c r="H2301" s="1">
        <v>45664</v>
      </c>
      <c r="I2301" t="s">
        <v>555</v>
      </c>
      <c r="J2301" t="s">
        <v>556</v>
      </c>
      <c r="L2301">
        <v>76065.240000000005</v>
      </c>
      <c r="M2301">
        <f>IF(F2301="INR",1,INDEX('rates'!$B$2:$C$522,MATCH(D2301,'rates'!$A$2:$A$522,1),MATCH(F2301&amp;"/INR",'rates'!$B$1:$C$1,0)))</f>
        <v>83.93</v>
      </c>
      <c r="N2301">
        <f t="shared" si="185"/>
        <v>6384155.5932000009</v>
      </c>
      <c r="O2301">
        <f t="shared" si="186"/>
        <v>0</v>
      </c>
      <c r="P2301">
        <f t="shared" si="187"/>
        <v>0</v>
      </c>
      <c r="Q2301">
        <f t="shared" si="189"/>
        <v>45</v>
      </c>
      <c r="R2301" t="str">
        <f t="shared" si="188"/>
        <v>Not open</v>
      </c>
    </row>
    <row r="2302" spans="1:18" x14ac:dyDescent="0.3">
      <c r="A2302" t="s">
        <v>2553</v>
      </c>
      <c r="B2302" t="s">
        <v>462</v>
      </c>
      <c r="C2302" t="s">
        <v>566</v>
      </c>
      <c r="D2302" s="1">
        <v>45575</v>
      </c>
      <c r="E2302" s="1">
        <v>45620</v>
      </c>
      <c r="F2302" t="s">
        <v>13</v>
      </c>
      <c r="G2302">
        <v>23065209</v>
      </c>
      <c r="H2302" s="1">
        <v>45626</v>
      </c>
      <c r="I2302" t="s">
        <v>555</v>
      </c>
      <c r="J2302" t="s">
        <v>556</v>
      </c>
      <c r="L2302">
        <v>23065209</v>
      </c>
      <c r="M2302">
        <f>IF(F2302="INR",1,INDEX('rates'!$B$2:$C$522,MATCH(D2302,'rates'!$A$2:$A$522,1),MATCH(F2302&amp;"/INR",'rates'!$B$1:$C$1,0)))</f>
        <v>1</v>
      </c>
      <c r="N2302">
        <f t="shared" si="185"/>
        <v>23065209</v>
      </c>
      <c r="O2302">
        <f t="shared" si="186"/>
        <v>0</v>
      </c>
      <c r="P2302">
        <f t="shared" si="187"/>
        <v>0</v>
      </c>
      <c r="Q2302">
        <f t="shared" si="189"/>
        <v>6</v>
      </c>
      <c r="R2302" t="str">
        <f t="shared" si="188"/>
        <v>Not open</v>
      </c>
    </row>
    <row r="2303" spans="1:18" x14ac:dyDescent="0.3">
      <c r="A2303" t="s">
        <v>2554</v>
      </c>
      <c r="B2303" t="s">
        <v>468</v>
      </c>
      <c r="C2303" t="s">
        <v>554</v>
      </c>
      <c r="D2303" s="1">
        <v>45575</v>
      </c>
      <c r="E2303" s="1">
        <v>45605</v>
      </c>
      <c r="F2303" t="s">
        <v>13</v>
      </c>
      <c r="G2303">
        <v>5090956</v>
      </c>
      <c r="H2303" s="1">
        <v>45606</v>
      </c>
      <c r="I2303" t="s">
        <v>555</v>
      </c>
      <c r="J2303" t="s">
        <v>556</v>
      </c>
      <c r="L2303">
        <v>5090956</v>
      </c>
      <c r="M2303">
        <f>IF(F2303="INR",1,INDEX('rates'!$B$2:$C$522,MATCH(D2303,'rates'!$A$2:$A$522,1),MATCH(F2303&amp;"/INR",'rates'!$B$1:$C$1,0)))</f>
        <v>1</v>
      </c>
      <c r="N2303">
        <f t="shared" si="185"/>
        <v>5090956</v>
      </c>
      <c r="O2303">
        <f t="shared" si="186"/>
        <v>0</v>
      </c>
      <c r="P2303">
        <f t="shared" si="187"/>
        <v>0</v>
      </c>
      <c r="Q2303">
        <f t="shared" si="189"/>
        <v>1</v>
      </c>
      <c r="R2303" t="str">
        <f t="shared" si="188"/>
        <v>Not open</v>
      </c>
    </row>
    <row r="2304" spans="1:18" x14ac:dyDescent="0.3">
      <c r="A2304" t="s">
        <v>2555</v>
      </c>
      <c r="B2304" t="s">
        <v>19</v>
      </c>
      <c r="C2304" t="s">
        <v>554</v>
      </c>
      <c r="D2304" s="1">
        <v>45576</v>
      </c>
      <c r="E2304" s="1">
        <v>45621</v>
      </c>
      <c r="F2304" t="s">
        <v>13</v>
      </c>
      <c r="G2304">
        <v>6197116</v>
      </c>
      <c r="H2304" s="1">
        <v>45654</v>
      </c>
      <c r="I2304" t="s">
        <v>555</v>
      </c>
      <c r="J2304" t="s">
        <v>556</v>
      </c>
      <c r="L2304">
        <v>6197116</v>
      </c>
      <c r="M2304">
        <f>IF(F2304="INR",1,INDEX('rates'!$B$2:$C$522,MATCH(D2304,'rates'!$A$2:$A$522,1),MATCH(F2304&amp;"/INR",'rates'!$B$1:$C$1,0)))</f>
        <v>1</v>
      </c>
      <c r="N2304">
        <f t="shared" si="185"/>
        <v>6197116</v>
      </c>
      <c r="O2304">
        <f t="shared" si="186"/>
        <v>0</v>
      </c>
      <c r="P2304">
        <f t="shared" si="187"/>
        <v>0</v>
      </c>
      <c r="Q2304">
        <f t="shared" si="189"/>
        <v>33</v>
      </c>
      <c r="R2304" t="str">
        <f t="shared" si="188"/>
        <v>Not open</v>
      </c>
    </row>
    <row r="2305" spans="1:18" x14ac:dyDescent="0.3">
      <c r="A2305" t="s">
        <v>2556</v>
      </c>
      <c r="B2305" t="s">
        <v>170</v>
      </c>
      <c r="C2305" t="s">
        <v>558</v>
      </c>
      <c r="D2305" s="1">
        <v>45576</v>
      </c>
      <c r="E2305" s="1">
        <v>45606</v>
      </c>
      <c r="F2305" t="s">
        <v>13</v>
      </c>
      <c r="G2305">
        <v>8154934</v>
      </c>
      <c r="H2305" s="1">
        <v>45597</v>
      </c>
      <c r="I2305" t="s">
        <v>555</v>
      </c>
      <c r="J2305" t="s">
        <v>556</v>
      </c>
      <c r="L2305">
        <v>8154934</v>
      </c>
      <c r="M2305">
        <f>IF(F2305="INR",1,INDEX('rates'!$B$2:$C$522,MATCH(D2305,'rates'!$A$2:$A$522,1),MATCH(F2305&amp;"/INR",'rates'!$B$1:$C$1,0)))</f>
        <v>1</v>
      </c>
      <c r="N2305">
        <f t="shared" si="185"/>
        <v>8154934</v>
      </c>
      <c r="O2305">
        <f t="shared" si="186"/>
        <v>0</v>
      </c>
      <c r="P2305">
        <f t="shared" si="187"/>
        <v>0</v>
      </c>
      <c r="Q2305">
        <f t="shared" si="189"/>
        <v>-9</v>
      </c>
      <c r="R2305" t="str">
        <f t="shared" si="188"/>
        <v>Not open</v>
      </c>
    </row>
    <row r="2306" spans="1:18" x14ac:dyDescent="0.3">
      <c r="A2306" t="s">
        <v>2557</v>
      </c>
      <c r="B2306" t="s">
        <v>186</v>
      </c>
      <c r="C2306" t="s">
        <v>558</v>
      </c>
      <c r="D2306" s="1">
        <v>45576</v>
      </c>
      <c r="E2306" s="1">
        <v>45606</v>
      </c>
      <c r="F2306" t="s">
        <v>36</v>
      </c>
      <c r="G2306">
        <v>136175.17000000001</v>
      </c>
      <c r="H2306" s="1">
        <v>45633</v>
      </c>
      <c r="I2306" t="s">
        <v>555</v>
      </c>
      <c r="J2306" t="s">
        <v>556</v>
      </c>
      <c r="L2306">
        <v>136175.17000000001</v>
      </c>
      <c r="M2306">
        <f>IF(F2306="INR",1,INDEX('rates'!$B$2:$C$522,MATCH(D2306,'rates'!$A$2:$A$522,1),MATCH(F2306&amp;"/INR",'rates'!$B$1:$C$1,0)))</f>
        <v>84.08</v>
      </c>
      <c r="N2306">
        <f t="shared" ref="N2306:N2369" si="190">G2306*M2306</f>
        <v>11449608.2936</v>
      </c>
      <c r="O2306">
        <f t="shared" ref="O2306:O2369" si="191">IF(OR(I2306="OPEN",I2306="PARTIALLY PAID"),(G2306-L2306)*M2306,0)</f>
        <v>0</v>
      </c>
      <c r="P2306">
        <f t="shared" ref="P2306:P2369" si="192">IF(O2306&gt;0,MAX(0,DATE(2025,3,31)-E2306),0)</f>
        <v>0</v>
      </c>
      <c r="Q2306">
        <f t="shared" si="189"/>
        <v>27</v>
      </c>
      <c r="R2306" t="str">
        <f t="shared" ref="R2306:R2369" si="193">IF(O2306=0,"Not open",IF(P2306=0,"Not yet due",IF(P2306&lt;=30,"1-30",IF(P2306&lt;=60,"31-60",IF(P2306&lt;=90,"61-90","90+")))))</f>
        <v>Not open</v>
      </c>
    </row>
    <row r="2307" spans="1:18" x14ac:dyDescent="0.3">
      <c r="A2307" t="s">
        <v>2559</v>
      </c>
      <c r="B2307" t="s">
        <v>286</v>
      </c>
      <c r="C2307" t="s">
        <v>558</v>
      </c>
      <c r="D2307" s="1">
        <v>45576</v>
      </c>
      <c r="E2307" s="1">
        <v>45636</v>
      </c>
      <c r="F2307" t="s">
        <v>36</v>
      </c>
      <c r="G2307">
        <v>254429.53</v>
      </c>
      <c r="H2307" s="1">
        <v>45671</v>
      </c>
      <c r="I2307" t="s">
        <v>555</v>
      </c>
      <c r="J2307" t="s">
        <v>556</v>
      </c>
      <c r="L2307">
        <v>254429.53</v>
      </c>
      <c r="M2307">
        <f>IF(F2307="INR",1,INDEX('rates'!$B$2:$C$522,MATCH(D2307,'rates'!$A$2:$A$522,1),MATCH(F2307&amp;"/INR",'rates'!$B$1:$C$1,0)))</f>
        <v>84.08</v>
      </c>
      <c r="N2307">
        <f t="shared" si="190"/>
        <v>21392434.882399999</v>
      </c>
      <c r="O2307">
        <f t="shared" si="191"/>
        <v>0</v>
      </c>
      <c r="P2307">
        <f t="shared" si="192"/>
        <v>0</v>
      </c>
      <c r="Q2307">
        <f t="shared" si="189"/>
        <v>35</v>
      </c>
      <c r="R2307" t="str">
        <f t="shared" si="193"/>
        <v>Not open</v>
      </c>
    </row>
    <row r="2308" spans="1:18" x14ac:dyDescent="0.3">
      <c r="A2308" t="s">
        <v>2560</v>
      </c>
      <c r="B2308" t="s">
        <v>394</v>
      </c>
      <c r="C2308" t="s">
        <v>575</v>
      </c>
      <c r="D2308" s="1">
        <v>45576</v>
      </c>
      <c r="E2308" s="1">
        <v>45636</v>
      </c>
      <c r="F2308" t="s">
        <v>31</v>
      </c>
      <c r="G2308">
        <v>26648.06</v>
      </c>
      <c r="H2308" s="1">
        <v>45637</v>
      </c>
      <c r="I2308" t="s">
        <v>555</v>
      </c>
      <c r="J2308" t="s">
        <v>556</v>
      </c>
      <c r="L2308">
        <v>26648.06</v>
      </c>
      <c r="M2308">
        <f>IF(F2308="INR",1,INDEX('rates'!$B$2:$C$522,MATCH(D2308,'rates'!$A$2:$A$522,1),MATCH(F2308&amp;"/INR",'rates'!$B$1:$C$1,0)))</f>
        <v>92.000299999999996</v>
      </c>
      <c r="N2308">
        <f t="shared" si="190"/>
        <v>2451629.5144179999</v>
      </c>
      <c r="O2308">
        <f t="shared" si="191"/>
        <v>0</v>
      </c>
      <c r="P2308">
        <f t="shared" si="192"/>
        <v>0</v>
      </c>
      <c r="Q2308">
        <f t="shared" si="189"/>
        <v>1</v>
      </c>
      <c r="R2308" t="str">
        <f t="shared" si="193"/>
        <v>Not open</v>
      </c>
    </row>
    <row r="2309" spans="1:18" x14ac:dyDescent="0.3">
      <c r="A2309" t="s">
        <v>2561</v>
      </c>
      <c r="B2309" t="s">
        <v>396</v>
      </c>
      <c r="C2309" t="s">
        <v>575</v>
      </c>
      <c r="D2309" s="1">
        <v>45576</v>
      </c>
      <c r="E2309" s="1">
        <v>45636</v>
      </c>
      <c r="F2309" t="s">
        <v>13</v>
      </c>
      <c r="G2309">
        <v>4357484</v>
      </c>
      <c r="H2309" s="1">
        <v>45658</v>
      </c>
      <c r="I2309" t="s">
        <v>555</v>
      </c>
      <c r="J2309" t="s">
        <v>556</v>
      </c>
      <c r="L2309">
        <v>4357484</v>
      </c>
      <c r="M2309">
        <f>IF(F2309="INR",1,INDEX('rates'!$B$2:$C$522,MATCH(D2309,'rates'!$A$2:$A$522,1),MATCH(F2309&amp;"/INR",'rates'!$B$1:$C$1,0)))</f>
        <v>1</v>
      </c>
      <c r="N2309">
        <f t="shared" si="190"/>
        <v>4357484</v>
      </c>
      <c r="O2309">
        <f t="shared" si="191"/>
        <v>0</v>
      </c>
      <c r="P2309">
        <f t="shared" si="192"/>
        <v>0</v>
      </c>
      <c r="Q2309">
        <f t="shared" si="189"/>
        <v>22</v>
      </c>
      <c r="R2309" t="str">
        <f t="shared" si="193"/>
        <v>Not open</v>
      </c>
    </row>
    <row r="2310" spans="1:18" x14ac:dyDescent="0.3">
      <c r="A2310" t="s">
        <v>2562</v>
      </c>
      <c r="B2310" t="s">
        <v>154</v>
      </c>
      <c r="C2310" t="s">
        <v>566</v>
      </c>
      <c r="D2310" s="1">
        <v>45577</v>
      </c>
      <c r="E2310" s="1">
        <v>45607</v>
      </c>
      <c r="F2310" t="s">
        <v>13</v>
      </c>
      <c r="G2310">
        <v>14791999</v>
      </c>
      <c r="H2310" s="1">
        <v>45601</v>
      </c>
      <c r="I2310" t="s">
        <v>555</v>
      </c>
      <c r="J2310" t="s">
        <v>556</v>
      </c>
      <c r="L2310">
        <v>14791999</v>
      </c>
      <c r="M2310">
        <f>IF(F2310="INR",1,INDEX('rates'!$B$2:$C$522,MATCH(D2310,'rates'!$A$2:$A$522,1),MATCH(F2310&amp;"/INR",'rates'!$B$1:$C$1,0)))</f>
        <v>1</v>
      </c>
      <c r="N2310">
        <f t="shared" si="190"/>
        <v>14791999</v>
      </c>
      <c r="O2310">
        <f t="shared" si="191"/>
        <v>0</v>
      </c>
      <c r="P2310">
        <f t="shared" si="192"/>
        <v>0</v>
      </c>
      <c r="Q2310">
        <f t="shared" si="189"/>
        <v>-6</v>
      </c>
      <c r="R2310" t="str">
        <f t="shared" si="193"/>
        <v>Not open</v>
      </c>
    </row>
    <row r="2311" spans="1:18" x14ac:dyDescent="0.3">
      <c r="A2311" t="s">
        <v>2563</v>
      </c>
      <c r="B2311" t="s">
        <v>464</v>
      </c>
      <c r="C2311" t="s">
        <v>560</v>
      </c>
      <c r="D2311" s="1">
        <v>45577</v>
      </c>
      <c r="E2311" s="1">
        <v>45667</v>
      </c>
      <c r="F2311" t="s">
        <v>13</v>
      </c>
      <c r="G2311">
        <v>19992076</v>
      </c>
      <c r="H2311" s="1">
        <v>45663</v>
      </c>
      <c r="I2311" t="s">
        <v>555</v>
      </c>
      <c r="J2311" t="s">
        <v>556</v>
      </c>
      <c r="L2311">
        <v>19992076</v>
      </c>
      <c r="M2311">
        <f>IF(F2311="INR",1,INDEX('rates'!$B$2:$C$522,MATCH(D2311,'rates'!$A$2:$A$522,1),MATCH(F2311&amp;"/INR",'rates'!$B$1:$C$1,0)))</f>
        <v>1</v>
      </c>
      <c r="N2311">
        <f t="shared" si="190"/>
        <v>19992076</v>
      </c>
      <c r="O2311">
        <f t="shared" si="191"/>
        <v>0</v>
      </c>
      <c r="P2311">
        <f t="shared" si="192"/>
        <v>0</v>
      </c>
      <c r="Q2311">
        <f t="shared" si="189"/>
        <v>-4</v>
      </c>
      <c r="R2311" t="str">
        <f t="shared" si="193"/>
        <v>Not open</v>
      </c>
    </row>
    <row r="2312" spans="1:18" x14ac:dyDescent="0.3">
      <c r="A2312" t="s">
        <v>2565</v>
      </c>
      <c r="B2312" t="s">
        <v>378</v>
      </c>
      <c r="C2312" t="s">
        <v>566</v>
      </c>
      <c r="D2312" s="1">
        <v>45579</v>
      </c>
      <c r="E2312" s="1">
        <v>45624</v>
      </c>
      <c r="F2312" t="s">
        <v>31</v>
      </c>
      <c r="G2312">
        <v>78172.070000000007</v>
      </c>
      <c r="H2312" s="1">
        <v>45630</v>
      </c>
      <c r="I2312" t="s">
        <v>555</v>
      </c>
      <c r="J2312" t="s">
        <v>573</v>
      </c>
      <c r="K2312">
        <v>92.138300000000001</v>
      </c>
      <c r="L2312">
        <v>78172.070000000007</v>
      </c>
      <c r="M2312">
        <f>IF(F2312="INR",1,INDEX('rates'!$B$2:$C$522,MATCH(D2312,'rates'!$A$2:$A$522,1),MATCH(F2312&amp;"/INR",'rates'!$B$1:$C$1,0)))</f>
        <v>92.000299999999996</v>
      </c>
      <c r="N2312">
        <f t="shared" si="190"/>
        <v>7191853.8916210001</v>
      </c>
      <c r="O2312">
        <f t="shared" si="191"/>
        <v>0</v>
      </c>
      <c r="P2312">
        <f t="shared" si="192"/>
        <v>0</v>
      </c>
      <c r="Q2312">
        <f t="shared" si="189"/>
        <v>6</v>
      </c>
      <c r="R2312" t="str">
        <f t="shared" si="193"/>
        <v>Not open</v>
      </c>
    </row>
    <row r="2313" spans="1:18" x14ac:dyDescent="0.3">
      <c r="A2313" t="s">
        <v>2566</v>
      </c>
      <c r="B2313" t="s">
        <v>160</v>
      </c>
      <c r="C2313" t="s">
        <v>554</v>
      </c>
      <c r="D2313" s="1">
        <v>45580</v>
      </c>
      <c r="E2313" s="1">
        <v>45625</v>
      </c>
      <c r="F2313" t="s">
        <v>13</v>
      </c>
      <c r="G2313">
        <v>7055035</v>
      </c>
      <c r="H2313" s="1">
        <v>45620</v>
      </c>
      <c r="I2313" t="s">
        <v>555</v>
      </c>
      <c r="J2313" t="s">
        <v>556</v>
      </c>
      <c r="L2313">
        <v>7055035</v>
      </c>
      <c r="M2313">
        <f>IF(F2313="INR",1,INDEX('rates'!$B$2:$C$522,MATCH(D2313,'rates'!$A$2:$A$522,1),MATCH(F2313&amp;"/INR",'rates'!$B$1:$C$1,0)))</f>
        <v>1</v>
      </c>
      <c r="N2313">
        <f t="shared" si="190"/>
        <v>7055035</v>
      </c>
      <c r="O2313">
        <f t="shared" si="191"/>
        <v>0</v>
      </c>
      <c r="P2313">
        <f t="shared" si="192"/>
        <v>0</v>
      </c>
      <c r="Q2313">
        <f t="shared" si="189"/>
        <v>-5</v>
      </c>
      <c r="R2313" t="str">
        <f t="shared" si="193"/>
        <v>Not open</v>
      </c>
    </row>
    <row r="2314" spans="1:18" x14ac:dyDescent="0.3">
      <c r="A2314" t="s">
        <v>2567</v>
      </c>
      <c r="B2314" t="s">
        <v>186</v>
      </c>
      <c r="C2314" t="s">
        <v>558</v>
      </c>
      <c r="D2314" s="1">
        <v>45580</v>
      </c>
      <c r="E2314" s="1">
        <v>45610</v>
      </c>
      <c r="F2314" t="s">
        <v>36</v>
      </c>
      <c r="G2314">
        <v>80851.759999999995</v>
      </c>
      <c r="H2314" s="1">
        <v>45621</v>
      </c>
      <c r="I2314" t="s">
        <v>555</v>
      </c>
      <c r="J2314" t="s">
        <v>556</v>
      </c>
      <c r="L2314">
        <v>80851.759999999995</v>
      </c>
      <c r="M2314">
        <f>IF(F2314="INR",1,INDEX('rates'!$B$2:$C$522,MATCH(D2314,'rates'!$A$2:$A$522,1),MATCH(F2314&amp;"/INR",'rates'!$B$1:$C$1,0)))</f>
        <v>84.04</v>
      </c>
      <c r="N2314">
        <f t="shared" si="190"/>
        <v>6794781.9104000004</v>
      </c>
      <c r="O2314">
        <f t="shared" si="191"/>
        <v>0</v>
      </c>
      <c r="P2314">
        <f t="shared" si="192"/>
        <v>0</v>
      </c>
      <c r="Q2314">
        <f t="shared" si="189"/>
        <v>11</v>
      </c>
      <c r="R2314" t="str">
        <f t="shared" si="193"/>
        <v>Not open</v>
      </c>
    </row>
    <row r="2315" spans="1:18" x14ac:dyDescent="0.3">
      <c r="A2315" t="s">
        <v>2568</v>
      </c>
      <c r="B2315" t="s">
        <v>240</v>
      </c>
      <c r="C2315" t="s">
        <v>575</v>
      </c>
      <c r="D2315" s="1">
        <v>45580</v>
      </c>
      <c r="E2315" s="1">
        <v>45640</v>
      </c>
      <c r="F2315" t="s">
        <v>36</v>
      </c>
      <c r="G2315">
        <v>52911.94</v>
      </c>
      <c r="H2315" s="1">
        <v>45650</v>
      </c>
      <c r="I2315" t="s">
        <v>555</v>
      </c>
      <c r="J2315" t="s">
        <v>556</v>
      </c>
      <c r="L2315">
        <v>52911.94</v>
      </c>
      <c r="M2315">
        <f>IF(F2315="INR",1,INDEX('rates'!$B$2:$C$522,MATCH(D2315,'rates'!$A$2:$A$522,1),MATCH(F2315&amp;"/INR",'rates'!$B$1:$C$1,0)))</f>
        <v>84.04</v>
      </c>
      <c r="N2315">
        <f t="shared" si="190"/>
        <v>4446719.4376000008</v>
      </c>
      <c r="O2315">
        <f t="shared" si="191"/>
        <v>0</v>
      </c>
      <c r="P2315">
        <f t="shared" si="192"/>
        <v>0</v>
      </c>
      <c r="Q2315">
        <f t="shared" si="189"/>
        <v>10</v>
      </c>
      <c r="R2315" t="str">
        <f t="shared" si="193"/>
        <v>Not open</v>
      </c>
    </row>
    <row r="2316" spans="1:18" x14ac:dyDescent="0.3">
      <c r="A2316" t="s">
        <v>2569</v>
      </c>
      <c r="B2316" t="s">
        <v>386</v>
      </c>
      <c r="C2316" t="s">
        <v>575</v>
      </c>
      <c r="D2316" s="1">
        <v>45580</v>
      </c>
      <c r="E2316" s="1">
        <v>45640</v>
      </c>
      <c r="F2316" t="s">
        <v>31</v>
      </c>
      <c r="G2316">
        <v>321265.94</v>
      </c>
      <c r="H2316" s="1">
        <v>45654</v>
      </c>
      <c r="I2316" t="s">
        <v>555</v>
      </c>
      <c r="J2316" t="s">
        <v>556</v>
      </c>
      <c r="L2316">
        <v>321265.94</v>
      </c>
      <c r="M2316">
        <f>IF(F2316="INR",1,INDEX('rates'!$B$2:$C$522,MATCH(D2316,'rates'!$A$2:$A$522,1),MATCH(F2316&amp;"/INR",'rates'!$B$1:$C$1,0)))</f>
        <v>91.595200000000006</v>
      </c>
      <c r="N2316">
        <f t="shared" si="190"/>
        <v>29426418.027488001</v>
      </c>
      <c r="O2316">
        <f t="shared" si="191"/>
        <v>0</v>
      </c>
      <c r="P2316">
        <f t="shared" si="192"/>
        <v>0</v>
      </c>
      <c r="Q2316">
        <f t="shared" si="189"/>
        <v>14</v>
      </c>
      <c r="R2316" t="str">
        <f t="shared" si="193"/>
        <v>Not open</v>
      </c>
    </row>
    <row r="2317" spans="1:18" x14ac:dyDescent="0.3">
      <c r="A2317" t="s">
        <v>2570</v>
      </c>
      <c r="B2317" t="s">
        <v>482</v>
      </c>
      <c r="C2317" t="s">
        <v>558</v>
      </c>
      <c r="D2317" s="1">
        <v>45580</v>
      </c>
      <c r="E2317" s="1">
        <v>45640</v>
      </c>
      <c r="F2317" t="s">
        <v>13</v>
      </c>
      <c r="G2317">
        <v>3121672</v>
      </c>
      <c r="H2317" s="1">
        <v>45696</v>
      </c>
      <c r="I2317" t="s">
        <v>555</v>
      </c>
      <c r="J2317" t="s">
        <v>556</v>
      </c>
      <c r="L2317">
        <v>3121672</v>
      </c>
      <c r="M2317">
        <f>IF(F2317="INR",1,INDEX('rates'!$B$2:$C$522,MATCH(D2317,'rates'!$A$2:$A$522,1),MATCH(F2317&amp;"/INR",'rates'!$B$1:$C$1,0)))</f>
        <v>1</v>
      </c>
      <c r="N2317">
        <f t="shared" si="190"/>
        <v>3121672</v>
      </c>
      <c r="O2317">
        <f t="shared" si="191"/>
        <v>0</v>
      </c>
      <c r="P2317">
        <f t="shared" si="192"/>
        <v>0</v>
      </c>
      <c r="Q2317">
        <f t="shared" si="189"/>
        <v>56</v>
      </c>
      <c r="R2317" t="str">
        <f t="shared" si="193"/>
        <v>Not open</v>
      </c>
    </row>
    <row r="2318" spans="1:18" x14ac:dyDescent="0.3">
      <c r="A2318" t="s">
        <v>2571</v>
      </c>
      <c r="B2318" t="s">
        <v>484</v>
      </c>
      <c r="C2318" t="s">
        <v>560</v>
      </c>
      <c r="D2318" s="1">
        <v>45580</v>
      </c>
      <c r="E2318" s="1">
        <v>45640</v>
      </c>
      <c r="F2318" t="s">
        <v>31</v>
      </c>
      <c r="G2318">
        <v>219328.9</v>
      </c>
      <c r="H2318" s="1">
        <v>45685</v>
      </c>
      <c r="I2318" t="s">
        <v>555</v>
      </c>
      <c r="J2318" t="s">
        <v>556</v>
      </c>
      <c r="L2318">
        <v>219328.9</v>
      </c>
      <c r="M2318">
        <f>IF(F2318="INR",1,INDEX('rates'!$B$2:$C$522,MATCH(D2318,'rates'!$A$2:$A$522,1),MATCH(F2318&amp;"/INR",'rates'!$B$1:$C$1,0)))</f>
        <v>91.595200000000006</v>
      </c>
      <c r="N2318">
        <f t="shared" si="190"/>
        <v>20089474.461279999</v>
      </c>
      <c r="O2318">
        <f t="shared" si="191"/>
        <v>0</v>
      </c>
      <c r="P2318">
        <f t="shared" si="192"/>
        <v>0</v>
      </c>
      <c r="Q2318">
        <f t="shared" si="189"/>
        <v>45</v>
      </c>
      <c r="R2318" t="str">
        <f t="shared" si="193"/>
        <v>Not open</v>
      </c>
    </row>
    <row r="2319" spans="1:18" x14ac:dyDescent="0.3">
      <c r="A2319" t="s">
        <v>2572</v>
      </c>
      <c r="B2319" t="s">
        <v>28</v>
      </c>
      <c r="C2319" t="s">
        <v>566</v>
      </c>
      <c r="D2319" s="1">
        <v>45581</v>
      </c>
      <c r="E2319" s="1">
        <v>45611</v>
      </c>
      <c r="F2319" t="s">
        <v>31</v>
      </c>
      <c r="G2319">
        <v>45818.21</v>
      </c>
      <c r="H2319" s="1">
        <v>45613</v>
      </c>
      <c r="I2319" t="s">
        <v>555</v>
      </c>
      <c r="J2319" t="s">
        <v>573</v>
      </c>
      <c r="K2319">
        <v>91.435400000000001</v>
      </c>
      <c r="L2319">
        <v>45818.21</v>
      </c>
      <c r="M2319">
        <f>IF(F2319="INR",1,INDEX('rates'!$B$2:$C$522,MATCH(D2319,'rates'!$A$2:$A$522,1),MATCH(F2319&amp;"/INR",'rates'!$B$1:$C$1,0)))</f>
        <v>91.344099999999997</v>
      </c>
      <c r="N2319">
        <f t="shared" si="190"/>
        <v>4185223.1560609997</v>
      </c>
      <c r="O2319">
        <f t="shared" si="191"/>
        <v>0</v>
      </c>
      <c r="P2319">
        <f t="shared" si="192"/>
        <v>0</v>
      </c>
      <c r="Q2319">
        <f t="shared" si="189"/>
        <v>2</v>
      </c>
      <c r="R2319" t="str">
        <f t="shared" si="193"/>
        <v>Not open</v>
      </c>
    </row>
    <row r="2320" spans="1:18" x14ac:dyDescent="0.3">
      <c r="A2320" t="s">
        <v>2573</v>
      </c>
      <c r="B2320" t="s">
        <v>75</v>
      </c>
      <c r="C2320" t="s">
        <v>566</v>
      </c>
      <c r="D2320" s="1">
        <v>45581</v>
      </c>
      <c r="E2320" s="1">
        <v>45671</v>
      </c>
      <c r="F2320" t="s">
        <v>36</v>
      </c>
      <c r="G2320">
        <v>33500.78</v>
      </c>
      <c r="H2320" s="1">
        <v>45702</v>
      </c>
      <c r="I2320" t="s">
        <v>555</v>
      </c>
      <c r="J2320" t="s">
        <v>573</v>
      </c>
      <c r="K2320">
        <v>84.43</v>
      </c>
      <c r="L2320">
        <v>33500.78</v>
      </c>
      <c r="M2320">
        <f>IF(F2320="INR",1,INDEX('rates'!$B$2:$C$522,MATCH(D2320,'rates'!$A$2:$A$522,1),MATCH(F2320&amp;"/INR",'rates'!$B$1:$C$1,0)))</f>
        <v>84.01</v>
      </c>
      <c r="N2320">
        <f t="shared" si="190"/>
        <v>2814400.5278000003</v>
      </c>
      <c r="O2320">
        <f t="shared" si="191"/>
        <v>0</v>
      </c>
      <c r="P2320">
        <f t="shared" si="192"/>
        <v>0</v>
      </c>
      <c r="Q2320">
        <f t="shared" si="189"/>
        <v>31</v>
      </c>
      <c r="R2320" t="str">
        <f t="shared" si="193"/>
        <v>Not open</v>
      </c>
    </row>
    <row r="2321" spans="1:18" x14ac:dyDescent="0.3">
      <c r="A2321" t="s">
        <v>2574</v>
      </c>
      <c r="B2321" t="s">
        <v>154</v>
      </c>
      <c r="C2321" t="s">
        <v>566</v>
      </c>
      <c r="D2321" s="1">
        <v>45581</v>
      </c>
      <c r="E2321" s="1">
        <v>45611</v>
      </c>
      <c r="F2321" t="s">
        <v>13</v>
      </c>
      <c r="G2321">
        <v>10656040</v>
      </c>
      <c r="H2321" s="1">
        <v>45612</v>
      </c>
      <c r="I2321" t="s">
        <v>555</v>
      </c>
      <c r="J2321" t="s">
        <v>556</v>
      </c>
      <c r="L2321">
        <v>10656040</v>
      </c>
      <c r="M2321">
        <f>IF(F2321="INR",1,INDEX('rates'!$B$2:$C$522,MATCH(D2321,'rates'!$A$2:$A$522,1),MATCH(F2321&amp;"/INR",'rates'!$B$1:$C$1,0)))</f>
        <v>1</v>
      </c>
      <c r="N2321">
        <f t="shared" si="190"/>
        <v>10656040</v>
      </c>
      <c r="O2321">
        <f t="shared" si="191"/>
        <v>0</v>
      </c>
      <c r="P2321">
        <f t="shared" si="192"/>
        <v>0</v>
      </c>
      <c r="Q2321">
        <f t="shared" si="189"/>
        <v>1</v>
      </c>
      <c r="R2321" t="str">
        <f t="shared" si="193"/>
        <v>Not open</v>
      </c>
    </row>
    <row r="2322" spans="1:18" x14ac:dyDescent="0.3">
      <c r="A2322" t="s">
        <v>2575</v>
      </c>
      <c r="B2322" t="s">
        <v>156</v>
      </c>
      <c r="C2322" t="s">
        <v>566</v>
      </c>
      <c r="D2322" s="1">
        <v>45581</v>
      </c>
      <c r="E2322" s="1">
        <v>45611</v>
      </c>
      <c r="F2322" t="s">
        <v>13</v>
      </c>
      <c r="G2322">
        <v>12446887</v>
      </c>
      <c r="H2322" s="1">
        <v>45616</v>
      </c>
      <c r="I2322" t="s">
        <v>555</v>
      </c>
      <c r="J2322" t="s">
        <v>556</v>
      </c>
      <c r="L2322">
        <v>12446887</v>
      </c>
      <c r="M2322">
        <f>IF(F2322="INR",1,INDEX('rates'!$B$2:$C$522,MATCH(D2322,'rates'!$A$2:$A$522,1),MATCH(F2322&amp;"/INR",'rates'!$B$1:$C$1,0)))</f>
        <v>1</v>
      </c>
      <c r="N2322">
        <f t="shared" si="190"/>
        <v>12446887</v>
      </c>
      <c r="O2322">
        <f t="shared" si="191"/>
        <v>0</v>
      </c>
      <c r="P2322">
        <f t="shared" si="192"/>
        <v>0</v>
      </c>
      <c r="Q2322">
        <f t="shared" si="189"/>
        <v>5</v>
      </c>
      <c r="R2322" t="str">
        <f t="shared" si="193"/>
        <v>Not open</v>
      </c>
    </row>
    <row r="2323" spans="1:18" x14ac:dyDescent="0.3">
      <c r="A2323" t="s">
        <v>2576</v>
      </c>
      <c r="B2323" t="s">
        <v>184</v>
      </c>
      <c r="C2323" t="s">
        <v>575</v>
      </c>
      <c r="D2323" s="1">
        <v>45581</v>
      </c>
      <c r="E2323" s="1">
        <v>45671</v>
      </c>
      <c r="F2323" t="s">
        <v>31</v>
      </c>
      <c r="G2323">
        <v>13481.39</v>
      </c>
      <c r="H2323" s="1">
        <v>45691</v>
      </c>
      <c r="I2323" t="s">
        <v>555</v>
      </c>
      <c r="J2323" t="s">
        <v>573</v>
      </c>
      <c r="K2323">
        <v>91.618099999999998</v>
      </c>
      <c r="L2323">
        <v>13481.39</v>
      </c>
      <c r="M2323">
        <f>IF(F2323="INR",1,INDEX('rates'!$B$2:$C$522,MATCH(D2323,'rates'!$A$2:$A$522,1),MATCH(F2323&amp;"/INR",'rates'!$B$1:$C$1,0)))</f>
        <v>91.344099999999997</v>
      </c>
      <c r="N2323">
        <f t="shared" si="190"/>
        <v>1231445.4362989999</v>
      </c>
      <c r="O2323">
        <f t="shared" si="191"/>
        <v>0</v>
      </c>
      <c r="P2323">
        <f t="shared" si="192"/>
        <v>0</v>
      </c>
      <c r="Q2323">
        <f t="shared" si="189"/>
        <v>20</v>
      </c>
      <c r="R2323" t="str">
        <f t="shared" si="193"/>
        <v>Not open</v>
      </c>
    </row>
    <row r="2324" spans="1:18" x14ac:dyDescent="0.3">
      <c r="A2324" t="s">
        <v>2577</v>
      </c>
      <c r="B2324" t="s">
        <v>436</v>
      </c>
      <c r="C2324" t="s">
        <v>566</v>
      </c>
      <c r="D2324" s="1">
        <v>45581</v>
      </c>
      <c r="E2324" s="1">
        <v>45626</v>
      </c>
      <c r="F2324" t="s">
        <v>36</v>
      </c>
      <c r="G2324">
        <v>84848.23</v>
      </c>
      <c r="H2324" s="1">
        <v>45656</v>
      </c>
      <c r="I2324" t="s">
        <v>555</v>
      </c>
      <c r="J2324" t="s">
        <v>556</v>
      </c>
      <c r="L2324">
        <v>84848.23</v>
      </c>
      <c r="M2324">
        <f>IF(F2324="INR",1,INDEX('rates'!$B$2:$C$522,MATCH(D2324,'rates'!$A$2:$A$522,1),MATCH(F2324&amp;"/INR",'rates'!$B$1:$C$1,0)))</f>
        <v>84.01</v>
      </c>
      <c r="N2324">
        <f t="shared" si="190"/>
        <v>7128099.8022999996</v>
      </c>
      <c r="O2324">
        <f t="shared" si="191"/>
        <v>0</v>
      </c>
      <c r="P2324">
        <f t="shared" si="192"/>
        <v>0</v>
      </c>
      <c r="Q2324">
        <f t="shared" si="189"/>
        <v>30</v>
      </c>
      <c r="R2324" t="str">
        <f t="shared" si="193"/>
        <v>Not open</v>
      </c>
    </row>
    <row r="2325" spans="1:18" x14ac:dyDescent="0.3">
      <c r="A2325" t="s">
        <v>2579</v>
      </c>
      <c r="B2325" t="s">
        <v>404</v>
      </c>
      <c r="C2325" t="s">
        <v>554</v>
      </c>
      <c r="D2325" s="1">
        <v>45582</v>
      </c>
      <c r="E2325" s="1">
        <v>45642</v>
      </c>
      <c r="F2325" t="s">
        <v>13</v>
      </c>
      <c r="G2325">
        <v>6467274</v>
      </c>
      <c r="H2325" s="1">
        <v>45649</v>
      </c>
      <c r="I2325" t="s">
        <v>555</v>
      </c>
      <c r="J2325" t="s">
        <v>556</v>
      </c>
      <c r="L2325">
        <v>6467274</v>
      </c>
      <c r="M2325">
        <f>IF(F2325="INR",1,INDEX('rates'!$B$2:$C$522,MATCH(D2325,'rates'!$A$2:$A$522,1),MATCH(F2325&amp;"/INR",'rates'!$B$1:$C$1,0)))</f>
        <v>1</v>
      </c>
      <c r="N2325">
        <f t="shared" si="190"/>
        <v>6467274</v>
      </c>
      <c r="O2325">
        <f t="shared" si="191"/>
        <v>0</v>
      </c>
      <c r="P2325">
        <f t="shared" si="192"/>
        <v>0</v>
      </c>
      <c r="Q2325">
        <f t="shared" si="189"/>
        <v>7</v>
      </c>
      <c r="R2325" t="str">
        <f t="shared" si="193"/>
        <v>Not open</v>
      </c>
    </row>
    <row r="2326" spans="1:18" x14ac:dyDescent="0.3">
      <c r="A2326" t="s">
        <v>2580</v>
      </c>
      <c r="B2326" t="s">
        <v>262</v>
      </c>
      <c r="C2326" t="s">
        <v>566</v>
      </c>
      <c r="D2326" s="1">
        <v>45583</v>
      </c>
      <c r="E2326" s="1">
        <v>45673</v>
      </c>
      <c r="F2326" t="s">
        <v>31</v>
      </c>
      <c r="G2326">
        <v>253436.76</v>
      </c>
      <c r="H2326" s="1">
        <v>45701</v>
      </c>
      <c r="I2326" t="s">
        <v>555</v>
      </c>
      <c r="J2326" t="s">
        <v>556</v>
      </c>
      <c r="L2326">
        <v>253436.76</v>
      </c>
      <c r="M2326">
        <f>IF(F2326="INR",1,INDEX('rates'!$B$2:$C$522,MATCH(D2326,'rates'!$A$2:$A$522,1),MATCH(F2326&amp;"/INR",'rates'!$B$1:$C$1,0)))</f>
        <v>91.206199999999995</v>
      </c>
      <c r="N2326">
        <f t="shared" si="190"/>
        <v>23115003.819912001</v>
      </c>
      <c r="O2326">
        <f t="shared" si="191"/>
        <v>0</v>
      </c>
      <c r="P2326">
        <f t="shared" si="192"/>
        <v>0</v>
      </c>
      <c r="Q2326">
        <f t="shared" si="189"/>
        <v>28</v>
      </c>
      <c r="R2326" t="str">
        <f t="shared" si="193"/>
        <v>Not open</v>
      </c>
    </row>
    <row r="2327" spans="1:18" x14ac:dyDescent="0.3">
      <c r="A2327" t="s">
        <v>2581</v>
      </c>
      <c r="B2327" t="s">
        <v>382</v>
      </c>
      <c r="C2327" t="s">
        <v>566</v>
      </c>
      <c r="D2327" s="1">
        <v>45583</v>
      </c>
      <c r="E2327" s="1">
        <v>45673</v>
      </c>
      <c r="F2327" t="s">
        <v>36</v>
      </c>
      <c r="G2327">
        <v>323217.62</v>
      </c>
      <c r="H2327" s="1">
        <v>45685</v>
      </c>
      <c r="I2327" t="s">
        <v>555</v>
      </c>
      <c r="J2327" t="s">
        <v>573</v>
      </c>
      <c r="K2327">
        <v>84.450100000000006</v>
      </c>
      <c r="L2327">
        <v>323217.62</v>
      </c>
      <c r="M2327">
        <f>IF(F2327="INR",1,INDEX('rates'!$B$2:$C$522,MATCH(D2327,'rates'!$A$2:$A$522,1),MATCH(F2327&amp;"/INR",'rates'!$B$1:$C$1,0)))</f>
        <v>84.03</v>
      </c>
      <c r="N2327">
        <f t="shared" si="190"/>
        <v>27159976.608600002</v>
      </c>
      <c r="O2327">
        <f t="shared" si="191"/>
        <v>0</v>
      </c>
      <c r="P2327">
        <f t="shared" si="192"/>
        <v>0</v>
      </c>
      <c r="Q2327">
        <f t="shared" si="189"/>
        <v>12</v>
      </c>
      <c r="R2327" t="str">
        <f t="shared" si="193"/>
        <v>Not open</v>
      </c>
    </row>
    <row r="2328" spans="1:18" x14ac:dyDescent="0.3">
      <c r="A2328" t="s">
        <v>2582</v>
      </c>
      <c r="B2328" t="s">
        <v>444</v>
      </c>
      <c r="C2328" t="s">
        <v>575</v>
      </c>
      <c r="D2328" s="1">
        <v>45583</v>
      </c>
      <c r="E2328" s="1">
        <v>45628</v>
      </c>
      <c r="F2328" t="s">
        <v>36</v>
      </c>
      <c r="G2328">
        <v>186501.27</v>
      </c>
      <c r="H2328" s="1">
        <v>45641</v>
      </c>
      <c r="I2328" t="s">
        <v>555</v>
      </c>
      <c r="J2328" t="s">
        <v>556</v>
      </c>
      <c r="L2328">
        <v>186501.27</v>
      </c>
      <c r="M2328">
        <f>IF(F2328="INR",1,INDEX('rates'!$B$2:$C$522,MATCH(D2328,'rates'!$A$2:$A$522,1),MATCH(F2328&amp;"/INR",'rates'!$B$1:$C$1,0)))</f>
        <v>84.03</v>
      </c>
      <c r="N2328">
        <f t="shared" si="190"/>
        <v>15671701.7181</v>
      </c>
      <c r="O2328">
        <f t="shared" si="191"/>
        <v>0</v>
      </c>
      <c r="P2328">
        <f t="shared" si="192"/>
        <v>0</v>
      </c>
      <c r="Q2328">
        <f t="shared" si="189"/>
        <v>13</v>
      </c>
      <c r="R2328" t="str">
        <f t="shared" si="193"/>
        <v>Not open</v>
      </c>
    </row>
    <row r="2329" spans="1:18" x14ac:dyDescent="0.3">
      <c r="A2329" t="s">
        <v>2584</v>
      </c>
      <c r="B2329" t="s">
        <v>81</v>
      </c>
      <c r="C2329" t="s">
        <v>575</v>
      </c>
      <c r="D2329" s="1">
        <v>45584</v>
      </c>
      <c r="E2329" s="1">
        <v>45614</v>
      </c>
      <c r="F2329" t="s">
        <v>13</v>
      </c>
      <c r="G2329">
        <v>3624627</v>
      </c>
      <c r="H2329" s="1">
        <v>45616</v>
      </c>
      <c r="I2329" t="s">
        <v>555</v>
      </c>
      <c r="J2329" t="s">
        <v>556</v>
      </c>
      <c r="L2329">
        <v>3624627</v>
      </c>
      <c r="M2329">
        <f>IF(F2329="INR",1,INDEX('rates'!$B$2:$C$522,MATCH(D2329,'rates'!$A$2:$A$522,1),MATCH(F2329&amp;"/INR",'rates'!$B$1:$C$1,0)))</f>
        <v>1</v>
      </c>
      <c r="N2329">
        <f t="shared" si="190"/>
        <v>3624627</v>
      </c>
      <c r="O2329">
        <f t="shared" si="191"/>
        <v>0</v>
      </c>
      <c r="P2329">
        <f t="shared" si="192"/>
        <v>0</v>
      </c>
      <c r="Q2329">
        <f t="shared" si="189"/>
        <v>2</v>
      </c>
      <c r="R2329" t="str">
        <f t="shared" si="193"/>
        <v>Not open</v>
      </c>
    </row>
    <row r="2330" spans="1:18" x14ac:dyDescent="0.3">
      <c r="A2330" t="s">
        <v>2585</v>
      </c>
      <c r="B2330" t="s">
        <v>117</v>
      </c>
      <c r="C2330" t="s">
        <v>554</v>
      </c>
      <c r="D2330" s="1">
        <v>45584</v>
      </c>
      <c r="E2330" s="1">
        <v>45644</v>
      </c>
      <c r="F2330" t="s">
        <v>13</v>
      </c>
      <c r="G2330">
        <v>1974220</v>
      </c>
      <c r="H2330" s="1">
        <v>45650</v>
      </c>
      <c r="I2330" t="s">
        <v>555</v>
      </c>
      <c r="J2330" t="s">
        <v>556</v>
      </c>
      <c r="L2330">
        <v>1974220</v>
      </c>
      <c r="M2330">
        <f>IF(F2330="INR",1,INDEX('rates'!$B$2:$C$522,MATCH(D2330,'rates'!$A$2:$A$522,1),MATCH(F2330&amp;"/INR",'rates'!$B$1:$C$1,0)))</f>
        <v>1</v>
      </c>
      <c r="N2330">
        <f t="shared" si="190"/>
        <v>1974220</v>
      </c>
      <c r="O2330">
        <f t="shared" si="191"/>
        <v>0</v>
      </c>
      <c r="P2330">
        <f t="shared" si="192"/>
        <v>0</v>
      </c>
      <c r="Q2330">
        <f t="shared" si="189"/>
        <v>6</v>
      </c>
      <c r="R2330" t="str">
        <f t="shared" si="193"/>
        <v>Not open</v>
      </c>
    </row>
    <row r="2331" spans="1:18" x14ac:dyDescent="0.3">
      <c r="A2331" t="s">
        <v>2586</v>
      </c>
      <c r="B2331" t="s">
        <v>282</v>
      </c>
      <c r="C2331" t="s">
        <v>554</v>
      </c>
      <c r="D2331" s="1">
        <v>45584</v>
      </c>
      <c r="E2331" s="1">
        <v>45644</v>
      </c>
      <c r="F2331" t="s">
        <v>13</v>
      </c>
      <c r="G2331">
        <v>13122655</v>
      </c>
      <c r="H2331" s="1">
        <v>45644</v>
      </c>
      <c r="I2331" t="s">
        <v>555</v>
      </c>
      <c r="J2331" t="s">
        <v>556</v>
      </c>
      <c r="L2331">
        <v>13122655</v>
      </c>
      <c r="M2331">
        <f>IF(F2331="INR",1,INDEX('rates'!$B$2:$C$522,MATCH(D2331,'rates'!$A$2:$A$522,1),MATCH(F2331&amp;"/INR",'rates'!$B$1:$C$1,0)))</f>
        <v>1</v>
      </c>
      <c r="N2331">
        <f t="shared" si="190"/>
        <v>13122655</v>
      </c>
      <c r="O2331">
        <f t="shared" si="191"/>
        <v>0</v>
      </c>
      <c r="P2331">
        <f t="shared" si="192"/>
        <v>0</v>
      </c>
      <c r="Q2331">
        <f t="shared" si="189"/>
        <v>0</v>
      </c>
      <c r="R2331" t="str">
        <f t="shared" si="193"/>
        <v>Not open</v>
      </c>
    </row>
    <row r="2332" spans="1:18" x14ac:dyDescent="0.3">
      <c r="A2332" t="s">
        <v>2587</v>
      </c>
      <c r="B2332" t="s">
        <v>368</v>
      </c>
      <c r="C2332" t="s">
        <v>566</v>
      </c>
      <c r="D2332" s="1">
        <v>45584</v>
      </c>
      <c r="E2332" s="1">
        <v>45644</v>
      </c>
      <c r="F2332" t="s">
        <v>36</v>
      </c>
      <c r="G2332">
        <v>32928.300000000003</v>
      </c>
      <c r="H2332" s="1">
        <v>45664</v>
      </c>
      <c r="I2332" t="s">
        <v>555</v>
      </c>
      <c r="J2332" t="s">
        <v>573</v>
      </c>
      <c r="K2332">
        <v>84.310100000000006</v>
      </c>
      <c r="L2332">
        <v>32928.300000000003</v>
      </c>
      <c r="M2332">
        <f>IF(F2332="INR",1,INDEX('rates'!$B$2:$C$522,MATCH(D2332,'rates'!$A$2:$A$522,1),MATCH(F2332&amp;"/INR",'rates'!$B$1:$C$1,0)))</f>
        <v>84.03</v>
      </c>
      <c r="N2332">
        <f t="shared" si="190"/>
        <v>2766965.0490000001</v>
      </c>
      <c r="O2332">
        <f t="shared" si="191"/>
        <v>0</v>
      </c>
      <c r="P2332">
        <f t="shared" si="192"/>
        <v>0</v>
      </c>
      <c r="Q2332">
        <f t="shared" si="189"/>
        <v>20</v>
      </c>
      <c r="R2332" t="str">
        <f t="shared" si="193"/>
        <v>Not open</v>
      </c>
    </row>
    <row r="2333" spans="1:18" x14ac:dyDescent="0.3">
      <c r="A2333" t="s">
        <v>2588</v>
      </c>
      <c r="B2333" t="s">
        <v>436</v>
      </c>
      <c r="C2333" t="s">
        <v>566</v>
      </c>
      <c r="D2333" s="1">
        <v>45584</v>
      </c>
      <c r="E2333" s="1">
        <v>45629</v>
      </c>
      <c r="F2333" t="s">
        <v>36</v>
      </c>
      <c r="G2333">
        <v>48977.9</v>
      </c>
      <c r="H2333" s="1">
        <v>45651</v>
      </c>
      <c r="I2333" t="s">
        <v>555</v>
      </c>
      <c r="J2333" t="s">
        <v>556</v>
      </c>
      <c r="L2333">
        <v>48977.9</v>
      </c>
      <c r="M2333">
        <f>IF(F2333="INR",1,INDEX('rates'!$B$2:$C$522,MATCH(D2333,'rates'!$A$2:$A$522,1),MATCH(F2333&amp;"/INR",'rates'!$B$1:$C$1,0)))</f>
        <v>84.03</v>
      </c>
      <c r="N2333">
        <f t="shared" si="190"/>
        <v>4115612.9370000004</v>
      </c>
      <c r="O2333">
        <f t="shared" si="191"/>
        <v>0</v>
      </c>
      <c r="P2333">
        <f t="shared" si="192"/>
        <v>0</v>
      </c>
      <c r="Q2333">
        <f t="shared" ref="Q2333:Q2360" si="194">IF(H2333="","",H2333-E2333)</f>
        <v>22</v>
      </c>
      <c r="R2333" t="str">
        <f t="shared" si="193"/>
        <v>Not open</v>
      </c>
    </row>
    <row r="2334" spans="1:18" x14ac:dyDescent="0.3">
      <c r="A2334" t="s">
        <v>2589</v>
      </c>
      <c r="B2334" t="s">
        <v>454</v>
      </c>
      <c r="C2334" t="s">
        <v>575</v>
      </c>
      <c r="D2334" s="1">
        <v>45584</v>
      </c>
      <c r="E2334" s="1">
        <v>45644</v>
      </c>
      <c r="F2334" t="s">
        <v>13</v>
      </c>
      <c r="G2334">
        <v>9421390</v>
      </c>
      <c r="H2334" s="1">
        <v>45642</v>
      </c>
      <c r="I2334" t="s">
        <v>555</v>
      </c>
      <c r="J2334" t="s">
        <v>556</v>
      </c>
      <c r="L2334">
        <v>9421390</v>
      </c>
      <c r="M2334">
        <f>IF(F2334="INR",1,INDEX('rates'!$B$2:$C$522,MATCH(D2334,'rates'!$A$2:$A$522,1),MATCH(F2334&amp;"/INR",'rates'!$B$1:$C$1,0)))</f>
        <v>1</v>
      </c>
      <c r="N2334">
        <f t="shared" si="190"/>
        <v>9421390</v>
      </c>
      <c r="O2334">
        <f t="shared" si="191"/>
        <v>0</v>
      </c>
      <c r="P2334">
        <f t="shared" si="192"/>
        <v>0</v>
      </c>
      <c r="Q2334">
        <f t="shared" si="194"/>
        <v>-2</v>
      </c>
      <c r="R2334" t="str">
        <f t="shared" si="193"/>
        <v>Not open</v>
      </c>
    </row>
    <row r="2335" spans="1:18" x14ac:dyDescent="0.3">
      <c r="A2335" t="s">
        <v>2590</v>
      </c>
      <c r="B2335" t="s">
        <v>466</v>
      </c>
      <c r="C2335" t="s">
        <v>560</v>
      </c>
      <c r="D2335" s="1">
        <v>45584</v>
      </c>
      <c r="E2335" s="1">
        <v>45644</v>
      </c>
      <c r="F2335" t="s">
        <v>31</v>
      </c>
      <c r="G2335">
        <v>156994.45000000001</v>
      </c>
      <c r="H2335" s="1">
        <v>45652</v>
      </c>
      <c r="I2335" t="s">
        <v>555</v>
      </c>
      <c r="J2335" t="s">
        <v>573</v>
      </c>
      <c r="K2335">
        <v>91.388599999999997</v>
      </c>
      <c r="L2335">
        <v>156994.45000000001</v>
      </c>
      <c r="M2335">
        <f>IF(F2335="INR",1,INDEX('rates'!$B$2:$C$522,MATCH(D2335,'rates'!$A$2:$A$522,1),MATCH(F2335&amp;"/INR",'rates'!$B$1:$C$1,0)))</f>
        <v>91.206199999999995</v>
      </c>
      <c r="N2335">
        <f t="shared" si="190"/>
        <v>14318867.20559</v>
      </c>
      <c r="O2335">
        <f t="shared" si="191"/>
        <v>0</v>
      </c>
      <c r="P2335">
        <f t="shared" si="192"/>
        <v>0</v>
      </c>
      <c r="Q2335">
        <f t="shared" si="194"/>
        <v>8</v>
      </c>
      <c r="R2335" t="str">
        <f t="shared" si="193"/>
        <v>Not open</v>
      </c>
    </row>
    <row r="2336" spans="1:18" x14ac:dyDescent="0.3">
      <c r="A2336" t="s">
        <v>2591</v>
      </c>
      <c r="B2336" t="s">
        <v>490</v>
      </c>
      <c r="C2336" t="s">
        <v>560</v>
      </c>
      <c r="D2336" s="1">
        <v>45584</v>
      </c>
      <c r="E2336" s="1">
        <v>45629</v>
      </c>
      <c r="F2336" t="s">
        <v>36</v>
      </c>
      <c r="G2336">
        <v>46080.88</v>
      </c>
      <c r="H2336" s="1">
        <v>45634</v>
      </c>
      <c r="I2336" t="s">
        <v>555</v>
      </c>
      <c r="J2336" t="s">
        <v>556</v>
      </c>
      <c r="L2336">
        <v>46080.88</v>
      </c>
      <c r="M2336">
        <f>IF(F2336="INR",1,INDEX('rates'!$B$2:$C$522,MATCH(D2336,'rates'!$A$2:$A$522,1),MATCH(F2336&amp;"/INR",'rates'!$B$1:$C$1,0)))</f>
        <v>84.03</v>
      </c>
      <c r="N2336">
        <f t="shared" si="190"/>
        <v>3872176.3463999997</v>
      </c>
      <c r="O2336">
        <f t="shared" si="191"/>
        <v>0</v>
      </c>
      <c r="P2336">
        <f t="shared" si="192"/>
        <v>0</v>
      </c>
      <c r="Q2336">
        <f t="shared" si="194"/>
        <v>5</v>
      </c>
      <c r="R2336" t="str">
        <f t="shared" si="193"/>
        <v>Not open</v>
      </c>
    </row>
    <row r="2337" spans="1:18" x14ac:dyDescent="0.3">
      <c r="A2337" t="s">
        <v>2592</v>
      </c>
      <c r="B2337" t="s">
        <v>202</v>
      </c>
      <c r="C2337" t="s">
        <v>554</v>
      </c>
      <c r="D2337" s="1">
        <v>45586</v>
      </c>
      <c r="E2337" s="1">
        <v>45616</v>
      </c>
      <c r="F2337" t="s">
        <v>13</v>
      </c>
      <c r="G2337">
        <v>1433173</v>
      </c>
      <c r="H2337" s="1">
        <v>45648</v>
      </c>
      <c r="I2337" t="s">
        <v>555</v>
      </c>
      <c r="J2337" t="s">
        <v>556</v>
      </c>
      <c r="L2337">
        <v>1433173</v>
      </c>
      <c r="M2337">
        <f>IF(F2337="INR",1,INDEX('rates'!$B$2:$C$522,MATCH(D2337,'rates'!$A$2:$A$522,1),MATCH(F2337&amp;"/INR",'rates'!$B$1:$C$1,0)))</f>
        <v>1</v>
      </c>
      <c r="N2337">
        <f t="shared" si="190"/>
        <v>1433173</v>
      </c>
      <c r="O2337">
        <f t="shared" si="191"/>
        <v>0</v>
      </c>
      <c r="P2337">
        <f t="shared" si="192"/>
        <v>0</v>
      </c>
      <c r="Q2337">
        <f t="shared" si="194"/>
        <v>32</v>
      </c>
      <c r="R2337" t="str">
        <f t="shared" si="193"/>
        <v>Not open</v>
      </c>
    </row>
    <row r="2338" spans="1:18" x14ac:dyDescent="0.3">
      <c r="A2338" t="s">
        <v>2593</v>
      </c>
      <c r="B2338" t="s">
        <v>386</v>
      </c>
      <c r="C2338" t="s">
        <v>575</v>
      </c>
      <c r="D2338" s="1">
        <v>45586</v>
      </c>
      <c r="E2338" s="1">
        <v>45646</v>
      </c>
      <c r="F2338" t="s">
        <v>31</v>
      </c>
      <c r="G2338">
        <v>21105.58</v>
      </c>
      <c r="H2338" s="1">
        <v>45658</v>
      </c>
      <c r="I2338" t="s">
        <v>555</v>
      </c>
      <c r="J2338" t="s">
        <v>573</v>
      </c>
      <c r="K2338">
        <v>91.145600000000002</v>
      </c>
      <c r="L2338">
        <v>21105.58</v>
      </c>
      <c r="M2338">
        <f>IF(F2338="INR",1,INDEX('rates'!$B$2:$C$522,MATCH(D2338,'rates'!$A$2:$A$522,1),MATCH(F2338&amp;"/INR",'rates'!$B$1:$C$1,0)))</f>
        <v>90.963700000000003</v>
      </c>
      <c r="N2338">
        <f t="shared" si="190"/>
        <v>1919841.6474460003</v>
      </c>
      <c r="O2338">
        <f t="shared" si="191"/>
        <v>0</v>
      </c>
      <c r="P2338">
        <f t="shared" si="192"/>
        <v>0</v>
      </c>
      <c r="Q2338">
        <f t="shared" si="194"/>
        <v>12</v>
      </c>
      <c r="R2338" t="str">
        <f t="shared" si="193"/>
        <v>Not open</v>
      </c>
    </row>
    <row r="2339" spans="1:18" x14ac:dyDescent="0.3">
      <c r="A2339" t="s">
        <v>2594</v>
      </c>
      <c r="B2339" t="s">
        <v>394</v>
      </c>
      <c r="C2339" t="s">
        <v>575</v>
      </c>
      <c r="D2339" s="1">
        <v>45586</v>
      </c>
      <c r="E2339" s="1">
        <v>45646</v>
      </c>
      <c r="F2339" t="s">
        <v>31</v>
      </c>
      <c r="G2339">
        <v>264747.88</v>
      </c>
      <c r="H2339" s="1">
        <v>45655</v>
      </c>
      <c r="I2339" t="s">
        <v>555</v>
      </c>
      <c r="J2339" t="s">
        <v>556</v>
      </c>
      <c r="L2339">
        <v>264747.88</v>
      </c>
      <c r="M2339">
        <f>IF(F2339="INR",1,INDEX('rates'!$B$2:$C$522,MATCH(D2339,'rates'!$A$2:$A$522,1),MATCH(F2339&amp;"/INR",'rates'!$B$1:$C$1,0)))</f>
        <v>90.963700000000003</v>
      </c>
      <c r="N2339">
        <f t="shared" si="190"/>
        <v>24082446.731956001</v>
      </c>
      <c r="O2339">
        <f t="shared" si="191"/>
        <v>0</v>
      </c>
      <c r="P2339">
        <f t="shared" si="192"/>
        <v>0</v>
      </c>
      <c r="Q2339">
        <f t="shared" si="194"/>
        <v>9</v>
      </c>
      <c r="R2339" t="str">
        <f t="shared" si="193"/>
        <v>Not open</v>
      </c>
    </row>
    <row r="2340" spans="1:18" x14ac:dyDescent="0.3">
      <c r="A2340" t="s">
        <v>2595</v>
      </c>
      <c r="B2340" t="s">
        <v>436</v>
      </c>
      <c r="C2340" t="s">
        <v>566</v>
      </c>
      <c r="D2340" s="1">
        <v>45586</v>
      </c>
      <c r="E2340" s="1">
        <v>45631</v>
      </c>
      <c r="F2340" t="s">
        <v>36</v>
      </c>
      <c r="G2340">
        <v>143862.85</v>
      </c>
      <c r="H2340" s="1">
        <v>45643</v>
      </c>
      <c r="I2340" t="s">
        <v>555</v>
      </c>
      <c r="J2340" t="s">
        <v>573</v>
      </c>
      <c r="K2340">
        <v>84.280199999999994</v>
      </c>
      <c r="L2340">
        <v>143862.85</v>
      </c>
      <c r="M2340">
        <f>IF(F2340="INR",1,INDEX('rates'!$B$2:$C$522,MATCH(D2340,'rates'!$A$2:$A$522,1),MATCH(F2340&amp;"/INR",'rates'!$B$1:$C$1,0)))</f>
        <v>84.07</v>
      </c>
      <c r="N2340">
        <f t="shared" si="190"/>
        <v>12094549.7995</v>
      </c>
      <c r="O2340">
        <f t="shared" si="191"/>
        <v>0</v>
      </c>
      <c r="P2340">
        <f t="shared" si="192"/>
        <v>0</v>
      </c>
      <c r="Q2340">
        <f t="shared" si="194"/>
        <v>12</v>
      </c>
      <c r="R2340" t="str">
        <f t="shared" si="193"/>
        <v>Not open</v>
      </c>
    </row>
    <row r="2341" spans="1:18" x14ac:dyDescent="0.3">
      <c r="A2341" t="s">
        <v>2596</v>
      </c>
      <c r="B2341" t="s">
        <v>532</v>
      </c>
      <c r="C2341" t="s">
        <v>575</v>
      </c>
      <c r="D2341" s="1">
        <v>45586</v>
      </c>
      <c r="E2341" s="1">
        <v>45646</v>
      </c>
      <c r="F2341" t="s">
        <v>36</v>
      </c>
      <c r="G2341">
        <v>93282.41</v>
      </c>
      <c r="H2341" s="1">
        <v>45659</v>
      </c>
      <c r="I2341" t="s">
        <v>555</v>
      </c>
      <c r="J2341" t="s">
        <v>573</v>
      </c>
      <c r="K2341">
        <v>84.350200000000001</v>
      </c>
      <c r="L2341">
        <v>93282.41</v>
      </c>
      <c r="M2341">
        <f>IF(F2341="INR",1,INDEX('rates'!$B$2:$C$522,MATCH(D2341,'rates'!$A$2:$A$522,1),MATCH(F2341&amp;"/INR",'rates'!$B$1:$C$1,0)))</f>
        <v>84.07</v>
      </c>
      <c r="N2341">
        <f t="shared" si="190"/>
        <v>7842252.2086999994</v>
      </c>
      <c r="O2341">
        <f t="shared" si="191"/>
        <v>0</v>
      </c>
      <c r="P2341">
        <f t="shared" si="192"/>
        <v>0</v>
      </c>
      <c r="Q2341">
        <f t="shared" si="194"/>
        <v>13</v>
      </c>
      <c r="R2341" t="str">
        <f t="shared" si="193"/>
        <v>Not open</v>
      </c>
    </row>
    <row r="2342" spans="1:18" x14ac:dyDescent="0.3">
      <c r="A2342" t="s">
        <v>2597</v>
      </c>
      <c r="B2342" t="s">
        <v>158</v>
      </c>
      <c r="C2342" t="s">
        <v>566</v>
      </c>
      <c r="D2342" s="1">
        <v>45587</v>
      </c>
      <c r="E2342" s="1">
        <v>45617</v>
      </c>
      <c r="F2342" t="s">
        <v>13</v>
      </c>
      <c r="G2342">
        <v>3279577</v>
      </c>
      <c r="H2342" s="1">
        <v>45621</v>
      </c>
      <c r="I2342" t="s">
        <v>555</v>
      </c>
      <c r="J2342" t="s">
        <v>556</v>
      </c>
      <c r="L2342">
        <v>3279577</v>
      </c>
      <c r="M2342">
        <f>IF(F2342="INR",1,INDEX('rates'!$B$2:$C$522,MATCH(D2342,'rates'!$A$2:$A$522,1),MATCH(F2342&amp;"/INR",'rates'!$B$1:$C$1,0)))</f>
        <v>1</v>
      </c>
      <c r="N2342">
        <f t="shared" si="190"/>
        <v>3279577</v>
      </c>
      <c r="O2342">
        <f t="shared" si="191"/>
        <v>0</v>
      </c>
      <c r="P2342">
        <f t="shared" si="192"/>
        <v>0</v>
      </c>
      <c r="Q2342">
        <f t="shared" si="194"/>
        <v>4</v>
      </c>
      <c r="R2342" t="str">
        <f t="shared" si="193"/>
        <v>Not open</v>
      </c>
    </row>
    <row r="2343" spans="1:18" x14ac:dyDescent="0.3">
      <c r="A2343" t="s">
        <v>2599</v>
      </c>
      <c r="B2343" t="s">
        <v>478</v>
      </c>
      <c r="C2343" t="s">
        <v>560</v>
      </c>
      <c r="D2343" s="1">
        <v>45587</v>
      </c>
      <c r="E2343" s="1">
        <v>45617</v>
      </c>
      <c r="F2343" t="s">
        <v>13</v>
      </c>
      <c r="G2343">
        <v>3149429</v>
      </c>
      <c r="H2343" s="1">
        <v>45625</v>
      </c>
      <c r="I2343" t="s">
        <v>555</v>
      </c>
      <c r="J2343" t="s">
        <v>556</v>
      </c>
      <c r="L2343">
        <v>3149429</v>
      </c>
      <c r="M2343">
        <f>IF(F2343="INR",1,INDEX('rates'!$B$2:$C$522,MATCH(D2343,'rates'!$A$2:$A$522,1),MATCH(F2343&amp;"/INR",'rates'!$B$1:$C$1,0)))</f>
        <v>1</v>
      </c>
      <c r="N2343">
        <f t="shared" si="190"/>
        <v>3149429</v>
      </c>
      <c r="O2343">
        <f t="shared" si="191"/>
        <v>0</v>
      </c>
      <c r="P2343">
        <f t="shared" si="192"/>
        <v>0</v>
      </c>
      <c r="Q2343">
        <f t="shared" si="194"/>
        <v>8</v>
      </c>
      <c r="R2343" t="str">
        <f t="shared" si="193"/>
        <v>Not open</v>
      </c>
    </row>
    <row r="2344" spans="1:18" x14ac:dyDescent="0.3">
      <c r="A2344" t="s">
        <v>2600</v>
      </c>
      <c r="B2344" t="s">
        <v>482</v>
      </c>
      <c r="C2344" t="s">
        <v>558</v>
      </c>
      <c r="D2344" s="1">
        <v>45587</v>
      </c>
      <c r="E2344" s="1">
        <v>45647</v>
      </c>
      <c r="F2344" t="s">
        <v>13</v>
      </c>
      <c r="G2344">
        <v>5382879</v>
      </c>
      <c r="H2344" s="1">
        <v>45652</v>
      </c>
      <c r="I2344" t="s">
        <v>555</v>
      </c>
      <c r="J2344" t="s">
        <v>556</v>
      </c>
      <c r="L2344">
        <v>5382879</v>
      </c>
      <c r="M2344">
        <f>IF(F2344="INR",1,INDEX('rates'!$B$2:$C$522,MATCH(D2344,'rates'!$A$2:$A$522,1),MATCH(F2344&amp;"/INR",'rates'!$B$1:$C$1,0)))</f>
        <v>1</v>
      </c>
      <c r="N2344">
        <f t="shared" si="190"/>
        <v>5382879</v>
      </c>
      <c r="O2344">
        <f t="shared" si="191"/>
        <v>0</v>
      </c>
      <c r="P2344">
        <f t="shared" si="192"/>
        <v>0</v>
      </c>
      <c r="Q2344">
        <f t="shared" si="194"/>
        <v>5</v>
      </c>
      <c r="R2344" t="str">
        <f t="shared" si="193"/>
        <v>Not open</v>
      </c>
    </row>
    <row r="2345" spans="1:18" x14ac:dyDescent="0.3">
      <c r="A2345" t="s">
        <v>2601</v>
      </c>
      <c r="B2345" t="s">
        <v>516</v>
      </c>
      <c r="C2345" t="s">
        <v>560</v>
      </c>
      <c r="D2345" s="1">
        <v>45587</v>
      </c>
      <c r="E2345" s="1">
        <v>45647</v>
      </c>
      <c r="F2345" t="s">
        <v>13</v>
      </c>
      <c r="G2345">
        <v>4544410</v>
      </c>
      <c r="H2345" s="1">
        <v>45650</v>
      </c>
      <c r="I2345" t="s">
        <v>555</v>
      </c>
      <c r="J2345" t="s">
        <v>556</v>
      </c>
      <c r="L2345">
        <v>4544410</v>
      </c>
      <c r="M2345">
        <f>IF(F2345="INR",1,INDEX('rates'!$B$2:$C$522,MATCH(D2345,'rates'!$A$2:$A$522,1),MATCH(F2345&amp;"/INR",'rates'!$B$1:$C$1,0)))</f>
        <v>1</v>
      </c>
      <c r="N2345">
        <f t="shared" si="190"/>
        <v>4544410</v>
      </c>
      <c r="O2345">
        <f t="shared" si="191"/>
        <v>0</v>
      </c>
      <c r="P2345">
        <f t="shared" si="192"/>
        <v>0</v>
      </c>
      <c r="Q2345">
        <f t="shared" si="194"/>
        <v>3</v>
      </c>
      <c r="R2345" t="str">
        <f t="shared" si="193"/>
        <v>Not open</v>
      </c>
    </row>
    <row r="2346" spans="1:18" x14ac:dyDescent="0.3">
      <c r="A2346" t="s">
        <v>2602</v>
      </c>
      <c r="B2346" t="s">
        <v>184</v>
      </c>
      <c r="C2346" t="s">
        <v>575</v>
      </c>
      <c r="D2346" s="1">
        <v>45588</v>
      </c>
      <c r="E2346" s="1">
        <v>45678</v>
      </c>
      <c r="F2346" t="s">
        <v>31</v>
      </c>
      <c r="G2346">
        <v>687193.98</v>
      </c>
      <c r="H2346" s="1">
        <v>45688</v>
      </c>
      <c r="I2346" t="s">
        <v>555</v>
      </c>
      <c r="J2346" t="s">
        <v>573</v>
      </c>
      <c r="K2346">
        <v>90.880099999999999</v>
      </c>
      <c r="L2346">
        <v>687193.98</v>
      </c>
      <c r="M2346">
        <f>IF(F2346="INR",1,INDEX('rates'!$B$2:$C$522,MATCH(D2346,'rates'!$A$2:$A$522,1),MATCH(F2346&amp;"/INR",'rates'!$B$1:$C$1,0)))</f>
        <v>90.6083</v>
      </c>
      <c r="N2346">
        <f t="shared" si="190"/>
        <v>62265478.298033997</v>
      </c>
      <c r="O2346">
        <f t="shared" si="191"/>
        <v>0</v>
      </c>
      <c r="P2346">
        <f t="shared" si="192"/>
        <v>0</v>
      </c>
      <c r="Q2346">
        <f t="shared" si="194"/>
        <v>10</v>
      </c>
      <c r="R2346" t="str">
        <f t="shared" si="193"/>
        <v>Not open</v>
      </c>
    </row>
    <row r="2347" spans="1:18" x14ac:dyDescent="0.3">
      <c r="A2347" t="s">
        <v>2604</v>
      </c>
      <c r="B2347" t="s">
        <v>276</v>
      </c>
      <c r="C2347" t="s">
        <v>558</v>
      </c>
      <c r="D2347" s="1">
        <v>45588</v>
      </c>
      <c r="E2347" s="1">
        <v>45648</v>
      </c>
      <c r="F2347" t="s">
        <v>13</v>
      </c>
      <c r="G2347">
        <v>5262178</v>
      </c>
      <c r="H2347" s="1">
        <v>45668</v>
      </c>
      <c r="I2347" t="s">
        <v>555</v>
      </c>
      <c r="J2347" t="s">
        <v>556</v>
      </c>
      <c r="L2347">
        <v>5262178</v>
      </c>
      <c r="M2347">
        <f>IF(F2347="INR",1,INDEX('rates'!$B$2:$C$522,MATCH(D2347,'rates'!$A$2:$A$522,1),MATCH(F2347&amp;"/INR",'rates'!$B$1:$C$1,0)))</f>
        <v>1</v>
      </c>
      <c r="N2347">
        <f t="shared" si="190"/>
        <v>5262178</v>
      </c>
      <c r="O2347">
        <f t="shared" si="191"/>
        <v>0</v>
      </c>
      <c r="P2347">
        <f t="shared" si="192"/>
        <v>0</v>
      </c>
      <c r="Q2347">
        <f t="shared" si="194"/>
        <v>20</v>
      </c>
      <c r="R2347" t="str">
        <f t="shared" si="193"/>
        <v>Not open</v>
      </c>
    </row>
    <row r="2348" spans="1:18" x14ac:dyDescent="0.3">
      <c r="A2348" t="s">
        <v>2605</v>
      </c>
      <c r="B2348" t="s">
        <v>420</v>
      </c>
      <c r="C2348" t="s">
        <v>575</v>
      </c>
      <c r="D2348" s="1">
        <v>45588</v>
      </c>
      <c r="E2348" s="1">
        <v>45618</v>
      </c>
      <c r="F2348" t="s">
        <v>13</v>
      </c>
      <c r="G2348">
        <v>7385160</v>
      </c>
      <c r="H2348" s="1">
        <v>45612</v>
      </c>
      <c r="I2348" t="s">
        <v>555</v>
      </c>
      <c r="J2348" t="s">
        <v>556</v>
      </c>
      <c r="L2348">
        <v>7385160</v>
      </c>
      <c r="M2348">
        <f>IF(F2348="INR",1,INDEX('rates'!$B$2:$C$522,MATCH(D2348,'rates'!$A$2:$A$522,1),MATCH(F2348&amp;"/INR",'rates'!$B$1:$C$1,0)))</f>
        <v>1</v>
      </c>
      <c r="N2348">
        <f t="shared" si="190"/>
        <v>7385160</v>
      </c>
      <c r="O2348">
        <f t="shared" si="191"/>
        <v>0</v>
      </c>
      <c r="P2348">
        <f t="shared" si="192"/>
        <v>0</v>
      </c>
      <c r="Q2348">
        <f t="shared" si="194"/>
        <v>-6</v>
      </c>
      <c r="R2348" t="str">
        <f t="shared" si="193"/>
        <v>Not open</v>
      </c>
    </row>
    <row r="2349" spans="1:18" x14ac:dyDescent="0.3">
      <c r="A2349" t="s">
        <v>2606</v>
      </c>
      <c r="B2349" t="s">
        <v>496</v>
      </c>
      <c r="C2349" t="s">
        <v>566</v>
      </c>
      <c r="D2349" s="1">
        <v>45588</v>
      </c>
      <c r="E2349" s="1">
        <v>45633</v>
      </c>
      <c r="F2349" t="s">
        <v>13</v>
      </c>
      <c r="G2349">
        <v>11974778</v>
      </c>
      <c r="H2349" s="1">
        <v>45633</v>
      </c>
      <c r="I2349" t="s">
        <v>555</v>
      </c>
      <c r="J2349" t="s">
        <v>556</v>
      </c>
      <c r="L2349">
        <v>11974778</v>
      </c>
      <c r="M2349">
        <f>IF(F2349="INR",1,INDEX('rates'!$B$2:$C$522,MATCH(D2349,'rates'!$A$2:$A$522,1),MATCH(F2349&amp;"/INR",'rates'!$B$1:$C$1,0)))</f>
        <v>1</v>
      </c>
      <c r="N2349">
        <f t="shared" si="190"/>
        <v>11974778</v>
      </c>
      <c r="O2349">
        <f t="shared" si="191"/>
        <v>0</v>
      </c>
      <c r="P2349">
        <f t="shared" si="192"/>
        <v>0</v>
      </c>
      <c r="Q2349">
        <f t="shared" si="194"/>
        <v>0</v>
      </c>
      <c r="R2349" t="str">
        <f t="shared" si="193"/>
        <v>Not open</v>
      </c>
    </row>
    <row r="2350" spans="1:18" x14ac:dyDescent="0.3">
      <c r="A2350" t="s">
        <v>2607</v>
      </c>
      <c r="B2350" t="s">
        <v>198</v>
      </c>
      <c r="C2350" t="s">
        <v>566</v>
      </c>
      <c r="D2350" s="1">
        <v>45589</v>
      </c>
      <c r="E2350" s="1">
        <v>45679</v>
      </c>
      <c r="F2350" t="s">
        <v>36</v>
      </c>
      <c r="G2350">
        <v>132878.74</v>
      </c>
      <c r="H2350" s="1">
        <v>45687</v>
      </c>
      <c r="I2350" t="s">
        <v>555</v>
      </c>
      <c r="J2350" t="s">
        <v>573</v>
      </c>
      <c r="K2350">
        <v>84.470200000000006</v>
      </c>
      <c r="L2350">
        <v>132878.74</v>
      </c>
      <c r="M2350">
        <f>IF(F2350="INR",1,INDEX('rates'!$B$2:$C$522,MATCH(D2350,'rates'!$A$2:$A$522,1),MATCH(F2350&amp;"/INR",'rates'!$B$1:$C$1,0)))</f>
        <v>84.05</v>
      </c>
      <c r="N2350">
        <f t="shared" si="190"/>
        <v>11168458.096999999</v>
      </c>
      <c r="O2350">
        <f t="shared" si="191"/>
        <v>0</v>
      </c>
      <c r="P2350">
        <f t="shared" si="192"/>
        <v>0</v>
      </c>
      <c r="Q2350">
        <f t="shared" si="194"/>
        <v>8</v>
      </c>
      <c r="R2350" t="str">
        <f t="shared" si="193"/>
        <v>Not open</v>
      </c>
    </row>
    <row r="2351" spans="1:18" x14ac:dyDescent="0.3">
      <c r="A2351" t="s">
        <v>2608</v>
      </c>
      <c r="B2351" t="s">
        <v>262</v>
      </c>
      <c r="C2351" t="s">
        <v>566</v>
      </c>
      <c r="D2351" s="1">
        <v>45589</v>
      </c>
      <c r="E2351" s="1">
        <v>45679</v>
      </c>
      <c r="F2351" t="s">
        <v>31</v>
      </c>
      <c r="G2351">
        <v>87142.12</v>
      </c>
      <c r="H2351" s="1">
        <v>45720</v>
      </c>
      <c r="I2351" t="s">
        <v>555</v>
      </c>
      <c r="J2351" t="s">
        <v>573</v>
      </c>
      <c r="K2351">
        <v>91.096900000000005</v>
      </c>
      <c r="L2351">
        <v>87142.12</v>
      </c>
      <c r="M2351">
        <f>IF(F2351="INR",1,INDEX('rates'!$B$2:$C$522,MATCH(D2351,'rates'!$A$2:$A$522,1),MATCH(F2351&amp;"/INR",'rates'!$B$1:$C$1,0)))</f>
        <v>90.824399999999997</v>
      </c>
      <c r="N2351">
        <f t="shared" si="190"/>
        <v>7914630.7637279993</v>
      </c>
      <c r="O2351">
        <f t="shared" si="191"/>
        <v>0</v>
      </c>
      <c r="P2351">
        <f t="shared" si="192"/>
        <v>0</v>
      </c>
      <c r="Q2351">
        <f t="shared" si="194"/>
        <v>41</v>
      </c>
      <c r="R2351" t="str">
        <f t="shared" si="193"/>
        <v>Not open</v>
      </c>
    </row>
    <row r="2352" spans="1:18" x14ac:dyDescent="0.3">
      <c r="A2352" t="s">
        <v>2609</v>
      </c>
      <c r="B2352" t="s">
        <v>322</v>
      </c>
      <c r="C2352" t="s">
        <v>558</v>
      </c>
      <c r="D2352" s="1">
        <v>45589</v>
      </c>
      <c r="E2352" s="1">
        <v>45649</v>
      </c>
      <c r="F2352" t="s">
        <v>13</v>
      </c>
      <c r="G2352">
        <v>22654692</v>
      </c>
      <c r="H2352" s="1">
        <v>45654</v>
      </c>
      <c r="I2352" t="s">
        <v>555</v>
      </c>
      <c r="J2352" t="s">
        <v>556</v>
      </c>
      <c r="L2352">
        <v>22654692</v>
      </c>
      <c r="M2352">
        <f>IF(F2352="INR",1,INDEX('rates'!$B$2:$C$522,MATCH(D2352,'rates'!$A$2:$A$522,1),MATCH(F2352&amp;"/INR",'rates'!$B$1:$C$1,0)))</f>
        <v>1</v>
      </c>
      <c r="N2352">
        <f t="shared" si="190"/>
        <v>22654692</v>
      </c>
      <c r="O2352">
        <f t="shared" si="191"/>
        <v>0</v>
      </c>
      <c r="P2352">
        <f t="shared" si="192"/>
        <v>0</v>
      </c>
      <c r="Q2352">
        <f t="shared" si="194"/>
        <v>5</v>
      </c>
      <c r="R2352" t="str">
        <f t="shared" si="193"/>
        <v>Not open</v>
      </c>
    </row>
    <row r="2353" spans="1:18" x14ac:dyDescent="0.3">
      <c r="A2353" t="s">
        <v>2610</v>
      </c>
      <c r="B2353" t="s">
        <v>322</v>
      </c>
      <c r="C2353" t="s">
        <v>566</v>
      </c>
      <c r="D2353" s="1">
        <v>45589</v>
      </c>
      <c r="E2353" s="1">
        <v>45649</v>
      </c>
      <c r="F2353" t="s">
        <v>13</v>
      </c>
      <c r="G2353">
        <v>5789671</v>
      </c>
      <c r="H2353" s="1">
        <v>45652</v>
      </c>
      <c r="I2353" t="s">
        <v>555</v>
      </c>
      <c r="J2353" t="s">
        <v>556</v>
      </c>
      <c r="L2353">
        <v>5789671</v>
      </c>
      <c r="M2353">
        <f>IF(F2353="INR",1,INDEX('rates'!$B$2:$C$522,MATCH(D2353,'rates'!$A$2:$A$522,1),MATCH(F2353&amp;"/INR",'rates'!$B$1:$C$1,0)))</f>
        <v>1</v>
      </c>
      <c r="N2353">
        <f t="shared" si="190"/>
        <v>5789671</v>
      </c>
      <c r="O2353">
        <f t="shared" si="191"/>
        <v>0</v>
      </c>
      <c r="P2353">
        <f t="shared" si="192"/>
        <v>0</v>
      </c>
      <c r="Q2353">
        <f t="shared" si="194"/>
        <v>3</v>
      </c>
      <c r="R2353" t="str">
        <f t="shared" si="193"/>
        <v>Not open</v>
      </c>
    </row>
    <row r="2354" spans="1:18" x14ac:dyDescent="0.3">
      <c r="A2354" t="s">
        <v>2611</v>
      </c>
      <c r="B2354" t="s">
        <v>148</v>
      </c>
      <c r="C2354" t="s">
        <v>575</v>
      </c>
      <c r="D2354" s="1">
        <v>45590</v>
      </c>
      <c r="E2354" s="1">
        <v>45650</v>
      </c>
      <c r="F2354" t="s">
        <v>31</v>
      </c>
      <c r="G2354">
        <v>100963.49</v>
      </c>
      <c r="H2354" s="1">
        <v>45660</v>
      </c>
      <c r="I2354" t="s">
        <v>555</v>
      </c>
      <c r="J2354" t="s">
        <v>556</v>
      </c>
      <c r="L2354">
        <v>100963.49</v>
      </c>
      <c r="M2354">
        <f>IF(F2354="INR",1,INDEX('rates'!$B$2:$C$522,MATCH(D2354,'rates'!$A$2:$A$522,1),MATCH(F2354&amp;"/INR",'rates'!$B$1:$C$1,0)))</f>
        <v>90.894099999999995</v>
      </c>
      <c r="N2354">
        <f t="shared" si="190"/>
        <v>9176985.5564089995</v>
      </c>
      <c r="O2354">
        <f t="shared" si="191"/>
        <v>0</v>
      </c>
      <c r="P2354">
        <f t="shared" si="192"/>
        <v>0</v>
      </c>
      <c r="Q2354">
        <f t="shared" si="194"/>
        <v>10</v>
      </c>
      <c r="R2354" t="str">
        <f t="shared" si="193"/>
        <v>Not open</v>
      </c>
    </row>
    <row r="2355" spans="1:18" x14ac:dyDescent="0.3">
      <c r="A2355" t="s">
        <v>2612</v>
      </c>
      <c r="B2355" t="s">
        <v>218</v>
      </c>
      <c r="C2355" t="s">
        <v>566</v>
      </c>
      <c r="D2355" s="1">
        <v>45590</v>
      </c>
      <c r="E2355" s="1">
        <v>45680</v>
      </c>
      <c r="F2355" t="s">
        <v>36</v>
      </c>
      <c r="G2355">
        <v>147133.32</v>
      </c>
      <c r="H2355" s="1">
        <v>45686</v>
      </c>
      <c r="I2355" t="s">
        <v>555</v>
      </c>
      <c r="J2355" t="s">
        <v>573</v>
      </c>
      <c r="K2355">
        <v>84.4803</v>
      </c>
      <c r="L2355">
        <v>147133.32</v>
      </c>
      <c r="M2355">
        <f>IF(F2355="INR",1,INDEX('rates'!$B$2:$C$522,MATCH(D2355,'rates'!$A$2:$A$522,1),MATCH(F2355&amp;"/INR",'rates'!$B$1:$C$1,0)))</f>
        <v>84.06</v>
      </c>
      <c r="N2355">
        <f t="shared" si="190"/>
        <v>12368026.8792</v>
      </c>
      <c r="O2355">
        <f t="shared" si="191"/>
        <v>0</v>
      </c>
      <c r="P2355">
        <f t="shared" si="192"/>
        <v>0</v>
      </c>
      <c r="Q2355">
        <f t="shared" si="194"/>
        <v>6</v>
      </c>
      <c r="R2355" t="str">
        <f t="shared" si="193"/>
        <v>Not open</v>
      </c>
    </row>
    <row r="2356" spans="1:18" x14ac:dyDescent="0.3">
      <c r="A2356" t="s">
        <v>2613</v>
      </c>
      <c r="B2356" t="s">
        <v>242</v>
      </c>
      <c r="C2356" t="s">
        <v>575</v>
      </c>
      <c r="D2356" s="1">
        <v>45590</v>
      </c>
      <c r="E2356" s="1">
        <v>45650</v>
      </c>
      <c r="F2356" t="s">
        <v>36</v>
      </c>
      <c r="G2356">
        <v>27689.68</v>
      </c>
      <c r="H2356" s="1">
        <v>45671</v>
      </c>
      <c r="I2356" t="s">
        <v>555</v>
      </c>
      <c r="J2356" t="s">
        <v>573</v>
      </c>
      <c r="K2356">
        <v>84.340199999999996</v>
      </c>
      <c r="L2356">
        <v>27689.68</v>
      </c>
      <c r="M2356">
        <f>IF(F2356="INR",1,INDEX('rates'!$B$2:$C$522,MATCH(D2356,'rates'!$A$2:$A$522,1),MATCH(F2356&amp;"/INR",'rates'!$B$1:$C$1,0)))</f>
        <v>84.06</v>
      </c>
      <c r="N2356">
        <f t="shared" si="190"/>
        <v>2327594.5008</v>
      </c>
      <c r="O2356">
        <f t="shared" si="191"/>
        <v>0</v>
      </c>
      <c r="P2356">
        <f t="shared" si="192"/>
        <v>0</v>
      </c>
      <c r="Q2356">
        <f t="shared" si="194"/>
        <v>21</v>
      </c>
      <c r="R2356" t="str">
        <f t="shared" si="193"/>
        <v>Not open</v>
      </c>
    </row>
    <row r="2357" spans="1:18" x14ac:dyDescent="0.3">
      <c r="A2357" t="s">
        <v>2614</v>
      </c>
      <c r="B2357" t="s">
        <v>22</v>
      </c>
      <c r="C2357" t="s">
        <v>554</v>
      </c>
      <c r="D2357" s="1">
        <v>45591</v>
      </c>
      <c r="E2357" s="1">
        <v>45636</v>
      </c>
      <c r="F2357" t="s">
        <v>13</v>
      </c>
      <c r="G2357">
        <v>3601308</v>
      </c>
      <c r="H2357" s="1">
        <v>45647</v>
      </c>
      <c r="I2357" t="s">
        <v>555</v>
      </c>
      <c r="J2357" t="s">
        <v>556</v>
      </c>
      <c r="L2357">
        <v>3601308</v>
      </c>
      <c r="M2357">
        <f>IF(F2357="INR",1,INDEX('rates'!$B$2:$C$522,MATCH(D2357,'rates'!$A$2:$A$522,1),MATCH(F2357&amp;"/INR",'rates'!$B$1:$C$1,0)))</f>
        <v>1</v>
      </c>
      <c r="N2357">
        <f t="shared" si="190"/>
        <v>3601308</v>
      </c>
      <c r="O2357">
        <f t="shared" si="191"/>
        <v>0</v>
      </c>
      <c r="P2357">
        <f t="shared" si="192"/>
        <v>0</v>
      </c>
      <c r="Q2357">
        <f t="shared" si="194"/>
        <v>11</v>
      </c>
      <c r="R2357" t="str">
        <f t="shared" si="193"/>
        <v>Not open</v>
      </c>
    </row>
    <row r="2358" spans="1:18" x14ac:dyDescent="0.3">
      <c r="A2358" t="s">
        <v>2615</v>
      </c>
      <c r="B2358" t="s">
        <v>25</v>
      </c>
      <c r="C2358" t="s">
        <v>560</v>
      </c>
      <c r="D2358" s="1">
        <v>45591</v>
      </c>
      <c r="E2358" s="1">
        <v>45621</v>
      </c>
      <c r="F2358" t="s">
        <v>13</v>
      </c>
      <c r="G2358">
        <v>16778393</v>
      </c>
      <c r="H2358" s="1">
        <v>45643</v>
      </c>
      <c r="I2358" t="s">
        <v>555</v>
      </c>
      <c r="J2358" t="s">
        <v>556</v>
      </c>
      <c r="L2358">
        <v>16778393</v>
      </c>
      <c r="M2358">
        <f>IF(F2358="INR",1,INDEX('rates'!$B$2:$C$522,MATCH(D2358,'rates'!$A$2:$A$522,1),MATCH(F2358&amp;"/INR",'rates'!$B$1:$C$1,0)))</f>
        <v>1</v>
      </c>
      <c r="N2358">
        <f t="shared" si="190"/>
        <v>16778393</v>
      </c>
      <c r="O2358">
        <f t="shared" si="191"/>
        <v>0</v>
      </c>
      <c r="P2358">
        <f t="shared" si="192"/>
        <v>0</v>
      </c>
      <c r="Q2358">
        <f t="shared" si="194"/>
        <v>22</v>
      </c>
      <c r="R2358" t="str">
        <f t="shared" si="193"/>
        <v>Not open</v>
      </c>
    </row>
    <row r="2359" spans="1:18" x14ac:dyDescent="0.3">
      <c r="A2359" t="s">
        <v>2616</v>
      </c>
      <c r="B2359" t="s">
        <v>117</v>
      </c>
      <c r="C2359" t="s">
        <v>554</v>
      </c>
      <c r="D2359" s="1">
        <v>45591</v>
      </c>
      <c r="E2359" s="1">
        <v>45651</v>
      </c>
      <c r="F2359" t="s">
        <v>13</v>
      </c>
      <c r="G2359">
        <v>4065814</v>
      </c>
      <c r="H2359" s="1">
        <v>45656</v>
      </c>
      <c r="I2359" t="s">
        <v>555</v>
      </c>
      <c r="J2359" t="s">
        <v>556</v>
      </c>
      <c r="L2359">
        <v>4065814</v>
      </c>
      <c r="M2359">
        <f>IF(F2359="INR",1,INDEX('rates'!$B$2:$C$522,MATCH(D2359,'rates'!$A$2:$A$522,1),MATCH(F2359&amp;"/INR",'rates'!$B$1:$C$1,0)))</f>
        <v>1</v>
      </c>
      <c r="N2359">
        <f t="shared" si="190"/>
        <v>4065814</v>
      </c>
      <c r="O2359">
        <f t="shared" si="191"/>
        <v>0</v>
      </c>
      <c r="P2359">
        <f t="shared" si="192"/>
        <v>0</v>
      </c>
      <c r="Q2359">
        <f t="shared" si="194"/>
        <v>5</v>
      </c>
      <c r="R2359" t="str">
        <f t="shared" si="193"/>
        <v>Not open</v>
      </c>
    </row>
    <row r="2360" spans="1:18" x14ac:dyDescent="0.3">
      <c r="A2360" t="s">
        <v>2617</v>
      </c>
      <c r="B2360" t="s">
        <v>140</v>
      </c>
      <c r="C2360" t="s">
        <v>554</v>
      </c>
      <c r="D2360" s="1">
        <v>45591</v>
      </c>
      <c r="E2360" s="1">
        <v>45651</v>
      </c>
      <c r="F2360" t="s">
        <v>13</v>
      </c>
      <c r="G2360">
        <v>28840760</v>
      </c>
      <c r="H2360" s="1">
        <v>45650</v>
      </c>
      <c r="I2360" t="s">
        <v>555</v>
      </c>
      <c r="J2360" t="s">
        <v>556</v>
      </c>
      <c r="L2360">
        <v>28840760</v>
      </c>
      <c r="M2360">
        <f>IF(F2360="INR",1,INDEX('rates'!$B$2:$C$522,MATCH(D2360,'rates'!$A$2:$A$522,1),MATCH(F2360&amp;"/INR",'rates'!$B$1:$C$1,0)))</f>
        <v>1</v>
      </c>
      <c r="N2360">
        <f t="shared" si="190"/>
        <v>28840760</v>
      </c>
      <c r="O2360">
        <f t="shared" si="191"/>
        <v>0</v>
      </c>
      <c r="P2360">
        <f t="shared" si="192"/>
        <v>0</v>
      </c>
      <c r="Q2360">
        <f t="shared" si="194"/>
        <v>-1</v>
      </c>
      <c r="R2360" t="str">
        <f t="shared" si="193"/>
        <v>Not open</v>
      </c>
    </row>
    <row r="2361" spans="1:18" x14ac:dyDescent="0.3">
      <c r="A2361" t="s">
        <v>2618</v>
      </c>
      <c r="B2361" t="s">
        <v>158</v>
      </c>
      <c r="C2361" t="s">
        <v>566</v>
      </c>
      <c r="D2361" s="1">
        <v>45591</v>
      </c>
      <c r="E2361" s="1">
        <v>45621</v>
      </c>
      <c r="F2361" t="s">
        <v>13</v>
      </c>
      <c r="G2361">
        <v>4852458</v>
      </c>
      <c r="H2361" s="1"/>
      <c r="I2361" t="s">
        <v>555</v>
      </c>
      <c r="J2361" t="s">
        <v>556</v>
      </c>
      <c r="L2361">
        <v>4852458</v>
      </c>
      <c r="M2361">
        <f>IF(F2361="INR",1,INDEX('rates'!$B$2:$C$522,MATCH(D2361,'rates'!$A$2:$A$522,1),MATCH(F2361&amp;"/INR",'rates'!$B$1:$C$1,0)))</f>
        <v>1</v>
      </c>
      <c r="N2361">
        <f t="shared" si="190"/>
        <v>4852458</v>
      </c>
      <c r="O2361">
        <f t="shared" si="191"/>
        <v>0</v>
      </c>
      <c r="P2361">
        <f t="shared" si="192"/>
        <v>0</v>
      </c>
      <c r="R2361" t="str">
        <f t="shared" si="193"/>
        <v>Not open</v>
      </c>
    </row>
    <row r="2362" spans="1:18" x14ac:dyDescent="0.3">
      <c r="A2362" t="s">
        <v>2619</v>
      </c>
      <c r="B2362" t="s">
        <v>190</v>
      </c>
      <c r="C2362" t="s">
        <v>558</v>
      </c>
      <c r="D2362" s="1">
        <v>45591</v>
      </c>
      <c r="E2362" s="1">
        <v>45621</v>
      </c>
      <c r="F2362" t="s">
        <v>13</v>
      </c>
      <c r="G2362">
        <v>10903471</v>
      </c>
      <c r="H2362" s="1">
        <v>45639</v>
      </c>
      <c r="I2362" t="s">
        <v>555</v>
      </c>
      <c r="J2362" t="s">
        <v>556</v>
      </c>
      <c r="L2362">
        <v>10903471</v>
      </c>
      <c r="M2362">
        <f>IF(F2362="INR",1,INDEX('rates'!$B$2:$C$522,MATCH(D2362,'rates'!$A$2:$A$522,1),MATCH(F2362&amp;"/INR",'rates'!$B$1:$C$1,0)))</f>
        <v>1</v>
      </c>
      <c r="N2362">
        <f t="shared" si="190"/>
        <v>10903471</v>
      </c>
      <c r="O2362">
        <f t="shared" si="191"/>
        <v>0</v>
      </c>
      <c r="P2362">
        <f t="shared" si="192"/>
        <v>0</v>
      </c>
      <c r="Q2362">
        <f t="shared" ref="Q2362:Q2393" si="195">IF(H2362="","",H2362-E2362)</f>
        <v>18</v>
      </c>
      <c r="R2362" t="str">
        <f t="shared" si="193"/>
        <v>Not open</v>
      </c>
    </row>
    <row r="2363" spans="1:18" x14ac:dyDescent="0.3">
      <c r="A2363" t="s">
        <v>2620</v>
      </c>
      <c r="B2363" t="s">
        <v>202</v>
      </c>
      <c r="C2363" t="s">
        <v>554</v>
      </c>
      <c r="D2363" s="1">
        <v>45591</v>
      </c>
      <c r="E2363" s="1">
        <v>45621</v>
      </c>
      <c r="F2363" t="s">
        <v>13</v>
      </c>
      <c r="G2363">
        <v>2490688</v>
      </c>
      <c r="H2363" s="1">
        <v>45636</v>
      </c>
      <c r="I2363" t="s">
        <v>555</v>
      </c>
      <c r="J2363" t="s">
        <v>556</v>
      </c>
      <c r="L2363">
        <v>2490688</v>
      </c>
      <c r="M2363">
        <f>IF(F2363="INR",1,INDEX('rates'!$B$2:$C$522,MATCH(D2363,'rates'!$A$2:$A$522,1),MATCH(F2363&amp;"/INR",'rates'!$B$1:$C$1,0)))</f>
        <v>1</v>
      </c>
      <c r="N2363">
        <f t="shared" si="190"/>
        <v>2490688</v>
      </c>
      <c r="O2363">
        <f t="shared" si="191"/>
        <v>0</v>
      </c>
      <c r="P2363">
        <f t="shared" si="192"/>
        <v>0</v>
      </c>
      <c r="Q2363">
        <f t="shared" si="195"/>
        <v>15</v>
      </c>
      <c r="R2363" t="str">
        <f t="shared" si="193"/>
        <v>Not open</v>
      </c>
    </row>
    <row r="2364" spans="1:18" x14ac:dyDescent="0.3">
      <c r="A2364" t="s">
        <v>2621</v>
      </c>
      <c r="B2364" t="s">
        <v>462</v>
      </c>
      <c r="C2364" t="s">
        <v>566</v>
      </c>
      <c r="D2364" s="1">
        <v>45591</v>
      </c>
      <c r="E2364" s="1">
        <v>45636</v>
      </c>
      <c r="F2364" t="s">
        <v>13</v>
      </c>
      <c r="G2364">
        <v>6589031</v>
      </c>
      <c r="H2364" s="1">
        <v>45657</v>
      </c>
      <c r="I2364" t="s">
        <v>555</v>
      </c>
      <c r="J2364" t="s">
        <v>556</v>
      </c>
      <c r="L2364">
        <v>6589031</v>
      </c>
      <c r="M2364">
        <f>IF(F2364="INR",1,INDEX('rates'!$B$2:$C$522,MATCH(D2364,'rates'!$A$2:$A$522,1),MATCH(F2364&amp;"/INR",'rates'!$B$1:$C$1,0)))</f>
        <v>1</v>
      </c>
      <c r="N2364">
        <f t="shared" si="190"/>
        <v>6589031</v>
      </c>
      <c r="O2364">
        <f t="shared" si="191"/>
        <v>0</v>
      </c>
      <c r="P2364">
        <f t="shared" si="192"/>
        <v>0</v>
      </c>
      <c r="Q2364">
        <f t="shared" si="195"/>
        <v>21</v>
      </c>
      <c r="R2364" t="str">
        <f t="shared" si="193"/>
        <v>Not open</v>
      </c>
    </row>
    <row r="2365" spans="1:18" x14ac:dyDescent="0.3">
      <c r="A2365" t="s">
        <v>2622</v>
      </c>
      <c r="B2365" t="s">
        <v>496</v>
      </c>
      <c r="C2365" t="s">
        <v>566</v>
      </c>
      <c r="D2365" s="1">
        <v>45591</v>
      </c>
      <c r="E2365" s="1">
        <v>45636</v>
      </c>
      <c r="F2365" t="s">
        <v>13</v>
      </c>
      <c r="G2365">
        <v>10270184</v>
      </c>
      <c r="H2365" s="1">
        <v>45651</v>
      </c>
      <c r="I2365" t="s">
        <v>555</v>
      </c>
      <c r="J2365" t="s">
        <v>556</v>
      </c>
      <c r="L2365">
        <v>10270184</v>
      </c>
      <c r="M2365">
        <f>IF(F2365="INR",1,INDEX('rates'!$B$2:$C$522,MATCH(D2365,'rates'!$A$2:$A$522,1),MATCH(F2365&amp;"/INR",'rates'!$B$1:$C$1,0)))</f>
        <v>1</v>
      </c>
      <c r="N2365">
        <f t="shared" si="190"/>
        <v>10270184</v>
      </c>
      <c r="O2365">
        <f t="shared" si="191"/>
        <v>0</v>
      </c>
      <c r="P2365">
        <f t="shared" si="192"/>
        <v>0</v>
      </c>
      <c r="Q2365">
        <f t="shared" si="195"/>
        <v>15</v>
      </c>
      <c r="R2365" t="str">
        <f t="shared" si="193"/>
        <v>Not open</v>
      </c>
    </row>
    <row r="2366" spans="1:18" x14ac:dyDescent="0.3">
      <c r="A2366" t="s">
        <v>2624</v>
      </c>
      <c r="B2366" t="s">
        <v>154</v>
      </c>
      <c r="C2366" t="s">
        <v>566</v>
      </c>
      <c r="D2366" s="1">
        <v>45593</v>
      </c>
      <c r="E2366" s="1">
        <v>45623</v>
      </c>
      <c r="F2366" t="s">
        <v>13</v>
      </c>
      <c r="G2366">
        <v>12947690</v>
      </c>
      <c r="H2366" s="1">
        <v>45632</v>
      </c>
      <c r="I2366" t="s">
        <v>555</v>
      </c>
      <c r="J2366" t="s">
        <v>556</v>
      </c>
      <c r="L2366">
        <v>12947690</v>
      </c>
      <c r="M2366">
        <f>IF(F2366="INR",1,INDEX('rates'!$B$2:$C$522,MATCH(D2366,'rates'!$A$2:$A$522,1),MATCH(F2366&amp;"/INR",'rates'!$B$1:$C$1,0)))</f>
        <v>1</v>
      </c>
      <c r="N2366">
        <f t="shared" si="190"/>
        <v>12947690</v>
      </c>
      <c r="O2366">
        <f t="shared" si="191"/>
        <v>0</v>
      </c>
      <c r="P2366">
        <f t="shared" si="192"/>
        <v>0</v>
      </c>
      <c r="Q2366">
        <f t="shared" si="195"/>
        <v>9</v>
      </c>
      <c r="R2366" t="str">
        <f t="shared" si="193"/>
        <v>Not open</v>
      </c>
    </row>
    <row r="2367" spans="1:18" x14ac:dyDescent="0.3">
      <c r="A2367" t="s">
        <v>2625</v>
      </c>
      <c r="B2367" t="s">
        <v>166</v>
      </c>
      <c r="C2367" t="s">
        <v>560</v>
      </c>
      <c r="D2367" s="1">
        <v>45593</v>
      </c>
      <c r="E2367" s="1">
        <v>45653</v>
      </c>
      <c r="F2367" t="s">
        <v>13</v>
      </c>
      <c r="G2367">
        <v>6910635</v>
      </c>
      <c r="H2367" s="1">
        <v>45647</v>
      </c>
      <c r="I2367" t="s">
        <v>555</v>
      </c>
      <c r="J2367" t="s">
        <v>556</v>
      </c>
      <c r="L2367">
        <v>6910635</v>
      </c>
      <c r="M2367">
        <f>IF(F2367="INR",1,INDEX('rates'!$B$2:$C$522,MATCH(D2367,'rates'!$A$2:$A$522,1),MATCH(F2367&amp;"/INR",'rates'!$B$1:$C$1,0)))</f>
        <v>1</v>
      </c>
      <c r="N2367">
        <f t="shared" si="190"/>
        <v>6910635</v>
      </c>
      <c r="O2367">
        <f t="shared" si="191"/>
        <v>0</v>
      </c>
      <c r="P2367">
        <f t="shared" si="192"/>
        <v>0</v>
      </c>
      <c r="Q2367">
        <f t="shared" si="195"/>
        <v>-6</v>
      </c>
      <c r="R2367" t="str">
        <f t="shared" si="193"/>
        <v>Not open</v>
      </c>
    </row>
    <row r="2368" spans="1:18" x14ac:dyDescent="0.3">
      <c r="A2368" t="s">
        <v>2626</v>
      </c>
      <c r="B2368" t="s">
        <v>232</v>
      </c>
      <c r="C2368" t="s">
        <v>566</v>
      </c>
      <c r="D2368" s="1">
        <v>45593</v>
      </c>
      <c r="E2368" s="1">
        <v>45653</v>
      </c>
      <c r="F2368" t="s">
        <v>36</v>
      </c>
      <c r="G2368">
        <v>132618.94</v>
      </c>
      <c r="H2368" s="1">
        <v>45677</v>
      </c>
      <c r="I2368" t="s">
        <v>555</v>
      </c>
      <c r="J2368" t="s">
        <v>573</v>
      </c>
      <c r="K2368">
        <v>84.330200000000005</v>
      </c>
      <c r="L2368">
        <v>132618.94</v>
      </c>
      <c r="M2368">
        <f>IF(F2368="INR",1,INDEX('rates'!$B$2:$C$522,MATCH(D2368,'rates'!$A$2:$A$522,1),MATCH(F2368&amp;"/INR",'rates'!$B$1:$C$1,0)))</f>
        <v>84.05</v>
      </c>
      <c r="N2368">
        <f t="shared" si="190"/>
        <v>11146621.907</v>
      </c>
      <c r="O2368">
        <f t="shared" si="191"/>
        <v>0</v>
      </c>
      <c r="P2368">
        <f t="shared" si="192"/>
        <v>0</v>
      </c>
      <c r="Q2368">
        <f t="shared" si="195"/>
        <v>24</v>
      </c>
      <c r="R2368" t="str">
        <f t="shared" si="193"/>
        <v>Not open</v>
      </c>
    </row>
    <row r="2369" spans="1:18" x14ac:dyDescent="0.3">
      <c r="A2369" t="s">
        <v>2627</v>
      </c>
      <c r="B2369" t="s">
        <v>394</v>
      </c>
      <c r="C2369" t="s">
        <v>575</v>
      </c>
      <c r="D2369" s="1">
        <v>45593</v>
      </c>
      <c r="E2369" s="1">
        <v>45653</v>
      </c>
      <c r="F2369" t="s">
        <v>31</v>
      </c>
      <c r="G2369">
        <v>76950.33</v>
      </c>
      <c r="H2369" s="1">
        <v>45658</v>
      </c>
      <c r="I2369" t="s">
        <v>555</v>
      </c>
      <c r="J2369" t="s">
        <v>573</v>
      </c>
      <c r="K2369">
        <v>91.115600000000001</v>
      </c>
      <c r="L2369">
        <v>76950.33</v>
      </c>
      <c r="M2369">
        <f>IF(F2369="INR",1,INDEX('rates'!$B$2:$C$522,MATCH(D2369,'rates'!$A$2:$A$522,1),MATCH(F2369&amp;"/INR",'rates'!$B$1:$C$1,0)))</f>
        <v>90.933700000000002</v>
      </c>
      <c r="N2369">
        <f t="shared" si="190"/>
        <v>6997378.2231210005</v>
      </c>
      <c r="O2369">
        <f t="shared" si="191"/>
        <v>0</v>
      </c>
      <c r="P2369">
        <f t="shared" si="192"/>
        <v>0</v>
      </c>
      <c r="Q2369">
        <f t="shared" si="195"/>
        <v>5</v>
      </c>
      <c r="R2369" t="str">
        <f t="shared" si="193"/>
        <v>Not open</v>
      </c>
    </row>
    <row r="2370" spans="1:18" x14ac:dyDescent="0.3">
      <c r="A2370" t="s">
        <v>2628</v>
      </c>
      <c r="B2370" t="s">
        <v>496</v>
      </c>
      <c r="C2370" t="s">
        <v>554</v>
      </c>
      <c r="D2370" s="1">
        <v>45593</v>
      </c>
      <c r="E2370" s="1">
        <v>45638</v>
      </c>
      <c r="F2370" t="s">
        <v>13</v>
      </c>
      <c r="G2370">
        <v>18350466</v>
      </c>
      <c r="H2370" s="1">
        <v>45643</v>
      </c>
      <c r="I2370" t="s">
        <v>555</v>
      </c>
      <c r="J2370" t="s">
        <v>556</v>
      </c>
      <c r="L2370">
        <v>18350466</v>
      </c>
      <c r="M2370">
        <f>IF(F2370="INR",1,INDEX('rates'!$B$2:$C$522,MATCH(D2370,'rates'!$A$2:$A$522,1),MATCH(F2370&amp;"/INR",'rates'!$B$1:$C$1,0)))</f>
        <v>1</v>
      </c>
      <c r="N2370">
        <f t="shared" ref="N2370:N2433" si="196">G2370*M2370</f>
        <v>18350466</v>
      </c>
      <c r="O2370">
        <f t="shared" ref="O2370:O2433" si="197">IF(OR(I2370="OPEN",I2370="PARTIALLY PAID"),(G2370-L2370)*M2370,0)</f>
        <v>0</v>
      </c>
      <c r="P2370">
        <f t="shared" ref="P2370:P2433" si="198">IF(O2370&gt;0,MAX(0,DATE(2025,3,31)-E2370),0)</f>
        <v>0</v>
      </c>
      <c r="Q2370">
        <f t="shared" si="195"/>
        <v>5</v>
      </c>
      <c r="R2370" t="str">
        <f t="shared" ref="R2370:R2433" si="199">IF(O2370=0,"Not open",IF(P2370=0,"Not yet due",IF(P2370&lt;=30,"1-30",IF(P2370&lt;=60,"31-60",IF(P2370&lt;=90,"61-90","90+")))))</f>
        <v>Not open</v>
      </c>
    </row>
    <row r="2371" spans="1:18" x14ac:dyDescent="0.3">
      <c r="A2371" t="s">
        <v>2629</v>
      </c>
      <c r="B2371" t="s">
        <v>394</v>
      </c>
      <c r="C2371" t="s">
        <v>575</v>
      </c>
      <c r="D2371" s="1">
        <v>45594</v>
      </c>
      <c r="E2371" s="1">
        <v>45654</v>
      </c>
      <c r="F2371" t="s">
        <v>31</v>
      </c>
      <c r="G2371">
        <v>60953.52</v>
      </c>
      <c r="H2371" s="1">
        <v>45660</v>
      </c>
      <c r="I2371" t="s">
        <v>555</v>
      </c>
      <c r="J2371" t="s">
        <v>573</v>
      </c>
      <c r="K2371">
        <v>90.927899999999994</v>
      </c>
      <c r="L2371">
        <v>60953.52</v>
      </c>
      <c r="M2371">
        <f>IF(F2371="INR",1,INDEX('rates'!$B$2:$C$522,MATCH(D2371,'rates'!$A$2:$A$522,1),MATCH(F2371&amp;"/INR",'rates'!$B$1:$C$1,0)))</f>
        <v>90.746399999999994</v>
      </c>
      <c r="N2371">
        <f t="shared" si="196"/>
        <v>5531312.507327999</v>
      </c>
      <c r="O2371">
        <f t="shared" si="197"/>
        <v>0</v>
      </c>
      <c r="P2371">
        <f t="shared" si="198"/>
        <v>0</v>
      </c>
      <c r="Q2371">
        <f t="shared" si="195"/>
        <v>6</v>
      </c>
      <c r="R2371" t="str">
        <f t="shared" si="199"/>
        <v>Not open</v>
      </c>
    </row>
    <row r="2372" spans="1:18" x14ac:dyDescent="0.3">
      <c r="A2372" t="s">
        <v>2630</v>
      </c>
      <c r="B2372" t="s">
        <v>506</v>
      </c>
      <c r="C2372" t="s">
        <v>560</v>
      </c>
      <c r="D2372" s="1">
        <v>45594</v>
      </c>
      <c r="E2372" s="1">
        <v>45654</v>
      </c>
      <c r="F2372" t="s">
        <v>13</v>
      </c>
      <c r="G2372">
        <v>2034926</v>
      </c>
      <c r="H2372" s="1">
        <v>45668</v>
      </c>
      <c r="I2372" t="s">
        <v>555</v>
      </c>
      <c r="J2372" t="s">
        <v>556</v>
      </c>
      <c r="L2372">
        <v>2034926</v>
      </c>
      <c r="M2372">
        <f>IF(F2372="INR",1,INDEX('rates'!$B$2:$C$522,MATCH(D2372,'rates'!$A$2:$A$522,1),MATCH(F2372&amp;"/INR",'rates'!$B$1:$C$1,0)))</f>
        <v>1</v>
      </c>
      <c r="N2372">
        <f t="shared" si="196"/>
        <v>2034926</v>
      </c>
      <c r="O2372">
        <f t="shared" si="197"/>
        <v>0</v>
      </c>
      <c r="P2372">
        <f t="shared" si="198"/>
        <v>0</v>
      </c>
      <c r="Q2372">
        <f t="shared" si="195"/>
        <v>14</v>
      </c>
      <c r="R2372" t="str">
        <f t="shared" si="199"/>
        <v>Not open</v>
      </c>
    </row>
    <row r="2373" spans="1:18" x14ac:dyDescent="0.3">
      <c r="A2373" t="s">
        <v>2631</v>
      </c>
      <c r="B2373" t="s">
        <v>72</v>
      </c>
      <c r="C2373" t="s">
        <v>554</v>
      </c>
      <c r="D2373" s="1">
        <v>45595</v>
      </c>
      <c r="E2373" s="1">
        <v>45685</v>
      </c>
      <c r="F2373" t="s">
        <v>31</v>
      </c>
      <c r="G2373">
        <v>18911.23</v>
      </c>
      <c r="H2373" s="1">
        <v>45702</v>
      </c>
      <c r="I2373" t="s">
        <v>555</v>
      </c>
      <c r="J2373" t="s">
        <v>556</v>
      </c>
      <c r="L2373">
        <v>18911.23</v>
      </c>
      <c r="M2373">
        <f>IF(F2373="INR",1,INDEX('rates'!$B$2:$C$522,MATCH(D2373,'rates'!$A$2:$A$522,1),MATCH(F2373&amp;"/INR",'rates'!$B$1:$C$1,0)))</f>
        <v>91.333600000000004</v>
      </c>
      <c r="N2373">
        <f t="shared" si="196"/>
        <v>1727230.716328</v>
      </c>
      <c r="O2373">
        <f t="shared" si="197"/>
        <v>0</v>
      </c>
      <c r="P2373">
        <f t="shared" si="198"/>
        <v>0</v>
      </c>
      <c r="Q2373">
        <f t="shared" si="195"/>
        <v>17</v>
      </c>
      <c r="R2373" t="str">
        <f t="shared" si="199"/>
        <v>Not open</v>
      </c>
    </row>
    <row r="2374" spans="1:18" x14ac:dyDescent="0.3">
      <c r="A2374" t="s">
        <v>2632</v>
      </c>
      <c r="B2374" t="s">
        <v>150</v>
      </c>
      <c r="C2374" t="s">
        <v>558</v>
      </c>
      <c r="D2374" s="1">
        <v>45595</v>
      </c>
      <c r="E2374" s="1">
        <v>45640</v>
      </c>
      <c r="F2374" t="s">
        <v>13</v>
      </c>
      <c r="G2374">
        <v>2287046</v>
      </c>
      <c r="H2374" s="1">
        <v>45642</v>
      </c>
      <c r="I2374" t="s">
        <v>555</v>
      </c>
      <c r="J2374" t="s">
        <v>556</v>
      </c>
      <c r="L2374">
        <v>2287046</v>
      </c>
      <c r="M2374">
        <f>IF(F2374="INR",1,INDEX('rates'!$B$2:$C$522,MATCH(D2374,'rates'!$A$2:$A$522,1),MATCH(F2374&amp;"/INR",'rates'!$B$1:$C$1,0)))</f>
        <v>1</v>
      </c>
      <c r="N2374">
        <f t="shared" si="196"/>
        <v>2287046</v>
      </c>
      <c r="O2374">
        <f t="shared" si="197"/>
        <v>0</v>
      </c>
      <c r="P2374">
        <f t="shared" si="198"/>
        <v>0</v>
      </c>
      <c r="Q2374">
        <f t="shared" si="195"/>
        <v>2</v>
      </c>
      <c r="R2374" t="str">
        <f t="shared" si="199"/>
        <v>Not open</v>
      </c>
    </row>
    <row r="2375" spans="1:18" x14ac:dyDescent="0.3">
      <c r="A2375" t="s">
        <v>2633</v>
      </c>
      <c r="B2375" t="s">
        <v>262</v>
      </c>
      <c r="C2375" t="s">
        <v>566</v>
      </c>
      <c r="D2375" s="1">
        <v>45595</v>
      </c>
      <c r="E2375" s="1">
        <v>45685</v>
      </c>
      <c r="F2375" t="s">
        <v>31</v>
      </c>
      <c r="G2375">
        <v>59256.97</v>
      </c>
      <c r="H2375" s="1">
        <v>45737</v>
      </c>
      <c r="I2375" t="s">
        <v>555</v>
      </c>
      <c r="J2375" t="s">
        <v>573</v>
      </c>
      <c r="K2375">
        <v>91.607600000000005</v>
      </c>
      <c r="L2375">
        <v>59256.97</v>
      </c>
      <c r="M2375">
        <f>IF(F2375="INR",1,INDEX('rates'!$B$2:$C$522,MATCH(D2375,'rates'!$A$2:$A$522,1),MATCH(F2375&amp;"/INR",'rates'!$B$1:$C$1,0)))</f>
        <v>91.333600000000004</v>
      </c>
      <c r="N2375">
        <f t="shared" si="196"/>
        <v>5412152.3951920001</v>
      </c>
      <c r="O2375">
        <f t="shared" si="197"/>
        <v>0</v>
      </c>
      <c r="P2375">
        <f t="shared" si="198"/>
        <v>0</v>
      </c>
      <c r="Q2375">
        <f t="shared" si="195"/>
        <v>52</v>
      </c>
      <c r="R2375" t="str">
        <f t="shared" si="199"/>
        <v>Not open</v>
      </c>
    </row>
    <row r="2376" spans="1:18" x14ac:dyDescent="0.3">
      <c r="A2376" t="s">
        <v>2634</v>
      </c>
      <c r="B2376" t="s">
        <v>426</v>
      </c>
      <c r="C2376" t="s">
        <v>566</v>
      </c>
      <c r="D2376" s="1">
        <v>45595</v>
      </c>
      <c r="E2376" s="1">
        <v>45640</v>
      </c>
      <c r="F2376" t="s">
        <v>31</v>
      </c>
      <c r="G2376">
        <v>122947.82</v>
      </c>
      <c r="H2376" s="1">
        <v>45651</v>
      </c>
      <c r="I2376" t="s">
        <v>555</v>
      </c>
      <c r="J2376" t="s">
        <v>573</v>
      </c>
      <c r="K2376">
        <v>91.470600000000005</v>
      </c>
      <c r="L2376">
        <v>122947.82</v>
      </c>
      <c r="M2376">
        <f>IF(F2376="INR",1,INDEX('rates'!$B$2:$C$522,MATCH(D2376,'rates'!$A$2:$A$522,1),MATCH(F2376&amp;"/INR",'rates'!$B$1:$C$1,0)))</f>
        <v>91.333600000000004</v>
      </c>
      <c r="N2376">
        <f t="shared" si="196"/>
        <v>11229267.012752</v>
      </c>
      <c r="O2376">
        <f t="shared" si="197"/>
        <v>0</v>
      </c>
      <c r="P2376">
        <f t="shared" si="198"/>
        <v>0</v>
      </c>
      <c r="Q2376">
        <f t="shared" si="195"/>
        <v>11</v>
      </c>
      <c r="R2376" t="str">
        <f t="shared" si="199"/>
        <v>Not open</v>
      </c>
    </row>
    <row r="2377" spans="1:18" x14ac:dyDescent="0.3">
      <c r="A2377" t="s">
        <v>2635</v>
      </c>
      <c r="B2377" t="s">
        <v>324</v>
      </c>
      <c r="C2377" t="s">
        <v>575</v>
      </c>
      <c r="D2377" s="1">
        <v>45596</v>
      </c>
      <c r="E2377" s="1">
        <v>45656</v>
      </c>
      <c r="F2377" t="s">
        <v>31</v>
      </c>
      <c r="G2377">
        <v>23805.29</v>
      </c>
      <c r="H2377" s="1">
        <v>45684</v>
      </c>
      <c r="I2377" t="s">
        <v>555</v>
      </c>
      <c r="J2377" t="s">
        <v>573</v>
      </c>
      <c r="K2377">
        <v>91.429599999999994</v>
      </c>
      <c r="L2377">
        <v>23805.29</v>
      </c>
      <c r="M2377">
        <f>IF(F2377="INR",1,INDEX('rates'!$B$2:$C$522,MATCH(D2377,'rates'!$A$2:$A$522,1),MATCH(F2377&amp;"/INR",'rates'!$B$1:$C$1,0)))</f>
        <v>91.247100000000003</v>
      </c>
      <c r="N2377">
        <f t="shared" si="196"/>
        <v>2172163.6771590002</v>
      </c>
      <c r="O2377">
        <f t="shared" si="197"/>
        <v>0</v>
      </c>
      <c r="P2377">
        <f t="shared" si="198"/>
        <v>0</v>
      </c>
      <c r="Q2377">
        <f t="shared" si="195"/>
        <v>28</v>
      </c>
      <c r="R2377" t="str">
        <f t="shared" si="199"/>
        <v>Not open</v>
      </c>
    </row>
    <row r="2378" spans="1:18" x14ac:dyDescent="0.3">
      <c r="A2378" t="s">
        <v>2636</v>
      </c>
      <c r="B2378" t="s">
        <v>240</v>
      </c>
      <c r="C2378" t="s">
        <v>575</v>
      </c>
      <c r="D2378" s="1">
        <v>45597</v>
      </c>
      <c r="E2378" s="1">
        <v>45657</v>
      </c>
      <c r="F2378" t="s">
        <v>36</v>
      </c>
      <c r="G2378">
        <v>96668.28</v>
      </c>
      <c r="H2378" s="1">
        <v>45662</v>
      </c>
      <c r="I2378" t="s">
        <v>555</v>
      </c>
      <c r="J2378" t="s">
        <v>556</v>
      </c>
      <c r="L2378">
        <v>96668.28</v>
      </c>
      <c r="M2378">
        <f>IF(F2378="INR",1,INDEX('rates'!$B$2:$C$522,MATCH(D2378,'rates'!$A$2:$A$522,1),MATCH(F2378&amp;"/INR",'rates'!$B$1:$C$1,0)))</f>
        <v>84.03</v>
      </c>
      <c r="N2378">
        <f t="shared" si="196"/>
        <v>8123035.5684000002</v>
      </c>
      <c r="O2378">
        <f t="shared" si="197"/>
        <v>0</v>
      </c>
      <c r="P2378">
        <f t="shared" si="198"/>
        <v>0</v>
      </c>
      <c r="Q2378">
        <f t="shared" si="195"/>
        <v>5</v>
      </c>
      <c r="R2378" t="str">
        <f t="shared" si="199"/>
        <v>Not open</v>
      </c>
    </row>
    <row r="2379" spans="1:18" x14ac:dyDescent="0.3">
      <c r="A2379" t="s">
        <v>2637</v>
      </c>
      <c r="B2379" t="s">
        <v>262</v>
      </c>
      <c r="C2379" t="s">
        <v>566</v>
      </c>
      <c r="D2379" s="1">
        <v>45597</v>
      </c>
      <c r="E2379" s="1">
        <v>45687</v>
      </c>
      <c r="F2379" t="s">
        <v>31</v>
      </c>
      <c r="G2379">
        <v>66363.210000000006</v>
      </c>
      <c r="H2379" s="1">
        <v>45719</v>
      </c>
      <c r="I2379" t="s">
        <v>555</v>
      </c>
      <c r="J2379" t="s">
        <v>573</v>
      </c>
      <c r="K2379">
        <v>91.429199999999994</v>
      </c>
      <c r="L2379">
        <v>66363.210000000006</v>
      </c>
      <c r="M2379">
        <f>IF(F2379="INR",1,INDEX('rates'!$B$2:$C$522,MATCH(D2379,'rates'!$A$2:$A$522,1),MATCH(F2379&amp;"/INR",'rates'!$B$1:$C$1,0)))</f>
        <v>91.155699999999996</v>
      </c>
      <c r="N2379">
        <f t="shared" si="196"/>
        <v>6049384.8617970003</v>
      </c>
      <c r="O2379">
        <f t="shared" si="197"/>
        <v>0</v>
      </c>
      <c r="P2379">
        <f t="shared" si="198"/>
        <v>0</v>
      </c>
      <c r="Q2379">
        <f t="shared" si="195"/>
        <v>32</v>
      </c>
      <c r="R2379" t="str">
        <f t="shared" si="199"/>
        <v>Not open</v>
      </c>
    </row>
    <row r="2380" spans="1:18" x14ac:dyDescent="0.3">
      <c r="A2380" t="s">
        <v>2638</v>
      </c>
      <c r="B2380" t="s">
        <v>454</v>
      </c>
      <c r="C2380" t="s">
        <v>575</v>
      </c>
      <c r="D2380" s="1">
        <v>45597</v>
      </c>
      <c r="E2380" s="1">
        <v>45657</v>
      </c>
      <c r="F2380" t="s">
        <v>13</v>
      </c>
      <c r="G2380">
        <v>4879572</v>
      </c>
      <c r="H2380" s="1">
        <v>45663</v>
      </c>
      <c r="I2380" t="s">
        <v>555</v>
      </c>
      <c r="J2380" t="s">
        <v>556</v>
      </c>
      <c r="L2380">
        <v>4879572</v>
      </c>
      <c r="M2380">
        <f>IF(F2380="INR",1,INDEX('rates'!$B$2:$C$522,MATCH(D2380,'rates'!$A$2:$A$522,1),MATCH(F2380&amp;"/INR",'rates'!$B$1:$C$1,0)))</f>
        <v>1</v>
      </c>
      <c r="N2380">
        <f t="shared" si="196"/>
        <v>4879572</v>
      </c>
      <c r="O2380">
        <f t="shared" si="197"/>
        <v>0</v>
      </c>
      <c r="P2380">
        <f t="shared" si="198"/>
        <v>0</v>
      </c>
      <c r="Q2380">
        <f t="shared" si="195"/>
        <v>6</v>
      </c>
      <c r="R2380" t="str">
        <f t="shared" si="199"/>
        <v>Not open</v>
      </c>
    </row>
    <row r="2381" spans="1:18" x14ac:dyDescent="0.3">
      <c r="A2381" t="s">
        <v>2639</v>
      </c>
      <c r="B2381" t="s">
        <v>508</v>
      </c>
      <c r="C2381" t="s">
        <v>554</v>
      </c>
      <c r="D2381" s="1">
        <v>45597</v>
      </c>
      <c r="E2381" s="1">
        <v>45657</v>
      </c>
      <c r="F2381" t="s">
        <v>13</v>
      </c>
      <c r="G2381">
        <v>7132706</v>
      </c>
      <c r="H2381" s="1">
        <v>45671</v>
      </c>
      <c r="I2381" t="s">
        <v>555</v>
      </c>
      <c r="J2381" t="s">
        <v>556</v>
      </c>
      <c r="L2381">
        <v>7132706</v>
      </c>
      <c r="M2381">
        <f>IF(F2381="INR",1,INDEX('rates'!$B$2:$C$522,MATCH(D2381,'rates'!$A$2:$A$522,1),MATCH(F2381&amp;"/INR",'rates'!$B$1:$C$1,0)))</f>
        <v>1</v>
      </c>
      <c r="N2381">
        <f t="shared" si="196"/>
        <v>7132706</v>
      </c>
      <c r="O2381">
        <f t="shared" si="197"/>
        <v>0</v>
      </c>
      <c r="P2381">
        <f t="shared" si="198"/>
        <v>0</v>
      </c>
      <c r="Q2381">
        <f t="shared" si="195"/>
        <v>14</v>
      </c>
      <c r="R2381" t="str">
        <f t="shared" si="199"/>
        <v>Not open</v>
      </c>
    </row>
    <row r="2382" spans="1:18" x14ac:dyDescent="0.3">
      <c r="A2382" t="s">
        <v>2640</v>
      </c>
      <c r="B2382" t="s">
        <v>516</v>
      </c>
      <c r="C2382" t="s">
        <v>560</v>
      </c>
      <c r="D2382" s="1">
        <v>45597</v>
      </c>
      <c r="E2382" s="1">
        <v>45657</v>
      </c>
      <c r="F2382" t="s">
        <v>13</v>
      </c>
      <c r="G2382">
        <v>6948907</v>
      </c>
      <c r="H2382" s="1">
        <v>45659</v>
      </c>
      <c r="I2382" t="s">
        <v>555</v>
      </c>
      <c r="J2382" t="s">
        <v>556</v>
      </c>
      <c r="L2382">
        <v>6948907</v>
      </c>
      <c r="M2382">
        <f>IF(F2382="INR",1,INDEX('rates'!$B$2:$C$522,MATCH(D2382,'rates'!$A$2:$A$522,1),MATCH(F2382&amp;"/INR",'rates'!$B$1:$C$1,0)))</f>
        <v>1</v>
      </c>
      <c r="N2382">
        <f t="shared" si="196"/>
        <v>6948907</v>
      </c>
      <c r="O2382">
        <f t="shared" si="197"/>
        <v>0</v>
      </c>
      <c r="P2382">
        <f t="shared" si="198"/>
        <v>0</v>
      </c>
      <c r="Q2382">
        <f t="shared" si="195"/>
        <v>2</v>
      </c>
      <c r="R2382" t="str">
        <f t="shared" si="199"/>
        <v>Not open</v>
      </c>
    </row>
    <row r="2383" spans="1:18" x14ac:dyDescent="0.3">
      <c r="A2383" t="s">
        <v>2641</v>
      </c>
      <c r="B2383" t="s">
        <v>33</v>
      </c>
      <c r="C2383" t="s">
        <v>566</v>
      </c>
      <c r="D2383" s="1">
        <v>45598</v>
      </c>
      <c r="E2383" s="1">
        <v>45628</v>
      </c>
      <c r="F2383" t="s">
        <v>36</v>
      </c>
      <c r="G2383">
        <v>225004.75</v>
      </c>
      <c r="H2383" s="1">
        <v>45640</v>
      </c>
      <c r="I2383" t="s">
        <v>555</v>
      </c>
      <c r="J2383" t="s">
        <v>573</v>
      </c>
      <c r="K2383">
        <v>84.170100000000005</v>
      </c>
      <c r="L2383">
        <v>225004.75</v>
      </c>
      <c r="M2383">
        <f>IF(F2383="INR",1,INDEX('rates'!$B$2:$C$522,MATCH(D2383,'rates'!$A$2:$A$522,1),MATCH(F2383&amp;"/INR",'rates'!$B$1:$C$1,0)))</f>
        <v>84.03</v>
      </c>
      <c r="N2383">
        <f t="shared" si="196"/>
        <v>18907149.142500002</v>
      </c>
      <c r="O2383">
        <f t="shared" si="197"/>
        <v>0</v>
      </c>
      <c r="P2383">
        <f t="shared" si="198"/>
        <v>0</v>
      </c>
      <c r="Q2383">
        <f t="shared" si="195"/>
        <v>12</v>
      </c>
      <c r="R2383" t="str">
        <f t="shared" si="199"/>
        <v>Not open</v>
      </c>
    </row>
    <row r="2384" spans="1:18" x14ac:dyDescent="0.3">
      <c r="A2384" t="s">
        <v>2642</v>
      </c>
      <c r="B2384" t="s">
        <v>96</v>
      </c>
      <c r="C2384" t="s">
        <v>558</v>
      </c>
      <c r="D2384" s="1">
        <v>45598</v>
      </c>
      <c r="E2384" s="1">
        <v>45688</v>
      </c>
      <c r="F2384" t="s">
        <v>13</v>
      </c>
      <c r="G2384">
        <v>8864905</v>
      </c>
      <c r="H2384" s="1">
        <v>45696</v>
      </c>
      <c r="I2384" t="s">
        <v>555</v>
      </c>
      <c r="J2384" t="s">
        <v>556</v>
      </c>
      <c r="L2384">
        <v>8864905</v>
      </c>
      <c r="M2384">
        <f>IF(F2384="INR",1,INDEX('rates'!$B$2:$C$522,MATCH(D2384,'rates'!$A$2:$A$522,1),MATCH(F2384&amp;"/INR",'rates'!$B$1:$C$1,0)))</f>
        <v>1</v>
      </c>
      <c r="N2384">
        <f t="shared" si="196"/>
        <v>8864905</v>
      </c>
      <c r="O2384">
        <f t="shared" si="197"/>
        <v>0</v>
      </c>
      <c r="P2384">
        <f t="shared" si="198"/>
        <v>0</v>
      </c>
      <c r="Q2384">
        <f t="shared" si="195"/>
        <v>8</v>
      </c>
      <c r="R2384" t="str">
        <f t="shared" si="199"/>
        <v>Not open</v>
      </c>
    </row>
    <row r="2385" spans="1:18" x14ac:dyDescent="0.3">
      <c r="A2385" t="s">
        <v>2643</v>
      </c>
      <c r="B2385" t="s">
        <v>119</v>
      </c>
      <c r="C2385" t="s">
        <v>560</v>
      </c>
      <c r="D2385" s="1">
        <v>45598</v>
      </c>
      <c r="E2385" s="1">
        <v>45628</v>
      </c>
      <c r="F2385" t="s">
        <v>31</v>
      </c>
      <c r="G2385">
        <v>66077.960000000006</v>
      </c>
      <c r="H2385" s="1">
        <v>45636</v>
      </c>
      <c r="I2385" t="s">
        <v>555</v>
      </c>
      <c r="J2385" t="s">
        <v>573</v>
      </c>
      <c r="K2385">
        <v>91.246899999999997</v>
      </c>
      <c r="L2385">
        <v>66077.960000000006</v>
      </c>
      <c r="M2385">
        <f>IF(F2385="INR",1,INDEX('rates'!$B$2:$C$522,MATCH(D2385,'rates'!$A$2:$A$522,1),MATCH(F2385&amp;"/INR",'rates'!$B$1:$C$1,0)))</f>
        <v>91.155699999999996</v>
      </c>
      <c r="N2385">
        <f t="shared" si="196"/>
        <v>6023382.6983719999</v>
      </c>
      <c r="O2385">
        <f t="shared" si="197"/>
        <v>0</v>
      </c>
      <c r="P2385">
        <f t="shared" si="198"/>
        <v>0</v>
      </c>
      <c r="Q2385">
        <f t="shared" si="195"/>
        <v>8</v>
      </c>
      <c r="R2385" t="str">
        <f t="shared" si="199"/>
        <v>Not open</v>
      </c>
    </row>
    <row r="2386" spans="1:18" x14ac:dyDescent="0.3">
      <c r="A2386" t="s">
        <v>2644</v>
      </c>
      <c r="B2386" t="s">
        <v>126</v>
      </c>
      <c r="C2386" t="s">
        <v>558</v>
      </c>
      <c r="D2386" s="1">
        <v>45598</v>
      </c>
      <c r="E2386" s="1">
        <v>45643</v>
      </c>
      <c r="F2386" t="s">
        <v>13</v>
      </c>
      <c r="G2386">
        <v>3947092</v>
      </c>
      <c r="H2386" s="1">
        <v>45665</v>
      </c>
      <c r="I2386" t="s">
        <v>555</v>
      </c>
      <c r="J2386" t="s">
        <v>556</v>
      </c>
      <c r="L2386">
        <v>3947092</v>
      </c>
      <c r="M2386">
        <f>IF(F2386="INR",1,INDEX('rates'!$B$2:$C$522,MATCH(D2386,'rates'!$A$2:$A$522,1),MATCH(F2386&amp;"/INR",'rates'!$B$1:$C$1,0)))</f>
        <v>1</v>
      </c>
      <c r="N2386">
        <f t="shared" si="196"/>
        <v>3947092</v>
      </c>
      <c r="O2386">
        <f t="shared" si="197"/>
        <v>0</v>
      </c>
      <c r="P2386">
        <f t="shared" si="198"/>
        <v>0</v>
      </c>
      <c r="Q2386">
        <f t="shared" si="195"/>
        <v>22</v>
      </c>
      <c r="R2386" t="str">
        <f t="shared" si="199"/>
        <v>Not open</v>
      </c>
    </row>
    <row r="2387" spans="1:18" x14ac:dyDescent="0.3">
      <c r="A2387" t="s">
        <v>2645</v>
      </c>
      <c r="B2387" t="s">
        <v>148</v>
      </c>
      <c r="C2387" t="s">
        <v>575</v>
      </c>
      <c r="D2387" s="1">
        <v>45598</v>
      </c>
      <c r="E2387" s="1">
        <v>45658</v>
      </c>
      <c r="F2387" t="s">
        <v>31</v>
      </c>
      <c r="G2387">
        <v>230437.12</v>
      </c>
      <c r="H2387" s="1">
        <v>45673</v>
      </c>
      <c r="I2387" t="s">
        <v>555</v>
      </c>
      <c r="J2387" t="s">
        <v>556</v>
      </c>
      <c r="L2387">
        <v>230437.12</v>
      </c>
      <c r="M2387">
        <f>IF(F2387="INR",1,INDEX('rates'!$B$2:$C$522,MATCH(D2387,'rates'!$A$2:$A$522,1),MATCH(F2387&amp;"/INR",'rates'!$B$1:$C$1,0)))</f>
        <v>91.155699999999996</v>
      </c>
      <c r="N2387">
        <f t="shared" si="196"/>
        <v>21005656.979583997</v>
      </c>
      <c r="O2387">
        <f t="shared" si="197"/>
        <v>0</v>
      </c>
      <c r="P2387">
        <f t="shared" si="198"/>
        <v>0</v>
      </c>
      <c r="Q2387">
        <f t="shared" si="195"/>
        <v>15</v>
      </c>
      <c r="R2387" t="str">
        <f t="shared" si="199"/>
        <v>Not open</v>
      </c>
    </row>
    <row r="2388" spans="1:18" x14ac:dyDescent="0.3">
      <c r="A2388" t="s">
        <v>2646</v>
      </c>
      <c r="B2388" t="s">
        <v>158</v>
      </c>
      <c r="C2388" t="s">
        <v>566</v>
      </c>
      <c r="D2388" s="1">
        <v>45598</v>
      </c>
      <c r="E2388" s="1">
        <v>45628</v>
      </c>
      <c r="F2388" t="s">
        <v>13</v>
      </c>
      <c r="G2388">
        <v>4172145</v>
      </c>
      <c r="H2388" s="1">
        <v>45630</v>
      </c>
      <c r="I2388" t="s">
        <v>555</v>
      </c>
      <c r="J2388" t="s">
        <v>556</v>
      </c>
      <c r="L2388">
        <v>4172145</v>
      </c>
      <c r="M2388">
        <f>IF(F2388="INR",1,INDEX('rates'!$B$2:$C$522,MATCH(D2388,'rates'!$A$2:$A$522,1),MATCH(F2388&amp;"/INR",'rates'!$B$1:$C$1,0)))</f>
        <v>1</v>
      </c>
      <c r="N2388">
        <f t="shared" si="196"/>
        <v>4172145</v>
      </c>
      <c r="O2388">
        <f t="shared" si="197"/>
        <v>0</v>
      </c>
      <c r="P2388">
        <f t="shared" si="198"/>
        <v>0</v>
      </c>
      <c r="Q2388">
        <f t="shared" si="195"/>
        <v>2</v>
      </c>
      <c r="R2388" t="str">
        <f t="shared" si="199"/>
        <v>Not open</v>
      </c>
    </row>
    <row r="2389" spans="1:18" x14ac:dyDescent="0.3">
      <c r="A2389" t="s">
        <v>2648</v>
      </c>
      <c r="B2389" t="s">
        <v>332</v>
      </c>
      <c r="C2389" t="s">
        <v>566</v>
      </c>
      <c r="D2389" s="1">
        <v>45598</v>
      </c>
      <c r="E2389" s="1">
        <v>45658</v>
      </c>
      <c r="F2389" t="s">
        <v>36</v>
      </c>
      <c r="G2389">
        <v>74776.81</v>
      </c>
      <c r="H2389" s="1">
        <v>45655</v>
      </c>
      <c r="I2389" t="s">
        <v>555</v>
      </c>
      <c r="J2389" t="s">
        <v>556</v>
      </c>
      <c r="L2389">
        <v>74776.81</v>
      </c>
      <c r="M2389">
        <f>IF(F2389="INR",1,INDEX('rates'!$B$2:$C$522,MATCH(D2389,'rates'!$A$2:$A$522,1),MATCH(F2389&amp;"/INR",'rates'!$B$1:$C$1,0)))</f>
        <v>84.03</v>
      </c>
      <c r="N2389">
        <f t="shared" si="196"/>
        <v>6283495.3443</v>
      </c>
      <c r="O2389">
        <f t="shared" si="197"/>
        <v>0</v>
      </c>
      <c r="P2389">
        <f t="shared" si="198"/>
        <v>0</v>
      </c>
      <c r="Q2389">
        <f t="shared" si="195"/>
        <v>-3</v>
      </c>
      <c r="R2389" t="str">
        <f t="shared" si="199"/>
        <v>Not open</v>
      </c>
    </row>
    <row r="2390" spans="1:18" x14ac:dyDescent="0.3">
      <c r="A2390" t="s">
        <v>2649</v>
      </c>
      <c r="B2390" t="s">
        <v>362</v>
      </c>
      <c r="C2390" t="s">
        <v>575</v>
      </c>
      <c r="D2390" s="1">
        <v>45598</v>
      </c>
      <c r="E2390" s="1">
        <v>45688</v>
      </c>
      <c r="F2390" t="s">
        <v>36</v>
      </c>
      <c r="G2390">
        <v>41589.03</v>
      </c>
      <c r="H2390" s="1">
        <v>45690</v>
      </c>
      <c r="I2390" t="s">
        <v>555</v>
      </c>
      <c r="J2390" t="s">
        <v>556</v>
      </c>
      <c r="L2390">
        <v>41589.03</v>
      </c>
      <c r="M2390">
        <f>IF(F2390="INR",1,INDEX('rates'!$B$2:$C$522,MATCH(D2390,'rates'!$A$2:$A$522,1),MATCH(F2390&amp;"/INR",'rates'!$B$1:$C$1,0)))</f>
        <v>84.03</v>
      </c>
      <c r="N2390">
        <f t="shared" si="196"/>
        <v>3494726.1908999998</v>
      </c>
      <c r="O2390">
        <f t="shared" si="197"/>
        <v>0</v>
      </c>
      <c r="P2390">
        <f t="shared" si="198"/>
        <v>0</v>
      </c>
      <c r="Q2390">
        <f t="shared" si="195"/>
        <v>2</v>
      </c>
      <c r="R2390" t="str">
        <f t="shared" si="199"/>
        <v>Not open</v>
      </c>
    </row>
    <row r="2391" spans="1:18" x14ac:dyDescent="0.3">
      <c r="A2391" t="s">
        <v>2650</v>
      </c>
      <c r="B2391" t="s">
        <v>444</v>
      </c>
      <c r="C2391" t="s">
        <v>566</v>
      </c>
      <c r="D2391" s="1">
        <v>45598</v>
      </c>
      <c r="E2391" s="1">
        <v>45643</v>
      </c>
      <c r="F2391" t="s">
        <v>36</v>
      </c>
      <c r="G2391">
        <v>50196.47</v>
      </c>
      <c r="H2391" s="1">
        <v>45659</v>
      </c>
      <c r="I2391" t="s">
        <v>555</v>
      </c>
      <c r="J2391" t="s">
        <v>573</v>
      </c>
      <c r="K2391">
        <v>84.240099999999998</v>
      </c>
      <c r="L2391">
        <v>50196.47</v>
      </c>
      <c r="M2391">
        <f>IF(F2391="INR",1,INDEX('rates'!$B$2:$C$522,MATCH(D2391,'rates'!$A$2:$A$522,1),MATCH(F2391&amp;"/INR",'rates'!$B$1:$C$1,0)))</f>
        <v>84.03</v>
      </c>
      <c r="N2391">
        <f t="shared" si="196"/>
        <v>4218009.3741000006</v>
      </c>
      <c r="O2391">
        <f t="shared" si="197"/>
        <v>0</v>
      </c>
      <c r="P2391">
        <f t="shared" si="198"/>
        <v>0</v>
      </c>
      <c r="Q2391">
        <f t="shared" si="195"/>
        <v>16</v>
      </c>
      <c r="R2391" t="str">
        <f t="shared" si="199"/>
        <v>Not open</v>
      </c>
    </row>
    <row r="2392" spans="1:18" x14ac:dyDescent="0.3">
      <c r="A2392" t="s">
        <v>2651</v>
      </c>
      <c r="B2392" t="s">
        <v>484</v>
      </c>
      <c r="C2392" t="s">
        <v>560</v>
      </c>
      <c r="D2392" s="1">
        <v>45598</v>
      </c>
      <c r="E2392" s="1">
        <v>45658</v>
      </c>
      <c r="F2392" t="s">
        <v>31</v>
      </c>
      <c r="G2392">
        <v>53640.67</v>
      </c>
      <c r="H2392" s="1">
        <v>45677</v>
      </c>
      <c r="I2392" t="s">
        <v>555</v>
      </c>
      <c r="J2392" t="s">
        <v>556</v>
      </c>
      <c r="L2392">
        <v>53640.67</v>
      </c>
      <c r="M2392">
        <f>IF(F2392="INR",1,INDEX('rates'!$B$2:$C$522,MATCH(D2392,'rates'!$A$2:$A$522,1),MATCH(F2392&amp;"/INR",'rates'!$B$1:$C$1,0)))</f>
        <v>91.155699999999996</v>
      </c>
      <c r="N2392">
        <f t="shared" si="196"/>
        <v>4889652.822319</v>
      </c>
      <c r="O2392">
        <f t="shared" si="197"/>
        <v>0</v>
      </c>
      <c r="P2392">
        <f t="shared" si="198"/>
        <v>0</v>
      </c>
      <c r="Q2392">
        <f t="shared" si="195"/>
        <v>19</v>
      </c>
      <c r="R2392" t="str">
        <f t="shared" si="199"/>
        <v>Not open</v>
      </c>
    </row>
    <row r="2393" spans="1:18" x14ac:dyDescent="0.3">
      <c r="A2393" t="s">
        <v>2652</v>
      </c>
      <c r="B2393" t="s">
        <v>492</v>
      </c>
      <c r="C2393" t="s">
        <v>566</v>
      </c>
      <c r="D2393" s="1">
        <v>45598</v>
      </c>
      <c r="E2393" s="1">
        <v>45643</v>
      </c>
      <c r="F2393" t="s">
        <v>13</v>
      </c>
      <c r="G2393">
        <v>8289979</v>
      </c>
      <c r="H2393" s="1">
        <v>45638</v>
      </c>
      <c r="I2393" t="s">
        <v>555</v>
      </c>
      <c r="J2393" t="s">
        <v>556</v>
      </c>
      <c r="L2393">
        <v>8289979</v>
      </c>
      <c r="M2393">
        <f>IF(F2393="INR",1,INDEX('rates'!$B$2:$C$522,MATCH(D2393,'rates'!$A$2:$A$522,1),MATCH(F2393&amp;"/INR",'rates'!$B$1:$C$1,0)))</f>
        <v>1</v>
      </c>
      <c r="N2393">
        <f t="shared" si="196"/>
        <v>8289979</v>
      </c>
      <c r="O2393">
        <f t="shared" si="197"/>
        <v>0</v>
      </c>
      <c r="P2393">
        <f t="shared" si="198"/>
        <v>0</v>
      </c>
      <c r="Q2393">
        <f t="shared" si="195"/>
        <v>-5</v>
      </c>
      <c r="R2393" t="str">
        <f t="shared" si="199"/>
        <v>Not open</v>
      </c>
    </row>
    <row r="2394" spans="1:18" x14ac:dyDescent="0.3">
      <c r="A2394" t="s">
        <v>2653</v>
      </c>
      <c r="B2394" t="s">
        <v>117</v>
      </c>
      <c r="C2394" t="s">
        <v>554</v>
      </c>
      <c r="D2394" s="1">
        <v>45600</v>
      </c>
      <c r="E2394" s="1">
        <v>45660</v>
      </c>
      <c r="F2394" t="s">
        <v>13</v>
      </c>
      <c r="G2394">
        <v>2690778</v>
      </c>
      <c r="H2394" s="1">
        <v>45669</v>
      </c>
      <c r="I2394" t="s">
        <v>555</v>
      </c>
      <c r="J2394" t="s">
        <v>556</v>
      </c>
      <c r="L2394">
        <v>2690778</v>
      </c>
      <c r="M2394">
        <f>IF(F2394="INR",1,INDEX('rates'!$B$2:$C$522,MATCH(D2394,'rates'!$A$2:$A$522,1),MATCH(F2394&amp;"/INR",'rates'!$B$1:$C$1,0)))</f>
        <v>1</v>
      </c>
      <c r="N2394">
        <f t="shared" si="196"/>
        <v>2690778</v>
      </c>
      <c r="O2394">
        <f t="shared" si="197"/>
        <v>0</v>
      </c>
      <c r="P2394">
        <f t="shared" si="198"/>
        <v>0</v>
      </c>
      <c r="Q2394">
        <f t="shared" ref="Q2394:Q2423" si="200">IF(H2394="","",H2394-E2394)</f>
        <v>9</v>
      </c>
      <c r="R2394" t="str">
        <f t="shared" si="199"/>
        <v>Not open</v>
      </c>
    </row>
    <row r="2395" spans="1:18" x14ac:dyDescent="0.3">
      <c r="A2395" t="s">
        <v>2654</v>
      </c>
      <c r="B2395" t="s">
        <v>160</v>
      </c>
      <c r="C2395" t="s">
        <v>554</v>
      </c>
      <c r="D2395" s="1">
        <v>45600</v>
      </c>
      <c r="E2395" s="1">
        <v>45645</v>
      </c>
      <c r="F2395" t="s">
        <v>13</v>
      </c>
      <c r="G2395">
        <v>1345159</v>
      </c>
      <c r="H2395" s="1">
        <v>45643</v>
      </c>
      <c r="I2395" t="s">
        <v>555</v>
      </c>
      <c r="J2395" t="s">
        <v>556</v>
      </c>
      <c r="L2395">
        <v>1345159</v>
      </c>
      <c r="M2395">
        <f>IF(F2395="INR",1,INDEX('rates'!$B$2:$C$522,MATCH(D2395,'rates'!$A$2:$A$522,1),MATCH(F2395&amp;"/INR",'rates'!$B$1:$C$1,0)))</f>
        <v>1</v>
      </c>
      <c r="N2395">
        <f t="shared" si="196"/>
        <v>1345159</v>
      </c>
      <c r="O2395">
        <f t="shared" si="197"/>
        <v>0</v>
      </c>
      <c r="P2395">
        <f t="shared" si="198"/>
        <v>0</v>
      </c>
      <c r="Q2395">
        <f t="shared" si="200"/>
        <v>-2</v>
      </c>
      <c r="R2395" t="str">
        <f t="shared" si="199"/>
        <v>Not open</v>
      </c>
    </row>
    <row r="2396" spans="1:18" x14ac:dyDescent="0.3">
      <c r="A2396" t="s">
        <v>2655</v>
      </c>
      <c r="B2396" t="s">
        <v>238</v>
      </c>
      <c r="C2396" t="s">
        <v>566</v>
      </c>
      <c r="D2396" s="1">
        <v>45600</v>
      </c>
      <c r="E2396" s="1">
        <v>45660</v>
      </c>
      <c r="F2396" t="s">
        <v>31</v>
      </c>
      <c r="G2396">
        <v>38449.760000000002</v>
      </c>
      <c r="H2396" s="1">
        <v>45692</v>
      </c>
      <c r="I2396" t="s">
        <v>555</v>
      </c>
      <c r="J2396" t="s">
        <v>573</v>
      </c>
      <c r="K2396">
        <v>91.728399999999993</v>
      </c>
      <c r="L2396">
        <v>38449.760000000002</v>
      </c>
      <c r="M2396">
        <f>IF(F2396="INR",1,INDEX('rates'!$B$2:$C$522,MATCH(D2396,'rates'!$A$2:$A$522,1),MATCH(F2396&amp;"/INR",'rates'!$B$1:$C$1,0)))</f>
        <v>91.545299999999997</v>
      </c>
      <c r="N2396">
        <f t="shared" si="196"/>
        <v>3519894.8141280003</v>
      </c>
      <c r="O2396">
        <f t="shared" si="197"/>
        <v>0</v>
      </c>
      <c r="P2396">
        <f t="shared" si="198"/>
        <v>0</v>
      </c>
      <c r="Q2396">
        <f t="shared" si="200"/>
        <v>32</v>
      </c>
      <c r="R2396" t="str">
        <f t="shared" si="199"/>
        <v>Not open</v>
      </c>
    </row>
    <row r="2397" spans="1:18" x14ac:dyDescent="0.3">
      <c r="A2397" t="s">
        <v>2656</v>
      </c>
      <c r="B2397" t="s">
        <v>328</v>
      </c>
      <c r="C2397" t="s">
        <v>560</v>
      </c>
      <c r="D2397" s="1">
        <v>45600</v>
      </c>
      <c r="E2397" s="1">
        <v>45645</v>
      </c>
      <c r="F2397" t="s">
        <v>13</v>
      </c>
      <c r="G2397">
        <v>10835912</v>
      </c>
      <c r="H2397" s="1">
        <v>45647</v>
      </c>
      <c r="I2397" t="s">
        <v>555</v>
      </c>
      <c r="J2397" t="s">
        <v>556</v>
      </c>
      <c r="L2397">
        <v>10835912</v>
      </c>
      <c r="M2397">
        <f>IF(F2397="INR",1,INDEX('rates'!$B$2:$C$522,MATCH(D2397,'rates'!$A$2:$A$522,1),MATCH(F2397&amp;"/INR",'rates'!$B$1:$C$1,0)))</f>
        <v>1</v>
      </c>
      <c r="N2397">
        <f t="shared" si="196"/>
        <v>10835912</v>
      </c>
      <c r="O2397">
        <f t="shared" si="197"/>
        <v>0</v>
      </c>
      <c r="P2397">
        <f t="shared" si="198"/>
        <v>0</v>
      </c>
      <c r="Q2397">
        <f t="shared" si="200"/>
        <v>2</v>
      </c>
      <c r="R2397" t="str">
        <f t="shared" si="199"/>
        <v>Not open</v>
      </c>
    </row>
    <row r="2398" spans="1:18" x14ac:dyDescent="0.3">
      <c r="A2398" t="s">
        <v>2657</v>
      </c>
      <c r="B2398" t="s">
        <v>404</v>
      </c>
      <c r="C2398" t="s">
        <v>554</v>
      </c>
      <c r="D2398" s="1">
        <v>45600</v>
      </c>
      <c r="E2398" s="1">
        <v>45660</v>
      </c>
      <c r="F2398" t="s">
        <v>13</v>
      </c>
      <c r="G2398">
        <v>3785806</v>
      </c>
      <c r="H2398" s="1">
        <v>45662</v>
      </c>
      <c r="I2398" t="s">
        <v>555</v>
      </c>
      <c r="J2398" t="s">
        <v>556</v>
      </c>
      <c r="L2398">
        <v>3785806</v>
      </c>
      <c r="M2398">
        <f>IF(F2398="INR",1,INDEX('rates'!$B$2:$C$522,MATCH(D2398,'rates'!$A$2:$A$522,1),MATCH(F2398&amp;"/INR",'rates'!$B$1:$C$1,0)))</f>
        <v>1</v>
      </c>
      <c r="N2398">
        <f t="shared" si="196"/>
        <v>3785806</v>
      </c>
      <c r="O2398">
        <f t="shared" si="197"/>
        <v>0</v>
      </c>
      <c r="P2398">
        <f t="shared" si="198"/>
        <v>0</v>
      </c>
      <c r="Q2398">
        <f t="shared" si="200"/>
        <v>2</v>
      </c>
      <c r="R2398" t="str">
        <f t="shared" si="199"/>
        <v>Not open</v>
      </c>
    </row>
    <row r="2399" spans="1:18" x14ac:dyDescent="0.3">
      <c r="A2399" t="s">
        <v>2658</v>
      </c>
      <c r="B2399" t="s">
        <v>454</v>
      </c>
      <c r="C2399" t="s">
        <v>575</v>
      </c>
      <c r="D2399" s="1">
        <v>45600</v>
      </c>
      <c r="E2399" s="1">
        <v>45660</v>
      </c>
      <c r="F2399" t="s">
        <v>13</v>
      </c>
      <c r="G2399">
        <v>15775189</v>
      </c>
      <c r="H2399" s="1">
        <v>45666</v>
      </c>
      <c r="I2399" t="s">
        <v>555</v>
      </c>
      <c r="J2399" t="s">
        <v>556</v>
      </c>
      <c r="L2399">
        <v>15775189</v>
      </c>
      <c r="M2399">
        <f>IF(F2399="INR",1,INDEX('rates'!$B$2:$C$522,MATCH(D2399,'rates'!$A$2:$A$522,1),MATCH(F2399&amp;"/INR",'rates'!$B$1:$C$1,0)))</f>
        <v>1</v>
      </c>
      <c r="N2399">
        <f t="shared" si="196"/>
        <v>15775189</v>
      </c>
      <c r="O2399">
        <f t="shared" si="197"/>
        <v>0</v>
      </c>
      <c r="P2399">
        <f t="shared" si="198"/>
        <v>0</v>
      </c>
      <c r="Q2399">
        <f t="shared" si="200"/>
        <v>6</v>
      </c>
      <c r="R2399" t="str">
        <f t="shared" si="199"/>
        <v>Not open</v>
      </c>
    </row>
    <row r="2400" spans="1:18" x14ac:dyDescent="0.3">
      <c r="A2400" t="s">
        <v>2659</v>
      </c>
      <c r="B2400" t="s">
        <v>186</v>
      </c>
      <c r="C2400" t="s">
        <v>558</v>
      </c>
      <c r="D2400" s="1">
        <v>45601</v>
      </c>
      <c r="E2400" s="1">
        <v>45631</v>
      </c>
      <c r="F2400" t="s">
        <v>36</v>
      </c>
      <c r="G2400">
        <v>49784.12</v>
      </c>
      <c r="H2400" s="1">
        <v>45669</v>
      </c>
      <c r="I2400" t="s">
        <v>555</v>
      </c>
      <c r="J2400" t="s">
        <v>556</v>
      </c>
      <c r="L2400">
        <v>49784.12</v>
      </c>
      <c r="M2400">
        <f>IF(F2400="INR",1,INDEX('rates'!$B$2:$C$522,MATCH(D2400,'rates'!$A$2:$A$522,1),MATCH(F2400&amp;"/INR",'rates'!$B$1:$C$1,0)))</f>
        <v>84.1</v>
      </c>
      <c r="N2400">
        <f t="shared" si="196"/>
        <v>4186844.4920000001</v>
      </c>
      <c r="O2400">
        <f t="shared" si="197"/>
        <v>0</v>
      </c>
      <c r="P2400">
        <f t="shared" si="198"/>
        <v>0</v>
      </c>
      <c r="Q2400">
        <f t="shared" si="200"/>
        <v>38</v>
      </c>
      <c r="R2400" t="str">
        <f t="shared" si="199"/>
        <v>Not open</v>
      </c>
    </row>
    <row r="2401" spans="1:18" x14ac:dyDescent="0.3">
      <c r="A2401" t="s">
        <v>2660</v>
      </c>
      <c r="B2401" t="s">
        <v>274</v>
      </c>
      <c r="C2401" t="s">
        <v>554</v>
      </c>
      <c r="D2401" s="1">
        <v>45601</v>
      </c>
      <c r="E2401" s="1">
        <v>45646</v>
      </c>
      <c r="F2401" t="s">
        <v>13</v>
      </c>
      <c r="G2401">
        <v>735683</v>
      </c>
      <c r="H2401" s="1">
        <v>45655</v>
      </c>
      <c r="I2401" t="s">
        <v>555</v>
      </c>
      <c r="J2401" t="s">
        <v>556</v>
      </c>
      <c r="L2401">
        <v>735683</v>
      </c>
      <c r="M2401">
        <f>IF(F2401="INR",1,INDEX('rates'!$B$2:$C$522,MATCH(D2401,'rates'!$A$2:$A$522,1),MATCH(F2401&amp;"/INR",'rates'!$B$1:$C$1,0)))</f>
        <v>1</v>
      </c>
      <c r="N2401">
        <f t="shared" si="196"/>
        <v>735683</v>
      </c>
      <c r="O2401">
        <f t="shared" si="197"/>
        <v>0</v>
      </c>
      <c r="P2401">
        <f t="shared" si="198"/>
        <v>0</v>
      </c>
      <c r="Q2401">
        <f t="shared" si="200"/>
        <v>9</v>
      </c>
      <c r="R2401" t="str">
        <f t="shared" si="199"/>
        <v>Not open</v>
      </c>
    </row>
    <row r="2402" spans="1:18" x14ac:dyDescent="0.3">
      <c r="A2402" t="s">
        <v>2661</v>
      </c>
      <c r="B2402" t="s">
        <v>372</v>
      </c>
      <c r="C2402" t="s">
        <v>575</v>
      </c>
      <c r="D2402" s="1">
        <v>45601</v>
      </c>
      <c r="E2402" s="1">
        <v>45691</v>
      </c>
      <c r="F2402" t="s">
        <v>13</v>
      </c>
      <c r="G2402">
        <v>9106616</v>
      </c>
      <c r="H2402" s="1">
        <v>45705</v>
      </c>
      <c r="I2402" t="s">
        <v>555</v>
      </c>
      <c r="J2402" t="s">
        <v>556</v>
      </c>
      <c r="L2402">
        <v>9106616</v>
      </c>
      <c r="M2402">
        <f>IF(F2402="INR",1,INDEX('rates'!$B$2:$C$522,MATCH(D2402,'rates'!$A$2:$A$522,1),MATCH(F2402&amp;"/INR",'rates'!$B$1:$C$1,0)))</f>
        <v>1</v>
      </c>
      <c r="N2402">
        <f t="shared" si="196"/>
        <v>9106616</v>
      </c>
      <c r="O2402">
        <f t="shared" si="197"/>
        <v>0</v>
      </c>
      <c r="P2402">
        <f t="shared" si="198"/>
        <v>0</v>
      </c>
      <c r="Q2402">
        <f t="shared" si="200"/>
        <v>14</v>
      </c>
      <c r="R2402" t="str">
        <f t="shared" si="199"/>
        <v>Not open</v>
      </c>
    </row>
    <row r="2403" spans="1:18" x14ac:dyDescent="0.3">
      <c r="A2403" t="s">
        <v>2662</v>
      </c>
      <c r="B2403" t="s">
        <v>444</v>
      </c>
      <c r="C2403" t="s">
        <v>566</v>
      </c>
      <c r="D2403" s="1">
        <v>45601</v>
      </c>
      <c r="E2403" s="1">
        <v>45646</v>
      </c>
      <c r="F2403" t="s">
        <v>36</v>
      </c>
      <c r="G2403">
        <v>55764.65</v>
      </c>
      <c r="H2403" s="1">
        <v>45651</v>
      </c>
      <c r="I2403" t="s">
        <v>555</v>
      </c>
      <c r="J2403" t="s">
        <v>573</v>
      </c>
      <c r="K2403">
        <v>84.310199999999995</v>
      </c>
      <c r="L2403">
        <v>55764.65</v>
      </c>
      <c r="M2403">
        <f>IF(F2403="INR",1,INDEX('rates'!$B$2:$C$522,MATCH(D2403,'rates'!$A$2:$A$522,1),MATCH(F2403&amp;"/INR",'rates'!$B$1:$C$1,0)))</f>
        <v>84.1</v>
      </c>
      <c r="N2403">
        <f t="shared" si="196"/>
        <v>4689807.0649999995</v>
      </c>
      <c r="O2403">
        <f t="shared" si="197"/>
        <v>0</v>
      </c>
      <c r="P2403">
        <f t="shared" si="198"/>
        <v>0</v>
      </c>
      <c r="Q2403">
        <f t="shared" si="200"/>
        <v>5</v>
      </c>
      <c r="R2403" t="str">
        <f t="shared" si="199"/>
        <v>Not open</v>
      </c>
    </row>
    <row r="2404" spans="1:18" x14ac:dyDescent="0.3">
      <c r="A2404" t="s">
        <v>2663</v>
      </c>
      <c r="B2404" t="s">
        <v>512</v>
      </c>
      <c r="C2404" t="s">
        <v>566</v>
      </c>
      <c r="D2404" s="1">
        <v>45601</v>
      </c>
      <c r="E2404" s="1">
        <v>45661</v>
      </c>
      <c r="F2404" t="s">
        <v>31</v>
      </c>
      <c r="G2404">
        <v>254700.88</v>
      </c>
      <c r="H2404" s="1">
        <v>45684</v>
      </c>
      <c r="I2404" t="s">
        <v>555</v>
      </c>
      <c r="J2404" t="s">
        <v>573</v>
      </c>
      <c r="K2404">
        <v>92.020899999999997</v>
      </c>
      <c r="L2404">
        <v>254700.88</v>
      </c>
      <c r="M2404">
        <f>IF(F2404="INR",1,INDEX('rates'!$B$2:$C$522,MATCH(D2404,'rates'!$A$2:$A$522,1),MATCH(F2404&amp;"/INR",'rates'!$B$1:$C$1,0)))</f>
        <v>91.837199999999996</v>
      </c>
      <c r="N2404">
        <f t="shared" si="196"/>
        <v>23391015.656735998</v>
      </c>
      <c r="O2404">
        <f t="shared" si="197"/>
        <v>0</v>
      </c>
      <c r="P2404">
        <f t="shared" si="198"/>
        <v>0</v>
      </c>
      <c r="Q2404">
        <f t="shared" si="200"/>
        <v>23</v>
      </c>
      <c r="R2404" t="str">
        <f t="shared" si="199"/>
        <v>Not open</v>
      </c>
    </row>
    <row r="2405" spans="1:18" x14ac:dyDescent="0.3">
      <c r="A2405" t="s">
        <v>2664</v>
      </c>
      <c r="B2405" t="s">
        <v>524</v>
      </c>
      <c r="C2405" t="s">
        <v>554</v>
      </c>
      <c r="D2405" s="1">
        <v>45601</v>
      </c>
      <c r="E2405" s="1">
        <v>45661</v>
      </c>
      <c r="F2405" t="s">
        <v>31</v>
      </c>
      <c r="G2405">
        <v>16470.64</v>
      </c>
      <c r="H2405" s="1">
        <v>45661</v>
      </c>
      <c r="I2405" t="s">
        <v>555</v>
      </c>
      <c r="J2405" t="s">
        <v>573</v>
      </c>
      <c r="K2405">
        <v>92.020899999999997</v>
      </c>
      <c r="L2405">
        <v>16470.64</v>
      </c>
      <c r="M2405">
        <f>IF(F2405="INR",1,INDEX('rates'!$B$2:$C$522,MATCH(D2405,'rates'!$A$2:$A$522,1),MATCH(F2405&amp;"/INR",'rates'!$B$1:$C$1,0)))</f>
        <v>91.837199999999996</v>
      </c>
      <c r="N2405">
        <f t="shared" si="196"/>
        <v>1512617.4598079999</v>
      </c>
      <c r="O2405">
        <f t="shared" si="197"/>
        <v>0</v>
      </c>
      <c r="P2405">
        <f t="shared" si="198"/>
        <v>0</v>
      </c>
      <c r="Q2405">
        <f t="shared" si="200"/>
        <v>0</v>
      </c>
      <c r="R2405" t="str">
        <f t="shared" si="199"/>
        <v>Not open</v>
      </c>
    </row>
    <row r="2406" spans="1:18" x14ac:dyDescent="0.3">
      <c r="A2406" t="s">
        <v>2665</v>
      </c>
      <c r="B2406" t="s">
        <v>154</v>
      </c>
      <c r="C2406" t="s">
        <v>566</v>
      </c>
      <c r="D2406" s="1">
        <v>45602</v>
      </c>
      <c r="E2406" s="1">
        <v>45632</v>
      </c>
      <c r="F2406" t="s">
        <v>13</v>
      </c>
      <c r="G2406">
        <v>21102647</v>
      </c>
      <c r="H2406" s="1">
        <v>45633</v>
      </c>
      <c r="I2406" t="s">
        <v>555</v>
      </c>
      <c r="J2406" t="s">
        <v>556</v>
      </c>
      <c r="L2406">
        <v>21102647</v>
      </c>
      <c r="M2406">
        <f>IF(F2406="INR",1,INDEX('rates'!$B$2:$C$522,MATCH(D2406,'rates'!$A$2:$A$522,1),MATCH(F2406&amp;"/INR",'rates'!$B$1:$C$1,0)))</f>
        <v>1</v>
      </c>
      <c r="N2406">
        <f t="shared" si="196"/>
        <v>21102647</v>
      </c>
      <c r="O2406">
        <f t="shared" si="197"/>
        <v>0</v>
      </c>
      <c r="P2406">
        <f t="shared" si="198"/>
        <v>0</v>
      </c>
      <c r="Q2406">
        <f t="shared" si="200"/>
        <v>1</v>
      </c>
      <c r="R2406" t="str">
        <f t="shared" si="199"/>
        <v>Not open</v>
      </c>
    </row>
    <row r="2407" spans="1:18" x14ac:dyDescent="0.3">
      <c r="A2407" t="s">
        <v>2666</v>
      </c>
      <c r="B2407" t="s">
        <v>160</v>
      </c>
      <c r="C2407" t="s">
        <v>558</v>
      </c>
      <c r="D2407" s="1">
        <v>45602</v>
      </c>
      <c r="E2407" s="1">
        <v>45647</v>
      </c>
      <c r="F2407" t="s">
        <v>13</v>
      </c>
      <c r="G2407">
        <v>6861622</v>
      </c>
      <c r="H2407" s="1">
        <v>45652</v>
      </c>
      <c r="I2407" t="s">
        <v>555</v>
      </c>
      <c r="J2407" t="s">
        <v>556</v>
      </c>
      <c r="L2407">
        <v>6861622</v>
      </c>
      <c r="M2407">
        <f>IF(F2407="INR",1,INDEX('rates'!$B$2:$C$522,MATCH(D2407,'rates'!$A$2:$A$522,1),MATCH(F2407&amp;"/INR",'rates'!$B$1:$C$1,0)))</f>
        <v>1</v>
      </c>
      <c r="N2407">
        <f t="shared" si="196"/>
        <v>6861622</v>
      </c>
      <c r="O2407">
        <f t="shared" si="197"/>
        <v>0</v>
      </c>
      <c r="P2407">
        <f t="shared" si="198"/>
        <v>0</v>
      </c>
      <c r="Q2407">
        <f t="shared" si="200"/>
        <v>5</v>
      </c>
      <c r="R2407" t="str">
        <f t="shared" si="199"/>
        <v>Not open</v>
      </c>
    </row>
    <row r="2408" spans="1:18" x14ac:dyDescent="0.3">
      <c r="A2408" t="s">
        <v>2667</v>
      </c>
      <c r="B2408" t="s">
        <v>436</v>
      </c>
      <c r="C2408" t="s">
        <v>566</v>
      </c>
      <c r="D2408" s="1">
        <v>45602</v>
      </c>
      <c r="E2408" s="1">
        <v>45647</v>
      </c>
      <c r="F2408" t="s">
        <v>36</v>
      </c>
      <c r="G2408">
        <v>299286.34000000003</v>
      </c>
      <c r="H2408" s="1">
        <v>45677</v>
      </c>
      <c r="I2408" t="s">
        <v>555</v>
      </c>
      <c r="J2408" t="s">
        <v>573</v>
      </c>
      <c r="K2408">
        <v>84.520799999999994</v>
      </c>
      <c r="L2408">
        <v>299286.34000000003</v>
      </c>
      <c r="M2408">
        <f>IF(F2408="INR",1,INDEX('rates'!$B$2:$C$522,MATCH(D2408,'rates'!$A$2:$A$522,1),MATCH(F2408&amp;"/INR",'rates'!$B$1:$C$1,0)))</f>
        <v>84.31</v>
      </c>
      <c r="N2408">
        <f t="shared" si="196"/>
        <v>25232831.325400002</v>
      </c>
      <c r="O2408">
        <f t="shared" si="197"/>
        <v>0</v>
      </c>
      <c r="P2408">
        <f t="shared" si="198"/>
        <v>0</v>
      </c>
      <c r="Q2408">
        <f t="shared" si="200"/>
        <v>30</v>
      </c>
      <c r="R2408" t="str">
        <f t="shared" si="199"/>
        <v>Not open</v>
      </c>
    </row>
    <row r="2409" spans="1:18" x14ac:dyDescent="0.3">
      <c r="A2409" t="s">
        <v>2668</v>
      </c>
      <c r="B2409" t="s">
        <v>454</v>
      </c>
      <c r="C2409" t="s">
        <v>575</v>
      </c>
      <c r="D2409" s="1">
        <v>45602</v>
      </c>
      <c r="E2409" s="1">
        <v>45662</v>
      </c>
      <c r="F2409" t="s">
        <v>13</v>
      </c>
      <c r="G2409">
        <v>8073251</v>
      </c>
      <c r="H2409" s="1">
        <v>45660</v>
      </c>
      <c r="I2409" t="s">
        <v>555</v>
      </c>
      <c r="J2409" t="s">
        <v>556</v>
      </c>
      <c r="L2409">
        <v>8073251</v>
      </c>
      <c r="M2409">
        <f>IF(F2409="INR",1,INDEX('rates'!$B$2:$C$522,MATCH(D2409,'rates'!$A$2:$A$522,1),MATCH(F2409&amp;"/INR",'rates'!$B$1:$C$1,0)))</f>
        <v>1</v>
      </c>
      <c r="N2409">
        <f t="shared" si="196"/>
        <v>8073251</v>
      </c>
      <c r="O2409">
        <f t="shared" si="197"/>
        <v>0</v>
      </c>
      <c r="P2409">
        <f t="shared" si="198"/>
        <v>0</v>
      </c>
      <c r="Q2409">
        <f t="shared" si="200"/>
        <v>-2</v>
      </c>
      <c r="R2409" t="str">
        <f t="shared" si="199"/>
        <v>Not open</v>
      </c>
    </row>
    <row r="2410" spans="1:18" x14ac:dyDescent="0.3">
      <c r="A2410" t="s">
        <v>2669</v>
      </c>
      <c r="B2410" t="s">
        <v>154</v>
      </c>
      <c r="C2410" t="s">
        <v>566</v>
      </c>
      <c r="D2410" s="1">
        <v>45603</v>
      </c>
      <c r="E2410" s="1">
        <v>45633</v>
      </c>
      <c r="F2410" t="s">
        <v>13</v>
      </c>
      <c r="G2410">
        <v>15857103</v>
      </c>
      <c r="H2410" s="1">
        <v>45632</v>
      </c>
      <c r="I2410" t="s">
        <v>555</v>
      </c>
      <c r="J2410" t="s">
        <v>556</v>
      </c>
      <c r="L2410">
        <v>15857103</v>
      </c>
      <c r="M2410">
        <f>IF(F2410="INR",1,INDEX('rates'!$B$2:$C$522,MATCH(D2410,'rates'!$A$2:$A$522,1),MATCH(F2410&amp;"/INR",'rates'!$B$1:$C$1,0)))</f>
        <v>1</v>
      </c>
      <c r="N2410">
        <f t="shared" si="196"/>
        <v>15857103</v>
      </c>
      <c r="O2410">
        <f t="shared" si="197"/>
        <v>0</v>
      </c>
      <c r="P2410">
        <f t="shared" si="198"/>
        <v>0</v>
      </c>
      <c r="Q2410">
        <f t="shared" si="200"/>
        <v>-1</v>
      </c>
      <c r="R2410" t="str">
        <f t="shared" si="199"/>
        <v>Not open</v>
      </c>
    </row>
    <row r="2411" spans="1:18" x14ac:dyDescent="0.3">
      <c r="A2411" t="s">
        <v>2670</v>
      </c>
      <c r="B2411" t="s">
        <v>204</v>
      </c>
      <c r="C2411" t="s">
        <v>575</v>
      </c>
      <c r="D2411" s="1">
        <v>45603</v>
      </c>
      <c r="E2411" s="1">
        <v>45663</v>
      </c>
      <c r="F2411" t="s">
        <v>13</v>
      </c>
      <c r="G2411">
        <v>26618502</v>
      </c>
      <c r="H2411" s="1">
        <v>45676</v>
      </c>
      <c r="I2411" t="s">
        <v>555</v>
      </c>
      <c r="J2411" t="s">
        <v>556</v>
      </c>
      <c r="L2411">
        <v>26618502</v>
      </c>
      <c r="M2411">
        <f>IF(F2411="INR",1,INDEX('rates'!$B$2:$C$522,MATCH(D2411,'rates'!$A$2:$A$522,1),MATCH(F2411&amp;"/INR",'rates'!$B$1:$C$1,0)))</f>
        <v>1</v>
      </c>
      <c r="N2411">
        <f t="shared" si="196"/>
        <v>26618502</v>
      </c>
      <c r="O2411">
        <f t="shared" si="197"/>
        <v>0</v>
      </c>
      <c r="P2411">
        <f t="shared" si="198"/>
        <v>0</v>
      </c>
      <c r="Q2411">
        <f t="shared" si="200"/>
        <v>13</v>
      </c>
      <c r="R2411" t="str">
        <f t="shared" si="199"/>
        <v>Not open</v>
      </c>
    </row>
    <row r="2412" spans="1:18" x14ac:dyDescent="0.3">
      <c r="A2412" t="s">
        <v>2671</v>
      </c>
      <c r="B2412" t="s">
        <v>306</v>
      </c>
      <c r="C2412" t="s">
        <v>558</v>
      </c>
      <c r="D2412" s="1">
        <v>45603</v>
      </c>
      <c r="E2412" s="1">
        <v>45693</v>
      </c>
      <c r="F2412" t="s">
        <v>36</v>
      </c>
      <c r="G2412">
        <v>546510.92000000004</v>
      </c>
      <c r="H2412" s="1">
        <v>45712</v>
      </c>
      <c r="I2412" t="s">
        <v>555</v>
      </c>
      <c r="J2412" t="s">
        <v>556</v>
      </c>
      <c r="L2412">
        <v>546510.92000000004</v>
      </c>
      <c r="M2412">
        <f>IF(F2412="INR",1,INDEX('rates'!$B$2:$C$522,MATCH(D2412,'rates'!$A$2:$A$522,1),MATCH(F2412&amp;"/INR",'rates'!$B$1:$C$1,0)))</f>
        <v>84.37</v>
      </c>
      <c r="N2412">
        <f t="shared" si="196"/>
        <v>46109126.320400007</v>
      </c>
      <c r="O2412">
        <f t="shared" si="197"/>
        <v>0</v>
      </c>
      <c r="P2412">
        <f t="shared" si="198"/>
        <v>0</v>
      </c>
      <c r="Q2412">
        <f t="shared" si="200"/>
        <v>19</v>
      </c>
      <c r="R2412" t="str">
        <f t="shared" si="199"/>
        <v>Not open</v>
      </c>
    </row>
    <row r="2413" spans="1:18" x14ac:dyDescent="0.3">
      <c r="A2413" t="s">
        <v>2672</v>
      </c>
      <c r="B2413" t="s">
        <v>388</v>
      </c>
      <c r="C2413" t="s">
        <v>575</v>
      </c>
      <c r="D2413" s="1">
        <v>45603</v>
      </c>
      <c r="E2413" s="1">
        <v>45648</v>
      </c>
      <c r="F2413" t="s">
        <v>31</v>
      </c>
      <c r="G2413">
        <v>48459.78</v>
      </c>
      <c r="H2413" s="1">
        <v>45663</v>
      </c>
      <c r="I2413" t="s">
        <v>555</v>
      </c>
      <c r="J2413" t="s">
        <v>573</v>
      </c>
      <c r="K2413">
        <v>91.188699999999997</v>
      </c>
      <c r="L2413">
        <v>48459.78</v>
      </c>
      <c r="M2413">
        <f>IF(F2413="INR",1,INDEX('rates'!$B$2:$C$522,MATCH(D2413,'rates'!$A$2:$A$522,1),MATCH(F2413&amp;"/INR",'rates'!$B$1:$C$1,0)))</f>
        <v>91.052099999999996</v>
      </c>
      <c r="N2413">
        <f t="shared" si="196"/>
        <v>4412364.7345380001</v>
      </c>
      <c r="O2413">
        <f t="shared" si="197"/>
        <v>0</v>
      </c>
      <c r="P2413">
        <f t="shared" si="198"/>
        <v>0</v>
      </c>
      <c r="Q2413">
        <f t="shared" si="200"/>
        <v>15</v>
      </c>
      <c r="R2413" t="str">
        <f t="shared" si="199"/>
        <v>Not open</v>
      </c>
    </row>
    <row r="2414" spans="1:18" x14ac:dyDescent="0.3">
      <c r="A2414" t="s">
        <v>2673</v>
      </c>
      <c r="B2414" t="s">
        <v>432</v>
      </c>
      <c r="C2414" t="s">
        <v>560</v>
      </c>
      <c r="D2414" s="1">
        <v>45603</v>
      </c>
      <c r="E2414" s="1">
        <v>45693</v>
      </c>
      <c r="F2414" t="s">
        <v>36</v>
      </c>
      <c r="G2414">
        <v>35644.11</v>
      </c>
      <c r="H2414" s="1">
        <v>45698</v>
      </c>
      <c r="I2414" t="s">
        <v>555</v>
      </c>
      <c r="J2414" t="s">
        <v>556</v>
      </c>
      <c r="L2414">
        <v>35644.11</v>
      </c>
      <c r="M2414">
        <f>IF(F2414="INR",1,INDEX('rates'!$B$2:$C$522,MATCH(D2414,'rates'!$A$2:$A$522,1),MATCH(F2414&amp;"/INR",'rates'!$B$1:$C$1,0)))</f>
        <v>84.37</v>
      </c>
      <c r="N2414">
        <f t="shared" si="196"/>
        <v>3007293.5607000003</v>
      </c>
      <c r="O2414">
        <f t="shared" si="197"/>
        <v>0</v>
      </c>
      <c r="P2414">
        <f t="shared" si="198"/>
        <v>0</v>
      </c>
      <c r="Q2414">
        <f t="shared" si="200"/>
        <v>5</v>
      </c>
      <c r="R2414" t="str">
        <f t="shared" si="199"/>
        <v>Not open</v>
      </c>
    </row>
    <row r="2415" spans="1:18" x14ac:dyDescent="0.3">
      <c r="A2415" t="s">
        <v>2674</v>
      </c>
      <c r="B2415" t="s">
        <v>466</v>
      </c>
      <c r="C2415" t="s">
        <v>560</v>
      </c>
      <c r="D2415" s="1">
        <v>45603</v>
      </c>
      <c r="E2415" s="1">
        <v>45663</v>
      </c>
      <c r="F2415" t="s">
        <v>31</v>
      </c>
      <c r="G2415">
        <v>33128.93</v>
      </c>
      <c r="H2415" s="1">
        <v>45661</v>
      </c>
      <c r="I2415" t="s">
        <v>555</v>
      </c>
      <c r="J2415" t="s">
        <v>573</v>
      </c>
      <c r="K2415">
        <v>91.234200000000001</v>
      </c>
      <c r="L2415">
        <v>33128.93</v>
      </c>
      <c r="M2415">
        <f>IF(F2415="INR",1,INDEX('rates'!$B$2:$C$522,MATCH(D2415,'rates'!$A$2:$A$522,1),MATCH(F2415&amp;"/INR",'rates'!$B$1:$C$1,0)))</f>
        <v>91.052099999999996</v>
      </c>
      <c r="N2415">
        <f t="shared" si="196"/>
        <v>3016458.6472529997</v>
      </c>
      <c r="O2415">
        <f t="shared" si="197"/>
        <v>0</v>
      </c>
      <c r="P2415">
        <f t="shared" si="198"/>
        <v>0</v>
      </c>
      <c r="Q2415">
        <f t="shared" si="200"/>
        <v>-2</v>
      </c>
      <c r="R2415" t="str">
        <f t="shared" si="199"/>
        <v>Not open</v>
      </c>
    </row>
    <row r="2416" spans="1:18" x14ac:dyDescent="0.3">
      <c r="A2416" t="s">
        <v>2675</v>
      </c>
      <c r="B2416" t="s">
        <v>516</v>
      </c>
      <c r="C2416" t="s">
        <v>560</v>
      </c>
      <c r="D2416" s="1">
        <v>45603</v>
      </c>
      <c r="E2416" s="1">
        <v>45663</v>
      </c>
      <c r="F2416" t="s">
        <v>13</v>
      </c>
      <c r="G2416">
        <v>24048843</v>
      </c>
      <c r="H2416" s="1">
        <v>45670</v>
      </c>
      <c r="I2416" t="s">
        <v>555</v>
      </c>
      <c r="J2416" t="s">
        <v>556</v>
      </c>
      <c r="L2416">
        <v>24048843</v>
      </c>
      <c r="M2416">
        <f>IF(F2416="INR",1,INDEX('rates'!$B$2:$C$522,MATCH(D2416,'rates'!$A$2:$A$522,1),MATCH(F2416&amp;"/INR",'rates'!$B$1:$C$1,0)))</f>
        <v>1</v>
      </c>
      <c r="N2416">
        <f t="shared" si="196"/>
        <v>24048843</v>
      </c>
      <c r="O2416">
        <f t="shared" si="197"/>
        <v>0</v>
      </c>
      <c r="P2416">
        <f t="shared" si="198"/>
        <v>0</v>
      </c>
      <c r="Q2416">
        <f t="shared" si="200"/>
        <v>7</v>
      </c>
      <c r="R2416" t="str">
        <f t="shared" si="199"/>
        <v>Not open</v>
      </c>
    </row>
    <row r="2417" spans="1:18" x14ac:dyDescent="0.3">
      <c r="A2417" t="s">
        <v>2676</v>
      </c>
      <c r="B2417" t="s">
        <v>19</v>
      </c>
      <c r="C2417" t="s">
        <v>554</v>
      </c>
      <c r="D2417" s="1">
        <v>45604</v>
      </c>
      <c r="E2417" s="1">
        <v>45649</v>
      </c>
      <c r="F2417" t="s">
        <v>13</v>
      </c>
      <c r="G2417">
        <v>1131537</v>
      </c>
      <c r="H2417" s="1">
        <v>45677</v>
      </c>
      <c r="I2417" t="s">
        <v>555</v>
      </c>
      <c r="J2417" t="s">
        <v>556</v>
      </c>
      <c r="L2417">
        <v>1131537</v>
      </c>
      <c r="M2417">
        <f>IF(F2417="INR",1,INDEX('rates'!$B$2:$C$522,MATCH(D2417,'rates'!$A$2:$A$522,1),MATCH(F2417&amp;"/INR",'rates'!$B$1:$C$1,0)))</f>
        <v>1</v>
      </c>
      <c r="N2417">
        <f t="shared" si="196"/>
        <v>1131537</v>
      </c>
      <c r="O2417">
        <f t="shared" si="197"/>
        <v>0</v>
      </c>
      <c r="P2417">
        <f t="shared" si="198"/>
        <v>0</v>
      </c>
      <c r="Q2417">
        <f t="shared" si="200"/>
        <v>28</v>
      </c>
      <c r="R2417" t="str">
        <f t="shared" si="199"/>
        <v>Not open</v>
      </c>
    </row>
    <row r="2418" spans="1:18" x14ac:dyDescent="0.3">
      <c r="A2418" t="s">
        <v>2677</v>
      </c>
      <c r="B2418" t="s">
        <v>186</v>
      </c>
      <c r="C2418" t="s">
        <v>558</v>
      </c>
      <c r="D2418" s="1">
        <v>45604</v>
      </c>
      <c r="E2418" s="1">
        <v>45634</v>
      </c>
      <c r="F2418" t="s">
        <v>36</v>
      </c>
      <c r="G2418">
        <v>224538.13</v>
      </c>
      <c r="H2418" s="1">
        <v>45645</v>
      </c>
      <c r="I2418" t="s">
        <v>555</v>
      </c>
      <c r="J2418" t="s">
        <v>556</v>
      </c>
      <c r="L2418">
        <v>224538.13</v>
      </c>
      <c r="M2418">
        <f>IF(F2418="INR",1,INDEX('rates'!$B$2:$C$522,MATCH(D2418,'rates'!$A$2:$A$522,1),MATCH(F2418&amp;"/INR",'rates'!$B$1:$C$1,0)))</f>
        <v>84.34</v>
      </c>
      <c r="N2418">
        <f t="shared" si="196"/>
        <v>18937545.884200003</v>
      </c>
      <c r="O2418">
        <f t="shared" si="197"/>
        <v>0</v>
      </c>
      <c r="P2418">
        <f t="shared" si="198"/>
        <v>0</v>
      </c>
      <c r="Q2418">
        <f t="shared" si="200"/>
        <v>11</v>
      </c>
      <c r="R2418" t="str">
        <f t="shared" si="199"/>
        <v>Not open</v>
      </c>
    </row>
    <row r="2419" spans="1:18" x14ac:dyDescent="0.3">
      <c r="A2419" t="s">
        <v>2678</v>
      </c>
      <c r="B2419" t="s">
        <v>268</v>
      </c>
      <c r="C2419" t="s">
        <v>566</v>
      </c>
      <c r="D2419" s="1">
        <v>45604</v>
      </c>
      <c r="E2419" s="1">
        <v>45664</v>
      </c>
      <c r="F2419" t="s">
        <v>13</v>
      </c>
      <c r="G2419">
        <v>2329434</v>
      </c>
      <c r="H2419" s="1">
        <v>45686</v>
      </c>
      <c r="I2419" t="s">
        <v>555</v>
      </c>
      <c r="J2419" t="s">
        <v>556</v>
      </c>
      <c r="L2419">
        <v>2329434</v>
      </c>
      <c r="M2419">
        <f>IF(F2419="INR",1,INDEX('rates'!$B$2:$C$522,MATCH(D2419,'rates'!$A$2:$A$522,1),MATCH(F2419&amp;"/INR",'rates'!$B$1:$C$1,0)))</f>
        <v>1</v>
      </c>
      <c r="N2419">
        <f t="shared" si="196"/>
        <v>2329434</v>
      </c>
      <c r="O2419">
        <f t="shared" si="197"/>
        <v>0</v>
      </c>
      <c r="P2419">
        <f t="shared" si="198"/>
        <v>0</v>
      </c>
      <c r="Q2419">
        <f t="shared" si="200"/>
        <v>22</v>
      </c>
      <c r="R2419" t="str">
        <f t="shared" si="199"/>
        <v>Not open</v>
      </c>
    </row>
    <row r="2420" spans="1:18" x14ac:dyDescent="0.3">
      <c r="A2420" t="s">
        <v>2680</v>
      </c>
      <c r="B2420" t="s">
        <v>115</v>
      </c>
      <c r="C2420" t="s">
        <v>554</v>
      </c>
      <c r="D2420" s="1">
        <v>45605</v>
      </c>
      <c r="E2420" s="1">
        <v>45665</v>
      </c>
      <c r="F2420" t="s">
        <v>13</v>
      </c>
      <c r="G2420">
        <v>2729964</v>
      </c>
      <c r="H2420" s="1">
        <v>45671</v>
      </c>
      <c r="I2420" t="s">
        <v>555</v>
      </c>
      <c r="J2420" t="s">
        <v>556</v>
      </c>
      <c r="L2420">
        <v>2729964</v>
      </c>
      <c r="M2420">
        <f>IF(F2420="INR",1,INDEX('rates'!$B$2:$C$522,MATCH(D2420,'rates'!$A$2:$A$522,1),MATCH(F2420&amp;"/INR",'rates'!$B$1:$C$1,0)))</f>
        <v>1</v>
      </c>
      <c r="N2420">
        <f t="shared" si="196"/>
        <v>2729964</v>
      </c>
      <c r="O2420">
        <f t="shared" si="197"/>
        <v>0</v>
      </c>
      <c r="P2420">
        <f t="shared" si="198"/>
        <v>0</v>
      </c>
      <c r="Q2420">
        <f t="shared" si="200"/>
        <v>6</v>
      </c>
      <c r="R2420" t="str">
        <f t="shared" si="199"/>
        <v>Not open</v>
      </c>
    </row>
    <row r="2421" spans="1:18" x14ac:dyDescent="0.3">
      <c r="A2421" t="s">
        <v>2681</v>
      </c>
      <c r="B2421" t="s">
        <v>138</v>
      </c>
      <c r="C2421" t="s">
        <v>566</v>
      </c>
      <c r="D2421" s="1">
        <v>45605</v>
      </c>
      <c r="E2421" s="1">
        <v>45635</v>
      </c>
      <c r="F2421" t="s">
        <v>13</v>
      </c>
      <c r="G2421">
        <v>15888212</v>
      </c>
      <c r="H2421" s="1">
        <v>45635</v>
      </c>
      <c r="I2421" t="s">
        <v>555</v>
      </c>
      <c r="J2421" t="s">
        <v>556</v>
      </c>
      <c r="L2421">
        <v>15888212</v>
      </c>
      <c r="M2421">
        <f>IF(F2421="INR",1,INDEX('rates'!$B$2:$C$522,MATCH(D2421,'rates'!$A$2:$A$522,1),MATCH(F2421&amp;"/INR",'rates'!$B$1:$C$1,0)))</f>
        <v>1</v>
      </c>
      <c r="N2421">
        <f t="shared" si="196"/>
        <v>15888212</v>
      </c>
      <c r="O2421">
        <f t="shared" si="197"/>
        <v>0</v>
      </c>
      <c r="P2421">
        <f t="shared" si="198"/>
        <v>0</v>
      </c>
      <c r="Q2421">
        <f t="shared" si="200"/>
        <v>0</v>
      </c>
      <c r="R2421" t="str">
        <f t="shared" si="199"/>
        <v>Not open</v>
      </c>
    </row>
    <row r="2422" spans="1:18" x14ac:dyDescent="0.3">
      <c r="A2422" t="s">
        <v>2682</v>
      </c>
      <c r="B2422" t="s">
        <v>138</v>
      </c>
      <c r="C2422" t="s">
        <v>566</v>
      </c>
      <c r="D2422" s="1">
        <v>45605</v>
      </c>
      <c r="E2422" s="1">
        <v>45635</v>
      </c>
      <c r="F2422" t="s">
        <v>13</v>
      </c>
      <c r="G2422">
        <v>8940717</v>
      </c>
      <c r="H2422" s="1">
        <v>45629</v>
      </c>
      <c r="I2422" t="s">
        <v>555</v>
      </c>
      <c r="J2422" t="s">
        <v>556</v>
      </c>
      <c r="L2422">
        <v>8940717</v>
      </c>
      <c r="M2422">
        <f>IF(F2422="INR",1,INDEX('rates'!$B$2:$C$522,MATCH(D2422,'rates'!$A$2:$A$522,1),MATCH(F2422&amp;"/INR",'rates'!$B$1:$C$1,0)))</f>
        <v>1</v>
      </c>
      <c r="N2422">
        <f t="shared" si="196"/>
        <v>8940717</v>
      </c>
      <c r="O2422">
        <f t="shared" si="197"/>
        <v>0</v>
      </c>
      <c r="P2422">
        <f t="shared" si="198"/>
        <v>0</v>
      </c>
      <c r="Q2422">
        <f t="shared" si="200"/>
        <v>-6</v>
      </c>
      <c r="R2422" t="str">
        <f t="shared" si="199"/>
        <v>Not open</v>
      </c>
    </row>
    <row r="2423" spans="1:18" x14ac:dyDescent="0.3">
      <c r="A2423" t="s">
        <v>2683</v>
      </c>
      <c r="B2423" t="s">
        <v>160</v>
      </c>
      <c r="C2423" t="s">
        <v>554</v>
      </c>
      <c r="D2423" s="1">
        <v>45605</v>
      </c>
      <c r="E2423" s="1">
        <v>45650</v>
      </c>
      <c r="F2423" t="s">
        <v>13</v>
      </c>
      <c r="G2423">
        <v>2049194</v>
      </c>
      <c r="H2423" s="1">
        <v>45650</v>
      </c>
      <c r="I2423" t="s">
        <v>555</v>
      </c>
      <c r="J2423" t="s">
        <v>556</v>
      </c>
      <c r="L2423">
        <v>2049194</v>
      </c>
      <c r="M2423">
        <f>IF(F2423="INR",1,INDEX('rates'!$B$2:$C$522,MATCH(D2423,'rates'!$A$2:$A$522,1),MATCH(F2423&amp;"/INR",'rates'!$B$1:$C$1,0)))</f>
        <v>1</v>
      </c>
      <c r="N2423">
        <f t="shared" si="196"/>
        <v>2049194</v>
      </c>
      <c r="O2423">
        <f t="shared" si="197"/>
        <v>0</v>
      </c>
      <c r="P2423">
        <f t="shared" si="198"/>
        <v>0</v>
      </c>
      <c r="Q2423">
        <f t="shared" si="200"/>
        <v>0</v>
      </c>
      <c r="R2423" t="str">
        <f t="shared" si="199"/>
        <v>Not open</v>
      </c>
    </row>
    <row r="2424" spans="1:18" x14ac:dyDescent="0.3">
      <c r="A2424" t="s">
        <v>2684</v>
      </c>
      <c r="B2424" t="s">
        <v>332</v>
      </c>
      <c r="C2424" t="s">
        <v>566</v>
      </c>
      <c r="D2424" s="1">
        <v>45605</v>
      </c>
      <c r="E2424" s="1">
        <v>45665</v>
      </c>
      <c r="F2424" t="s">
        <v>36</v>
      </c>
      <c r="G2424">
        <v>45094.49</v>
      </c>
      <c r="H2424" s="1"/>
      <c r="I2424" t="s">
        <v>555</v>
      </c>
      <c r="J2424" t="s">
        <v>573</v>
      </c>
      <c r="K2424">
        <v>84.621099999999998</v>
      </c>
      <c r="L2424">
        <v>45094.49</v>
      </c>
      <c r="M2424">
        <f>IF(F2424="INR",1,INDEX('rates'!$B$2:$C$522,MATCH(D2424,'rates'!$A$2:$A$522,1),MATCH(F2424&amp;"/INR",'rates'!$B$1:$C$1,0)))</f>
        <v>84.34</v>
      </c>
      <c r="N2424">
        <f t="shared" si="196"/>
        <v>3803269.2865999998</v>
      </c>
      <c r="O2424">
        <f t="shared" si="197"/>
        <v>0</v>
      </c>
      <c r="P2424">
        <f t="shared" si="198"/>
        <v>0</v>
      </c>
      <c r="R2424" t="str">
        <f t="shared" si="199"/>
        <v>Not open</v>
      </c>
    </row>
    <row r="2425" spans="1:18" x14ac:dyDescent="0.3">
      <c r="A2425" t="s">
        <v>2685</v>
      </c>
      <c r="B2425" t="s">
        <v>436</v>
      </c>
      <c r="C2425" t="s">
        <v>566</v>
      </c>
      <c r="D2425" s="1">
        <v>45605</v>
      </c>
      <c r="E2425" s="1">
        <v>45650</v>
      </c>
      <c r="F2425" t="s">
        <v>36</v>
      </c>
      <c r="G2425">
        <v>147954.76</v>
      </c>
      <c r="H2425" s="1">
        <v>45714</v>
      </c>
      <c r="I2425" t="s">
        <v>555</v>
      </c>
      <c r="J2425" t="s">
        <v>556</v>
      </c>
      <c r="L2425">
        <v>147954.76</v>
      </c>
      <c r="M2425">
        <f>IF(F2425="INR",1,INDEX('rates'!$B$2:$C$522,MATCH(D2425,'rates'!$A$2:$A$522,1),MATCH(F2425&amp;"/INR",'rates'!$B$1:$C$1,0)))</f>
        <v>84.34</v>
      </c>
      <c r="N2425">
        <f t="shared" si="196"/>
        <v>12478504.458400002</v>
      </c>
      <c r="O2425">
        <f t="shared" si="197"/>
        <v>0</v>
      </c>
      <c r="P2425">
        <f t="shared" si="198"/>
        <v>0</v>
      </c>
      <c r="Q2425">
        <f t="shared" ref="Q2425:Q2456" si="201">IF(H2425="","",H2425-E2425)</f>
        <v>64</v>
      </c>
      <c r="R2425" t="str">
        <f t="shared" si="199"/>
        <v>Not open</v>
      </c>
    </row>
    <row r="2426" spans="1:18" x14ac:dyDescent="0.3">
      <c r="A2426" t="s">
        <v>2686</v>
      </c>
      <c r="B2426" t="s">
        <v>506</v>
      </c>
      <c r="C2426" t="s">
        <v>554</v>
      </c>
      <c r="D2426" s="1">
        <v>45605</v>
      </c>
      <c r="E2426" s="1">
        <v>45665</v>
      </c>
      <c r="F2426" t="s">
        <v>13</v>
      </c>
      <c r="G2426">
        <v>2032009</v>
      </c>
      <c r="H2426" s="1">
        <v>45680</v>
      </c>
      <c r="I2426" t="s">
        <v>555</v>
      </c>
      <c r="J2426" t="s">
        <v>556</v>
      </c>
      <c r="L2426">
        <v>2032009</v>
      </c>
      <c r="M2426">
        <f>IF(F2426="INR",1,INDEX('rates'!$B$2:$C$522,MATCH(D2426,'rates'!$A$2:$A$522,1),MATCH(F2426&amp;"/INR",'rates'!$B$1:$C$1,0)))</f>
        <v>1</v>
      </c>
      <c r="N2426">
        <f t="shared" si="196"/>
        <v>2032009</v>
      </c>
      <c r="O2426">
        <f t="shared" si="197"/>
        <v>0</v>
      </c>
      <c r="P2426">
        <f t="shared" si="198"/>
        <v>0</v>
      </c>
      <c r="Q2426">
        <f t="shared" si="201"/>
        <v>15</v>
      </c>
      <c r="R2426" t="str">
        <f t="shared" si="199"/>
        <v>Not open</v>
      </c>
    </row>
    <row r="2427" spans="1:18" x14ac:dyDescent="0.3">
      <c r="A2427" t="s">
        <v>2687</v>
      </c>
      <c r="B2427" t="s">
        <v>516</v>
      </c>
      <c r="C2427" t="s">
        <v>560</v>
      </c>
      <c r="D2427" s="1">
        <v>45605</v>
      </c>
      <c r="E2427" s="1">
        <v>45665</v>
      </c>
      <c r="F2427" t="s">
        <v>13</v>
      </c>
      <c r="G2427">
        <v>25987087</v>
      </c>
      <c r="H2427" s="1">
        <v>45667</v>
      </c>
      <c r="I2427" t="s">
        <v>555</v>
      </c>
      <c r="J2427" t="s">
        <v>556</v>
      </c>
      <c r="L2427">
        <v>25987087</v>
      </c>
      <c r="M2427">
        <f>IF(F2427="INR",1,INDEX('rates'!$B$2:$C$522,MATCH(D2427,'rates'!$A$2:$A$522,1),MATCH(F2427&amp;"/INR",'rates'!$B$1:$C$1,0)))</f>
        <v>1</v>
      </c>
      <c r="N2427">
        <f t="shared" si="196"/>
        <v>25987087</v>
      </c>
      <c r="O2427">
        <f t="shared" si="197"/>
        <v>0</v>
      </c>
      <c r="P2427">
        <f t="shared" si="198"/>
        <v>0</v>
      </c>
      <c r="Q2427">
        <f t="shared" si="201"/>
        <v>2</v>
      </c>
      <c r="R2427" t="str">
        <f t="shared" si="199"/>
        <v>Not open</v>
      </c>
    </row>
    <row r="2428" spans="1:18" x14ac:dyDescent="0.3">
      <c r="A2428" t="s">
        <v>2688</v>
      </c>
      <c r="B2428" t="s">
        <v>258</v>
      </c>
      <c r="C2428" t="s">
        <v>558</v>
      </c>
      <c r="D2428" s="1">
        <v>45607</v>
      </c>
      <c r="E2428" s="1">
        <v>45652</v>
      </c>
      <c r="F2428" t="s">
        <v>13</v>
      </c>
      <c r="G2428">
        <v>9428032</v>
      </c>
      <c r="H2428" s="1">
        <v>45656</v>
      </c>
      <c r="I2428" t="s">
        <v>555</v>
      </c>
      <c r="J2428" t="s">
        <v>556</v>
      </c>
      <c r="L2428">
        <v>9428032</v>
      </c>
      <c r="M2428">
        <f>IF(F2428="INR",1,INDEX('rates'!$B$2:$C$522,MATCH(D2428,'rates'!$A$2:$A$522,1),MATCH(F2428&amp;"/INR",'rates'!$B$1:$C$1,0)))</f>
        <v>1</v>
      </c>
      <c r="N2428">
        <f t="shared" si="196"/>
        <v>9428032</v>
      </c>
      <c r="O2428">
        <f t="shared" si="197"/>
        <v>0</v>
      </c>
      <c r="P2428">
        <f t="shared" si="198"/>
        <v>0</v>
      </c>
      <c r="Q2428">
        <f t="shared" si="201"/>
        <v>4</v>
      </c>
      <c r="R2428" t="str">
        <f t="shared" si="199"/>
        <v>Not open</v>
      </c>
    </row>
    <row r="2429" spans="1:18" x14ac:dyDescent="0.3">
      <c r="A2429" t="s">
        <v>2689</v>
      </c>
      <c r="B2429" t="s">
        <v>484</v>
      </c>
      <c r="C2429" t="s">
        <v>560</v>
      </c>
      <c r="D2429" s="1">
        <v>45607</v>
      </c>
      <c r="E2429" s="1">
        <v>45667</v>
      </c>
      <c r="F2429" t="s">
        <v>31</v>
      </c>
      <c r="G2429">
        <v>108336.97</v>
      </c>
      <c r="H2429" s="1">
        <v>45678</v>
      </c>
      <c r="I2429" t="s">
        <v>555</v>
      </c>
      <c r="J2429" t="s">
        <v>556</v>
      </c>
      <c r="L2429">
        <v>108336.97</v>
      </c>
      <c r="M2429">
        <f>IF(F2429="INR",1,INDEX('rates'!$B$2:$C$522,MATCH(D2429,'rates'!$A$2:$A$522,1),MATCH(F2429&amp;"/INR",'rates'!$B$1:$C$1,0)))</f>
        <v>90.328100000000006</v>
      </c>
      <c r="N2429">
        <f t="shared" si="196"/>
        <v>9785872.6598570012</v>
      </c>
      <c r="O2429">
        <f t="shared" si="197"/>
        <v>0</v>
      </c>
      <c r="P2429">
        <f t="shared" si="198"/>
        <v>0</v>
      </c>
      <c r="Q2429">
        <f t="shared" si="201"/>
        <v>11</v>
      </c>
      <c r="R2429" t="str">
        <f t="shared" si="199"/>
        <v>Not open</v>
      </c>
    </row>
    <row r="2430" spans="1:18" x14ac:dyDescent="0.3">
      <c r="A2430" t="s">
        <v>2690</v>
      </c>
      <c r="B2430" t="s">
        <v>534</v>
      </c>
      <c r="C2430" t="s">
        <v>575</v>
      </c>
      <c r="D2430" s="1">
        <v>45607</v>
      </c>
      <c r="E2430" s="1">
        <v>45652</v>
      </c>
      <c r="F2430" t="s">
        <v>36</v>
      </c>
      <c r="G2430">
        <v>85245.22</v>
      </c>
      <c r="H2430" s="1">
        <v>45662</v>
      </c>
      <c r="I2430" t="s">
        <v>555</v>
      </c>
      <c r="J2430" t="s">
        <v>556</v>
      </c>
      <c r="L2430">
        <v>85245.22</v>
      </c>
      <c r="M2430">
        <f>IF(F2430="INR",1,INDEX('rates'!$B$2:$C$522,MATCH(D2430,'rates'!$A$2:$A$522,1),MATCH(F2430&amp;"/INR",'rates'!$B$1:$C$1,0)))</f>
        <v>84.34</v>
      </c>
      <c r="N2430">
        <f t="shared" si="196"/>
        <v>7189581.8548000008</v>
      </c>
      <c r="O2430">
        <f t="shared" si="197"/>
        <v>0</v>
      </c>
      <c r="P2430">
        <f t="shared" si="198"/>
        <v>0</v>
      </c>
      <c r="Q2430">
        <f t="shared" si="201"/>
        <v>10</v>
      </c>
      <c r="R2430" t="str">
        <f t="shared" si="199"/>
        <v>Not open</v>
      </c>
    </row>
    <row r="2431" spans="1:18" x14ac:dyDescent="0.3">
      <c r="A2431" t="s">
        <v>2691</v>
      </c>
      <c r="B2431" t="s">
        <v>536</v>
      </c>
      <c r="C2431" t="s">
        <v>575</v>
      </c>
      <c r="D2431" s="1">
        <v>45607</v>
      </c>
      <c r="E2431" s="1">
        <v>45637</v>
      </c>
      <c r="F2431" t="s">
        <v>36</v>
      </c>
      <c r="G2431">
        <v>165645.32</v>
      </c>
      <c r="H2431" s="1">
        <v>45634</v>
      </c>
      <c r="I2431" t="s">
        <v>555</v>
      </c>
      <c r="J2431" t="s">
        <v>573</v>
      </c>
      <c r="K2431">
        <v>84.480599999999995</v>
      </c>
      <c r="L2431">
        <v>165645.32</v>
      </c>
      <c r="M2431">
        <f>IF(F2431="INR",1,INDEX('rates'!$B$2:$C$522,MATCH(D2431,'rates'!$A$2:$A$522,1),MATCH(F2431&amp;"/INR",'rates'!$B$1:$C$1,0)))</f>
        <v>84.34</v>
      </c>
      <c r="N2431">
        <f t="shared" si="196"/>
        <v>13970526.288800001</v>
      </c>
      <c r="O2431">
        <f t="shared" si="197"/>
        <v>0</v>
      </c>
      <c r="P2431">
        <f t="shared" si="198"/>
        <v>0</v>
      </c>
      <c r="Q2431">
        <f t="shared" si="201"/>
        <v>-3</v>
      </c>
      <c r="R2431" t="str">
        <f t="shared" si="199"/>
        <v>Not open</v>
      </c>
    </row>
    <row r="2432" spans="1:18" x14ac:dyDescent="0.3">
      <c r="A2432" t="s">
        <v>2693</v>
      </c>
      <c r="B2432" t="s">
        <v>184</v>
      </c>
      <c r="C2432" t="s">
        <v>575</v>
      </c>
      <c r="D2432" s="1">
        <v>45609</v>
      </c>
      <c r="E2432" s="1">
        <v>45699</v>
      </c>
      <c r="F2432" t="s">
        <v>31</v>
      </c>
      <c r="G2432">
        <v>45651.9</v>
      </c>
      <c r="H2432" s="1">
        <v>45705</v>
      </c>
      <c r="I2432" t="s">
        <v>555</v>
      </c>
      <c r="J2432" t="s">
        <v>573</v>
      </c>
      <c r="K2432">
        <v>89.442400000000006</v>
      </c>
      <c r="L2432">
        <v>45651.9</v>
      </c>
      <c r="M2432">
        <f>IF(F2432="INR",1,INDEX('rates'!$B$2:$C$522,MATCH(D2432,'rates'!$A$2:$A$522,1),MATCH(F2432&amp;"/INR",'rates'!$B$1:$C$1,0)))</f>
        <v>89.174899999999994</v>
      </c>
      <c r="N2432">
        <f t="shared" si="196"/>
        <v>4071003.6173099997</v>
      </c>
      <c r="O2432">
        <f t="shared" si="197"/>
        <v>0</v>
      </c>
      <c r="P2432">
        <f t="shared" si="198"/>
        <v>0</v>
      </c>
      <c r="Q2432">
        <f t="shared" si="201"/>
        <v>6</v>
      </c>
      <c r="R2432" t="str">
        <f t="shared" si="199"/>
        <v>Not open</v>
      </c>
    </row>
    <row r="2433" spans="1:18" x14ac:dyDescent="0.3">
      <c r="A2433" t="s">
        <v>2694</v>
      </c>
      <c r="B2433" t="s">
        <v>368</v>
      </c>
      <c r="C2433" t="s">
        <v>566</v>
      </c>
      <c r="D2433" s="1">
        <v>45609</v>
      </c>
      <c r="E2433" s="1">
        <v>45669</v>
      </c>
      <c r="F2433" t="s">
        <v>36</v>
      </c>
      <c r="G2433">
        <v>50860.160000000003</v>
      </c>
      <c r="H2433" s="1">
        <v>45709</v>
      </c>
      <c r="I2433" t="s">
        <v>555</v>
      </c>
      <c r="J2433" t="s">
        <v>573</v>
      </c>
      <c r="K2433">
        <v>84.671300000000002</v>
      </c>
      <c r="L2433">
        <v>50860.160000000003</v>
      </c>
      <c r="M2433">
        <f>IF(F2433="INR",1,INDEX('rates'!$B$2:$C$522,MATCH(D2433,'rates'!$A$2:$A$522,1),MATCH(F2433&amp;"/INR",'rates'!$B$1:$C$1,0)))</f>
        <v>84.39</v>
      </c>
      <c r="N2433">
        <f t="shared" si="196"/>
        <v>4292088.9024</v>
      </c>
      <c r="O2433">
        <f t="shared" si="197"/>
        <v>0</v>
      </c>
      <c r="P2433">
        <f t="shared" si="198"/>
        <v>0</v>
      </c>
      <c r="Q2433">
        <f t="shared" si="201"/>
        <v>40</v>
      </c>
      <c r="R2433" t="str">
        <f t="shared" si="199"/>
        <v>Not open</v>
      </c>
    </row>
    <row r="2434" spans="1:18" x14ac:dyDescent="0.3">
      <c r="A2434" t="s">
        <v>2696</v>
      </c>
      <c r="B2434" t="s">
        <v>492</v>
      </c>
      <c r="C2434" t="s">
        <v>566</v>
      </c>
      <c r="D2434" s="1">
        <v>45609</v>
      </c>
      <c r="E2434" s="1">
        <v>45654</v>
      </c>
      <c r="F2434" t="s">
        <v>13</v>
      </c>
      <c r="G2434">
        <v>600000</v>
      </c>
      <c r="H2434" s="1">
        <v>45659</v>
      </c>
      <c r="I2434" t="s">
        <v>555</v>
      </c>
      <c r="J2434" t="s">
        <v>556</v>
      </c>
      <c r="L2434">
        <v>600000</v>
      </c>
      <c r="M2434">
        <f>IF(F2434="INR",1,INDEX('rates'!$B$2:$C$522,MATCH(D2434,'rates'!$A$2:$A$522,1),MATCH(F2434&amp;"/INR",'rates'!$B$1:$C$1,0)))</f>
        <v>1</v>
      </c>
      <c r="N2434">
        <f t="shared" ref="N2434:N2497" si="202">G2434*M2434</f>
        <v>600000</v>
      </c>
      <c r="O2434">
        <f t="shared" ref="O2434:O2497" si="203">IF(OR(I2434="OPEN",I2434="PARTIALLY PAID"),(G2434-L2434)*M2434,0)</f>
        <v>0</v>
      </c>
      <c r="P2434">
        <f t="shared" ref="P2434:P2497" si="204">IF(O2434&gt;0,MAX(0,DATE(2025,3,31)-E2434),0)</f>
        <v>0</v>
      </c>
      <c r="Q2434">
        <f t="shared" si="201"/>
        <v>5</v>
      </c>
      <c r="R2434" t="str">
        <f t="shared" ref="R2434:R2497" si="205">IF(O2434=0,"Not open",IF(P2434=0,"Not yet due",IF(P2434&lt;=30,"1-30",IF(P2434&lt;=60,"31-60",IF(P2434&lt;=90,"61-90","90+")))))</f>
        <v>Not open</v>
      </c>
    </row>
    <row r="2435" spans="1:18" x14ac:dyDescent="0.3">
      <c r="A2435" t="s">
        <v>2697</v>
      </c>
      <c r="B2435" t="s">
        <v>432</v>
      </c>
      <c r="C2435" t="s">
        <v>560</v>
      </c>
      <c r="D2435" s="1">
        <v>45610</v>
      </c>
      <c r="E2435" s="1">
        <v>45700</v>
      </c>
      <c r="F2435" t="s">
        <v>36</v>
      </c>
      <c r="G2435">
        <v>108141.99</v>
      </c>
      <c r="H2435" s="1">
        <v>45705</v>
      </c>
      <c r="I2435" t="s">
        <v>555</v>
      </c>
      <c r="J2435" t="s">
        <v>556</v>
      </c>
      <c r="L2435">
        <v>108141.99</v>
      </c>
      <c r="M2435">
        <f>IF(F2435="INR",1,INDEX('rates'!$B$2:$C$522,MATCH(D2435,'rates'!$A$2:$A$522,1),MATCH(F2435&amp;"/INR",'rates'!$B$1:$C$1,0)))</f>
        <v>84.42</v>
      </c>
      <c r="N2435">
        <f t="shared" si="202"/>
        <v>9129346.7958000004</v>
      </c>
      <c r="O2435">
        <f t="shared" si="203"/>
        <v>0</v>
      </c>
      <c r="P2435">
        <f t="shared" si="204"/>
        <v>0</v>
      </c>
      <c r="Q2435">
        <f t="shared" si="201"/>
        <v>5</v>
      </c>
      <c r="R2435" t="str">
        <f t="shared" si="205"/>
        <v>Not open</v>
      </c>
    </row>
    <row r="2436" spans="1:18" x14ac:dyDescent="0.3">
      <c r="A2436" t="s">
        <v>2698</v>
      </c>
      <c r="B2436" t="s">
        <v>113</v>
      </c>
      <c r="C2436" t="s">
        <v>560</v>
      </c>
      <c r="D2436" s="1">
        <v>45611</v>
      </c>
      <c r="E2436" s="1">
        <v>45641</v>
      </c>
      <c r="F2436" t="s">
        <v>13</v>
      </c>
      <c r="G2436">
        <v>2231930</v>
      </c>
      <c r="H2436" s="1">
        <v>45646</v>
      </c>
      <c r="I2436" t="s">
        <v>555</v>
      </c>
      <c r="J2436" t="s">
        <v>556</v>
      </c>
      <c r="L2436">
        <v>2231930</v>
      </c>
      <c r="M2436">
        <f>IF(F2436="INR",1,INDEX('rates'!$B$2:$C$522,MATCH(D2436,'rates'!$A$2:$A$522,1),MATCH(F2436&amp;"/INR",'rates'!$B$1:$C$1,0)))</f>
        <v>1</v>
      </c>
      <c r="N2436">
        <f t="shared" si="202"/>
        <v>2231930</v>
      </c>
      <c r="O2436">
        <f t="shared" si="203"/>
        <v>0</v>
      </c>
      <c r="P2436">
        <f t="shared" si="204"/>
        <v>0</v>
      </c>
      <c r="Q2436">
        <f t="shared" si="201"/>
        <v>5</v>
      </c>
      <c r="R2436" t="str">
        <f t="shared" si="205"/>
        <v>Not open</v>
      </c>
    </row>
    <row r="2437" spans="1:18" x14ac:dyDescent="0.3">
      <c r="A2437" t="s">
        <v>2699</v>
      </c>
      <c r="B2437" t="s">
        <v>222</v>
      </c>
      <c r="C2437" t="s">
        <v>560</v>
      </c>
      <c r="D2437" s="1">
        <v>45611</v>
      </c>
      <c r="E2437" s="1">
        <v>45671</v>
      </c>
      <c r="F2437" t="s">
        <v>36</v>
      </c>
      <c r="G2437">
        <v>251564.78</v>
      </c>
      <c r="H2437" s="1">
        <v>45689</v>
      </c>
      <c r="I2437" t="s">
        <v>555</v>
      </c>
      <c r="J2437" t="s">
        <v>556</v>
      </c>
      <c r="L2437">
        <v>251564.78</v>
      </c>
      <c r="M2437">
        <f>IF(F2437="INR",1,INDEX('rates'!$B$2:$C$522,MATCH(D2437,'rates'!$A$2:$A$522,1),MATCH(F2437&amp;"/INR",'rates'!$B$1:$C$1,0)))</f>
        <v>84.41</v>
      </c>
      <c r="N2437">
        <f t="shared" si="202"/>
        <v>21234583.079799999</v>
      </c>
      <c r="O2437">
        <f t="shared" si="203"/>
        <v>0</v>
      </c>
      <c r="P2437">
        <f t="shared" si="204"/>
        <v>0</v>
      </c>
      <c r="Q2437">
        <f t="shared" si="201"/>
        <v>18</v>
      </c>
      <c r="R2437" t="str">
        <f t="shared" si="205"/>
        <v>Not open</v>
      </c>
    </row>
    <row r="2438" spans="1:18" x14ac:dyDescent="0.3">
      <c r="A2438" t="s">
        <v>2700</v>
      </c>
      <c r="B2438" t="s">
        <v>364</v>
      </c>
      <c r="C2438" t="s">
        <v>558</v>
      </c>
      <c r="D2438" s="1">
        <v>45611</v>
      </c>
      <c r="E2438" s="1">
        <v>45641</v>
      </c>
      <c r="F2438" t="s">
        <v>13</v>
      </c>
      <c r="G2438">
        <v>8243199</v>
      </c>
      <c r="H2438" s="1">
        <v>45686</v>
      </c>
      <c r="I2438" t="s">
        <v>555</v>
      </c>
      <c r="J2438" t="s">
        <v>556</v>
      </c>
      <c r="L2438">
        <v>8243199</v>
      </c>
      <c r="M2438">
        <f>IF(F2438="INR",1,INDEX('rates'!$B$2:$C$522,MATCH(D2438,'rates'!$A$2:$A$522,1),MATCH(F2438&amp;"/INR",'rates'!$B$1:$C$1,0)))</f>
        <v>1</v>
      </c>
      <c r="N2438">
        <f t="shared" si="202"/>
        <v>8243199</v>
      </c>
      <c r="O2438">
        <f t="shared" si="203"/>
        <v>0</v>
      </c>
      <c r="P2438">
        <f t="shared" si="204"/>
        <v>0</v>
      </c>
      <c r="Q2438">
        <f t="shared" si="201"/>
        <v>45</v>
      </c>
      <c r="R2438" t="str">
        <f t="shared" si="205"/>
        <v>Not open</v>
      </c>
    </row>
    <row r="2439" spans="1:18" x14ac:dyDescent="0.3">
      <c r="A2439" t="s">
        <v>2701</v>
      </c>
      <c r="B2439" t="s">
        <v>454</v>
      </c>
      <c r="C2439" t="s">
        <v>575</v>
      </c>
      <c r="D2439" s="1">
        <v>45611</v>
      </c>
      <c r="E2439" s="1">
        <v>45671</v>
      </c>
      <c r="F2439" t="s">
        <v>13</v>
      </c>
      <c r="G2439">
        <v>4015334</v>
      </c>
      <c r="H2439" s="1">
        <v>45669</v>
      </c>
      <c r="I2439" t="s">
        <v>555</v>
      </c>
      <c r="J2439" t="s">
        <v>556</v>
      </c>
      <c r="L2439">
        <v>4015334</v>
      </c>
      <c r="M2439">
        <f>IF(F2439="INR",1,INDEX('rates'!$B$2:$C$522,MATCH(D2439,'rates'!$A$2:$A$522,1),MATCH(F2439&amp;"/INR",'rates'!$B$1:$C$1,0)))</f>
        <v>1</v>
      </c>
      <c r="N2439">
        <f t="shared" si="202"/>
        <v>4015334</v>
      </c>
      <c r="O2439">
        <f t="shared" si="203"/>
        <v>0</v>
      </c>
      <c r="P2439">
        <f t="shared" si="204"/>
        <v>0</v>
      </c>
      <c r="Q2439">
        <f t="shared" si="201"/>
        <v>-2</v>
      </c>
      <c r="R2439" t="str">
        <f t="shared" si="205"/>
        <v>Not open</v>
      </c>
    </row>
    <row r="2440" spans="1:18" x14ac:dyDescent="0.3">
      <c r="A2440" t="s">
        <v>2702</v>
      </c>
      <c r="B2440" t="s">
        <v>42</v>
      </c>
      <c r="C2440" t="s">
        <v>566</v>
      </c>
      <c r="D2440" s="1">
        <v>45612</v>
      </c>
      <c r="E2440" s="1">
        <v>45672</v>
      </c>
      <c r="F2440" t="s">
        <v>13</v>
      </c>
      <c r="G2440">
        <v>16524551</v>
      </c>
      <c r="H2440" s="1">
        <v>45674</v>
      </c>
      <c r="I2440" t="s">
        <v>555</v>
      </c>
      <c r="J2440" t="s">
        <v>556</v>
      </c>
      <c r="L2440">
        <v>16524551</v>
      </c>
      <c r="M2440">
        <f>IF(F2440="INR",1,INDEX('rates'!$B$2:$C$522,MATCH(D2440,'rates'!$A$2:$A$522,1),MATCH(F2440&amp;"/INR",'rates'!$B$1:$C$1,0)))</f>
        <v>1</v>
      </c>
      <c r="N2440">
        <f t="shared" si="202"/>
        <v>16524551</v>
      </c>
      <c r="O2440">
        <f t="shared" si="203"/>
        <v>0</v>
      </c>
      <c r="P2440">
        <f t="shared" si="204"/>
        <v>0</v>
      </c>
      <c r="Q2440">
        <f t="shared" si="201"/>
        <v>2</v>
      </c>
      <c r="R2440" t="str">
        <f t="shared" si="205"/>
        <v>Not open</v>
      </c>
    </row>
    <row r="2441" spans="1:18" x14ac:dyDescent="0.3">
      <c r="A2441" t="s">
        <v>2703</v>
      </c>
      <c r="B2441" t="s">
        <v>46</v>
      </c>
      <c r="C2441" t="s">
        <v>558</v>
      </c>
      <c r="D2441" s="1">
        <v>45612</v>
      </c>
      <c r="E2441" s="1">
        <v>45672</v>
      </c>
      <c r="F2441" t="s">
        <v>36</v>
      </c>
      <c r="G2441">
        <v>33976.35</v>
      </c>
      <c r="H2441" s="1">
        <v>45693</v>
      </c>
      <c r="I2441" t="s">
        <v>555</v>
      </c>
      <c r="J2441" t="s">
        <v>556</v>
      </c>
      <c r="L2441">
        <v>33976.35</v>
      </c>
      <c r="M2441">
        <f>IF(F2441="INR",1,INDEX('rates'!$B$2:$C$522,MATCH(D2441,'rates'!$A$2:$A$522,1),MATCH(F2441&amp;"/INR",'rates'!$B$1:$C$1,0)))</f>
        <v>84.41</v>
      </c>
      <c r="N2441">
        <f t="shared" si="202"/>
        <v>2867943.7034999998</v>
      </c>
      <c r="O2441">
        <f t="shared" si="203"/>
        <v>0</v>
      </c>
      <c r="P2441">
        <f t="shared" si="204"/>
        <v>0</v>
      </c>
      <c r="Q2441">
        <f t="shared" si="201"/>
        <v>21</v>
      </c>
      <c r="R2441" t="str">
        <f t="shared" si="205"/>
        <v>Not open</v>
      </c>
    </row>
    <row r="2442" spans="1:18" x14ac:dyDescent="0.3">
      <c r="A2442" t="s">
        <v>2704</v>
      </c>
      <c r="B2442" t="s">
        <v>202</v>
      </c>
      <c r="C2442" t="s">
        <v>554</v>
      </c>
      <c r="D2442" s="1">
        <v>45612</v>
      </c>
      <c r="E2442" s="1">
        <v>45642</v>
      </c>
      <c r="F2442" t="s">
        <v>13</v>
      </c>
      <c r="G2442">
        <v>7667433</v>
      </c>
      <c r="H2442" s="1">
        <v>45678</v>
      </c>
      <c r="I2442" t="s">
        <v>555</v>
      </c>
      <c r="J2442" t="s">
        <v>556</v>
      </c>
      <c r="L2442">
        <v>7667433</v>
      </c>
      <c r="M2442">
        <f>IF(F2442="INR",1,INDEX('rates'!$B$2:$C$522,MATCH(D2442,'rates'!$A$2:$A$522,1),MATCH(F2442&amp;"/INR",'rates'!$B$1:$C$1,0)))</f>
        <v>1</v>
      </c>
      <c r="N2442">
        <f t="shared" si="202"/>
        <v>7667433</v>
      </c>
      <c r="O2442">
        <f t="shared" si="203"/>
        <v>0</v>
      </c>
      <c r="P2442">
        <f t="shared" si="204"/>
        <v>0</v>
      </c>
      <c r="Q2442">
        <f t="shared" si="201"/>
        <v>36</v>
      </c>
      <c r="R2442" t="str">
        <f t="shared" si="205"/>
        <v>Not open</v>
      </c>
    </row>
    <row r="2443" spans="1:18" x14ac:dyDescent="0.3">
      <c r="A2443" t="s">
        <v>2705</v>
      </c>
      <c r="B2443" t="s">
        <v>222</v>
      </c>
      <c r="C2443" t="s">
        <v>560</v>
      </c>
      <c r="D2443" s="1">
        <v>45612</v>
      </c>
      <c r="E2443" s="1">
        <v>45672</v>
      </c>
      <c r="F2443" t="s">
        <v>36</v>
      </c>
      <c r="G2443">
        <v>113812.27</v>
      </c>
      <c r="H2443" s="1">
        <v>45679</v>
      </c>
      <c r="I2443" t="s">
        <v>555</v>
      </c>
      <c r="J2443" t="s">
        <v>573</v>
      </c>
      <c r="K2443">
        <v>84.691400000000002</v>
      </c>
      <c r="L2443">
        <v>113812.27</v>
      </c>
      <c r="M2443">
        <f>IF(F2443="INR",1,INDEX('rates'!$B$2:$C$522,MATCH(D2443,'rates'!$A$2:$A$522,1),MATCH(F2443&amp;"/INR",'rates'!$B$1:$C$1,0)))</f>
        <v>84.41</v>
      </c>
      <c r="N2443">
        <f t="shared" si="202"/>
        <v>9606893.7106999997</v>
      </c>
      <c r="O2443">
        <f t="shared" si="203"/>
        <v>0</v>
      </c>
      <c r="P2443">
        <f t="shared" si="204"/>
        <v>0</v>
      </c>
      <c r="Q2443">
        <f t="shared" si="201"/>
        <v>7</v>
      </c>
      <c r="R2443" t="str">
        <f t="shared" si="205"/>
        <v>Not open</v>
      </c>
    </row>
    <row r="2444" spans="1:18" x14ac:dyDescent="0.3">
      <c r="A2444" t="s">
        <v>2706</v>
      </c>
      <c r="B2444" t="s">
        <v>460</v>
      </c>
      <c r="C2444" t="s">
        <v>566</v>
      </c>
      <c r="D2444" s="1">
        <v>45612</v>
      </c>
      <c r="E2444" s="1">
        <v>45657</v>
      </c>
      <c r="F2444" t="s">
        <v>36</v>
      </c>
      <c r="G2444">
        <v>177130.23</v>
      </c>
      <c r="H2444" s="1">
        <v>45661</v>
      </c>
      <c r="I2444" t="s">
        <v>555</v>
      </c>
      <c r="J2444" t="s">
        <v>556</v>
      </c>
      <c r="L2444">
        <v>177130.23</v>
      </c>
      <c r="M2444">
        <f>IF(F2444="INR",1,INDEX('rates'!$B$2:$C$522,MATCH(D2444,'rates'!$A$2:$A$522,1),MATCH(F2444&amp;"/INR",'rates'!$B$1:$C$1,0)))</f>
        <v>84.41</v>
      </c>
      <c r="N2444">
        <f t="shared" si="202"/>
        <v>14951562.714300001</v>
      </c>
      <c r="O2444">
        <f t="shared" si="203"/>
        <v>0</v>
      </c>
      <c r="P2444">
        <f t="shared" si="204"/>
        <v>0</v>
      </c>
      <c r="Q2444">
        <f t="shared" si="201"/>
        <v>4</v>
      </c>
      <c r="R2444" t="str">
        <f t="shared" si="205"/>
        <v>Not open</v>
      </c>
    </row>
    <row r="2445" spans="1:18" x14ac:dyDescent="0.3">
      <c r="A2445" t="s">
        <v>2707</v>
      </c>
      <c r="B2445" t="s">
        <v>466</v>
      </c>
      <c r="C2445" t="s">
        <v>558</v>
      </c>
      <c r="D2445" s="1">
        <v>45612</v>
      </c>
      <c r="E2445" s="1">
        <v>45672</v>
      </c>
      <c r="F2445" t="s">
        <v>31</v>
      </c>
      <c r="G2445">
        <v>149080.84</v>
      </c>
      <c r="H2445" s="1">
        <v>45673</v>
      </c>
      <c r="I2445" t="s">
        <v>555</v>
      </c>
      <c r="J2445" t="s">
        <v>556</v>
      </c>
      <c r="L2445">
        <v>149080.84</v>
      </c>
      <c r="M2445">
        <f>IF(F2445="INR",1,INDEX('rates'!$B$2:$C$522,MATCH(D2445,'rates'!$A$2:$A$522,1),MATCH(F2445&amp;"/INR",'rates'!$B$1:$C$1,0)))</f>
        <v>89.069400000000002</v>
      </c>
      <c r="N2445">
        <f t="shared" si="202"/>
        <v>13278540.970295999</v>
      </c>
      <c r="O2445">
        <f t="shared" si="203"/>
        <v>0</v>
      </c>
      <c r="P2445">
        <f t="shared" si="204"/>
        <v>0</v>
      </c>
      <c r="Q2445">
        <f t="shared" si="201"/>
        <v>1</v>
      </c>
      <c r="R2445" t="str">
        <f t="shared" si="205"/>
        <v>Not open</v>
      </c>
    </row>
    <row r="2446" spans="1:18" x14ac:dyDescent="0.3">
      <c r="A2446" t="s">
        <v>2708</v>
      </c>
      <c r="B2446" t="s">
        <v>506</v>
      </c>
      <c r="C2446" t="s">
        <v>560</v>
      </c>
      <c r="D2446" s="1">
        <v>45612</v>
      </c>
      <c r="E2446" s="1">
        <v>45672</v>
      </c>
      <c r="F2446" t="s">
        <v>13</v>
      </c>
      <c r="G2446">
        <v>3613280</v>
      </c>
      <c r="H2446" s="1">
        <v>45683</v>
      </c>
      <c r="I2446" t="s">
        <v>555</v>
      </c>
      <c r="J2446" t="s">
        <v>556</v>
      </c>
      <c r="L2446">
        <v>3613280</v>
      </c>
      <c r="M2446">
        <f>IF(F2446="INR",1,INDEX('rates'!$B$2:$C$522,MATCH(D2446,'rates'!$A$2:$A$522,1),MATCH(F2446&amp;"/INR",'rates'!$B$1:$C$1,0)))</f>
        <v>1</v>
      </c>
      <c r="N2446">
        <f t="shared" si="202"/>
        <v>3613280</v>
      </c>
      <c r="O2446">
        <f t="shared" si="203"/>
        <v>0</v>
      </c>
      <c r="P2446">
        <f t="shared" si="204"/>
        <v>0</v>
      </c>
      <c r="Q2446">
        <f t="shared" si="201"/>
        <v>11</v>
      </c>
      <c r="R2446" t="str">
        <f t="shared" si="205"/>
        <v>Not open</v>
      </c>
    </row>
    <row r="2447" spans="1:18" x14ac:dyDescent="0.3">
      <c r="A2447" t="s">
        <v>2709</v>
      </c>
      <c r="B2447" t="s">
        <v>516</v>
      </c>
      <c r="C2447" t="s">
        <v>560</v>
      </c>
      <c r="D2447" s="1">
        <v>45612</v>
      </c>
      <c r="E2447" s="1">
        <v>45672</v>
      </c>
      <c r="F2447" t="s">
        <v>13</v>
      </c>
      <c r="G2447">
        <v>10258582</v>
      </c>
      <c r="H2447" s="1">
        <v>45671</v>
      </c>
      <c r="I2447" t="s">
        <v>555</v>
      </c>
      <c r="J2447" t="s">
        <v>556</v>
      </c>
      <c r="L2447">
        <v>10258582</v>
      </c>
      <c r="M2447">
        <f>IF(F2447="INR",1,INDEX('rates'!$B$2:$C$522,MATCH(D2447,'rates'!$A$2:$A$522,1),MATCH(F2447&amp;"/INR",'rates'!$B$1:$C$1,0)))</f>
        <v>1</v>
      </c>
      <c r="N2447">
        <f t="shared" si="202"/>
        <v>10258582</v>
      </c>
      <c r="O2447">
        <f t="shared" si="203"/>
        <v>0</v>
      </c>
      <c r="P2447">
        <f t="shared" si="204"/>
        <v>0</v>
      </c>
      <c r="Q2447">
        <f t="shared" si="201"/>
        <v>-1</v>
      </c>
      <c r="R2447" t="str">
        <f t="shared" si="205"/>
        <v>Not open</v>
      </c>
    </row>
    <row r="2448" spans="1:18" x14ac:dyDescent="0.3">
      <c r="A2448" t="s">
        <v>2710</v>
      </c>
      <c r="B2448" t="s">
        <v>236</v>
      </c>
      <c r="C2448" t="s">
        <v>558</v>
      </c>
      <c r="D2448" s="1">
        <v>45614</v>
      </c>
      <c r="E2448" s="1">
        <v>45704</v>
      </c>
      <c r="F2448" t="s">
        <v>13</v>
      </c>
      <c r="G2448">
        <v>2367520</v>
      </c>
      <c r="H2448" s="1">
        <v>45718</v>
      </c>
      <c r="I2448" t="s">
        <v>555</v>
      </c>
      <c r="J2448" t="s">
        <v>556</v>
      </c>
      <c r="L2448">
        <v>2367520</v>
      </c>
      <c r="M2448">
        <f>IF(F2448="INR",1,INDEX('rates'!$B$2:$C$522,MATCH(D2448,'rates'!$A$2:$A$522,1),MATCH(F2448&amp;"/INR",'rates'!$B$1:$C$1,0)))</f>
        <v>1</v>
      </c>
      <c r="N2448">
        <f t="shared" si="202"/>
        <v>2367520</v>
      </c>
      <c r="O2448">
        <f t="shared" si="203"/>
        <v>0</v>
      </c>
      <c r="P2448">
        <f t="shared" si="204"/>
        <v>0</v>
      </c>
      <c r="Q2448">
        <f t="shared" si="201"/>
        <v>14</v>
      </c>
      <c r="R2448" t="str">
        <f t="shared" si="205"/>
        <v>Not open</v>
      </c>
    </row>
    <row r="2449" spans="1:18" x14ac:dyDescent="0.3">
      <c r="A2449" t="s">
        <v>2711</v>
      </c>
      <c r="B2449" t="s">
        <v>306</v>
      </c>
      <c r="C2449" t="s">
        <v>560</v>
      </c>
      <c r="D2449" s="1">
        <v>45614</v>
      </c>
      <c r="E2449" s="1">
        <v>45704</v>
      </c>
      <c r="F2449" t="s">
        <v>36</v>
      </c>
      <c r="G2449">
        <v>66769.56</v>
      </c>
      <c r="H2449" s="1">
        <v>45718</v>
      </c>
      <c r="I2449" t="s">
        <v>555</v>
      </c>
      <c r="J2449" t="s">
        <v>556</v>
      </c>
      <c r="L2449">
        <v>66769.56</v>
      </c>
      <c r="M2449">
        <f>IF(F2449="INR",1,INDEX('rates'!$B$2:$C$522,MATCH(D2449,'rates'!$A$2:$A$522,1),MATCH(F2449&amp;"/INR",'rates'!$B$1:$C$1,0)))</f>
        <v>84.37</v>
      </c>
      <c r="N2449">
        <f t="shared" si="202"/>
        <v>5633347.7772000004</v>
      </c>
      <c r="O2449">
        <f t="shared" si="203"/>
        <v>0</v>
      </c>
      <c r="P2449">
        <f t="shared" si="204"/>
        <v>0</v>
      </c>
      <c r="Q2449">
        <f t="shared" si="201"/>
        <v>14</v>
      </c>
      <c r="R2449" t="str">
        <f t="shared" si="205"/>
        <v>Not open</v>
      </c>
    </row>
    <row r="2450" spans="1:18" x14ac:dyDescent="0.3">
      <c r="A2450" t="s">
        <v>2712</v>
      </c>
      <c r="B2450" t="s">
        <v>115</v>
      </c>
      <c r="C2450" t="s">
        <v>554</v>
      </c>
      <c r="D2450" s="1">
        <v>45615</v>
      </c>
      <c r="E2450" s="1">
        <v>45675</v>
      </c>
      <c r="F2450" t="s">
        <v>13</v>
      </c>
      <c r="G2450">
        <v>4559290</v>
      </c>
      <c r="H2450" s="1">
        <v>45676</v>
      </c>
      <c r="I2450" t="s">
        <v>555</v>
      </c>
      <c r="J2450" t="s">
        <v>556</v>
      </c>
      <c r="L2450">
        <v>4559290</v>
      </c>
      <c r="M2450">
        <f>IF(F2450="INR",1,INDEX('rates'!$B$2:$C$522,MATCH(D2450,'rates'!$A$2:$A$522,1),MATCH(F2450&amp;"/INR",'rates'!$B$1:$C$1,0)))</f>
        <v>1</v>
      </c>
      <c r="N2450">
        <f t="shared" si="202"/>
        <v>4559290</v>
      </c>
      <c r="O2450">
        <f t="shared" si="203"/>
        <v>0</v>
      </c>
      <c r="P2450">
        <f t="shared" si="204"/>
        <v>0</v>
      </c>
      <c r="Q2450">
        <f t="shared" si="201"/>
        <v>1</v>
      </c>
      <c r="R2450" t="str">
        <f t="shared" si="205"/>
        <v>Not open</v>
      </c>
    </row>
    <row r="2451" spans="1:18" x14ac:dyDescent="0.3">
      <c r="A2451" t="s">
        <v>2713</v>
      </c>
      <c r="B2451" t="s">
        <v>470</v>
      </c>
      <c r="C2451" t="s">
        <v>575</v>
      </c>
      <c r="D2451" s="1">
        <v>45615</v>
      </c>
      <c r="E2451" s="1">
        <v>45645</v>
      </c>
      <c r="F2451" t="s">
        <v>36</v>
      </c>
      <c r="G2451">
        <v>72305.649999999994</v>
      </c>
      <c r="H2451" s="1">
        <v>45655</v>
      </c>
      <c r="I2451" t="s">
        <v>555</v>
      </c>
      <c r="J2451" t="s">
        <v>573</v>
      </c>
      <c r="K2451">
        <v>84.500600000000006</v>
      </c>
      <c r="L2451">
        <v>72305.649999999994</v>
      </c>
      <c r="M2451">
        <f>IF(F2451="INR",1,INDEX('rates'!$B$2:$C$522,MATCH(D2451,'rates'!$A$2:$A$522,1),MATCH(F2451&amp;"/INR",'rates'!$B$1:$C$1,0)))</f>
        <v>84.36</v>
      </c>
      <c r="N2451">
        <f t="shared" si="202"/>
        <v>6099704.6339999996</v>
      </c>
      <c r="O2451">
        <f t="shared" si="203"/>
        <v>0</v>
      </c>
      <c r="P2451">
        <f t="shared" si="204"/>
        <v>0</v>
      </c>
      <c r="Q2451">
        <f t="shared" si="201"/>
        <v>10</v>
      </c>
      <c r="R2451" t="str">
        <f t="shared" si="205"/>
        <v>Not open</v>
      </c>
    </row>
    <row r="2452" spans="1:18" x14ac:dyDescent="0.3">
      <c r="A2452" t="s">
        <v>2714</v>
      </c>
      <c r="B2452" t="s">
        <v>524</v>
      </c>
      <c r="C2452" t="s">
        <v>554</v>
      </c>
      <c r="D2452" s="1">
        <v>45615</v>
      </c>
      <c r="E2452" s="1">
        <v>45675</v>
      </c>
      <c r="F2452" t="s">
        <v>31</v>
      </c>
      <c r="G2452">
        <v>84912.88</v>
      </c>
      <c r="H2452" s="1">
        <v>45699</v>
      </c>
      <c r="I2452" t="s">
        <v>555</v>
      </c>
      <c r="J2452" t="s">
        <v>556</v>
      </c>
      <c r="L2452">
        <v>84912.88</v>
      </c>
      <c r="M2452">
        <f>IF(F2452="INR",1,INDEX('rates'!$B$2:$C$522,MATCH(D2452,'rates'!$A$2:$A$522,1),MATCH(F2452&amp;"/INR",'rates'!$B$1:$C$1,0)))</f>
        <v>89.236000000000004</v>
      </c>
      <c r="N2452">
        <f t="shared" si="202"/>
        <v>7577285.7596800011</v>
      </c>
      <c r="O2452">
        <f t="shared" si="203"/>
        <v>0</v>
      </c>
      <c r="P2452">
        <f t="shared" si="204"/>
        <v>0</v>
      </c>
      <c r="Q2452">
        <f t="shared" si="201"/>
        <v>24</v>
      </c>
      <c r="R2452" t="str">
        <f t="shared" si="205"/>
        <v>Not open</v>
      </c>
    </row>
    <row r="2453" spans="1:18" x14ac:dyDescent="0.3">
      <c r="A2453" t="s">
        <v>2715</v>
      </c>
      <c r="B2453" t="s">
        <v>528</v>
      </c>
      <c r="C2453" t="s">
        <v>566</v>
      </c>
      <c r="D2453" s="1">
        <v>45615</v>
      </c>
      <c r="E2453" s="1">
        <v>45675</v>
      </c>
      <c r="F2453" t="s">
        <v>13</v>
      </c>
      <c r="G2453">
        <v>8312245</v>
      </c>
      <c r="H2453" s="1">
        <v>45709</v>
      </c>
      <c r="I2453" t="s">
        <v>555</v>
      </c>
      <c r="J2453" t="s">
        <v>556</v>
      </c>
      <c r="L2453">
        <v>8312245</v>
      </c>
      <c r="M2453">
        <f>IF(F2453="INR",1,INDEX('rates'!$B$2:$C$522,MATCH(D2453,'rates'!$A$2:$A$522,1),MATCH(F2453&amp;"/INR",'rates'!$B$1:$C$1,0)))</f>
        <v>1</v>
      </c>
      <c r="N2453">
        <f t="shared" si="202"/>
        <v>8312245</v>
      </c>
      <c r="O2453">
        <f t="shared" si="203"/>
        <v>0</v>
      </c>
      <c r="P2453">
        <f t="shared" si="204"/>
        <v>0</v>
      </c>
      <c r="Q2453">
        <f t="shared" si="201"/>
        <v>34</v>
      </c>
      <c r="R2453" t="str">
        <f t="shared" si="205"/>
        <v>Not open</v>
      </c>
    </row>
    <row r="2454" spans="1:18" x14ac:dyDescent="0.3">
      <c r="A2454" t="s">
        <v>2716</v>
      </c>
      <c r="B2454" t="s">
        <v>538</v>
      </c>
      <c r="C2454" t="s">
        <v>575</v>
      </c>
      <c r="D2454" s="1">
        <v>45615</v>
      </c>
      <c r="E2454" s="1">
        <v>45705</v>
      </c>
      <c r="F2454" t="s">
        <v>31</v>
      </c>
      <c r="G2454">
        <v>33395.589999999997</v>
      </c>
      <c r="H2454" s="1">
        <v>45724</v>
      </c>
      <c r="I2454" t="s">
        <v>555</v>
      </c>
      <c r="J2454" t="s">
        <v>556</v>
      </c>
      <c r="L2454">
        <v>33395.589999999997</v>
      </c>
      <c r="M2454">
        <f>IF(F2454="INR",1,INDEX('rates'!$B$2:$C$522,MATCH(D2454,'rates'!$A$2:$A$522,1),MATCH(F2454&amp;"/INR",'rates'!$B$1:$C$1,0)))</f>
        <v>89.236000000000004</v>
      </c>
      <c r="N2454">
        <f t="shared" si="202"/>
        <v>2980088.8692399999</v>
      </c>
      <c r="O2454">
        <f t="shared" si="203"/>
        <v>0</v>
      </c>
      <c r="P2454">
        <f t="shared" si="204"/>
        <v>0</v>
      </c>
      <c r="Q2454">
        <f t="shared" si="201"/>
        <v>19</v>
      </c>
      <c r="R2454" t="str">
        <f t="shared" si="205"/>
        <v>Not open</v>
      </c>
    </row>
    <row r="2455" spans="1:18" x14ac:dyDescent="0.3">
      <c r="A2455" t="s">
        <v>2717</v>
      </c>
      <c r="B2455" t="s">
        <v>16</v>
      </c>
      <c r="C2455" t="s">
        <v>575</v>
      </c>
      <c r="D2455" s="1">
        <v>45616</v>
      </c>
      <c r="E2455" s="1">
        <v>45661</v>
      </c>
      <c r="F2455" t="s">
        <v>13</v>
      </c>
      <c r="G2455">
        <v>16377235</v>
      </c>
      <c r="H2455" s="1">
        <v>45678</v>
      </c>
      <c r="I2455" t="s">
        <v>555</v>
      </c>
      <c r="J2455" t="s">
        <v>556</v>
      </c>
      <c r="L2455">
        <v>16377235</v>
      </c>
      <c r="M2455">
        <f>IF(F2455="INR",1,INDEX('rates'!$B$2:$C$522,MATCH(D2455,'rates'!$A$2:$A$522,1),MATCH(F2455&amp;"/INR",'rates'!$B$1:$C$1,0)))</f>
        <v>1</v>
      </c>
      <c r="N2455">
        <f t="shared" si="202"/>
        <v>16377235</v>
      </c>
      <c r="O2455">
        <f t="shared" si="203"/>
        <v>0</v>
      </c>
      <c r="P2455">
        <f t="shared" si="204"/>
        <v>0</v>
      </c>
      <c r="Q2455">
        <f t="shared" si="201"/>
        <v>17</v>
      </c>
      <c r="R2455" t="str">
        <f t="shared" si="205"/>
        <v>Not open</v>
      </c>
    </row>
    <row r="2456" spans="1:18" x14ac:dyDescent="0.3">
      <c r="A2456" t="s">
        <v>2718</v>
      </c>
      <c r="B2456" t="s">
        <v>19</v>
      </c>
      <c r="C2456" t="s">
        <v>554</v>
      </c>
      <c r="D2456" s="1">
        <v>45616</v>
      </c>
      <c r="E2456" s="1">
        <v>45661</v>
      </c>
      <c r="F2456" t="s">
        <v>13</v>
      </c>
      <c r="G2456">
        <v>8141932</v>
      </c>
      <c r="H2456" s="1">
        <v>45692</v>
      </c>
      <c r="I2456" t="s">
        <v>555</v>
      </c>
      <c r="J2456" t="s">
        <v>556</v>
      </c>
      <c r="L2456">
        <v>8141932</v>
      </c>
      <c r="M2456">
        <f>IF(F2456="INR",1,INDEX('rates'!$B$2:$C$522,MATCH(D2456,'rates'!$A$2:$A$522,1),MATCH(F2456&amp;"/INR",'rates'!$B$1:$C$1,0)))</f>
        <v>1</v>
      </c>
      <c r="N2456">
        <f t="shared" si="202"/>
        <v>8141932</v>
      </c>
      <c r="O2456">
        <f t="shared" si="203"/>
        <v>0</v>
      </c>
      <c r="P2456">
        <f t="shared" si="204"/>
        <v>0</v>
      </c>
      <c r="Q2456">
        <f t="shared" si="201"/>
        <v>31</v>
      </c>
      <c r="R2456" t="str">
        <f t="shared" si="205"/>
        <v>Not open</v>
      </c>
    </row>
    <row r="2457" spans="1:18" x14ac:dyDescent="0.3">
      <c r="A2457" t="s">
        <v>2719</v>
      </c>
      <c r="B2457" t="s">
        <v>51</v>
      </c>
      <c r="C2457" t="s">
        <v>558</v>
      </c>
      <c r="D2457" s="1">
        <v>45616</v>
      </c>
      <c r="E2457" s="1">
        <v>45676</v>
      </c>
      <c r="F2457" t="s">
        <v>31</v>
      </c>
      <c r="G2457">
        <v>34745.57</v>
      </c>
      <c r="H2457" s="1">
        <v>45704</v>
      </c>
      <c r="I2457" t="s">
        <v>555</v>
      </c>
      <c r="J2457" t="s">
        <v>556</v>
      </c>
      <c r="L2457">
        <v>34745.57</v>
      </c>
      <c r="M2457">
        <f>IF(F2457="INR",1,INDEX('rates'!$B$2:$C$522,MATCH(D2457,'rates'!$A$2:$A$522,1),MATCH(F2457&amp;"/INR",'rates'!$B$1:$C$1,0)))</f>
        <v>88.8078</v>
      </c>
      <c r="N2457">
        <f t="shared" si="202"/>
        <v>3085677.6314460002</v>
      </c>
      <c r="O2457">
        <f t="shared" si="203"/>
        <v>0</v>
      </c>
      <c r="P2457">
        <f t="shared" si="204"/>
        <v>0</v>
      </c>
      <c r="Q2457">
        <f t="shared" ref="Q2457:Q2476" si="206">IF(H2457="","",H2457-E2457)</f>
        <v>28</v>
      </c>
      <c r="R2457" t="str">
        <f t="shared" si="205"/>
        <v>Not open</v>
      </c>
    </row>
    <row r="2458" spans="1:18" x14ac:dyDescent="0.3">
      <c r="A2458" t="s">
        <v>2720</v>
      </c>
      <c r="B2458" t="s">
        <v>51</v>
      </c>
      <c r="C2458" t="s">
        <v>566</v>
      </c>
      <c r="D2458" s="1">
        <v>45616</v>
      </c>
      <c r="E2458" s="1">
        <v>45676</v>
      </c>
      <c r="F2458" t="s">
        <v>31</v>
      </c>
      <c r="G2458">
        <v>43685.58</v>
      </c>
      <c r="H2458" s="1">
        <v>45708</v>
      </c>
      <c r="I2458" t="s">
        <v>555</v>
      </c>
      <c r="J2458" t="s">
        <v>556</v>
      </c>
      <c r="L2458">
        <v>43685.58</v>
      </c>
      <c r="M2458">
        <f>IF(F2458="INR",1,INDEX('rates'!$B$2:$C$522,MATCH(D2458,'rates'!$A$2:$A$522,1),MATCH(F2458&amp;"/INR",'rates'!$B$1:$C$1,0)))</f>
        <v>88.8078</v>
      </c>
      <c r="N2458">
        <f t="shared" si="202"/>
        <v>3879620.251524</v>
      </c>
      <c r="O2458">
        <f t="shared" si="203"/>
        <v>0</v>
      </c>
      <c r="P2458">
        <f t="shared" si="204"/>
        <v>0</v>
      </c>
      <c r="Q2458">
        <f t="shared" si="206"/>
        <v>32</v>
      </c>
      <c r="R2458" t="str">
        <f t="shared" si="205"/>
        <v>Not open</v>
      </c>
    </row>
    <row r="2459" spans="1:18" x14ac:dyDescent="0.3">
      <c r="A2459" t="s">
        <v>2721</v>
      </c>
      <c r="B2459" t="s">
        <v>138</v>
      </c>
      <c r="C2459" t="s">
        <v>566</v>
      </c>
      <c r="D2459" s="1">
        <v>45616</v>
      </c>
      <c r="E2459" s="1">
        <v>45646</v>
      </c>
      <c r="F2459" t="s">
        <v>13</v>
      </c>
      <c r="G2459">
        <v>6260447</v>
      </c>
      <c r="H2459" s="1">
        <v>45645</v>
      </c>
      <c r="I2459" t="s">
        <v>555</v>
      </c>
      <c r="J2459" t="s">
        <v>556</v>
      </c>
      <c r="L2459">
        <v>6260447</v>
      </c>
      <c r="M2459">
        <f>IF(F2459="INR",1,INDEX('rates'!$B$2:$C$522,MATCH(D2459,'rates'!$A$2:$A$522,1),MATCH(F2459&amp;"/INR",'rates'!$B$1:$C$1,0)))</f>
        <v>1</v>
      </c>
      <c r="N2459">
        <f t="shared" si="202"/>
        <v>6260447</v>
      </c>
      <c r="O2459">
        <f t="shared" si="203"/>
        <v>0</v>
      </c>
      <c r="P2459">
        <f t="shared" si="204"/>
        <v>0</v>
      </c>
      <c r="Q2459">
        <f t="shared" si="206"/>
        <v>-1</v>
      </c>
      <c r="R2459" t="str">
        <f t="shared" si="205"/>
        <v>Not open</v>
      </c>
    </row>
    <row r="2460" spans="1:18" x14ac:dyDescent="0.3">
      <c r="A2460" t="s">
        <v>2722</v>
      </c>
      <c r="B2460" t="s">
        <v>186</v>
      </c>
      <c r="C2460" t="s">
        <v>558</v>
      </c>
      <c r="D2460" s="1">
        <v>45616</v>
      </c>
      <c r="E2460" s="1">
        <v>45646</v>
      </c>
      <c r="F2460" t="s">
        <v>36</v>
      </c>
      <c r="G2460">
        <v>139925.04999999999</v>
      </c>
      <c r="H2460" s="1">
        <v>45667</v>
      </c>
      <c r="I2460" t="s">
        <v>555</v>
      </c>
      <c r="J2460" t="s">
        <v>573</v>
      </c>
      <c r="K2460">
        <v>84.550700000000006</v>
      </c>
      <c r="L2460">
        <v>139925.04999999999</v>
      </c>
      <c r="M2460">
        <f>IF(F2460="INR",1,INDEX('rates'!$B$2:$C$522,MATCH(D2460,'rates'!$A$2:$A$522,1),MATCH(F2460&amp;"/INR",'rates'!$B$1:$C$1,0)))</f>
        <v>84.41</v>
      </c>
      <c r="N2460">
        <f t="shared" si="202"/>
        <v>11811073.470499998</v>
      </c>
      <c r="O2460">
        <f t="shared" si="203"/>
        <v>0</v>
      </c>
      <c r="P2460">
        <f t="shared" si="204"/>
        <v>0</v>
      </c>
      <c r="Q2460">
        <f t="shared" si="206"/>
        <v>21</v>
      </c>
      <c r="R2460" t="str">
        <f t="shared" si="205"/>
        <v>Not open</v>
      </c>
    </row>
    <row r="2461" spans="1:18" x14ac:dyDescent="0.3">
      <c r="A2461" t="s">
        <v>2723</v>
      </c>
      <c r="B2461" t="s">
        <v>238</v>
      </c>
      <c r="C2461" t="s">
        <v>566</v>
      </c>
      <c r="D2461" s="1">
        <v>45616</v>
      </c>
      <c r="E2461" s="1">
        <v>45676</v>
      </c>
      <c r="F2461" t="s">
        <v>31</v>
      </c>
      <c r="G2461">
        <v>36320.480000000003</v>
      </c>
      <c r="H2461" s="1">
        <v>45700</v>
      </c>
      <c r="I2461" t="s">
        <v>555</v>
      </c>
      <c r="J2461" t="s">
        <v>573</v>
      </c>
      <c r="K2461">
        <v>88.985399999999998</v>
      </c>
      <c r="L2461">
        <v>36320.480000000003</v>
      </c>
      <c r="M2461">
        <f>IF(F2461="INR",1,INDEX('rates'!$B$2:$C$522,MATCH(D2461,'rates'!$A$2:$A$522,1),MATCH(F2461&amp;"/INR",'rates'!$B$1:$C$1,0)))</f>
        <v>88.8078</v>
      </c>
      <c r="N2461">
        <f t="shared" si="202"/>
        <v>3225541.9237440005</v>
      </c>
      <c r="O2461">
        <f t="shared" si="203"/>
        <v>0</v>
      </c>
      <c r="P2461">
        <f t="shared" si="204"/>
        <v>0</v>
      </c>
      <c r="Q2461">
        <f t="shared" si="206"/>
        <v>24</v>
      </c>
      <c r="R2461" t="str">
        <f t="shared" si="205"/>
        <v>Not open</v>
      </c>
    </row>
    <row r="2462" spans="1:18" x14ac:dyDescent="0.3">
      <c r="A2462" t="s">
        <v>2724</v>
      </c>
      <c r="B2462" t="s">
        <v>394</v>
      </c>
      <c r="C2462" t="s">
        <v>575</v>
      </c>
      <c r="D2462" s="1">
        <v>45616</v>
      </c>
      <c r="E2462" s="1">
        <v>45676</v>
      </c>
      <c r="F2462" t="s">
        <v>31</v>
      </c>
      <c r="G2462">
        <v>79290.52</v>
      </c>
      <c r="H2462" s="1">
        <v>45684</v>
      </c>
      <c r="I2462" t="s">
        <v>555</v>
      </c>
      <c r="J2462" t="s">
        <v>556</v>
      </c>
      <c r="L2462">
        <v>79290.52</v>
      </c>
      <c r="M2462">
        <f>IF(F2462="INR",1,INDEX('rates'!$B$2:$C$522,MATCH(D2462,'rates'!$A$2:$A$522,1),MATCH(F2462&amp;"/INR",'rates'!$B$1:$C$1,0)))</f>
        <v>88.8078</v>
      </c>
      <c r="N2462">
        <f t="shared" si="202"/>
        <v>7041616.6420560004</v>
      </c>
      <c r="O2462">
        <f t="shared" si="203"/>
        <v>0</v>
      </c>
      <c r="P2462">
        <f t="shared" si="204"/>
        <v>0</v>
      </c>
      <c r="Q2462">
        <f t="shared" si="206"/>
        <v>8</v>
      </c>
      <c r="R2462" t="str">
        <f t="shared" si="205"/>
        <v>Not open</v>
      </c>
    </row>
    <row r="2463" spans="1:18" x14ac:dyDescent="0.3">
      <c r="A2463" t="s">
        <v>2725</v>
      </c>
      <c r="B2463" t="s">
        <v>186</v>
      </c>
      <c r="C2463" t="s">
        <v>558</v>
      </c>
      <c r="D2463" s="1">
        <v>45617</v>
      </c>
      <c r="E2463" s="1">
        <v>45647</v>
      </c>
      <c r="F2463" t="s">
        <v>36</v>
      </c>
      <c r="G2463">
        <v>86462.21</v>
      </c>
      <c r="H2463" s="1">
        <v>45668</v>
      </c>
      <c r="I2463" t="s">
        <v>555</v>
      </c>
      <c r="J2463" t="s">
        <v>573</v>
      </c>
      <c r="K2463">
        <v>84.620800000000003</v>
      </c>
      <c r="L2463">
        <v>86462.21</v>
      </c>
      <c r="M2463">
        <f>IF(F2463="INR",1,INDEX('rates'!$B$2:$C$522,MATCH(D2463,'rates'!$A$2:$A$522,1),MATCH(F2463&amp;"/INR",'rates'!$B$1:$C$1,0)))</f>
        <v>84.48</v>
      </c>
      <c r="N2463">
        <f t="shared" si="202"/>
        <v>7304327.5008000005</v>
      </c>
      <c r="O2463">
        <f t="shared" si="203"/>
        <v>0</v>
      </c>
      <c r="P2463">
        <f t="shared" si="204"/>
        <v>0</v>
      </c>
      <c r="Q2463">
        <f t="shared" si="206"/>
        <v>21</v>
      </c>
      <c r="R2463" t="str">
        <f t="shared" si="205"/>
        <v>Not open</v>
      </c>
    </row>
    <row r="2464" spans="1:18" x14ac:dyDescent="0.3">
      <c r="A2464" t="s">
        <v>2726</v>
      </c>
      <c r="B2464" t="s">
        <v>382</v>
      </c>
      <c r="C2464" t="s">
        <v>566</v>
      </c>
      <c r="D2464" s="1">
        <v>45617</v>
      </c>
      <c r="E2464" s="1">
        <v>45707</v>
      </c>
      <c r="F2464" t="s">
        <v>36</v>
      </c>
      <c r="G2464">
        <v>30307.47</v>
      </c>
      <c r="H2464" s="1">
        <v>45729</v>
      </c>
      <c r="I2464" t="s">
        <v>555</v>
      </c>
      <c r="J2464" t="s">
        <v>573</v>
      </c>
      <c r="K2464">
        <v>84.9024</v>
      </c>
      <c r="L2464">
        <v>30307.47</v>
      </c>
      <c r="M2464">
        <f>IF(F2464="INR",1,INDEX('rates'!$B$2:$C$522,MATCH(D2464,'rates'!$A$2:$A$522,1),MATCH(F2464&amp;"/INR",'rates'!$B$1:$C$1,0)))</f>
        <v>84.48</v>
      </c>
      <c r="N2464">
        <f t="shared" si="202"/>
        <v>2560375.0656000003</v>
      </c>
      <c r="O2464">
        <f t="shared" si="203"/>
        <v>0</v>
      </c>
      <c r="P2464">
        <f t="shared" si="204"/>
        <v>0</v>
      </c>
      <c r="Q2464">
        <f t="shared" si="206"/>
        <v>22</v>
      </c>
      <c r="R2464" t="str">
        <f t="shared" si="205"/>
        <v>Not open</v>
      </c>
    </row>
    <row r="2465" spans="1:18" x14ac:dyDescent="0.3">
      <c r="A2465" t="s">
        <v>2727</v>
      </c>
      <c r="B2465" t="s">
        <v>464</v>
      </c>
      <c r="C2465" t="s">
        <v>560</v>
      </c>
      <c r="D2465" s="1">
        <v>45617</v>
      </c>
      <c r="E2465" s="1">
        <v>45707</v>
      </c>
      <c r="F2465" t="s">
        <v>13</v>
      </c>
      <c r="G2465">
        <v>4893279</v>
      </c>
      <c r="H2465" s="1">
        <v>45705</v>
      </c>
      <c r="I2465" t="s">
        <v>555</v>
      </c>
      <c r="J2465" t="s">
        <v>556</v>
      </c>
      <c r="L2465">
        <v>4893279</v>
      </c>
      <c r="M2465">
        <f>IF(F2465="INR",1,INDEX('rates'!$B$2:$C$522,MATCH(D2465,'rates'!$A$2:$A$522,1),MATCH(F2465&amp;"/INR",'rates'!$B$1:$C$1,0)))</f>
        <v>1</v>
      </c>
      <c r="N2465">
        <f t="shared" si="202"/>
        <v>4893279</v>
      </c>
      <c r="O2465">
        <f t="shared" si="203"/>
        <v>0</v>
      </c>
      <c r="P2465">
        <f t="shared" si="204"/>
        <v>0</v>
      </c>
      <c r="Q2465">
        <f t="shared" si="206"/>
        <v>-2</v>
      </c>
      <c r="R2465" t="str">
        <f t="shared" si="205"/>
        <v>Not open</v>
      </c>
    </row>
    <row r="2466" spans="1:18" x14ac:dyDescent="0.3">
      <c r="A2466" t="s">
        <v>2728</v>
      </c>
      <c r="B2466" t="s">
        <v>538</v>
      </c>
      <c r="C2466" t="s">
        <v>575</v>
      </c>
      <c r="D2466" s="1">
        <v>45617</v>
      </c>
      <c r="E2466" s="1">
        <v>45707</v>
      </c>
      <c r="F2466" t="s">
        <v>31</v>
      </c>
      <c r="G2466">
        <v>76002.59</v>
      </c>
      <c r="H2466" s="1">
        <v>45725</v>
      </c>
      <c r="I2466" t="s">
        <v>555</v>
      </c>
      <c r="J2466" t="s">
        <v>556</v>
      </c>
      <c r="L2466">
        <v>76002.59</v>
      </c>
      <c r="M2466">
        <f>IF(F2466="INR",1,INDEX('rates'!$B$2:$C$522,MATCH(D2466,'rates'!$A$2:$A$522,1),MATCH(F2466&amp;"/INR",'rates'!$B$1:$C$1,0)))</f>
        <v>88.492800000000003</v>
      </c>
      <c r="N2466">
        <f t="shared" si="202"/>
        <v>6725681.9963520002</v>
      </c>
      <c r="O2466">
        <f t="shared" si="203"/>
        <v>0</v>
      </c>
      <c r="P2466">
        <f t="shared" si="204"/>
        <v>0</v>
      </c>
      <c r="Q2466">
        <f t="shared" si="206"/>
        <v>18</v>
      </c>
      <c r="R2466" t="str">
        <f t="shared" si="205"/>
        <v>Not open</v>
      </c>
    </row>
    <row r="2467" spans="1:18" x14ac:dyDescent="0.3">
      <c r="A2467" t="s">
        <v>2730</v>
      </c>
      <c r="B2467" t="s">
        <v>140</v>
      </c>
      <c r="C2467" t="s">
        <v>554</v>
      </c>
      <c r="D2467" s="1">
        <v>45619</v>
      </c>
      <c r="E2467" s="1">
        <v>45679</v>
      </c>
      <c r="F2467" t="s">
        <v>13</v>
      </c>
      <c r="G2467">
        <v>13960464</v>
      </c>
      <c r="H2467" s="1">
        <v>45679</v>
      </c>
      <c r="I2467" t="s">
        <v>555</v>
      </c>
      <c r="J2467" t="s">
        <v>556</v>
      </c>
      <c r="L2467">
        <v>13960464</v>
      </c>
      <c r="M2467">
        <f>IF(F2467="INR",1,INDEX('rates'!$B$2:$C$522,MATCH(D2467,'rates'!$A$2:$A$522,1),MATCH(F2467&amp;"/INR",'rates'!$B$1:$C$1,0)))</f>
        <v>1</v>
      </c>
      <c r="N2467">
        <f t="shared" si="202"/>
        <v>13960464</v>
      </c>
      <c r="O2467">
        <f t="shared" si="203"/>
        <v>0</v>
      </c>
      <c r="P2467">
        <f t="shared" si="204"/>
        <v>0</v>
      </c>
      <c r="Q2467">
        <f t="shared" si="206"/>
        <v>0</v>
      </c>
      <c r="R2467" t="str">
        <f t="shared" si="205"/>
        <v>Not open</v>
      </c>
    </row>
    <row r="2468" spans="1:18" x14ac:dyDescent="0.3">
      <c r="A2468" t="s">
        <v>2731</v>
      </c>
      <c r="B2468" t="s">
        <v>204</v>
      </c>
      <c r="C2468" t="s">
        <v>575</v>
      </c>
      <c r="D2468" s="1">
        <v>45619</v>
      </c>
      <c r="E2468" s="1">
        <v>45679</v>
      </c>
      <c r="F2468" t="s">
        <v>13</v>
      </c>
      <c r="G2468">
        <v>5992777</v>
      </c>
      <c r="H2468" s="1">
        <v>45694</v>
      </c>
      <c r="I2468" t="s">
        <v>555</v>
      </c>
      <c r="J2468" t="s">
        <v>556</v>
      </c>
      <c r="L2468">
        <v>5992777</v>
      </c>
      <c r="M2468">
        <f>IF(F2468="INR",1,INDEX('rates'!$B$2:$C$522,MATCH(D2468,'rates'!$A$2:$A$522,1),MATCH(F2468&amp;"/INR",'rates'!$B$1:$C$1,0)))</f>
        <v>1</v>
      </c>
      <c r="N2468">
        <f t="shared" si="202"/>
        <v>5992777</v>
      </c>
      <c r="O2468">
        <f t="shared" si="203"/>
        <v>0</v>
      </c>
      <c r="P2468">
        <f t="shared" si="204"/>
        <v>0</v>
      </c>
      <c r="Q2468">
        <f t="shared" si="206"/>
        <v>15</v>
      </c>
      <c r="R2468" t="str">
        <f t="shared" si="205"/>
        <v>Not open</v>
      </c>
    </row>
    <row r="2469" spans="1:18" x14ac:dyDescent="0.3">
      <c r="A2469" t="s">
        <v>2732</v>
      </c>
      <c r="B2469" t="s">
        <v>322</v>
      </c>
      <c r="C2469" t="s">
        <v>566</v>
      </c>
      <c r="D2469" s="1">
        <v>45619</v>
      </c>
      <c r="E2469" s="1">
        <v>45679</v>
      </c>
      <c r="F2469" t="s">
        <v>13</v>
      </c>
      <c r="G2469">
        <v>7631799</v>
      </c>
      <c r="H2469" s="1">
        <v>45678</v>
      </c>
      <c r="I2469" t="s">
        <v>555</v>
      </c>
      <c r="J2469" t="s">
        <v>556</v>
      </c>
      <c r="L2469">
        <v>7631799</v>
      </c>
      <c r="M2469">
        <f>IF(F2469="INR",1,INDEX('rates'!$B$2:$C$522,MATCH(D2469,'rates'!$A$2:$A$522,1),MATCH(F2469&amp;"/INR",'rates'!$B$1:$C$1,0)))</f>
        <v>1</v>
      </c>
      <c r="N2469">
        <f t="shared" si="202"/>
        <v>7631799</v>
      </c>
      <c r="O2469">
        <f t="shared" si="203"/>
        <v>0</v>
      </c>
      <c r="P2469">
        <f t="shared" si="204"/>
        <v>0</v>
      </c>
      <c r="Q2469">
        <f t="shared" si="206"/>
        <v>-1</v>
      </c>
      <c r="R2469" t="str">
        <f t="shared" si="205"/>
        <v>Not open</v>
      </c>
    </row>
    <row r="2470" spans="1:18" x14ac:dyDescent="0.3">
      <c r="A2470" t="s">
        <v>2733</v>
      </c>
      <c r="B2470" t="s">
        <v>386</v>
      </c>
      <c r="C2470" t="s">
        <v>575</v>
      </c>
      <c r="D2470" s="1">
        <v>45619</v>
      </c>
      <c r="E2470" s="1">
        <v>45679</v>
      </c>
      <c r="F2470" t="s">
        <v>31</v>
      </c>
      <c r="G2470">
        <v>30080.45</v>
      </c>
      <c r="H2470" s="1">
        <v>45688</v>
      </c>
      <c r="I2470" t="s">
        <v>555</v>
      </c>
      <c r="J2470" t="s">
        <v>573</v>
      </c>
      <c r="K2470">
        <v>87.984800000000007</v>
      </c>
      <c r="L2470">
        <v>30080.45</v>
      </c>
      <c r="M2470">
        <f>IF(F2470="INR",1,INDEX('rates'!$B$2:$C$522,MATCH(D2470,'rates'!$A$2:$A$522,1),MATCH(F2470&amp;"/INR",'rates'!$B$1:$C$1,0)))</f>
        <v>87.809200000000004</v>
      </c>
      <c r="N2470">
        <f t="shared" si="202"/>
        <v>2641340.2501400001</v>
      </c>
      <c r="O2470">
        <f t="shared" si="203"/>
        <v>0</v>
      </c>
      <c r="P2470">
        <f t="shared" si="204"/>
        <v>0</v>
      </c>
      <c r="Q2470">
        <f t="shared" si="206"/>
        <v>9</v>
      </c>
      <c r="R2470" t="str">
        <f t="shared" si="205"/>
        <v>Not open</v>
      </c>
    </row>
    <row r="2471" spans="1:18" x14ac:dyDescent="0.3">
      <c r="A2471" t="s">
        <v>2734</v>
      </c>
      <c r="B2471" t="s">
        <v>392</v>
      </c>
      <c r="C2471" t="s">
        <v>554</v>
      </c>
      <c r="D2471" s="1">
        <v>45619</v>
      </c>
      <c r="E2471" s="1">
        <v>45649</v>
      </c>
      <c r="F2471" t="s">
        <v>13</v>
      </c>
      <c r="G2471">
        <v>1979532</v>
      </c>
      <c r="H2471" s="1">
        <v>45658</v>
      </c>
      <c r="I2471" t="s">
        <v>555</v>
      </c>
      <c r="J2471" t="s">
        <v>556</v>
      </c>
      <c r="L2471">
        <v>1979532</v>
      </c>
      <c r="M2471">
        <f>IF(F2471="INR",1,INDEX('rates'!$B$2:$C$522,MATCH(D2471,'rates'!$A$2:$A$522,1),MATCH(F2471&amp;"/INR",'rates'!$B$1:$C$1,0)))</f>
        <v>1</v>
      </c>
      <c r="N2471">
        <f t="shared" si="202"/>
        <v>1979532</v>
      </c>
      <c r="O2471">
        <f t="shared" si="203"/>
        <v>0</v>
      </c>
      <c r="P2471">
        <f t="shared" si="204"/>
        <v>0</v>
      </c>
      <c r="Q2471">
        <f t="shared" si="206"/>
        <v>9</v>
      </c>
      <c r="R2471" t="str">
        <f t="shared" si="205"/>
        <v>Not open</v>
      </c>
    </row>
    <row r="2472" spans="1:18" x14ac:dyDescent="0.3">
      <c r="A2472" t="s">
        <v>2735</v>
      </c>
      <c r="B2472" t="s">
        <v>25</v>
      </c>
      <c r="C2472" t="s">
        <v>560</v>
      </c>
      <c r="D2472" s="1">
        <v>45621</v>
      </c>
      <c r="E2472" s="1">
        <v>45651</v>
      </c>
      <c r="F2472" t="s">
        <v>13</v>
      </c>
      <c r="G2472">
        <v>3885984</v>
      </c>
      <c r="H2472" s="1">
        <v>45663</v>
      </c>
      <c r="I2472" t="s">
        <v>555</v>
      </c>
      <c r="J2472" t="s">
        <v>556</v>
      </c>
      <c r="L2472">
        <v>3885984</v>
      </c>
      <c r="M2472">
        <f>IF(F2472="INR",1,INDEX('rates'!$B$2:$C$522,MATCH(D2472,'rates'!$A$2:$A$522,1),MATCH(F2472&amp;"/INR",'rates'!$B$1:$C$1,0)))</f>
        <v>1</v>
      </c>
      <c r="N2472">
        <f t="shared" si="202"/>
        <v>3885984</v>
      </c>
      <c r="O2472">
        <f t="shared" si="203"/>
        <v>0</v>
      </c>
      <c r="P2472">
        <f t="shared" si="204"/>
        <v>0</v>
      </c>
      <c r="Q2472">
        <f t="shared" si="206"/>
        <v>12</v>
      </c>
      <c r="R2472" t="str">
        <f t="shared" si="205"/>
        <v>Not open</v>
      </c>
    </row>
    <row r="2473" spans="1:18" x14ac:dyDescent="0.3">
      <c r="A2473" t="s">
        <v>2736</v>
      </c>
      <c r="B2473" t="s">
        <v>148</v>
      </c>
      <c r="C2473" t="s">
        <v>575</v>
      </c>
      <c r="D2473" s="1">
        <v>45621</v>
      </c>
      <c r="E2473" s="1">
        <v>45681</v>
      </c>
      <c r="F2473" t="s">
        <v>31</v>
      </c>
      <c r="G2473">
        <v>322818.32</v>
      </c>
      <c r="H2473" s="1">
        <v>45694</v>
      </c>
      <c r="I2473" t="s">
        <v>555</v>
      </c>
      <c r="J2473" t="s">
        <v>573</v>
      </c>
      <c r="K2473">
        <v>88.443200000000004</v>
      </c>
      <c r="L2473">
        <v>322818.32</v>
      </c>
      <c r="M2473">
        <f>IF(F2473="INR",1,INDEX('rates'!$B$2:$C$522,MATCH(D2473,'rates'!$A$2:$A$522,1),MATCH(F2473&amp;"/INR",'rates'!$B$1:$C$1,0)))</f>
        <v>88.2667</v>
      </c>
      <c r="N2473">
        <f t="shared" si="202"/>
        <v>28494107.805943999</v>
      </c>
      <c r="O2473">
        <f t="shared" si="203"/>
        <v>0</v>
      </c>
      <c r="P2473">
        <f t="shared" si="204"/>
        <v>0</v>
      </c>
      <c r="Q2473">
        <f t="shared" si="206"/>
        <v>13</v>
      </c>
      <c r="R2473" t="str">
        <f t="shared" si="205"/>
        <v>Not open</v>
      </c>
    </row>
    <row r="2474" spans="1:18" x14ac:dyDescent="0.3">
      <c r="A2474" t="s">
        <v>2737</v>
      </c>
      <c r="B2474" t="s">
        <v>262</v>
      </c>
      <c r="C2474" t="s">
        <v>566</v>
      </c>
      <c r="D2474" s="1">
        <v>45621</v>
      </c>
      <c r="E2474" s="1">
        <v>45711</v>
      </c>
      <c r="F2474" t="s">
        <v>31</v>
      </c>
      <c r="G2474">
        <v>141054.69</v>
      </c>
      <c r="H2474" s="1"/>
      <c r="I2474" t="s">
        <v>555</v>
      </c>
      <c r="J2474" t="s">
        <v>556</v>
      </c>
      <c r="L2474">
        <v>141054.69</v>
      </c>
      <c r="M2474">
        <f>IF(F2474="INR",1,INDEX('rates'!$B$2:$C$522,MATCH(D2474,'rates'!$A$2:$A$522,1),MATCH(F2474&amp;"/INR",'rates'!$B$1:$C$1,0)))</f>
        <v>88.2667</v>
      </c>
      <c r="N2474">
        <f t="shared" si="202"/>
        <v>12450432.005822999</v>
      </c>
      <c r="O2474">
        <f t="shared" si="203"/>
        <v>0</v>
      </c>
      <c r="P2474">
        <f t="shared" si="204"/>
        <v>0</v>
      </c>
      <c r="Q2474" t="str">
        <f t="shared" si="206"/>
        <v/>
      </c>
      <c r="R2474" t="str">
        <f t="shared" si="205"/>
        <v>Not open</v>
      </c>
    </row>
    <row r="2475" spans="1:18" x14ac:dyDescent="0.3">
      <c r="A2475" t="s">
        <v>2739</v>
      </c>
      <c r="B2475" t="s">
        <v>482</v>
      </c>
      <c r="C2475" t="s">
        <v>558</v>
      </c>
      <c r="D2475" s="1">
        <v>45621</v>
      </c>
      <c r="E2475" s="1">
        <v>45681</v>
      </c>
      <c r="F2475" t="s">
        <v>13</v>
      </c>
      <c r="G2475">
        <v>21530786</v>
      </c>
      <c r="H2475" s="1">
        <v>45712</v>
      </c>
      <c r="I2475" t="s">
        <v>555</v>
      </c>
      <c r="J2475" t="s">
        <v>556</v>
      </c>
      <c r="L2475">
        <v>21530786</v>
      </c>
      <c r="M2475">
        <f>IF(F2475="INR",1,INDEX('rates'!$B$2:$C$522,MATCH(D2475,'rates'!$A$2:$A$522,1),MATCH(F2475&amp;"/INR",'rates'!$B$1:$C$1,0)))</f>
        <v>1</v>
      </c>
      <c r="N2475">
        <f t="shared" si="202"/>
        <v>21530786</v>
      </c>
      <c r="O2475">
        <f t="shared" si="203"/>
        <v>0</v>
      </c>
      <c r="P2475">
        <f t="shared" si="204"/>
        <v>0</v>
      </c>
      <c r="Q2475">
        <f t="shared" si="206"/>
        <v>31</v>
      </c>
      <c r="R2475" t="str">
        <f t="shared" si="205"/>
        <v>Not open</v>
      </c>
    </row>
    <row r="2476" spans="1:18" x14ac:dyDescent="0.3">
      <c r="A2476" t="s">
        <v>2740</v>
      </c>
      <c r="B2476" t="s">
        <v>496</v>
      </c>
      <c r="C2476" t="s">
        <v>554</v>
      </c>
      <c r="D2476" s="1">
        <v>45621</v>
      </c>
      <c r="E2476" s="1">
        <v>45666</v>
      </c>
      <c r="F2476" t="s">
        <v>13</v>
      </c>
      <c r="G2476">
        <v>71797544</v>
      </c>
      <c r="H2476" s="1">
        <v>45672</v>
      </c>
      <c r="I2476" t="s">
        <v>555</v>
      </c>
      <c r="J2476" t="s">
        <v>556</v>
      </c>
      <c r="L2476">
        <v>71797544</v>
      </c>
      <c r="M2476">
        <f>IF(F2476="INR",1,INDEX('rates'!$B$2:$C$522,MATCH(D2476,'rates'!$A$2:$A$522,1),MATCH(F2476&amp;"/INR",'rates'!$B$1:$C$1,0)))</f>
        <v>1</v>
      </c>
      <c r="N2476">
        <f t="shared" si="202"/>
        <v>71797544</v>
      </c>
      <c r="O2476">
        <f t="shared" si="203"/>
        <v>0</v>
      </c>
      <c r="P2476">
        <f t="shared" si="204"/>
        <v>0</v>
      </c>
      <c r="Q2476">
        <f t="shared" si="206"/>
        <v>6</v>
      </c>
      <c r="R2476" t="str">
        <f t="shared" si="205"/>
        <v>Not open</v>
      </c>
    </row>
    <row r="2477" spans="1:18" x14ac:dyDescent="0.3">
      <c r="A2477" t="s">
        <v>2741</v>
      </c>
      <c r="B2477" t="s">
        <v>260</v>
      </c>
      <c r="C2477" t="s">
        <v>558</v>
      </c>
      <c r="D2477" s="1">
        <v>45622</v>
      </c>
      <c r="E2477" s="1">
        <v>45682</v>
      </c>
      <c r="F2477" t="s">
        <v>36</v>
      </c>
      <c r="G2477">
        <v>74356.2</v>
      </c>
      <c r="H2477" s="1"/>
      <c r="I2477" t="s">
        <v>555</v>
      </c>
      <c r="J2477" t="s">
        <v>573</v>
      </c>
      <c r="K2477">
        <v>84.550899999999999</v>
      </c>
      <c r="L2477">
        <v>74356.2</v>
      </c>
      <c r="M2477">
        <f>IF(F2477="INR",1,INDEX('rates'!$B$2:$C$522,MATCH(D2477,'rates'!$A$2:$A$522,1),MATCH(F2477&amp;"/INR",'rates'!$B$1:$C$1,0)))</f>
        <v>84.27</v>
      </c>
      <c r="N2477">
        <f t="shared" si="202"/>
        <v>6265996.9739999995</v>
      </c>
      <c r="O2477">
        <f t="shared" si="203"/>
        <v>0</v>
      </c>
      <c r="P2477">
        <f t="shared" si="204"/>
        <v>0</v>
      </c>
      <c r="R2477" t="str">
        <f t="shared" si="205"/>
        <v>Not open</v>
      </c>
    </row>
    <row r="2478" spans="1:18" x14ac:dyDescent="0.3">
      <c r="A2478" t="s">
        <v>2742</v>
      </c>
      <c r="B2478" t="s">
        <v>406</v>
      </c>
      <c r="C2478" t="s">
        <v>554</v>
      </c>
      <c r="D2478" s="1">
        <v>45622</v>
      </c>
      <c r="E2478" s="1">
        <v>45712</v>
      </c>
      <c r="F2478" t="s">
        <v>13</v>
      </c>
      <c r="G2478">
        <v>2429875</v>
      </c>
      <c r="H2478" s="1">
        <v>45717</v>
      </c>
      <c r="I2478" t="s">
        <v>555</v>
      </c>
      <c r="J2478" t="s">
        <v>556</v>
      </c>
      <c r="L2478">
        <v>2429875</v>
      </c>
      <c r="M2478">
        <f>IF(F2478="INR",1,INDEX('rates'!$B$2:$C$522,MATCH(D2478,'rates'!$A$2:$A$522,1),MATCH(F2478&amp;"/INR",'rates'!$B$1:$C$1,0)))</f>
        <v>1</v>
      </c>
      <c r="N2478">
        <f t="shared" si="202"/>
        <v>2429875</v>
      </c>
      <c r="O2478">
        <f t="shared" si="203"/>
        <v>0</v>
      </c>
      <c r="P2478">
        <f t="shared" si="204"/>
        <v>0</v>
      </c>
      <c r="Q2478">
        <f t="shared" ref="Q2478:Q2509" si="207">IF(H2478="","",H2478-E2478)</f>
        <v>5</v>
      </c>
      <c r="R2478" t="str">
        <f t="shared" si="205"/>
        <v>Not open</v>
      </c>
    </row>
    <row r="2479" spans="1:18" x14ac:dyDescent="0.3">
      <c r="A2479" t="s">
        <v>2743</v>
      </c>
      <c r="B2479" t="s">
        <v>462</v>
      </c>
      <c r="C2479" t="s">
        <v>566</v>
      </c>
      <c r="D2479" s="1">
        <v>45622</v>
      </c>
      <c r="E2479" s="1">
        <v>45667</v>
      </c>
      <c r="F2479" t="s">
        <v>13</v>
      </c>
      <c r="G2479">
        <v>3961845</v>
      </c>
      <c r="H2479" s="1">
        <v>45677</v>
      </c>
      <c r="I2479" t="s">
        <v>555</v>
      </c>
      <c r="J2479" t="s">
        <v>556</v>
      </c>
      <c r="L2479">
        <v>3961845</v>
      </c>
      <c r="M2479">
        <f>IF(F2479="INR",1,INDEX('rates'!$B$2:$C$522,MATCH(D2479,'rates'!$A$2:$A$522,1),MATCH(F2479&amp;"/INR",'rates'!$B$1:$C$1,0)))</f>
        <v>1</v>
      </c>
      <c r="N2479">
        <f t="shared" si="202"/>
        <v>3961845</v>
      </c>
      <c r="O2479">
        <f t="shared" si="203"/>
        <v>0</v>
      </c>
      <c r="P2479">
        <f t="shared" si="204"/>
        <v>0</v>
      </c>
      <c r="Q2479">
        <f t="shared" si="207"/>
        <v>10</v>
      </c>
      <c r="R2479" t="str">
        <f t="shared" si="205"/>
        <v>Not open</v>
      </c>
    </row>
    <row r="2480" spans="1:18" x14ac:dyDescent="0.3">
      <c r="A2480" t="s">
        <v>2744</v>
      </c>
      <c r="B2480" t="s">
        <v>302</v>
      </c>
      <c r="C2480" t="s">
        <v>575</v>
      </c>
      <c r="D2480" s="1">
        <v>45623</v>
      </c>
      <c r="E2480" s="1">
        <v>45713</v>
      </c>
      <c r="F2480" t="s">
        <v>13</v>
      </c>
      <c r="G2480">
        <v>9156309</v>
      </c>
      <c r="H2480" s="1">
        <v>45711</v>
      </c>
      <c r="I2480" t="s">
        <v>555</v>
      </c>
      <c r="J2480" t="s">
        <v>556</v>
      </c>
      <c r="L2480">
        <v>9156309</v>
      </c>
      <c r="M2480">
        <f>IF(F2480="INR",1,INDEX('rates'!$B$2:$C$522,MATCH(D2480,'rates'!$A$2:$A$522,1),MATCH(F2480&amp;"/INR",'rates'!$B$1:$C$1,0)))</f>
        <v>1</v>
      </c>
      <c r="N2480">
        <f t="shared" si="202"/>
        <v>9156309</v>
      </c>
      <c r="O2480">
        <f t="shared" si="203"/>
        <v>0</v>
      </c>
      <c r="P2480">
        <f t="shared" si="204"/>
        <v>0</v>
      </c>
      <c r="Q2480">
        <f t="shared" si="207"/>
        <v>-2</v>
      </c>
      <c r="R2480" t="str">
        <f t="shared" si="205"/>
        <v>Not open</v>
      </c>
    </row>
    <row r="2481" spans="1:18" x14ac:dyDescent="0.3">
      <c r="A2481" t="s">
        <v>2745</v>
      </c>
      <c r="B2481" t="s">
        <v>332</v>
      </c>
      <c r="C2481" t="s">
        <v>566</v>
      </c>
      <c r="D2481" s="1">
        <v>45623</v>
      </c>
      <c r="E2481" s="1">
        <v>45683</v>
      </c>
      <c r="F2481" t="s">
        <v>36</v>
      </c>
      <c r="G2481">
        <v>320472.23</v>
      </c>
      <c r="H2481" s="1">
        <v>45693</v>
      </c>
      <c r="I2481" t="s">
        <v>555</v>
      </c>
      <c r="J2481" t="s">
        <v>573</v>
      </c>
      <c r="K2481">
        <v>84.691400000000002</v>
      </c>
      <c r="L2481">
        <v>320472.23</v>
      </c>
      <c r="M2481">
        <f>IF(F2481="INR",1,INDEX('rates'!$B$2:$C$522,MATCH(D2481,'rates'!$A$2:$A$522,1),MATCH(F2481&amp;"/INR",'rates'!$B$1:$C$1,0)))</f>
        <v>84.41</v>
      </c>
      <c r="N2481">
        <f t="shared" si="202"/>
        <v>27051060.934299998</v>
      </c>
      <c r="O2481">
        <f t="shared" si="203"/>
        <v>0</v>
      </c>
      <c r="P2481">
        <f t="shared" si="204"/>
        <v>0</v>
      </c>
      <c r="Q2481">
        <f t="shared" si="207"/>
        <v>10</v>
      </c>
      <c r="R2481" t="str">
        <f t="shared" si="205"/>
        <v>Not open</v>
      </c>
    </row>
    <row r="2482" spans="1:18" x14ac:dyDescent="0.3">
      <c r="A2482" t="s">
        <v>2746</v>
      </c>
      <c r="B2482" t="s">
        <v>466</v>
      </c>
      <c r="C2482" t="s">
        <v>558</v>
      </c>
      <c r="D2482" s="1">
        <v>45623</v>
      </c>
      <c r="E2482" s="1">
        <v>45683</v>
      </c>
      <c r="F2482" t="s">
        <v>31</v>
      </c>
      <c r="G2482">
        <v>96967.8</v>
      </c>
      <c r="H2482" s="1">
        <v>45683</v>
      </c>
      <c r="I2482" t="s">
        <v>555</v>
      </c>
      <c r="J2482" t="s">
        <v>556</v>
      </c>
      <c r="L2482">
        <v>96967.8</v>
      </c>
      <c r="M2482">
        <f>IF(F2482="INR",1,INDEX('rates'!$B$2:$C$522,MATCH(D2482,'rates'!$A$2:$A$522,1),MATCH(F2482&amp;"/INR",'rates'!$B$1:$C$1,0)))</f>
        <v>89.263599999999997</v>
      </c>
      <c r="N2482">
        <f t="shared" si="202"/>
        <v>8655694.9120799992</v>
      </c>
      <c r="O2482">
        <f t="shared" si="203"/>
        <v>0</v>
      </c>
      <c r="P2482">
        <f t="shared" si="204"/>
        <v>0</v>
      </c>
      <c r="Q2482">
        <f t="shared" si="207"/>
        <v>0</v>
      </c>
      <c r="R2482" t="str">
        <f t="shared" si="205"/>
        <v>Not open</v>
      </c>
    </row>
    <row r="2483" spans="1:18" x14ac:dyDescent="0.3">
      <c r="A2483" t="s">
        <v>2747</v>
      </c>
      <c r="B2483" t="s">
        <v>190</v>
      </c>
      <c r="C2483" t="s">
        <v>558</v>
      </c>
      <c r="D2483" s="1">
        <v>45624</v>
      </c>
      <c r="E2483" s="1">
        <v>45654</v>
      </c>
      <c r="F2483" t="s">
        <v>13</v>
      </c>
      <c r="G2483">
        <v>2643346</v>
      </c>
      <c r="H2483" s="1">
        <v>45668</v>
      </c>
      <c r="I2483" t="s">
        <v>555</v>
      </c>
      <c r="J2483" t="s">
        <v>556</v>
      </c>
      <c r="L2483">
        <v>2643346</v>
      </c>
      <c r="M2483">
        <f>IF(F2483="INR",1,INDEX('rates'!$B$2:$C$522,MATCH(D2483,'rates'!$A$2:$A$522,1),MATCH(F2483&amp;"/INR",'rates'!$B$1:$C$1,0)))</f>
        <v>1</v>
      </c>
      <c r="N2483">
        <f t="shared" si="202"/>
        <v>2643346</v>
      </c>
      <c r="O2483">
        <f t="shared" si="203"/>
        <v>0</v>
      </c>
      <c r="P2483">
        <f t="shared" si="204"/>
        <v>0</v>
      </c>
      <c r="Q2483">
        <f t="shared" si="207"/>
        <v>14</v>
      </c>
      <c r="R2483" t="str">
        <f t="shared" si="205"/>
        <v>Not open</v>
      </c>
    </row>
    <row r="2484" spans="1:18" x14ac:dyDescent="0.3">
      <c r="A2484" t="s">
        <v>2748</v>
      </c>
      <c r="B2484" t="s">
        <v>262</v>
      </c>
      <c r="C2484" t="s">
        <v>566</v>
      </c>
      <c r="D2484" s="1">
        <v>45624</v>
      </c>
      <c r="E2484" s="1">
        <v>45714</v>
      </c>
      <c r="F2484" t="s">
        <v>31</v>
      </c>
      <c r="G2484">
        <v>134690.39000000001</v>
      </c>
      <c r="H2484" s="1">
        <v>45732</v>
      </c>
      <c r="I2484" t="s">
        <v>555</v>
      </c>
      <c r="J2484" t="s">
        <v>573</v>
      </c>
      <c r="K2484">
        <v>89.531400000000005</v>
      </c>
      <c r="L2484">
        <v>134690.39000000001</v>
      </c>
      <c r="M2484">
        <f>IF(F2484="INR",1,INDEX('rates'!$B$2:$C$522,MATCH(D2484,'rates'!$A$2:$A$522,1),MATCH(F2484&amp;"/INR",'rates'!$B$1:$C$1,0)))</f>
        <v>89.263599999999997</v>
      </c>
      <c r="N2484">
        <f t="shared" si="202"/>
        <v>12022949.096804</v>
      </c>
      <c r="O2484">
        <f t="shared" si="203"/>
        <v>0</v>
      </c>
      <c r="P2484">
        <f t="shared" si="204"/>
        <v>0</v>
      </c>
      <c r="Q2484">
        <f t="shared" si="207"/>
        <v>18</v>
      </c>
      <c r="R2484" t="str">
        <f t="shared" si="205"/>
        <v>Not open</v>
      </c>
    </row>
    <row r="2485" spans="1:18" x14ac:dyDescent="0.3">
      <c r="A2485" t="s">
        <v>2749</v>
      </c>
      <c r="B2485" t="s">
        <v>370</v>
      </c>
      <c r="C2485" t="s">
        <v>566</v>
      </c>
      <c r="D2485" s="1">
        <v>45625</v>
      </c>
      <c r="E2485" s="1">
        <v>45655</v>
      </c>
      <c r="F2485" t="s">
        <v>36</v>
      </c>
      <c r="G2485">
        <v>55871.41</v>
      </c>
      <c r="H2485" s="1">
        <v>45659</v>
      </c>
      <c r="I2485" t="s">
        <v>555</v>
      </c>
      <c r="J2485" t="s">
        <v>573</v>
      </c>
      <c r="K2485">
        <v>84.620800000000003</v>
      </c>
      <c r="L2485">
        <v>55871.41</v>
      </c>
      <c r="M2485">
        <f>IF(F2485="INR",1,INDEX('rates'!$B$2:$C$522,MATCH(D2485,'rates'!$A$2:$A$522,1),MATCH(F2485&amp;"/INR",'rates'!$B$1:$C$1,0)))</f>
        <v>84.48</v>
      </c>
      <c r="N2485">
        <f t="shared" si="202"/>
        <v>4720016.7168000005</v>
      </c>
      <c r="O2485">
        <f t="shared" si="203"/>
        <v>0</v>
      </c>
      <c r="P2485">
        <f t="shared" si="204"/>
        <v>0</v>
      </c>
      <c r="Q2485">
        <f t="shared" si="207"/>
        <v>4</v>
      </c>
      <c r="R2485" t="str">
        <f t="shared" si="205"/>
        <v>Not open</v>
      </c>
    </row>
    <row r="2486" spans="1:18" x14ac:dyDescent="0.3">
      <c r="A2486" t="s">
        <v>2750</v>
      </c>
      <c r="B2486" t="s">
        <v>470</v>
      </c>
      <c r="C2486" t="s">
        <v>575</v>
      </c>
      <c r="D2486" s="1">
        <v>45625</v>
      </c>
      <c r="E2486" s="1">
        <v>45655</v>
      </c>
      <c r="F2486" t="s">
        <v>36</v>
      </c>
      <c r="G2486">
        <v>117111.98</v>
      </c>
      <c r="H2486" s="1">
        <v>45657</v>
      </c>
      <c r="I2486" t="s">
        <v>555</v>
      </c>
      <c r="J2486" t="s">
        <v>556</v>
      </c>
      <c r="L2486">
        <v>117111.98</v>
      </c>
      <c r="M2486">
        <f>IF(F2486="INR",1,INDEX('rates'!$B$2:$C$522,MATCH(D2486,'rates'!$A$2:$A$522,1),MATCH(F2486&amp;"/INR",'rates'!$B$1:$C$1,0)))</f>
        <v>84.48</v>
      </c>
      <c r="N2486">
        <f t="shared" si="202"/>
        <v>9893620.0703999996</v>
      </c>
      <c r="O2486">
        <f t="shared" si="203"/>
        <v>0</v>
      </c>
      <c r="P2486">
        <f t="shared" si="204"/>
        <v>0</v>
      </c>
      <c r="Q2486">
        <f t="shared" si="207"/>
        <v>2</v>
      </c>
      <c r="R2486" t="str">
        <f t="shared" si="205"/>
        <v>Not open</v>
      </c>
    </row>
    <row r="2487" spans="1:18" x14ac:dyDescent="0.3">
      <c r="A2487" t="s">
        <v>2751</v>
      </c>
      <c r="B2487" t="s">
        <v>478</v>
      </c>
      <c r="C2487" t="s">
        <v>560</v>
      </c>
      <c r="D2487" s="1">
        <v>45625</v>
      </c>
      <c r="E2487" s="1">
        <v>45655</v>
      </c>
      <c r="F2487" t="s">
        <v>13</v>
      </c>
      <c r="G2487">
        <v>2452145</v>
      </c>
      <c r="H2487" s="1">
        <v>45656</v>
      </c>
      <c r="I2487" t="s">
        <v>555</v>
      </c>
      <c r="J2487" t="s">
        <v>556</v>
      </c>
      <c r="L2487">
        <v>2452145</v>
      </c>
      <c r="M2487">
        <f>IF(F2487="INR",1,INDEX('rates'!$B$2:$C$522,MATCH(D2487,'rates'!$A$2:$A$522,1),MATCH(F2487&amp;"/INR",'rates'!$B$1:$C$1,0)))</f>
        <v>1</v>
      </c>
      <c r="N2487">
        <f t="shared" si="202"/>
        <v>2452145</v>
      </c>
      <c r="O2487">
        <f t="shared" si="203"/>
        <v>0</v>
      </c>
      <c r="P2487">
        <f t="shared" si="204"/>
        <v>0</v>
      </c>
      <c r="Q2487">
        <f t="shared" si="207"/>
        <v>1</v>
      </c>
      <c r="R2487" t="str">
        <f t="shared" si="205"/>
        <v>Not open</v>
      </c>
    </row>
    <row r="2488" spans="1:18" x14ac:dyDescent="0.3">
      <c r="A2488" t="s">
        <v>2753</v>
      </c>
      <c r="B2488" t="s">
        <v>144</v>
      </c>
      <c r="C2488" t="s">
        <v>554</v>
      </c>
      <c r="D2488" s="1">
        <v>45626</v>
      </c>
      <c r="E2488" s="1">
        <v>45656</v>
      </c>
      <c r="F2488" t="s">
        <v>13</v>
      </c>
      <c r="G2488">
        <v>7674573</v>
      </c>
      <c r="H2488" s="1">
        <v>45662</v>
      </c>
      <c r="I2488" t="s">
        <v>555</v>
      </c>
      <c r="J2488" t="s">
        <v>556</v>
      </c>
      <c r="L2488">
        <v>7674573</v>
      </c>
      <c r="M2488">
        <f>IF(F2488="INR",1,INDEX('rates'!$B$2:$C$522,MATCH(D2488,'rates'!$A$2:$A$522,1),MATCH(F2488&amp;"/INR",'rates'!$B$1:$C$1,0)))</f>
        <v>1</v>
      </c>
      <c r="N2488">
        <f t="shared" si="202"/>
        <v>7674573</v>
      </c>
      <c r="O2488">
        <f t="shared" si="203"/>
        <v>0</v>
      </c>
      <c r="P2488">
        <f t="shared" si="204"/>
        <v>0</v>
      </c>
      <c r="Q2488">
        <f t="shared" si="207"/>
        <v>6</v>
      </c>
      <c r="R2488" t="str">
        <f t="shared" si="205"/>
        <v>Not open</v>
      </c>
    </row>
    <row r="2489" spans="1:18" x14ac:dyDescent="0.3">
      <c r="A2489" t="s">
        <v>2754</v>
      </c>
      <c r="B2489" t="s">
        <v>184</v>
      </c>
      <c r="C2489" t="s">
        <v>575</v>
      </c>
      <c r="D2489" s="1">
        <v>45626</v>
      </c>
      <c r="E2489" s="1">
        <v>45716</v>
      </c>
      <c r="F2489" t="s">
        <v>31</v>
      </c>
      <c r="G2489">
        <v>531897.17000000004</v>
      </c>
      <c r="H2489" s="1">
        <v>45721</v>
      </c>
      <c r="I2489" t="s">
        <v>555</v>
      </c>
      <c r="J2489" t="s">
        <v>573</v>
      </c>
      <c r="K2489">
        <v>89.368399999999994</v>
      </c>
      <c r="L2489">
        <v>531897.17000000004</v>
      </c>
      <c r="M2489">
        <f>IF(F2489="INR",1,INDEX('rates'!$B$2:$C$522,MATCH(D2489,'rates'!$A$2:$A$522,1),MATCH(F2489&amp;"/INR",'rates'!$B$1:$C$1,0)))</f>
        <v>89.101100000000002</v>
      </c>
      <c r="N2489">
        <f t="shared" si="202"/>
        <v>47392622.933887005</v>
      </c>
      <c r="O2489">
        <f t="shared" si="203"/>
        <v>0</v>
      </c>
      <c r="P2489">
        <f t="shared" si="204"/>
        <v>0</v>
      </c>
      <c r="Q2489">
        <f t="shared" si="207"/>
        <v>5</v>
      </c>
      <c r="R2489" t="str">
        <f t="shared" si="205"/>
        <v>Not open</v>
      </c>
    </row>
    <row r="2490" spans="1:18" x14ac:dyDescent="0.3">
      <c r="A2490" t="s">
        <v>2755</v>
      </c>
      <c r="B2490" t="s">
        <v>186</v>
      </c>
      <c r="C2490" t="s">
        <v>558</v>
      </c>
      <c r="D2490" s="1">
        <v>45626</v>
      </c>
      <c r="E2490" s="1">
        <v>45656</v>
      </c>
      <c r="F2490" t="s">
        <v>36</v>
      </c>
      <c r="G2490">
        <v>69227.64</v>
      </c>
      <c r="H2490" s="1">
        <v>45682</v>
      </c>
      <c r="I2490" t="s">
        <v>555</v>
      </c>
      <c r="J2490" t="s">
        <v>556</v>
      </c>
      <c r="L2490">
        <v>69227.64</v>
      </c>
      <c r="M2490">
        <f>IF(F2490="INR",1,INDEX('rates'!$B$2:$C$522,MATCH(D2490,'rates'!$A$2:$A$522,1),MATCH(F2490&amp;"/INR",'rates'!$B$1:$C$1,0)))</f>
        <v>84.48</v>
      </c>
      <c r="N2490">
        <f t="shared" si="202"/>
        <v>5848351.0272000004</v>
      </c>
      <c r="O2490">
        <f t="shared" si="203"/>
        <v>0</v>
      </c>
      <c r="P2490">
        <f t="shared" si="204"/>
        <v>0</v>
      </c>
      <c r="Q2490">
        <f t="shared" si="207"/>
        <v>26</v>
      </c>
      <c r="R2490" t="str">
        <f t="shared" si="205"/>
        <v>Not open</v>
      </c>
    </row>
    <row r="2491" spans="1:18" x14ac:dyDescent="0.3">
      <c r="A2491" t="s">
        <v>2756</v>
      </c>
      <c r="B2491" t="s">
        <v>334</v>
      </c>
      <c r="C2491" t="s">
        <v>560</v>
      </c>
      <c r="D2491" s="1">
        <v>45626</v>
      </c>
      <c r="E2491" s="1">
        <v>45716</v>
      </c>
      <c r="F2491" t="s">
        <v>13</v>
      </c>
      <c r="G2491">
        <v>6948939</v>
      </c>
      <c r="H2491" s="1">
        <v>45722</v>
      </c>
      <c r="I2491" t="s">
        <v>555</v>
      </c>
      <c r="J2491" t="s">
        <v>556</v>
      </c>
      <c r="L2491">
        <v>6948939</v>
      </c>
      <c r="M2491">
        <f>IF(F2491="INR",1,INDEX('rates'!$B$2:$C$522,MATCH(D2491,'rates'!$A$2:$A$522,1),MATCH(F2491&amp;"/INR",'rates'!$B$1:$C$1,0)))</f>
        <v>1</v>
      </c>
      <c r="N2491">
        <f t="shared" si="202"/>
        <v>6948939</v>
      </c>
      <c r="O2491">
        <f t="shared" si="203"/>
        <v>0</v>
      </c>
      <c r="P2491">
        <f t="shared" si="204"/>
        <v>0</v>
      </c>
      <c r="Q2491">
        <f t="shared" si="207"/>
        <v>6</v>
      </c>
      <c r="R2491" t="str">
        <f t="shared" si="205"/>
        <v>Not open</v>
      </c>
    </row>
    <row r="2492" spans="1:18" x14ac:dyDescent="0.3">
      <c r="A2492" t="s">
        <v>2757</v>
      </c>
      <c r="B2492" t="s">
        <v>338</v>
      </c>
      <c r="C2492" t="s">
        <v>566</v>
      </c>
      <c r="D2492" s="1">
        <v>45626</v>
      </c>
      <c r="E2492" s="1">
        <v>45671</v>
      </c>
      <c r="F2492" t="s">
        <v>13</v>
      </c>
      <c r="G2492">
        <v>2378997</v>
      </c>
      <c r="H2492" s="1">
        <v>45675</v>
      </c>
      <c r="I2492" t="s">
        <v>555</v>
      </c>
      <c r="J2492" t="s">
        <v>556</v>
      </c>
      <c r="L2492">
        <v>2378997</v>
      </c>
      <c r="M2492">
        <f>IF(F2492="INR",1,INDEX('rates'!$B$2:$C$522,MATCH(D2492,'rates'!$A$2:$A$522,1),MATCH(F2492&amp;"/INR",'rates'!$B$1:$C$1,0)))</f>
        <v>1</v>
      </c>
      <c r="N2492">
        <f t="shared" si="202"/>
        <v>2378997</v>
      </c>
      <c r="O2492">
        <f t="shared" si="203"/>
        <v>0</v>
      </c>
      <c r="P2492">
        <f t="shared" si="204"/>
        <v>0</v>
      </c>
      <c r="Q2492">
        <f t="shared" si="207"/>
        <v>4</v>
      </c>
      <c r="R2492" t="str">
        <f t="shared" si="205"/>
        <v>Not open</v>
      </c>
    </row>
    <row r="2493" spans="1:18" x14ac:dyDescent="0.3">
      <c r="A2493" t="s">
        <v>2758</v>
      </c>
      <c r="B2493" t="s">
        <v>496</v>
      </c>
      <c r="C2493" t="s">
        <v>554</v>
      </c>
      <c r="D2493" s="1">
        <v>45626</v>
      </c>
      <c r="E2493" s="1">
        <v>45671</v>
      </c>
      <c r="F2493" t="s">
        <v>13</v>
      </c>
      <c r="G2493">
        <v>3979513</v>
      </c>
      <c r="H2493" s="1">
        <v>45683</v>
      </c>
      <c r="I2493" t="s">
        <v>555</v>
      </c>
      <c r="J2493" t="s">
        <v>556</v>
      </c>
      <c r="L2493">
        <v>3979513</v>
      </c>
      <c r="M2493">
        <f>IF(F2493="INR",1,INDEX('rates'!$B$2:$C$522,MATCH(D2493,'rates'!$A$2:$A$522,1),MATCH(F2493&amp;"/INR",'rates'!$B$1:$C$1,0)))</f>
        <v>1</v>
      </c>
      <c r="N2493">
        <f t="shared" si="202"/>
        <v>3979513</v>
      </c>
      <c r="O2493">
        <f t="shared" si="203"/>
        <v>0</v>
      </c>
      <c r="P2493">
        <f t="shared" si="204"/>
        <v>0</v>
      </c>
      <c r="Q2493">
        <f t="shared" si="207"/>
        <v>12</v>
      </c>
      <c r="R2493" t="str">
        <f t="shared" si="205"/>
        <v>Not open</v>
      </c>
    </row>
    <row r="2494" spans="1:18" x14ac:dyDescent="0.3">
      <c r="A2494" t="s">
        <v>2759</v>
      </c>
      <c r="B2494" t="s">
        <v>508</v>
      </c>
      <c r="C2494" t="s">
        <v>554</v>
      </c>
      <c r="D2494" s="1">
        <v>45626</v>
      </c>
      <c r="E2494" s="1">
        <v>45686</v>
      </c>
      <c r="F2494" t="s">
        <v>13</v>
      </c>
      <c r="G2494">
        <v>1770115</v>
      </c>
      <c r="H2494" s="1">
        <v>45699</v>
      </c>
      <c r="I2494" t="s">
        <v>555</v>
      </c>
      <c r="J2494" t="s">
        <v>556</v>
      </c>
      <c r="L2494">
        <v>1770115</v>
      </c>
      <c r="M2494">
        <f>IF(F2494="INR",1,INDEX('rates'!$B$2:$C$522,MATCH(D2494,'rates'!$A$2:$A$522,1),MATCH(F2494&amp;"/INR",'rates'!$B$1:$C$1,0)))</f>
        <v>1</v>
      </c>
      <c r="N2494">
        <f t="shared" si="202"/>
        <v>1770115</v>
      </c>
      <c r="O2494">
        <f t="shared" si="203"/>
        <v>0</v>
      </c>
      <c r="P2494">
        <f t="shared" si="204"/>
        <v>0</v>
      </c>
      <c r="Q2494">
        <f t="shared" si="207"/>
        <v>13</v>
      </c>
      <c r="R2494" t="str">
        <f t="shared" si="205"/>
        <v>Not open</v>
      </c>
    </row>
    <row r="2495" spans="1:18" x14ac:dyDescent="0.3">
      <c r="A2495" t="s">
        <v>2760</v>
      </c>
      <c r="B2495" t="s">
        <v>516</v>
      </c>
      <c r="C2495" t="s">
        <v>560</v>
      </c>
      <c r="D2495" s="1">
        <v>45626</v>
      </c>
      <c r="E2495" s="1">
        <v>45686</v>
      </c>
      <c r="F2495" t="s">
        <v>13</v>
      </c>
      <c r="G2495">
        <v>9809985</v>
      </c>
      <c r="H2495" s="1">
        <v>45692</v>
      </c>
      <c r="I2495" t="s">
        <v>555</v>
      </c>
      <c r="J2495" t="s">
        <v>556</v>
      </c>
      <c r="L2495">
        <v>9809985</v>
      </c>
      <c r="M2495">
        <f>IF(F2495="INR",1,INDEX('rates'!$B$2:$C$522,MATCH(D2495,'rates'!$A$2:$A$522,1),MATCH(F2495&amp;"/INR",'rates'!$B$1:$C$1,0)))</f>
        <v>1</v>
      </c>
      <c r="N2495">
        <f t="shared" si="202"/>
        <v>9809985</v>
      </c>
      <c r="O2495">
        <f t="shared" si="203"/>
        <v>0</v>
      </c>
      <c r="P2495">
        <f t="shared" si="204"/>
        <v>0</v>
      </c>
      <c r="Q2495">
        <f t="shared" si="207"/>
        <v>6</v>
      </c>
      <c r="R2495" t="str">
        <f t="shared" si="205"/>
        <v>Not open</v>
      </c>
    </row>
    <row r="2496" spans="1:18" x14ac:dyDescent="0.3">
      <c r="A2496" t="s">
        <v>2761</v>
      </c>
      <c r="B2496" t="s">
        <v>516</v>
      </c>
      <c r="C2496" t="s">
        <v>560</v>
      </c>
      <c r="D2496" s="1">
        <v>45626</v>
      </c>
      <c r="E2496" s="1">
        <v>45686</v>
      </c>
      <c r="F2496" t="s">
        <v>13</v>
      </c>
      <c r="G2496">
        <v>12065707</v>
      </c>
      <c r="H2496" s="1">
        <v>45696</v>
      </c>
      <c r="I2496" t="s">
        <v>555</v>
      </c>
      <c r="J2496" t="s">
        <v>556</v>
      </c>
      <c r="L2496">
        <v>12065707</v>
      </c>
      <c r="M2496">
        <f>IF(F2496="INR",1,INDEX('rates'!$B$2:$C$522,MATCH(D2496,'rates'!$A$2:$A$522,1),MATCH(F2496&amp;"/INR",'rates'!$B$1:$C$1,0)))</f>
        <v>1</v>
      </c>
      <c r="N2496">
        <f t="shared" si="202"/>
        <v>12065707</v>
      </c>
      <c r="O2496">
        <f t="shared" si="203"/>
        <v>0</v>
      </c>
      <c r="P2496">
        <f t="shared" si="204"/>
        <v>0</v>
      </c>
      <c r="Q2496">
        <f t="shared" si="207"/>
        <v>10</v>
      </c>
      <c r="R2496" t="str">
        <f t="shared" si="205"/>
        <v>Not open</v>
      </c>
    </row>
    <row r="2497" spans="1:18" x14ac:dyDescent="0.3">
      <c r="A2497" t="s">
        <v>2762</v>
      </c>
      <c r="B2497" t="s">
        <v>33</v>
      </c>
      <c r="C2497" t="s">
        <v>566</v>
      </c>
      <c r="D2497" s="1">
        <v>45628</v>
      </c>
      <c r="E2497" s="1">
        <v>45658</v>
      </c>
      <c r="F2497" t="s">
        <v>36</v>
      </c>
      <c r="G2497">
        <v>140050.15</v>
      </c>
      <c r="H2497" s="1">
        <v>45668</v>
      </c>
      <c r="I2497" t="s">
        <v>555</v>
      </c>
      <c r="J2497" t="s">
        <v>573</v>
      </c>
      <c r="K2497">
        <v>84.881200000000007</v>
      </c>
      <c r="L2497">
        <v>140050.15</v>
      </c>
      <c r="M2497">
        <f>IF(F2497="INR",1,INDEX('rates'!$B$2:$C$522,MATCH(D2497,'rates'!$A$2:$A$522,1),MATCH(F2497&amp;"/INR",'rates'!$B$1:$C$1,0)))</f>
        <v>84.74</v>
      </c>
      <c r="N2497">
        <f t="shared" si="202"/>
        <v>11867849.710999999</v>
      </c>
      <c r="O2497">
        <f t="shared" si="203"/>
        <v>0</v>
      </c>
      <c r="P2497">
        <f t="shared" si="204"/>
        <v>0</v>
      </c>
      <c r="Q2497">
        <f t="shared" si="207"/>
        <v>10</v>
      </c>
      <c r="R2497" t="str">
        <f t="shared" si="205"/>
        <v>Not open</v>
      </c>
    </row>
    <row r="2498" spans="1:18" x14ac:dyDescent="0.3">
      <c r="A2498" t="s">
        <v>2763</v>
      </c>
      <c r="B2498" t="s">
        <v>134</v>
      </c>
      <c r="C2498" t="s">
        <v>575</v>
      </c>
      <c r="D2498" s="1">
        <v>45628</v>
      </c>
      <c r="E2498" s="1">
        <v>45718</v>
      </c>
      <c r="F2498" t="s">
        <v>36</v>
      </c>
      <c r="G2498">
        <v>109313.03</v>
      </c>
      <c r="H2498" s="1">
        <v>45724</v>
      </c>
      <c r="I2498" t="s">
        <v>555</v>
      </c>
      <c r="J2498" t="s">
        <v>573</v>
      </c>
      <c r="K2498">
        <v>85.163700000000006</v>
      </c>
      <c r="L2498">
        <v>109313.03</v>
      </c>
      <c r="M2498">
        <f>IF(F2498="INR",1,INDEX('rates'!$B$2:$C$522,MATCH(D2498,'rates'!$A$2:$A$522,1),MATCH(F2498&amp;"/INR",'rates'!$B$1:$C$1,0)))</f>
        <v>84.74</v>
      </c>
      <c r="N2498">
        <f t="shared" ref="N2498:N2561" si="208">G2498*M2498</f>
        <v>9263186.1622000001</v>
      </c>
      <c r="O2498">
        <f t="shared" ref="O2498:O2561" si="209">IF(OR(I2498="OPEN",I2498="PARTIALLY PAID"),(G2498-L2498)*M2498,0)</f>
        <v>0</v>
      </c>
      <c r="P2498">
        <f t="shared" ref="P2498:P2561" si="210">IF(O2498&gt;0,MAX(0,DATE(2025,3,31)-E2498),0)</f>
        <v>0</v>
      </c>
      <c r="Q2498">
        <f t="shared" si="207"/>
        <v>6</v>
      </c>
      <c r="R2498" t="str">
        <f t="shared" ref="R2498:R2561" si="211">IF(O2498=0,"Not open",IF(P2498=0,"Not yet due",IF(P2498&lt;=30,"1-30",IF(P2498&lt;=60,"31-60",IF(P2498&lt;=90,"61-90","90+")))))</f>
        <v>Not open</v>
      </c>
    </row>
    <row r="2499" spans="1:18" x14ac:dyDescent="0.3">
      <c r="A2499" t="s">
        <v>2764</v>
      </c>
      <c r="B2499" t="s">
        <v>186</v>
      </c>
      <c r="C2499" t="s">
        <v>558</v>
      </c>
      <c r="D2499" s="1">
        <v>45628</v>
      </c>
      <c r="E2499" s="1">
        <v>45658</v>
      </c>
      <c r="F2499" t="s">
        <v>36</v>
      </c>
      <c r="G2499">
        <v>434594.38</v>
      </c>
      <c r="H2499" s="1">
        <v>45670</v>
      </c>
      <c r="I2499" t="s">
        <v>555</v>
      </c>
      <c r="J2499" t="s">
        <v>556</v>
      </c>
      <c r="L2499">
        <v>434594.38</v>
      </c>
      <c r="M2499">
        <f>IF(F2499="INR",1,INDEX('rates'!$B$2:$C$522,MATCH(D2499,'rates'!$A$2:$A$522,1),MATCH(F2499&amp;"/INR",'rates'!$B$1:$C$1,0)))</f>
        <v>84.74</v>
      </c>
      <c r="N2499">
        <f t="shared" si="208"/>
        <v>36827527.761199996</v>
      </c>
      <c r="O2499">
        <f t="shared" si="209"/>
        <v>0</v>
      </c>
      <c r="P2499">
        <f t="shared" si="210"/>
        <v>0</v>
      </c>
      <c r="Q2499">
        <f t="shared" si="207"/>
        <v>12</v>
      </c>
      <c r="R2499" t="str">
        <f t="shared" si="211"/>
        <v>Not open</v>
      </c>
    </row>
    <row r="2500" spans="1:18" x14ac:dyDescent="0.3">
      <c r="A2500" t="s">
        <v>2765</v>
      </c>
      <c r="B2500" t="s">
        <v>378</v>
      </c>
      <c r="C2500" t="s">
        <v>566</v>
      </c>
      <c r="D2500" s="1">
        <v>45628</v>
      </c>
      <c r="E2500" s="1">
        <v>45673</v>
      </c>
      <c r="F2500" t="s">
        <v>31</v>
      </c>
      <c r="G2500">
        <v>69060.160000000003</v>
      </c>
      <c r="H2500" s="1">
        <v>45681</v>
      </c>
      <c r="I2500" t="s">
        <v>555</v>
      </c>
      <c r="J2500" t="s">
        <v>573</v>
      </c>
      <c r="K2500">
        <v>88.974699999999999</v>
      </c>
      <c r="L2500">
        <v>69060.160000000003</v>
      </c>
      <c r="M2500">
        <f>IF(F2500="INR",1,INDEX('rates'!$B$2:$C$522,MATCH(D2500,'rates'!$A$2:$A$522,1),MATCH(F2500&amp;"/INR",'rates'!$B$1:$C$1,0)))</f>
        <v>88.841399999999993</v>
      </c>
      <c r="N2500">
        <f t="shared" si="208"/>
        <v>6135401.2986239996</v>
      </c>
      <c r="O2500">
        <f t="shared" si="209"/>
        <v>0</v>
      </c>
      <c r="P2500">
        <f t="shared" si="210"/>
        <v>0</v>
      </c>
      <c r="Q2500">
        <f t="shared" si="207"/>
        <v>8</v>
      </c>
      <c r="R2500" t="str">
        <f t="shared" si="211"/>
        <v>Not open</v>
      </c>
    </row>
    <row r="2501" spans="1:18" x14ac:dyDescent="0.3">
      <c r="A2501" t="s">
        <v>2766</v>
      </c>
      <c r="B2501" t="s">
        <v>516</v>
      </c>
      <c r="C2501" t="s">
        <v>560</v>
      </c>
      <c r="D2501" s="1">
        <v>45628</v>
      </c>
      <c r="E2501" s="1">
        <v>45688</v>
      </c>
      <c r="F2501" t="s">
        <v>13</v>
      </c>
      <c r="G2501">
        <v>2795522</v>
      </c>
      <c r="H2501" s="1">
        <v>45695</v>
      </c>
      <c r="I2501" t="s">
        <v>555</v>
      </c>
      <c r="J2501" t="s">
        <v>556</v>
      </c>
      <c r="L2501">
        <v>2795522</v>
      </c>
      <c r="M2501">
        <f>IF(F2501="INR",1,INDEX('rates'!$B$2:$C$522,MATCH(D2501,'rates'!$A$2:$A$522,1),MATCH(F2501&amp;"/INR",'rates'!$B$1:$C$1,0)))</f>
        <v>1</v>
      </c>
      <c r="N2501">
        <f t="shared" si="208"/>
        <v>2795522</v>
      </c>
      <c r="O2501">
        <f t="shared" si="209"/>
        <v>0</v>
      </c>
      <c r="P2501">
        <f t="shared" si="210"/>
        <v>0</v>
      </c>
      <c r="Q2501">
        <f t="shared" si="207"/>
        <v>7</v>
      </c>
      <c r="R2501" t="str">
        <f t="shared" si="211"/>
        <v>Not open</v>
      </c>
    </row>
    <row r="2502" spans="1:18" x14ac:dyDescent="0.3">
      <c r="A2502" t="s">
        <v>2768</v>
      </c>
      <c r="B2502" t="s">
        <v>262</v>
      </c>
      <c r="C2502" t="s">
        <v>566</v>
      </c>
      <c r="D2502" s="1">
        <v>45629</v>
      </c>
      <c r="E2502" s="1">
        <v>45719</v>
      </c>
      <c r="F2502" t="s">
        <v>31</v>
      </c>
      <c r="G2502">
        <v>213003.5</v>
      </c>
      <c r="H2502" s="1">
        <v>45740</v>
      </c>
      <c r="I2502" t="s">
        <v>555</v>
      </c>
      <c r="J2502" t="s">
        <v>573</v>
      </c>
      <c r="K2502">
        <v>89.333600000000004</v>
      </c>
      <c r="L2502">
        <v>213003.5</v>
      </c>
      <c r="M2502">
        <f>IF(F2502="INR",1,INDEX('rates'!$B$2:$C$522,MATCH(D2502,'rates'!$A$2:$A$522,1),MATCH(F2502&amp;"/INR",'rates'!$B$1:$C$1,0)))</f>
        <v>89.066400000000002</v>
      </c>
      <c r="N2502">
        <f t="shared" si="208"/>
        <v>18971454.932399999</v>
      </c>
      <c r="O2502">
        <f t="shared" si="209"/>
        <v>0</v>
      </c>
      <c r="P2502">
        <f t="shared" si="210"/>
        <v>0</v>
      </c>
      <c r="Q2502">
        <f t="shared" si="207"/>
        <v>21</v>
      </c>
      <c r="R2502" t="str">
        <f t="shared" si="211"/>
        <v>Not open</v>
      </c>
    </row>
    <row r="2503" spans="1:18" x14ac:dyDescent="0.3">
      <c r="A2503" t="s">
        <v>2769</v>
      </c>
      <c r="B2503" t="s">
        <v>274</v>
      </c>
      <c r="C2503" t="s">
        <v>554</v>
      </c>
      <c r="D2503" s="1">
        <v>45629</v>
      </c>
      <c r="E2503" s="1">
        <v>45674</v>
      </c>
      <c r="F2503" t="s">
        <v>13</v>
      </c>
      <c r="G2503">
        <v>4092920</v>
      </c>
      <c r="H2503" s="1">
        <v>45686</v>
      </c>
      <c r="I2503" t="s">
        <v>555</v>
      </c>
      <c r="J2503" t="s">
        <v>556</v>
      </c>
      <c r="L2503">
        <v>4092920</v>
      </c>
      <c r="M2503">
        <f>IF(F2503="INR",1,INDEX('rates'!$B$2:$C$522,MATCH(D2503,'rates'!$A$2:$A$522,1),MATCH(F2503&amp;"/INR",'rates'!$B$1:$C$1,0)))</f>
        <v>1</v>
      </c>
      <c r="N2503">
        <f t="shared" si="208"/>
        <v>4092920</v>
      </c>
      <c r="O2503">
        <f t="shared" si="209"/>
        <v>0</v>
      </c>
      <c r="P2503">
        <f t="shared" si="210"/>
        <v>0</v>
      </c>
      <c r="Q2503">
        <f t="shared" si="207"/>
        <v>12</v>
      </c>
      <c r="R2503" t="str">
        <f t="shared" si="211"/>
        <v>Not open</v>
      </c>
    </row>
    <row r="2504" spans="1:18" x14ac:dyDescent="0.3">
      <c r="A2504" t="s">
        <v>2770</v>
      </c>
      <c r="B2504" t="s">
        <v>356</v>
      </c>
      <c r="C2504" t="s">
        <v>554</v>
      </c>
      <c r="D2504" s="1">
        <v>45629</v>
      </c>
      <c r="E2504" s="1">
        <v>45689</v>
      </c>
      <c r="F2504" t="s">
        <v>13</v>
      </c>
      <c r="G2504">
        <v>1725766</v>
      </c>
      <c r="H2504" s="1">
        <v>45687</v>
      </c>
      <c r="I2504" t="s">
        <v>555</v>
      </c>
      <c r="J2504" t="s">
        <v>556</v>
      </c>
      <c r="L2504">
        <v>1725766</v>
      </c>
      <c r="M2504">
        <f>IF(F2504="INR",1,INDEX('rates'!$B$2:$C$522,MATCH(D2504,'rates'!$A$2:$A$522,1),MATCH(F2504&amp;"/INR",'rates'!$B$1:$C$1,0)))</f>
        <v>1</v>
      </c>
      <c r="N2504">
        <f t="shared" si="208"/>
        <v>1725766</v>
      </c>
      <c r="O2504">
        <f t="shared" si="209"/>
        <v>0</v>
      </c>
      <c r="P2504">
        <f t="shared" si="210"/>
        <v>0</v>
      </c>
      <c r="Q2504">
        <f t="shared" si="207"/>
        <v>-2</v>
      </c>
      <c r="R2504" t="str">
        <f t="shared" si="211"/>
        <v>Not open</v>
      </c>
    </row>
    <row r="2505" spans="1:18" x14ac:dyDescent="0.3">
      <c r="A2505" t="s">
        <v>2771</v>
      </c>
      <c r="B2505" t="s">
        <v>332</v>
      </c>
      <c r="C2505" t="s">
        <v>566</v>
      </c>
      <c r="D2505" s="1">
        <v>45630</v>
      </c>
      <c r="E2505" s="1">
        <v>45690</v>
      </c>
      <c r="F2505" t="s">
        <v>36</v>
      </c>
      <c r="G2505">
        <v>238846.32</v>
      </c>
      <c r="H2505" s="1">
        <v>45693</v>
      </c>
      <c r="I2505" t="s">
        <v>555</v>
      </c>
      <c r="J2505" t="s">
        <v>573</v>
      </c>
      <c r="K2505">
        <v>84.972300000000004</v>
      </c>
      <c r="L2505">
        <v>238846.32</v>
      </c>
      <c r="M2505">
        <f>IF(F2505="INR",1,INDEX('rates'!$B$2:$C$522,MATCH(D2505,'rates'!$A$2:$A$522,1),MATCH(F2505&amp;"/INR",'rates'!$B$1:$C$1,0)))</f>
        <v>84.69</v>
      </c>
      <c r="N2505">
        <f t="shared" si="208"/>
        <v>20227894.840799998</v>
      </c>
      <c r="O2505">
        <f t="shared" si="209"/>
        <v>0</v>
      </c>
      <c r="P2505">
        <f t="shared" si="210"/>
        <v>0</v>
      </c>
      <c r="Q2505">
        <f t="shared" si="207"/>
        <v>3</v>
      </c>
      <c r="R2505" t="str">
        <f t="shared" si="211"/>
        <v>Not open</v>
      </c>
    </row>
    <row r="2506" spans="1:18" x14ac:dyDescent="0.3">
      <c r="A2506" t="s">
        <v>2772</v>
      </c>
      <c r="B2506" t="s">
        <v>484</v>
      </c>
      <c r="C2506" t="s">
        <v>560</v>
      </c>
      <c r="D2506" s="1">
        <v>45630</v>
      </c>
      <c r="E2506" s="1">
        <v>45690</v>
      </c>
      <c r="F2506" t="s">
        <v>31</v>
      </c>
      <c r="G2506">
        <v>51209.919999999998</v>
      </c>
      <c r="H2506" s="1">
        <v>45700</v>
      </c>
      <c r="I2506" t="s">
        <v>555</v>
      </c>
      <c r="J2506" t="s">
        <v>573</v>
      </c>
      <c r="K2506">
        <v>89.331500000000005</v>
      </c>
      <c r="L2506">
        <v>51209.919999999998</v>
      </c>
      <c r="M2506">
        <f>IF(F2506="INR",1,INDEX('rates'!$B$2:$C$522,MATCH(D2506,'rates'!$A$2:$A$522,1),MATCH(F2506&amp;"/INR",'rates'!$B$1:$C$1,0)))</f>
        <v>89.153199999999998</v>
      </c>
      <c r="N2506">
        <f t="shared" si="208"/>
        <v>4565528.2397440001</v>
      </c>
      <c r="O2506">
        <f t="shared" si="209"/>
        <v>0</v>
      </c>
      <c r="P2506">
        <f t="shared" si="210"/>
        <v>0</v>
      </c>
      <c r="Q2506">
        <f t="shared" si="207"/>
        <v>10</v>
      </c>
      <c r="R2506" t="str">
        <f t="shared" si="211"/>
        <v>Not open</v>
      </c>
    </row>
    <row r="2507" spans="1:18" x14ac:dyDescent="0.3">
      <c r="A2507" t="s">
        <v>2773</v>
      </c>
      <c r="B2507" t="s">
        <v>160</v>
      </c>
      <c r="C2507" t="s">
        <v>554</v>
      </c>
      <c r="D2507" s="1">
        <v>45631</v>
      </c>
      <c r="E2507" s="1">
        <v>45676</v>
      </c>
      <c r="F2507" t="s">
        <v>13</v>
      </c>
      <c r="G2507">
        <v>7013822</v>
      </c>
      <c r="H2507" s="1">
        <v>45676</v>
      </c>
      <c r="I2507" t="s">
        <v>555</v>
      </c>
      <c r="J2507" t="s">
        <v>556</v>
      </c>
      <c r="L2507">
        <v>7013822</v>
      </c>
      <c r="M2507">
        <f>IF(F2507="INR",1,INDEX('rates'!$B$2:$C$522,MATCH(D2507,'rates'!$A$2:$A$522,1),MATCH(F2507&amp;"/INR",'rates'!$B$1:$C$1,0)))</f>
        <v>1</v>
      </c>
      <c r="N2507">
        <f t="shared" si="208"/>
        <v>7013822</v>
      </c>
      <c r="O2507">
        <f t="shared" si="209"/>
        <v>0</v>
      </c>
      <c r="P2507">
        <f t="shared" si="210"/>
        <v>0</v>
      </c>
      <c r="Q2507">
        <f t="shared" si="207"/>
        <v>0</v>
      </c>
      <c r="R2507" t="str">
        <f t="shared" si="211"/>
        <v>Not open</v>
      </c>
    </row>
    <row r="2508" spans="1:18" x14ac:dyDescent="0.3">
      <c r="A2508" t="s">
        <v>2774</v>
      </c>
      <c r="B2508" t="s">
        <v>372</v>
      </c>
      <c r="C2508" t="s">
        <v>575</v>
      </c>
      <c r="D2508" s="1">
        <v>45631</v>
      </c>
      <c r="E2508" s="1">
        <v>45721</v>
      </c>
      <c r="F2508" t="s">
        <v>13</v>
      </c>
      <c r="G2508">
        <v>5979192</v>
      </c>
      <c r="H2508" s="1">
        <v>45737</v>
      </c>
      <c r="I2508" t="s">
        <v>555</v>
      </c>
      <c r="J2508" t="s">
        <v>556</v>
      </c>
      <c r="L2508">
        <v>5979192</v>
      </c>
      <c r="M2508">
        <f>IF(F2508="INR",1,INDEX('rates'!$B$2:$C$522,MATCH(D2508,'rates'!$A$2:$A$522,1),MATCH(F2508&amp;"/INR",'rates'!$B$1:$C$1,0)))</f>
        <v>1</v>
      </c>
      <c r="N2508">
        <f t="shared" si="208"/>
        <v>5979192</v>
      </c>
      <c r="O2508">
        <f t="shared" si="209"/>
        <v>0</v>
      </c>
      <c r="P2508">
        <f t="shared" si="210"/>
        <v>0</v>
      </c>
      <c r="Q2508">
        <f t="shared" si="207"/>
        <v>16</v>
      </c>
      <c r="R2508" t="str">
        <f t="shared" si="211"/>
        <v>Not open</v>
      </c>
    </row>
    <row r="2509" spans="1:18" x14ac:dyDescent="0.3">
      <c r="A2509" t="s">
        <v>2775</v>
      </c>
      <c r="B2509" t="s">
        <v>466</v>
      </c>
      <c r="C2509" t="s">
        <v>560</v>
      </c>
      <c r="D2509" s="1">
        <v>45631</v>
      </c>
      <c r="E2509" s="1">
        <v>45691</v>
      </c>
      <c r="F2509" t="s">
        <v>31</v>
      </c>
      <c r="G2509">
        <v>90407.64</v>
      </c>
      <c r="H2509" s="1">
        <v>45702</v>
      </c>
      <c r="I2509" t="s">
        <v>555</v>
      </c>
      <c r="J2509" t="s">
        <v>573</v>
      </c>
      <c r="K2509">
        <v>89.694199999999995</v>
      </c>
      <c r="L2509">
        <v>90407.64</v>
      </c>
      <c r="M2509">
        <f>IF(F2509="INR",1,INDEX('rates'!$B$2:$C$522,MATCH(D2509,'rates'!$A$2:$A$522,1),MATCH(F2509&amp;"/INR",'rates'!$B$1:$C$1,0)))</f>
        <v>89.515199999999993</v>
      </c>
      <c r="N2509">
        <f t="shared" si="208"/>
        <v>8092857.9761279989</v>
      </c>
      <c r="O2509">
        <f t="shared" si="209"/>
        <v>0</v>
      </c>
      <c r="P2509">
        <f t="shared" si="210"/>
        <v>0</v>
      </c>
      <c r="Q2509">
        <f t="shared" si="207"/>
        <v>11</v>
      </c>
      <c r="R2509" t="str">
        <f t="shared" si="211"/>
        <v>Not open</v>
      </c>
    </row>
    <row r="2510" spans="1:18" x14ac:dyDescent="0.3">
      <c r="A2510" t="s">
        <v>2777</v>
      </c>
      <c r="B2510" t="s">
        <v>178</v>
      </c>
      <c r="C2510" t="s">
        <v>560</v>
      </c>
      <c r="D2510" s="1">
        <v>45632</v>
      </c>
      <c r="E2510" s="1">
        <v>45662</v>
      </c>
      <c r="F2510" t="s">
        <v>13</v>
      </c>
      <c r="G2510">
        <v>6504001</v>
      </c>
      <c r="H2510" s="1">
        <v>45677</v>
      </c>
      <c r="I2510" t="s">
        <v>555</v>
      </c>
      <c r="J2510" t="s">
        <v>556</v>
      </c>
      <c r="L2510">
        <v>6504001</v>
      </c>
      <c r="M2510">
        <f>IF(F2510="INR",1,INDEX('rates'!$B$2:$C$522,MATCH(D2510,'rates'!$A$2:$A$522,1),MATCH(F2510&amp;"/INR",'rates'!$B$1:$C$1,0)))</f>
        <v>1</v>
      </c>
      <c r="N2510">
        <f t="shared" si="208"/>
        <v>6504001</v>
      </c>
      <c r="O2510">
        <f t="shared" si="209"/>
        <v>0</v>
      </c>
      <c r="P2510">
        <f t="shared" si="210"/>
        <v>0</v>
      </c>
      <c r="Q2510">
        <f t="shared" ref="Q2510:Q2541" si="212">IF(H2510="","",H2510-E2510)</f>
        <v>15</v>
      </c>
      <c r="R2510" t="str">
        <f t="shared" si="211"/>
        <v>Not open</v>
      </c>
    </row>
    <row r="2511" spans="1:18" x14ac:dyDescent="0.3">
      <c r="A2511" t="s">
        <v>2778</v>
      </c>
      <c r="B2511" t="s">
        <v>462</v>
      </c>
      <c r="C2511" t="s">
        <v>566</v>
      </c>
      <c r="D2511" s="1">
        <v>45632</v>
      </c>
      <c r="E2511" s="1">
        <v>45677</v>
      </c>
      <c r="F2511" t="s">
        <v>13</v>
      </c>
      <c r="G2511">
        <v>4775123</v>
      </c>
      <c r="H2511" s="1">
        <v>45695</v>
      </c>
      <c r="I2511" t="s">
        <v>555</v>
      </c>
      <c r="J2511" t="s">
        <v>556</v>
      </c>
      <c r="L2511">
        <v>4775123</v>
      </c>
      <c r="M2511">
        <f>IF(F2511="INR",1,INDEX('rates'!$B$2:$C$522,MATCH(D2511,'rates'!$A$2:$A$522,1),MATCH(F2511&amp;"/INR",'rates'!$B$1:$C$1,0)))</f>
        <v>1</v>
      </c>
      <c r="N2511">
        <f t="shared" si="208"/>
        <v>4775123</v>
      </c>
      <c r="O2511">
        <f t="shared" si="209"/>
        <v>0</v>
      </c>
      <c r="P2511">
        <f t="shared" si="210"/>
        <v>0</v>
      </c>
      <c r="Q2511">
        <f t="shared" si="212"/>
        <v>18</v>
      </c>
      <c r="R2511" t="str">
        <f t="shared" si="211"/>
        <v>Not open</v>
      </c>
    </row>
    <row r="2512" spans="1:18" x14ac:dyDescent="0.3">
      <c r="A2512" t="s">
        <v>2780</v>
      </c>
      <c r="B2512" t="s">
        <v>96</v>
      </c>
      <c r="C2512" t="s">
        <v>558</v>
      </c>
      <c r="D2512" s="1">
        <v>45633</v>
      </c>
      <c r="E2512" s="1">
        <v>45723</v>
      </c>
      <c r="F2512" t="s">
        <v>13</v>
      </c>
      <c r="G2512">
        <v>6819513</v>
      </c>
      <c r="H2512" s="1">
        <v>45733</v>
      </c>
      <c r="I2512" t="s">
        <v>555</v>
      </c>
      <c r="J2512" t="s">
        <v>556</v>
      </c>
      <c r="L2512">
        <v>6819513</v>
      </c>
      <c r="M2512">
        <f>IF(F2512="INR",1,INDEX('rates'!$B$2:$C$522,MATCH(D2512,'rates'!$A$2:$A$522,1),MATCH(F2512&amp;"/INR",'rates'!$B$1:$C$1,0)))</f>
        <v>1</v>
      </c>
      <c r="N2512">
        <f t="shared" si="208"/>
        <v>6819513</v>
      </c>
      <c r="O2512">
        <f t="shared" si="209"/>
        <v>0</v>
      </c>
      <c r="P2512">
        <f t="shared" si="210"/>
        <v>0</v>
      </c>
      <c r="Q2512">
        <f t="shared" si="212"/>
        <v>10</v>
      </c>
      <c r="R2512" t="str">
        <f t="shared" si="211"/>
        <v>Not open</v>
      </c>
    </row>
    <row r="2513" spans="1:18" x14ac:dyDescent="0.3">
      <c r="A2513" t="s">
        <v>2781</v>
      </c>
      <c r="B2513" t="s">
        <v>117</v>
      </c>
      <c r="C2513" t="s">
        <v>554</v>
      </c>
      <c r="D2513" s="1">
        <v>45633</v>
      </c>
      <c r="E2513" s="1">
        <v>45693</v>
      </c>
      <c r="F2513" t="s">
        <v>13</v>
      </c>
      <c r="G2513">
        <v>12660545</v>
      </c>
      <c r="H2513" s="1">
        <v>45718</v>
      </c>
      <c r="I2513" t="s">
        <v>555</v>
      </c>
      <c r="J2513" t="s">
        <v>556</v>
      </c>
      <c r="L2513">
        <v>12660545</v>
      </c>
      <c r="M2513">
        <f>IF(F2513="INR",1,INDEX('rates'!$B$2:$C$522,MATCH(D2513,'rates'!$A$2:$A$522,1),MATCH(F2513&amp;"/INR",'rates'!$B$1:$C$1,0)))</f>
        <v>1</v>
      </c>
      <c r="N2513">
        <f t="shared" si="208"/>
        <v>12660545</v>
      </c>
      <c r="O2513">
        <f t="shared" si="209"/>
        <v>0</v>
      </c>
      <c r="P2513">
        <f t="shared" si="210"/>
        <v>0</v>
      </c>
      <c r="Q2513">
        <f t="shared" si="212"/>
        <v>25</v>
      </c>
      <c r="R2513" t="str">
        <f t="shared" si="211"/>
        <v>Not open</v>
      </c>
    </row>
    <row r="2514" spans="1:18" x14ac:dyDescent="0.3">
      <c r="A2514" t="s">
        <v>2782</v>
      </c>
      <c r="B2514" t="s">
        <v>160</v>
      </c>
      <c r="C2514" t="s">
        <v>554</v>
      </c>
      <c r="D2514" s="1">
        <v>45633</v>
      </c>
      <c r="E2514" s="1">
        <v>45678</v>
      </c>
      <c r="F2514" t="s">
        <v>13</v>
      </c>
      <c r="G2514">
        <v>4695814</v>
      </c>
      <c r="H2514" s="1">
        <v>45684</v>
      </c>
      <c r="I2514" t="s">
        <v>555</v>
      </c>
      <c r="J2514" t="s">
        <v>556</v>
      </c>
      <c r="L2514">
        <v>4695814</v>
      </c>
      <c r="M2514">
        <f>IF(F2514="INR",1,INDEX('rates'!$B$2:$C$522,MATCH(D2514,'rates'!$A$2:$A$522,1),MATCH(F2514&amp;"/INR",'rates'!$B$1:$C$1,0)))</f>
        <v>1</v>
      </c>
      <c r="N2514">
        <f t="shared" si="208"/>
        <v>4695814</v>
      </c>
      <c r="O2514">
        <f t="shared" si="209"/>
        <v>0</v>
      </c>
      <c r="P2514">
        <f t="shared" si="210"/>
        <v>0</v>
      </c>
      <c r="Q2514">
        <f t="shared" si="212"/>
        <v>6</v>
      </c>
      <c r="R2514" t="str">
        <f t="shared" si="211"/>
        <v>Not open</v>
      </c>
    </row>
    <row r="2515" spans="1:18" x14ac:dyDescent="0.3">
      <c r="A2515" t="s">
        <v>2784</v>
      </c>
      <c r="B2515" t="s">
        <v>270</v>
      </c>
      <c r="C2515" t="s">
        <v>558</v>
      </c>
      <c r="D2515" s="1">
        <v>45633</v>
      </c>
      <c r="E2515" s="1">
        <v>45693</v>
      </c>
      <c r="F2515" t="s">
        <v>31</v>
      </c>
      <c r="G2515">
        <v>14731.23</v>
      </c>
      <c r="H2515" s="1">
        <v>45704</v>
      </c>
      <c r="I2515" t="s">
        <v>555</v>
      </c>
      <c r="J2515" t="s">
        <v>573</v>
      </c>
      <c r="K2515">
        <v>89.615799999999993</v>
      </c>
      <c r="L2515">
        <v>14731.23</v>
      </c>
      <c r="M2515">
        <f>IF(F2515="INR",1,INDEX('rates'!$B$2:$C$522,MATCH(D2515,'rates'!$A$2:$A$522,1),MATCH(F2515&amp;"/INR",'rates'!$B$1:$C$1,0)))</f>
        <v>89.436899999999994</v>
      </c>
      <c r="N2515">
        <f t="shared" si="208"/>
        <v>1317515.5443869999</v>
      </c>
      <c r="O2515">
        <f t="shared" si="209"/>
        <v>0</v>
      </c>
      <c r="P2515">
        <f t="shared" si="210"/>
        <v>0</v>
      </c>
      <c r="Q2515">
        <f t="shared" si="212"/>
        <v>11</v>
      </c>
      <c r="R2515" t="str">
        <f t="shared" si="211"/>
        <v>Not open</v>
      </c>
    </row>
    <row r="2516" spans="1:18" x14ac:dyDescent="0.3">
      <c r="A2516" t="s">
        <v>2785</v>
      </c>
      <c r="B2516" t="s">
        <v>336</v>
      </c>
      <c r="C2516" t="s">
        <v>554</v>
      </c>
      <c r="D2516" s="1">
        <v>45633</v>
      </c>
      <c r="E2516" s="1">
        <v>45663</v>
      </c>
      <c r="F2516" t="s">
        <v>13</v>
      </c>
      <c r="G2516">
        <v>8515912</v>
      </c>
      <c r="H2516" s="1">
        <v>45668</v>
      </c>
      <c r="I2516" t="s">
        <v>555</v>
      </c>
      <c r="J2516" t="s">
        <v>556</v>
      </c>
      <c r="L2516">
        <v>8515912</v>
      </c>
      <c r="M2516">
        <f>IF(F2516="INR",1,INDEX('rates'!$B$2:$C$522,MATCH(D2516,'rates'!$A$2:$A$522,1),MATCH(F2516&amp;"/INR",'rates'!$B$1:$C$1,0)))</f>
        <v>1</v>
      </c>
      <c r="N2516">
        <f t="shared" si="208"/>
        <v>8515912</v>
      </c>
      <c r="O2516">
        <f t="shared" si="209"/>
        <v>0</v>
      </c>
      <c r="P2516">
        <f t="shared" si="210"/>
        <v>0</v>
      </c>
      <c r="Q2516">
        <f t="shared" si="212"/>
        <v>5</v>
      </c>
      <c r="R2516" t="str">
        <f t="shared" si="211"/>
        <v>Not open</v>
      </c>
    </row>
    <row r="2517" spans="1:18" x14ac:dyDescent="0.3">
      <c r="A2517" t="s">
        <v>2786</v>
      </c>
      <c r="B2517" t="s">
        <v>370</v>
      </c>
      <c r="C2517" t="s">
        <v>566</v>
      </c>
      <c r="D2517" s="1">
        <v>45633</v>
      </c>
      <c r="E2517" s="1">
        <v>45663</v>
      </c>
      <c r="F2517" t="s">
        <v>36</v>
      </c>
      <c r="G2517">
        <v>13294.78</v>
      </c>
      <c r="H2517" s="1">
        <v>45670</v>
      </c>
      <c r="I2517" t="s">
        <v>555</v>
      </c>
      <c r="J2517" t="s">
        <v>573</v>
      </c>
      <c r="K2517">
        <v>84.811099999999996</v>
      </c>
      <c r="L2517">
        <v>13294.78</v>
      </c>
      <c r="M2517">
        <f>IF(F2517="INR",1,INDEX('rates'!$B$2:$C$522,MATCH(D2517,'rates'!$A$2:$A$522,1),MATCH(F2517&amp;"/INR",'rates'!$B$1:$C$1,0)))</f>
        <v>84.67</v>
      </c>
      <c r="N2517">
        <f t="shared" si="208"/>
        <v>1125669.0226</v>
      </c>
      <c r="O2517">
        <f t="shared" si="209"/>
        <v>0</v>
      </c>
      <c r="P2517">
        <f t="shared" si="210"/>
        <v>0</v>
      </c>
      <c r="Q2517">
        <f t="shared" si="212"/>
        <v>7</v>
      </c>
      <c r="R2517" t="str">
        <f t="shared" si="211"/>
        <v>Not open</v>
      </c>
    </row>
    <row r="2518" spans="1:18" x14ac:dyDescent="0.3">
      <c r="A2518" t="s">
        <v>2787</v>
      </c>
      <c r="B2518" t="s">
        <v>370</v>
      </c>
      <c r="C2518" t="s">
        <v>575</v>
      </c>
      <c r="D2518" s="1">
        <v>45633</v>
      </c>
      <c r="E2518" s="1">
        <v>45663</v>
      </c>
      <c r="F2518" t="s">
        <v>36</v>
      </c>
      <c r="G2518">
        <v>92855.15</v>
      </c>
      <c r="H2518" s="1">
        <v>45669</v>
      </c>
      <c r="I2518" t="s">
        <v>555</v>
      </c>
      <c r="J2518" t="s">
        <v>556</v>
      </c>
      <c r="L2518">
        <v>92855.15</v>
      </c>
      <c r="M2518">
        <f>IF(F2518="INR",1,INDEX('rates'!$B$2:$C$522,MATCH(D2518,'rates'!$A$2:$A$522,1),MATCH(F2518&amp;"/INR",'rates'!$B$1:$C$1,0)))</f>
        <v>84.67</v>
      </c>
      <c r="N2518">
        <f t="shared" si="208"/>
        <v>7862045.5504999999</v>
      </c>
      <c r="O2518">
        <f t="shared" si="209"/>
        <v>0</v>
      </c>
      <c r="P2518">
        <f t="shared" si="210"/>
        <v>0</v>
      </c>
      <c r="Q2518">
        <f t="shared" si="212"/>
        <v>6</v>
      </c>
      <c r="R2518" t="str">
        <f t="shared" si="211"/>
        <v>Not open</v>
      </c>
    </row>
    <row r="2519" spans="1:18" x14ac:dyDescent="0.3">
      <c r="A2519" t="s">
        <v>2788</v>
      </c>
      <c r="B2519" t="s">
        <v>466</v>
      </c>
      <c r="C2519" t="s">
        <v>560</v>
      </c>
      <c r="D2519" s="1">
        <v>45633</v>
      </c>
      <c r="E2519" s="1">
        <v>45693</v>
      </c>
      <c r="F2519" t="s">
        <v>31</v>
      </c>
      <c r="G2519">
        <v>286231.03000000003</v>
      </c>
      <c r="H2519" s="1">
        <v>45698</v>
      </c>
      <c r="I2519" t="s">
        <v>555</v>
      </c>
      <c r="J2519" t="s">
        <v>556</v>
      </c>
      <c r="L2519">
        <v>286231.03000000003</v>
      </c>
      <c r="M2519">
        <f>IF(F2519="INR",1,INDEX('rates'!$B$2:$C$522,MATCH(D2519,'rates'!$A$2:$A$522,1),MATCH(F2519&amp;"/INR",'rates'!$B$1:$C$1,0)))</f>
        <v>89.436899999999994</v>
      </c>
      <c r="N2519">
        <f t="shared" si="208"/>
        <v>25599616.007006999</v>
      </c>
      <c r="O2519">
        <f t="shared" si="209"/>
        <v>0</v>
      </c>
      <c r="P2519">
        <f t="shared" si="210"/>
        <v>0</v>
      </c>
      <c r="Q2519">
        <f t="shared" si="212"/>
        <v>5</v>
      </c>
      <c r="R2519" t="str">
        <f t="shared" si="211"/>
        <v>Not open</v>
      </c>
    </row>
    <row r="2520" spans="1:18" x14ac:dyDescent="0.3">
      <c r="A2520" t="s">
        <v>2789</v>
      </c>
      <c r="B2520" t="s">
        <v>496</v>
      </c>
      <c r="C2520" t="s">
        <v>554</v>
      </c>
      <c r="D2520" s="1">
        <v>45633</v>
      </c>
      <c r="E2520" s="1">
        <v>45678</v>
      </c>
      <c r="F2520" t="s">
        <v>13</v>
      </c>
      <c r="G2520">
        <v>18033365</v>
      </c>
      <c r="H2520" s="1">
        <v>45683</v>
      </c>
      <c r="I2520" t="s">
        <v>555</v>
      </c>
      <c r="J2520" t="s">
        <v>556</v>
      </c>
      <c r="L2520">
        <v>18033365</v>
      </c>
      <c r="M2520">
        <f>IF(F2520="INR",1,INDEX('rates'!$B$2:$C$522,MATCH(D2520,'rates'!$A$2:$A$522,1),MATCH(F2520&amp;"/INR",'rates'!$B$1:$C$1,0)))</f>
        <v>1</v>
      </c>
      <c r="N2520">
        <f t="shared" si="208"/>
        <v>18033365</v>
      </c>
      <c r="O2520">
        <f t="shared" si="209"/>
        <v>0</v>
      </c>
      <c r="P2520">
        <f t="shared" si="210"/>
        <v>0</v>
      </c>
      <c r="Q2520">
        <f t="shared" si="212"/>
        <v>5</v>
      </c>
      <c r="R2520" t="str">
        <f t="shared" si="211"/>
        <v>Not open</v>
      </c>
    </row>
    <row r="2521" spans="1:18" x14ac:dyDescent="0.3">
      <c r="A2521" t="s">
        <v>2790</v>
      </c>
      <c r="B2521" t="s">
        <v>512</v>
      </c>
      <c r="C2521" t="s">
        <v>566</v>
      </c>
      <c r="D2521" s="1">
        <v>45633</v>
      </c>
      <c r="E2521" s="1">
        <v>45693</v>
      </c>
      <c r="F2521" t="s">
        <v>31</v>
      </c>
      <c r="G2521">
        <v>81447.03</v>
      </c>
      <c r="H2521" s="1">
        <v>45742</v>
      </c>
      <c r="I2521" t="s">
        <v>555</v>
      </c>
      <c r="J2521" t="s">
        <v>556</v>
      </c>
      <c r="L2521">
        <v>81447.03</v>
      </c>
      <c r="M2521">
        <f>IF(F2521="INR",1,INDEX('rates'!$B$2:$C$522,MATCH(D2521,'rates'!$A$2:$A$522,1),MATCH(F2521&amp;"/INR",'rates'!$B$1:$C$1,0)))</f>
        <v>89.436899999999994</v>
      </c>
      <c r="N2521">
        <f t="shared" si="208"/>
        <v>7284369.8774069995</v>
      </c>
      <c r="O2521">
        <f t="shared" si="209"/>
        <v>0</v>
      </c>
      <c r="P2521">
        <f t="shared" si="210"/>
        <v>0</v>
      </c>
      <c r="Q2521">
        <f t="shared" si="212"/>
        <v>49</v>
      </c>
      <c r="R2521" t="str">
        <f t="shared" si="211"/>
        <v>Not open</v>
      </c>
    </row>
    <row r="2522" spans="1:18" x14ac:dyDescent="0.3">
      <c r="A2522" t="s">
        <v>2791</v>
      </c>
      <c r="B2522" t="s">
        <v>115</v>
      </c>
      <c r="C2522" t="s">
        <v>554</v>
      </c>
      <c r="D2522" s="1">
        <v>45635</v>
      </c>
      <c r="E2522" s="1">
        <v>45695</v>
      </c>
      <c r="F2522" t="s">
        <v>13</v>
      </c>
      <c r="G2522">
        <v>4812761</v>
      </c>
      <c r="H2522" s="1">
        <v>45694</v>
      </c>
      <c r="I2522" t="s">
        <v>555</v>
      </c>
      <c r="J2522" t="s">
        <v>556</v>
      </c>
      <c r="L2522">
        <v>4812761</v>
      </c>
      <c r="M2522">
        <f>IF(F2522="INR",1,INDEX('rates'!$B$2:$C$522,MATCH(D2522,'rates'!$A$2:$A$522,1),MATCH(F2522&amp;"/INR",'rates'!$B$1:$C$1,0)))</f>
        <v>1</v>
      </c>
      <c r="N2522">
        <f t="shared" si="208"/>
        <v>4812761</v>
      </c>
      <c r="O2522">
        <f t="shared" si="209"/>
        <v>0</v>
      </c>
      <c r="P2522">
        <f t="shared" si="210"/>
        <v>0</v>
      </c>
      <c r="Q2522">
        <f t="shared" si="212"/>
        <v>-1</v>
      </c>
      <c r="R2522" t="str">
        <f t="shared" si="211"/>
        <v>Not open</v>
      </c>
    </row>
    <row r="2523" spans="1:18" x14ac:dyDescent="0.3">
      <c r="A2523" t="s">
        <v>2792</v>
      </c>
      <c r="B2523" t="s">
        <v>178</v>
      </c>
      <c r="C2523" t="s">
        <v>560</v>
      </c>
      <c r="D2523" s="1">
        <v>45635</v>
      </c>
      <c r="E2523" s="1">
        <v>45665</v>
      </c>
      <c r="F2523" t="s">
        <v>13</v>
      </c>
      <c r="G2523">
        <v>7094193</v>
      </c>
      <c r="H2523" s="1">
        <v>45695</v>
      </c>
      <c r="I2523" t="s">
        <v>555</v>
      </c>
      <c r="J2523" t="s">
        <v>556</v>
      </c>
      <c r="L2523">
        <v>7094193</v>
      </c>
      <c r="M2523">
        <f>IF(F2523="INR",1,INDEX('rates'!$B$2:$C$522,MATCH(D2523,'rates'!$A$2:$A$522,1),MATCH(F2523&amp;"/INR",'rates'!$B$1:$C$1,0)))</f>
        <v>1</v>
      </c>
      <c r="N2523">
        <f t="shared" si="208"/>
        <v>7094193</v>
      </c>
      <c r="O2523">
        <f t="shared" si="209"/>
        <v>0</v>
      </c>
      <c r="P2523">
        <f t="shared" si="210"/>
        <v>0</v>
      </c>
      <c r="Q2523">
        <f t="shared" si="212"/>
        <v>30</v>
      </c>
      <c r="R2523" t="str">
        <f t="shared" si="211"/>
        <v>Not open</v>
      </c>
    </row>
    <row r="2524" spans="1:18" x14ac:dyDescent="0.3">
      <c r="A2524" t="s">
        <v>2794</v>
      </c>
      <c r="B2524" t="s">
        <v>208</v>
      </c>
      <c r="C2524" t="s">
        <v>566</v>
      </c>
      <c r="D2524" s="1">
        <v>45635</v>
      </c>
      <c r="E2524" s="1">
        <v>45680</v>
      </c>
      <c r="F2524" t="s">
        <v>13</v>
      </c>
      <c r="G2524">
        <v>7599611</v>
      </c>
      <c r="H2524" s="1">
        <v>45681</v>
      </c>
      <c r="I2524" t="s">
        <v>555</v>
      </c>
      <c r="J2524" t="s">
        <v>556</v>
      </c>
      <c r="L2524">
        <v>7599611</v>
      </c>
      <c r="M2524">
        <f>IF(F2524="INR",1,INDEX('rates'!$B$2:$C$522,MATCH(D2524,'rates'!$A$2:$A$522,1),MATCH(F2524&amp;"/INR",'rates'!$B$1:$C$1,0)))</f>
        <v>1</v>
      </c>
      <c r="N2524">
        <f t="shared" si="208"/>
        <v>7599611</v>
      </c>
      <c r="O2524">
        <f t="shared" si="209"/>
        <v>0</v>
      </c>
      <c r="P2524">
        <f t="shared" si="210"/>
        <v>0</v>
      </c>
      <c r="Q2524">
        <f t="shared" si="212"/>
        <v>1</v>
      </c>
      <c r="R2524" t="str">
        <f t="shared" si="211"/>
        <v>Not open</v>
      </c>
    </row>
    <row r="2525" spans="1:18" x14ac:dyDescent="0.3">
      <c r="A2525" t="s">
        <v>2796</v>
      </c>
      <c r="B2525" t="s">
        <v>334</v>
      </c>
      <c r="C2525" t="s">
        <v>560</v>
      </c>
      <c r="D2525" s="1">
        <v>45635</v>
      </c>
      <c r="E2525" s="1">
        <v>45725</v>
      </c>
      <c r="F2525" t="s">
        <v>13</v>
      </c>
      <c r="G2525">
        <v>5628450</v>
      </c>
      <c r="H2525" s="1">
        <v>45740</v>
      </c>
      <c r="I2525" t="s">
        <v>555</v>
      </c>
      <c r="J2525" t="s">
        <v>556</v>
      </c>
      <c r="L2525">
        <v>5628450</v>
      </c>
      <c r="M2525">
        <f>IF(F2525="INR",1,INDEX('rates'!$B$2:$C$522,MATCH(D2525,'rates'!$A$2:$A$522,1),MATCH(F2525&amp;"/INR",'rates'!$B$1:$C$1,0)))</f>
        <v>1</v>
      </c>
      <c r="N2525">
        <f t="shared" si="208"/>
        <v>5628450</v>
      </c>
      <c r="O2525">
        <f t="shared" si="209"/>
        <v>0</v>
      </c>
      <c r="P2525">
        <f t="shared" si="210"/>
        <v>0</v>
      </c>
      <c r="Q2525">
        <f t="shared" si="212"/>
        <v>15</v>
      </c>
      <c r="R2525" t="str">
        <f t="shared" si="211"/>
        <v>Not open</v>
      </c>
    </row>
    <row r="2526" spans="1:18" x14ac:dyDescent="0.3">
      <c r="A2526" t="s">
        <v>2797</v>
      </c>
      <c r="B2526" t="s">
        <v>372</v>
      </c>
      <c r="C2526" t="s">
        <v>575</v>
      </c>
      <c r="D2526" s="1">
        <v>45635</v>
      </c>
      <c r="E2526" s="1">
        <v>45725</v>
      </c>
      <c r="F2526" t="s">
        <v>13</v>
      </c>
      <c r="G2526">
        <v>4258332</v>
      </c>
      <c r="H2526" s="1">
        <v>45746</v>
      </c>
      <c r="I2526" t="s">
        <v>555</v>
      </c>
      <c r="J2526" t="s">
        <v>556</v>
      </c>
      <c r="L2526">
        <v>4258332</v>
      </c>
      <c r="M2526">
        <f>IF(F2526="INR",1,INDEX('rates'!$B$2:$C$522,MATCH(D2526,'rates'!$A$2:$A$522,1),MATCH(F2526&amp;"/INR",'rates'!$B$1:$C$1,0)))</f>
        <v>1</v>
      </c>
      <c r="N2526">
        <f t="shared" si="208"/>
        <v>4258332</v>
      </c>
      <c r="O2526">
        <f t="shared" si="209"/>
        <v>0</v>
      </c>
      <c r="P2526">
        <f t="shared" si="210"/>
        <v>0</v>
      </c>
      <c r="Q2526">
        <f t="shared" si="212"/>
        <v>21</v>
      </c>
      <c r="R2526" t="str">
        <f t="shared" si="211"/>
        <v>Not open</v>
      </c>
    </row>
    <row r="2527" spans="1:18" x14ac:dyDescent="0.3">
      <c r="A2527" t="s">
        <v>2798</v>
      </c>
      <c r="B2527" t="s">
        <v>404</v>
      </c>
      <c r="C2527" t="s">
        <v>554</v>
      </c>
      <c r="D2527" s="1">
        <v>45635</v>
      </c>
      <c r="E2527" s="1">
        <v>45695</v>
      </c>
      <c r="F2527" t="s">
        <v>13</v>
      </c>
      <c r="G2527">
        <v>15960024</v>
      </c>
      <c r="H2527" s="1">
        <v>45698</v>
      </c>
      <c r="I2527" t="s">
        <v>555</v>
      </c>
      <c r="J2527" t="s">
        <v>556</v>
      </c>
      <c r="L2527">
        <v>15960024</v>
      </c>
      <c r="M2527">
        <f>IF(F2527="INR",1,INDEX('rates'!$B$2:$C$522,MATCH(D2527,'rates'!$A$2:$A$522,1),MATCH(F2527&amp;"/INR",'rates'!$B$1:$C$1,0)))</f>
        <v>1</v>
      </c>
      <c r="N2527">
        <f t="shared" si="208"/>
        <v>15960024</v>
      </c>
      <c r="O2527">
        <f t="shared" si="209"/>
        <v>0</v>
      </c>
      <c r="P2527">
        <f t="shared" si="210"/>
        <v>0</v>
      </c>
      <c r="Q2527">
        <f t="shared" si="212"/>
        <v>3</v>
      </c>
      <c r="R2527" t="str">
        <f t="shared" si="211"/>
        <v>Not open</v>
      </c>
    </row>
    <row r="2528" spans="1:18" x14ac:dyDescent="0.3">
      <c r="A2528" t="s">
        <v>2799</v>
      </c>
      <c r="B2528" t="s">
        <v>506</v>
      </c>
      <c r="C2528" t="s">
        <v>560</v>
      </c>
      <c r="D2528" s="1">
        <v>45635</v>
      </c>
      <c r="E2528" s="1">
        <v>45695</v>
      </c>
      <c r="F2528" t="s">
        <v>13</v>
      </c>
      <c r="G2528">
        <v>1657213</v>
      </c>
      <c r="H2528" s="1">
        <v>45693</v>
      </c>
      <c r="I2528" t="s">
        <v>555</v>
      </c>
      <c r="J2528" t="s">
        <v>556</v>
      </c>
      <c r="L2528">
        <v>1657213</v>
      </c>
      <c r="M2528">
        <f>IF(F2528="INR",1,INDEX('rates'!$B$2:$C$522,MATCH(D2528,'rates'!$A$2:$A$522,1),MATCH(F2528&amp;"/INR",'rates'!$B$1:$C$1,0)))</f>
        <v>1</v>
      </c>
      <c r="N2528">
        <f t="shared" si="208"/>
        <v>1657213</v>
      </c>
      <c r="O2528">
        <f t="shared" si="209"/>
        <v>0</v>
      </c>
      <c r="P2528">
        <f t="shared" si="210"/>
        <v>0</v>
      </c>
      <c r="Q2528">
        <f t="shared" si="212"/>
        <v>-2</v>
      </c>
      <c r="R2528" t="str">
        <f t="shared" si="211"/>
        <v>Not open</v>
      </c>
    </row>
    <row r="2529" spans="1:18" x14ac:dyDescent="0.3">
      <c r="A2529" t="s">
        <v>2800</v>
      </c>
      <c r="B2529" t="s">
        <v>117</v>
      </c>
      <c r="C2529" t="s">
        <v>554</v>
      </c>
      <c r="D2529" s="1">
        <v>45636</v>
      </c>
      <c r="E2529" s="1">
        <v>45696</v>
      </c>
      <c r="F2529" t="s">
        <v>13</v>
      </c>
      <c r="G2529">
        <v>11095067</v>
      </c>
      <c r="H2529" s="1">
        <v>45699</v>
      </c>
      <c r="I2529" t="s">
        <v>555</v>
      </c>
      <c r="J2529" t="s">
        <v>556</v>
      </c>
      <c r="L2529">
        <v>11095067</v>
      </c>
      <c r="M2529">
        <f>IF(F2529="INR",1,INDEX('rates'!$B$2:$C$522,MATCH(D2529,'rates'!$A$2:$A$522,1),MATCH(F2529&amp;"/INR",'rates'!$B$1:$C$1,0)))</f>
        <v>1</v>
      </c>
      <c r="N2529">
        <f t="shared" si="208"/>
        <v>11095067</v>
      </c>
      <c r="O2529">
        <f t="shared" si="209"/>
        <v>0</v>
      </c>
      <c r="P2529">
        <f t="shared" si="210"/>
        <v>0</v>
      </c>
      <c r="Q2529">
        <f t="shared" si="212"/>
        <v>3</v>
      </c>
      <c r="R2529" t="str">
        <f t="shared" si="211"/>
        <v>Not open</v>
      </c>
    </row>
    <row r="2530" spans="1:18" x14ac:dyDescent="0.3">
      <c r="A2530" t="s">
        <v>2801</v>
      </c>
      <c r="B2530" t="s">
        <v>200</v>
      </c>
      <c r="C2530" t="s">
        <v>554</v>
      </c>
      <c r="D2530" s="1">
        <v>45636</v>
      </c>
      <c r="E2530" s="1">
        <v>45696</v>
      </c>
      <c r="F2530" t="s">
        <v>13</v>
      </c>
      <c r="G2530">
        <v>6944170</v>
      </c>
      <c r="H2530" s="1">
        <v>45703</v>
      </c>
      <c r="I2530" t="s">
        <v>555</v>
      </c>
      <c r="J2530" t="s">
        <v>556</v>
      </c>
      <c r="L2530">
        <v>6944170</v>
      </c>
      <c r="M2530">
        <f>IF(F2530="INR",1,INDEX('rates'!$B$2:$C$522,MATCH(D2530,'rates'!$A$2:$A$522,1),MATCH(F2530&amp;"/INR",'rates'!$B$1:$C$1,0)))</f>
        <v>1</v>
      </c>
      <c r="N2530">
        <f t="shared" si="208"/>
        <v>6944170</v>
      </c>
      <c r="O2530">
        <f t="shared" si="209"/>
        <v>0</v>
      </c>
      <c r="P2530">
        <f t="shared" si="210"/>
        <v>0</v>
      </c>
      <c r="Q2530">
        <f t="shared" si="212"/>
        <v>7</v>
      </c>
      <c r="R2530" t="str">
        <f t="shared" si="211"/>
        <v>Not open</v>
      </c>
    </row>
    <row r="2531" spans="1:18" x14ac:dyDescent="0.3">
      <c r="A2531" t="s">
        <v>2802</v>
      </c>
      <c r="B2531" t="s">
        <v>436</v>
      </c>
      <c r="C2531" t="s">
        <v>566</v>
      </c>
      <c r="D2531" s="1">
        <v>45636</v>
      </c>
      <c r="E2531" s="1">
        <v>45681</v>
      </c>
      <c r="F2531" t="s">
        <v>36</v>
      </c>
      <c r="G2531">
        <v>190212.66</v>
      </c>
      <c r="H2531" s="1">
        <v>45722</v>
      </c>
      <c r="I2531" t="s">
        <v>555</v>
      </c>
      <c r="J2531" t="s">
        <v>573</v>
      </c>
      <c r="K2531">
        <v>85.052099999999996</v>
      </c>
      <c r="L2531">
        <v>190212.66</v>
      </c>
      <c r="M2531">
        <f>IF(F2531="INR",1,INDEX('rates'!$B$2:$C$522,MATCH(D2531,'rates'!$A$2:$A$522,1),MATCH(F2531&amp;"/INR",'rates'!$B$1:$C$1,0)))</f>
        <v>84.84</v>
      </c>
      <c r="N2531">
        <f t="shared" si="208"/>
        <v>16137642.0744</v>
      </c>
      <c r="O2531">
        <f t="shared" si="209"/>
        <v>0</v>
      </c>
      <c r="P2531">
        <f t="shared" si="210"/>
        <v>0</v>
      </c>
      <c r="Q2531">
        <f t="shared" si="212"/>
        <v>41</v>
      </c>
      <c r="R2531" t="str">
        <f t="shared" si="211"/>
        <v>Not open</v>
      </c>
    </row>
    <row r="2532" spans="1:18" x14ac:dyDescent="0.3">
      <c r="A2532" t="s">
        <v>2803</v>
      </c>
      <c r="B2532" t="s">
        <v>512</v>
      </c>
      <c r="C2532" t="s">
        <v>558</v>
      </c>
      <c r="D2532" s="1">
        <v>45636</v>
      </c>
      <c r="E2532" s="1">
        <v>45696</v>
      </c>
      <c r="F2532" t="s">
        <v>31</v>
      </c>
      <c r="G2532">
        <v>60456.31</v>
      </c>
      <c r="H2532" s="1">
        <v>45716</v>
      </c>
      <c r="I2532" t="s">
        <v>555</v>
      </c>
      <c r="J2532" t="s">
        <v>556</v>
      </c>
      <c r="L2532">
        <v>60456.31</v>
      </c>
      <c r="M2532">
        <f>IF(F2532="INR",1,INDEX('rates'!$B$2:$C$522,MATCH(D2532,'rates'!$A$2:$A$522,1),MATCH(F2532&amp;"/INR",'rates'!$B$1:$C$1,0)))</f>
        <v>89.183800000000005</v>
      </c>
      <c r="N2532">
        <f t="shared" si="208"/>
        <v>5391723.4597779997</v>
      </c>
      <c r="O2532">
        <f t="shared" si="209"/>
        <v>0</v>
      </c>
      <c r="P2532">
        <f t="shared" si="210"/>
        <v>0</v>
      </c>
      <c r="Q2532">
        <f t="shared" si="212"/>
        <v>20</v>
      </c>
      <c r="R2532" t="str">
        <f t="shared" si="211"/>
        <v>Not open</v>
      </c>
    </row>
    <row r="2533" spans="1:18" x14ac:dyDescent="0.3">
      <c r="A2533" t="s">
        <v>2804</v>
      </c>
      <c r="B2533" t="s">
        <v>140</v>
      </c>
      <c r="C2533" t="s">
        <v>554</v>
      </c>
      <c r="D2533" s="1">
        <v>45637</v>
      </c>
      <c r="E2533" s="1">
        <v>45697</v>
      </c>
      <c r="F2533" t="s">
        <v>13</v>
      </c>
      <c r="G2533">
        <v>5368129</v>
      </c>
      <c r="H2533" s="1">
        <v>45702</v>
      </c>
      <c r="I2533" t="s">
        <v>555</v>
      </c>
      <c r="J2533" t="s">
        <v>556</v>
      </c>
      <c r="L2533">
        <v>5368129</v>
      </c>
      <c r="M2533">
        <f>IF(F2533="INR",1,INDEX('rates'!$B$2:$C$522,MATCH(D2533,'rates'!$A$2:$A$522,1),MATCH(F2533&amp;"/INR",'rates'!$B$1:$C$1,0)))</f>
        <v>1</v>
      </c>
      <c r="N2533">
        <f t="shared" si="208"/>
        <v>5368129</v>
      </c>
      <c r="O2533">
        <f t="shared" si="209"/>
        <v>0</v>
      </c>
      <c r="P2533">
        <f t="shared" si="210"/>
        <v>0</v>
      </c>
      <c r="Q2533">
        <f t="shared" si="212"/>
        <v>5</v>
      </c>
      <c r="R2533" t="str">
        <f t="shared" si="211"/>
        <v>Not open</v>
      </c>
    </row>
    <row r="2534" spans="1:18" x14ac:dyDescent="0.3">
      <c r="A2534" t="s">
        <v>2805</v>
      </c>
      <c r="B2534" t="s">
        <v>184</v>
      </c>
      <c r="C2534" t="s">
        <v>575</v>
      </c>
      <c r="D2534" s="1">
        <v>45637</v>
      </c>
      <c r="E2534" s="1">
        <v>45727</v>
      </c>
      <c r="F2534" t="s">
        <v>31</v>
      </c>
      <c r="G2534">
        <v>331724.75</v>
      </c>
      <c r="H2534" s="1">
        <v>45739</v>
      </c>
      <c r="I2534" t="s">
        <v>555</v>
      </c>
      <c r="J2534" t="s">
        <v>556</v>
      </c>
      <c r="L2534">
        <v>331724.75</v>
      </c>
      <c r="M2534">
        <f>IF(F2534="INR",1,INDEX('rates'!$B$2:$C$522,MATCH(D2534,'rates'!$A$2:$A$522,1),MATCH(F2534&amp;"/INR",'rates'!$B$1:$C$1,0)))</f>
        <v>89.107799999999997</v>
      </c>
      <c r="N2534">
        <f t="shared" si="208"/>
        <v>29559262.67805</v>
      </c>
      <c r="O2534">
        <f t="shared" si="209"/>
        <v>0</v>
      </c>
      <c r="P2534">
        <f t="shared" si="210"/>
        <v>0</v>
      </c>
      <c r="Q2534">
        <f t="shared" si="212"/>
        <v>12</v>
      </c>
      <c r="R2534" t="str">
        <f t="shared" si="211"/>
        <v>Not open</v>
      </c>
    </row>
    <row r="2535" spans="1:18" x14ac:dyDescent="0.3">
      <c r="A2535" t="s">
        <v>2806</v>
      </c>
      <c r="B2535" t="s">
        <v>200</v>
      </c>
      <c r="C2535" t="s">
        <v>575</v>
      </c>
      <c r="D2535" s="1">
        <v>45637</v>
      </c>
      <c r="E2535" s="1">
        <v>45697</v>
      </c>
      <c r="F2535" t="s">
        <v>13</v>
      </c>
      <c r="G2535">
        <v>16645660</v>
      </c>
      <c r="H2535" s="1">
        <v>45707</v>
      </c>
      <c r="I2535" t="s">
        <v>555</v>
      </c>
      <c r="J2535" t="s">
        <v>556</v>
      </c>
      <c r="L2535">
        <v>16645660</v>
      </c>
      <c r="M2535">
        <f>IF(F2535="INR",1,INDEX('rates'!$B$2:$C$522,MATCH(D2535,'rates'!$A$2:$A$522,1),MATCH(F2535&amp;"/INR",'rates'!$B$1:$C$1,0)))</f>
        <v>1</v>
      </c>
      <c r="N2535">
        <f t="shared" si="208"/>
        <v>16645660</v>
      </c>
      <c r="O2535">
        <f t="shared" si="209"/>
        <v>0</v>
      </c>
      <c r="P2535">
        <f t="shared" si="210"/>
        <v>0</v>
      </c>
      <c r="Q2535">
        <f t="shared" si="212"/>
        <v>10</v>
      </c>
      <c r="R2535" t="str">
        <f t="shared" si="211"/>
        <v>Not open</v>
      </c>
    </row>
    <row r="2536" spans="1:18" x14ac:dyDescent="0.3">
      <c r="A2536" t="s">
        <v>2807</v>
      </c>
      <c r="B2536" t="s">
        <v>282</v>
      </c>
      <c r="C2536" t="s">
        <v>554</v>
      </c>
      <c r="D2536" s="1">
        <v>45637</v>
      </c>
      <c r="E2536" s="1">
        <v>45697</v>
      </c>
      <c r="F2536" t="s">
        <v>13</v>
      </c>
      <c r="G2536">
        <v>5086074</v>
      </c>
      <c r="H2536" s="1">
        <v>45699</v>
      </c>
      <c r="I2536" t="s">
        <v>555</v>
      </c>
      <c r="J2536" t="s">
        <v>556</v>
      </c>
      <c r="L2536">
        <v>5086074</v>
      </c>
      <c r="M2536">
        <f>IF(F2536="INR",1,INDEX('rates'!$B$2:$C$522,MATCH(D2536,'rates'!$A$2:$A$522,1),MATCH(F2536&amp;"/INR",'rates'!$B$1:$C$1,0)))</f>
        <v>1</v>
      </c>
      <c r="N2536">
        <f t="shared" si="208"/>
        <v>5086074</v>
      </c>
      <c r="O2536">
        <f t="shared" si="209"/>
        <v>0</v>
      </c>
      <c r="P2536">
        <f t="shared" si="210"/>
        <v>0</v>
      </c>
      <c r="Q2536">
        <f t="shared" si="212"/>
        <v>2</v>
      </c>
      <c r="R2536" t="str">
        <f t="shared" si="211"/>
        <v>Not open</v>
      </c>
    </row>
    <row r="2537" spans="1:18" x14ac:dyDescent="0.3">
      <c r="A2537" t="s">
        <v>2808</v>
      </c>
      <c r="B2537" t="s">
        <v>332</v>
      </c>
      <c r="C2537" t="s">
        <v>566</v>
      </c>
      <c r="D2537" s="1">
        <v>45637</v>
      </c>
      <c r="E2537" s="1">
        <v>45697</v>
      </c>
      <c r="F2537" t="s">
        <v>36</v>
      </c>
      <c r="G2537">
        <v>198625.84</v>
      </c>
      <c r="H2537" s="1">
        <v>45704</v>
      </c>
      <c r="I2537" t="s">
        <v>555</v>
      </c>
      <c r="J2537" t="s">
        <v>556</v>
      </c>
      <c r="L2537">
        <v>198625.84</v>
      </c>
      <c r="M2537">
        <f>IF(F2537="INR",1,INDEX('rates'!$B$2:$C$522,MATCH(D2537,'rates'!$A$2:$A$522,1),MATCH(F2537&amp;"/INR",'rates'!$B$1:$C$1,0)))</f>
        <v>84.8</v>
      </c>
      <c r="N2537">
        <f t="shared" si="208"/>
        <v>16843471.232000001</v>
      </c>
      <c r="O2537">
        <f t="shared" si="209"/>
        <v>0</v>
      </c>
      <c r="P2537">
        <f t="shared" si="210"/>
        <v>0</v>
      </c>
      <c r="Q2537">
        <f t="shared" si="212"/>
        <v>7</v>
      </c>
      <c r="R2537" t="str">
        <f t="shared" si="211"/>
        <v>Not open</v>
      </c>
    </row>
    <row r="2538" spans="1:18" x14ac:dyDescent="0.3">
      <c r="A2538" t="s">
        <v>2809</v>
      </c>
      <c r="B2538" t="s">
        <v>532</v>
      </c>
      <c r="C2538" t="s">
        <v>575</v>
      </c>
      <c r="D2538" s="1">
        <v>45637</v>
      </c>
      <c r="E2538" s="1">
        <v>45697</v>
      </c>
      <c r="F2538" t="s">
        <v>36</v>
      </c>
      <c r="G2538">
        <v>103055.41</v>
      </c>
      <c r="H2538" s="1">
        <v>45730</v>
      </c>
      <c r="I2538" t="s">
        <v>555</v>
      </c>
      <c r="J2538" t="s">
        <v>573</v>
      </c>
      <c r="K2538">
        <v>85.082700000000003</v>
      </c>
      <c r="L2538">
        <v>103055.41</v>
      </c>
      <c r="M2538">
        <f>IF(F2538="INR",1,INDEX('rates'!$B$2:$C$522,MATCH(D2538,'rates'!$A$2:$A$522,1),MATCH(F2538&amp;"/INR",'rates'!$B$1:$C$1,0)))</f>
        <v>84.8</v>
      </c>
      <c r="N2538">
        <f t="shared" si="208"/>
        <v>8739098.7679999992</v>
      </c>
      <c r="O2538">
        <f t="shared" si="209"/>
        <v>0</v>
      </c>
      <c r="P2538">
        <f t="shared" si="210"/>
        <v>0</v>
      </c>
      <c r="Q2538">
        <f t="shared" si="212"/>
        <v>33</v>
      </c>
      <c r="R2538" t="str">
        <f t="shared" si="211"/>
        <v>Not open</v>
      </c>
    </row>
    <row r="2539" spans="1:18" x14ac:dyDescent="0.3">
      <c r="A2539" t="s">
        <v>2810</v>
      </c>
      <c r="B2539" t="s">
        <v>186</v>
      </c>
      <c r="C2539" t="s">
        <v>558</v>
      </c>
      <c r="D2539" s="1">
        <v>45638</v>
      </c>
      <c r="E2539" s="1">
        <v>45668</v>
      </c>
      <c r="F2539" t="s">
        <v>36</v>
      </c>
      <c r="G2539">
        <v>98217.95</v>
      </c>
      <c r="H2539" s="1">
        <v>45687</v>
      </c>
      <c r="I2539" t="s">
        <v>555</v>
      </c>
      <c r="J2539" t="s">
        <v>556</v>
      </c>
      <c r="L2539">
        <v>98217.95</v>
      </c>
      <c r="M2539">
        <f>IF(F2539="INR",1,INDEX('rates'!$B$2:$C$522,MATCH(D2539,'rates'!$A$2:$A$522,1),MATCH(F2539&amp;"/INR",'rates'!$B$1:$C$1,0)))</f>
        <v>84.84</v>
      </c>
      <c r="N2539">
        <f t="shared" si="208"/>
        <v>8332810.8780000005</v>
      </c>
      <c r="O2539">
        <f t="shared" si="209"/>
        <v>0</v>
      </c>
      <c r="P2539">
        <f t="shared" si="210"/>
        <v>0</v>
      </c>
      <c r="Q2539">
        <f t="shared" si="212"/>
        <v>19</v>
      </c>
      <c r="R2539" t="str">
        <f t="shared" si="211"/>
        <v>Not open</v>
      </c>
    </row>
    <row r="2540" spans="1:18" x14ac:dyDescent="0.3">
      <c r="A2540" t="s">
        <v>2812</v>
      </c>
      <c r="B2540" t="s">
        <v>206</v>
      </c>
      <c r="C2540" t="s">
        <v>566</v>
      </c>
      <c r="D2540" s="1">
        <v>45638</v>
      </c>
      <c r="E2540" s="1">
        <v>45683</v>
      </c>
      <c r="F2540" t="s">
        <v>13</v>
      </c>
      <c r="G2540">
        <v>7821238</v>
      </c>
      <c r="H2540" s="1">
        <v>45691</v>
      </c>
      <c r="I2540" t="s">
        <v>555</v>
      </c>
      <c r="J2540" t="s">
        <v>556</v>
      </c>
      <c r="L2540">
        <v>7821238</v>
      </c>
      <c r="M2540">
        <f>IF(F2540="INR",1,INDEX('rates'!$B$2:$C$522,MATCH(D2540,'rates'!$A$2:$A$522,1),MATCH(F2540&amp;"/INR",'rates'!$B$1:$C$1,0)))</f>
        <v>1</v>
      </c>
      <c r="N2540">
        <f t="shared" si="208"/>
        <v>7821238</v>
      </c>
      <c r="O2540">
        <f t="shared" si="209"/>
        <v>0</v>
      </c>
      <c r="P2540">
        <f t="shared" si="210"/>
        <v>0</v>
      </c>
      <c r="Q2540">
        <f t="shared" si="212"/>
        <v>8</v>
      </c>
      <c r="R2540" t="str">
        <f t="shared" si="211"/>
        <v>Not open</v>
      </c>
    </row>
    <row r="2541" spans="1:18" x14ac:dyDescent="0.3">
      <c r="A2541" t="s">
        <v>2813</v>
      </c>
      <c r="B2541" t="s">
        <v>260</v>
      </c>
      <c r="C2541" t="s">
        <v>558</v>
      </c>
      <c r="D2541" s="1">
        <v>45638</v>
      </c>
      <c r="E2541" s="1">
        <v>45698</v>
      </c>
      <c r="F2541" t="s">
        <v>36</v>
      </c>
      <c r="G2541">
        <v>270150.7</v>
      </c>
      <c r="H2541" s="1">
        <v>45720</v>
      </c>
      <c r="I2541" t="s">
        <v>555</v>
      </c>
      <c r="J2541" t="s">
        <v>556</v>
      </c>
      <c r="L2541">
        <v>270150.7</v>
      </c>
      <c r="M2541">
        <f>IF(F2541="INR",1,INDEX('rates'!$B$2:$C$522,MATCH(D2541,'rates'!$A$2:$A$522,1),MATCH(F2541&amp;"/INR",'rates'!$B$1:$C$1,0)))</f>
        <v>84.84</v>
      </c>
      <c r="N2541">
        <f t="shared" si="208"/>
        <v>22919585.388</v>
      </c>
      <c r="O2541">
        <f t="shared" si="209"/>
        <v>0</v>
      </c>
      <c r="P2541">
        <f t="shared" si="210"/>
        <v>0</v>
      </c>
      <c r="Q2541">
        <f t="shared" si="212"/>
        <v>22</v>
      </c>
      <c r="R2541" t="str">
        <f t="shared" si="211"/>
        <v>Not open</v>
      </c>
    </row>
    <row r="2542" spans="1:18" x14ac:dyDescent="0.3">
      <c r="A2542" t="s">
        <v>2815</v>
      </c>
      <c r="B2542" t="s">
        <v>418</v>
      </c>
      <c r="C2542" t="s">
        <v>558</v>
      </c>
      <c r="D2542" s="1">
        <v>45638</v>
      </c>
      <c r="E2542" s="1">
        <v>45683</v>
      </c>
      <c r="F2542" t="s">
        <v>13</v>
      </c>
      <c r="G2542">
        <v>3680550</v>
      </c>
      <c r="H2542" s="1">
        <v>45728</v>
      </c>
      <c r="I2542" t="s">
        <v>555</v>
      </c>
      <c r="J2542" t="s">
        <v>556</v>
      </c>
      <c r="L2542">
        <v>3680550</v>
      </c>
      <c r="M2542">
        <f>IF(F2542="INR",1,INDEX('rates'!$B$2:$C$522,MATCH(D2542,'rates'!$A$2:$A$522,1),MATCH(F2542&amp;"/INR",'rates'!$B$1:$C$1,0)))</f>
        <v>1</v>
      </c>
      <c r="N2542">
        <f t="shared" si="208"/>
        <v>3680550</v>
      </c>
      <c r="O2542">
        <f t="shared" si="209"/>
        <v>0</v>
      </c>
      <c r="P2542">
        <f t="shared" si="210"/>
        <v>0</v>
      </c>
      <c r="Q2542">
        <f t="shared" ref="Q2542:Q2556" si="213">IF(H2542="","",H2542-E2542)</f>
        <v>45</v>
      </c>
      <c r="R2542" t="str">
        <f t="shared" si="211"/>
        <v>Not open</v>
      </c>
    </row>
    <row r="2543" spans="1:18" x14ac:dyDescent="0.3">
      <c r="A2543" t="s">
        <v>2817</v>
      </c>
      <c r="B2543" t="s">
        <v>154</v>
      </c>
      <c r="C2543" t="s">
        <v>566</v>
      </c>
      <c r="D2543" s="1">
        <v>45639</v>
      </c>
      <c r="E2543" s="1">
        <v>45669</v>
      </c>
      <c r="F2543" t="s">
        <v>13</v>
      </c>
      <c r="G2543">
        <v>8173222</v>
      </c>
      <c r="H2543" s="1">
        <v>45674</v>
      </c>
      <c r="I2543" t="s">
        <v>555</v>
      </c>
      <c r="J2543" t="s">
        <v>556</v>
      </c>
      <c r="L2543">
        <v>8173222</v>
      </c>
      <c r="M2543">
        <f>IF(F2543="INR",1,INDEX('rates'!$B$2:$C$522,MATCH(D2543,'rates'!$A$2:$A$522,1),MATCH(F2543&amp;"/INR",'rates'!$B$1:$C$1,0)))</f>
        <v>1</v>
      </c>
      <c r="N2543">
        <f t="shared" si="208"/>
        <v>8173222</v>
      </c>
      <c r="O2543">
        <f t="shared" si="209"/>
        <v>0</v>
      </c>
      <c r="P2543">
        <f t="shared" si="210"/>
        <v>0</v>
      </c>
      <c r="Q2543">
        <f t="shared" si="213"/>
        <v>5</v>
      </c>
      <c r="R2543" t="str">
        <f t="shared" si="211"/>
        <v>Not open</v>
      </c>
    </row>
    <row r="2544" spans="1:18" x14ac:dyDescent="0.3">
      <c r="A2544" t="s">
        <v>2818</v>
      </c>
      <c r="B2544" t="s">
        <v>496</v>
      </c>
      <c r="C2544" t="s">
        <v>554</v>
      </c>
      <c r="D2544" s="1">
        <v>45639</v>
      </c>
      <c r="E2544" s="1">
        <v>45684</v>
      </c>
      <c r="F2544" t="s">
        <v>13</v>
      </c>
      <c r="G2544">
        <v>10796560</v>
      </c>
      <c r="H2544" s="1">
        <v>45695</v>
      </c>
      <c r="I2544" t="s">
        <v>555</v>
      </c>
      <c r="J2544" t="s">
        <v>556</v>
      </c>
      <c r="L2544">
        <v>10796560</v>
      </c>
      <c r="M2544">
        <f>IF(F2544="INR",1,INDEX('rates'!$B$2:$C$522,MATCH(D2544,'rates'!$A$2:$A$522,1),MATCH(F2544&amp;"/INR",'rates'!$B$1:$C$1,0)))</f>
        <v>1</v>
      </c>
      <c r="N2544">
        <f t="shared" si="208"/>
        <v>10796560</v>
      </c>
      <c r="O2544">
        <f t="shared" si="209"/>
        <v>0</v>
      </c>
      <c r="P2544">
        <f t="shared" si="210"/>
        <v>0</v>
      </c>
      <c r="Q2544">
        <f t="shared" si="213"/>
        <v>11</v>
      </c>
      <c r="R2544" t="str">
        <f t="shared" si="211"/>
        <v>Not open</v>
      </c>
    </row>
    <row r="2545" spans="1:18" x14ac:dyDescent="0.3">
      <c r="A2545" t="s">
        <v>2819</v>
      </c>
      <c r="B2545" t="s">
        <v>496</v>
      </c>
      <c r="C2545" t="s">
        <v>554</v>
      </c>
      <c r="D2545" s="1">
        <v>45639</v>
      </c>
      <c r="E2545" s="1">
        <v>45684</v>
      </c>
      <c r="F2545" t="s">
        <v>13</v>
      </c>
      <c r="G2545">
        <v>15230173</v>
      </c>
      <c r="H2545" s="1">
        <v>45693</v>
      </c>
      <c r="I2545" t="s">
        <v>555</v>
      </c>
      <c r="J2545" t="s">
        <v>556</v>
      </c>
      <c r="L2545">
        <v>15230173</v>
      </c>
      <c r="M2545">
        <f>IF(F2545="INR",1,INDEX('rates'!$B$2:$C$522,MATCH(D2545,'rates'!$A$2:$A$522,1),MATCH(F2545&amp;"/INR",'rates'!$B$1:$C$1,0)))</f>
        <v>1</v>
      </c>
      <c r="N2545">
        <f t="shared" si="208"/>
        <v>15230173</v>
      </c>
      <c r="O2545">
        <f t="shared" si="209"/>
        <v>0</v>
      </c>
      <c r="P2545">
        <f t="shared" si="210"/>
        <v>0</v>
      </c>
      <c r="Q2545">
        <f t="shared" si="213"/>
        <v>9</v>
      </c>
      <c r="R2545" t="str">
        <f t="shared" si="211"/>
        <v>Not open</v>
      </c>
    </row>
    <row r="2546" spans="1:18" x14ac:dyDescent="0.3">
      <c r="A2546" t="s">
        <v>2820</v>
      </c>
      <c r="B2546" t="s">
        <v>65</v>
      </c>
      <c r="C2546" t="s">
        <v>558</v>
      </c>
      <c r="D2546" s="1">
        <v>45640</v>
      </c>
      <c r="E2546" s="1">
        <v>45670</v>
      </c>
      <c r="F2546" t="s">
        <v>13</v>
      </c>
      <c r="G2546">
        <v>1264929</v>
      </c>
      <c r="H2546" s="1">
        <v>45680</v>
      </c>
      <c r="I2546" t="s">
        <v>555</v>
      </c>
      <c r="J2546" t="s">
        <v>556</v>
      </c>
      <c r="L2546">
        <v>1264929</v>
      </c>
      <c r="M2546">
        <f>IF(F2546="INR",1,INDEX('rates'!$B$2:$C$522,MATCH(D2546,'rates'!$A$2:$A$522,1),MATCH(F2546&amp;"/INR",'rates'!$B$1:$C$1,0)))</f>
        <v>1</v>
      </c>
      <c r="N2546">
        <f t="shared" si="208"/>
        <v>1264929</v>
      </c>
      <c r="O2546">
        <f t="shared" si="209"/>
        <v>0</v>
      </c>
      <c r="P2546">
        <f t="shared" si="210"/>
        <v>0</v>
      </c>
      <c r="Q2546">
        <f t="shared" si="213"/>
        <v>10</v>
      </c>
      <c r="R2546" t="str">
        <f t="shared" si="211"/>
        <v>Not open</v>
      </c>
    </row>
    <row r="2547" spans="1:18" x14ac:dyDescent="0.3">
      <c r="A2547" t="s">
        <v>2821</v>
      </c>
      <c r="B2547" t="s">
        <v>138</v>
      </c>
      <c r="C2547" t="s">
        <v>566</v>
      </c>
      <c r="D2547" s="1">
        <v>45640</v>
      </c>
      <c r="E2547" s="1">
        <v>45670</v>
      </c>
      <c r="F2547" t="s">
        <v>13</v>
      </c>
      <c r="G2547">
        <v>19748579</v>
      </c>
      <c r="H2547" s="1">
        <v>45663</v>
      </c>
      <c r="I2547" t="s">
        <v>555</v>
      </c>
      <c r="J2547" t="s">
        <v>556</v>
      </c>
      <c r="L2547">
        <v>19748579</v>
      </c>
      <c r="M2547">
        <f>IF(F2547="INR",1,INDEX('rates'!$B$2:$C$522,MATCH(D2547,'rates'!$A$2:$A$522,1),MATCH(F2547&amp;"/INR",'rates'!$B$1:$C$1,0)))</f>
        <v>1</v>
      </c>
      <c r="N2547">
        <f t="shared" si="208"/>
        <v>19748579</v>
      </c>
      <c r="O2547">
        <f t="shared" si="209"/>
        <v>0</v>
      </c>
      <c r="P2547">
        <f t="shared" si="210"/>
        <v>0</v>
      </c>
      <c r="Q2547">
        <f t="shared" si="213"/>
        <v>-7</v>
      </c>
      <c r="R2547" t="str">
        <f t="shared" si="211"/>
        <v>Not open</v>
      </c>
    </row>
    <row r="2548" spans="1:18" x14ac:dyDescent="0.3">
      <c r="A2548" t="s">
        <v>2823</v>
      </c>
      <c r="B2548" t="s">
        <v>496</v>
      </c>
      <c r="C2548" t="s">
        <v>554</v>
      </c>
      <c r="D2548" s="1">
        <v>45640</v>
      </c>
      <c r="E2548" s="1">
        <v>45685</v>
      </c>
      <c r="F2548" t="s">
        <v>13</v>
      </c>
      <c r="G2548">
        <v>10707334</v>
      </c>
      <c r="H2548" s="1">
        <v>45690</v>
      </c>
      <c r="I2548" t="s">
        <v>555</v>
      </c>
      <c r="J2548" t="s">
        <v>556</v>
      </c>
      <c r="L2548">
        <v>10707334</v>
      </c>
      <c r="M2548">
        <f>IF(F2548="INR",1,INDEX('rates'!$B$2:$C$522,MATCH(D2548,'rates'!$A$2:$A$522,1),MATCH(F2548&amp;"/INR",'rates'!$B$1:$C$1,0)))</f>
        <v>1</v>
      </c>
      <c r="N2548">
        <f t="shared" si="208"/>
        <v>10707334</v>
      </c>
      <c r="O2548">
        <f t="shared" si="209"/>
        <v>0</v>
      </c>
      <c r="P2548">
        <f t="shared" si="210"/>
        <v>0</v>
      </c>
      <c r="Q2548">
        <f t="shared" si="213"/>
        <v>5</v>
      </c>
      <c r="R2548" t="str">
        <f t="shared" si="211"/>
        <v>Not open</v>
      </c>
    </row>
    <row r="2549" spans="1:18" x14ac:dyDescent="0.3">
      <c r="A2549" t="s">
        <v>2825</v>
      </c>
      <c r="B2549" t="s">
        <v>236</v>
      </c>
      <c r="C2549" t="s">
        <v>566</v>
      </c>
      <c r="D2549" s="1">
        <v>45642</v>
      </c>
      <c r="E2549" s="1">
        <v>45732</v>
      </c>
      <c r="F2549" t="s">
        <v>13</v>
      </c>
      <c r="G2549">
        <v>26822820</v>
      </c>
      <c r="H2549" s="1">
        <v>45735</v>
      </c>
      <c r="I2549" t="s">
        <v>555</v>
      </c>
      <c r="J2549" t="s">
        <v>556</v>
      </c>
      <c r="L2549">
        <v>26822820</v>
      </c>
      <c r="M2549">
        <f>IF(F2549="INR",1,INDEX('rates'!$B$2:$C$522,MATCH(D2549,'rates'!$A$2:$A$522,1),MATCH(F2549&amp;"/INR",'rates'!$B$1:$C$1,0)))</f>
        <v>1</v>
      </c>
      <c r="N2549">
        <f t="shared" si="208"/>
        <v>26822820</v>
      </c>
      <c r="O2549">
        <f t="shared" si="209"/>
        <v>0</v>
      </c>
      <c r="P2549">
        <f t="shared" si="210"/>
        <v>0</v>
      </c>
      <c r="Q2549">
        <f t="shared" si="213"/>
        <v>3</v>
      </c>
      <c r="R2549" t="str">
        <f t="shared" si="211"/>
        <v>Not open</v>
      </c>
    </row>
    <row r="2550" spans="1:18" x14ac:dyDescent="0.3">
      <c r="A2550" t="s">
        <v>2827</v>
      </c>
      <c r="B2550" t="s">
        <v>306</v>
      </c>
      <c r="C2550" t="s">
        <v>560</v>
      </c>
      <c r="D2550" s="1">
        <v>45642</v>
      </c>
      <c r="E2550" s="1">
        <v>45732</v>
      </c>
      <c r="F2550" t="s">
        <v>36</v>
      </c>
      <c r="G2550">
        <v>42882.06</v>
      </c>
      <c r="H2550" s="1">
        <v>45747</v>
      </c>
      <c r="I2550" t="s">
        <v>555</v>
      </c>
      <c r="J2550" t="s">
        <v>556</v>
      </c>
      <c r="L2550">
        <v>42882.06</v>
      </c>
      <c r="M2550">
        <f>IF(F2550="INR",1,INDEX('rates'!$B$2:$C$522,MATCH(D2550,'rates'!$A$2:$A$522,1),MATCH(F2550&amp;"/INR",'rates'!$B$1:$C$1,0)))</f>
        <v>84.89</v>
      </c>
      <c r="N2550">
        <f t="shared" si="208"/>
        <v>3640258.0733999996</v>
      </c>
      <c r="O2550">
        <f t="shared" si="209"/>
        <v>0</v>
      </c>
      <c r="P2550">
        <f t="shared" si="210"/>
        <v>0</v>
      </c>
      <c r="Q2550">
        <f t="shared" si="213"/>
        <v>15</v>
      </c>
      <c r="R2550" t="str">
        <f t="shared" si="211"/>
        <v>Not open</v>
      </c>
    </row>
    <row r="2551" spans="1:18" x14ac:dyDescent="0.3">
      <c r="A2551" t="s">
        <v>2828</v>
      </c>
      <c r="B2551" t="s">
        <v>156</v>
      </c>
      <c r="C2551" t="s">
        <v>566</v>
      </c>
      <c r="D2551" s="1">
        <v>45643</v>
      </c>
      <c r="E2551" s="1">
        <v>45673</v>
      </c>
      <c r="F2551" t="s">
        <v>13</v>
      </c>
      <c r="G2551">
        <v>5339304</v>
      </c>
      <c r="H2551" s="1">
        <v>45679</v>
      </c>
      <c r="I2551" t="s">
        <v>555</v>
      </c>
      <c r="J2551" t="s">
        <v>556</v>
      </c>
      <c r="L2551">
        <v>5339304</v>
      </c>
      <c r="M2551">
        <f>IF(F2551="INR",1,INDEX('rates'!$B$2:$C$522,MATCH(D2551,'rates'!$A$2:$A$522,1),MATCH(F2551&amp;"/INR",'rates'!$B$1:$C$1,0)))</f>
        <v>1</v>
      </c>
      <c r="N2551">
        <f t="shared" si="208"/>
        <v>5339304</v>
      </c>
      <c r="O2551">
        <f t="shared" si="209"/>
        <v>0</v>
      </c>
      <c r="P2551">
        <f t="shared" si="210"/>
        <v>0</v>
      </c>
      <c r="Q2551">
        <f t="shared" si="213"/>
        <v>6</v>
      </c>
      <c r="R2551" t="str">
        <f t="shared" si="211"/>
        <v>Not open</v>
      </c>
    </row>
    <row r="2552" spans="1:18" x14ac:dyDescent="0.3">
      <c r="A2552" t="s">
        <v>2830</v>
      </c>
      <c r="B2552" t="s">
        <v>390</v>
      </c>
      <c r="C2552" t="s">
        <v>554</v>
      </c>
      <c r="D2552" s="1">
        <v>45643</v>
      </c>
      <c r="E2552" s="1">
        <v>45703</v>
      </c>
      <c r="F2552" t="s">
        <v>13</v>
      </c>
      <c r="G2552">
        <v>1697706</v>
      </c>
      <c r="H2552" s="1">
        <v>45727</v>
      </c>
      <c r="I2552" t="s">
        <v>555</v>
      </c>
      <c r="J2552" t="s">
        <v>556</v>
      </c>
      <c r="L2552">
        <v>1697706</v>
      </c>
      <c r="M2552">
        <f>IF(F2552="INR",1,INDEX('rates'!$B$2:$C$522,MATCH(D2552,'rates'!$A$2:$A$522,1),MATCH(F2552&amp;"/INR",'rates'!$B$1:$C$1,0)))</f>
        <v>1</v>
      </c>
      <c r="N2552">
        <f t="shared" si="208"/>
        <v>1697706</v>
      </c>
      <c r="O2552">
        <f t="shared" si="209"/>
        <v>0</v>
      </c>
      <c r="P2552">
        <f t="shared" si="210"/>
        <v>0</v>
      </c>
      <c r="Q2552">
        <f t="shared" si="213"/>
        <v>24</v>
      </c>
      <c r="R2552" t="str">
        <f t="shared" si="211"/>
        <v>Not open</v>
      </c>
    </row>
    <row r="2553" spans="1:18" x14ac:dyDescent="0.3">
      <c r="A2553" t="s">
        <v>2831</v>
      </c>
      <c r="B2553" t="s">
        <v>484</v>
      </c>
      <c r="C2553" t="s">
        <v>560</v>
      </c>
      <c r="D2553" s="1">
        <v>45643</v>
      </c>
      <c r="E2553" s="1">
        <v>45703</v>
      </c>
      <c r="F2553" t="s">
        <v>31</v>
      </c>
      <c r="G2553">
        <v>39397.42</v>
      </c>
      <c r="H2553" s="1">
        <v>45729</v>
      </c>
      <c r="I2553" t="s">
        <v>555</v>
      </c>
      <c r="J2553" t="s">
        <v>556</v>
      </c>
      <c r="L2553">
        <v>39397.42</v>
      </c>
      <c r="M2553">
        <f>IF(F2553="INR",1,INDEX('rates'!$B$2:$C$522,MATCH(D2553,'rates'!$A$2:$A$522,1),MATCH(F2553&amp;"/INR",'rates'!$B$1:$C$1,0)))</f>
        <v>89.206400000000002</v>
      </c>
      <c r="N2553">
        <f t="shared" si="208"/>
        <v>3514502.0074879997</v>
      </c>
      <c r="O2553">
        <f t="shared" si="209"/>
        <v>0</v>
      </c>
      <c r="P2553">
        <f t="shared" si="210"/>
        <v>0</v>
      </c>
      <c r="Q2553">
        <f t="shared" si="213"/>
        <v>26</v>
      </c>
      <c r="R2553" t="str">
        <f t="shared" si="211"/>
        <v>Not open</v>
      </c>
    </row>
    <row r="2554" spans="1:18" x14ac:dyDescent="0.3">
      <c r="A2554" t="s">
        <v>2832</v>
      </c>
      <c r="B2554" t="s">
        <v>49</v>
      </c>
      <c r="C2554" t="s">
        <v>554</v>
      </c>
      <c r="D2554" s="1">
        <v>45644</v>
      </c>
      <c r="E2554" s="1">
        <v>45689</v>
      </c>
      <c r="F2554" t="s">
        <v>13</v>
      </c>
      <c r="G2554">
        <v>10109818</v>
      </c>
      <c r="H2554" s="1">
        <v>45729</v>
      </c>
      <c r="I2554" t="s">
        <v>555</v>
      </c>
      <c r="J2554" t="s">
        <v>556</v>
      </c>
      <c r="L2554">
        <v>10109818</v>
      </c>
      <c r="M2554">
        <f>IF(F2554="INR",1,INDEX('rates'!$B$2:$C$522,MATCH(D2554,'rates'!$A$2:$A$522,1),MATCH(F2554&amp;"/INR",'rates'!$B$1:$C$1,0)))</f>
        <v>1</v>
      </c>
      <c r="N2554">
        <f t="shared" si="208"/>
        <v>10109818</v>
      </c>
      <c r="O2554">
        <f t="shared" si="209"/>
        <v>0</v>
      </c>
      <c r="P2554">
        <f t="shared" si="210"/>
        <v>0</v>
      </c>
      <c r="Q2554">
        <f t="shared" si="213"/>
        <v>40</v>
      </c>
      <c r="R2554" t="str">
        <f t="shared" si="211"/>
        <v>Not open</v>
      </c>
    </row>
    <row r="2555" spans="1:18" x14ac:dyDescent="0.3">
      <c r="A2555" t="s">
        <v>2833</v>
      </c>
      <c r="B2555" t="s">
        <v>154</v>
      </c>
      <c r="C2555" t="s">
        <v>566</v>
      </c>
      <c r="D2555" s="1">
        <v>45644</v>
      </c>
      <c r="E2555" s="1">
        <v>45674</v>
      </c>
      <c r="F2555" t="s">
        <v>13</v>
      </c>
      <c r="G2555">
        <v>2331984</v>
      </c>
      <c r="H2555" s="1">
        <v>45667</v>
      </c>
      <c r="I2555" t="s">
        <v>555</v>
      </c>
      <c r="J2555" t="s">
        <v>556</v>
      </c>
      <c r="L2555">
        <v>2331984</v>
      </c>
      <c r="M2555">
        <f>IF(F2555="INR",1,INDEX('rates'!$B$2:$C$522,MATCH(D2555,'rates'!$A$2:$A$522,1),MATCH(F2555&amp;"/INR",'rates'!$B$1:$C$1,0)))</f>
        <v>1</v>
      </c>
      <c r="N2555">
        <f t="shared" si="208"/>
        <v>2331984</v>
      </c>
      <c r="O2555">
        <f t="shared" si="209"/>
        <v>0</v>
      </c>
      <c r="P2555">
        <f t="shared" si="210"/>
        <v>0</v>
      </c>
      <c r="Q2555">
        <f t="shared" si="213"/>
        <v>-7</v>
      </c>
      <c r="R2555" t="str">
        <f t="shared" si="211"/>
        <v>Not open</v>
      </c>
    </row>
    <row r="2556" spans="1:18" x14ac:dyDescent="0.3">
      <c r="A2556" t="s">
        <v>2834</v>
      </c>
      <c r="B2556" t="s">
        <v>200</v>
      </c>
      <c r="C2556" t="s">
        <v>575</v>
      </c>
      <c r="D2556" s="1">
        <v>45644</v>
      </c>
      <c r="E2556" s="1">
        <v>45704</v>
      </c>
      <c r="F2556" t="s">
        <v>13</v>
      </c>
      <c r="G2556">
        <v>8750073</v>
      </c>
      <c r="H2556" s="1">
        <v>45705</v>
      </c>
      <c r="I2556" t="s">
        <v>555</v>
      </c>
      <c r="J2556" t="s">
        <v>556</v>
      </c>
      <c r="L2556">
        <v>8750073</v>
      </c>
      <c r="M2556">
        <f>IF(F2556="INR",1,INDEX('rates'!$B$2:$C$522,MATCH(D2556,'rates'!$A$2:$A$522,1),MATCH(F2556&amp;"/INR",'rates'!$B$1:$C$1,0)))</f>
        <v>1</v>
      </c>
      <c r="N2556">
        <f t="shared" si="208"/>
        <v>8750073</v>
      </c>
      <c r="O2556">
        <f t="shared" si="209"/>
        <v>0</v>
      </c>
      <c r="P2556">
        <f t="shared" si="210"/>
        <v>0</v>
      </c>
      <c r="Q2556">
        <f t="shared" si="213"/>
        <v>1</v>
      </c>
      <c r="R2556" t="str">
        <f t="shared" si="211"/>
        <v>Not open</v>
      </c>
    </row>
    <row r="2557" spans="1:18" x14ac:dyDescent="0.3">
      <c r="A2557" t="s">
        <v>2837</v>
      </c>
      <c r="B2557" t="s">
        <v>436</v>
      </c>
      <c r="C2557" t="s">
        <v>566</v>
      </c>
      <c r="D2557" s="1">
        <v>45644</v>
      </c>
      <c r="E2557" s="1">
        <v>45689</v>
      </c>
      <c r="F2557" t="s">
        <v>36</v>
      </c>
      <c r="G2557">
        <v>319540.68</v>
      </c>
      <c r="H2557" s="1"/>
      <c r="I2557" t="s">
        <v>555</v>
      </c>
      <c r="J2557" t="s">
        <v>556</v>
      </c>
      <c r="L2557">
        <v>319540.68</v>
      </c>
      <c r="M2557">
        <f>IF(F2557="INR",1,INDEX('rates'!$B$2:$C$522,MATCH(D2557,'rates'!$A$2:$A$522,1),MATCH(F2557&amp;"/INR",'rates'!$B$1:$C$1,0)))</f>
        <v>84.95</v>
      </c>
      <c r="N2557">
        <f t="shared" si="208"/>
        <v>27144980.765999999</v>
      </c>
      <c r="O2557">
        <f t="shared" si="209"/>
        <v>0</v>
      </c>
      <c r="P2557">
        <f t="shared" si="210"/>
        <v>0</v>
      </c>
      <c r="R2557" t="str">
        <f t="shared" si="211"/>
        <v>Not open</v>
      </c>
    </row>
    <row r="2558" spans="1:18" x14ac:dyDescent="0.3">
      <c r="A2558" t="s">
        <v>2838</v>
      </c>
      <c r="B2558" t="s">
        <v>49</v>
      </c>
      <c r="C2558" t="s">
        <v>554</v>
      </c>
      <c r="D2558" s="1">
        <v>45645</v>
      </c>
      <c r="E2558" s="1">
        <v>45690</v>
      </c>
      <c r="F2558" t="s">
        <v>13</v>
      </c>
      <c r="G2558">
        <v>4341289</v>
      </c>
      <c r="H2558" s="1">
        <v>45711</v>
      </c>
      <c r="I2558" t="s">
        <v>555</v>
      </c>
      <c r="J2558" t="s">
        <v>556</v>
      </c>
      <c r="L2558">
        <v>4341289</v>
      </c>
      <c r="M2558">
        <f>IF(F2558="INR",1,INDEX('rates'!$B$2:$C$522,MATCH(D2558,'rates'!$A$2:$A$522,1),MATCH(F2558&amp;"/INR",'rates'!$B$1:$C$1,0)))</f>
        <v>1</v>
      </c>
      <c r="N2558">
        <f t="shared" si="208"/>
        <v>4341289</v>
      </c>
      <c r="O2558">
        <f t="shared" si="209"/>
        <v>0</v>
      </c>
      <c r="P2558">
        <f t="shared" si="210"/>
        <v>0</v>
      </c>
      <c r="Q2558">
        <f t="shared" ref="Q2558:Q2589" si="214">IF(H2558="","",H2558-E2558)</f>
        <v>21</v>
      </c>
      <c r="R2558" t="str">
        <f t="shared" si="211"/>
        <v>Not open</v>
      </c>
    </row>
    <row r="2559" spans="1:18" x14ac:dyDescent="0.3">
      <c r="A2559" t="s">
        <v>2839</v>
      </c>
      <c r="B2559" t="s">
        <v>202</v>
      </c>
      <c r="C2559" t="s">
        <v>554</v>
      </c>
      <c r="D2559" s="1">
        <v>45645</v>
      </c>
      <c r="E2559" s="1">
        <v>45675</v>
      </c>
      <c r="F2559" t="s">
        <v>13</v>
      </c>
      <c r="G2559">
        <v>3150909</v>
      </c>
      <c r="H2559" s="1">
        <v>45715</v>
      </c>
      <c r="I2559" t="s">
        <v>555</v>
      </c>
      <c r="J2559" t="s">
        <v>556</v>
      </c>
      <c r="L2559">
        <v>3150909</v>
      </c>
      <c r="M2559">
        <f>IF(F2559="INR",1,INDEX('rates'!$B$2:$C$522,MATCH(D2559,'rates'!$A$2:$A$522,1),MATCH(F2559&amp;"/INR",'rates'!$B$1:$C$1,0)))</f>
        <v>1</v>
      </c>
      <c r="N2559">
        <f t="shared" si="208"/>
        <v>3150909</v>
      </c>
      <c r="O2559">
        <f t="shared" si="209"/>
        <v>0</v>
      </c>
      <c r="P2559">
        <f t="shared" si="210"/>
        <v>0</v>
      </c>
      <c r="Q2559">
        <f t="shared" si="214"/>
        <v>40</v>
      </c>
      <c r="R2559" t="str">
        <f t="shared" si="211"/>
        <v>Not open</v>
      </c>
    </row>
    <row r="2560" spans="1:18" x14ac:dyDescent="0.3">
      <c r="A2560" t="s">
        <v>2840</v>
      </c>
      <c r="B2560" t="s">
        <v>476</v>
      </c>
      <c r="C2560" t="s">
        <v>566</v>
      </c>
      <c r="D2560" s="1">
        <v>45645</v>
      </c>
      <c r="E2560" s="1">
        <v>45690</v>
      </c>
      <c r="F2560" t="s">
        <v>13</v>
      </c>
      <c r="G2560">
        <v>7699673</v>
      </c>
      <c r="H2560" s="1">
        <v>45702</v>
      </c>
      <c r="I2560" t="s">
        <v>555</v>
      </c>
      <c r="J2560" t="s">
        <v>556</v>
      </c>
      <c r="L2560">
        <v>7699673</v>
      </c>
      <c r="M2560">
        <f>IF(F2560="INR",1,INDEX('rates'!$B$2:$C$522,MATCH(D2560,'rates'!$A$2:$A$522,1),MATCH(F2560&amp;"/INR",'rates'!$B$1:$C$1,0)))</f>
        <v>1</v>
      </c>
      <c r="N2560">
        <f t="shared" si="208"/>
        <v>7699673</v>
      </c>
      <c r="O2560">
        <f t="shared" si="209"/>
        <v>0</v>
      </c>
      <c r="P2560">
        <f t="shared" si="210"/>
        <v>0</v>
      </c>
      <c r="Q2560">
        <f t="shared" si="214"/>
        <v>12</v>
      </c>
      <c r="R2560" t="str">
        <f t="shared" si="211"/>
        <v>Not open</v>
      </c>
    </row>
    <row r="2561" spans="1:18" x14ac:dyDescent="0.3">
      <c r="A2561" t="s">
        <v>2841</v>
      </c>
      <c r="B2561" t="s">
        <v>65</v>
      </c>
      <c r="C2561" t="s">
        <v>558</v>
      </c>
      <c r="D2561" s="1">
        <v>45646</v>
      </c>
      <c r="E2561" s="1">
        <v>45676</v>
      </c>
      <c r="F2561" t="s">
        <v>13</v>
      </c>
      <c r="G2561">
        <v>2213435</v>
      </c>
      <c r="H2561" s="1">
        <v>45688</v>
      </c>
      <c r="I2561" t="s">
        <v>555</v>
      </c>
      <c r="J2561" t="s">
        <v>556</v>
      </c>
      <c r="L2561">
        <v>2213435</v>
      </c>
      <c r="M2561">
        <f>IF(F2561="INR",1,INDEX('rates'!$B$2:$C$522,MATCH(D2561,'rates'!$A$2:$A$522,1),MATCH(F2561&amp;"/INR",'rates'!$B$1:$C$1,0)))</f>
        <v>1</v>
      </c>
      <c r="N2561">
        <f t="shared" si="208"/>
        <v>2213435</v>
      </c>
      <c r="O2561">
        <f t="shared" si="209"/>
        <v>0</v>
      </c>
      <c r="P2561">
        <f t="shared" si="210"/>
        <v>0</v>
      </c>
      <c r="Q2561">
        <f t="shared" si="214"/>
        <v>12</v>
      </c>
      <c r="R2561" t="str">
        <f t="shared" si="211"/>
        <v>Not open</v>
      </c>
    </row>
    <row r="2562" spans="1:18" x14ac:dyDescent="0.3">
      <c r="A2562" t="s">
        <v>2842</v>
      </c>
      <c r="B2562" t="s">
        <v>144</v>
      </c>
      <c r="C2562" t="s">
        <v>554</v>
      </c>
      <c r="D2562" s="1">
        <v>45646</v>
      </c>
      <c r="E2562" s="1">
        <v>45676</v>
      </c>
      <c r="F2562" t="s">
        <v>13</v>
      </c>
      <c r="G2562">
        <v>8136474</v>
      </c>
      <c r="H2562" s="1">
        <v>45690</v>
      </c>
      <c r="I2562" t="s">
        <v>555</v>
      </c>
      <c r="J2562" t="s">
        <v>556</v>
      </c>
      <c r="L2562">
        <v>8136474</v>
      </c>
      <c r="M2562">
        <f>IF(F2562="INR",1,INDEX('rates'!$B$2:$C$522,MATCH(D2562,'rates'!$A$2:$A$522,1),MATCH(F2562&amp;"/INR",'rates'!$B$1:$C$1,0)))</f>
        <v>1</v>
      </c>
      <c r="N2562">
        <f t="shared" ref="N2562:N2625" si="215">G2562*M2562</f>
        <v>8136474</v>
      </c>
      <c r="O2562">
        <f t="shared" ref="O2562:O2625" si="216">IF(OR(I2562="OPEN",I2562="PARTIALLY PAID"),(G2562-L2562)*M2562,0)</f>
        <v>0</v>
      </c>
      <c r="P2562">
        <f t="shared" ref="P2562:P2625" si="217">IF(O2562&gt;0,MAX(0,DATE(2025,3,31)-E2562),0)</f>
        <v>0</v>
      </c>
      <c r="Q2562">
        <f t="shared" si="214"/>
        <v>14</v>
      </c>
      <c r="R2562" t="str">
        <f t="shared" ref="R2562:R2625" si="218">IF(O2562=0,"Not open",IF(P2562=0,"Not yet due",IF(P2562&lt;=30,"1-30",IF(P2562&lt;=60,"31-60",IF(P2562&lt;=90,"61-90","90+")))))</f>
        <v>Not open</v>
      </c>
    </row>
    <row r="2563" spans="1:18" x14ac:dyDescent="0.3">
      <c r="A2563" t="s">
        <v>2843</v>
      </c>
      <c r="B2563" t="s">
        <v>150</v>
      </c>
      <c r="C2563" t="s">
        <v>558</v>
      </c>
      <c r="D2563" s="1">
        <v>45646</v>
      </c>
      <c r="E2563" s="1">
        <v>45691</v>
      </c>
      <c r="F2563" t="s">
        <v>13</v>
      </c>
      <c r="G2563">
        <v>5577138</v>
      </c>
      <c r="H2563" s="1">
        <v>45690</v>
      </c>
      <c r="I2563" t="s">
        <v>555</v>
      </c>
      <c r="J2563" t="s">
        <v>556</v>
      </c>
      <c r="L2563">
        <v>5577138</v>
      </c>
      <c r="M2563">
        <f>IF(F2563="INR",1,INDEX('rates'!$B$2:$C$522,MATCH(D2563,'rates'!$A$2:$A$522,1),MATCH(F2563&amp;"/INR",'rates'!$B$1:$C$1,0)))</f>
        <v>1</v>
      </c>
      <c r="N2563">
        <f t="shared" si="215"/>
        <v>5577138</v>
      </c>
      <c r="O2563">
        <f t="shared" si="216"/>
        <v>0</v>
      </c>
      <c r="P2563">
        <f t="shared" si="217"/>
        <v>0</v>
      </c>
      <c r="Q2563">
        <f t="shared" si="214"/>
        <v>-1</v>
      </c>
      <c r="R2563" t="str">
        <f t="shared" si="218"/>
        <v>Not open</v>
      </c>
    </row>
    <row r="2564" spans="1:18" x14ac:dyDescent="0.3">
      <c r="A2564" t="s">
        <v>2844</v>
      </c>
      <c r="B2564" t="s">
        <v>172</v>
      </c>
      <c r="C2564" t="s">
        <v>566</v>
      </c>
      <c r="D2564" s="1">
        <v>45646</v>
      </c>
      <c r="E2564" s="1">
        <v>45676</v>
      </c>
      <c r="F2564" t="s">
        <v>13</v>
      </c>
      <c r="G2564">
        <v>7047314</v>
      </c>
      <c r="H2564" s="1">
        <v>45679</v>
      </c>
      <c r="I2564" t="s">
        <v>555</v>
      </c>
      <c r="J2564" t="s">
        <v>556</v>
      </c>
      <c r="L2564">
        <v>7047314</v>
      </c>
      <c r="M2564">
        <f>IF(F2564="INR",1,INDEX('rates'!$B$2:$C$522,MATCH(D2564,'rates'!$A$2:$A$522,1),MATCH(F2564&amp;"/INR",'rates'!$B$1:$C$1,0)))</f>
        <v>1</v>
      </c>
      <c r="N2564">
        <f t="shared" si="215"/>
        <v>7047314</v>
      </c>
      <c r="O2564">
        <f t="shared" si="216"/>
        <v>0</v>
      </c>
      <c r="P2564">
        <f t="shared" si="217"/>
        <v>0</v>
      </c>
      <c r="Q2564">
        <f t="shared" si="214"/>
        <v>3</v>
      </c>
      <c r="R2564" t="str">
        <f t="shared" si="218"/>
        <v>Not open</v>
      </c>
    </row>
    <row r="2565" spans="1:18" x14ac:dyDescent="0.3">
      <c r="A2565" t="s">
        <v>2845</v>
      </c>
      <c r="B2565" t="s">
        <v>186</v>
      </c>
      <c r="C2565" t="s">
        <v>558</v>
      </c>
      <c r="D2565" s="1">
        <v>45646</v>
      </c>
      <c r="E2565" s="1">
        <v>45676</v>
      </c>
      <c r="F2565" t="s">
        <v>36</v>
      </c>
      <c r="G2565">
        <v>58831.44</v>
      </c>
      <c r="H2565" s="1">
        <v>45702</v>
      </c>
      <c r="I2565" t="s">
        <v>555</v>
      </c>
      <c r="J2565" t="s">
        <v>573</v>
      </c>
      <c r="K2565">
        <v>85.161699999999996</v>
      </c>
      <c r="L2565">
        <v>58831.44</v>
      </c>
      <c r="M2565">
        <f>IF(F2565="INR",1,INDEX('rates'!$B$2:$C$522,MATCH(D2565,'rates'!$A$2:$A$522,1),MATCH(F2565&amp;"/INR",'rates'!$B$1:$C$1,0)))</f>
        <v>85.02</v>
      </c>
      <c r="N2565">
        <f t="shared" si="215"/>
        <v>5001849.0287999995</v>
      </c>
      <c r="O2565">
        <f t="shared" si="216"/>
        <v>0</v>
      </c>
      <c r="P2565">
        <f t="shared" si="217"/>
        <v>0</v>
      </c>
      <c r="Q2565">
        <f t="shared" si="214"/>
        <v>26</v>
      </c>
      <c r="R2565" t="str">
        <f t="shared" si="218"/>
        <v>Not open</v>
      </c>
    </row>
    <row r="2566" spans="1:18" x14ac:dyDescent="0.3">
      <c r="A2566" t="s">
        <v>2846</v>
      </c>
      <c r="B2566" t="s">
        <v>278</v>
      </c>
      <c r="C2566" t="s">
        <v>566</v>
      </c>
      <c r="D2566" s="1">
        <v>45646</v>
      </c>
      <c r="E2566" s="1">
        <v>45706</v>
      </c>
      <c r="F2566" t="s">
        <v>13</v>
      </c>
      <c r="G2566">
        <v>2228795</v>
      </c>
      <c r="H2566" s="1">
        <v>45709</v>
      </c>
      <c r="I2566" t="s">
        <v>555</v>
      </c>
      <c r="J2566" t="s">
        <v>556</v>
      </c>
      <c r="L2566">
        <v>2228795</v>
      </c>
      <c r="M2566">
        <f>IF(F2566="INR",1,INDEX('rates'!$B$2:$C$522,MATCH(D2566,'rates'!$A$2:$A$522,1),MATCH(F2566&amp;"/INR",'rates'!$B$1:$C$1,0)))</f>
        <v>1</v>
      </c>
      <c r="N2566">
        <f t="shared" si="215"/>
        <v>2228795</v>
      </c>
      <c r="O2566">
        <f t="shared" si="216"/>
        <v>0</v>
      </c>
      <c r="P2566">
        <f t="shared" si="217"/>
        <v>0</v>
      </c>
      <c r="Q2566">
        <f t="shared" si="214"/>
        <v>3</v>
      </c>
      <c r="R2566" t="str">
        <f t="shared" si="218"/>
        <v>Not open</v>
      </c>
    </row>
    <row r="2567" spans="1:18" x14ac:dyDescent="0.3">
      <c r="A2567" t="s">
        <v>2847</v>
      </c>
      <c r="B2567" t="s">
        <v>290</v>
      </c>
      <c r="C2567" t="s">
        <v>566</v>
      </c>
      <c r="D2567" s="1">
        <v>45646</v>
      </c>
      <c r="E2567" s="1">
        <v>45691</v>
      </c>
      <c r="F2567" t="s">
        <v>13</v>
      </c>
      <c r="G2567">
        <v>19214577</v>
      </c>
      <c r="H2567" s="1">
        <v>45696</v>
      </c>
      <c r="I2567" t="s">
        <v>555</v>
      </c>
      <c r="J2567" t="s">
        <v>556</v>
      </c>
      <c r="L2567">
        <v>19214577</v>
      </c>
      <c r="M2567">
        <f>IF(F2567="INR",1,INDEX('rates'!$B$2:$C$522,MATCH(D2567,'rates'!$A$2:$A$522,1),MATCH(F2567&amp;"/INR",'rates'!$B$1:$C$1,0)))</f>
        <v>1</v>
      </c>
      <c r="N2567">
        <f t="shared" si="215"/>
        <v>19214577</v>
      </c>
      <c r="O2567">
        <f t="shared" si="216"/>
        <v>0</v>
      </c>
      <c r="P2567">
        <f t="shared" si="217"/>
        <v>0</v>
      </c>
      <c r="Q2567">
        <f t="shared" si="214"/>
        <v>5</v>
      </c>
      <c r="R2567" t="str">
        <f t="shared" si="218"/>
        <v>Not open</v>
      </c>
    </row>
    <row r="2568" spans="1:18" x14ac:dyDescent="0.3">
      <c r="A2568" t="s">
        <v>2848</v>
      </c>
      <c r="B2568" t="s">
        <v>310</v>
      </c>
      <c r="C2568" t="s">
        <v>554</v>
      </c>
      <c r="D2568" s="1">
        <v>45646</v>
      </c>
      <c r="E2568" s="1">
        <v>45706</v>
      </c>
      <c r="F2568" t="s">
        <v>31</v>
      </c>
      <c r="G2568">
        <v>96157.71</v>
      </c>
      <c r="H2568" s="1">
        <v>45719</v>
      </c>
      <c r="I2568" t="s">
        <v>555</v>
      </c>
      <c r="J2568" t="s">
        <v>573</v>
      </c>
      <c r="K2568">
        <v>88.853300000000004</v>
      </c>
      <c r="L2568">
        <v>96157.71</v>
      </c>
      <c r="M2568">
        <f>IF(F2568="INR",1,INDEX('rates'!$B$2:$C$522,MATCH(D2568,'rates'!$A$2:$A$522,1),MATCH(F2568&amp;"/INR",'rates'!$B$1:$C$1,0)))</f>
        <v>88.675899999999999</v>
      </c>
      <c r="N2568">
        <f t="shared" si="215"/>
        <v>8526871.4761890005</v>
      </c>
      <c r="O2568">
        <f t="shared" si="216"/>
        <v>0</v>
      </c>
      <c r="P2568">
        <f t="shared" si="217"/>
        <v>0</v>
      </c>
      <c r="Q2568">
        <f t="shared" si="214"/>
        <v>13</v>
      </c>
      <c r="R2568" t="str">
        <f t="shared" si="218"/>
        <v>Not open</v>
      </c>
    </row>
    <row r="2569" spans="1:18" x14ac:dyDescent="0.3">
      <c r="A2569" t="s">
        <v>2849</v>
      </c>
      <c r="B2569" t="s">
        <v>342</v>
      </c>
      <c r="C2569" t="s">
        <v>560</v>
      </c>
      <c r="D2569" s="1">
        <v>45646</v>
      </c>
      <c r="E2569" s="1">
        <v>45676</v>
      </c>
      <c r="F2569" t="s">
        <v>13</v>
      </c>
      <c r="G2569">
        <v>9359660</v>
      </c>
      <c r="H2569" s="1">
        <v>45686</v>
      </c>
      <c r="I2569" t="s">
        <v>555</v>
      </c>
      <c r="J2569" t="s">
        <v>556</v>
      </c>
      <c r="L2569">
        <v>9359660</v>
      </c>
      <c r="M2569">
        <f>IF(F2569="INR",1,INDEX('rates'!$B$2:$C$522,MATCH(D2569,'rates'!$A$2:$A$522,1),MATCH(F2569&amp;"/INR",'rates'!$B$1:$C$1,0)))</f>
        <v>1</v>
      </c>
      <c r="N2569">
        <f t="shared" si="215"/>
        <v>9359660</v>
      </c>
      <c r="O2569">
        <f t="shared" si="216"/>
        <v>0</v>
      </c>
      <c r="P2569">
        <f t="shared" si="217"/>
        <v>0</v>
      </c>
      <c r="Q2569">
        <f t="shared" si="214"/>
        <v>10</v>
      </c>
      <c r="R2569" t="str">
        <f t="shared" si="218"/>
        <v>Not open</v>
      </c>
    </row>
    <row r="2570" spans="1:18" x14ac:dyDescent="0.3">
      <c r="A2570" t="s">
        <v>2850</v>
      </c>
      <c r="B2570" t="s">
        <v>536</v>
      </c>
      <c r="C2570" t="s">
        <v>575</v>
      </c>
      <c r="D2570" s="1">
        <v>45646</v>
      </c>
      <c r="E2570" s="1">
        <v>45676</v>
      </c>
      <c r="F2570" t="s">
        <v>36</v>
      </c>
      <c r="G2570">
        <v>115064.08</v>
      </c>
      <c r="H2570" s="1">
        <v>45693</v>
      </c>
      <c r="I2570" t="s">
        <v>555</v>
      </c>
      <c r="J2570" t="s">
        <v>556</v>
      </c>
      <c r="L2570">
        <v>115064.08</v>
      </c>
      <c r="M2570">
        <f>IF(F2570="INR",1,INDEX('rates'!$B$2:$C$522,MATCH(D2570,'rates'!$A$2:$A$522,1),MATCH(F2570&amp;"/INR",'rates'!$B$1:$C$1,0)))</f>
        <v>85.02</v>
      </c>
      <c r="N2570">
        <f t="shared" si="215"/>
        <v>9782748.0815999992</v>
      </c>
      <c r="O2570">
        <f t="shared" si="216"/>
        <v>0</v>
      </c>
      <c r="P2570">
        <f t="shared" si="217"/>
        <v>0</v>
      </c>
      <c r="Q2570">
        <f t="shared" si="214"/>
        <v>17</v>
      </c>
      <c r="R2570" t="str">
        <f t="shared" si="218"/>
        <v>Not open</v>
      </c>
    </row>
    <row r="2571" spans="1:18" x14ac:dyDescent="0.3">
      <c r="A2571" t="s">
        <v>2852</v>
      </c>
      <c r="B2571" t="s">
        <v>206</v>
      </c>
      <c r="C2571" t="s">
        <v>566</v>
      </c>
      <c r="D2571" s="1">
        <v>45647</v>
      </c>
      <c r="E2571" s="1">
        <v>45692</v>
      </c>
      <c r="F2571" t="s">
        <v>13</v>
      </c>
      <c r="G2571">
        <v>6003922</v>
      </c>
      <c r="H2571" s="1">
        <v>45702</v>
      </c>
      <c r="I2571" t="s">
        <v>555</v>
      </c>
      <c r="J2571" t="s">
        <v>556</v>
      </c>
      <c r="L2571">
        <v>6003922</v>
      </c>
      <c r="M2571">
        <f>IF(F2571="INR",1,INDEX('rates'!$B$2:$C$522,MATCH(D2571,'rates'!$A$2:$A$522,1),MATCH(F2571&amp;"/INR",'rates'!$B$1:$C$1,0)))</f>
        <v>1</v>
      </c>
      <c r="N2571">
        <f t="shared" si="215"/>
        <v>6003922</v>
      </c>
      <c r="O2571">
        <f t="shared" si="216"/>
        <v>0</v>
      </c>
      <c r="P2571">
        <f t="shared" si="217"/>
        <v>0</v>
      </c>
      <c r="Q2571">
        <f t="shared" si="214"/>
        <v>10</v>
      </c>
      <c r="R2571" t="str">
        <f t="shared" si="218"/>
        <v>Not open</v>
      </c>
    </row>
    <row r="2572" spans="1:18" x14ac:dyDescent="0.3">
      <c r="A2572" t="s">
        <v>2853</v>
      </c>
      <c r="B2572" t="s">
        <v>386</v>
      </c>
      <c r="C2572" t="s">
        <v>575</v>
      </c>
      <c r="D2572" s="1">
        <v>45647</v>
      </c>
      <c r="E2572" s="1">
        <v>45707</v>
      </c>
      <c r="F2572" t="s">
        <v>31</v>
      </c>
      <c r="G2572">
        <v>54799.51</v>
      </c>
      <c r="H2572" s="1">
        <v>45729</v>
      </c>
      <c r="I2572" t="s">
        <v>555</v>
      </c>
      <c r="J2572" t="s">
        <v>556</v>
      </c>
      <c r="L2572">
        <v>54799.51</v>
      </c>
      <c r="M2572">
        <f>IF(F2572="INR",1,INDEX('rates'!$B$2:$C$522,MATCH(D2572,'rates'!$A$2:$A$522,1),MATCH(F2572&amp;"/INR",'rates'!$B$1:$C$1,0)))</f>
        <v>88.675899999999999</v>
      </c>
      <c r="N2572">
        <f t="shared" si="215"/>
        <v>4859395.8688089997</v>
      </c>
      <c r="O2572">
        <f t="shared" si="216"/>
        <v>0</v>
      </c>
      <c r="P2572">
        <f t="shared" si="217"/>
        <v>0</v>
      </c>
      <c r="Q2572">
        <f t="shared" si="214"/>
        <v>22</v>
      </c>
      <c r="R2572" t="str">
        <f t="shared" si="218"/>
        <v>Not open</v>
      </c>
    </row>
    <row r="2573" spans="1:18" x14ac:dyDescent="0.3">
      <c r="A2573" t="s">
        <v>2854</v>
      </c>
      <c r="B2573" t="s">
        <v>464</v>
      </c>
      <c r="C2573" t="s">
        <v>560</v>
      </c>
      <c r="D2573" s="1">
        <v>45647</v>
      </c>
      <c r="E2573" s="1">
        <v>45737</v>
      </c>
      <c r="F2573" t="s">
        <v>13</v>
      </c>
      <c r="G2573">
        <v>13064317</v>
      </c>
      <c r="H2573" s="1">
        <v>45732</v>
      </c>
      <c r="I2573" t="s">
        <v>555</v>
      </c>
      <c r="J2573" t="s">
        <v>556</v>
      </c>
      <c r="L2573">
        <v>13064317</v>
      </c>
      <c r="M2573">
        <f>IF(F2573="INR",1,INDEX('rates'!$B$2:$C$522,MATCH(D2573,'rates'!$A$2:$A$522,1),MATCH(F2573&amp;"/INR",'rates'!$B$1:$C$1,0)))</f>
        <v>1</v>
      </c>
      <c r="N2573">
        <f t="shared" si="215"/>
        <v>13064317</v>
      </c>
      <c r="O2573">
        <f t="shared" si="216"/>
        <v>0</v>
      </c>
      <c r="P2573">
        <f t="shared" si="217"/>
        <v>0</v>
      </c>
      <c r="Q2573">
        <f t="shared" si="214"/>
        <v>-5</v>
      </c>
      <c r="R2573" t="str">
        <f t="shared" si="218"/>
        <v>Not open</v>
      </c>
    </row>
    <row r="2574" spans="1:18" x14ac:dyDescent="0.3">
      <c r="A2574" t="s">
        <v>2855</v>
      </c>
      <c r="B2574" t="s">
        <v>468</v>
      </c>
      <c r="C2574" t="s">
        <v>554</v>
      </c>
      <c r="D2574" s="1">
        <v>45647</v>
      </c>
      <c r="E2574" s="1">
        <v>45677</v>
      </c>
      <c r="F2574" t="s">
        <v>13</v>
      </c>
      <c r="G2574">
        <v>6608113</v>
      </c>
      <c r="H2574" s="1">
        <v>45675</v>
      </c>
      <c r="I2574" t="s">
        <v>555</v>
      </c>
      <c r="J2574" t="s">
        <v>556</v>
      </c>
      <c r="L2574">
        <v>6608113</v>
      </c>
      <c r="M2574">
        <f>IF(F2574="INR",1,INDEX('rates'!$B$2:$C$522,MATCH(D2574,'rates'!$A$2:$A$522,1),MATCH(F2574&amp;"/INR",'rates'!$B$1:$C$1,0)))</f>
        <v>1</v>
      </c>
      <c r="N2574">
        <f t="shared" si="215"/>
        <v>6608113</v>
      </c>
      <c r="O2574">
        <f t="shared" si="216"/>
        <v>0</v>
      </c>
      <c r="P2574">
        <f t="shared" si="217"/>
        <v>0</v>
      </c>
      <c r="Q2574">
        <f t="shared" si="214"/>
        <v>-2</v>
      </c>
      <c r="R2574" t="str">
        <f t="shared" si="218"/>
        <v>Not open</v>
      </c>
    </row>
    <row r="2575" spans="1:18" x14ac:dyDescent="0.3">
      <c r="A2575" t="s">
        <v>2856</v>
      </c>
      <c r="B2575" t="s">
        <v>482</v>
      </c>
      <c r="C2575" t="s">
        <v>558</v>
      </c>
      <c r="D2575" s="1">
        <v>45647</v>
      </c>
      <c r="E2575" s="1">
        <v>45707</v>
      </c>
      <c r="F2575" t="s">
        <v>13</v>
      </c>
      <c r="G2575">
        <v>10182609</v>
      </c>
      <c r="H2575" s="1">
        <v>45724</v>
      </c>
      <c r="I2575" t="s">
        <v>555</v>
      </c>
      <c r="J2575" t="s">
        <v>556</v>
      </c>
      <c r="L2575">
        <v>10182609</v>
      </c>
      <c r="M2575">
        <f>IF(F2575="INR",1,INDEX('rates'!$B$2:$C$522,MATCH(D2575,'rates'!$A$2:$A$522,1),MATCH(F2575&amp;"/INR",'rates'!$B$1:$C$1,0)))</f>
        <v>1</v>
      </c>
      <c r="N2575">
        <f t="shared" si="215"/>
        <v>10182609</v>
      </c>
      <c r="O2575">
        <f t="shared" si="216"/>
        <v>0</v>
      </c>
      <c r="P2575">
        <f t="shared" si="217"/>
        <v>0</v>
      </c>
      <c r="Q2575">
        <f t="shared" si="214"/>
        <v>17</v>
      </c>
      <c r="R2575" t="str">
        <f t="shared" si="218"/>
        <v>Not open</v>
      </c>
    </row>
    <row r="2576" spans="1:18" x14ac:dyDescent="0.3">
      <c r="A2576" t="s">
        <v>2857</v>
      </c>
      <c r="B2576" t="s">
        <v>496</v>
      </c>
      <c r="C2576" t="s">
        <v>554</v>
      </c>
      <c r="D2576" s="1">
        <v>45647</v>
      </c>
      <c r="E2576" s="1">
        <v>45692</v>
      </c>
      <c r="F2576" t="s">
        <v>13</v>
      </c>
      <c r="G2576">
        <v>6334457</v>
      </c>
      <c r="H2576" s="1">
        <v>45705</v>
      </c>
      <c r="I2576" t="s">
        <v>555</v>
      </c>
      <c r="J2576" t="s">
        <v>556</v>
      </c>
      <c r="L2576">
        <v>6334457</v>
      </c>
      <c r="M2576">
        <f>IF(F2576="INR",1,INDEX('rates'!$B$2:$C$522,MATCH(D2576,'rates'!$A$2:$A$522,1),MATCH(F2576&amp;"/INR",'rates'!$B$1:$C$1,0)))</f>
        <v>1</v>
      </c>
      <c r="N2576">
        <f t="shared" si="215"/>
        <v>6334457</v>
      </c>
      <c r="O2576">
        <f t="shared" si="216"/>
        <v>0</v>
      </c>
      <c r="P2576">
        <f t="shared" si="217"/>
        <v>0</v>
      </c>
      <c r="Q2576">
        <f t="shared" si="214"/>
        <v>13</v>
      </c>
      <c r="R2576" t="str">
        <f t="shared" si="218"/>
        <v>Not open</v>
      </c>
    </row>
    <row r="2577" spans="1:18" x14ac:dyDescent="0.3">
      <c r="A2577" t="s">
        <v>2858</v>
      </c>
      <c r="B2577" t="s">
        <v>516</v>
      </c>
      <c r="C2577" t="s">
        <v>560</v>
      </c>
      <c r="D2577" s="1">
        <v>45647</v>
      </c>
      <c r="E2577" s="1">
        <v>45707</v>
      </c>
      <c r="F2577" t="s">
        <v>13</v>
      </c>
      <c r="G2577">
        <v>2380883</v>
      </c>
      <c r="H2577" s="1">
        <v>45709</v>
      </c>
      <c r="I2577" t="s">
        <v>555</v>
      </c>
      <c r="J2577" t="s">
        <v>556</v>
      </c>
      <c r="L2577">
        <v>2380883</v>
      </c>
      <c r="M2577">
        <f>IF(F2577="INR",1,INDEX('rates'!$B$2:$C$522,MATCH(D2577,'rates'!$A$2:$A$522,1),MATCH(F2577&amp;"/INR",'rates'!$B$1:$C$1,0)))</f>
        <v>1</v>
      </c>
      <c r="N2577">
        <f t="shared" si="215"/>
        <v>2380883</v>
      </c>
      <c r="O2577">
        <f t="shared" si="216"/>
        <v>0</v>
      </c>
      <c r="P2577">
        <f t="shared" si="217"/>
        <v>0</v>
      </c>
      <c r="Q2577">
        <f t="shared" si="214"/>
        <v>2</v>
      </c>
      <c r="R2577" t="str">
        <f t="shared" si="218"/>
        <v>Not open</v>
      </c>
    </row>
    <row r="2578" spans="1:18" x14ac:dyDescent="0.3">
      <c r="A2578" t="s">
        <v>2859</v>
      </c>
      <c r="B2578" t="s">
        <v>138</v>
      </c>
      <c r="C2578" t="s">
        <v>566</v>
      </c>
      <c r="D2578" s="1">
        <v>45649</v>
      </c>
      <c r="E2578" s="1">
        <v>45679</v>
      </c>
      <c r="F2578" t="s">
        <v>13</v>
      </c>
      <c r="G2578">
        <v>7859238</v>
      </c>
      <c r="H2578" s="1">
        <v>45678</v>
      </c>
      <c r="I2578" t="s">
        <v>555</v>
      </c>
      <c r="J2578" t="s">
        <v>556</v>
      </c>
      <c r="L2578">
        <v>7859238</v>
      </c>
      <c r="M2578">
        <f>IF(F2578="INR",1,INDEX('rates'!$B$2:$C$522,MATCH(D2578,'rates'!$A$2:$A$522,1),MATCH(F2578&amp;"/INR",'rates'!$B$1:$C$1,0)))</f>
        <v>1</v>
      </c>
      <c r="N2578">
        <f t="shared" si="215"/>
        <v>7859238</v>
      </c>
      <c r="O2578">
        <f t="shared" si="216"/>
        <v>0</v>
      </c>
      <c r="P2578">
        <f t="shared" si="217"/>
        <v>0</v>
      </c>
      <c r="Q2578">
        <f t="shared" si="214"/>
        <v>-1</v>
      </c>
      <c r="R2578" t="str">
        <f t="shared" si="218"/>
        <v>Not open</v>
      </c>
    </row>
    <row r="2579" spans="1:18" x14ac:dyDescent="0.3">
      <c r="A2579" t="s">
        <v>2860</v>
      </c>
      <c r="B2579" t="s">
        <v>22</v>
      </c>
      <c r="C2579" t="s">
        <v>554</v>
      </c>
      <c r="D2579" s="1">
        <v>45650</v>
      </c>
      <c r="E2579" s="1">
        <v>45695</v>
      </c>
      <c r="F2579" t="s">
        <v>13</v>
      </c>
      <c r="G2579">
        <v>9809090</v>
      </c>
      <c r="H2579" s="1">
        <v>45714</v>
      </c>
      <c r="I2579" t="s">
        <v>555</v>
      </c>
      <c r="J2579" t="s">
        <v>556</v>
      </c>
      <c r="L2579">
        <v>9809090</v>
      </c>
      <c r="M2579">
        <f>IF(F2579="INR",1,INDEX('rates'!$B$2:$C$522,MATCH(D2579,'rates'!$A$2:$A$522,1),MATCH(F2579&amp;"/INR",'rates'!$B$1:$C$1,0)))</f>
        <v>1</v>
      </c>
      <c r="N2579">
        <f t="shared" si="215"/>
        <v>9809090</v>
      </c>
      <c r="O2579">
        <f t="shared" si="216"/>
        <v>0</v>
      </c>
      <c r="P2579">
        <f t="shared" si="217"/>
        <v>0</v>
      </c>
      <c r="Q2579">
        <f t="shared" si="214"/>
        <v>19</v>
      </c>
      <c r="R2579" t="str">
        <f t="shared" si="218"/>
        <v>Not open</v>
      </c>
    </row>
    <row r="2580" spans="1:18" x14ac:dyDescent="0.3">
      <c r="A2580" t="s">
        <v>2861</v>
      </c>
      <c r="B2580" t="s">
        <v>111</v>
      </c>
      <c r="C2580" t="s">
        <v>558</v>
      </c>
      <c r="D2580" s="1">
        <v>45650</v>
      </c>
      <c r="E2580" s="1">
        <v>45695</v>
      </c>
      <c r="F2580" t="s">
        <v>13</v>
      </c>
      <c r="G2580">
        <v>31385409</v>
      </c>
      <c r="H2580" s="1">
        <v>45700</v>
      </c>
      <c r="I2580" t="s">
        <v>555</v>
      </c>
      <c r="J2580" t="s">
        <v>556</v>
      </c>
      <c r="L2580">
        <v>31385409</v>
      </c>
      <c r="M2580">
        <f>IF(F2580="INR",1,INDEX('rates'!$B$2:$C$522,MATCH(D2580,'rates'!$A$2:$A$522,1),MATCH(F2580&amp;"/INR",'rates'!$B$1:$C$1,0)))</f>
        <v>1</v>
      </c>
      <c r="N2580">
        <f t="shared" si="215"/>
        <v>31385409</v>
      </c>
      <c r="O2580">
        <f t="shared" si="216"/>
        <v>0</v>
      </c>
      <c r="P2580">
        <f t="shared" si="217"/>
        <v>0</v>
      </c>
      <c r="Q2580">
        <f t="shared" si="214"/>
        <v>5</v>
      </c>
      <c r="R2580" t="str">
        <f t="shared" si="218"/>
        <v>Not open</v>
      </c>
    </row>
    <row r="2581" spans="1:18" x14ac:dyDescent="0.3">
      <c r="A2581" t="s">
        <v>2862</v>
      </c>
      <c r="B2581" t="s">
        <v>154</v>
      </c>
      <c r="C2581" t="s">
        <v>566</v>
      </c>
      <c r="D2581" s="1">
        <v>45650</v>
      </c>
      <c r="E2581" s="1">
        <v>45680</v>
      </c>
      <c r="F2581" t="s">
        <v>13</v>
      </c>
      <c r="G2581">
        <v>18219539</v>
      </c>
      <c r="H2581" s="1">
        <v>45681</v>
      </c>
      <c r="I2581" t="s">
        <v>555</v>
      </c>
      <c r="J2581" t="s">
        <v>556</v>
      </c>
      <c r="L2581">
        <v>18219539</v>
      </c>
      <c r="M2581">
        <f>IF(F2581="INR",1,INDEX('rates'!$B$2:$C$522,MATCH(D2581,'rates'!$A$2:$A$522,1),MATCH(F2581&amp;"/INR",'rates'!$B$1:$C$1,0)))</f>
        <v>1</v>
      </c>
      <c r="N2581">
        <f t="shared" si="215"/>
        <v>18219539</v>
      </c>
      <c r="O2581">
        <f t="shared" si="216"/>
        <v>0</v>
      </c>
      <c r="P2581">
        <f t="shared" si="217"/>
        <v>0</v>
      </c>
      <c r="Q2581">
        <f t="shared" si="214"/>
        <v>1</v>
      </c>
      <c r="R2581" t="str">
        <f t="shared" si="218"/>
        <v>Not open</v>
      </c>
    </row>
    <row r="2582" spans="1:18" x14ac:dyDescent="0.3">
      <c r="A2582" t="s">
        <v>2863</v>
      </c>
      <c r="B2582" t="s">
        <v>186</v>
      </c>
      <c r="C2582" t="s">
        <v>558</v>
      </c>
      <c r="D2582" s="1">
        <v>45650</v>
      </c>
      <c r="E2582" s="1">
        <v>45680</v>
      </c>
      <c r="F2582" t="s">
        <v>36</v>
      </c>
      <c r="G2582">
        <v>40780.07</v>
      </c>
      <c r="H2582" s="1">
        <v>45715</v>
      </c>
      <c r="I2582" t="s">
        <v>555</v>
      </c>
      <c r="J2582" t="s">
        <v>556</v>
      </c>
      <c r="L2582">
        <v>40780.07</v>
      </c>
      <c r="M2582">
        <f>IF(F2582="INR",1,INDEX('rates'!$B$2:$C$522,MATCH(D2582,'rates'!$A$2:$A$522,1),MATCH(F2582&amp;"/INR",'rates'!$B$1:$C$1,0)))</f>
        <v>85.14</v>
      </c>
      <c r="N2582">
        <f t="shared" si="215"/>
        <v>3472015.1598</v>
      </c>
      <c r="O2582">
        <f t="shared" si="216"/>
        <v>0</v>
      </c>
      <c r="P2582">
        <f t="shared" si="217"/>
        <v>0</v>
      </c>
      <c r="Q2582">
        <f t="shared" si="214"/>
        <v>35</v>
      </c>
      <c r="R2582" t="str">
        <f t="shared" si="218"/>
        <v>Not open</v>
      </c>
    </row>
    <row r="2583" spans="1:18" x14ac:dyDescent="0.3">
      <c r="A2583" t="s">
        <v>2864</v>
      </c>
      <c r="B2583" t="s">
        <v>262</v>
      </c>
      <c r="C2583" t="s">
        <v>566</v>
      </c>
      <c r="D2583" s="1">
        <v>45650</v>
      </c>
      <c r="E2583" s="1">
        <v>45740</v>
      </c>
      <c r="F2583" t="s">
        <v>31</v>
      </c>
      <c r="G2583">
        <v>121279.9</v>
      </c>
      <c r="H2583" s="1">
        <v>45743</v>
      </c>
      <c r="I2583" t="s">
        <v>555</v>
      </c>
      <c r="J2583" t="s">
        <v>573</v>
      </c>
      <c r="K2583">
        <v>88.708699999999993</v>
      </c>
      <c r="L2583">
        <v>121279.9</v>
      </c>
      <c r="M2583">
        <f>IF(F2583="INR",1,INDEX('rates'!$B$2:$C$522,MATCH(D2583,'rates'!$A$2:$A$522,1),MATCH(F2583&amp;"/INR",'rates'!$B$1:$C$1,0)))</f>
        <v>88.443399999999997</v>
      </c>
      <c r="N2583">
        <f t="shared" si="215"/>
        <v>10726406.707659999</v>
      </c>
      <c r="O2583">
        <f t="shared" si="216"/>
        <v>0</v>
      </c>
      <c r="P2583">
        <f t="shared" si="217"/>
        <v>0</v>
      </c>
      <c r="Q2583">
        <f t="shared" si="214"/>
        <v>3</v>
      </c>
      <c r="R2583" t="str">
        <f t="shared" si="218"/>
        <v>Not open</v>
      </c>
    </row>
    <row r="2584" spans="1:18" x14ac:dyDescent="0.3">
      <c r="A2584" t="s">
        <v>2865</v>
      </c>
      <c r="B2584" t="s">
        <v>482</v>
      </c>
      <c r="C2584" t="s">
        <v>558</v>
      </c>
      <c r="D2584" s="1">
        <v>45650</v>
      </c>
      <c r="E2584" s="1">
        <v>45710</v>
      </c>
      <c r="F2584" t="s">
        <v>13</v>
      </c>
      <c r="G2584">
        <v>2650381</v>
      </c>
      <c r="H2584" s="1">
        <v>45725</v>
      </c>
      <c r="I2584" t="s">
        <v>555</v>
      </c>
      <c r="J2584" t="s">
        <v>556</v>
      </c>
      <c r="L2584">
        <v>2650381</v>
      </c>
      <c r="M2584">
        <f>IF(F2584="INR",1,INDEX('rates'!$B$2:$C$522,MATCH(D2584,'rates'!$A$2:$A$522,1),MATCH(F2584&amp;"/INR",'rates'!$B$1:$C$1,0)))</f>
        <v>1</v>
      </c>
      <c r="N2584">
        <f t="shared" si="215"/>
        <v>2650381</v>
      </c>
      <c r="O2584">
        <f t="shared" si="216"/>
        <v>0</v>
      </c>
      <c r="P2584">
        <f t="shared" si="217"/>
        <v>0</v>
      </c>
      <c r="Q2584">
        <f t="shared" si="214"/>
        <v>15</v>
      </c>
      <c r="R2584" t="str">
        <f t="shared" si="218"/>
        <v>Not open</v>
      </c>
    </row>
    <row r="2585" spans="1:18" x14ac:dyDescent="0.3">
      <c r="A2585" t="s">
        <v>2866</v>
      </c>
      <c r="B2585" t="s">
        <v>87</v>
      </c>
      <c r="C2585" t="s">
        <v>566</v>
      </c>
      <c r="D2585" s="1">
        <v>45651</v>
      </c>
      <c r="E2585" s="1">
        <v>45696</v>
      </c>
      <c r="F2585" t="s">
        <v>36</v>
      </c>
      <c r="G2585">
        <v>310695.86</v>
      </c>
      <c r="H2585" s="1">
        <v>45717</v>
      </c>
      <c r="I2585" t="s">
        <v>555</v>
      </c>
      <c r="J2585" t="s">
        <v>556</v>
      </c>
      <c r="L2585">
        <v>310695.86</v>
      </c>
      <c r="M2585">
        <f>IF(F2585="INR",1,INDEX('rates'!$B$2:$C$522,MATCH(D2585,'rates'!$A$2:$A$522,1),MATCH(F2585&amp;"/INR",'rates'!$B$1:$C$1,0)))</f>
        <v>85.14</v>
      </c>
      <c r="N2585">
        <f t="shared" si="215"/>
        <v>26452645.520399999</v>
      </c>
      <c r="O2585">
        <f t="shared" si="216"/>
        <v>0</v>
      </c>
      <c r="P2585">
        <f t="shared" si="217"/>
        <v>0</v>
      </c>
      <c r="Q2585">
        <f t="shared" si="214"/>
        <v>21</v>
      </c>
      <c r="R2585" t="str">
        <f t="shared" si="218"/>
        <v>Not open</v>
      </c>
    </row>
    <row r="2586" spans="1:18" x14ac:dyDescent="0.3">
      <c r="A2586" t="s">
        <v>2867</v>
      </c>
      <c r="B2586" t="s">
        <v>134</v>
      </c>
      <c r="C2586" t="s">
        <v>575</v>
      </c>
      <c r="D2586" s="1">
        <v>45651</v>
      </c>
      <c r="E2586" s="1">
        <v>45741</v>
      </c>
      <c r="F2586" t="s">
        <v>36</v>
      </c>
      <c r="G2586">
        <v>235142</v>
      </c>
      <c r="H2586" s="1">
        <v>45746</v>
      </c>
      <c r="I2586" t="s">
        <v>555</v>
      </c>
      <c r="J2586" t="s">
        <v>573</v>
      </c>
      <c r="K2586">
        <v>85.565700000000007</v>
      </c>
      <c r="L2586">
        <v>235142</v>
      </c>
      <c r="M2586">
        <f>IF(F2586="INR",1,INDEX('rates'!$B$2:$C$522,MATCH(D2586,'rates'!$A$2:$A$522,1),MATCH(F2586&amp;"/INR",'rates'!$B$1:$C$1,0)))</f>
        <v>85.14</v>
      </c>
      <c r="N2586">
        <f t="shared" si="215"/>
        <v>20019989.879999999</v>
      </c>
      <c r="O2586">
        <f t="shared" si="216"/>
        <v>0</v>
      </c>
      <c r="P2586">
        <f t="shared" si="217"/>
        <v>0</v>
      </c>
      <c r="Q2586">
        <f t="shared" si="214"/>
        <v>5</v>
      </c>
      <c r="R2586" t="str">
        <f t="shared" si="218"/>
        <v>Not open</v>
      </c>
    </row>
    <row r="2587" spans="1:18" x14ac:dyDescent="0.3">
      <c r="A2587" t="s">
        <v>2868</v>
      </c>
      <c r="B2587" t="s">
        <v>154</v>
      </c>
      <c r="C2587" t="s">
        <v>566</v>
      </c>
      <c r="D2587" s="1">
        <v>45651</v>
      </c>
      <c r="E2587" s="1">
        <v>45681</v>
      </c>
      <c r="F2587" t="s">
        <v>13</v>
      </c>
      <c r="G2587">
        <v>16688396</v>
      </c>
      <c r="H2587" s="1">
        <v>45684</v>
      </c>
      <c r="I2587" t="s">
        <v>555</v>
      </c>
      <c r="J2587" t="s">
        <v>556</v>
      </c>
      <c r="L2587">
        <v>16688396</v>
      </c>
      <c r="M2587">
        <f>IF(F2587="INR",1,INDEX('rates'!$B$2:$C$522,MATCH(D2587,'rates'!$A$2:$A$522,1),MATCH(F2587&amp;"/INR",'rates'!$B$1:$C$1,0)))</f>
        <v>1</v>
      </c>
      <c r="N2587">
        <f t="shared" si="215"/>
        <v>16688396</v>
      </c>
      <c r="O2587">
        <f t="shared" si="216"/>
        <v>0</v>
      </c>
      <c r="P2587">
        <f t="shared" si="217"/>
        <v>0</v>
      </c>
      <c r="Q2587">
        <f t="shared" si="214"/>
        <v>3</v>
      </c>
      <c r="R2587" t="str">
        <f t="shared" si="218"/>
        <v>Not open</v>
      </c>
    </row>
    <row r="2588" spans="1:18" x14ac:dyDescent="0.3">
      <c r="A2588" t="s">
        <v>2869</v>
      </c>
      <c r="B2588" t="s">
        <v>178</v>
      </c>
      <c r="C2588" t="s">
        <v>560</v>
      </c>
      <c r="D2588" s="1">
        <v>45651</v>
      </c>
      <c r="E2588" s="1">
        <v>45681</v>
      </c>
      <c r="F2588" t="s">
        <v>13</v>
      </c>
      <c r="G2588">
        <v>1709988</v>
      </c>
      <c r="H2588" s="1">
        <v>45727</v>
      </c>
      <c r="I2588" t="s">
        <v>555</v>
      </c>
      <c r="J2588" t="s">
        <v>556</v>
      </c>
      <c r="L2588">
        <v>1709988</v>
      </c>
      <c r="M2588">
        <f>IF(F2588="INR",1,INDEX('rates'!$B$2:$C$522,MATCH(D2588,'rates'!$A$2:$A$522,1),MATCH(F2588&amp;"/INR",'rates'!$B$1:$C$1,0)))</f>
        <v>1</v>
      </c>
      <c r="N2588">
        <f t="shared" si="215"/>
        <v>1709988</v>
      </c>
      <c r="O2588">
        <f t="shared" si="216"/>
        <v>0</v>
      </c>
      <c r="P2588">
        <f t="shared" si="217"/>
        <v>0</v>
      </c>
      <c r="Q2588">
        <f t="shared" si="214"/>
        <v>46</v>
      </c>
      <c r="R2588" t="str">
        <f t="shared" si="218"/>
        <v>Not open</v>
      </c>
    </row>
    <row r="2589" spans="1:18" x14ac:dyDescent="0.3">
      <c r="A2589" t="s">
        <v>2871</v>
      </c>
      <c r="B2589" t="s">
        <v>464</v>
      </c>
      <c r="C2589" t="s">
        <v>560</v>
      </c>
      <c r="D2589" s="1">
        <v>45651</v>
      </c>
      <c r="E2589" s="1">
        <v>45741</v>
      </c>
      <c r="F2589" t="s">
        <v>13</v>
      </c>
      <c r="G2589">
        <v>9895943</v>
      </c>
      <c r="H2589" s="1">
        <v>45740</v>
      </c>
      <c r="I2589" t="s">
        <v>555</v>
      </c>
      <c r="J2589" t="s">
        <v>556</v>
      </c>
      <c r="L2589">
        <v>9895943</v>
      </c>
      <c r="M2589">
        <f>IF(F2589="INR",1,INDEX('rates'!$B$2:$C$522,MATCH(D2589,'rates'!$A$2:$A$522,1),MATCH(F2589&amp;"/INR",'rates'!$B$1:$C$1,0)))</f>
        <v>1</v>
      </c>
      <c r="N2589">
        <f t="shared" si="215"/>
        <v>9895943</v>
      </c>
      <c r="O2589">
        <f t="shared" si="216"/>
        <v>0</v>
      </c>
      <c r="P2589">
        <f t="shared" si="217"/>
        <v>0</v>
      </c>
      <c r="Q2589">
        <f t="shared" si="214"/>
        <v>-1</v>
      </c>
      <c r="R2589" t="str">
        <f t="shared" si="218"/>
        <v>Not open</v>
      </c>
    </row>
    <row r="2590" spans="1:18" x14ac:dyDescent="0.3">
      <c r="A2590" t="s">
        <v>2872</v>
      </c>
      <c r="B2590" t="s">
        <v>490</v>
      </c>
      <c r="C2590" t="s">
        <v>560</v>
      </c>
      <c r="D2590" s="1">
        <v>45651</v>
      </c>
      <c r="E2590" s="1">
        <v>45696</v>
      </c>
      <c r="F2590" t="s">
        <v>36</v>
      </c>
      <c r="G2590">
        <v>52379</v>
      </c>
      <c r="H2590" s="1">
        <v>45706</v>
      </c>
      <c r="I2590" t="s">
        <v>555</v>
      </c>
      <c r="J2590" t="s">
        <v>556</v>
      </c>
      <c r="L2590">
        <v>52379</v>
      </c>
      <c r="M2590">
        <f>IF(F2590="INR",1,INDEX('rates'!$B$2:$C$522,MATCH(D2590,'rates'!$A$2:$A$522,1),MATCH(F2590&amp;"/INR",'rates'!$B$1:$C$1,0)))</f>
        <v>85.14</v>
      </c>
      <c r="N2590">
        <f t="shared" si="215"/>
        <v>4459548.0599999996</v>
      </c>
      <c r="O2590">
        <f t="shared" si="216"/>
        <v>0</v>
      </c>
      <c r="P2590">
        <f t="shared" si="217"/>
        <v>0</v>
      </c>
      <c r="Q2590">
        <f t="shared" ref="Q2590:Q2621" si="219">IF(H2590="","",H2590-E2590)</f>
        <v>10</v>
      </c>
      <c r="R2590" t="str">
        <f t="shared" si="218"/>
        <v>Not open</v>
      </c>
    </row>
    <row r="2591" spans="1:18" x14ac:dyDescent="0.3">
      <c r="A2591" t="s">
        <v>2873</v>
      </c>
      <c r="B2591" t="s">
        <v>466</v>
      </c>
      <c r="C2591" t="s">
        <v>560</v>
      </c>
      <c r="D2591" s="1">
        <v>45652</v>
      </c>
      <c r="E2591" s="1">
        <v>45712</v>
      </c>
      <c r="F2591" t="s">
        <v>31</v>
      </c>
      <c r="G2591">
        <v>113837.38</v>
      </c>
      <c r="H2591" s="1">
        <v>45714</v>
      </c>
      <c r="I2591" t="s">
        <v>555</v>
      </c>
      <c r="J2591" t="s">
        <v>556</v>
      </c>
      <c r="L2591">
        <v>113837.38</v>
      </c>
      <c r="M2591">
        <f>IF(F2591="INR",1,INDEX('rates'!$B$2:$C$522,MATCH(D2591,'rates'!$A$2:$A$522,1),MATCH(F2591&amp;"/INR",'rates'!$B$1:$C$1,0)))</f>
        <v>88.856099999999998</v>
      </c>
      <c r="N2591">
        <f t="shared" si="215"/>
        <v>10115145.621018</v>
      </c>
      <c r="O2591">
        <f t="shared" si="216"/>
        <v>0</v>
      </c>
      <c r="P2591">
        <f t="shared" si="217"/>
        <v>0</v>
      </c>
      <c r="Q2591">
        <f t="shared" si="219"/>
        <v>2</v>
      </c>
      <c r="R2591" t="str">
        <f t="shared" si="218"/>
        <v>Not open</v>
      </c>
    </row>
    <row r="2592" spans="1:18" x14ac:dyDescent="0.3">
      <c r="A2592" t="s">
        <v>2874</v>
      </c>
      <c r="B2592" t="s">
        <v>186</v>
      </c>
      <c r="C2592" t="s">
        <v>558</v>
      </c>
      <c r="D2592" s="1">
        <v>45653</v>
      </c>
      <c r="E2592" s="1">
        <v>45683</v>
      </c>
      <c r="F2592" t="s">
        <v>36</v>
      </c>
      <c r="G2592">
        <v>332624.40999999997</v>
      </c>
      <c r="H2592" s="1">
        <v>45703</v>
      </c>
      <c r="I2592" t="s">
        <v>555</v>
      </c>
      <c r="J2592" t="s">
        <v>556</v>
      </c>
      <c r="L2592">
        <v>332624.40999999997</v>
      </c>
      <c r="M2592">
        <f>IF(F2592="INR",1,INDEX('rates'!$B$2:$C$522,MATCH(D2592,'rates'!$A$2:$A$522,1),MATCH(F2592&amp;"/INR",'rates'!$B$1:$C$1,0)))</f>
        <v>85.53</v>
      </c>
      <c r="N2592">
        <f t="shared" si="215"/>
        <v>28449365.787299998</v>
      </c>
      <c r="O2592">
        <f t="shared" si="216"/>
        <v>0</v>
      </c>
      <c r="P2592">
        <f t="shared" si="217"/>
        <v>0</v>
      </c>
      <c r="Q2592">
        <f t="shared" si="219"/>
        <v>20</v>
      </c>
      <c r="R2592" t="str">
        <f t="shared" si="218"/>
        <v>Not open</v>
      </c>
    </row>
    <row r="2593" spans="1:18" x14ac:dyDescent="0.3">
      <c r="A2593" t="s">
        <v>2875</v>
      </c>
      <c r="B2593" t="s">
        <v>200</v>
      </c>
      <c r="C2593" t="s">
        <v>554</v>
      </c>
      <c r="D2593" s="1">
        <v>45653</v>
      </c>
      <c r="E2593" s="1">
        <v>45713</v>
      </c>
      <c r="F2593" t="s">
        <v>13</v>
      </c>
      <c r="G2593">
        <v>4115304</v>
      </c>
      <c r="H2593" s="1">
        <v>45721</v>
      </c>
      <c r="I2593" t="s">
        <v>555</v>
      </c>
      <c r="J2593" t="s">
        <v>556</v>
      </c>
      <c r="L2593">
        <v>4115304</v>
      </c>
      <c r="M2593">
        <f>IF(F2593="INR",1,INDEX('rates'!$B$2:$C$522,MATCH(D2593,'rates'!$A$2:$A$522,1),MATCH(F2593&amp;"/INR",'rates'!$B$1:$C$1,0)))</f>
        <v>1</v>
      </c>
      <c r="N2593">
        <f t="shared" si="215"/>
        <v>4115304</v>
      </c>
      <c r="O2593">
        <f t="shared" si="216"/>
        <v>0</v>
      </c>
      <c r="P2593">
        <f t="shared" si="217"/>
        <v>0</v>
      </c>
      <c r="Q2593">
        <f t="shared" si="219"/>
        <v>8</v>
      </c>
      <c r="R2593" t="str">
        <f t="shared" si="218"/>
        <v>Not open</v>
      </c>
    </row>
    <row r="2594" spans="1:18" x14ac:dyDescent="0.3">
      <c r="A2594" t="s">
        <v>2876</v>
      </c>
      <c r="B2594" t="s">
        <v>87</v>
      </c>
      <c r="C2594" t="s">
        <v>566</v>
      </c>
      <c r="D2594" s="1">
        <v>45654</v>
      </c>
      <c r="E2594" s="1">
        <v>45699</v>
      </c>
      <c r="F2594" t="s">
        <v>36</v>
      </c>
      <c r="G2594">
        <v>226509.31</v>
      </c>
      <c r="H2594" s="1">
        <v>45715</v>
      </c>
      <c r="I2594" t="s">
        <v>555</v>
      </c>
      <c r="J2594" t="s">
        <v>573</v>
      </c>
      <c r="K2594">
        <v>85.743799999999993</v>
      </c>
      <c r="L2594">
        <v>226509.31</v>
      </c>
      <c r="M2594">
        <f>IF(F2594="INR",1,INDEX('rates'!$B$2:$C$522,MATCH(D2594,'rates'!$A$2:$A$522,1),MATCH(F2594&amp;"/INR",'rates'!$B$1:$C$1,0)))</f>
        <v>85.53</v>
      </c>
      <c r="N2594">
        <f t="shared" si="215"/>
        <v>19373341.284299999</v>
      </c>
      <c r="O2594">
        <f t="shared" si="216"/>
        <v>0</v>
      </c>
      <c r="P2594">
        <f t="shared" si="217"/>
        <v>0</v>
      </c>
      <c r="Q2594">
        <f t="shared" si="219"/>
        <v>16</v>
      </c>
      <c r="R2594" t="str">
        <f t="shared" si="218"/>
        <v>Not open</v>
      </c>
    </row>
    <row r="2595" spans="1:18" x14ac:dyDescent="0.3">
      <c r="A2595" t="s">
        <v>2877</v>
      </c>
      <c r="B2595" t="s">
        <v>148</v>
      </c>
      <c r="C2595" t="s">
        <v>575</v>
      </c>
      <c r="D2595" s="1">
        <v>45654</v>
      </c>
      <c r="E2595" s="1">
        <v>45714</v>
      </c>
      <c r="F2595" t="s">
        <v>31</v>
      </c>
      <c r="G2595">
        <v>48651.71</v>
      </c>
      <c r="H2595" s="1">
        <v>45721</v>
      </c>
      <c r="I2595" t="s">
        <v>555</v>
      </c>
      <c r="J2595" t="s">
        <v>556</v>
      </c>
      <c r="L2595">
        <v>48651.71</v>
      </c>
      <c r="M2595">
        <f>IF(F2595="INR",1,INDEX('rates'!$B$2:$C$522,MATCH(D2595,'rates'!$A$2:$A$522,1),MATCH(F2595&amp;"/INR",'rates'!$B$1:$C$1,0)))</f>
        <v>89.147900000000007</v>
      </c>
      <c r="N2595">
        <f t="shared" si="215"/>
        <v>4337197.7779090004</v>
      </c>
      <c r="O2595">
        <f t="shared" si="216"/>
        <v>0</v>
      </c>
      <c r="P2595">
        <f t="shared" si="217"/>
        <v>0</v>
      </c>
      <c r="Q2595">
        <f t="shared" si="219"/>
        <v>7</v>
      </c>
      <c r="R2595" t="str">
        <f t="shared" si="218"/>
        <v>Not open</v>
      </c>
    </row>
    <row r="2596" spans="1:18" x14ac:dyDescent="0.3">
      <c r="A2596" t="s">
        <v>2878</v>
      </c>
      <c r="B2596" t="s">
        <v>222</v>
      </c>
      <c r="C2596" t="s">
        <v>560</v>
      </c>
      <c r="D2596" s="1">
        <v>45654</v>
      </c>
      <c r="E2596" s="1">
        <v>45714</v>
      </c>
      <c r="F2596" t="s">
        <v>36</v>
      </c>
      <c r="G2596">
        <v>61231.45</v>
      </c>
      <c r="H2596" s="1">
        <v>45731</v>
      </c>
      <c r="I2596" t="s">
        <v>555</v>
      </c>
      <c r="J2596" t="s">
        <v>556</v>
      </c>
      <c r="L2596">
        <v>61231.45</v>
      </c>
      <c r="M2596">
        <f>IF(F2596="INR",1,INDEX('rates'!$B$2:$C$522,MATCH(D2596,'rates'!$A$2:$A$522,1),MATCH(F2596&amp;"/INR",'rates'!$B$1:$C$1,0)))</f>
        <v>85.53</v>
      </c>
      <c r="N2596">
        <f t="shared" si="215"/>
        <v>5237125.9184999997</v>
      </c>
      <c r="O2596">
        <f t="shared" si="216"/>
        <v>0</v>
      </c>
      <c r="P2596">
        <f t="shared" si="217"/>
        <v>0</v>
      </c>
      <c r="Q2596">
        <f t="shared" si="219"/>
        <v>17</v>
      </c>
      <c r="R2596" t="str">
        <f t="shared" si="218"/>
        <v>Not open</v>
      </c>
    </row>
    <row r="2597" spans="1:18" x14ac:dyDescent="0.3">
      <c r="A2597" t="s">
        <v>2880</v>
      </c>
      <c r="B2597" t="s">
        <v>124</v>
      </c>
      <c r="C2597" t="s">
        <v>566</v>
      </c>
      <c r="D2597" s="1">
        <v>45656</v>
      </c>
      <c r="E2597" s="1">
        <v>45716</v>
      </c>
      <c r="F2597" t="s">
        <v>31</v>
      </c>
      <c r="G2597">
        <v>238488.21</v>
      </c>
      <c r="H2597" s="1">
        <v>45743</v>
      </c>
      <c r="I2597" t="s">
        <v>555</v>
      </c>
      <c r="J2597" t="s">
        <v>573</v>
      </c>
      <c r="K2597">
        <v>88.946600000000004</v>
      </c>
      <c r="L2597">
        <v>238488.21</v>
      </c>
      <c r="M2597">
        <f>IF(F2597="INR",1,INDEX('rates'!$B$2:$C$522,MATCH(D2597,'rates'!$A$2:$A$522,1),MATCH(F2597&amp;"/INR",'rates'!$B$1:$C$1,0)))</f>
        <v>88.769099999999995</v>
      </c>
      <c r="N2597">
        <f t="shared" si="215"/>
        <v>21170383.762310997</v>
      </c>
      <c r="O2597">
        <f t="shared" si="216"/>
        <v>0</v>
      </c>
      <c r="P2597">
        <f t="shared" si="217"/>
        <v>0</v>
      </c>
      <c r="Q2597">
        <f t="shared" si="219"/>
        <v>27</v>
      </c>
      <c r="R2597" t="str">
        <f t="shared" si="218"/>
        <v>Not open</v>
      </c>
    </row>
    <row r="2598" spans="1:18" x14ac:dyDescent="0.3">
      <c r="A2598" t="s">
        <v>2881</v>
      </c>
      <c r="B2598" t="s">
        <v>154</v>
      </c>
      <c r="C2598" t="s">
        <v>566</v>
      </c>
      <c r="D2598" s="1">
        <v>45656</v>
      </c>
      <c r="E2598" s="1">
        <v>45686</v>
      </c>
      <c r="F2598" t="s">
        <v>13</v>
      </c>
      <c r="G2598">
        <v>11997765</v>
      </c>
      <c r="H2598" s="1">
        <v>45687</v>
      </c>
      <c r="I2598" t="s">
        <v>555</v>
      </c>
      <c r="J2598" t="s">
        <v>556</v>
      </c>
      <c r="L2598">
        <v>11997765</v>
      </c>
      <c r="M2598">
        <f>IF(F2598="INR",1,INDEX('rates'!$B$2:$C$522,MATCH(D2598,'rates'!$A$2:$A$522,1),MATCH(F2598&amp;"/INR",'rates'!$B$1:$C$1,0)))</f>
        <v>1</v>
      </c>
      <c r="N2598">
        <f t="shared" si="215"/>
        <v>11997765</v>
      </c>
      <c r="O2598">
        <f t="shared" si="216"/>
        <v>0</v>
      </c>
      <c r="P2598">
        <f t="shared" si="217"/>
        <v>0</v>
      </c>
      <c r="Q2598">
        <f t="shared" si="219"/>
        <v>1</v>
      </c>
      <c r="R2598" t="str">
        <f t="shared" si="218"/>
        <v>Not open</v>
      </c>
    </row>
    <row r="2599" spans="1:18" x14ac:dyDescent="0.3">
      <c r="A2599" t="s">
        <v>2882</v>
      </c>
      <c r="B2599" t="s">
        <v>444</v>
      </c>
      <c r="C2599" t="s">
        <v>566</v>
      </c>
      <c r="D2599" s="1">
        <v>45656</v>
      </c>
      <c r="E2599" s="1">
        <v>45701</v>
      </c>
      <c r="F2599" t="s">
        <v>36</v>
      </c>
      <c r="G2599">
        <v>36594.86</v>
      </c>
      <c r="H2599" s="1">
        <v>45702</v>
      </c>
      <c r="I2599" t="s">
        <v>555</v>
      </c>
      <c r="J2599" t="s">
        <v>573</v>
      </c>
      <c r="K2599">
        <v>85.683700000000002</v>
      </c>
      <c r="L2599">
        <v>36594.86</v>
      </c>
      <c r="M2599">
        <f>IF(F2599="INR",1,INDEX('rates'!$B$2:$C$522,MATCH(D2599,'rates'!$A$2:$A$522,1),MATCH(F2599&amp;"/INR",'rates'!$B$1:$C$1,0)))</f>
        <v>85.47</v>
      </c>
      <c r="N2599">
        <f t="shared" si="215"/>
        <v>3127762.6842</v>
      </c>
      <c r="O2599">
        <f t="shared" si="216"/>
        <v>0</v>
      </c>
      <c r="P2599">
        <f t="shared" si="217"/>
        <v>0</v>
      </c>
      <c r="Q2599">
        <f t="shared" si="219"/>
        <v>1</v>
      </c>
      <c r="R2599" t="str">
        <f t="shared" si="218"/>
        <v>Not open</v>
      </c>
    </row>
    <row r="2600" spans="1:18" x14ac:dyDescent="0.3">
      <c r="A2600" t="s">
        <v>2886</v>
      </c>
      <c r="B2600" t="s">
        <v>490</v>
      </c>
      <c r="C2600" t="s">
        <v>560</v>
      </c>
      <c r="D2600" s="1">
        <v>45657</v>
      </c>
      <c r="E2600" s="1">
        <v>45702</v>
      </c>
      <c r="F2600" t="s">
        <v>36</v>
      </c>
      <c r="G2600">
        <v>200685.8</v>
      </c>
      <c r="H2600" s="1">
        <v>45701</v>
      </c>
      <c r="I2600" t="s">
        <v>555</v>
      </c>
      <c r="J2600" t="s">
        <v>573</v>
      </c>
      <c r="K2600">
        <v>85.763900000000007</v>
      </c>
      <c r="L2600">
        <v>200685.8</v>
      </c>
      <c r="M2600">
        <f>IF(F2600="INR",1,INDEX('rates'!$B$2:$C$522,MATCH(D2600,'rates'!$A$2:$A$522,1),MATCH(F2600&amp;"/INR",'rates'!$B$1:$C$1,0)))</f>
        <v>85.55</v>
      </c>
      <c r="N2600">
        <f t="shared" si="215"/>
        <v>17168670.189999998</v>
      </c>
      <c r="O2600">
        <f t="shared" si="216"/>
        <v>0</v>
      </c>
      <c r="P2600">
        <f t="shared" si="217"/>
        <v>0</v>
      </c>
      <c r="Q2600">
        <f t="shared" si="219"/>
        <v>-1</v>
      </c>
      <c r="R2600" t="str">
        <f t="shared" si="218"/>
        <v>Not open</v>
      </c>
    </row>
    <row r="2601" spans="1:18" x14ac:dyDescent="0.3">
      <c r="A2601" t="s">
        <v>2888</v>
      </c>
      <c r="B2601" t="s">
        <v>394</v>
      </c>
      <c r="C2601" t="s">
        <v>575</v>
      </c>
      <c r="D2601" s="1">
        <v>45658</v>
      </c>
      <c r="E2601" s="1">
        <v>45718</v>
      </c>
      <c r="F2601" t="s">
        <v>31</v>
      </c>
      <c r="G2601">
        <v>45476.63</v>
      </c>
      <c r="H2601" s="1">
        <v>45733</v>
      </c>
      <c r="I2601" t="s">
        <v>555</v>
      </c>
      <c r="J2601" t="s">
        <v>556</v>
      </c>
      <c r="L2601">
        <v>45476.63</v>
      </c>
      <c r="M2601">
        <f>IF(F2601="INR",1,INDEX('rates'!$B$2:$C$522,MATCH(D2601,'rates'!$A$2:$A$522,1),MATCH(F2601&amp;"/INR",'rates'!$B$1:$C$1,0)))</f>
        <v>88.552800000000005</v>
      </c>
      <c r="N2601">
        <f t="shared" si="215"/>
        <v>4027082.9210640001</v>
      </c>
      <c r="O2601">
        <f t="shared" si="216"/>
        <v>0</v>
      </c>
      <c r="P2601">
        <f t="shared" si="217"/>
        <v>0</v>
      </c>
      <c r="Q2601">
        <f t="shared" si="219"/>
        <v>15</v>
      </c>
      <c r="R2601" t="str">
        <f t="shared" si="218"/>
        <v>Not open</v>
      </c>
    </row>
    <row r="2602" spans="1:18" x14ac:dyDescent="0.3">
      <c r="A2602" t="s">
        <v>2890</v>
      </c>
      <c r="B2602" t="s">
        <v>482</v>
      </c>
      <c r="C2602" t="s">
        <v>558</v>
      </c>
      <c r="D2602" s="1">
        <v>45658</v>
      </c>
      <c r="E2602" s="1">
        <v>45718</v>
      </c>
      <c r="F2602" t="s">
        <v>13</v>
      </c>
      <c r="G2602">
        <v>4143867</v>
      </c>
      <c r="H2602" s="1">
        <v>45732</v>
      </c>
      <c r="I2602" t="s">
        <v>555</v>
      </c>
      <c r="J2602" t="s">
        <v>556</v>
      </c>
      <c r="L2602">
        <v>4143867</v>
      </c>
      <c r="M2602">
        <f>IF(F2602="INR",1,INDEX('rates'!$B$2:$C$522,MATCH(D2602,'rates'!$A$2:$A$522,1),MATCH(F2602&amp;"/INR",'rates'!$B$1:$C$1,0)))</f>
        <v>1</v>
      </c>
      <c r="N2602">
        <f t="shared" si="215"/>
        <v>4143867</v>
      </c>
      <c r="O2602">
        <f t="shared" si="216"/>
        <v>0</v>
      </c>
      <c r="P2602">
        <f t="shared" si="217"/>
        <v>0</v>
      </c>
      <c r="Q2602">
        <f t="shared" si="219"/>
        <v>14</v>
      </c>
      <c r="R2602" t="str">
        <f t="shared" si="218"/>
        <v>Not open</v>
      </c>
    </row>
    <row r="2603" spans="1:18" x14ac:dyDescent="0.3">
      <c r="A2603" t="s">
        <v>2891</v>
      </c>
      <c r="B2603" t="s">
        <v>85</v>
      </c>
      <c r="C2603" t="s">
        <v>566</v>
      </c>
      <c r="D2603" s="1">
        <v>45659</v>
      </c>
      <c r="E2603" s="1">
        <v>45689</v>
      </c>
      <c r="F2603" t="s">
        <v>13</v>
      </c>
      <c r="G2603">
        <v>4185603</v>
      </c>
      <c r="H2603" s="1">
        <v>45683</v>
      </c>
      <c r="I2603" t="s">
        <v>555</v>
      </c>
      <c r="J2603" t="s">
        <v>556</v>
      </c>
      <c r="L2603">
        <v>4185603</v>
      </c>
      <c r="M2603">
        <f>IF(F2603="INR",1,INDEX('rates'!$B$2:$C$522,MATCH(D2603,'rates'!$A$2:$A$522,1),MATCH(F2603&amp;"/INR",'rates'!$B$1:$C$1,0)))</f>
        <v>1</v>
      </c>
      <c r="N2603">
        <f t="shared" si="215"/>
        <v>4185603</v>
      </c>
      <c r="O2603">
        <f t="shared" si="216"/>
        <v>0</v>
      </c>
      <c r="P2603">
        <f t="shared" si="217"/>
        <v>0</v>
      </c>
      <c r="Q2603">
        <f t="shared" si="219"/>
        <v>-6</v>
      </c>
      <c r="R2603" t="str">
        <f t="shared" si="218"/>
        <v>Not open</v>
      </c>
    </row>
    <row r="2604" spans="1:18" x14ac:dyDescent="0.3">
      <c r="A2604" t="s">
        <v>2892</v>
      </c>
      <c r="B2604" t="s">
        <v>130</v>
      </c>
      <c r="C2604" t="s">
        <v>554</v>
      </c>
      <c r="D2604" s="1">
        <v>45659</v>
      </c>
      <c r="E2604" s="1">
        <v>45704</v>
      </c>
      <c r="F2604" t="s">
        <v>13</v>
      </c>
      <c r="G2604">
        <v>7123141</v>
      </c>
      <c r="H2604" s="1">
        <v>45702</v>
      </c>
      <c r="I2604" t="s">
        <v>555</v>
      </c>
      <c r="J2604" t="s">
        <v>556</v>
      </c>
      <c r="L2604">
        <v>7123141</v>
      </c>
      <c r="M2604">
        <f>IF(F2604="INR",1,INDEX('rates'!$B$2:$C$522,MATCH(D2604,'rates'!$A$2:$A$522,1),MATCH(F2604&amp;"/INR",'rates'!$B$1:$C$1,0)))</f>
        <v>1</v>
      </c>
      <c r="N2604">
        <f t="shared" si="215"/>
        <v>7123141</v>
      </c>
      <c r="O2604">
        <f t="shared" si="216"/>
        <v>0</v>
      </c>
      <c r="P2604">
        <f t="shared" si="217"/>
        <v>0</v>
      </c>
      <c r="Q2604">
        <f t="shared" si="219"/>
        <v>-2</v>
      </c>
      <c r="R2604" t="str">
        <f t="shared" si="218"/>
        <v>Not open</v>
      </c>
    </row>
    <row r="2605" spans="1:18" x14ac:dyDescent="0.3">
      <c r="A2605" t="s">
        <v>2893</v>
      </c>
      <c r="B2605" t="s">
        <v>154</v>
      </c>
      <c r="C2605" t="s">
        <v>566</v>
      </c>
      <c r="D2605" s="1">
        <v>45659</v>
      </c>
      <c r="E2605" s="1">
        <v>45689</v>
      </c>
      <c r="F2605" t="s">
        <v>13</v>
      </c>
      <c r="G2605">
        <v>10800328</v>
      </c>
      <c r="H2605" s="1">
        <v>45690</v>
      </c>
      <c r="I2605" t="s">
        <v>555</v>
      </c>
      <c r="J2605" t="s">
        <v>556</v>
      </c>
      <c r="L2605">
        <v>10800328</v>
      </c>
      <c r="M2605">
        <f>IF(F2605="INR",1,INDEX('rates'!$B$2:$C$522,MATCH(D2605,'rates'!$A$2:$A$522,1),MATCH(F2605&amp;"/INR",'rates'!$B$1:$C$1,0)))</f>
        <v>1</v>
      </c>
      <c r="N2605">
        <f t="shared" si="215"/>
        <v>10800328</v>
      </c>
      <c r="O2605">
        <f t="shared" si="216"/>
        <v>0</v>
      </c>
      <c r="P2605">
        <f t="shared" si="217"/>
        <v>0</v>
      </c>
      <c r="Q2605">
        <f t="shared" si="219"/>
        <v>1</v>
      </c>
      <c r="R2605" t="str">
        <f t="shared" si="218"/>
        <v>Not open</v>
      </c>
    </row>
    <row r="2606" spans="1:18" x14ac:dyDescent="0.3">
      <c r="A2606" t="s">
        <v>2894</v>
      </c>
      <c r="B2606" t="s">
        <v>268</v>
      </c>
      <c r="C2606" t="s">
        <v>566</v>
      </c>
      <c r="D2606" s="1">
        <v>45659</v>
      </c>
      <c r="E2606" s="1">
        <v>45719</v>
      </c>
      <c r="F2606" t="s">
        <v>13</v>
      </c>
      <c r="G2606">
        <v>4186254</v>
      </c>
      <c r="H2606" s="1">
        <v>45738</v>
      </c>
      <c r="I2606" t="s">
        <v>555</v>
      </c>
      <c r="J2606" t="s">
        <v>556</v>
      </c>
      <c r="L2606">
        <v>4186254</v>
      </c>
      <c r="M2606">
        <f>IF(F2606="INR",1,INDEX('rates'!$B$2:$C$522,MATCH(D2606,'rates'!$A$2:$A$522,1),MATCH(F2606&amp;"/INR",'rates'!$B$1:$C$1,0)))</f>
        <v>1</v>
      </c>
      <c r="N2606">
        <f t="shared" si="215"/>
        <v>4186254</v>
      </c>
      <c r="O2606">
        <f t="shared" si="216"/>
        <v>0</v>
      </c>
      <c r="P2606">
        <f t="shared" si="217"/>
        <v>0</v>
      </c>
      <c r="Q2606">
        <f t="shared" si="219"/>
        <v>19</v>
      </c>
      <c r="R2606" t="str">
        <f t="shared" si="218"/>
        <v>Not open</v>
      </c>
    </row>
    <row r="2607" spans="1:18" x14ac:dyDescent="0.3">
      <c r="A2607" t="s">
        <v>2896</v>
      </c>
      <c r="B2607" t="s">
        <v>494</v>
      </c>
      <c r="C2607" t="s">
        <v>560</v>
      </c>
      <c r="D2607" s="1">
        <v>45659</v>
      </c>
      <c r="E2607" s="1">
        <v>45704</v>
      </c>
      <c r="F2607" t="s">
        <v>13</v>
      </c>
      <c r="G2607">
        <v>1104791</v>
      </c>
      <c r="H2607" s="1">
        <v>45717</v>
      </c>
      <c r="I2607" t="s">
        <v>555</v>
      </c>
      <c r="J2607" t="s">
        <v>556</v>
      </c>
      <c r="L2607">
        <v>1104791</v>
      </c>
      <c r="M2607">
        <f>IF(F2607="INR",1,INDEX('rates'!$B$2:$C$522,MATCH(D2607,'rates'!$A$2:$A$522,1),MATCH(F2607&amp;"/INR",'rates'!$B$1:$C$1,0)))</f>
        <v>1</v>
      </c>
      <c r="N2607">
        <f t="shared" si="215"/>
        <v>1104791</v>
      </c>
      <c r="O2607">
        <f t="shared" si="216"/>
        <v>0</v>
      </c>
      <c r="P2607">
        <f t="shared" si="217"/>
        <v>0</v>
      </c>
      <c r="Q2607">
        <f t="shared" si="219"/>
        <v>13</v>
      </c>
      <c r="R2607" t="str">
        <f t="shared" si="218"/>
        <v>Not open</v>
      </c>
    </row>
    <row r="2608" spans="1:18" x14ac:dyDescent="0.3">
      <c r="A2608" t="s">
        <v>2898</v>
      </c>
      <c r="B2608" t="s">
        <v>536</v>
      </c>
      <c r="C2608" t="s">
        <v>575</v>
      </c>
      <c r="D2608" s="1">
        <v>45659</v>
      </c>
      <c r="E2608" s="1">
        <v>45689</v>
      </c>
      <c r="F2608" t="s">
        <v>36</v>
      </c>
      <c r="G2608">
        <v>215617.29</v>
      </c>
      <c r="H2608" s="1">
        <v>45690</v>
      </c>
      <c r="I2608" t="s">
        <v>555</v>
      </c>
      <c r="J2608" t="s">
        <v>573</v>
      </c>
      <c r="K2608">
        <v>85.892899999999997</v>
      </c>
      <c r="L2608">
        <v>215617.29</v>
      </c>
      <c r="M2608">
        <f>IF(F2608="INR",1,INDEX('rates'!$B$2:$C$522,MATCH(D2608,'rates'!$A$2:$A$522,1),MATCH(F2608&amp;"/INR",'rates'!$B$1:$C$1,0)))</f>
        <v>85.75</v>
      </c>
      <c r="N2608">
        <f t="shared" si="215"/>
        <v>18489182.6175</v>
      </c>
      <c r="O2608">
        <f t="shared" si="216"/>
        <v>0</v>
      </c>
      <c r="P2608">
        <f t="shared" si="217"/>
        <v>0</v>
      </c>
      <c r="Q2608">
        <f t="shared" si="219"/>
        <v>1</v>
      </c>
      <c r="R2608" t="str">
        <f t="shared" si="218"/>
        <v>Not open</v>
      </c>
    </row>
    <row r="2609" spans="1:18" x14ac:dyDescent="0.3">
      <c r="A2609" t="s">
        <v>2900</v>
      </c>
      <c r="B2609" t="s">
        <v>87</v>
      </c>
      <c r="C2609" t="s">
        <v>566</v>
      </c>
      <c r="D2609" s="1">
        <v>45660</v>
      </c>
      <c r="E2609" s="1">
        <v>45705</v>
      </c>
      <c r="F2609" t="s">
        <v>36</v>
      </c>
      <c r="G2609">
        <v>90777.600000000006</v>
      </c>
      <c r="H2609" s="1">
        <v>45725</v>
      </c>
      <c r="I2609" t="s">
        <v>555</v>
      </c>
      <c r="J2609" t="s">
        <v>573</v>
      </c>
      <c r="K2609">
        <v>85.964399999999998</v>
      </c>
      <c r="L2609">
        <v>90777.600000000006</v>
      </c>
      <c r="M2609">
        <f>IF(F2609="INR",1,INDEX('rates'!$B$2:$C$522,MATCH(D2609,'rates'!$A$2:$A$522,1),MATCH(F2609&amp;"/INR",'rates'!$B$1:$C$1,0)))</f>
        <v>85.75</v>
      </c>
      <c r="N2609">
        <f t="shared" si="215"/>
        <v>7784179.2000000002</v>
      </c>
      <c r="O2609">
        <f t="shared" si="216"/>
        <v>0</v>
      </c>
      <c r="P2609">
        <f t="shared" si="217"/>
        <v>0</v>
      </c>
      <c r="Q2609">
        <f t="shared" si="219"/>
        <v>20</v>
      </c>
      <c r="R2609" t="str">
        <f t="shared" si="218"/>
        <v>Not open</v>
      </c>
    </row>
    <row r="2610" spans="1:18" x14ac:dyDescent="0.3">
      <c r="A2610" t="s">
        <v>2901</v>
      </c>
      <c r="B2610" t="s">
        <v>394</v>
      </c>
      <c r="C2610" t="s">
        <v>575</v>
      </c>
      <c r="D2610" s="1">
        <v>45660</v>
      </c>
      <c r="E2610" s="1">
        <v>45720</v>
      </c>
      <c r="F2610" t="s">
        <v>31</v>
      </c>
      <c r="G2610">
        <v>175901.16</v>
      </c>
      <c r="H2610" s="1">
        <v>45737</v>
      </c>
      <c r="I2610" t="s">
        <v>555</v>
      </c>
      <c r="J2610" t="s">
        <v>573</v>
      </c>
      <c r="K2610">
        <v>88.430400000000006</v>
      </c>
      <c r="L2610">
        <v>175901.16</v>
      </c>
      <c r="M2610">
        <f>IF(F2610="INR",1,INDEX('rates'!$B$2:$C$522,MATCH(D2610,'rates'!$A$2:$A$522,1),MATCH(F2610&amp;"/INR",'rates'!$B$1:$C$1,0)))</f>
        <v>88.253900000000002</v>
      </c>
      <c r="N2610">
        <f t="shared" si="215"/>
        <v>15523963.384524001</v>
      </c>
      <c r="O2610">
        <f t="shared" si="216"/>
        <v>0</v>
      </c>
      <c r="P2610">
        <f t="shared" si="217"/>
        <v>0</v>
      </c>
      <c r="Q2610">
        <f t="shared" si="219"/>
        <v>17</v>
      </c>
      <c r="R2610" t="str">
        <f t="shared" si="218"/>
        <v>Not open</v>
      </c>
    </row>
    <row r="2611" spans="1:18" x14ac:dyDescent="0.3">
      <c r="A2611" t="s">
        <v>2902</v>
      </c>
      <c r="B2611" t="s">
        <v>33</v>
      </c>
      <c r="C2611" t="s">
        <v>566</v>
      </c>
      <c r="D2611" s="1">
        <v>45661</v>
      </c>
      <c r="E2611" s="1">
        <v>45691</v>
      </c>
      <c r="F2611" t="s">
        <v>36</v>
      </c>
      <c r="G2611">
        <v>126493.71</v>
      </c>
      <c r="H2611" s="1">
        <v>45705</v>
      </c>
      <c r="I2611" t="s">
        <v>555</v>
      </c>
      <c r="J2611" t="s">
        <v>573</v>
      </c>
      <c r="K2611">
        <v>85.892899999999997</v>
      </c>
      <c r="L2611">
        <v>126493.71</v>
      </c>
      <c r="M2611">
        <f>IF(F2611="INR",1,INDEX('rates'!$B$2:$C$522,MATCH(D2611,'rates'!$A$2:$A$522,1),MATCH(F2611&amp;"/INR",'rates'!$B$1:$C$1,0)))</f>
        <v>85.75</v>
      </c>
      <c r="N2611">
        <f t="shared" si="215"/>
        <v>10846835.6325</v>
      </c>
      <c r="O2611">
        <f t="shared" si="216"/>
        <v>0</v>
      </c>
      <c r="P2611">
        <f t="shared" si="217"/>
        <v>0</v>
      </c>
      <c r="Q2611">
        <f t="shared" si="219"/>
        <v>14</v>
      </c>
      <c r="R2611" t="str">
        <f t="shared" si="218"/>
        <v>Not open</v>
      </c>
    </row>
    <row r="2612" spans="1:18" x14ac:dyDescent="0.3">
      <c r="A2612" t="s">
        <v>2903</v>
      </c>
      <c r="B2612" t="s">
        <v>286</v>
      </c>
      <c r="C2612" t="s">
        <v>558</v>
      </c>
      <c r="D2612" s="1">
        <v>45661</v>
      </c>
      <c r="E2612" s="1">
        <v>45721</v>
      </c>
      <c r="F2612" t="s">
        <v>36</v>
      </c>
      <c r="G2612">
        <v>139969.54</v>
      </c>
      <c r="H2612" s="1">
        <v>45726</v>
      </c>
      <c r="I2612" t="s">
        <v>555</v>
      </c>
      <c r="J2612" t="s">
        <v>556</v>
      </c>
      <c r="L2612">
        <v>139969.54</v>
      </c>
      <c r="M2612">
        <f>IF(F2612="INR",1,INDEX('rates'!$B$2:$C$522,MATCH(D2612,'rates'!$A$2:$A$522,1),MATCH(F2612&amp;"/INR",'rates'!$B$1:$C$1,0)))</f>
        <v>85.75</v>
      </c>
      <c r="N2612">
        <f t="shared" si="215"/>
        <v>12002388.055000002</v>
      </c>
      <c r="O2612">
        <f t="shared" si="216"/>
        <v>0</v>
      </c>
      <c r="P2612">
        <f t="shared" si="217"/>
        <v>0</v>
      </c>
      <c r="Q2612">
        <f t="shared" si="219"/>
        <v>5</v>
      </c>
      <c r="R2612" t="str">
        <f t="shared" si="218"/>
        <v>Not open</v>
      </c>
    </row>
    <row r="2613" spans="1:18" x14ac:dyDescent="0.3">
      <c r="A2613" t="s">
        <v>2904</v>
      </c>
      <c r="B2613" t="s">
        <v>322</v>
      </c>
      <c r="C2613" t="s">
        <v>558</v>
      </c>
      <c r="D2613" s="1">
        <v>45661</v>
      </c>
      <c r="E2613" s="1">
        <v>45721</v>
      </c>
      <c r="F2613" t="s">
        <v>13</v>
      </c>
      <c r="G2613">
        <v>7444450</v>
      </c>
      <c r="H2613" s="1">
        <v>45724</v>
      </c>
      <c r="I2613" t="s">
        <v>555</v>
      </c>
      <c r="J2613" t="s">
        <v>556</v>
      </c>
      <c r="L2613">
        <v>7444450</v>
      </c>
      <c r="M2613">
        <f>IF(F2613="INR",1,INDEX('rates'!$B$2:$C$522,MATCH(D2613,'rates'!$A$2:$A$522,1),MATCH(F2613&amp;"/INR",'rates'!$B$1:$C$1,0)))</f>
        <v>1</v>
      </c>
      <c r="N2613">
        <f t="shared" si="215"/>
        <v>7444450</v>
      </c>
      <c r="O2613">
        <f t="shared" si="216"/>
        <v>0</v>
      </c>
      <c r="P2613">
        <f t="shared" si="217"/>
        <v>0</v>
      </c>
      <c r="Q2613">
        <f t="shared" si="219"/>
        <v>3</v>
      </c>
      <c r="R2613" t="str">
        <f t="shared" si="218"/>
        <v>Not open</v>
      </c>
    </row>
    <row r="2614" spans="1:18" x14ac:dyDescent="0.3">
      <c r="A2614" t="s">
        <v>2907</v>
      </c>
      <c r="B2614" t="s">
        <v>186</v>
      </c>
      <c r="C2614" t="s">
        <v>558</v>
      </c>
      <c r="D2614" s="1">
        <v>45663</v>
      </c>
      <c r="E2614" s="1">
        <v>45693</v>
      </c>
      <c r="F2614" t="s">
        <v>36</v>
      </c>
      <c r="G2614">
        <v>23463.57</v>
      </c>
      <c r="H2614" s="1">
        <v>45741</v>
      </c>
      <c r="I2614" t="s">
        <v>555</v>
      </c>
      <c r="J2614" t="s">
        <v>556</v>
      </c>
      <c r="L2614">
        <v>23463.57</v>
      </c>
      <c r="M2614">
        <f>IF(F2614="INR",1,INDEX('rates'!$B$2:$C$522,MATCH(D2614,'rates'!$A$2:$A$522,1),MATCH(F2614&amp;"/INR",'rates'!$B$1:$C$1,0)))</f>
        <v>85.7</v>
      </c>
      <c r="N2614">
        <f t="shared" si="215"/>
        <v>2010827.949</v>
      </c>
      <c r="O2614">
        <f t="shared" si="216"/>
        <v>0</v>
      </c>
      <c r="P2614">
        <f t="shared" si="217"/>
        <v>0</v>
      </c>
      <c r="Q2614">
        <f t="shared" si="219"/>
        <v>48</v>
      </c>
      <c r="R2614" t="str">
        <f t="shared" si="218"/>
        <v>Not open</v>
      </c>
    </row>
    <row r="2615" spans="1:18" x14ac:dyDescent="0.3">
      <c r="A2615" t="s">
        <v>2908</v>
      </c>
      <c r="B2615" t="s">
        <v>476</v>
      </c>
      <c r="C2615" t="s">
        <v>566</v>
      </c>
      <c r="D2615" s="1">
        <v>45663</v>
      </c>
      <c r="E2615" s="1">
        <v>45708</v>
      </c>
      <c r="F2615" t="s">
        <v>13</v>
      </c>
      <c r="G2615">
        <v>6033719</v>
      </c>
      <c r="H2615" s="1">
        <v>45726</v>
      </c>
      <c r="I2615" t="s">
        <v>555</v>
      </c>
      <c r="J2615" t="s">
        <v>556</v>
      </c>
      <c r="L2615">
        <v>6033719</v>
      </c>
      <c r="M2615">
        <f>IF(F2615="INR",1,INDEX('rates'!$B$2:$C$522,MATCH(D2615,'rates'!$A$2:$A$522,1),MATCH(F2615&amp;"/INR",'rates'!$B$1:$C$1,0)))</f>
        <v>1</v>
      </c>
      <c r="N2615">
        <f t="shared" si="215"/>
        <v>6033719</v>
      </c>
      <c r="O2615">
        <f t="shared" si="216"/>
        <v>0</v>
      </c>
      <c r="P2615">
        <f t="shared" si="217"/>
        <v>0</v>
      </c>
      <c r="Q2615">
        <f t="shared" si="219"/>
        <v>18</v>
      </c>
      <c r="R2615" t="str">
        <f t="shared" si="218"/>
        <v>Not open</v>
      </c>
    </row>
    <row r="2616" spans="1:18" x14ac:dyDescent="0.3">
      <c r="A2616" t="s">
        <v>2909</v>
      </c>
      <c r="B2616" t="s">
        <v>49</v>
      </c>
      <c r="C2616" t="s">
        <v>554</v>
      </c>
      <c r="D2616" s="1">
        <v>45664</v>
      </c>
      <c r="E2616" s="1">
        <v>45709</v>
      </c>
      <c r="F2616" t="s">
        <v>13</v>
      </c>
      <c r="G2616">
        <v>1199017</v>
      </c>
      <c r="H2616" s="1">
        <v>45724</v>
      </c>
      <c r="I2616" t="s">
        <v>555</v>
      </c>
      <c r="J2616" t="s">
        <v>556</v>
      </c>
      <c r="L2616">
        <v>1199017</v>
      </c>
      <c r="M2616">
        <f>IF(F2616="INR",1,INDEX('rates'!$B$2:$C$522,MATCH(D2616,'rates'!$A$2:$A$522,1),MATCH(F2616&amp;"/INR",'rates'!$B$1:$C$1,0)))</f>
        <v>1</v>
      </c>
      <c r="N2616">
        <f t="shared" si="215"/>
        <v>1199017</v>
      </c>
      <c r="O2616">
        <f t="shared" si="216"/>
        <v>0</v>
      </c>
      <c r="P2616">
        <f t="shared" si="217"/>
        <v>0</v>
      </c>
      <c r="Q2616">
        <f t="shared" si="219"/>
        <v>15</v>
      </c>
      <c r="R2616" t="str">
        <f t="shared" si="218"/>
        <v>Not open</v>
      </c>
    </row>
    <row r="2617" spans="1:18" x14ac:dyDescent="0.3">
      <c r="A2617" t="s">
        <v>2913</v>
      </c>
      <c r="B2617" t="s">
        <v>152</v>
      </c>
      <c r="C2617" t="s">
        <v>558</v>
      </c>
      <c r="D2617" s="1">
        <v>45665</v>
      </c>
      <c r="E2617" s="1">
        <v>45725</v>
      </c>
      <c r="F2617" t="s">
        <v>13</v>
      </c>
      <c r="G2617">
        <v>3254970</v>
      </c>
      <c r="H2617" s="1">
        <v>45733</v>
      </c>
      <c r="I2617" t="s">
        <v>555</v>
      </c>
      <c r="J2617" t="s">
        <v>556</v>
      </c>
      <c r="L2617">
        <v>3254970</v>
      </c>
      <c r="M2617">
        <f>IF(F2617="INR",1,INDEX('rates'!$B$2:$C$522,MATCH(D2617,'rates'!$A$2:$A$522,1),MATCH(F2617&amp;"/INR",'rates'!$B$1:$C$1,0)))</f>
        <v>1</v>
      </c>
      <c r="N2617">
        <f t="shared" si="215"/>
        <v>3254970</v>
      </c>
      <c r="O2617">
        <f t="shared" si="216"/>
        <v>0</v>
      </c>
      <c r="P2617">
        <f t="shared" si="217"/>
        <v>0</v>
      </c>
      <c r="Q2617">
        <f t="shared" si="219"/>
        <v>8</v>
      </c>
      <c r="R2617" t="str">
        <f t="shared" si="218"/>
        <v>Not open</v>
      </c>
    </row>
    <row r="2618" spans="1:18" x14ac:dyDescent="0.3">
      <c r="A2618" t="s">
        <v>2915</v>
      </c>
      <c r="B2618" t="s">
        <v>222</v>
      </c>
      <c r="C2618" t="s">
        <v>560</v>
      </c>
      <c r="D2618" s="1">
        <v>45665</v>
      </c>
      <c r="E2618" s="1">
        <v>45725</v>
      </c>
      <c r="F2618" t="s">
        <v>36</v>
      </c>
      <c r="G2618">
        <v>125159.95</v>
      </c>
      <c r="H2618" s="1">
        <v>45744</v>
      </c>
      <c r="I2618" t="s">
        <v>555</v>
      </c>
      <c r="J2618" t="s">
        <v>556</v>
      </c>
      <c r="L2618">
        <v>125159.95</v>
      </c>
      <c r="M2618">
        <f>IF(F2618="INR",1,INDEX('rates'!$B$2:$C$522,MATCH(D2618,'rates'!$A$2:$A$522,1),MATCH(F2618&amp;"/INR",'rates'!$B$1:$C$1,0)))</f>
        <v>85.89</v>
      </c>
      <c r="N2618">
        <f t="shared" si="215"/>
        <v>10749988.1055</v>
      </c>
      <c r="O2618">
        <f t="shared" si="216"/>
        <v>0</v>
      </c>
      <c r="P2618">
        <f t="shared" si="217"/>
        <v>0</v>
      </c>
      <c r="Q2618">
        <f t="shared" si="219"/>
        <v>19</v>
      </c>
      <c r="R2618" t="str">
        <f t="shared" si="218"/>
        <v>Not open</v>
      </c>
    </row>
    <row r="2619" spans="1:18" x14ac:dyDescent="0.3">
      <c r="A2619" t="s">
        <v>2917</v>
      </c>
      <c r="B2619" t="s">
        <v>478</v>
      </c>
      <c r="C2619" t="s">
        <v>560</v>
      </c>
      <c r="D2619" s="1">
        <v>45665</v>
      </c>
      <c r="E2619" s="1">
        <v>45695</v>
      </c>
      <c r="F2619" t="s">
        <v>13</v>
      </c>
      <c r="G2619">
        <v>2419668</v>
      </c>
      <c r="H2619" s="1">
        <v>45703</v>
      </c>
      <c r="I2619" t="s">
        <v>555</v>
      </c>
      <c r="J2619" t="s">
        <v>556</v>
      </c>
      <c r="L2619">
        <v>2419668</v>
      </c>
      <c r="M2619">
        <f>IF(F2619="INR",1,INDEX('rates'!$B$2:$C$522,MATCH(D2619,'rates'!$A$2:$A$522,1),MATCH(F2619&amp;"/INR",'rates'!$B$1:$C$1,0)))</f>
        <v>1</v>
      </c>
      <c r="N2619">
        <f t="shared" si="215"/>
        <v>2419668</v>
      </c>
      <c r="O2619">
        <f t="shared" si="216"/>
        <v>0</v>
      </c>
      <c r="P2619">
        <f t="shared" si="217"/>
        <v>0</v>
      </c>
      <c r="Q2619">
        <f t="shared" si="219"/>
        <v>8</v>
      </c>
      <c r="R2619" t="str">
        <f t="shared" si="218"/>
        <v>Not open</v>
      </c>
    </row>
    <row r="2620" spans="1:18" x14ac:dyDescent="0.3">
      <c r="A2620" t="s">
        <v>2918</v>
      </c>
      <c r="B2620" t="s">
        <v>25</v>
      </c>
      <c r="C2620" t="s">
        <v>560</v>
      </c>
      <c r="D2620" s="1">
        <v>45666</v>
      </c>
      <c r="E2620" s="1">
        <v>45696</v>
      </c>
      <c r="F2620" t="s">
        <v>13</v>
      </c>
      <c r="G2620">
        <v>8001852</v>
      </c>
      <c r="H2620" s="1">
        <v>45721</v>
      </c>
      <c r="I2620" t="s">
        <v>555</v>
      </c>
      <c r="J2620" t="s">
        <v>556</v>
      </c>
      <c r="L2620">
        <v>8001852</v>
      </c>
      <c r="M2620">
        <f>IF(F2620="INR",1,INDEX('rates'!$B$2:$C$522,MATCH(D2620,'rates'!$A$2:$A$522,1),MATCH(F2620&amp;"/INR",'rates'!$B$1:$C$1,0)))</f>
        <v>1</v>
      </c>
      <c r="N2620">
        <f t="shared" si="215"/>
        <v>8001852</v>
      </c>
      <c r="O2620">
        <f t="shared" si="216"/>
        <v>0</v>
      </c>
      <c r="P2620">
        <f t="shared" si="217"/>
        <v>0</v>
      </c>
      <c r="Q2620">
        <f t="shared" si="219"/>
        <v>25</v>
      </c>
      <c r="R2620" t="str">
        <f t="shared" si="218"/>
        <v>Not open</v>
      </c>
    </row>
    <row r="2621" spans="1:18" x14ac:dyDescent="0.3">
      <c r="A2621" t="s">
        <v>2920</v>
      </c>
      <c r="B2621" t="s">
        <v>160</v>
      </c>
      <c r="C2621" t="s">
        <v>554</v>
      </c>
      <c r="D2621" s="1">
        <v>45666</v>
      </c>
      <c r="E2621" s="1">
        <v>45711</v>
      </c>
      <c r="F2621" t="s">
        <v>13</v>
      </c>
      <c r="G2621">
        <v>6699114</v>
      </c>
      <c r="H2621" s="1">
        <v>45712</v>
      </c>
      <c r="I2621" t="s">
        <v>555</v>
      </c>
      <c r="J2621" t="s">
        <v>556</v>
      </c>
      <c r="L2621">
        <v>6699114</v>
      </c>
      <c r="M2621">
        <f>IF(F2621="INR",1,INDEX('rates'!$B$2:$C$522,MATCH(D2621,'rates'!$A$2:$A$522,1),MATCH(F2621&amp;"/INR",'rates'!$B$1:$C$1,0)))</f>
        <v>1</v>
      </c>
      <c r="N2621">
        <f t="shared" si="215"/>
        <v>6699114</v>
      </c>
      <c r="O2621">
        <f t="shared" si="216"/>
        <v>0</v>
      </c>
      <c r="P2621">
        <f t="shared" si="217"/>
        <v>0</v>
      </c>
      <c r="Q2621">
        <f t="shared" si="219"/>
        <v>1</v>
      </c>
      <c r="R2621" t="str">
        <f t="shared" si="218"/>
        <v>Not open</v>
      </c>
    </row>
    <row r="2622" spans="1:18" x14ac:dyDescent="0.3">
      <c r="A2622" t="s">
        <v>2921</v>
      </c>
      <c r="B2622" t="s">
        <v>206</v>
      </c>
      <c r="C2622" t="s">
        <v>566</v>
      </c>
      <c r="D2622" s="1">
        <v>45666</v>
      </c>
      <c r="E2622" s="1">
        <v>45711</v>
      </c>
      <c r="F2622" t="s">
        <v>13</v>
      </c>
      <c r="G2622">
        <v>3314463</v>
      </c>
      <c r="H2622" s="1">
        <v>45735</v>
      </c>
      <c r="I2622" t="s">
        <v>555</v>
      </c>
      <c r="J2622" t="s">
        <v>556</v>
      </c>
      <c r="L2622">
        <v>3314463</v>
      </c>
      <c r="M2622">
        <f>IF(F2622="INR",1,INDEX('rates'!$B$2:$C$522,MATCH(D2622,'rates'!$A$2:$A$522,1),MATCH(F2622&amp;"/INR",'rates'!$B$1:$C$1,0)))</f>
        <v>1</v>
      </c>
      <c r="N2622">
        <f t="shared" si="215"/>
        <v>3314463</v>
      </c>
      <c r="O2622">
        <f t="shared" si="216"/>
        <v>0</v>
      </c>
      <c r="P2622">
        <f t="shared" si="217"/>
        <v>0</v>
      </c>
      <c r="Q2622">
        <f t="shared" ref="Q2622:Q2653" si="220">IF(H2622="","",H2622-E2622)</f>
        <v>24</v>
      </c>
      <c r="R2622" t="str">
        <f t="shared" si="218"/>
        <v>Not open</v>
      </c>
    </row>
    <row r="2623" spans="1:18" x14ac:dyDescent="0.3">
      <c r="A2623" t="s">
        <v>2923</v>
      </c>
      <c r="B2623" t="s">
        <v>402</v>
      </c>
      <c r="C2623" t="s">
        <v>558</v>
      </c>
      <c r="D2623" s="1">
        <v>45666</v>
      </c>
      <c r="E2623" s="1">
        <v>45726</v>
      </c>
      <c r="F2623" t="s">
        <v>13</v>
      </c>
      <c r="G2623">
        <v>14744297</v>
      </c>
      <c r="H2623" s="1">
        <v>45732</v>
      </c>
      <c r="I2623" t="s">
        <v>555</v>
      </c>
      <c r="J2623" t="s">
        <v>556</v>
      </c>
      <c r="L2623">
        <v>14744297</v>
      </c>
      <c r="M2623">
        <f>IF(F2623="INR",1,INDEX('rates'!$B$2:$C$522,MATCH(D2623,'rates'!$A$2:$A$522,1),MATCH(F2623&amp;"/INR",'rates'!$B$1:$C$1,0)))</f>
        <v>1</v>
      </c>
      <c r="N2623">
        <f t="shared" si="215"/>
        <v>14744297</v>
      </c>
      <c r="O2623">
        <f t="shared" si="216"/>
        <v>0</v>
      </c>
      <c r="P2623">
        <f t="shared" si="217"/>
        <v>0</v>
      </c>
      <c r="Q2623">
        <f t="shared" si="220"/>
        <v>6</v>
      </c>
      <c r="R2623" t="str">
        <f t="shared" si="218"/>
        <v>Not open</v>
      </c>
    </row>
    <row r="2624" spans="1:18" x14ac:dyDescent="0.3">
      <c r="A2624" t="s">
        <v>2925</v>
      </c>
      <c r="B2624" t="s">
        <v>466</v>
      </c>
      <c r="C2624" t="s">
        <v>558</v>
      </c>
      <c r="D2624" s="1">
        <v>45666</v>
      </c>
      <c r="E2624" s="1">
        <v>45726</v>
      </c>
      <c r="F2624" t="s">
        <v>31</v>
      </c>
      <c r="G2624">
        <v>101276.56</v>
      </c>
      <c r="H2624" s="1">
        <v>45736</v>
      </c>
      <c r="I2624" t="s">
        <v>555</v>
      </c>
      <c r="J2624" t="s">
        <v>556</v>
      </c>
      <c r="L2624">
        <v>101276.56</v>
      </c>
      <c r="M2624">
        <f>IF(F2624="INR",1,INDEX('rates'!$B$2:$C$522,MATCH(D2624,'rates'!$A$2:$A$522,1),MATCH(F2624&amp;"/INR",'rates'!$B$1:$C$1,0)))</f>
        <v>88.428899999999999</v>
      </c>
      <c r="N2624">
        <f t="shared" si="215"/>
        <v>8955774.7965839989</v>
      </c>
      <c r="O2624">
        <f t="shared" si="216"/>
        <v>0</v>
      </c>
      <c r="P2624">
        <f t="shared" si="217"/>
        <v>0</v>
      </c>
      <c r="Q2624">
        <f t="shared" si="220"/>
        <v>10</v>
      </c>
      <c r="R2624" t="str">
        <f t="shared" si="218"/>
        <v>Not open</v>
      </c>
    </row>
    <row r="2625" spans="1:18" x14ac:dyDescent="0.3">
      <c r="A2625" t="s">
        <v>2928</v>
      </c>
      <c r="B2625" t="s">
        <v>160</v>
      </c>
      <c r="C2625" t="s">
        <v>554</v>
      </c>
      <c r="D2625" s="1">
        <v>45667</v>
      </c>
      <c r="E2625" s="1">
        <v>45712</v>
      </c>
      <c r="F2625" t="s">
        <v>13</v>
      </c>
      <c r="G2625">
        <v>6175892</v>
      </c>
      <c r="H2625" s="1">
        <v>45713</v>
      </c>
      <c r="I2625" t="s">
        <v>555</v>
      </c>
      <c r="J2625" t="s">
        <v>556</v>
      </c>
      <c r="L2625">
        <v>6175892</v>
      </c>
      <c r="M2625">
        <f>IF(F2625="INR",1,INDEX('rates'!$B$2:$C$522,MATCH(D2625,'rates'!$A$2:$A$522,1),MATCH(F2625&amp;"/INR",'rates'!$B$1:$C$1,0)))</f>
        <v>1</v>
      </c>
      <c r="N2625">
        <f t="shared" si="215"/>
        <v>6175892</v>
      </c>
      <c r="O2625">
        <f t="shared" si="216"/>
        <v>0</v>
      </c>
      <c r="P2625">
        <f t="shared" si="217"/>
        <v>0</v>
      </c>
      <c r="Q2625">
        <f t="shared" si="220"/>
        <v>1</v>
      </c>
      <c r="R2625" t="str">
        <f t="shared" si="218"/>
        <v>Not open</v>
      </c>
    </row>
    <row r="2626" spans="1:18" x14ac:dyDescent="0.3">
      <c r="A2626" t="s">
        <v>2930</v>
      </c>
      <c r="B2626" t="s">
        <v>336</v>
      </c>
      <c r="C2626" t="s">
        <v>554</v>
      </c>
      <c r="D2626" s="1">
        <v>45667</v>
      </c>
      <c r="E2626" s="1">
        <v>45697</v>
      </c>
      <c r="F2626" t="s">
        <v>13</v>
      </c>
      <c r="G2626">
        <v>2277917</v>
      </c>
      <c r="H2626" s="1">
        <v>45703</v>
      </c>
      <c r="I2626" t="s">
        <v>555</v>
      </c>
      <c r="J2626" t="s">
        <v>556</v>
      </c>
      <c r="L2626">
        <v>2277917</v>
      </c>
      <c r="M2626">
        <f>IF(F2626="INR",1,INDEX('rates'!$B$2:$C$522,MATCH(D2626,'rates'!$A$2:$A$522,1),MATCH(F2626&amp;"/INR",'rates'!$B$1:$C$1,0)))</f>
        <v>1</v>
      </c>
      <c r="N2626">
        <f t="shared" ref="N2626:N2689" si="221">G2626*M2626</f>
        <v>2277917</v>
      </c>
      <c r="O2626">
        <f t="shared" ref="O2626:O2689" si="222">IF(OR(I2626="OPEN",I2626="PARTIALLY PAID"),(G2626-L2626)*M2626,0)</f>
        <v>0</v>
      </c>
      <c r="P2626">
        <f t="shared" ref="P2626:P2689" si="223">IF(O2626&gt;0,MAX(0,DATE(2025,3,31)-E2626),0)</f>
        <v>0</v>
      </c>
      <c r="Q2626">
        <f t="shared" si="220"/>
        <v>6</v>
      </c>
      <c r="R2626" t="str">
        <f t="shared" ref="R2626:R2689" si="224">IF(O2626=0,"Not open",IF(P2626=0,"Not yet due",IF(P2626&lt;=30,"1-30",IF(P2626&lt;=60,"31-60",IF(P2626&lt;=90,"61-90","90+")))))</f>
        <v>Not open</v>
      </c>
    </row>
    <row r="2627" spans="1:18" x14ac:dyDescent="0.3">
      <c r="A2627" t="s">
        <v>2932</v>
      </c>
      <c r="B2627" t="s">
        <v>414</v>
      </c>
      <c r="C2627" t="s">
        <v>566</v>
      </c>
      <c r="D2627" s="1">
        <v>45667</v>
      </c>
      <c r="E2627" s="1">
        <v>45712</v>
      </c>
      <c r="F2627" t="s">
        <v>13</v>
      </c>
      <c r="G2627">
        <v>3617061</v>
      </c>
      <c r="H2627" s="1">
        <v>45717</v>
      </c>
      <c r="I2627" t="s">
        <v>555</v>
      </c>
      <c r="J2627" t="s">
        <v>556</v>
      </c>
      <c r="L2627">
        <v>3617061</v>
      </c>
      <c r="M2627">
        <f>IF(F2627="INR",1,INDEX('rates'!$B$2:$C$522,MATCH(D2627,'rates'!$A$2:$A$522,1),MATCH(F2627&amp;"/INR",'rates'!$B$1:$C$1,0)))</f>
        <v>1</v>
      </c>
      <c r="N2627">
        <f t="shared" si="221"/>
        <v>3617061</v>
      </c>
      <c r="O2627">
        <f t="shared" si="222"/>
        <v>0</v>
      </c>
      <c r="P2627">
        <f t="shared" si="223"/>
        <v>0</v>
      </c>
      <c r="Q2627">
        <f t="shared" si="220"/>
        <v>5</v>
      </c>
      <c r="R2627" t="str">
        <f t="shared" si="224"/>
        <v>Not open</v>
      </c>
    </row>
    <row r="2628" spans="1:18" x14ac:dyDescent="0.3">
      <c r="A2628" t="s">
        <v>2933</v>
      </c>
      <c r="B2628" t="s">
        <v>28</v>
      </c>
      <c r="C2628" t="s">
        <v>566</v>
      </c>
      <c r="D2628" s="1">
        <v>45668</v>
      </c>
      <c r="E2628" s="1">
        <v>45698</v>
      </c>
      <c r="F2628" t="s">
        <v>31</v>
      </c>
      <c r="G2628">
        <v>47282.99</v>
      </c>
      <c r="H2628" s="1">
        <v>45722</v>
      </c>
      <c r="I2628" t="s">
        <v>555</v>
      </c>
      <c r="J2628" t="s">
        <v>573</v>
      </c>
      <c r="K2628">
        <v>88.093800000000002</v>
      </c>
      <c r="L2628">
        <v>47282.99</v>
      </c>
      <c r="M2628">
        <f>IF(F2628="INR",1,INDEX('rates'!$B$2:$C$522,MATCH(D2628,'rates'!$A$2:$A$522,1),MATCH(F2628&amp;"/INR",'rates'!$B$1:$C$1,0)))</f>
        <v>88.005799999999994</v>
      </c>
      <c r="N2628">
        <f t="shared" si="221"/>
        <v>4161177.3613419994</v>
      </c>
      <c r="O2628">
        <f t="shared" si="222"/>
        <v>0</v>
      </c>
      <c r="P2628">
        <f t="shared" si="223"/>
        <v>0</v>
      </c>
      <c r="Q2628">
        <f t="shared" si="220"/>
        <v>24</v>
      </c>
      <c r="R2628" t="str">
        <f t="shared" si="224"/>
        <v>Not open</v>
      </c>
    </row>
    <row r="2629" spans="1:18" x14ac:dyDescent="0.3">
      <c r="A2629" t="s">
        <v>2935</v>
      </c>
      <c r="B2629" t="s">
        <v>156</v>
      </c>
      <c r="C2629" t="s">
        <v>566</v>
      </c>
      <c r="D2629" s="1">
        <v>45668</v>
      </c>
      <c r="E2629" s="1">
        <v>45698</v>
      </c>
      <c r="F2629" t="s">
        <v>13</v>
      </c>
      <c r="G2629">
        <v>1189566</v>
      </c>
      <c r="H2629" s="1">
        <v>45720</v>
      </c>
      <c r="I2629" t="s">
        <v>555</v>
      </c>
      <c r="J2629" t="s">
        <v>556</v>
      </c>
      <c r="L2629">
        <v>1189566</v>
      </c>
      <c r="M2629">
        <f>IF(F2629="INR",1,INDEX('rates'!$B$2:$C$522,MATCH(D2629,'rates'!$A$2:$A$522,1),MATCH(F2629&amp;"/INR",'rates'!$B$1:$C$1,0)))</f>
        <v>1</v>
      </c>
      <c r="N2629">
        <f t="shared" si="221"/>
        <v>1189566</v>
      </c>
      <c r="O2629">
        <f t="shared" si="222"/>
        <v>0</v>
      </c>
      <c r="P2629">
        <f t="shared" si="223"/>
        <v>0</v>
      </c>
      <c r="Q2629">
        <f t="shared" si="220"/>
        <v>22</v>
      </c>
      <c r="R2629" t="str">
        <f t="shared" si="224"/>
        <v>Not open</v>
      </c>
    </row>
    <row r="2630" spans="1:18" x14ac:dyDescent="0.3">
      <c r="A2630" t="s">
        <v>2936</v>
      </c>
      <c r="B2630" t="s">
        <v>258</v>
      </c>
      <c r="C2630" t="s">
        <v>558</v>
      </c>
      <c r="D2630" s="1">
        <v>45668</v>
      </c>
      <c r="E2630" s="1">
        <v>45713</v>
      </c>
      <c r="F2630" t="s">
        <v>13</v>
      </c>
      <c r="G2630">
        <v>28497242</v>
      </c>
      <c r="H2630" s="1">
        <v>45721</v>
      </c>
      <c r="I2630" t="s">
        <v>555</v>
      </c>
      <c r="J2630" t="s">
        <v>556</v>
      </c>
      <c r="L2630">
        <v>28497242</v>
      </c>
      <c r="M2630">
        <f>IF(F2630="INR",1,INDEX('rates'!$B$2:$C$522,MATCH(D2630,'rates'!$A$2:$A$522,1),MATCH(F2630&amp;"/INR",'rates'!$B$1:$C$1,0)))</f>
        <v>1</v>
      </c>
      <c r="N2630">
        <f t="shared" si="221"/>
        <v>28497242</v>
      </c>
      <c r="O2630">
        <f t="shared" si="222"/>
        <v>0</v>
      </c>
      <c r="P2630">
        <f t="shared" si="223"/>
        <v>0</v>
      </c>
      <c r="Q2630">
        <f t="shared" si="220"/>
        <v>8</v>
      </c>
      <c r="R2630" t="str">
        <f t="shared" si="224"/>
        <v>Not open</v>
      </c>
    </row>
    <row r="2631" spans="1:18" x14ac:dyDescent="0.3">
      <c r="A2631" t="s">
        <v>2940</v>
      </c>
      <c r="B2631" t="s">
        <v>454</v>
      </c>
      <c r="C2631" t="s">
        <v>575</v>
      </c>
      <c r="D2631" s="1">
        <v>45668</v>
      </c>
      <c r="E2631" s="1">
        <v>45728</v>
      </c>
      <c r="F2631" t="s">
        <v>13</v>
      </c>
      <c r="G2631">
        <v>5786232</v>
      </c>
      <c r="H2631" s="1">
        <v>45731</v>
      </c>
      <c r="I2631" t="s">
        <v>555</v>
      </c>
      <c r="J2631" t="s">
        <v>556</v>
      </c>
      <c r="L2631">
        <v>5786232</v>
      </c>
      <c r="M2631">
        <f>IF(F2631="INR",1,INDEX('rates'!$B$2:$C$522,MATCH(D2631,'rates'!$A$2:$A$522,1),MATCH(F2631&amp;"/INR",'rates'!$B$1:$C$1,0)))</f>
        <v>1</v>
      </c>
      <c r="N2631">
        <f t="shared" si="221"/>
        <v>5786232</v>
      </c>
      <c r="O2631">
        <f t="shared" si="222"/>
        <v>0</v>
      </c>
      <c r="P2631">
        <f t="shared" si="223"/>
        <v>0</v>
      </c>
      <c r="Q2631">
        <f t="shared" si="220"/>
        <v>3</v>
      </c>
      <c r="R2631" t="str">
        <f t="shared" si="224"/>
        <v>Not open</v>
      </c>
    </row>
    <row r="2632" spans="1:18" x14ac:dyDescent="0.3">
      <c r="A2632" t="s">
        <v>2941</v>
      </c>
      <c r="B2632" t="s">
        <v>516</v>
      </c>
      <c r="C2632" t="s">
        <v>560</v>
      </c>
      <c r="D2632" s="1">
        <v>45668</v>
      </c>
      <c r="E2632" s="1">
        <v>45728</v>
      </c>
      <c r="F2632" t="s">
        <v>13</v>
      </c>
      <c r="G2632">
        <v>4707513</v>
      </c>
      <c r="H2632" s="1">
        <v>45734</v>
      </c>
      <c r="I2632" t="s">
        <v>555</v>
      </c>
      <c r="J2632" t="s">
        <v>556</v>
      </c>
      <c r="L2632">
        <v>4707513</v>
      </c>
      <c r="M2632">
        <f>IF(F2632="INR",1,INDEX('rates'!$B$2:$C$522,MATCH(D2632,'rates'!$A$2:$A$522,1),MATCH(F2632&amp;"/INR",'rates'!$B$1:$C$1,0)))</f>
        <v>1</v>
      </c>
      <c r="N2632">
        <f t="shared" si="221"/>
        <v>4707513</v>
      </c>
      <c r="O2632">
        <f t="shared" si="222"/>
        <v>0</v>
      </c>
      <c r="P2632">
        <f t="shared" si="223"/>
        <v>0</v>
      </c>
      <c r="Q2632">
        <f t="shared" si="220"/>
        <v>6</v>
      </c>
      <c r="R2632" t="str">
        <f t="shared" si="224"/>
        <v>Not open</v>
      </c>
    </row>
    <row r="2633" spans="1:18" x14ac:dyDescent="0.3">
      <c r="A2633" t="s">
        <v>2942</v>
      </c>
      <c r="B2633" t="s">
        <v>33</v>
      </c>
      <c r="C2633" t="s">
        <v>566</v>
      </c>
      <c r="D2633" s="1">
        <v>45670</v>
      </c>
      <c r="E2633" s="1">
        <v>45700</v>
      </c>
      <c r="F2633" t="s">
        <v>36</v>
      </c>
      <c r="G2633">
        <v>30231.35</v>
      </c>
      <c r="H2633" s="1">
        <v>45741</v>
      </c>
      <c r="I2633" t="s">
        <v>555</v>
      </c>
      <c r="J2633" t="s">
        <v>573</v>
      </c>
      <c r="K2633">
        <v>86.834500000000006</v>
      </c>
      <c r="L2633">
        <v>30231.35</v>
      </c>
      <c r="M2633">
        <f>IF(F2633="INR",1,INDEX('rates'!$B$2:$C$522,MATCH(D2633,'rates'!$A$2:$A$522,1),MATCH(F2633&amp;"/INR",'rates'!$B$1:$C$1,0)))</f>
        <v>86.69</v>
      </c>
      <c r="N2633">
        <f t="shared" si="221"/>
        <v>2620755.7314999998</v>
      </c>
      <c r="O2633">
        <f t="shared" si="222"/>
        <v>0</v>
      </c>
      <c r="P2633">
        <f t="shared" si="223"/>
        <v>0</v>
      </c>
      <c r="Q2633">
        <f t="shared" si="220"/>
        <v>41</v>
      </c>
      <c r="R2633" t="str">
        <f t="shared" si="224"/>
        <v>Not open</v>
      </c>
    </row>
    <row r="2634" spans="1:18" x14ac:dyDescent="0.3">
      <c r="A2634" t="s">
        <v>2945</v>
      </c>
      <c r="B2634" t="s">
        <v>154</v>
      </c>
      <c r="C2634" t="s">
        <v>566</v>
      </c>
      <c r="D2634" s="1">
        <v>45670</v>
      </c>
      <c r="E2634" s="1">
        <v>45700</v>
      </c>
      <c r="F2634" t="s">
        <v>13</v>
      </c>
      <c r="G2634">
        <v>10922740</v>
      </c>
      <c r="H2634" s="1">
        <v>45695</v>
      </c>
      <c r="I2634" t="s">
        <v>555</v>
      </c>
      <c r="J2634" t="s">
        <v>556</v>
      </c>
      <c r="L2634">
        <v>10922740</v>
      </c>
      <c r="M2634">
        <f>IF(F2634="INR",1,INDEX('rates'!$B$2:$C$522,MATCH(D2634,'rates'!$A$2:$A$522,1),MATCH(F2634&amp;"/INR",'rates'!$B$1:$C$1,0)))</f>
        <v>1</v>
      </c>
      <c r="N2634">
        <f t="shared" si="221"/>
        <v>10922740</v>
      </c>
      <c r="O2634">
        <f t="shared" si="222"/>
        <v>0</v>
      </c>
      <c r="P2634">
        <f t="shared" si="223"/>
        <v>0</v>
      </c>
      <c r="Q2634">
        <f t="shared" si="220"/>
        <v>-5</v>
      </c>
      <c r="R2634" t="str">
        <f t="shared" si="224"/>
        <v>Not open</v>
      </c>
    </row>
    <row r="2635" spans="1:18" x14ac:dyDescent="0.3">
      <c r="A2635" t="s">
        <v>2949</v>
      </c>
      <c r="B2635" t="s">
        <v>476</v>
      </c>
      <c r="C2635" t="s">
        <v>566</v>
      </c>
      <c r="D2635" s="1">
        <v>45670</v>
      </c>
      <c r="E2635" s="1">
        <v>45715</v>
      </c>
      <c r="F2635" t="s">
        <v>13</v>
      </c>
      <c r="G2635">
        <v>7916136</v>
      </c>
      <c r="H2635" s="1">
        <v>45738</v>
      </c>
      <c r="I2635" t="s">
        <v>555</v>
      </c>
      <c r="J2635" t="s">
        <v>556</v>
      </c>
      <c r="L2635">
        <v>7916136</v>
      </c>
      <c r="M2635">
        <f>IF(F2635="INR",1,INDEX('rates'!$B$2:$C$522,MATCH(D2635,'rates'!$A$2:$A$522,1),MATCH(F2635&amp;"/INR",'rates'!$B$1:$C$1,0)))</f>
        <v>1</v>
      </c>
      <c r="N2635">
        <f t="shared" si="221"/>
        <v>7916136</v>
      </c>
      <c r="O2635">
        <f t="shared" si="222"/>
        <v>0</v>
      </c>
      <c r="P2635">
        <f t="shared" si="223"/>
        <v>0</v>
      </c>
      <c r="Q2635">
        <f t="shared" si="220"/>
        <v>23</v>
      </c>
      <c r="R2635" t="str">
        <f t="shared" si="224"/>
        <v>Not open</v>
      </c>
    </row>
    <row r="2636" spans="1:18" x14ac:dyDescent="0.3">
      <c r="A2636" t="s">
        <v>2951</v>
      </c>
      <c r="B2636" t="s">
        <v>300</v>
      </c>
      <c r="C2636" t="s">
        <v>566</v>
      </c>
      <c r="D2636" s="1">
        <v>45672</v>
      </c>
      <c r="E2636" s="1">
        <v>45702</v>
      </c>
      <c r="F2636" t="s">
        <v>13</v>
      </c>
      <c r="G2636">
        <v>1211755</v>
      </c>
      <c r="H2636" s="1">
        <v>45696</v>
      </c>
      <c r="I2636" t="s">
        <v>555</v>
      </c>
      <c r="J2636" t="s">
        <v>556</v>
      </c>
      <c r="L2636">
        <v>1211755</v>
      </c>
      <c r="M2636">
        <f>IF(F2636="INR",1,INDEX('rates'!$B$2:$C$522,MATCH(D2636,'rates'!$A$2:$A$522,1),MATCH(F2636&amp;"/INR",'rates'!$B$1:$C$1,0)))</f>
        <v>1</v>
      </c>
      <c r="N2636">
        <f t="shared" si="221"/>
        <v>1211755</v>
      </c>
      <c r="O2636">
        <f t="shared" si="222"/>
        <v>0</v>
      </c>
      <c r="P2636">
        <f t="shared" si="223"/>
        <v>0</v>
      </c>
      <c r="Q2636">
        <f t="shared" si="220"/>
        <v>-6</v>
      </c>
      <c r="R2636" t="str">
        <f t="shared" si="224"/>
        <v>Not open</v>
      </c>
    </row>
    <row r="2637" spans="1:18" x14ac:dyDescent="0.3">
      <c r="A2637" t="s">
        <v>2953</v>
      </c>
      <c r="B2637" t="s">
        <v>328</v>
      </c>
      <c r="C2637" t="s">
        <v>560</v>
      </c>
      <c r="D2637" s="1">
        <v>45672</v>
      </c>
      <c r="E2637" s="1">
        <v>45717</v>
      </c>
      <c r="F2637" t="s">
        <v>13</v>
      </c>
      <c r="G2637">
        <v>10713303</v>
      </c>
      <c r="H2637" s="1">
        <v>45712</v>
      </c>
      <c r="I2637" t="s">
        <v>555</v>
      </c>
      <c r="J2637" t="s">
        <v>556</v>
      </c>
      <c r="L2637">
        <v>10713303</v>
      </c>
      <c r="M2637">
        <f>IF(F2637="INR",1,INDEX('rates'!$B$2:$C$522,MATCH(D2637,'rates'!$A$2:$A$522,1),MATCH(F2637&amp;"/INR",'rates'!$B$1:$C$1,0)))</f>
        <v>1</v>
      </c>
      <c r="N2637">
        <f t="shared" si="221"/>
        <v>10713303</v>
      </c>
      <c r="O2637">
        <f t="shared" si="222"/>
        <v>0</v>
      </c>
      <c r="P2637">
        <f t="shared" si="223"/>
        <v>0</v>
      </c>
      <c r="Q2637">
        <f t="shared" si="220"/>
        <v>-5</v>
      </c>
      <c r="R2637" t="str">
        <f t="shared" si="224"/>
        <v>Not open</v>
      </c>
    </row>
    <row r="2638" spans="1:18" x14ac:dyDescent="0.3">
      <c r="A2638" t="s">
        <v>2956</v>
      </c>
      <c r="B2638" t="s">
        <v>154</v>
      </c>
      <c r="C2638" t="s">
        <v>566</v>
      </c>
      <c r="D2638" s="1">
        <v>45673</v>
      </c>
      <c r="E2638" s="1">
        <v>45703</v>
      </c>
      <c r="F2638" t="s">
        <v>13</v>
      </c>
      <c r="G2638">
        <v>12859042</v>
      </c>
      <c r="H2638" s="1">
        <v>45708</v>
      </c>
      <c r="I2638" t="s">
        <v>555</v>
      </c>
      <c r="J2638" t="s">
        <v>556</v>
      </c>
      <c r="L2638">
        <v>12859042</v>
      </c>
      <c r="M2638">
        <f>IF(F2638="INR",1,INDEX('rates'!$B$2:$C$522,MATCH(D2638,'rates'!$A$2:$A$522,1),MATCH(F2638&amp;"/INR",'rates'!$B$1:$C$1,0)))</f>
        <v>1</v>
      </c>
      <c r="N2638">
        <f t="shared" si="221"/>
        <v>12859042</v>
      </c>
      <c r="O2638">
        <f t="shared" si="222"/>
        <v>0</v>
      </c>
      <c r="P2638">
        <f t="shared" si="223"/>
        <v>0</v>
      </c>
      <c r="Q2638">
        <f t="shared" si="220"/>
        <v>5</v>
      </c>
      <c r="R2638" t="str">
        <f t="shared" si="224"/>
        <v>Not open</v>
      </c>
    </row>
    <row r="2639" spans="1:18" x14ac:dyDescent="0.3">
      <c r="A2639" t="s">
        <v>2957</v>
      </c>
      <c r="B2639" t="s">
        <v>378</v>
      </c>
      <c r="C2639" t="s">
        <v>566</v>
      </c>
      <c r="D2639" s="1">
        <v>45673</v>
      </c>
      <c r="E2639" s="1">
        <v>45718</v>
      </c>
      <c r="F2639" t="s">
        <v>31</v>
      </c>
      <c r="G2639">
        <v>94150.93</v>
      </c>
      <c r="H2639" s="1">
        <v>45718</v>
      </c>
      <c r="I2639" t="s">
        <v>555</v>
      </c>
      <c r="J2639" t="s">
        <v>573</v>
      </c>
      <c r="K2639">
        <v>89.326899999999995</v>
      </c>
      <c r="L2639">
        <v>94150.93</v>
      </c>
      <c r="M2639">
        <f>IF(F2639="INR",1,INDEX('rates'!$B$2:$C$522,MATCH(D2639,'rates'!$A$2:$A$522,1),MATCH(F2639&amp;"/INR",'rates'!$B$1:$C$1,0)))</f>
        <v>89.193100000000001</v>
      </c>
      <c r="N2639">
        <f t="shared" si="221"/>
        <v>8397613.3145829998</v>
      </c>
      <c r="O2639">
        <f t="shared" si="222"/>
        <v>0</v>
      </c>
      <c r="P2639">
        <f t="shared" si="223"/>
        <v>0</v>
      </c>
      <c r="Q2639">
        <f t="shared" si="220"/>
        <v>0</v>
      </c>
      <c r="R2639" t="str">
        <f t="shared" si="224"/>
        <v>Not open</v>
      </c>
    </row>
    <row r="2640" spans="1:18" x14ac:dyDescent="0.3">
      <c r="A2640" t="s">
        <v>2960</v>
      </c>
      <c r="B2640" t="s">
        <v>200</v>
      </c>
      <c r="C2640" t="s">
        <v>554</v>
      </c>
      <c r="D2640" s="1">
        <v>45674</v>
      </c>
      <c r="E2640" s="1">
        <v>45734</v>
      </c>
      <c r="F2640" t="s">
        <v>13</v>
      </c>
      <c r="G2640">
        <v>4703458</v>
      </c>
      <c r="H2640" s="1">
        <v>45736</v>
      </c>
      <c r="I2640" t="s">
        <v>555</v>
      </c>
      <c r="J2640" t="s">
        <v>556</v>
      </c>
      <c r="L2640">
        <v>4703458</v>
      </c>
      <c r="M2640">
        <f>IF(F2640="INR",1,INDEX('rates'!$B$2:$C$522,MATCH(D2640,'rates'!$A$2:$A$522,1),MATCH(F2640&amp;"/INR",'rates'!$B$1:$C$1,0)))</f>
        <v>1</v>
      </c>
      <c r="N2640">
        <f t="shared" si="221"/>
        <v>4703458</v>
      </c>
      <c r="O2640">
        <f t="shared" si="222"/>
        <v>0</v>
      </c>
      <c r="P2640">
        <f t="shared" si="223"/>
        <v>0</v>
      </c>
      <c r="Q2640">
        <f t="shared" si="220"/>
        <v>2</v>
      </c>
      <c r="R2640" t="str">
        <f t="shared" si="224"/>
        <v>Not open</v>
      </c>
    </row>
    <row r="2641" spans="1:18" x14ac:dyDescent="0.3">
      <c r="A2641" t="s">
        <v>2964</v>
      </c>
      <c r="B2641" t="s">
        <v>140</v>
      </c>
      <c r="C2641" t="s">
        <v>554</v>
      </c>
      <c r="D2641" s="1">
        <v>45675</v>
      </c>
      <c r="E2641" s="1">
        <v>45735</v>
      </c>
      <c r="F2641" t="s">
        <v>13</v>
      </c>
      <c r="G2641">
        <v>4440000</v>
      </c>
      <c r="H2641" s="1">
        <v>45733</v>
      </c>
      <c r="I2641" t="s">
        <v>555</v>
      </c>
      <c r="J2641" t="s">
        <v>556</v>
      </c>
      <c r="L2641">
        <v>4440000</v>
      </c>
      <c r="M2641">
        <f>IF(F2641="INR",1,INDEX('rates'!$B$2:$C$522,MATCH(D2641,'rates'!$A$2:$A$522,1),MATCH(F2641&amp;"/INR",'rates'!$B$1:$C$1,0)))</f>
        <v>1</v>
      </c>
      <c r="N2641">
        <f t="shared" si="221"/>
        <v>4440000</v>
      </c>
      <c r="O2641">
        <f t="shared" si="222"/>
        <v>0</v>
      </c>
      <c r="P2641">
        <f t="shared" si="223"/>
        <v>0</v>
      </c>
      <c r="Q2641">
        <f t="shared" si="220"/>
        <v>-2</v>
      </c>
      <c r="R2641" t="str">
        <f t="shared" si="224"/>
        <v>Not open</v>
      </c>
    </row>
    <row r="2642" spans="1:18" x14ac:dyDescent="0.3">
      <c r="A2642" t="s">
        <v>2965</v>
      </c>
      <c r="B2642" t="s">
        <v>166</v>
      </c>
      <c r="C2642" t="s">
        <v>560</v>
      </c>
      <c r="D2642" s="1">
        <v>45675</v>
      </c>
      <c r="E2642" s="1">
        <v>45735</v>
      </c>
      <c r="F2642" t="s">
        <v>13</v>
      </c>
      <c r="G2642">
        <v>8473795</v>
      </c>
      <c r="H2642" s="1">
        <v>45740</v>
      </c>
      <c r="I2642" t="s">
        <v>555</v>
      </c>
      <c r="J2642" t="s">
        <v>556</v>
      </c>
      <c r="L2642">
        <v>8473795</v>
      </c>
      <c r="M2642">
        <f>IF(F2642="INR",1,INDEX('rates'!$B$2:$C$522,MATCH(D2642,'rates'!$A$2:$A$522,1),MATCH(F2642&amp;"/INR",'rates'!$B$1:$C$1,0)))</f>
        <v>1</v>
      </c>
      <c r="N2642">
        <f t="shared" si="221"/>
        <v>8473795</v>
      </c>
      <c r="O2642">
        <f t="shared" si="222"/>
        <v>0</v>
      </c>
      <c r="P2642">
        <f t="shared" si="223"/>
        <v>0</v>
      </c>
      <c r="Q2642">
        <f t="shared" si="220"/>
        <v>5</v>
      </c>
      <c r="R2642" t="str">
        <f t="shared" si="224"/>
        <v>Not open</v>
      </c>
    </row>
    <row r="2643" spans="1:18" x14ac:dyDescent="0.3">
      <c r="A2643" t="s">
        <v>2966</v>
      </c>
      <c r="B2643" t="s">
        <v>186</v>
      </c>
      <c r="C2643" t="s">
        <v>558</v>
      </c>
      <c r="D2643" s="1">
        <v>45675</v>
      </c>
      <c r="E2643" s="1">
        <v>45705</v>
      </c>
      <c r="F2643" t="s">
        <v>36</v>
      </c>
      <c r="G2643">
        <v>106176.48</v>
      </c>
      <c r="H2643" s="1">
        <v>45719</v>
      </c>
      <c r="I2643" t="s">
        <v>555</v>
      </c>
      <c r="J2643" t="s">
        <v>556</v>
      </c>
      <c r="L2643">
        <v>106176.48</v>
      </c>
      <c r="M2643">
        <f>IF(F2643="INR",1,INDEX('rates'!$B$2:$C$522,MATCH(D2643,'rates'!$A$2:$A$522,1),MATCH(F2643&amp;"/INR",'rates'!$B$1:$C$1,0)))</f>
        <v>86.55</v>
      </c>
      <c r="N2643">
        <f t="shared" si="221"/>
        <v>9189574.3439999986</v>
      </c>
      <c r="O2643">
        <f t="shared" si="222"/>
        <v>0</v>
      </c>
      <c r="P2643">
        <f t="shared" si="223"/>
        <v>0</v>
      </c>
      <c r="Q2643">
        <f t="shared" si="220"/>
        <v>14</v>
      </c>
      <c r="R2643" t="str">
        <f t="shared" si="224"/>
        <v>Not open</v>
      </c>
    </row>
    <row r="2644" spans="1:18" x14ac:dyDescent="0.3">
      <c r="A2644" t="s">
        <v>2967</v>
      </c>
      <c r="B2644" t="s">
        <v>496</v>
      </c>
      <c r="C2644" t="s">
        <v>554</v>
      </c>
      <c r="D2644" s="1">
        <v>45675</v>
      </c>
      <c r="E2644" s="1">
        <v>45720</v>
      </c>
      <c r="F2644" t="s">
        <v>13</v>
      </c>
      <c r="G2644">
        <v>1907858</v>
      </c>
      <c r="H2644" s="1">
        <v>45724</v>
      </c>
      <c r="I2644" t="s">
        <v>555</v>
      </c>
      <c r="J2644" t="s">
        <v>556</v>
      </c>
      <c r="L2644">
        <v>1907858</v>
      </c>
      <c r="M2644">
        <f>IF(F2644="INR",1,INDEX('rates'!$B$2:$C$522,MATCH(D2644,'rates'!$A$2:$A$522,1),MATCH(F2644&amp;"/INR",'rates'!$B$1:$C$1,0)))</f>
        <v>1</v>
      </c>
      <c r="N2644">
        <f t="shared" si="221"/>
        <v>1907858</v>
      </c>
      <c r="O2644">
        <f t="shared" si="222"/>
        <v>0</v>
      </c>
      <c r="P2644">
        <f t="shared" si="223"/>
        <v>0</v>
      </c>
      <c r="Q2644">
        <f t="shared" si="220"/>
        <v>4</v>
      </c>
      <c r="R2644" t="str">
        <f t="shared" si="224"/>
        <v>Not open</v>
      </c>
    </row>
    <row r="2645" spans="1:18" x14ac:dyDescent="0.3">
      <c r="A2645" t="s">
        <v>2968</v>
      </c>
      <c r="B2645" t="s">
        <v>316</v>
      </c>
      <c r="C2645" t="s">
        <v>575</v>
      </c>
      <c r="D2645" s="1">
        <v>45677</v>
      </c>
      <c r="E2645" s="1">
        <v>45707</v>
      </c>
      <c r="F2645" t="s">
        <v>13</v>
      </c>
      <c r="G2645">
        <v>6110101</v>
      </c>
      <c r="H2645" s="1">
        <v>45705</v>
      </c>
      <c r="I2645" t="s">
        <v>555</v>
      </c>
      <c r="J2645" t="s">
        <v>556</v>
      </c>
      <c r="L2645">
        <v>6110101</v>
      </c>
      <c r="M2645">
        <f>IF(F2645="INR",1,INDEX('rates'!$B$2:$C$522,MATCH(D2645,'rates'!$A$2:$A$522,1),MATCH(F2645&amp;"/INR",'rates'!$B$1:$C$1,0)))</f>
        <v>1</v>
      </c>
      <c r="N2645">
        <f t="shared" si="221"/>
        <v>6110101</v>
      </c>
      <c r="O2645">
        <f t="shared" si="222"/>
        <v>0</v>
      </c>
      <c r="P2645">
        <f t="shared" si="223"/>
        <v>0</v>
      </c>
      <c r="Q2645">
        <f t="shared" si="220"/>
        <v>-2</v>
      </c>
      <c r="R2645" t="str">
        <f t="shared" si="224"/>
        <v>Not open</v>
      </c>
    </row>
    <row r="2646" spans="1:18" x14ac:dyDescent="0.3">
      <c r="A2646" t="s">
        <v>2971</v>
      </c>
      <c r="B2646" t="s">
        <v>154</v>
      </c>
      <c r="C2646" t="s">
        <v>566</v>
      </c>
      <c r="D2646" s="1">
        <v>45678</v>
      </c>
      <c r="E2646" s="1">
        <v>45708</v>
      </c>
      <c r="F2646" t="s">
        <v>13</v>
      </c>
      <c r="G2646">
        <v>3144893</v>
      </c>
      <c r="H2646" s="1">
        <v>45711</v>
      </c>
      <c r="I2646" t="s">
        <v>555</v>
      </c>
      <c r="J2646" t="s">
        <v>556</v>
      </c>
      <c r="L2646">
        <v>3144893</v>
      </c>
      <c r="M2646">
        <f>IF(F2646="INR",1,INDEX('rates'!$B$2:$C$522,MATCH(D2646,'rates'!$A$2:$A$522,1),MATCH(F2646&amp;"/INR",'rates'!$B$1:$C$1,0)))</f>
        <v>1</v>
      </c>
      <c r="N2646">
        <f t="shared" si="221"/>
        <v>3144893</v>
      </c>
      <c r="O2646">
        <f t="shared" si="222"/>
        <v>0</v>
      </c>
      <c r="P2646">
        <f t="shared" si="223"/>
        <v>0</v>
      </c>
      <c r="Q2646">
        <f t="shared" si="220"/>
        <v>3</v>
      </c>
      <c r="R2646" t="str">
        <f t="shared" si="224"/>
        <v>Not open</v>
      </c>
    </row>
    <row r="2647" spans="1:18" x14ac:dyDescent="0.3">
      <c r="A2647" t="s">
        <v>2973</v>
      </c>
      <c r="B2647" t="s">
        <v>436</v>
      </c>
      <c r="C2647" t="s">
        <v>566</v>
      </c>
      <c r="D2647" s="1">
        <v>45679</v>
      </c>
      <c r="E2647" s="1">
        <v>45724</v>
      </c>
      <c r="F2647" t="s">
        <v>36</v>
      </c>
      <c r="G2647">
        <v>49264.53</v>
      </c>
      <c r="H2647" s="1"/>
      <c r="I2647" t="s">
        <v>555</v>
      </c>
      <c r="J2647" t="s">
        <v>573</v>
      </c>
      <c r="K2647">
        <v>86.555800000000005</v>
      </c>
      <c r="L2647">
        <v>49264.53</v>
      </c>
      <c r="M2647">
        <f>IF(F2647="INR",1,INDEX('rates'!$B$2:$C$522,MATCH(D2647,'rates'!$A$2:$A$522,1),MATCH(F2647&amp;"/INR",'rates'!$B$1:$C$1,0)))</f>
        <v>86.34</v>
      </c>
      <c r="N2647">
        <f t="shared" si="221"/>
        <v>4253499.5202000001</v>
      </c>
      <c r="O2647">
        <f t="shared" si="222"/>
        <v>0</v>
      </c>
      <c r="P2647">
        <f t="shared" si="223"/>
        <v>0</v>
      </c>
      <c r="Q2647" t="str">
        <f t="shared" si="220"/>
        <v/>
      </c>
      <c r="R2647" t="str">
        <f t="shared" si="224"/>
        <v>Not open</v>
      </c>
    </row>
    <row r="2648" spans="1:18" x14ac:dyDescent="0.3">
      <c r="A2648" t="s">
        <v>2975</v>
      </c>
      <c r="B2648" t="s">
        <v>156</v>
      </c>
      <c r="C2648" t="s">
        <v>566</v>
      </c>
      <c r="D2648" s="1">
        <v>45680</v>
      </c>
      <c r="E2648" s="1">
        <v>45710</v>
      </c>
      <c r="F2648" t="s">
        <v>13</v>
      </c>
      <c r="G2648">
        <v>2679373</v>
      </c>
      <c r="H2648" s="1">
        <v>45714</v>
      </c>
      <c r="I2648" t="s">
        <v>555</v>
      </c>
      <c r="J2648" t="s">
        <v>556</v>
      </c>
      <c r="L2648">
        <v>2679373</v>
      </c>
      <c r="M2648">
        <f>IF(F2648="INR",1,INDEX('rates'!$B$2:$C$522,MATCH(D2648,'rates'!$A$2:$A$522,1),MATCH(F2648&amp;"/INR",'rates'!$B$1:$C$1,0)))</f>
        <v>1</v>
      </c>
      <c r="N2648">
        <f t="shared" si="221"/>
        <v>2679373</v>
      </c>
      <c r="O2648">
        <f t="shared" si="222"/>
        <v>0</v>
      </c>
      <c r="P2648">
        <f t="shared" si="223"/>
        <v>0</v>
      </c>
      <c r="Q2648">
        <f t="shared" si="220"/>
        <v>4</v>
      </c>
      <c r="R2648" t="str">
        <f t="shared" si="224"/>
        <v>Not open</v>
      </c>
    </row>
    <row r="2649" spans="1:18" x14ac:dyDescent="0.3">
      <c r="A2649" t="s">
        <v>2976</v>
      </c>
      <c r="B2649" t="s">
        <v>172</v>
      </c>
      <c r="C2649" t="s">
        <v>566</v>
      </c>
      <c r="D2649" s="1">
        <v>45680</v>
      </c>
      <c r="E2649" s="1">
        <v>45710</v>
      </c>
      <c r="F2649" t="s">
        <v>13</v>
      </c>
      <c r="G2649">
        <v>4369347</v>
      </c>
      <c r="H2649" s="1">
        <v>45717</v>
      </c>
      <c r="I2649" t="s">
        <v>555</v>
      </c>
      <c r="J2649" t="s">
        <v>556</v>
      </c>
      <c r="L2649">
        <v>4369347</v>
      </c>
      <c r="M2649">
        <f>IF(F2649="INR",1,INDEX('rates'!$B$2:$C$522,MATCH(D2649,'rates'!$A$2:$A$522,1),MATCH(F2649&amp;"/INR",'rates'!$B$1:$C$1,0)))</f>
        <v>1</v>
      </c>
      <c r="N2649">
        <f t="shared" si="221"/>
        <v>4369347</v>
      </c>
      <c r="O2649">
        <f t="shared" si="222"/>
        <v>0</v>
      </c>
      <c r="P2649">
        <f t="shared" si="223"/>
        <v>0</v>
      </c>
      <c r="Q2649">
        <f t="shared" si="220"/>
        <v>7</v>
      </c>
      <c r="R2649" t="str">
        <f t="shared" si="224"/>
        <v>Not open</v>
      </c>
    </row>
    <row r="2650" spans="1:18" x14ac:dyDescent="0.3">
      <c r="A2650" t="s">
        <v>2979</v>
      </c>
      <c r="B2650" t="s">
        <v>190</v>
      </c>
      <c r="C2650" t="s">
        <v>558</v>
      </c>
      <c r="D2650" s="1">
        <v>45681</v>
      </c>
      <c r="E2650" s="1">
        <v>45711</v>
      </c>
      <c r="F2650" t="s">
        <v>13</v>
      </c>
      <c r="G2650">
        <v>8217081</v>
      </c>
      <c r="H2650" s="1">
        <v>45721</v>
      </c>
      <c r="I2650" t="s">
        <v>555</v>
      </c>
      <c r="J2650" t="s">
        <v>556</v>
      </c>
      <c r="L2650">
        <v>8217081</v>
      </c>
      <c r="M2650">
        <f>IF(F2650="INR",1,INDEX('rates'!$B$2:$C$522,MATCH(D2650,'rates'!$A$2:$A$522,1),MATCH(F2650&amp;"/INR",'rates'!$B$1:$C$1,0)))</f>
        <v>1</v>
      </c>
      <c r="N2650">
        <f t="shared" si="221"/>
        <v>8217081</v>
      </c>
      <c r="O2650">
        <f t="shared" si="222"/>
        <v>0</v>
      </c>
      <c r="P2650">
        <f t="shared" si="223"/>
        <v>0</v>
      </c>
      <c r="Q2650">
        <f t="shared" si="220"/>
        <v>10</v>
      </c>
      <c r="R2650" t="str">
        <f t="shared" si="224"/>
        <v>Not open</v>
      </c>
    </row>
    <row r="2651" spans="1:18" x14ac:dyDescent="0.3">
      <c r="A2651" t="s">
        <v>2980</v>
      </c>
      <c r="B2651" t="s">
        <v>200</v>
      </c>
      <c r="C2651" t="s">
        <v>554</v>
      </c>
      <c r="D2651" s="1">
        <v>45681</v>
      </c>
      <c r="E2651" s="1">
        <v>45741</v>
      </c>
      <c r="F2651" t="s">
        <v>13</v>
      </c>
      <c r="G2651">
        <v>4580020</v>
      </c>
      <c r="H2651" s="1">
        <v>45736</v>
      </c>
      <c r="I2651" t="s">
        <v>555</v>
      </c>
      <c r="J2651" t="s">
        <v>556</v>
      </c>
      <c r="L2651">
        <v>4580020</v>
      </c>
      <c r="M2651">
        <f>IF(F2651="INR",1,INDEX('rates'!$B$2:$C$522,MATCH(D2651,'rates'!$A$2:$A$522,1),MATCH(F2651&amp;"/INR",'rates'!$B$1:$C$1,0)))</f>
        <v>1</v>
      </c>
      <c r="N2651">
        <f t="shared" si="221"/>
        <v>4580020</v>
      </c>
      <c r="O2651">
        <f t="shared" si="222"/>
        <v>0</v>
      </c>
      <c r="P2651">
        <f t="shared" si="223"/>
        <v>0</v>
      </c>
      <c r="Q2651">
        <f t="shared" si="220"/>
        <v>-5</v>
      </c>
      <c r="R2651" t="str">
        <f t="shared" si="224"/>
        <v>Not open</v>
      </c>
    </row>
    <row r="2652" spans="1:18" x14ac:dyDescent="0.3">
      <c r="A2652" t="s">
        <v>2982</v>
      </c>
      <c r="B2652" t="s">
        <v>466</v>
      </c>
      <c r="C2652" t="s">
        <v>558</v>
      </c>
      <c r="D2652" s="1">
        <v>45681</v>
      </c>
      <c r="E2652" s="1">
        <v>45741</v>
      </c>
      <c r="F2652" t="s">
        <v>31</v>
      </c>
      <c r="G2652">
        <v>51842.75</v>
      </c>
      <c r="H2652" s="1">
        <v>45741</v>
      </c>
      <c r="I2652" t="s">
        <v>555</v>
      </c>
      <c r="J2652" t="s">
        <v>556</v>
      </c>
      <c r="L2652">
        <v>51842.75</v>
      </c>
      <c r="M2652">
        <f>IF(F2652="INR",1,INDEX('rates'!$B$2:$C$522,MATCH(D2652,'rates'!$A$2:$A$522,1),MATCH(F2652&amp;"/INR",'rates'!$B$1:$C$1,0)))</f>
        <v>90.639300000000006</v>
      </c>
      <c r="N2652">
        <f t="shared" si="221"/>
        <v>4698990.5700750006</v>
      </c>
      <c r="O2652">
        <f t="shared" si="222"/>
        <v>0</v>
      </c>
      <c r="P2652">
        <f t="shared" si="223"/>
        <v>0</v>
      </c>
      <c r="Q2652">
        <f t="shared" si="220"/>
        <v>0</v>
      </c>
      <c r="R2652" t="str">
        <f t="shared" si="224"/>
        <v>Not open</v>
      </c>
    </row>
    <row r="2653" spans="1:18" x14ac:dyDescent="0.3">
      <c r="A2653" t="s">
        <v>2983</v>
      </c>
      <c r="B2653" t="s">
        <v>502</v>
      </c>
      <c r="C2653" t="s">
        <v>554</v>
      </c>
      <c r="D2653" s="1">
        <v>45681</v>
      </c>
      <c r="E2653" s="1">
        <v>45711</v>
      </c>
      <c r="F2653" t="s">
        <v>13</v>
      </c>
      <c r="G2653">
        <v>9920798</v>
      </c>
      <c r="H2653" s="1">
        <v>45721</v>
      </c>
      <c r="I2653" t="s">
        <v>555</v>
      </c>
      <c r="J2653" t="s">
        <v>556</v>
      </c>
      <c r="L2653">
        <v>9920798</v>
      </c>
      <c r="M2653">
        <f>IF(F2653="INR",1,INDEX('rates'!$B$2:$C$522,MATCH(D2653,'rates'!$A$2:$A$522,1),MATCH(F2653&amp;"/INR",'rates'!$B$1:$C$1,0)))</f>
        <v>1</v>
      </c>
      <c r="N2653">
        <f t="shared" si="221"/>
        <v>9920798</v>
      </c>
      <c r="O2653">
        <f t="shared" si="222"/>
        <v>0</v>
      </c>
      <c r="P2653">
        <f t="shared" si="223"/>
        <v>0</v>
      </c>
      <c r="Q2653">
        <f t="shared" si="220"/>
        <v>10</v>
      </c>
      <c r="R2653" t="str">
        <f t="shared" si="224"/>
        <v>Not open</v>
      </c>
    </row>
    <row r="2654" spans="1:18" x14ac:dyDescent="0.3">
      <c r="A2654" t="s">
        <v>2984</v>
      </c>
      <c r="B2654" t="s">
        <v>87</v>
      </c>
      <c r="C2654" t="s">
        <v>566</v>
      </c>
      <c r="D2654" s="1">
        <v>45682</v>
      </c>
      <c r="E2654" s="1">
        <v>45727</v>
      </c>
      <c r="F2654" t="s">
        <v>36</v>
      </c>
      <c r="G2654">
        <v>242633.4</v>
      </c>
      <c r="H2654" s="1">
        <v>45741</v>
      </c>
      <c r="I2654" t="s">
        <v>555</v>
      </c>
      <c r="J2654" t="s">
        <v>556</v>
      </c>
      <c r="L2654">
        <v>242633.4</v>
      </c>
      <c r="M2654">
        <f>IF(F2654="INR",1,INDEX('rates'!$B$2:$C$522,MATCH(D2654,'rates'!$A$2:$A$522,1),MATCH(F2654&amp;"/INR",'rates'!$B$1:$C$1,0)))</f>
        <v>86.2</v>
      </c>
      <c r="N2654">
        <f t="shared" si="221"/>
        <v>20914999.080000002</v>
      </c>
      <c r="O2654">
        <f t="shared" si="222"/>
        <v>0</v>
      </c>
      <c r="P2654">
        <f t="shared" si="223"/>
        <v>0</v>
      </c>
      <c r="Q2654">
        <f t="shared" ref="Q2654:Q2689" si="225">IF(H2654="","",H2654-E2654)</f>
        <v>14</v>
      </c>
      <c r="R2654" t="str">
        <f t="shared" si="224"/>
        <v>Not open</v>
      </c>
    </row>
    <row r="2655" spans="1:18" x14ac:dyDescent="0.3">
      <c r="A2655" t="s">
        <v>2985</v>
      </c>
      <c r="B2655" t="s">
        <v>138</v>
      </c>
      <c r="C2655" t="s">
        <v>566</v>
      </c>
      <c r="D2655" s="1">
        <v>45682</v>
      </c>
      <c r="E2655" s="1">
        <v>45712</v>
      </c>
      <c r="F2655" t="s">
        <v>13</v>
      </c>
      <c r="G2655">
        <v>26211259</v>
      </c>
      <c r="H2655" s="1">
        <v>45709</v>
      </c>
      <c r="I2655" t="s">
        <v>555</v>
      </c>
      <c r="J2655" t="s">
        <v>556</v>
      </c>
      <c r="L2655">
        <v>26211259</v>
      </c>
      <c r="M2655">
        <f>IF(F2655="INR",1,INDEX('rates'!$B$2:$C$522,MATCH(D2655,'rates'!$A$2:$A$522,1),MATCH(F2655&amp;"/INR",'rates'!$B$1:$C$1,0)))</f>
        <v>1</v>
      </c>
      <c r="N2655">
        <f t="shared" si="221"/>
        <v>26211259</v>
      </c>
      <c r="O2655">
        <f t="shared" si="222"/>
        <v>0</v>
      </c>
      <c r="P2655">
        <f t="shared" si="223"/>
        <v>0</v>
      </c>
      <c r="Q2655">
        <f t="shared" si="225"/>
        <v>-3</v>
      </c>
      <c r="R2655" t="str">
        <f t="shared" si="224"/>
        <v>Not open</v>
      </c>
    </row>
    <row r="2656" spans="1:18" x14ac:dyDescent="0.3">
      <c r="A2656" t="s">
        <v>2987</v>
      </c>
      <c r="B2656" t="s">
        <v>394</v>
      </c>
      <c r="C2656" t="s">
        <v>566</v>
      </c>
      <c r="D2656" s="1">
        <v>45682</v>
      </c>
      <c r="E2656" s="1">
        <v>45742</v>
      </c>
      <c r="F2656" t="s">
        <v>31</v>
      </c>
      <c r="G2656">
        <v>153596.16</v>
      </c>
      <c r="H2656" s="1">
        <v>45744</v>
      </c>
      <c r="I2656" t="s">
        <v>555</v>
      </c>
      <c r="J2656" t="s">
        <v>573</v>
      </c>
      <c r="K2656">
        <v>90.820599999999999</v>
      </c>
      <c r="L2656">
        <v>153596.16</v>
      </c>
      <c r="M2656">
        <f>IF(F2656="INR",1,INDEX('rates'!$B$2:$C$522,MATCH(D2656,'rates'!$A$2:$A$522,1),MATCH(F2656&amp;"/INR",'rates'!$B$1:$C$1,0)))</f>
        <v>90.639300000000006</v>
      </c>
      <c r="N2656">
        <f t="shared" si="221"/>
        <v>13921848.425088001</v>
      </c>
      <c r="O2656">
        <f t="shared" si="222"/>
        <v>0</v>
      </c>
      <c r="P2656">
        <f t="shared" si="223"/>
        <v>0</v>
      </c>
      <c r="Q2656">
        <f t="shared" si="225"/>
        <v>2</v>
      </c>
      <c r="R2656" t="str">
        <f t="shared" si="224"/>
        <v>Not open</v>
      </c>
    </row>
    <row r="2657" spans="1:18" x14ac:dyDescent="0.3">
      <c r="A2657" t="s">
        <v>2989</v>
      </c>
      <c r="B2657" t="s">
        <v>466</v>
      </c>
      <c r="C2657" t="s">
        <v>560</v>
      </c>
      <c r="D2657" s="1">
        <v>45682</v>
      </c>
      <c r="E2657" s="1">
        <v>45742</v>
      </c>
      <c r="F2657" t="s">
        <v>31</v>
      </c>
      <c r="G2657">
        <v>197162.43</v>
      </c>
      <c r="H2657" s="1">
        <v>45744</v>
      </c>
      <c r="I2657" t="s">
        <v>555</v>
      </c>
      <c r="J2657" t="s">
        <v>573</v>
      </c>
      <c r="K2657">
        <v>90.820599999999999</v>
      </c>
      <c r="L2657">
        <v>197162.43</v>
      </c>
      <c r="M2657">
        <f>IF(F2657="INR",1,INDEX('rates'!$B$2:$C$522,MATCH(D2657,'rates'!$A$2:$A$522,1),MATCH(F2657&amp;"/INR",'rates'!$B$1:$C$1,0)))</f>
        <v>90.639300000000006</v>
      </c>
      <c r="N2657">
        <f t="shared" si="221"/>
        <v>17870664.641499002</v>
      </c>
      <c r="O2657">
        <f t="shared" si="222"/>
        <v>0</v>
      </c>
      <c r="P2657">
        <f t="shared" si="223"/>
        <v>0</v>
      </c>
      <c r="Q2657">
        <f t="shared" si="225"/>
        <v>2</v>
      </c>
      <c r="R2657" t="str">
        <f t="shared" si="224"/>
        <v>Not open</v>
      </c>
    </row>
    <row r="2658" spans="1:18" x14ac:dyDescent="0.3">
      <c r="A2658" t="s">
        <v>2991</v>
      </c>
      <c r="B2658" t="s">
        <v>516</v>
      </c>
      <c r="C2658" t="s">
        <v>560</v>
      </c>
      <c r="D2658" s="1">
        <v>45682</v>
      </c>
      <c r="E2658" s="1">
        <v>45742</v>
      </c>
      <c r="F2658" t="s">
        <v>13</v>
      </c>
      <c r="G2658">
        <v>8948870</v>
      </c>
      <c r="H2658" s="1">
        <v>45745</v>
      </c>
      <c r="I2658" t="s">
        <v>555</v>
      </c>
      <c r="J2658" t="s">
        <v>556</v>
      </c>
      <c r="L2658">
        <v>8948870</v>
      </c>
      <c r="M2658">
        <f>IF(F2658="INR",1,INDEX('rates'!$B$2:$C$522,MATCH(D2658,'rates'!$A$2:$A$522,1),MATCH(F2658&amp;"/INR",'rates'!$B$1:$C$1,0)))</f>
        <v>1</v>
      </c>
      <c r="N2658">
        <f t="shared" si="221"/>
        <v>8948870</v>
      </c>
      <c r="O2658">
        <f t="shared" si="222"/>
        <v>0</v>
      </c>
      <c r="P2658">
        <f t="shared" si="223"/>
        <v>0</v>
      </c>
      <c r="Q2658">
        <f t="shared" si="225"/>
        <v>3</v>
      </c>
      <c r="R2658" t="str">
        <f t="shared" si="224"/>
        <v>Not open</v>
      </c>
    </row>
    <row r="2659" spans="1:18" x14ac:dyDescent="0.3">
      <c r="A2659" t="s">
        <v>2992</v>
      </c>
      <c r="B2659" t="s">
        <v>59</v>
      </c>
      <c r="C2659" t="s">
        <v>566</v>
      </c>
      <c r="D2659" s="1">
        <v>45684</v>
      </c>
      <c r="E2659" s="1">
        <v>45729</v>
      </c>
      <c r="F2659" t="s">
        <v>31</v>
      </c>
      <c r="G2659">
        <v>121267.3</v>
      </c>
      <c r="H2659" s="1">
        <v>45732</v>
      </c>
      <c r="I2659" t="s">
        <v>555</v>
      </c>
      <c r="J2659" t="s">
        <v>573</v>
      </c>
      <c r="K2659">
        <v>90.723799999999997</v>
      </c>
      <c r="L2659">
        <v>121267.3</v>
      </c>
      <c r="M2659">
        <f>IF(F2659="INR",1,INDEX('rates'!$B$2:$C$522,MATCH(D2659,'rates'!$A$2:$A$522,1),MATCH(F2659&amp;"/INR",'rates'!$B$1:$C$1,0)))</f>
        <v>90.587900000000005</v>
      </c>
      <c r="N2659">
        <f t="shared" si="221"/>
        <v>10985350.045670001</v>
      </c>
      <c r="O2659">
        <f t="shared" si="222"/>
        <v>0</v>
      </c>
      <c r="P2659">
        <f t="shared" si="223"/>
        <v>0</v>
      </c>
      <c r="Q2659">
        <f t="shared" si="225"/>
        <v>3</v>
      </c>
      <c r="R2659" t="str">
        <f t="shared" si="224"/>
        <v>Not open</v>
      </c>
    </row>
    <row r="2660" spans="1:18" x14ac:dyDescent="0.3">
      <c r="A2660" t="s">
        <v>2993</v>
      </c>
      <c r="B2660" t="s">
        <v>111</v>
      </c>
      <c r="C2660" t="s">
        <v>558</v>
      </c>
      <c r="D2660" s="1">
        <v>45684</v>
      </c>
      <c r="E2660" s="1">
        <v>45729</v>
      </c>
      <c r="F2660" t="s">
        <v>13</v>
      </c>
      <c r="G2660">
        <v>3212807</v>
      </c>
      <c r="H2660" s="1">
        <v>45734</v>
      </c>
      <c r="I2660" t="s">
        <v>555</v>
      </c>
      <c r="J2660" t="s">
        <v>556</v>
      </c>
      <c r="L2660">
        <v>3212807</v>
      </c>
      <c r="M2660">
        <f>IF(F2660="INR",1,INDEX('rates'!$B$2:$C$522,MATCH(D2660,'rates'!$A$2:$A$522,1),MATCH(F2660&amp;"/INR",'rates'!$B$1:$C$1,0)))</f>
        <v>1</v>
      </c>
      <c r="N2660">
        <f t="shared" si="221"/>
        <v>3212807</v>
      </c>
      <c r="O2660">
        <f t="shared" si="222"/>
        <v>0</v>
      </c>
      <c r="P2660">
        <f t="shared" si="223"/>
        <v>0</v>
      </c>
      <c r="Q2660">
        <f t="shared" si="225"/>
        <v>5</v>
      </c>
      <c r="R2660" t="str">
        <f t="shared" si="224"/>
        <v>Not open</v>
      </c>
    </row>
    <row r="2661" spans="1:18" x14ac:dyDescent="0.3">
      <c r="A2661" t="s">
        <v>2994</v>
      </c>
      <c r="B2661" t="s">
        <v>138</v>
      </c>
      <c r="C2661" t="s">
        <v>566</v>
      </c>
      <c r="D2661" s="1">
        <v>45684</v>
      </c>
      <c r="E2661" s="1">
        <v>45714</v>
      </c>
      <c r="F2661" t="s">
        <v>13</v>
      </c>
      <c r="G2661">
        <v>3670210</v>
      </c>
      <c r="H2661" s="1">
        <v>45715</v>
      </c>
      <c r="I2661" t="s">
        <v>555</v>
      </c>
      <c r="J2661" t="s">
        <v>556</v>
      </c>
      <c r="L2661">
        <v>3670210</v>
      </c>
      <c r="M2661">
        <f>IF(F2661="INR",1,INDEX('rates'!$B$2:$C$522,MATCH(D2661,'rates'!$A$2:$A$522,1),MATCH(F2661&amp;"/INR",'rates'!$B$1:$C$1,0)))</f>
        <v>1</v>
      </c>
      <c r="N2661">
        <f t="shared" si="221"/>
        <v>3670210</v>
      </c>
      <c r="O2661">
        <f t="shared" si="222"/>
        <v>0</v>
      </c>
      <c r="P2661">
        <f t="shared" si="223"/>
        <v>0</v>
      </c>
      <c r="Q2661">
        <f t="shared" si="225"/>
        <v>1</v>
      </c>
      <c r="R2661" t="str">
        <f t="shared" si="224"/>
        <v>Not open</v>
      </c>
    </row>
    <row r="2662" spans="1:18" x14ac:dyDescent="0.3">
      <c r="A2662" t="s">
        <v>2995</v>
      </c>
      <c r="B2662" t="s">
        <v>154</v>
      </c>
      <c r="C2662" t="s">
        <v>566</v>
      </c>
      <c r="D2662" s="1">
        <v>45684</v>
      </c>
      <c r="E2662" s="1">
        <v>45714</v>
      </c>
      <c r="F2662" t="s">
        <v>13</v>
      </c>
      <c r="G2662">
        <v>22026910</v>
      </c>
      <c r="H2662" s="1">
        <v>45713</v>
      </c>
      <c r="I2662" t="s">
        <v>555</v>
      </c>
      <c r="J2662" t="s">
        <v>556</v>
      </c>
      <c r="L2662">
        <v>22026910</v>
      </c>
      <c r="M2662">
        <f>IF(F2662="INR",1,INDEX('rates'!$B$2:$C$522,MATCH(D2662,'rates'!$A$2:$A$522,1),MATCH(F2662&amp;"/INR",'rates'!$B$1:$C$1,0)))</f>
        <v>1</v>
      </c>
      <c r="N2662">
        <f t="shared" si="221"/>
        <v>22026910</v>
      </c>
      <c r="O2662">
        <f t="shared" si="222"/>
        <v>0</v>
      </c>
      <c r="P2662">
        <f t="shared" si="223"/>
        <v>0</v>
      </c>
      <c r="Q2662">
        <f t="shared" si="225"/>
        <v>-1</v>
      </c>
      <c r="R2662" t="str">
        <f t="shared" si="224"/>
        <v>Not open</v>
      </c>
    </row>
    <row r="2663" spans="1:18" x14ac:dyDescent="0.3">
      <c r="A2663" t="s">
        <v>2996</v>
      </c>
      <c r="B2663" t="s">
        <v>154</v>
      </c>
      <c r="C2663" t="s">
        <v>566</v>
      </c>
      <c r="D2663" s="1">
        <v>45684</v>
      </c>
      <c r="E2663" s="1">
        <v>45714</v>
      </c>
      <c r="F2663" t="s">
        <v>13</v>
      </c>
      <c r="G2663">
        <v>18673351</v>
      </c>
      <c r="H2663" s="1">
        <v>45716</v>
      </c>
      <c r="I2663" t="s">
        <v>555</v>
      </c>
      <c r="J2663" t="s">
        <v>556</v>
      </c>
      <c r="L2663">
        <v>18673351</v>
      </c>
      <c r="M2663">
        <f>IF(F2663="INR",1,INDEX('rates'!$B$2:$C$522,MATCH(D2663,'rates'!$A$2:$A$522,1),MATCH(F2663&amp;"/INR",'rates'!$B$1:$C$1,0)))</f>
        <v>1</v>
      </c>
      <c r="N2663">
        <f t="shared" si="221"/>
        <v>18673351</v>
      </c>
      <c r="O2663">
        <f t="shared" si="222"/>
        <v>0</v>
      </c>
      <c r="P2663">
        <f t="shared" si="223"/>
        <v>0</v>
      </c>
      <c r="Q2663">
        <f t="shared" si="225"/>
        <v>2</v>
      </c>
      <c r="R2663" t="str">
        <f t="shared" si="224"/>
        <v>Not open</v>
      </c>
    </row>
    <row r="2664" spans="1:18" x14ac:dyDescent="0.3">
      <c r="A2664" t="s">
        <v>2999</v>
      </c>
      <c r="B2664" t="s">
        <v>466</v>
      </c>
      <c r="C2664" t="s">
        <v>558</v>
      </c>
      <c r="D2664" s="1">
        <v>45684</v>
      </c>
      <c r="E2664" s="1">
        <v>45744</v>
      </c>
      <c r="F2664" t="s">
        <v>31</v>
      </c>
      <c r="G2664">
        <v>138867.88</v>
      </c>
      <c r="H2664" s="1">
        <v>45742</v>
      </c>
      <c r="I2664" t="s">
        <v>555</v>
      </c>
      <c r="J2664" t="s">
        <v>556</v>
      </c>
      <c r="L2664">
        <v>138867.88</v>
      </c>
      <c r="M2664">
        <f>IF(F2664="INR",1,INDEX('rates'!$B$2:$C$522,MATCH(D2664,'rates'!$A$2:$A$522,1),MATCH(F2664&amp;"/INR",'rates'!$B$1:$C$1,0)))</f>
        <v>90.587900000000005</v>
      </c>
      <c r="N2664">
        <f t="shared" si="221"/>
        <v>12579749.626652</v>
      </c>
      <c r="O2664">
        <f t="shared" si="222"/>
        <v>0</v>
      </c>
      <c r="P2664">
        <f t="shared" si="223"/>
        <v>0</v>
      </c>
      <c r="Q2664">
        <f t="shared" si="225"/>
        <v>-2</v>
      </c>
      <c r="R2664" t="str">
        <f t="shared" si="224"/>
        <v>Not open</v>
      </c>
    </row>
    <row r="2665" spans="1:18" x14ac:dyDescent="0.3">
      <c r="A2665" t="s">
        <v>3000</v>
      </c>
      <c r="B2665" t="s">
        <v>113</v>
      </c>
      <c r="C2665" t="s">
        <v>554</v>
      </c>
      <c r="D2665" s="1">
        <v>45685</v>
      </c>
      <c r="E2665" s="1">
        <v>45715</v>
      </c>
      <c r="F2665" t="s">
        <v>13</v>
      </c>
      <c r="G2665">
        <v>2925569</v>
      </c>
      <c r="H2665" s="1">
        <v>45716</v>
      </c>
      <c r="I2665" t="s">
        <v>555</v>
      </c>
      <c r="J2665" t="s">
        <v>556</v>
      </c>
      <c r="L2665">
        <v>2925569</v>
      </c>
      <c r="M2665">
        <f>IF(F2665="INR",1,INDEX('rates'!$B$2:$C$522,MATCH(D2665,'rates'!$A$2:$A$522,1),MATCH(F2665&amp;"/INR",'rates'!$B$1:$C$1,0)))</f>
        <v>1</v>
      </c>
      <c r="N2665">
        <f t="shared" si="221"/>
        <v>2925569</v>
      </c>
      <c r="O2665">
        <f t="shared" si="222"/>
        <v>0</v>
      </c>
      <c r="P2665">
        <f t="shared" si="223"/>
        <v>0</v>
      </c>
      <c r="Q2665">
        <f t="shared" si="225"/>
        <v>1</v>
      </c>
      <c r="R2665" t="str">
        <f t="shared" si="224"/>
        <v>Not open</v>
      </c>
    </row>
    <row r="2666" spans="1:18" x14ac:dyDescent="0.3">
      <c r="A2666" t="s">
        <v>3002</v>
      </c>
      <c r="B2666" t="s">
        <v>418</v>
      </c>
      <c r="C2666" t="s">
        <v>558</v>
      </c>
      <c r="D2666" s="1">
        <v>45685</v>
      </c>
      <c r="E2666" s="1">
        <v>45730</v>
      </c>
      <c r="F2666" t="s">
        <v>13</v>
      </c>
      <c r="G2666">
        <v>3446005</v>
      </c>
      <c r="H2666" s="1">
        <v>45742</v>
      </c>
      <c r="I2666" t="s">
        <v>555</v>
      </c>
      <c r="J2666" t="s">
        <v>556</v>
      </c>
      <c r="L2666">
        <v>3446005</v>
      </c>
      <c r="M2666">
        <f>IF(F2666="INR",1,INDEX('rates'!$B$2:$C$522,MATCH(D2666,'rates'!$A$2:$A$522,1),MATCH(F2666&amp;"/INR",'rates'!$B$1:$C$1,0)))</f>
        <v>1</v>
      </c>
      <c r="N2666">
        <f t="shared" si="221"/>
        <v>3446005</v>
      </c>
      <c r="O2666">
        <f t="shared" si="222"/>
        <v>0</v>
      </c>
      <c r="P2666">
        <f t="shared" si="223"/>
        <v>0</v>
      </c>
      <c r="Q2666">
        <f t="shared" si="225"/>
        <v>12</v>
      </c>
      <c r="R2666" t="str">
        <f t="shared" si="224"/>
        <v>Not open</v>
      </c>
    </row>
    <row r="2667" spans="1:18" x14ac:dyDescent="0.3">
      <c r="A2667" t="s">
        <v>3008</v>
      </c>
      <c r="B2667" t="s">
        <v>85</v>
      </c>
      <c r="C2667" t="s">
        <v>566</v>
      </c>
      <c r="D2667" s="1">
        <v>45689</v>
      </c>
      <c r="E2667" s="1">
        <v>45719</v>
      </c>
      <c r="F2667" t="s">
        <v>13</v>
      </c>
      <c r="G2667">
        <v>7513574</v>
      </c>
      <c r="H2667" s="1">
        <v>45720</v>
      </c>
      <c r="I2667" t="s">
        <v>555</v>
      </c>
      <c r="J2667" t="s">
        <v>556</v>
      </c>
      <c r="L2667">
        <v>7513574</v>
      </c>
      <c r="M2667">
        <f>IF(F2667="INR",1,INDEX('rates'!$B$2:$C$522,MATCH(D2667,'rates'!$A$2:$A$522,1),MATCH(F2667&amp;"/INR",'rates'!$B$1:$C$1,0)))</f>
        <v>1</v>
      </c>
      <c r="N2667">
        <f t="shared" si="221"/>
        <v>7513574</v>
      </c>
      <c r="O2667">
        <f t="shared" si="222"/>
        <v>0</v>
      </c>
      <c r="P2667">
        <f t="shared" si="223"/>
        <v>0</v>
      </c>
      <c r="Q2667">
        <f t="shared" si="225"/>
        <v>1</v>
      </c>
      <c r="R2667" t="str">
        <f t="shared" si="224"/>
        <v>Not open</v>
      </c>
    </row>
    <row r="2668" spans="1:18" x14ac:dyDescent="0.3">
      <c r="A2668" t="s">
        <v>3012</v>
      </c>
      <c r="B2668" t="s">
        <v>496</v>
      </c>
      <c r="C2668" t="s">
        <v>554</v>
      </c>
      <c r="D2668" s="1">
        <v>45689</v>
      </c>
      <c r="E2668" s="1">
        <v>45734</v>
      </c>
      <c r="F2668" t="s">
        <v>13</v>
      </c>
      <c r="G2668">
        <v>6725367</v>
      </c>
      <c r="H2668" s="1">
        <v>45744</v>
      </c>
      <c r="I2668" t="s">
        <v>555</v>
      </c>
      <c r="J2668" t="s">
        <v>556</v>
      </c>
      <c r="L2668">
        <v>6725367</v>
      </c>
      <c r="M2668">
        <f>IF(F2668="INR",1,INDEX('rates'!$B$2:$C$522,MATCH(D2668,'rates'!$A$2:$A$522,1),MATCH(F2668&amp;"/INR",'rates'!$B$1:$C$1,0)))</f>
        <v>1</v>
      </c>
      <c r="N2668">
        <f t="shared" si="221"/>
        <v>6725367</v>
      </c>
      <c r="O2668">
        <f t="shared" si="222"/>
        <v>0</v>
      </c>
      <c r="P2668">
        <f t="shared" si="223"/>
        <v>0</v>
      </c>
      <c r="Q2668">
        <f t="shared" si="225"/>
        <v>10</v>
      </c>
      <c r="R2668" t="str">
        <f t="shared" si="224"/>
        <v>Not open</v>
      </c>
    </row>
    <row r="2669" spans="1:18" x14ac:dyDescent="0.3">
      <c r="A2669" t="s">
        <v>3013</v>
      </c>
      <c r="B2669" t="s">
        <v>536</v>
      </c>
      <c r="C2669" t="s">
        <v>575</v>
      </c>
      <c r="D2669" s="1">
        <v>45689</v>
      </c>
      <c r="E2669" s="1">
        <v>45719</v>
      </c>
      <c r="F2669" t="s">
        <v>36</v>
      </c>
      <c r="G2669">
        <v>56283.98</v>
      </c>
      <c r="H2669" s="1">
        <v>45725</v>
      </c>
      <c r="I2669" t="s">
        <v>555</v>
      </c>
      <c r="J2669" t="s">
        <v>556</v>
      </c>
      <c r="L2669">
        <v>56283.98</v>
      </c>
      <c r="M2669">
        <f>IF(F2669="INR",1,INDEX('rates'!$B$2:$C$522,MATCH(D2669,'rates'!$A$2:$A$522,1),MATCH(F2669&amp;"/INR",'rates'!$B$1:$C$1,0)))</f>
        <v>86.54</v>
      </c>
      <c r="N2669">
        <f t="shared" si="221"/>
        <v>4870815.6292000003</v>
      </c>
      <c r="O2669">
        <f t="shared" si="222"/>
        <v>0</v>
      </c>
      <c r="P2669">
        <f t="shared" si="223"/>
        <v>0</v>
      </c>
      <c r="Q2669">
        <f t="shared" si="225"/>
        <v>6</v>
      </c>
      <c r="R2669" t="str">
        <f t="shared" si="224"/>
        <v>Not open</v>
      </c>
    </row>
    <row r="2670" spans="1:18" x14ac:dyDescent="0.3">
      <c r="A2670" t="s">
        <v>3015</v>
      </c>
      <c r="B2670" t="s">
        <v>178</v>
      </c>
      <c r="C2670" t="s">
        <v>560</v>
      </c>
      <c r="D2670" s="1">
        <v>45691</v>
      </c>
      <c r="E2670" s="1">
        <v>45721</v>
      </c>
      <c r="F2670" t="s">
        <v>13</v>
      </c>
      <c r="G2670">
        <v>4117692</v>
      </c>
      <c r="H2670" s="1">
        <v>45732</v>
      </c>
      <c r="I2670" t="s">
        <v>555</v>
      </c>
      <c r="J2670" t="s">
        <v>556</v>
      </c>
      <c r="L2670">
        <v>4117692</v>
      </c>
      <c r="M2670">
        <f>IF(F2670="INR",1,INDEX('rates'!$B$2:$C$522,MATCH(D2670,'rates'!$A$2:$A$522,1),MATCH(F2670&amp;"/INR",'rates'!$B$1:$C$1,0)))</f>
        <v>1</v>
      </c>
      <c r="N2670">
        <f t="shared" si="221"/>
        <v>4117692</v>
      </c>
      <c r="O2670">
        <f t="shared" si="222"/>
        <v>0</v>
      </c>
      <c r="P2670">
        <f t="shared" si="223"/>
        <v>0</v>
      </c>
      <c r="Q2670">
        <f t="shared" si="225"/>
        <v>11</v>
      </c>
      <c r="R2670" t="str">
        <f t="shared" si="224"/>
        <v>Not open</v>
      </c>
    </row>
    <row r="2671" spans="1:18" x14ac:dyDescent="0.3">
      <c r="A2671" t="s">
        <v>3016</v>
      </c>
      <c r="B2671" t="s">
        <v>208</v>
      </c>
      <c r="C2671" t="s">
        <v>566</v>
      </c>
      <c r="D2671" s="1">
        <v>45691</v>
      </c>
      <c r="E2671" s="1">
        <v>45736</v>
      </c>
      <c r="F2671" t="s">
        <v>13</v>
      </c>
      <c r="G2671">
        <v>6852138</v>
      </c>
      <c r="H2671" s="1">
        <v>45739</v>
      </c>
      <c r="I2671" t="s">
        <v>555</v>
      </c>
      <c r="J2671" t="s">
        <v>556</v>
      </c>
      <c r="L2671">
        <v>6852138</v>
      </c>
      <c r="M2671">
        <f>IF(F2671="INR",1,INDEX('rates'!$B$2:$C$522,MATCH(D2671,'rates'!$A$2:$A$522,1),MATCH(F2671&amp;"/INR",'rates'!$B$1:$C$1,0)))</f>
        <v>1</v>
      </c>
      <c r="N2671">
        <f t="shared" si="221"/>
        <v>6852138</v>
      </c>
      <c r="O2671">
        <f t="shared" si="222"/>
        <v>0</v>
      </c>
      <c r="P2671">
        <f t="shared" si="223"/>
        <v>0</v>
      </c>
      <c r="Q2671">
        <f t="shared" si="225"/>
        <v>3</v>
      </c>
      <c r="R2671" t="str">
        <f t="shared" si="224"/>
        <v>Not open</v>
      </c>
    </row>
    <row r="2672" spans="1:18" x14ac:dyDescent="0.3">
      <c r="A2672" t="s">
        <v>3020</v>
      </c>
      <c r="B2672" t="s">
        <v>434</v>
      </c>
      <c r="C2672" t="s">
        <v>554</v>
      </c>
      <c r="D2672" s="1">
        <v>45691</v>
      </c>
      <c r="E2672" s="1">
        <v>45736</v>
      </c>
      <c r="F2672" t="s">
        <v>13</v>
      </c>
      <c r="G2672">
        <v>3066237</v>
      </c>
      <c r="H2672" s="1">
        <v>45735</v>
      </c>
      <c r="I2672" t="s">
        <v>555</v>
      </c>
      <c r="J2672" t="s">
        <v>556</v>
      </c>
      <c r="L2672">
        <v>3066237</v>
      </c>
      <c r="M2672">
        <f>IF(F2672="INR",1,INDEX('rates'!$B$2:$C$522,MATCH(D2672,'rates'!$A$2:$A$522,1),MATCH(F2672&amp;"/INR",'rates'!$B$1:$C$1,0)))</f>
        <v>1</v>
      </c>
      <c r="N2672">
        <f t="shared" si="221"/>
        <v>3066237</v>
      </c>
      <c r="O2672">
        <f t="shared" si="222"/>
        <v>0</v>
      </c>
      <c r="P2672">
        <f t="shared" si="223"/>
        <v>0</v>
      </c>
      <c r="Q2672">
        <f t="shared" si="225"/>
        <v>-1</v>
      </c>
      <c r="R2672" t="str">
        <f t="shared" si="224"/>
        <v>Not open</v>
      </c>
    </row>
    <row r="2673" spans="1:18" x14ac:dyDescent="0.3">
      <c r="A2673" t="s">
        <v>3024</v>
      </c>
      <c r="B2673" t="s">
        <v>154</v>
      </c>
      <c r="C2673" t="s">
        <v>566</v>
      </c>
      <c r="D2673" s="1">
        <v>45693</v>
      </c>
      <c r="E2673" s="1">
        <v>45723</v>
      </c>
      <c r="F2673" t="s">
        <v>13</v>
      </c>
      <c r="G2673">
        <v>14802471</v>
      </c>
      <c r="H2673" s="1">
        <v>45731</v>
      </c>
      <c r="I2673" t="s">
        <v>555</v>
      </c>
      <c r="J2673" t="s">
        <v>556</v>
      </c>
      <c r="L2673">
        <v>14802471</v>
      </c>
      <c r="M2673">
        <f>IF(F2673="INR",1,INDEX('rates'!$B$2:$C$522,MATCH(D2673,'rates'!$A$2:$A$522,1),MATCH(F2673&amp;"/INR",'rates'!$B$1:$C$1,0)))</f>
        <v>1</v>
      </c>
      <c r="N2673">
        <f t="shared" si="221"/>
        <v>14802471</v>
      </c>
      <c r="O2673">
        <f t="shared" si="222"/>
        <v>0</v>
      </c>
      <c r="P2673">
        <f t="shared" si="223"/>
        <v>0</v>
      </c>
      <c r="Q2673">
        <f t="shared" si="225"/>
        <v>8</v>
      </c>
      <c r="R2673" t="str">
        <f t="shared" si="224"/>
        <v>Not open</v>
      </c>
    </row>
    <row r="2674" spans="1:18" x14ac:dyDescent="0.3">
      <c r="A2674" t="s">
        <v>3032</v>
      </c>
      <c r="B2674" t="s">
        <v>154</v>
      </c>
      <c r="C2674" t="s">
        <v>566</v>
      </c>
      <c r="D2674" s="1">
        <v>45694</v>
      </c>
      <c r="E2674" s="1">
        <v>45724</v>
      </c>
      <c r="F2674" t="s">
        <v>13</v>
      </c>
      <c r="G2674">
        <v>17636290</v>
      </c>
      <c r="H2674" s="1">
        <v>45731</v>
      </c>
      <c r="I2674" t="s">
        <v>555</v>
      </c>
      <c r="J2674" t="s">
        <v>556</v>
      </c>
      <c r="L2674">
        <v>17636290</v>
      </c>
      <c r="M2674">
        <f>IF(F2674="INR",1,INDEX('rates'!$B$2:$C$522,MATCH(D2674,'rates'!$A$2:$A$522,1),MATCH(F2674&amp;"/INR",'rates'!$B$1:$C$1,0)))</f>
        <v>1</v>
      </c>
      <c r="N2674">
        <f t="shared" si="221"/>
        <v>17636290</v>
      </c>
      <c r="O2674">
        <f t="shared" si="222"/>
        <v>0</v>
      </c>
      <c r="P2674">
        <f t="shared" si="223"/>
        <v>0</v>
      </c>
      <c r="Q2674">
        <f t="shared" si="225"/>
        <v>7</v>
      </c>
      <c r="R2674" t="str">
        <f t="shared" si="224"/>
        <v>Not open</v>
      </c>
    </row>
    <row r="2675" spans="1:18" x14ac:dyDescent="0.3">
      <c r="A2675" t="s">
        <v>3035</v>
      </c>
      <c r="B2675" t="s">
        <v>316</v>
      </c>
      <c r="C2675" t="s">
        <v>575</v>
      </c>
      <c r="D2675" s="1">
        <v>45694</v>
      </c>
      <c r="E2675" s="1">
        <v>45724</v>
      </c>
      <c r="F2675" t="s">
        <v>13</v>
      </c>
      <c r="G2675">
        <v>7489370</v>
      </c>
      <c r="H2675" s="1">
        <v>45733</v>
      </c>
      <c r="I2675" t="s">
        <v>555</v>
      </c>
      <c r="J2675" t="s">
        <v>556</v>
      </c>
      <c r="L2675">
        <v>7489370</v>
      </c>
      <c r="M2675">
        <f>IF(F2675="INR",1,INDEX('rates'!$B$2:$C$522,MATCH(D2675,'rates'!$A$2:$A$522,1),MATCH(F2675&amp;"/INR",'rates'!$B$1:$C$1,0)))</f>
        <v>1</v>
      </c>
      <c r="N2675">
        <f t="shared" si="221"/>
        <v>7489370</v>
      </c>
      <c r="O2675">
        <f t="shared" si="222"/>
        <v>0</v>
      </c>
      <c r="P2675">
        <f t="shared" si="223"/>
        <v>0</v>
      </c>
      <c r="Q2675">
        <f t="shared" si="225"/>
        <v>9</v>
      </c>
      <c r="R2675" t="str">
        <f t="shared" si="224"/>
        <v>Not open</v>
      </c>
    </row>
    <row r="2676" spans="1:18" x14ac:dyDescent="0.3">
      <c r="A2676" t="s">
        <v>3044</v>
      </c>
      <c r="B2676" t="s">
        <v>132</v>
      </c>
      <c r="C2676" t="s">
        <v>554</v>
      </c>
      <c r="D2676" s="1">
        <v>45698</v>
      </c>
      <c r="E2676" s="1">
        <v>45728</v>
      </c>
      <c r="F2676" t="s">
        <v>13</v>
      </c>
      <c r="G2676">
        <v>600000</v>
      </c>
      <c r="H2676" s="1">
        <v>45732</v>
      </c>
      <c r="I2676" t="s">
        <v>555</v>
      </c>
      <c r="J2676" t="s">
        <v>556</v>
      </c>
      <c r="L2676">
        <v>600000</v>
      </c>
      <c r="M2676">
        <f>IF(F2676="INR",1,INDEX('rates'!$B$2:$C$522,MATCH(D2676,'rates'!$A$2:$A$522,1),MATCH(F2676&amp;"/INR",'rates'!$B$1:$C$1,0)))</f>
        <v>1</v>
      </c>
      <c r="N2676">
        <f t="shared" si="221"/>
        <v>600000</v>
      </c>
      <c r="O2676">
        <f t="shared" si="222"/>
        <v>0</v>
      </c>
      <c r="P2676">
        <f t="shared" si="223"/>
        <v>0</v>
      </c>
      <c r="Q2676">
        <f t="shared" si="225"/>
        <v>4</v>
      </c>
      <c r="R2676" t="str">
        <f t="shared" si="224"/>
        <v>Not open</v>
      </c>
    </row>
    <row r="2677" spans="1:18" x14ac:dyDescent="0.3">
      <c r="A2677" t="s">
        <v>3048</v>
      </c>
      <c r="B2677" t="s">
        <v>468</v>
      </c>
      <c r="C2677" t="s">
        <v>554</v>
      </c>
      <c r="D2677" s="1">
        <v>45698</v>
      </c>
      <c r="E2677" s="1">
        <v>45728</v>
      </c>
      <c r="F2677" t="s">
        <v>13</v>
      </c>
      <c r="G2677">
        <v>9676017</v>
      </c>
      <c r="H2677" s="1">
        <v>45730</v>
      </c>
      <c r="I2677" t="s">
        <v>555</v>
      </c>
      <c r="J2677" t="s">
        <v>556</v>
      </c>
      <c r="L2677">
        <v>9676017</v>
      </c>
      <c r="M2677">
        <f>IF(F2677="INR",1,INDEX('rates'!$B$2:$C$522,MATCH(D2677,'rates'!$A$2:$A$522,1),MATCH(F2677&amp;"/INR",'rates'!$B$1:$C$1,0)))</f>
        <v>1</v>
      </c>
      <c r="N2677">
        <f t="shared" si="221"/>
        <v>9676017</v>
      </c>
      <c r="O2677">
        <f t="shared" si="222"/>
        <v>0</v>
      </c>
      <c r="P2677">
        <f t="shared" si="223"/>
        <v>0</v>
      </c>
      <c r="Q2677">
        <f t="shared" si="225"/>
        <v>2</v>
      </c>
      <c r="R2677" t="str">
        <f t="shared" si="224"/>
        <v>Not open</v>
      </c>
    </row>
    <row r="2678" spans="1:18" x14ac:dyDescent="0.3">
      <c r="A2678" t="s">
        <v>3050</v>
      </c>
      <c r="B2678" t="s">
        <v>496</v>
      </c>
      <c r="C2678" t="s">
        <v>554</v>
      </c>
      <c r="D2678" s="1">
        <v>45698</v>
      </c>
      <c r="E2678" s="1">
        <v>45743</v>
      </c>
      <c r="F2678" t="s">
        <v>13</v>
      </c>
      <c r="G2678">
        <v>10612860</v>
      </c>
      <c r="H2678" s="1">
        <v>45747</v>
      </c>
      <c r="I2678" t="s">
        <v>555</v>
      </c>
      <c r="J2678" t="s">
        <v>556</v>
      </c>
      <c r="L2678">
        <v>10612860</v>
      </c>
      <c r="M2678">
        <f>IF(F2678="INR",1,INDEX('rates'!$B$2:$C$522,MATCH(D2678,'rates'!$A$2:$A$522,1),MATCH(F2678&amp;"/INR",'rates'!$B$1:$C$1,0)))</f>
        <v>1</v>
      </c>
      <c r="N2678">
        <f t="shared" si="221"/>
        <v>10612860</v>
      </c>
      <c r="O2678">
        <f t="shared" si="222"/>
        <v>0</v>
      </c>
      <c r="P2678">
        <f t="shared" si="223"/>
        <v>0</v>
      </c>
      <c r="Q2678">
        <f t="shared" si="225"/>
        <v>4</v>
      </c>
      <c r="R2678" t="str">
        <f t="shared" si="224"/>
        <v>Not open</v>
      </c>
    </row>
    <row r="2679" spans="1:18" x14ac:dyDescent="0.3">
      <c r="A2679" t="s">
        <v>3051</v>
      </c>
      <c r="B2679" t="s">
        <v>536</v>
      </c>
      <c r="C2679" t="s">
        <v>575</v>
      </c>
      <c r="D2679" s="1">
        <v>45698</v>
      </c>
      <c r="E2679" s="1">
        <v>45728</v>
      </c>
      <c r="F2679" t="s">
        <v>36</v>
      </c>
      <c r="G2679">
        <v>27000.82</v>
      </c>
      <c r="H2679" s="1">
        <v>45727</v>
      </c>
      <c r="I2679" t="s">
        <v>555</v>
      </c>
      <c r="J2679" t="s">
        <v>556</v>
      </c>
      <c r="L2679">
        <v>27000.82</v>
      </c>
      <c r="M2679">
        <f>IF(F2679="INR",1,INDEX('rates'!$B$2:$C$522,MATCH(D2679,'rates'!$A$2:$A$522,1),MATCH(F2679&amp;"/INR",'rates'!$B$1:$C$1,0)))</f>
        <v>87.45</v>
      </c>
      <c r="N2679">
        <f t="shared" si="221"/>
        <v>2361221.7090000003</v>
      </c>
      <c r="O2679">
        <f t="shared" si="222"/>
        <v>0</v>
      </c>
      <c r="P2679">
        <f t="shared" si="223"/>
        <v>0</v>
      </c>
      <c r="Q2679">
        <f t="shared" si="225"/>
        <v>-1</v>
      </c>
      <c r="R2679" t="str">
        <f t="shared" si="224"/>
        <v>Not open</v>
      </c>
    </row>
    <row r="2680" spans="1:18" x14ac:dyDescent="0.3">
      <c r="A2680" t="s">
        <v>3052</v>
      </c>
      <c r="B2680" t="s">
        <v>316</v>
      </c>
      <c r="C2680" t="s">
        <v>575</v>
      </c>
      <c r="D2680" s="1">
        <v>45699</v>
      </c>
      <c r="E2680" s="1">
        <v>45729</v>
      </c>
      <c r="F2680" t="s">
        <v>13</v>
      </c>
      <c r="G2680">
        <v>6741095</v>
      </c>
      <c r="H2680" s="1">
        <v>45742</v>
      </c>
      <c r="I2680" t="s">
        <v>555</v>
      </c>
      <c r="J2680" t="s">
        <v>556</v>
      </c>
      <c r="L2680">
        <v>6741095</v>
      </c>
      <c r="M2680">
        <f>IF(F2680="INR",1,INDEX('rates'!$B$2:$C$522,MATCH(D2680,'rates'!$A$2:$A$522,1),MATCH(F2680&amp;"/INR",'rates'!$B$1:$C$1,0)))</f>
        <v>1</v>
      </c>
      <c r="N2680">
        <f t="shared" si="221"/>
        <v>6741095</v>
      </c>
      <c r="O2680">
        <f t="shared" si="222"/>
        <v>0</v>
      </c>
      <c r="P2680">
        <f t="shared" si="223"/>
        <v>0</v>
      </c>
      <c r="Q2680">
        <f t="shared" si="225"/>
        <v>13</v>
      </c>
      <c r="R2680" t="str">
        <f t="shared" si="224"/>
        <v>Not open</v>
      </c>
    </row>
    <row r="2681" spans="1:18" x14ac:dyDescent="0.3">
      <c r="A2681" t="s">
        <v>3056</v>
      </c>
      <c r="B2681" t="s">
        <v>496</v>
      </c>
      <c r="C2681" t="s">
        <v>554</v>
      </c>
      <c r="D2681" s="1">
        <v>45700</v>
      </c>
      <c r="E2681" s="1">
        <v>45745</v>
      </c>
      <c r="F2681" t="s">
        <v>13</v>
      </c>
      <c r="G2681">
        <v>2387881</v>
      </c>
      <c r="H2681" s="1">
        <v>45743</v>
      </c>
      <c r="I2681" t="s">
        <v>555</v>
      </c>
      <c r="J2681" t="s">
        <v>556</v>
      </c>
      <c r="L2681">
        <v>2387881</v>
      </c>
      <c r="M2681">
        <f>IF(F2681="INR",1,INDEX('rates'!$B$2:$C$522,MATCH(D2681,'rates'!$A$2:$A$522,1),MATCH(F2681&amp;"/INR",'rates'!$B$1:$C$1,0)))</f>
        <v>1</v>
      </c>
      <c r="N2681">
        <f t="shared" si="221"/>
        <v>2387881</v>
      </c>
      <c r="O2681">
        <f t="shared" si="222"/>
        <v>0</v>
      </c>
      <c r="P2681">
        <f t="shared" si="223"/>
        <v>0</v>
      </c>
      <c r="Q2681">
        <f t="shared" si="225"/>
        <v>-2</v>
      </c>
      <c r="R2681" t="str">
        <f t="shared" si="224"/>
        <v>Not open</v>
      </c>
    </row>
    <row r="2682" spans="1:18" x14ac:dyDescent="0.3">
      <c r="A2682" t="s">
        <v>3057</v>
      </c>
      <c r="B2682" t="s">
        <v>81</v>
      </c>
      <c r="C2682" t="s">
        <v>566</v>
      </c>
      <c r="D2682" s="1">
        <v>45701</v>
      </c>
      <c r="E2682" s="1">
        <v>45731</v>
      </c>
      <c r="F2682" t="s">
        <v>13</v>
      </c>
      <c r="G2682">
        <v>3147991</v>
      </c>
      <c r="H2682" s="1">
        <v>45731</v>
      </c>
      <c r="I2682" t="s">
        <v>555</v>
      </c>
      <c r="J2682" t="s">
        <v>556</v>
      </c>
      <c r="L2682">
        <v>3147991</v>
      </c>
      <c r="M2682">
        <f>IF(F2682="INR",1,INDEX('rates'!$B$2:$C$522,MATCH(D2682,'rates'!$A$2:$A$522,1),MATCH(F2682&amp;"/INR",'rates'!$B$1:$C$1,0)))</f>
        <v>1</v>
      </c>
      <c r="N2682">
        <f t="shared" si="221"/>
        <v>3147991</v>
      </c>
      <c r="O2682">
        <f t="shared" si="222"/>
        <v>0</v>
      </c>
      <c r="P2682">
        <f t="shared" si="223"/>
        <v>0</v>
      </c>
      <c r="Q2682">
        <f t="shared" si="225"/>
        <v>0</v>
      </c>
      <c r="R2682" t="str">
        <f t="shared" si="224"/>
        <v>Not open</v>
      </c>
    </row>
    <row r="2683" spans="1:18" x14ac:dyDescent="0.3">
      <c r="A2683" t="s">
        <v>3068</v>
      </c>
      <c r="B2683" t="s">
        <v>178</v>
      </c>
      <c r="C2683" t="s">
        <v>560</v>
      </c>
      <c r="D2683" s="1">
        <v>45702</v>
      </c>
      <c r="E2683" s="1">
        <v>45732</v>
      </c>
      <c r="F2683" t="s">
        <v>13</v>
      </c>
      <c r="G2683">
        <v>9557076</v>
      </c>
      <c r="H2683" s="1">
        <v>45737</v>
      </c>
      <c r="I2683" t="s">
        <v>555</v>
      </c>
      <c r="J2683" t="s">
        <v>556</v>
      </c>
      <c r="L2683">
        <v>9557076</v>
      </c>
      <c r="M2683">
        <f>IF(F2683="INR",1,INDEX('rates'!$B$2:$C$522,MATCH(D2683,'rates'!$A$2:$A$522,1),MATCH(F2683&amp;"/INR",'rates'!$B$1:$C$1,0)))</f>
        <v>1</v>
      </c>
      <c r="N2683">
        <f t="shared" si="221"/>
        <v>9557076</v>
      </c>
      <c r="O2683">
        <f t="shared" si="222"/>
        <v>0</v>
      </c>
      <c r="P2683">
        <f t="shared" si="223"/>
        <v>0</v>
      </c>
      <c r="Q2683">
        <f t="shared" si="225"/>
        <v>5</v>
      </c>
      <c r="R2683" t="str">
        <f t="shared" si="224"/>
        <v>Not open</v>
      </c>
    </row>
    <row r="2684" spans="1:18" x14ac:dyDescent="0.3">
      <c r="A2684" t="s">
        <v>3076</v>
      </c>
      <c r="B2684" t="s">
        <v>154</v>
      </c>
      <c r="C2684" t="s">
        <v>566</v>
      </c>
      <c r="D2684" s="1">
        <v>45703</v>
      </c>
      <c r="E2684" s="1">
        <v>45733</v>
      </c>
      <c r="F2684" t="s">
        <v>13</v>
      </c>
      <c r="G2684">
        <v>3747844</v>
      </c>
      <c r="H2684" s="1">
        <v>45732</v>
      </c>
      <c r="I2684" t="s">
        <v>555</v>
      </c>
      <c r="J2684" t="s">
        <v>556</v>
      </c>
      <c r="L2684">
        <v>3747844</v>
      </c>
      <c r="M2684">
        <f>IF(F2684="INR",1,INDEX('rates'!$B$2:$C$522,MATCH(D2684,'rates'!$A$2:$A$522,1),MATCH(F2684&amp;"/INR",'rates'!$B$1:$C$1,0)))</f>
        <v>1</v>
      </c>
      <c r="N2684">
        <f t="shared" si="221"/>
        <v>3747844</v>
      </c>
      <c r="O2684">
        <f t="shared" si="222"/>
        <v>0</v>
      </c>
      <c r="P2684">
        <f t="shared" si="223"/>
        <v>0</v>
      </c>
      <c r="Q2684">
        <f t="shared" si="225"/>
        <v>-1</v>
      </c>
      <c r="R2684" t="str">
        <f t="shared" si="224"/>
        <v>Not open</v>
      </c>
    </row>
    <row r="2685" spans="1:18" x14ac:dyDescent="0.3">
      <c r="A2685" t="s">
        <v>3077</v>
      </c>
      <c r="B2685" t="s">
        <v>196</v>
      </c>
      <c r="C2685" t="s">
        <v>554</v>
      </c>
      <c r="D2685" s="1">
        <v>45703</v>
      </c>
      <c r="E2685" s="1">
        <v>45748</v>
      </c>
      <c r="F2685" t="s">
        <v>13</v>
      </c>
      <c r="G2685">
        <v>7728608</v>
      </c>
      <c r="H2685" s="1">
        <v>45745</v>
      </c>
      <c r="I2685" t="s">
        <v>555</v>
      </c>
      <c r="J2685" t="s">
        <v>556</v>
      </c>
      <c r="L2685">
        <v>7728608</v>
      </c>
      <c r="M2685">
        <f>IF(F2685="INR",1,INDEX('rates'!$B$2:$C$522,MATCH(D2685,'rates'!$A$2:$A$522,1),MATCH(F2685&amp;"/INR",'rates'!$B$1:$C$1,0)))</f>
        <v>1</v>
      </c>
      <c r="N2685">
        <f t="shared" si="221"/>
        <v>7728608</v>
      </c>
      <c r="O2685">
        <f t="shared" si="222"/>
        <v>0</v>
      </c>
      <c r="P2685">
        <f t="shared" si="223"/>
        <v>0</v>
      </c>
      <c r="Q2685">
        <f t="shared" si="225"/>
        <v>-3</v>
      </c>
      <c r="R2685" t="str">
        <f t="shared" si="224"/>
        <v>Not open</v>
      </c>
    </row>
    <row r="2686" spans="1:18" x14ac:dyDescent="0.3">
      <c r="A2686" t="s">
        <v>3091</v>
      </c>
      <c r="B2686" t="s">
        <v>300</v>
      </c>
      <c r="C2686" t="s">
        <v>554</v>
      </c>
      <c r="D2686" s="1">
        <v>45707</v>
      </c>
      <c r="E2686" s="1">
        <v>45737</v>
      </c>
      <c r="F2686" t="s">
        <v>13</v>
      </c>
      <c r="G2686">
        <v>1157189</v>
      </c>
      <c r="H2686" s="1">
        <v>45731</v>
      </c>
      <c r="I2686" t="s">
        <v>555</v>
      </c>
      <c r="J2686" t="s">
        <v>556</v>
      </c>
      <c r="L2686">
        <v>1157189</v>
      </c>
      <c r="M2686">
        <f>IF(F2686="INR",1,INDEX('rates'!$B$2:$C$522,MATCH(D2686,'rates'!$A$2:$A$522,1),MATCH(F2686&amp;"/INR",'rates'!$B$1:$C$1,0)))</f>
        <v>1</v>
      </c>
      <c r="N2686">
        <f t="shared" si="221"/>
        <v>1157189</v>
      </c>
      <c r="O2686">
        <f t="shared" si="222"/>
        <v>0</v>
      </c>
      <c r="P2686">
        <f t="shared" si="223"/>
        <v>0</v>
      </c>
      <c r="Q2686">
        <f t="shared" si="225"/>
        <v>-6</v>
      </c>
      <c r="R2686" t="str">
        <f t="shared" si="224"/>
        <v>Not open</v>
      </c>
    </row>
    <row r="2687" spans="1:18" x14ac:dyDescent="0.3">
      <c r="A2687" t="s">
        <v>3098</v>
      </c>
      <c r="B2687" t="s">
        <v>468</v>
      </c>
      <c r="C2687" t="s">
        <v>554</v>
      </c>
      <c r="D2687" s="1">
        <v>45709</v>
      </c>
      <c r="E2687" s="1">
        <v>45739</v>
      </c>
      <c r="F2687" t="s">
        <v>13</v>
      </c>
      <c r="G2687">
        <v>7541073</v>
      </c>
      <c r="H2687" s="1">
        <v>45738</v>
      </c>
      <c r="I2687" t="s">
        <v>555</v>
      </c>
      <c r="J2687" t="s">
        <v>556</v>
      </c>
      <c r="L2687">
        <v>7541073</v>
      </c>
      <c r="M2687">
        <f>IF(F2687="INR",1,INDEX('rates'!$B$2:$C$522,MATCH(D2687,'rates'!$A$2:$A$522,1),MATCH(F2687&amp;"/INR",'rates'!$B$1:$C$1,0)))</f>
        <v>1</v>
      </c>
      <c r="N2687">
        <f t="shared" si="221"/>
        <v>7541073</v>
      </c>
      <c r="O2687">
        <f t="shared" si="222"/>
        <v>0</v>
      </c>
      <c r="P2687">
        <f t="shared" si="223"/>
        <v>0</v>
      </c>
      <c r="Q2687">
        <f t="shared" si="225"/>
        <v>-1</v>
      </c>
      <c r="R2687" t="str">
        <f t="shared" si="224"/>
        <v>Not open</v>
      </c>
    </row>
    <row r="2688" spans="1:18" x14ac:dyDescent="0.3">
      <c r="A2688" t="s">
        <v>3103</v>
      </c>
      <c r="B2688" t="s">
        <v>172</v>
      </c>
      <c r="C2688" t="s">
        <v>566</v>
      </c>
      <c r="D2688" s="1">
        <v>45710</v>
      </c>
      <c r="E2688" s="1">
        <v>45740</v>
      </c>
      <c r="F2688" t="s">
        <v>13</v>
      </c>
      <c r="G2688">
        <v>1718651</v>
      </c>
      <c r="H2688" s="1">
        <v>45741</v>
      </c>
      <c r="I2688" t="s">
        <v>555</v>
      </c>
      <c r="J2688" t="s">
        <v>556</v>
      </c>
      <c r="L2688">
        <v>1718651</v>
      </c>
      <c r="M2688">
        <f>IF(F2688="INR",1,INDEX('rates'!$B$2:$C$522,MATCH(D2688,'rates'!$A$2:$A$522,1),MATCH(F2688&amp;"/INR",'rates'!$B$1:$C$1,0)))</f>
        <v>1</v>
      </c>
      <c r="N2688">
        <f t="shared" si="221"/>
        <v>1718651</v>
      </c>
      <c r="O2688">
        <f t="shared" si="222"/>
        <v>0</v>
      </c>
      <c r="P2688">
        <f t="shared" si="223"/>
        <v>0</v>
      </c>
      <c r="Q2688">
        <f t="shared" si="225"/>
        <v>1</v>
      </c>
      <c r="R2688" t="str">
        <f t="shared" si="224"/>
        <v>Not open</v>
      </c>
    </row>
    <row r="2689" spans="1:18" x14ac:dyDescent="0.3">
      <c r="A2689" t="s">
        <v>3121</v>
      </c>
      <c r="B2689" t="s">
        <v>154</v>
      </c>
      <c r="C2689" t="s">
        <v>566</v>
      </c>
      <c r="D2689" s="1">
        <v>45717</v>
      </c>
      <c r="E2689" s="1">
        <v>45747</v>
      </c>
      <c r="F2689" t="s">
        <v>13</v>
      </c>
      <c r="G2689">
        <v>17812807</v>
      </c>
      <c r="H2689" s="1">
        <v>45746</v>
      </c>
      <c r="I2689" t="s">
        <v>555</v>
      </c>
      <c r="J2689" t="s">
        <v>556</v>
      </c>
      <c r="L2689">
        <v>17812807</v>
      </c>
      <c r="M2689">
        <f>IF(F2689="INR",1,INDEX('rates'!$B$2:$C$522,MATCH(D2689,'rates'!$A$2:$A$522,1),MATCH(F2689&amp;"/INR",'rates'!$B$1:$C$1,0)))</f>
        <v>1</v>
      </c>
      <c r="N2689">
        <f t="shared" si="221"/>
        <v>17812807</v>
      </c>
      <c r="O2689">
        <f t="shared" si="222"/>
        <v>0</v>
      </c>
      <c r="P2689">
        <f t="shared" si="223"/>
        <v>0</v>
      </c>
      <c r="Q2689">
        <f t="shared" si="225"/>
        <v>-1</v>
      </c>
      <c r="R2689" t="str">
        <f t="shared" si="224"/>
        <v>Not open</v>
      </c>
    </row>
    <row r="2690" spans="1:18" x14ac:dyDescent="0.3">
      <c r="D2690" s="1"/>
      <c r="E2690" s="1"/>
      <c r="H269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820A-E84F-4C53-B3F8-ABBE05664DEB}">
  <dimension ref="A1:J251"/>
  <sheetViews>
    <sheetView workbookViewId="0">
      <selection activeCell="G18" sqref="G18"/>
    </sheetView>
  </sheetViews>
  <sheetFormatPr defaultRowHeight="14.4" x14ac:dyDescent="0.3"/>
  <cols>
    <col min="1" max="1" width="13.5546875" bestFit="1" customWidth="1"/>
    <col min="2" max="2" width="38.77734375" bestFit="1" customWidth="1"/>
    <col min="3" max="3" width="10.88671875" bestFit="1" customWidth="1"/>
    <col min="4" max="4" width="16.5546875" bestFit="1" customWidth="1"/>
    <col min="5" max="5" width="15.33203125" bestFit="1" customWidth="1"/>
    <col min="6" max="6" width="13.77734375" bestFit="1" customWidth="1"/>
    <col min="7" max="7" width="16.109375" bestFit="1" customWidth="1"/>
    <col min="8" max="8" width="17.21875" bestFit="1" customWidth="1"/>
    <col min="9" max="9" width="11" bestFit="1" customWidth="1"/>
    <col min="10" max="10" width="2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7500000</v>
      </c>
      <c r="H2" s="1">
        <v>44020</v>
      </c>
      <c r="J2">
        <v>45</v>
      </c>
    </row>
    <row r="3" spans="1:10" x14ac:dyDescent="0.3">
      <c r="A3" t="s">
        <v>16</v>
      </c>
      <c r="B3" t="s">
        <v>17</v>
      </c>
      <c r="C3" t="s">
        <v>12</v>
      </c>
      <c r="D3" t="s">
        <v>13</v>
      </c>
      <c r="E3" t="s">
        <v>18</v>
      </c>
      <c r="F3" t="s">
        <v>15</v>
      </c>
      <c r="G3">
        <v>28950000</v>
      </c>
      <c r="H3" s="1">
        <v>42009</v>
      </c>
      <c r="J3">
        <v>45</v>
      </c>
    </row>
    <row r="4" spans="1:10" x14ac:dyDescent="0.3">
      <c r="A4" t="s">
        <v>19</v>
      </c>
      <c r="B4" t="s">
        <v>20</v>
      </c>
      <c r="C4" t="s">
        <v>12</v>
      </c>
      <c r="D4" t="s">
        <v>13</v>
      </c>
      <c r="E4" t="s">
        <v>18</v>
      </c>
      <c r="F4" t="s">
        <v>21</v>
      </c>
      <c r="G4">
        <v>15500000</v>
      </c>
      <c r="H4" s="1">
        <v>42585</v>
      </c>
      <c r="J4">
        <v>45</v>
      </c>
    </row>
    <row r="5" spans="1:10" x14ac:dyDescent="0.3">
      <c r="A5" t="s">
        <v>22</v>
      </c>
      <c r="B5" t="s">
        <v>23</v>
      </c>
      <c r="C5" t="s">
        <v>12</v>
      </c>
      <c r="D5" t="s">
        <v>13</v>
      </c>
      <c r="E5" t="s">
        <v>24</v>
      </c>
      <c r="F5" t="s">
        <v>15</v>
      </c>
      <c r="G5">
        <v>114250000</v>
      </c>
      <c r="H5" s="1">
        <v>43164</v>
      </c>
      <c r="J5">
        <v>45</v>
      </c>
    </row>
    <row r="6" spans="1:10" x14ac:dyDescent="0.3">
      <c r="A6" t="s">
        <v>25</v>
      </c>
      <c r="B6" t="s">
        <v>26</v>
      </c>
      <c r="C6" t="s">
        <v>12</v>
      </c>
      <c r="D6" t="s">
        <v>13</v>
      </c>
      <c r="E6" t="s">
        <v>27</v>
      </c>
      <c r="F6" t="s">
        <v>15</v>
      </c>
      <c r="G6">
        <v>63550000</v>
      </c>
      <c r="H6" s="1">
        <v>44670</v>
      </c>
      <c r="J6">
        <v>30</v>
      </c>
    </row>
    <row r="7" spans="1:10" x14ac:dyDescent="0.3">
      <c r="A7" t="s">
        <v>28</v>
      </c>
      <c r="B7" t="s">
        <v>29</v>
      </c>
      <c r="C7" t="s">
        <v>30</v>
      </c>
      <c r="D7" t="s">
        <v>31</v>
      </c>
      <c r="E7" t="s">
        <v>27</v>
      </c>
      <c r="F7" t="s">
        <v>32</v>
      </c>
      <c r="G7">
        <v>98150000</v>
      </c>
      <c r="H7" s="1">
        <v>42648</v>
      </c>
      <c r="J7">
        <v>30</v>
      </c>
    </row>
    <row r="8" spans="1:10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>
        <v>42200000</v>
      </c>
      <c r="H8" s="1">
        <v>43958</v>
      </c>
      <c r="J8">
        <v>30</v>
      </c>
    </row>
    <row r="9" spans="1:10" x14ac:dyDescent="0.3">
      <c r="A9" t="s">
        <v>39</v>
      </c>
      <c r="B9" t="s">
        <v>40</v>
      </c>
      <c r="C9" t="s">
        <v>12</v>
      </c>
      <c r="D9" t="s">
        <v>13</v>
      </c>
      <c r="E9" t="s">
        <v>41</v>
      </c>
      <c r="F9" t="s">
        <v>32</v>
      </c>
      <c r="G9">
        <v>27050000</v>
      </c>
      <c r="H9" s="1">
        <v>43126</v>
      </c>
      <c r="J9">
        <v>90</v>
      </c>
    </row>
    <row r="10" spans="1:10" x14ac:dyDescent="0.3">
      <c r="A10" t="s">
        <v>42</v>
      </c>
      <c r="B10" t="s">
        <v>43</v>
      </c>
      <c r="C10" t="s">
        <v>12</v>
      </c>
      <c r="D10" t="s">
        <v>13</v>
      </c>
      <c r="E10" t="s">
        <v>44</v>
      </c>
      <c r="F10" t="s">
        <v>45</v>
      </c>
      <c r="G10">
        <v>126700000</v>
      </c>
      <c r="H10" s="1">
        <v>44719</v>
      </c>
      <c r="J10">
        <v>60</v>
      </c>
    </row>
    <row r="11" spans="1:10" x14ac:dyDescent="0.3">
      <c r="A11" t="s">
        <v>46</v>
      </c>
      <c r="B11" t="s">
        <v>47</v>
      </c>
      <c r="C11" t="s">
        <v>48</v>
      </c>
      <c r="D11" t="s">
        <v>36</v>
      </c>
      <c r="E11" t="s">
        <v>44</v>
      </c>
      <c r="F11" t="s">
        <v>15</v>
      </c>
      <c r="G11">
        <v>43800000</v>
      </c>
      <c r="H11" s="1">
        <v>45021</v>
      </c>
      <c r="J11">
        <v>60</v>
      </c>
    </row>
    <row r="12" spans="1:10" x14ac:dyDescent="0.3">
      <c r="A12" t="s">
        <v>49</v>
      </c>
      <c r="B12" t="s">
        <v>50</v>
      </c>
      <c r="C12" t="s">
        <v>12</v>
      </c>
      <c r="D12" t="s">
        <v>13</v>
      </c>
      <c r="E12" t="s">
        <v>18</v>
      </c>
      <c r="F12" t="s">
        <v>38</v>
      </c>
      <c r="G12">
        <v>35350000</v>
      </c>
      <c r="H12" s="1">
        <v>42324</v>
      </c>
      <c r="J12">
        <v>45</v>
      </c>
    </row>
    <row r="13" spans="1:10" x14ac:dyDescent="0.3">
      <c r="A13" t="s">
        <v>51</v>
      </c>
      <c r="B13" t="s">
        <v>52</v>
      </c>
      <c r="C13" t="s">
        <v>53</v>
      </c>
      <c r="D13" t="s">
        <v>31</v>
      </c>
      <c r="E13" t="s">
        <v>37</v>
      </c>
      <c r="F13" t="s">
        <v>54</v>
      </c>
      <c r="G13">
        <v>9500000</v>
      </c>
      <c r="H13" s="1">
        <v>43659</v>
      </c>
      <c r="J13">
        <v>60</v>
      </c>
    </row>
    <row r="14" spans="1:10" x14ac:dyDescent="0.3">
      <c r="A14" t="s">
        <v>55</v>
      </c>
      <c r="B14" t="s">
        <v>56</v>
      </c>
      <c r="C14" t="s">
        <v>57</v>
      </c>
      <c r="D14" t="s">
        <v>36</v>
      </c>
      <c r="E14" t="s">
        <v>58</v>
      </c>
      <c r="F14" t="s">
        <v>15</v>
      </c>
      <c r="G14">
        <v>36200000</v>
      </c>
      <c r="H14" s="1">
        <v>44210</v>
      </c>
      <c r="J14">
        <v>45</v>
      </c>
    </row>
    <row r="15" spans="1:10" x14ac:dyDescent="0.3">
      <c r="A15" t="s">
        <v>59</v>
      </c>
      <c r="B15" t="s">
        <v>60</v>
      </c>
      <c r="C15" t="s">
        <v>61</v>
      </c>
      <c r="D15" t="s">
        <v>31</v>
      </c>
      <c r="E15" t="s">
        <v>27</v>
      </c>
      <c r="F15" t="s">
        <v>54</v>
      </c>
      <c r="G15">
        <v>58450000</v>
      </c>
      <c r="H15" s="1">
        <v>43295</v>
      </c>
      <c r="J15">
        <v>45</v>
      </c>
    </row>
    <row r="16" spans="1:10" x14ac:dyDescent="0.3">
      <c r="A16" t="s">
        <v>62</v>
      </c>
      <c r="B16" t="s">
        <v>63</v>
      </c>
      <c r="C16" t="s">
        <v>12</v>
      </c>
      <c r="D16" t="s">
        <v>13</v>
      </c>
      <c r="E16" t="s">
        <v>64</v>
      </c>
      <c r="F16" t="s">
        <v>45</v>
      </c>
      <c r="G16">
        <v>41300000</v>
      </c>
      <c r="H16" s="1">
        <v>43567</v>
      </c>
      <c r="J16">
        <v>60</v>
      </c>
    </row>
    <row r="17" spans="1:10" x14ac:dyDescent="0.3">
      <c r="A17" t="s">
        <v>65</v>
      </c>
      <c r="B17" t="s">
        <v>66</v>
      </c>
      <c r="C17" t="s">
        <v>12</v>
      </c>
      <c r="D17" t="s">
        <v>13</v>
      </c>
      <c r="E17" t="s">
        <v>64</v>
      </c>
      <c r="F17" t="s">
        <v>15</v>
      </c>
      <c r="G17">
        <v>32300000</v>
      </c>
      <c r="H17" s="1">
        <v>42799</v>
      </c>
      <c r="J17">
        <v>30</v>
      </c>
    </row>
    <row r="18" spans="1:10" x14ac:dyDescent="0.3">
      <c r="A18" t="s">
        <v>67</v>
      </c>
      <c r="B18" t="s">
        <v>68</v>
      </c>
      <c r="C18" t="s">
        <v>69</v>
      </c>
      <c r="D18" t="s">
        <v>36</v>
      </c>
      <c r="E18" t="s">
        <v>64</v>
      </c>
      <c r="F18" t="s">
        <v>32</v>
      </c>
      <c r="G18">
        <v>25000000</v>
      </c>
      <c r="H18" s="1">
        <v>44549</v>
      </c>
      <c r="J18">
        <v>60</v>
      </c>
    </row>
    <row r="19" spans="1:10" x14ac:dyDescent="0.3">
      <c r="A19" t="s">
        <v>70</v>
      </c>
      <c r="B19" t="s">
        <v>71</v>
      </c>
      <c r="C19" t="s">
        <v>12</v>
      </c>
      <c r="D19" t="s">
        <v>13</v>
      </c>
      <c r="E19" t="s">
        <v>41</v>
      </c>
      <c r="F19" t="s">
        <v>15</v>
      </c>
      <c r="G19">
        <v>24800000</v>
      </c>
      <c r="H19" s="1">
        <v>44426</v>
      </c>
      <c r="J19">
        <v>30</v>
      </c>
    </row>
    <row r="20" spans="1:10" x14ac:dyDescent="0.3">
      <c r="A20" t="s">
        <v>72</v>
      </c>
      <c r="B20" t="s">
        <v>73</v>
      </c>
      <c r="C20" t="s">
        <v>30</v>
      </c>
      <c r="D20" t="s">
        <v>31</v>
      </c>
      <c r="E20" t="s">
        <v>58</v>
      </c>
      <c r="F20" t="s">
        <v>38</v>
      </c>
      <c r="G20">
        <v>0</v>
      </c>
      <c r="H20" s="1">
        <v>43269</v>
      </c>
      <c r="I20" t="s">
        <v>74</v>
      </c>
      <c r="J20">
        <v>90</v>
      </c>
    </row>
    <row r="21" spans="1:10" x14ac:dyDescent="0.3">
      <c r="A21" t="s">
        <v>75</v>
      </c>
      <c r="B21" t="s">
        <v>76</v>
      </c>
      <c r="C21" t="s">
        <v>48</v>
      </c>
      <c r="D21" t="s">
        <v>36</v>
      </c>
      <c r="E21" t="s">
        <v>64</v>
      </c>
      <c r="F21" t="s">
        <v>77</v>
      </c>
      <c r="G21">
        <v>10200000</v>
      </c>
      <c r="H21" s="1">
        <v>42469</v>
      </c>
      <c r="J21">
        <v>90</v>
      </c>
    </row>
    <row r="22" spans="1:10" x14ac:dyDescent="0.3">
      <c r="A22" t="s">
        <v>78</v>
      </c>
      <c r="B22" t="s">
        <v>79</v>
      </c>
      <c r="C22" t="s">
        <v>35</v>
      </c>
      <c r="D22" t="s">
        <v>36</v>
      </c>
      <c r="E22" t="s">
        <v>80</v>
      </c>
      <c r="F22" t="s">
        <v>32</v>
      </c>
      <c r="G22">
        <v>27950000</v>
      </c>
      <c r="H22" s="1">
        <v>43246</v>
      </c>
      <c r="J22">
        <v>90</v>
      </c>
    </row>
    <row r="23" spans="1:10" x14ac:dyDescent="0.3">
      <c r="A23" t="s">
        <v>81</v>
      </c>
      <c r="B23" t="s">
        <v>82</v>
      </c>
      <c r="C23" t="s">
        <v>12</v>
      </c>
      <c r="D23" t="s">
        <v>13</v>
      </c>
      <c r="E23" t="s">
        <v>37</v>
      </c>
      <c r="F23" t="s">
        <v>15</v>
      </c>
      <c r="G23">
        <v>27450000</v>
      </c>
      <c r="H23" s="1">
        <v>43333</v>
      </c>
      <c r="J23">
        <v>30</v>
      </c>
    </row>
    <row r="24" spans="1:10" x14ac:dyDescent="0.3">
      <c r="A24" t="s">
        <v>83</v>
      </c>
      <c r="B24" t="s">
        <v>84</v>
      </c>
      <c r="C24" t="s">
        <v>12</v>
      </c>
      <c r="D24" t="s">
        <v>13</v>
      </c>
      <c r="E24" t="s">
        <v>37</v>
      </c>
      <c r="F24" t="s">
        <v>77</v>
      </c>
      <c r="G24">
        <v>5850000</v>
      </c>
      <c r="H24" s="1">
        <v>44865</v>
      </c>
      <c r="J24">
        <v>45</v>
      </c>
    </row>
    <row r="25" spans="1:10" x14ac:dyDescent="0.3">
      <c r="A25" t="s">
        <v>85</v>
      </c>
      <c r="B25" t="s">
        <v>86</v>
      </c>
      <c r="C25" t="s">
        <v>12</v>
      </c>
      <c r="D25" t="s">
        <v>13</v>
      </c>
      <c r="E25" t="s">
        <v>41</v>
      </c>
      <c r="F25" t="s">
        <v>45</v>
      </c>
      <c r="G25">
        <v>47650000</v>
      </c>
      <c r="H25" s="1">
        <v>43980</v>
      </c>
      <c r="J25">
        <v>30</v>
      </c>
    </row>
    <row r="26" spans="1:10" x14ac:dyDescent="0.3">
      <c r="A26" t="s">
        <v>87</v>
      </c>
      <c r="B26" t="s">
        <v>88</v>
      </c>
      <c r="C26" t="s">
        <v>57</v>
      </c>
      <c r="D26" t="s">
        <v>36</v>
      </c>
      <c r="E26" t="s">
        <v>80</v>
      </c>
      <c r="F26" t="s">
        <v>38</v>
      </c>
      <c r="G26">
        <v>64550000</v>
      </c>
      <c r="H26" s="1">
        <v>44447</v>
      </c>
      <c r="J26">
        <v>45</v>
      </c>
    </row>
    <row r="27" spans="1:10" x14ac:dyDescent="0.3">
      <c r="A27" t="s">
        <v>89</v>
      </c>
      <c r="B27" t="s">
        <v>90</v>
      </c>
      <c r="C27" t="s">
        <v>12</v>
      </c>
      <c r="D27" t="s">
        <v>13</v>
      </c>
      <c r="E27" t="s">
        <v>80</v>
      </c>
      <c r="F27" t="s">
        <v>15</v>
      </c>
      <c r="G27">
        <v>39350000</v>
      </c>
      <c r="H27" s="1">
        <v>42390</v>
      </c>
      <c r="J27">
        <v>30</v>
      </c>
    </row>
    <row r="28" spans="1:10" x14ac:dyDescent="0.3">
      <c r="A28" t="s">
        <v>91</v>
      </c>
      <c r="B28" t="s">
        <v>92</v>
      </c>
      <c r="C28" t="s">
        <v>93</v>
      </c>
      <c r="D28" t="s">
        <v>36</v>
      </c>
      <c r="E28" t="s">
        <v>24</v>
      </c>
      <c r="F28" t="s">
        <v>15</v>
      </c>
      <c r="G28">
        <v>9250000</v>
      </c>
      <c r="H28" s="1">
        <v>42067</v>
      </c>
      <c r="J28">
        <v>60</v>
      </c>
    </row>
    <row r="29" spans="1:10" x14ac:dyDescent="0.3">
      <c r="A29" t="s">
        <v>94</v>
      </c>
      <c r="B29" t="s">
        <v>95</v>
      </c>
      <c r="C29" t="s">
        <v>12</v>
      </c>
      <c r="D29" t="s">
        <v>13</v>
      </c>
      <c r="E29" t="s">
        <v>58</v>
      </c>
      <c r="F29" t="s">
        <v>54</v>
      </c>
      <c r="G29">
        <v>58400000</v>
      </c>
      <c r="H29" s="1">
        <v>42189</v>
      </c>
      <c r="J29">
        <v>30</v>
      </c>
    </row>
    <row r="30" spans="1:10" x14ac:dyDescent="0.3">
      <c r="A30" t="s">
        <v>96</v>
      </c>
      <c r="B30" t="s">
        <v>97</v>
      </c>
      <c r="C30" t="s">
        <v>12</v>
      </c>
      <c r="D30" t="s">
        <v>13</v>
      </c>
      <c r="E30" t="s">
        <v>44</v>
      </c>
      <c r="F30" t="s">
        <v>54</v>
      </c>
      <c r="G30">
        <v>50800000</v>
      </c>
      <c r="H30" s="1">
        <v>43923</v>
      </c>
      <c r="J30">
        <v>90</v>
      </c>
    </row>
    <row r="31" spans="1:10" x14ac:dyDescent="0.3">
      <c r="A31" t="s">
        <v>98</v>
      </c>
      <c r="B31" t="s">
        <v>99</v>
      </c>
      <c r="C31" t="s">
        <v>12</v>
      </c>
      <c r="D31" t="s">
        <v>13</v>
      </c>
      <c r="E31" t="s">
        <v>64</v>
      </c>
      <c r="F31" t="s">
        <v>15</v>
      </c>
      <c r="G31">
        <v>42850000</v>
      </c>
      <c r="H31" s="1">
        <v>42401</v>
      </c>
      <c r="J31">
        <v>60</v>
      </c>
    </row>
    <row r="32" spans="1:10" x14ac:dyDescent="0.3">
      <c r="A32" t="s">
        <v>100</v>
      </c>
      <c r="B32" t="s">
        <v>101</v>
      </c>
      <c r="C32" t="s">
        <v>12</v>
      </c>
      <c r="D32" t="s">
        <v>13</v>
      </c>
      <c r="E32" t="s">
        <v>44</v>
      </c>
      <c r="F32" t="s">
        <v>102</v>
      </c>
      <c r="G32">
        <v>94450000</v>
      </c>
      <c r="H32" s="1">
        <v>42134</v>
      </c>
      <c r="J32">
        <v>90</v>
      </c>
    </row>
    <row r="33" spans="1:10" x14ac:dyDescent="0.3">
      <c r="A33" t="s">
        <v>103</v>
      </c>
      <c r="B33" t="s">
        <v>104</v>
      </c>
      <c r="C33" t="s">
        <v>12</v>
      </c>
      <c r="D33" t="s">
        <v>13</v>
      </c>
      <c r="E33" t="s">
        <v>44</v>
      </c>
      <c r="F33" t="s">
        <v>32</v>
      </c>
      <c r="G33">
        <v>44500000</v>
      </c>
      <c r="H33" s="1">
        <v>43222</v>
      </c>
      <c r="J33">
        <v>60</v>
      </c>
    </row>
    <row r="34" spans="1:10" x14ac:dyDescent="0.3">
      <c r="A34" t="s">
        <v>105</v>
      </c>
      <c r="B34" t="s">
        <v>106</v>
      </c>
      <c r="C34" t="s">
        <v>93</v>
      </c>
      <c r="D34" t="s">
        <v>36</v>
      </c>
      <c r="E34" t="s">
        <v>27</v>
      </c>
      <c r="F34" t="s">
        <v>21</v>
      </c>
      <c r="G34">
        <v>21900000</v>
      </c>
      <c r="H34" s="1">
        <v>43572</v>
      </c>
      <c r="J34">
        <v>90</v>
      </c>
    </row>
    <row r="35" spans="1:10" x14ac:dyDescent="0.3">
      <c r="A35" t="s">
        <v>107</v>
      </c>
      <c r="B35" t="s">
        <v>108</v>
      </c>
      <c r="C35" t="s">
        <v>12</v>
      </c>
      <c r="D35" t="s">
        <v>13</v>
      </c>
      <c r="E35" t="s">
        <v>80</v>
      </c>
      <c r="F35" t="s">
        <v>15</v>
      </c>
      <c r="G35">
        <v>13300000</v>
      </c>
      <c r="H35" s="1">
        <v>43689</v>
      </c>
      <c r="J35">
        <v>45</v>
      </c>
    </row>
    <row r="36" spans="1:10" x14ac:dyDescent="0.3">
      <c r="A36" t="s">
        <v>109</v>
      </c>
      <c r="B36" t="s">
        <v>110</v>
      </c>
      <c r="C36" t="s">
        <v>12</v>
      </c>
      <c r="D36" t="s">
        <v>13</v>
      </c>
      <c r="E36" t="s">
        <v>64</v>
      </c>
      <c r="F36" t="s">
        <v>32</v>
      </c>
      <c r="G36">
        <v>23150000</v>
      </c>
      <c r="H36" s="1">
        <v>43318</v>
      </c>
      <c r="J36">
        <v>45</v>
      </c>
    </row>
    <row r="37" spans="1:10" x14ac:dyDescent="0.3">
      <c r="A37" t="s">
        <v>111</v>
      </c>
      <c r="B37" t="s">
        <v>112</v>
      </c>
      <c r="C37" t="s">
        <v>12</v>
      </c>
      <c r="D37" t="s">
        <v>13</v>
      </c>
      <c r="E37" t="s">
        <v>37</v>
      </c>
      <c r="F37" t="s">
        <v>32</v>
      </c>
      <c r="G37">
        <v>39350000</v>
      </c>
      <c r="H37" s="1">
        <v>44055</v>
      </c>
      <c r="J37">
        <v>45</v>
      </c>
    </row>
    <row r="38" spans="1:10" x14ac:dyDescent="0.3">
      <c r="A38" t="s">
        <v>113</v>
      </c>
      <c r="B38" t="s">
        <v>114</v>
      </c>
      <c r="C38" t="s">
        <v>12</v>
      </c>
      <c r="D38" t="s">
        <v>13</v>
      </c>
      <c r="E38" t="s">
        <v>27</v>
      </c>
      <c r="F38" t="s">
        <v>45</v>
      </c>
      <c r="G38">
        <v>95400000</v>
      </c>
      <c r="H38" s="1">
        <v>42437</v>
      </c>
      <c r="J38">
        <v>30</v>
      </c>
    </row>
    <row r="39" spans="1:10" x14ac:dyDescent="0.3">
      <c r="A39" t="s">
        <v>115</v>
      </c>
      <c r="B39" t="s">
        <v>116</v>
      </c>
      <c r="C39" t="s">
        <v>12</v>
      </c>
      <c r="D39" t="s">
        <v>13</v>
      </c>
      <c r="E39" t="s">
        <v>24</v>
      </c>
      <c r="F39" t="s">
        <v>54</v>
      </c>
      <c r="G39">
        <v>29600000</v>
      </c>
      <c r="H39" s="1">
        <v>44541</v>
      </c>
      <c r="J39">
        <v>60</v>
      </c>
    </row>
    <row r="40" spans="1:10" x14ac:dyDescent="0.3">
      <c r="A40" t="s">
        <v>117</v>
      </c>
      <c r="B40" t="s">
        <v>118</v>
      </c>
      <c r="C40" t="s">
        <v>12</v>
      </c>
      <c r="D40" t="s">
        <v>13</v>
      </c>
      <c r="E40" t="s">
        <v>41</v>
      </c>
      <c r="F40" t="s">
        <v>15</v>
      </c>
      <c r="G40">
        <v>89300000</v>
      </c>
      <c r="H40" s="1">
        <v>44567</v>
      </c>
      <c r="J40">
        <v>60</v>
      </c>
    </row>
    <row r="41" spans="1:10" x14ac:dyDescent="0.3">
      <c r="A41" t="s">
        <v>119</v>
      </c>
      <c r="B41" t="s">
        <v>120</v>
      </c>
      <c r="C41" t="s">
        <v>121</v>
      </c>
      <c r="D41" t="s">
        <v>31</v>
      </c>
      <c r="E41" t="s">
        <v>41</v>
      </c>
      <c r="F41" t="s">
        <v>15</v>
      </c>
      <c r="G41">
        <v>61650000</v>
      </c>
      <c r="H41" s="1">
        <v>43900</v>
      </c>
      <c r="J41">
        <v>30</v>
      </c>
    </row>
    <row r="42" spans="1:10" x14ac:dyDescent="0.3">
      <c r="A42" t="s">
        <v>122</v>
      </c>
      <c r="B42" t="s">
        <v>123</v>
      </c>
      <c r="C42" t="s">
        <v>12</v>
      </c>
      <c r="D42" t="s">
        <v>13</v>
      </c>
      <c r="E42" t="s">
        <v>58</v>
      </c>
      <c r="F42" t="s">
        <v>15</v>
      </c>
      <c r="G42">
        <v>14600000</v>
      </c>
      <c r="H42" s="1">
        <v>43404</v>
      </c>
      <c r="J42">
        <v>45</v>
      </c>
    </row>
    <row r="43" spans="1:10" x14ac:dyDescent="0.3">
      <c r="A43" t="s">
        <v>124</v>
      </c>
      <c r="B43" t="s">
        <v>125</v>
      </c>
      <c r="C43" t="s">
        <v>30</v>
      </c>
      <c r="D43" t="s">
        <v>31</v>
      </c>
      <c r="E43" t="s">
        <v>27</v>
      </c>
      <c r="F43" t="s">
        <v>21</v>
      </c>
      <c r="G43">
        <v>11650000</v>
      </c>
      <c r="H43" s="1">
        <v>44488</v>
      </c>
      <c r="J43">
        <v>60</v>
      </c>
    </row>
    <row r="44" spans="1:10" x14ac:dyDescent="0.3">
      <c r="A44" t="s">
        <v>126</v>
      </c>
      <c r="B44" t="s">
        <v>127</v>
      </c>
      <c r="C44" t="s">
        <v>12</v>
      </c>
      <c r="D44" t="s">
        <v>13</v>
      </c>
      <c r="E44" t="s">
        <v>58</v>
      </c>
      <c r="F44" t="s">
        <v>15</v>
      </c>
      <c r="G44">
        <v>46800000</v>
      </c>
      <c r="H44" s="1">
        <v>42612</v>
      </c>
      <c r="J44">
        <v>45</v>
      </c>
    </row>
    <row r="45" spans="1:10" x14ac:dyDescent="0.3">
      <c r="A45" t="s">
        <v>128</v>
      </c>
      <c r="B45" t="s">
        <v>129</v>
      </c>
      <c r="C45" t="s">
        <v>12</v>
      </c>
      <c r="D45" t="s">
        <v>13</v>
      </c>
      <c r="E45" t="s">
        <v>24</v>
      </c>
      <c r="F45" t="s">
        <v>54</v>
      </c>
      <c r="G45">
        <v>16200000</v>
      </c>
      <c r="H45" s="1">
        <v>44286</v>
      </c>
      <c r="J45">
        <v>90</v>
      </c>
    </row>
    <row r="46" spans="1:10" x14ac:dyDescent="0.3">
      <c r="A46" t="s">
        <v>130</v>
      </c>
      <c r="B46" t="s">
        <v>131</v>
      </c>
      <c r="C46" t="s">
        <v>12</v>
      </c>
      <c r="D46" t="s">
        <v>13</v>
      </c>
      <c r="E46" t="s">
        <v>18</v>
      </c>
      <c r="F46" t="s">
        <v>45</v>
      </c>
      <c r="G46">
        <v>22600000</v>
      </c>
      <c r="H46" s="1">
        <v>43369</v>
      </c>
      <c r="J46">
        <v>45</v>
      </c>
    </row>
    <row r="47" spans="1:10" x14ac:dyDescent="0.3">
      <c r="A47" t="s">
        <v>132</v>
      </c>
      <c r="B47" t="s">
        <v>133</v>
      </c>
      <c r="C47" t="s">
        <v>12</v>
      </c>
      <c r="D47" t="s">
        <v>13</v>
      </c>
      <c r="E47" t="s">
        <v>37</v>
      </c>
      <c r="F47" t="s">
        <v>45</v>
      </c>
      <c r="G47">
        <v>65000000</v>
      </c>
      <c r="H47" s="1">
        <v>44516</v>
      </c>
      <c r="J47">
        <v>30</v>
      </c>
    </row>
    <row r="48" spans="1:10" x14ac:dyDescent="0.3">
      <c r="A48" t="s">
        <v>134</v>
      </c>
      <c r="B48" t="s">
        <v>135</v>
      </c>
      <c r="C48" t="s">
        <v>69</v>
      </c>
      <c r="D48" t="s">
        <v>36</v>
      </c>
      <c r="E48" t="s">
        <v>64</v>
      </c>
      <c r="F48" t="s">
        <v>45</v>
      </c>
      <c r="G48">
        <v>88650000</v>
      </c>
      <c r="H48" s="1">
        <v>44796</v>
      </c>
      <c r="J48">
        <v>90</v>
      </c>
    </row>
    <row r="49" spans="1:10" x14ac:dyDescent="0.3">
      <c r="A49" t="s">
        <v>136</v>
      </c>
      <c r="B49" t="s">
        <v>137</v>
      </c>
      <c r="C49" t="s">
        <v>12</v>
      </c>
      <c r="D49" t="s">
        <v>13</v>
      </c>
      <c r="E49" t="s">
        <v>80</v>
      </c>
      <c r="F49" t="s">
        <v>21</v>
      </c>
      <c r="G49">
        <v>0</v>
      </c>
      <c r="H49" s="1">
        <v>42249</v>
      </c>
      <c r="I49" t="s">
        <v>74</v>
      </c>
      <c r="J49">
        <v>45</v>
      </c>
    </row>
    <row r="50" spans="1:10" x14ac:dyDescent="0.3">
      <c r="A50" t="s">
        <v>138</v>
      </c>
      <c r="B50" t="s">
        <v>139</v>
      </c>
      <c r="C50" t="s">
        <v>12</v>
      </c>
      <c r="D50" t="s">
        <v>13</v>
      </c>
      <c r="E50" t="s">
        <v>27</v>
      </c>
      <c r="F50" t="s">
        <v>102</v>
      </c>
      <c r="G50">
        <v>218650000</v>
      </c>
      <c r="H50" s="1">
        <v>44130</v>
      </c>
      <c r="J50">
        <v>30</v>
      </c>
    </row>
    <row r="51" spans="1:10" x14ac:dyDescent="0.3">
      <c r="A51" t="s">
        <v>140</v>
      </c>
      <c r="B51" t="s">
        <v>141</v>
      </c>
      <c r="C51" t="s">
        <v>12</v>
      </c>
      <c r="D51" t="s">
        <v>13</v>
      </c>
      <c r="E51" t="s">
        <v>37</v>
      </c>
      <c r="F51" t="s">
        <v>32</v>
      </c>
      <c r="G51">
        <v>202900000</v>
      </c>
      <c r="H51" s="1">
        <v>43674</v>
      </c>
      <c r="J51">
        <v>60</v>
      </c>
    </row>
    <row r="52" spans="1:10" x14ac:dyDescent="0.3">
      <c r="A52" t="s">
        <v>142</v>
      </c>
      <c r="B52" t="s">
        <v>143</v>
      </c>
      <c r="C52" t="s">
        <v>61</v>
      </c>
      <c r="D52" t="s">
        <v>31</v>
      </c>
      <c r="E52" t="s">
        <v>44</v>
      </c>
      <c r="F52" t="s">
        <v>32</v>
      </c>
      <c r="G52">
        <v>48950000</v>
      </c>
      <c r="H52" s="1">
        <v>44873</v>
      </c>
      <c r="J52">
        <v>60</v>
      </c>
    </row>
    <row r="53" spans="1:10" x14ac:dyDescent="0.3">
      <c r="A53" t="s">
        <v>144</v>
      </c>
      <c r="B53" t="s">
        <v>145</v>
      </c>
      <c r="C53" t="s">
        <v>12</v>
      </c>
      <c r="D53" t="s">
        <v>13</v>
      </c>
      <c r="E53" t="s">
        <v>18</v>
      </c>
      <c r="F53" t="s">
        <v>54</v>
      </c>
      <c r="G53">
        <v>102450000</v>
      </c>
      <c r="H53" s="1">
        <v>44012</v>
      </c>
      <c r="J53">
        <v>30</v>
      </c>
    </row>
    <row r="54" spans="1:10" x14ac:dyDescent="0.3">
      <c r="A54" t="s">
        <v>146</v>
      </c>
      <c r="B54" t="s">
        <v>147</v>
      </c>
      <c r="C54" t="s">
        <v>30</v>
      </c>
      <c r="D54" t="s">
        <v>31</v>
      </c>
      <c r="E54" t="s">
        <v>14</v>
      </c>
      <c r="F54" t="s">
        <v>32</v>
      </c>
      <c r="G54">
        <v>43150000</v>
      </c>
      <c r="H54" s="1">
        <v>44514</v>
      </c>
      <c r="J54">
        <v>60</v>
      </c>
    </row>
    <row r="55" spans="1:10" x14ac:dyDescent="0.3">
      <c r="A55" t="s">
        <v>148</v>
      </c>
      <c r="B55" t="s">
        <v>149</v>
      </c>
      <c r="C55" t="s">
        <v>30</v>
      </c>
      <c r="D55" t="s">
        <v>31</v>
      </c>
      <c r="E55" t="s">
        <v>24</v>
      </c>
      <c r="F55" t="s">
        <v>32</v>
      </c>
      <c r="G55">
        <v>95300000</v>
      </c>
      <c r="H55" s="1">
        <v>44259</v>
      </c>
      <c r="J55">
        <v>60</v>
      </c>
    </row>
    <row r="56" spans="1:10" x14ac:dyDescent="0.3">
      <c r="A56" t="s">
        <v>150</v>
      </c>
      <c r="B56" t="s">
        <v>151</v>
      </c>
      <c r="C56" t="s">
        <v>12</v>
      </c>
      <c r="D56" t="s">
        <v>13</v>
      </c>
      <c r="E56" t="s">
        <v>24</v>
      </c>
      <c r="F56" t="s">
        <v>32</v>
      </c>
      <c r="G56">
        <v>60000000</v>
      </c>
      <c r="H56" s="1">
        <v>43166</v>
      </c>
      <c r="J56">
        <v>45</v>
      </c>
    </row>
    <row r="57" spans="1:10" x14ac:dyDescent="0.3">
      <c r="A57" t="s">
        <v>152</v>
      </c>
      <c r="B57" t="s">
        <v>153</v>
      </c>
      <c r="C57" t="s">
        <v>12</v>
      </c>
      <c r="D57" t="s">
        <v>13</v>
      </c>
      <c r="E57" t="s">
        <v>14</v>
      </c>
      <c r="F57" t="s">
        <v>15</v>
      </c>
      <c r="G57">
        <v>52350000</v>
      </c>
      <c r="H57" s="1">
        <v>42477</v>
      </c>
      <c r="J57">
        <v>60</v>
      </c>
    </row>
    <row r="58" spans="1:10" x14ac:dyDescent="0.3">
      <c r="A58" t="s">
        <v>154</v>
      </c>
      <c r="B58" t="s">
        <v>155</v>
      </c>
      <c r="C58" t="s">
        <v>12</v>
      </c>
      <c r="D58" t="s">
        <v>13</v>
      </c>
      <c r="E58" t="s">
        <v>27</v>
      </c>
      <c r="F58" t="s">
        <v>45</v>
      </c>
      <c r="G58">
        <v>-5000000</v>
      </c>
      <c r="H58" s="1">
        <v>44474</v>
      </c>
      <c r="I58" t="s">
        <v>74</v>
      </c>
      <c r="J58">
        <v>30</v>
      </c>
    </row>
    <row r="59" spans="1:10" x14ac:dyDescent="0.3">
      <c r="A59" t="s">
        <v>156</v>
      </c>
      <c r="B59" t="s">
        <v>157</v>
      </c>
      <c r="C59" t="s">
        <v>12</v>
      </c>
      <c r="D59" t="s">
        <v>13</v>
      </c>
      <c r="E59" t="s">
        <v>18</v>
      </c>
      <c r="F59" t="s">
        <v>15</v>
      </c>
      <c r="G59">
        <v>29800000</v>
      </c>
      <c r="H59" s="1">
        <v>44688</v>
      </c>
      <c r="J59">
        <v>30</v>
      </c>
    </row>
    <row r="60" spans="1:10" x14ac:dyDescent="0.3">
      <c r="A60" t="s">
        <v>158</v>
      </c>
      <c r="B60" t="s">
        <v>159</v>
      </c>
      <c r="C60" t="s">
        <v>12</v>
      </c>
      <c r="D60" t="s">
        <v>13</v>
      </c>
      <c r="E60" t="s">
        <v>58</v>
      </c>
      <c r="F60" t="s">
        <v>32</v>
      </c>
      <c r="G60">
        <v>86550000</v>
      </c>
      <c r="H60" s="1">
        <v>43377</v>
      </c>
      <c r="J60">
        <v>30</v>
      </c>
    </row>
    <row r="61" spans="1:10" x14ac:dyDescent="0.3">
      <c r="A61" t="s">
        <v>160</v>
      </c>
      <c r="B61" t="s">
        <v>161</v>
      </c>
      <c r="C61" t="s">
        <v>12</v>
      </c>
      <c r="D61" t="s">
        <v>13</v>
      </c>
      <c r="E61" t="s">
        <v>37</v>
      </c>
      <c r="F61" t="s">
        <v>32</v>
      </c>
      <c r="G61">
        <v>139200000</v>
      </c>
      <c r="H61" s="1">
        <v>42594</v>
      </c>
      <c r="J61">
        <v>45</v>
      </c>
    </row>
    <row r="62" spans="1:10" x14ac:dyDescent="0.3">
      <c r="A62" t="s">
        <v>162</v>
      </c>
      <c r="B62" t="s">
        <v>163</v>
      </c>
      <c r="C62" t="s">
        <v>12</v>
      </c>
      <c r="D62" t="s">
        <v>13</v>
      </c>
      <c r="E62" t="s">
        <v>41</v>
      </c>
      <c r="F62" t="s">
        <v>45</v>
      </c>
      <c r="G62">
        <v>53200000</v>
      </c>
      <c r="H62" s="1">
        <v>42816</v>
      </c>
      <c r="J62">
        <v>90</v>
      </c>
    </row>
    <row r="63" spans="1:10" x14ac:dyDescent="0.3">
      <c r="A63" t="s">
        <v>164</v>
      </c>
      <c r="B63" t="s">
        <v>165</v>
      </c>
      <c r="C63" t="s">
        <v>48</v>
      </c>
      <c r="D63" t="s">
        <v>36</v>
      </c>
      <c r="E63" t="s">
        <v>24</v>
      </c>
      <c r="F63" t="s">
        <v>15</v>
      </c>
      <c r="G63">
        <v>19550000</v>
      </c>
      <c r="H63" s="1">
        <v>43431</v>
      </c>
      <c r="J63">
        <v>60</v>
      </c>
    </row>
    <row r="64" spans="1:10" x14ac:dyDescent="0.3">
      <c r="A64" t="s">
        <v>166</v>
      </c>
      <c r="B64" t="s">
        <v>167</v>
      </c>
      <c r="C64" t="s">
        <v>12</v>
      </c>
      <c r="D64" t="s">
        <v>13</v>
      </c>
      <c r="E64" t="s">
        <v>80</v>
      </c>
      <c r="F64" t="s">
        <v>32</v>
      </c>
      <c r="G64">
        <v>67750000</v>
      </c>
      <c r="H64" s="1">
        <v>43482</v>
      </c>
      <c r="J64">
        <v>60</v>
      </c>
    </row>
    <row r="65" spans="1:10" x14ac:dyDescent="0.3">
      <c r="A65" t="s">
        <v>168</v>
      </c>
      <c r="B65" t="s">
        <v>169</v>
      </c>
      <c r="C65" t="s">
        <v>48</v>
      </c>
      <c r="D65" t="s">
        <v>36</v>
      </c>
      <c r="E65" t="s">
        <v>44</v>
      </c>
      <c r="F65" t="s">
        <v>45</v>
      </c>
      <c r="G65">
        <v>41600000</v>
      </c>
      <c r="H65" s="1">
        <v>44241</v>
      </c>
      <c r="J65">
        <v>90</v>
      </c>
    </row>
    <row r="66" spans="1:10" x14ac:dyDescent="0.3">
      <c r="A66" t="s">
        <v>170</v>
      </c>
      <c r="B66" t="s">
        <v>171</v>
      </c>
      <c r="C66" t="s">
        <v>12</v>
      </c>
      <c r="D66" t="s">
        <v>13</v>
      </c>
      <c r="E66" t="s">
        <v>41</v>
      </c>
      <c r="F66" t="s">
        <v>102</v>
      </c>
      <c r="G66">
        <v>106900000</v>
      </c>
      <c r="H66" s="1">
        <v>43310</v>
      </c>
      <c r="J66">
        <v>30</v>
      </c>
    </row>
    <row r="67" spans="1:10" x14ac:dyDescent="0.3">
      <c r="A67" t="s">
        <v>172</v>
      </c>
      <c r="B67" t="s">
        <v>173</v>
      </c>
      <c r="C67" t="s">
        <v>12</v>
      </c>
      <c r="D67" t="s">
        <v>13</v>
      </c>
      <c r="E67" t="s">
        <v>14</v>
      </c>
      <c r="F67" t="s">
        <v>15</v>
      </c>
      <c r="G67">
        <v>55250000</v>
      </c>
      <c r="H67" s="1">
        <v>43398</v>
      </c>
      <c r="J67">
        <v>30</v>
      </c>
    </row>
    <row r="68" spans="1:10" x14ac:dyDescent="0.3">
      <c r="A68" t="s">
        <v>174</v>
      </c>
      <c r="B68" t="s">
        <v>175</v>
      </c>
      <c r="C68" t="s">
        <v>30</v>
      </c>
      <c r="D68" t="s">
        <v>31</v>
      </c>
      <c r="E68" t="s">
        <v>24</v>
      </c>
      <c r="F68" t="s">
        <v>38</v>
      </c>
      <c r="G68">
        <v>6750000</v>
      </c>
      <c r="H68" s="1">
        <v>43152</v>
      </c>
      <c r="J68">
        <v>45</v>
      </c>
    </row>
    <row r="69" spans="1:10" x14ac:dyDescent="0.3">
      <c r="A69" t="s">
        <v>176</v>
      </c>
      <c r="B69" t="s">
        <v>177</v>
      </c>
      <c r="C69" t="s">
        <v>12</v>
      </c>
      <c r="D69" t="s">
        <v>13</v>
      </c>
      <c r="E69" t="s">
        <v>24</v>
      </c>
      <c r="F69" t="s">
        <v>38</v>
      </c>
      <c r="G69">
        <v>15050000</v>
      </c>
      <c r="H69" s="1">
        <v>42238</v>
      </c>
      <c r="J69">
        <v>60</v>
      </c>
    </row>
    <row r="70" spans="1:10" x14ac:dyDescent="0.3">
      <c r="A70" t="s">
        <v>178</v>
      </c>
      <c r="B70" t="s">
        <v>179</v>
      </c>
      <c r="C70" t="s">
        <v>12</v>
      </c>
      <c r="D70" t="s">
        <v>13</v>
      </c>
      <c r="E70" t="s">
        <v>18</v>
      </c>
      <c r="F70" t="s">
        <v>38</v>
      </c>
      <c r="G70">
        <v>46100000</v>
      </c>
      <c r="H70" s="1">
        <v>43376</v>
      </c>
      <c r="J70">
        <v>30</v>
      </c>
    </row>
    <row r="71" spans="1:10" x14ac:dyDescent="0.3">
      <c r="A71" t="s">
        <v>180</v>
      </c>
      <c r="B71" t="s">
        <v>181</v>
      </c>
      <c r="C71" t="s">
        <v>12</v>
      </c>
      <c r="D71" t="s">
        <v>13</v>
      </c>
      <c r="E71" t="s">
        <v>27</v>
      </c>
      <c r="F71" t="s">
        <v>15</v>
      </c>
      <c r="G71">
        <v>47350000</v>
      </c>
      <c r="H71" s="1">
        <v>42382</v>
      </c>
      <c r="J71">
        <v>45</v>
      </c>
    </row>
    <row r="72" spans="1:10" x14ac:dyDescent="0.3">
      <c r="A72" t="s">
        <v>182</v>
      </c>
      <c r="B72" t="s">
        <v>183</v>
      </c>
      <c r="C72" t="s">
        <v>69</v>
      </c>
      <c r="D72" t="s">
        <v>36</v>
      </c>
      <c r="E72" t="s">
        <v>44</v>
      </c>
      <c r="F72" t="s">
        <v>77</v>
      </c>
      <c r="G72">
        <v>9100000</v>
      </c>
      <c r="H72" s="1">
        <v>43334</v>
      </c>
      <c r="J72">
        <v>60</v>
      </c>
    </row>
    <row r="73" spans="1:10" x14ac:dyDescent="0.3">
      <c r="A73" t="s">
        <v>184</v>
      </c>
      <c r="B73" t="s">
        <v>185</v>
      </c>
      <c r="C73" t="s">
        <v>121</v>
      </c>
      <c r="D73" t="s">
        <v>31</v>
      </c>
      <c r="E73" t="s">
        <v>24</v>
      </c>
      <c r="F73" t="s">
        <v>32</v>
      </c>
      <c r="G73">
        <v>77100000</v>
      </c>
      <c r="H73" s="1">
        <v>42746</v>
      </c>
      <c r="J73">
        <v>90</v>
      </c>
    </row>
    <row r="74" spans="1:10" x14ac:dyDescent="0.3">
      <c r="A74" t="s">
        <v>186</v>
      </c>
      <c r="B74" t="s">
        <v>187</v>
      </c>
      <c r="C74" t="s">
        <v>69</v>
      </c>
      <c r="D74" t="s">
        <v>36</v>
      </c>
      <c r="E74" t="s">
        <v>37</v>
      </c>
      <c r="F74" t="s">
        <v>38</v>
      </c>
      <c r="G74">
        <v>104050000</v>
      </c>
      <c r="H74" s="1">
        <v>43691</v>
      </c>
      <c r="J74">
        <v>30</v>
      </c>
    </row>
    <row r="75" spans="1:10" x14ac:dyDescent="0.3">
      <c r="A75" t="s">
        <v>188</v>
      </c>
      <c r="B75" t="s">
        <v>189</v>
      </c>
      <c r="C75" t="s">
        <v>12</v>
      </c>
      <c r="D75" t="s">
        <v>13</v>
      </c>
      <c r="E75" t="s">
        <v>58</v>
      </c>
      <c r="F75" t="s">
        <v>15</v>
      </c>
      <c r="G75">
        <v>22150000</v>
      </c>
      <c r="H75" s="1">
        <v>43394</v>
      </c>
      <c r="J75">
        <v>30</v>
      </c>
    </row>
    <row r="76" spans="1:10" x14ac:dyDescent="0.3">
      <c r="A76" t="s">
        <v>190</v>
      </c>
      <c r="B76" t="s">
        <v>191</v>
      </c>
      <c r="C76" t="s">
        <v>12</v>
      </c>
      <c r="D76" t="s">
        <v>13</v>
      </c>
      <c r="E76" t="s">
        <v>44</v>
      </c>
      <c r="F76" t="s">
        <v>38</v>
      </c>
      <c r="G76">
        <v>28650000</v>
      </c>
      <c r="H76" s="1">
        <v>44011</v>
      </c>
      <c r="J76">
        <v>30</v>
      </c>
    </row>
    <row r="77" spans="1:10" x14ac:dyDescent="0.3">
      <c r="A77" t="s">
        <v>192</v>
      </c>
      <c r="B77" t="s">
        <v>193</v>
      </c>
      <c r="C77" t="s">
        <v>12</v>
      </c>
      <c r="D77" t="s">
        <v>13</v>
      </c>
      <c r="E77" t="s">
        <v>27</v>
      </c>
      <c r="F77" t="s">
        <v>21</v>
      </c>
      <c r="G77">
        <v>16200000</v>
      </c>
      <c r="H77" s="1">
        <v>42652</v>
      </c>
      <c r="J77">
        <v>60</v>
      </c>
    </row>
    <row r="78" spans="1:10" x14ac:dyDescent="0.3">
      <c r="A78" t="s">
        <v>194</v>
      </c>
      <c r="B78" t="s">
        <v>195</v>
      </c>
      <c r="C78" t="s">
        <v>12</v>
      </c>
      <c r="D78" t="s">
        <v>13</v>
      </c>
      <c r="E78" t="s">
        <v>18</v>
      </c>
      <c r="F78" t="s">
        <v>45</v>
      </c>
      <c r="G78">
        <v>61150000</v>
      </c>
      <c r="H78" s="1">
        <v>42502</v>
      </c>
      <c r="J78">
        <v>60</v>
      </c>
    </row>
    <row r="79" spans="1:10" x14ac:dyDescent="0.3">
      <c r="A79" t="s">
        <v>196</v>
      </c>
      <c r="B79" t="s">
        <v>197</v>
      </c>
      <c r="C79" t="s">
        <v>12</v>
      </c>
      <c r="D79" t="s">
        <v>13</v>
      </c>
      <c r="E79" t="s">
        <v>41</v>
      </c>
      <c r="F79" t="s">
        <v>102</v>
      </c>
      <c r="G79">
        <v>102450000</v>
      </c>
      <c r="H79" s="1">
        <v>42931</v>
      </c>
      <c r="J79">
        <v>45</v>
      </c>
    </row>
    <row r="80" spans="1:10" x14ac:dyDescent="0.3">
      <c r="A80" t="s">
        <v>198</v>
      </c>
      <c r="B80" t="s">
        <v>199</v>
      </c>
      <c r="C80" t="s">
        <v>57</v>
      </c>
      <c r="D80" t="s">
        <v>36</v>
      </c>
      <c r="E80" t="s">
        <v>14</v>
      </c>
      <c r="F80" t="s">
        <v>32</v>
      </c>
      <c r="G80">
        <v>23900000</v>
      </c>
      <c r="H80" s="1">
        <v>44070</v>
      </c>
      <c r="J80">
        <v>90</v>
      </c>
    </row>
    <row r="81" spans="1:10" x14ac:dyDescent="0.3">
      <c r="A81" t="s">
        <v>200</v>
      </c>
      <c r="B81" t="s">
        <v>201</v>
      </c>
      <c r="C81" t="s">
        <v>12</v>
      </c>
      <c r="D81" t="s">
        <v>13</v>
      </c>
      <c r="E81" t="s">
        <v>14</v>
      </c>
      <c r="F81" t="s">
        <v>15</v>
      </c>
      <c r="G81">
        <v>47850000</v>
      </c>
      <c r="H81" s="1">
        <v>44669</v>
      </c>
      <c r="J81">
        <v>60</v>
      </c>
    </row>
    <row r="82" spans="1:10" x14ac:dyDescent="0.3">
      <c r="A82" t="s">
        <v>202</v>
      </c>
      <c r="B82" t="s">
        <v>203</v>
      </c>
      <c r="C82" t="s">
        <v>12</v>
      </c>
      <c r="D82" t="s">
        <v>13</v>
      </c>
      <c r="E82" t="s">
        <v>24</v>
      </c>
      <c r="F82" t="s">
        <v>54</v>
      </c>
      <c r="G82">
        <v>37700000</v>
      </c>
      <c r="H82" s="1">
        <v>42480</v>
      </c>
      <c r="J82">
        <v>30</v>
      </c>
    </row>
    <row r="83" spans="1:10" x14ac:dyDescent="0.3">
      <c r="A83" t="s">
        <v>204</v>
      </c>
      <c r="B83" t="s">
        <v>205</v>
      </c>
      <c r="C83" t="s">
        <v>12</v>
      </c>
      <c r="D83" t="s">
        <v>13</v>
      </c>
      <c r="E83" t="s">
        <v>64</v>
      </c>
      <c r="F83" t="s">
        <v>15</v>
      </c>
      <c r="G83">
        <v>64950000</v>
      </c>
      <c r="H83" s="1">
        <v>43395</v>
      </c>
      <c r="J83">
        <v>60</v>
      </c>
    </row>
    <row r="84" spans="1:10" x14ac:dyDescent="0.3">
      <c r="A84" t="s">
        <v>206</v>
      </c>
      <c r="B84" t="s">
        <v>207</v>
      </c>
      <c r="C84" t="s">
        <v>12</v>
      </c>
      <c r="D84" t="s">
        <v>13</v>
      </c>
      <c r="E84" t="s">
        <v>14</v>
      </c>
      <c r="F84" t="s">
        <v>38</v>
      </c>
      <c r="G84">
        <v>36800000</v>
      </c>
      <c r="H84" s="1">
        <v>43662</v>
      </c>
      <c r="J84">
        <v>45</v>
      </c>
    </row>
    <row r="85" spans="1:10" x14ac:dyDescent="0.3">
      <c r="A85" t="s">
        <v>208</v>
      </c>
      <c r="B85" t="s">
        <v>209</v>
      </c>
      <c r="C85" t="s">
        <v>12</v>
      </c>
      <c r="D85" t="s">
        <v>13</v>
      </c>
      <c r="E85" t="s">
        <v>64</v>
      </c>
      <c r="F85" t="s">
        <v>45</v>
      </c>
      <c r="G85">
        <v>103150000</v>
      </c>
      <c r="H85" s="1">
        <v>42622</v>
      </c>
      <c r="J85">
        <v>45</v>
      </c>
    </row>
    <row r="86" spans="1:10" x14ac:dyDescent="0.3">
      <c r="A86" t="s">
        <v>210</v>
      </c>
      <c r="B86" t="s">
        <v>211</v>
      </c>
      <c r="C86" t="s">
        <v>121</v>
      </c>
      <c r="D86" t="s">
        <v>31</v>
      </c>
      <c r="E86" t="s">
        <v>64</v>
      </c>
      <c r="F86" t="s">
        <v>45</v>
      </c>
      <c r="G86">
        <v>48400000</v>
      </c>
      <c r="H86" s="1">
        <v>43682</v>
      </c>
      <c r="J86">
        <v>90</v>
      </c>
    </row>
    <row r="87" spans="1:10" x14ac:dyDescent="0.3">
      <c r="A87" t="s">
        <v>212</v>
      </c>
      <c r="B87" t="s">
        <v>213</v>
      </c>
      <c r="C87" t="s">
        <v>12</v>
      </c>
      <c r="D87" t="s">
        <v>13</v>
      </c>
      <c r="E87" t="s">
        <v>80</v>
      </c>
      <c r="F87" t="s">
        <v>38</v>
      </c>
      <c r="G87">
        <v>8600000</v>
      </c>
      <c r="H87" s="1">
        <v>44797</v>
      </c>
      <c r="J87">
        <v>45</v>
      </c>
    </row>
    <row r="88" spans="1:10" x14ac:dyDescent="0.3">
      <c r="A88" t="s">
        <v>214</v>
      </c>
      <c r="B88" t="s">
        <v>215</v>
      </c>
      <c r="C88" t="s">
        <v>121</v>
      </c>
      <c r="D88" t="s">
        <v>31</v>
      </c>
      <c r="E88" t="s">
        <v>27</v>
      </c>
      <c r="F88" t="s">
        <v>45</v>
      </c>
      <c r="G88">
        <v>64700000</v>
      </c>
      <c r="H88" s="1">
        <v>42954</v>
      </c>
      <c r="J88">
        <v>45</v>
      </c>
    </row>
    <row r="89" spans="1:10" x14ac:dyDescent="0.3">
      <c r="A89" t="s">
        <v>216</v>
      </c>
      <c r="B89" t="s">
        <v>217</v>
      </c>
      <c r="C89" t="s">
        <v>12</v>
      </c>
      <c r="D89" t="s">
        <v>13</v>
      </c>
      <c r="E89" t="s">
        <v>44</v>
      </c>
      <c r="F89" t="s">
        <v>77</v>
      </c>
      <c r="G89">
        <v>3450000</v>
      </c>
      <c r="H89" s="1">
        <v>44728</v>
      </c>
      <c r="J89">
        <v>45</v>
      </c>
    </row>
    <row r="90" spans="1:10" x14ac:dyDescent="0.3">
      <c r="A90" t="s">
        <v>218</v>
      </c>
      <c r="B90" t="s">
        <v>219</v>
      </c>
      <c r="C90" t="s">
        <v>93</v>
      </c>
      <c r="D90" t="s">
        <v>36</v>
      </c>
      <c r="E90" t="s">
        <v>41</v>
      </c>
      <c r="F90" t="s">
        <v>15</v>
      </c>
      <c r="G90">
        <v>22750000</v>
      </c>
      <c r="H90" s="1">
        <v>44407</v>
      </c>
      <c r="J90">
        <v>90</v>
      </c>
    </row>
    <row r="91" spans="1:10" x14ac:dyDescent="0.3">
      <c r="A91" t="s">
        <v>220</v>
      </c>
      <c r="B91" t="s">
        <v>221</v>
      </c>
      <c r="C91" t="s">
        <v>61</v>
      </c>
      <c r="D91" t="s">
        <v>31</v>
      </c>
      <c r="E91" t="s">
        <v>58</v>
      </c>
      <c r="F91" t="s">
        <v>38</v>
      </c>
      <c r="G91">
        <v>29550000</v>
      </c>
      <c r="H91" s="1">
        <v>44455</v>
      </c>
      <c r="J91">
        <v>90</v>
      </c>
    </row>
    <row r="92" spans="1:10" x14ac:dyDescent="0.3">
      <c r="A92" t="s">
        <v>222</v>
      </c>
      <c r="B92" t="s">
        <v>223</v>
      </c>
      <c r="C92" t="s">
        <v>48</v>
      </c>
      <c r="D92" t="s">
        <v>36</v>
      </c>
      <c r="E92" t="s">
        <v>80</v>
      </c>
      <c r="F92" t="s">
        <v>15</v>
      </c>
      <c r="G92">
        <v>89550000</v>
      </c>
      <c r="H92" s="1">
        <v>43505</v>
      </c>
      <c r="J92">
        <v>60</v>
      </c>
    </row>
    <row r="93" spans="1:10" x14ac:dyDescent="0.3">
      <c r="A93" t="s">
        <v>224</v>
      </c>
      <c r="B93" t="s">
        <v>225</v>
      </c>
      <c r="C93" t="s">
        <v>12</v>
      </c>
      <c r="D93" t="s">
        <v>13</v>
      </c>
      <c r="E93" t="s">
        <v>44</v>
      </c>
      <c r="F93" t="s">
        <v>32</v>
      </c>
      <c r="G93">
        <v>21300000</v>
      </c>
      <c r="H93" s="1">
        <v>43015</v>
      </c>
      <c r="J93">
        <v>30</v>
      </c>
    </row>
    <row r="94" spans="1:10" x14ac:dyDescent="0.3">
      <c r="A94" t="s">
        <v>226</v>
      </c>
      <c r="B94" t="s">
        <v>227</v>
      </c>
      <c r="C94" t="s">
        <v>93</v>
      </c>
      <c r="D94" t="s">
        <v>36</v>
      </c>
      <c r="E94" t="s">
        <v>58</v>
      </c>
      <c r="F94" t="s">
        <v>21</v>
      </c>
      <c r="G94">
        <v>7350000</v>
      </c>
      <c r="H94" s="1">
        <v>42958</v>
      </c>
      <c r="J94">
        <v>60</v>
      </c>
    </row>
    <row r="95" spans="1:10" x14ac:dyDescent="0.3">
      <c r="A95" t="s">
        <v>228</v>
      </c>
      <c r="B95" t="s">
        <v>229</v>
      </c>
      <c r="C95" t="s">
        <v>12</v>
      </c>
      <c r="D95" t="s">
        <v>13</v>
      </c>
      <c r="E95" t="s">
        <v>18</v>
      </c>
      <c r="F95" t="s">
        <v>54</v>
      </c>
      <c r="G95">
        <v>39650000</v>
      </c>
      <c r="H95" s="1">
        <v>44746</v>
      </c>
      <c r="J95">
        <v>45</v>
      </c>
    </row>
    <row r="96" spans="1:10" x14ac:dyDescent="0.3">
      <c r="A96" t="s">
        <v>230</v>
      </c>
      <c r="B96" t="s">
        <v>231</v>
      </c>
      <c r="C96" t="s">
        <v>12</v>
      </c>
      <c r="D96" t="s">
        <v>13</v>
      </c>
      <c r="E96" t="s">
        <v>58</v>
      </c>
      <c r="F96" t="s">
        <v>15</v>
      </c>
      <c r="G96">
        <v>40100000</v>
      </c>
      <c r="H96" s="1">
        <v>45087</v>
      </c>
      <c r="J96">
        <v>45</v>
      </c>
    </row>
    <row r="97" spans="1:10" x14ac:dyDescent="0.3">
      <c r="A97" t="s">
        <v>232</v>
      </c>
      <c r="B97" t="s">
        <v>233</v>
      </c>
      <c r="C97" t="s">
        <v>35</v>
      </c>
      <c r="D97" t="s">
        <v>36</v>
      </c>
      <c r="E97" t="s">
        <v>44</v>
      </c>
      <c r="F97" t="s">
        <v>38</v>
      </c>
      <c r="G97">
        <v>10900000</v>
      </c>
      <c r="H97" s="1">
        <v>42299</v>
      </c>
      <c r="J97">
        <v>60</v>
      </c>
    </row>
    <row r="98" spans="1:10" x14ac:dyDescent="0.3">
      <c r="A98" t="s">
        <v>234</v>
      </c>
      <c r="B98" t="s">
        <v>235</v>
      </c>
      <c r="C98" t="s">
        <v>12</v>
      </c>
      <c r="D98" t="s">
        <v>13</v>
      </c>
      <c r="E98" t="s">
        <v>27</v>
      </c>
      <c r="F98" t="s">
        <v>102</v>
      </c>
      <c r="G98">
        <v>58700000</v>
      </c>
      <c r="H98" s="1">
        <v>44198</v>
      </c>
      <c r="J98">
        <v>45</v>
      </c>
    </row>
    <row r="99" spans="1:10" x14ac:dyDescent="0.3">
      <c r="A99" t="s">
        <v>236</v>
      </c>
      <c r="B99" t="s">
        <v>237</v>
      </c>
      <c r="C99" t="s">
        <v>12</v>
      </c>
      <c r="D99" t="s">
        <v>13</v>
      </c>
      <c r="E99" t="s">
        <v>24</v>
      </c>
      <c r="F99" t="s">
        <v>15</v>
      </c>
      <c r="G99">
        <v>34450000</v>
      </c>
      <c r="H99" s="1">
        <v>44911</v>
      </c>
      <c r="J99">
        <v>90</v>
      </c>
    </row>
    <row r="100" spans="1:10" x14ac:dyDescent="0.3">
      <c r="A100" t="s">
        <v>238</v>
      </c>
      <c r="B100" t="s">
        <v>239</v>
      </c>
      <c r="C100" t="s">
        <v>121</v>
      </c>
      <c r="D100" t="s">
        <v>31</v>
      </c>
      <c r="E100" t="s">
        <v>14</v>
      </c>
      <c r="F100" t="s">
        <v>15</v>
      </c>
      <c r="G100">
        <v>129050000</v>
      </c>
      <c r="H100" s="1">
        <v>44880</v>
      </c>
      <c r="J100">
        <v>60</v>
      </c>
    </row>
    <row r="101" spans="1:10" x14ac:dyDescent="0.3">
      <c r="A101" t="s">
        <v>240</v>
      </c>
      <c r="B101" t="s">
        <v>241</v>
      </c>
      <c r="C101" t="s">
        <v>93</v>
      </c>
      <c r="D101" t="s">
        <v>36</v>
      </c>
      <c r="E101" t="s">
        <v>18</v>
      </c>
      <c r="F101" t="s">
        <v>15</v>
      </c>
      <c r="G101">
        <v>25700000</v>
      </c>
      <c r="H101" s="1">
        <v>42807</v>
      </c>
      <c r="J101">
        <v>60</v>
      </c>
    </row>
    <row r="102" spans="1:10" x14ac:dyDescent="0.3">
      <c r="A102" t="s">
        <v>242</v>
      </c>
      <c r="B102" t="s">
        <v>243</v>
      </c>
      <c r="C102" t="s">
        <v>48</v>
      </c>
      <c r="D102" t="s">
        <v>36</v>
      </c>
      <c r="E102" t="s">
        <v>24</v>
      </c>
      <c r="F102" t="s">
        <v>38</v>
      </c>
      <c r="G102">
        <v>23400000</v>
      </c>
      <c r="H102" s="1">
        <v>43322</v>
      </c>
      <c r="J102">
        <v>60</v>
      </c>
    </row>
    <row r="103" spans="1:10" x14ac:dyDescent="0.3">
      <c r="A103" t="s">
        <v>244</v>
      </c>
      <c r="B103" t="s">
        <v>245</v>
      </c>
      <c r="C103" t="s">
        <v>93</v>
      </c>
      <c r="D103" t="s">
        <v>36</v>
      </c>
      <c r="E103" t="s">
        <v>14</v>
      </c>
      <c r="F103" t="s">
        <v>21</v>
      </c>
      <c r="G103">
        <v>11200000</v>
      </c>
      <c r="H103" s="1">
        <v>43739</v>
      </c>
      <c r="J103">
        <v>60</v>
      </c>
    </row>
    <row r="104" spans="1:10" x14ac:dyDescent="0.3">
      <c r="A104" t="s">
        <v>246</v>
      </c>
      <c r="B104" t="s">
        <v>247</v>
      </c>
      <c r="C104" t="s">
        <v>12</v>
      </c>
      <c r="D104" t="s">
        <v>13</v>
      </c>
      <c r="E104" t="s">
        <v>64</v>
      </c>
      <c r="F104" t="s">
        <v>15</v>
      </c>
      <c r="G104">
        <v>72650000</v>
      </c>
      <c r="H104" s="1">
        <v>42585</v>
      </c>
      <c r="J104">
        <v>60</v>
      </c>
    </row>
    <row r="105" spans="1:10" x14ac:dyDescent="0.3">
      <c r="A105" t="s">
        <v>248</v>
      </c>
      <c r="B105" t="s">
        <v>249</v>
      </c>
      <c r="C105" t="s">
        <v>12</v>
      </c>
      <c r="D105" t="s">
        <v>13</v>
      </c>
      <c r="E105" t="s">
        <v>14</v>
      </c>
      <c r="F105" t="s">
        <v>15</v>
      </c>
      <c r="G105">
        <v>11750000</v>
      </c>
      <c r="H105" s="1">
        <v>44997</v>
      </c>
      <c r="J105">
        <v>30</v>
      </c>
    </row>
    <row r="106" spans="1:10" x14ac:dyDescent="0.3">
      <c r="A106" t="s">
        <v>250</v>
      </c>
      <c r="B106" t="s">
        <v>251</v>
      </c>
      <c r="C106" t="s">
        <v>12</v>
      </c>
      <c r="D106" t="s">
        <v>13</v>
      </c>
      <c r="E106" t="s">
        <v>58</v>
      </c>
      <c r="F106" t="s">
        <v>15</v>
      </c>
      <c r="G106">
        <v>20250000</v>
      </c>
      <c r="H106" s="1">
        <v>43318</v>
      </c>
      <c r="J106">
        <v>90</v>
      </c>
    </row>
    <row r="107" spans="1:10" x14ac:dyDescent="0.3">
      <c r="A107" t="s">
        <v>252</v>
      </c>
      <c r="B107" t="s">
        <v>253</v>
      </c>
      <c r="C107" t="s">
        <v>69</v>
      </c>
      <c r="D107" t="s">
        <v>36</v>
      </c>
      <c r="E107" t="s">
        <v>37</v>
      </c>
      <c r="F107" t="s">
        <v>102</v>
      </c>
      <c r="G107">
        <v>128050000</v>
      </c>
      <c r="H107" s="1">
        <v>43726</v>
      </c>
      <c r="J107">
        <v>45</v>
      </c>
    </row>
    <row r="108" spans="1:10" x14ac:dyDescent="0.3">
      <c r="A108" t="s">
        <v>254</v>
      </c>
      <c r="B108" t="s">
        <v>255</v>
      </c>
      <c r="C108" t="s">
        <v>12</v>
      </c>
      <c r="D108" t="s">
        <v>13</v>
      </c>
      <c r="E108" t="s">
        <v>37</v>
      </c>
      <c r="F108" t="s">
        <v>21</v>
      </c>
      <c r="G108">
        <v>18150000</v>
      </c>
      <c r="H108" s="1">
        <v>43011</v>
      </c>
      <c r="J108">
        <v>30</v>
      </c>
    </row>
    <row r="109" spans="1:10" x14ac:dyDescent="0.3">
      <c r="A109" t="s">
        <v>256</v>
      </c>
      <c r="B109" t="s">
        <v>257</v>
      </c>
      <c r="C109" t="s">
        <v>12</v>
      </c>
      <c r="D109" t="s">
        <v>13</v>
      </c>
      <c r="E109" t="s">
        <v>64</v>
      </c>
      <c r="F109" t="s">
        <v>45</v>
      </c>
      <c r="G109">
        <v>97100000</v>
      </c>
      <c r="H109" s="1">
        <v>44124</v>
      </c>
      <c r="J109">
        <v>45</v>
      </c>
    </row>
    <row r="110" spans="1:10" x14ac:dyDescent="0.3">
      <c r="A110" t="s">
        <v>258</v>
      </c>
      <c r="B110" t="s">
        <v>259</v>
      </c>
      <c r="C110" t="s">
        <v>12</v>
      </c>
      <c r="D110" t="s">
        <v>13</v>
      </c>
      <c r="E110" t="s">
        <v>64</v>
      </c>
      <c r="F110" t="s">
        <v>15</v>
      </c>
      <c r="G110">
        <v>83700000</v>
      </c>
      <c r="H110" s="1">
        <v>43807</v>
      </c>
      <c r="J110">
        <v>45</v>
      </c>
    </row>
    <row r="111" spans="1:10" x14ac:dyDescent="0.3">
      <c r="A111" t="s">
        <v>260</v>
      </c>
      <c r="B111" t="s">
        <v>261</v>
      </c>
      <c r="C111" t="s">
        <v>57</v>
      </c>
      <c r="D111" t="s">
        <v>36</v>
      </c>
      <c r="E111" t="s">
        <v>80</v>
      </c>
      <c r="F111" t="s">
        <v>38</v>
      </c>
      <c r="G111">
        <v>33100000</v>
      </c>
      <c r="H111" s="1">
        <v>43482</v>
      </c>
      <c r="J111">
        <v>60</v>
      </c>
    </row>
    <row r="112" spans="1:10" x14ac:dyDescent="0.3">
      <c r="A112" t="s">
        <v>262</v>
      </c>
      <c r="B112" t="s">
        <v>263</v>
      </c>
      <c r="C112" t="s">
        <v>61</v>
      </c>
      <c r="D112" t="s">
        <v>31</v>
      </c>
      <c r="E112" t="s">
        <v>14</v>
      </c>
      <c r="F112" t="s">
        <v>38</v>
      </c>
      <c r="G112">
        <v>117450000</v>
      </c>
      <c r="H112" s="1">
        <v>43411</v>
      </c>
      <c r="J112">
        <v>90</v>
      </c>
    </row>
    <row r="113" spans="1:10" x14ac:dyDescent="0.3">
      <c r="A113" t="s">
        <v>264</v>
      </c>
      <c r="B113" t="s">
        <v>265</v>
      </c>
      <c r="C113" t="s">
        <v>12</v>
      </c>
      <c r="D113" t="s">
        <v>13</v>
      </c>
      <c r="E113" t="s">
        <v>44</v>
      </c>
      <c r="F113" t="s">
        <v>77</v>
      </c>
      <c r="G113">
        <v>4600000</v>
      </c>
      <c r="H113" s="1">
        <v>44509</v>
      </c>
      <c r="J113">
        <v>45</v>
      </c>
    </row>
    <row r="114" spans="1:10" x14ac:dyDescent="0.3">
      <c r="A114" t="s">
        <v>266</v>
      </c>
      <c r="B114" t="s">
        <v>267</v>
      </c>
      <c r="C114" t="s">
        <v>12</v>
      </c>
      <c r="D114" t="s">
        <v>13</v>
      </c>
      <c r="E114" t="s">
        <v>64</v>
      </c>
      <c r="F114" t="s">
        <v>45</v>
      </c>
      <c r="G114">
        <v>42200000</v>
      </c>
      <c r="H114" s="1">
        <v>44946</v>
      </c>
      <c r="J114">
        <v>90</v>
      </c>
    </row>
    <row r="115" spans="1:10" x14ac:dyDescent="0.3">
      <c r="A115" t="s">
        <v>268</v>
      </c>
      <c r="B115" t="s">
        <v>269</v>
      </c>
      <c r="C115" t="s">
        <v>12</v>
      </c>
      <c r="D115" t="s">
        <v>13</v>
      </c>
      <c r="E115" t="s">
        <v>18</v>
      </c>
      <c r="F115" t="s">
        <v>21</v>
      </c>
      <c r="G115">
        <v>0</v>
      </c>
      <c r="H115" s="1">
        <v>44265</v>
      </c>
      <c r="I115" t="s">
        <v>74</v>
      </c>
      <c r="J115">
        <v>60</v>
      </c>
    </row>
    <row r="116" spans="1:10" x14ac:dyDescent="0.3">
      <c r="A116" t="s">
        <v>270</v>
      </c>
      <c r="B116" t="s">
        <v>271</v>
      </c>
      <c r="C116" t="s">
        <v>30</v>
      </c>
      <c r="D116" t="s">
        <v>31</v>
      </c>
      <c r="E116" t="s">
        <v>58</v>
      </c>
      <c r="F116" t="s">
        <v>21</v>
      </c>
      <c r="G116">
        <v>17300000</v>
      </c>
      <c r="H116" s="1">
        <v>44753</v>
      </c>
      <c r="J116">
        <v>60</v>
      </c>
    </row>
    <row r="117" spans="1:10" x14ac:dyDescent="0.3">
      <c r="A117" t="s">
        <v>272</v>
      </c>
      <c r="B117" t="s">
        <v>273</v>
      </c>
      <c r="C117" t="s">
        <v>12</v>
      </c>
      <c r="D117" t="s">
        <v>13</v>
      </c>
      <c r="E117" t="s">
        <v>24</v>
      </c>
      <c r="F117" t="s">
        <v>38</v>
      </c>
      <c r="G117">
        <v>23600000</v>
      </c>
      <c r="H117" s="1">
        <v>42445</v>
      </c>
      <c r="J117">
        <v>45</v>
      </c>
    </row>
    <row r="118" spans="1:10" x14ac:dyDescent="0.3">
      <c r="A118" t="s">
        <v>274</v>
      </c>
      <c r="B118" t="s">
        <v>275</v>
      </c>
      <c r="C118" t="s">
        <v>12</v>
      </c>
      <c r="D118" t="s">
        <v>13</v>
      </c>
      <c r="E118" t="s">
        <v>58</v>
      </c>
      <c r="F118" t="s">
        <v>15</v>
      </c>
      <c r="G118">
        <v>26550000</v>
      </c>
      <c r="H118" s="1">
        <v>42706</v>
      </c>
      <c r="J118">
        <v>45</v>
      </c>
    </row>
    <row r="119" spans="1:10" x14ac:dyDescent="0.3">
      <c r="A119" t="s">
        <v>276</v>
      </c>
      <c r="B119" t="s">
        <v>277</v>
      </c>
      <c r="C119" t="s">
        <v>12</v>
      </c>
      <c r="D119" t="s">
        <v>13</v>
      </c>
      <c r="E119" t="s">
        <v>14</v>
      </c>
      <c r="F119" t="s">
        <v>15</v>
      </c>
      <c r="G119">
        <v>37500000</v>
      </c>
      <c r="H119" s="1">
        <v>42773</v>
      </c>
      <c r="J119">
        <v>60</v>
      </c>
    </row>
    <row r="120" spans="1:10" x14ac:dyDescent="0.3">
      <c r="A120" t="s">
        <v>278</v>
      </c>
      <c r="B120" t="s">
        <v>279</v>
      </c>
      <c r="C120" t="s">
        <v>12</v>
      </c>
      <c r="D120" t="s">
        <v>13</v>
      </c>
      <c r="E120" t="s">
        <v>27</v>
      </c>
      <c r="F120" t="s">
        <v>45</v>
      </c>
      <c r="G120">
        <v>60450000</v>
      </c>
      <c r="H120" s="1">
        <v>44679</v>
      </c>
      <c r="J120">
        <v>60</v>
      </c>
    </row>
    <row r="121" spans="1:10" x14ac:dyDescent="0.3">
      <c r="A121" t="s">
        <v>280</v>
      </c>
      <c r="B121" t="s">
        <v>281</v>
      </c>
      <c r="C121" t="s">
        <v>35</v>
      </c>
      <c r="D121" t="s">
        <v>36</v>
      </c>
      <c r="E121" t="s">
        <v>80</v>
      </c>
      <c r="F121" t="s">
        <v>15</v>
      </c>
      <c r="G121">
        <v>10450000</v>
      </c>
      <c r="H121" s="1">
        <v>43449</v>
      </c>
      <c r="J121">
        <v>60</v>
      </c>
    </row>
    <row r="122" spans="1:10" x14ac:dyDescent="0.3">
      <c r="A122" t="s">
        <v>282</v>
      </c>
      <c r="B122" t="s">
        <v>283</v>
      </c>
      <c r="C122" t="s">
        <v>12</v>
      </c>
      <c r="D122" t="s">
        <v>13</v>
      </c>
      <c r="E122" t="s">
        <v>58</v>
      </c>
      <c r="F122" t="s">
        <v>45</v>
      </c>
      <c r="G122">
        <v>60650000</v>
      </c>
      <c r="H122" s="1">
        <v>43078</v>
      </c>
      <c r="J122">
        <v>60</v>
      </c>
    </row>
    <row r="123" spans="1:10" x14ac:dyDescent="0.3">
      <c r="A123" t="s">
        <v>284</v>
      </c>
      <c r="B123" t="s">
        <v>285</v>
      </c>
      <c r="C123" t="s">
        <v>121</v>
      </c>
      <c r="D123" t="s">
        <v>31</v>
      </c>
      <c r="E123" t="s">
        <v>58</v>
      </c>
      <c r="F123" t="s">
        <v>15</v>
      </c>
      <c r="G123">
        <v>13400000</v>
      </c>
      <c r="H123" s="1">
        <v>42713</v>
      </c>
      <c r="J123">
        <v>45</v>
      </c>
    </row>
    <row r="124" spans="1:10" x14ac:dyDescent="0.3">
      <c r="A124" t="s">
        <v>286</v>
      </c>
      <c r="B124" t="s">
        <v>287</v>
      </c>
      <c r="C124" t="s">
        <v>93</v>
      </c>
      <c r="D124" t="s">
        <v>36</v>
      </c>
      <c r="E124" t="s">
        <v>41</v>
      </c>
      <c r="F124" t="s">
        <v>54</v>
      </c>
      <c r="G124">
        <v>34950000</v>
      </c>
      <c r="H124" s="1">
        <v>43428</v>
      </c>
      <c r="J124">
        <v>60</v>
      </c>
    </row>
    <row r="125" spans="1:10" x14ac:dyDescent="0.3">
      <c r="A125" t="s">
        <v>288</v>
      </c>
      <c r="B125" t="s">
        <v>289</v>
      </c>
      <c r="C125" t="s">
        <v>12</v>
      </c>
      <c r="D125" t="s">
        <v>13</v>
      </c>
      <c r="E125" t="s">
        <v>44</v>
      </c>
      <c r="F125" t="s">
        <v>15</v>
      </c>
      <c r="G125">
        <v>17600000</v>
      </c>
      <c r="H125" s="1">
        <v>44106</v>
      </c>
      <c r="J125">
        <v>30</v>
      </c>
    </row>
    <row r="126" spans="1:10" x14ac:dyDescent="0.3">
      <c r="A126" t="s">
        <v>290</v>
      </c>
      <c r="B126" t="s">
        <v>291</v>
      </c>
      <c r="C126" t="s">
        <v>12</v>
      </c>
      <c r="D126" t="s">
        <v>13</v>
      </c>
      <c r="E126" t="s">
        <v>80</v>
      </c>
      <c r="F126" t="s">
        <v>32</v>
      </c>
      <c r="G126">
        <v>49100000</v>
      </c>
      <c r="H126" s="1">
        <v>42899</v>
      </c>
      <c r="J126">
        <v>45</v>
      </c>
    </row>
    <row r="127" spans="1:10" x14ac:dyDescent="0.3">
      <c r="A127" t="s">
        <v>292</v>
      </c>
      <c r="B127" t="s">
        <v>293</v>
      </c>
      <c r="C127" t="s">
        <v>121</v>
      </c>
      <c r="D127" t="s">
        <v>31</v>
      </c>
      <c r="E127" t="s">
        <v>18</v>
      </c>
      <c r="F127" t="s">
        <v>15</v>
      </c>
      <c r="G127">
        <v>17450000</v>
      </c>
      <c r="H127" s="1">
        <v>43945</v>
      </c>
      <c r="J127">
        <v>60</v>
      </c>
    </row>
    <row r="128" spans="1:10" x14ac:dyDescent="0.3">
      <c r="A128" t="s">
        <v>294</v>
      </c>
      <c r="B128" t="s">
        <v>295</v>
      </c>
      <c r="C128" t="s">
        <v>12</v>
      </c>
      <c r="D128" t="s">
        <v>13</v>
      </c>
      <c r="E128" t="s">
        <v>41</v>
      </c>
      <c r="F128" t="s">
        <v>77</v>
      </c>
      <c r="G128">
        <v>9250000</v>
      </c>
      <c r="H128" s="1">
        <v>42593</v>
      </c>
      <c r="J128">
        <v>60</v>
      </c>
    </row>
    <row r="129" spans="1:10" x14ac:dyDescent="0.3">
      <c r="A129" t="s">
        <v>296</v>
      </c>
      <c r="B129" t="s">
        <v>297</v>
      </c>
      <c r="C129" t="s">
        <v>12</v>
      </c>
      <c r="D129" t="s">
        <v>13</v>
      </c>
      <c r="E129" t="s">
        <v>41</v>
      </c>
      <c r="F129" t="s">
        <v>15</v>
      </c>
      <c r="G129">
        <v>56250000</v>
      </c>
      <c r="H129" s="1">
        <v>42219</v>
      </c>
      <c r="J129">
        <v>30</v>
      </c>
    </row>
    <row r="130" spans="1:10" x14ac:dyDescent="0.3">
      <c r="A130" t="s">
        <v>298</v>
      </c>
      <c r="B130" t="s">
        <v>299</v>
      </c>
      <c r="C130" t="s">
        <v>30</v>
      </c>
      <c r="D130" t="s">
        <v>31</v>
      </c>
      <c r="E130" t="s">
        <v>14</v>
      </c>
      <c r="F130" t="s">
        <v>102</v>
      </c>
      <c r="G130">
        <v>67950000</v>
      </c>
      <c r="H130" s="1">
        <v>43182</v>
      </c>
      <c r="J130">
        <v>60</v>
      </c>
    </row>
    <row r="131" spans="1:10" x14ac:dyDescent="0.3">
      <c r="A131" t="s">
        <v>300</v>
      </c>
      <c r="B131" t="s">
        <v>301</v>
      </c>
      <c r="C131" t="s">
        <v>12</v>
      </c>
      <c r="D131" t="s">
        <v>13</v>
      </c>
      <c r="E131" t="s">
        <v>27</v>
      </c>
      <c r="F131" t="s">
        <v>102</v>
      </c>
      <c r="G131">
        <v>72300000</v>
      </c>
      <c r="H131" s="1">
        <v>43820</v>
      </c>
      <c r="J131">
        <v>30</v>
      </c>
    </row>
    <row r="132" spans="1:10" x14ac:dyDescent="0.3">
      <c r="A132" t="s">
        <v>302</v>
      </c>
      <c r="B132" t="s">
        <v>303</v>
      </c>
      <c r="C132" t="s">
        <v>12</v>
      </c>
      <c r="D132" t="s">
        <v>13</v>
      </c>
      <c r="E132" t="s">
        <v>24</v>
      </c>
      <c r="F132" t="s">
        <v>32</v>
      </c>
      <c r="G132">
        <v>71300000</v>
      </c>
      <c r="H132" s="1">
        <v>44676</v>
      </c>
      <c r="J132">
        <v>90</v>
      </c>
    </row>
    <row r="133" spans="1:10" x14ac:dyDescent="0.3">
      <c r="A133" t="s">
        <v>304</v>
      </c>
      <c r="B133" t="s">
        <v>305</v>
      </c>
      <c r="C133" t="s">
        <v>35</v>
      </c>
      <c r="D133" t="s">
        <v>36</v>
      </c>
      <c r="E133" t="s">
        <v>27</v>
      </c>
      <c r="F133" t="s">
        <v>45</v>
      </c>
      <c r="G133">
        <v>26450000</v>
      </c>
      <c r="H133" s="1">
        <v>44081</v>
      </c>
      <c r="J133">
        <v>90</v>
      </c>
    </row>
    <row r="134" spans="1:10" x14ac:dyDescent="0.3">
      <c r="A134" t="s">
        <v>306</v>
      </c>
      <c r="B134" t="s">
        <v>307</v>
      </c>
      <c r="C134" t="s">
        <v>69</v>
      </c>
      <c r="D134" t="s">
        <v>36</v>
      </c>
      <c r="E134" t="s">
        <v>14</v>
      </c>
      <c r="F134" t="s">
        <v>15</v>
      </c>
      <c r="G134">
        <v>41450000</v>
      </c>
      <c r="H134" s="1">
        <v>44113</v>
      </c>
      <c r="J134">
        <v>90</v>
      </c>
    </row>
    <row r="135" spans="1:10" x14ac:dyDescent="0.3">
      <c r="A135" t="s">
        <v>308</v>
      </c>
      <c r="B135" t="s">
        <v>309</v>
      </c>
      <c r="C135" t="s">
        <v>12</v>
      </c>
      <c r="D135" t="s">
        <v>13</v>
      </c>
      <c r="E135" t="s">
        <v>14</v>
      </c>
      <c r="F135" t="s">
        <v>32</v>
      </c>
      <c r="G135">
        <v>46900000</v>
      </c>
      <c r="H135" s="1">
        <v>45036</v>
      </c>
      <c r="J135">
        <v>90</v>
      </c>
    </row>
    <row r="136" spans="1:10" x14ac:dyDescent="0.3">
      <c r="A136" t="s">
        <v>310</v>
      </c>
      <c r="B136" t="s">
        <v>311</v>
      </c>
      <c r="C136" t="s">
        <v>61</v>
      </c>
      <c r="D136" t="s">
        <v>31</v>
      </c>
      <c r="E136" t="s">
        <v>44</v>
      </c>
      <c r="F136" t="s">
        <v>38</v>
      </c>
      <c r="G136">
        <v>14650000</v>
      </c>
      <c r="H136" s="1">
        <v>44286</v>
      </c>
      <c r="J136">
        <v>60</v>
      </c>
    </row>
    <row r="137" spans="1:10" x14ac:dyDescent="0.3">
      <c r="A137" t="s">
        <v>312</v>
      </c>
      <c r="B137" t="s">
        <v>313</v>
      </c>
      <c r="C137" t="s">
        <v>12</v>
      </c>
      <c r="D137" t="s">
        <v>13</v>
      </c>
      <c r="E137" t="s">
        <v>24</v>
      </c>
      <c r="F137" t="s">
        <v>102</v>
      </c>
      <c r="G137">
        <v>61100000</v>
      </c>
      <c r="H137" s="1">
        <v>42424</v>
      </c>
      <c r="J137">
        <v>60</v>
      </c>
    </row>
    <row r="138" spans="1:10" x14ac:dyDescent="0.3">
      <c r="A138" t="s">
        <v>314</v>
      </c>
      <c r="B138" t="s">
        <v>315</v>
      </c>
      <c r="C138" t="s">
        <v>93</v>
      </c>
      <c r="D138" t="s">
        <v>36</v>
      </c>
      <c r="E138" t="s">
        <v>27</v>
      </c>
      <c r="F138" t="s">
        <v>21</v>
      </c>
      <c r="G138">
        <v>8750000</v>
      </c>
      <c r="H138" s="1">
        <v>42951</v>
      </c>
      <c r="J138">
        <v>60</v>
      </c>
    </row>
    <row r="139" spans="1:10" x14ac:dyDescent="0.3">
      <c r="A139" t="s">
        <v>316</v>
      </c>
      <c r="B139" t="s">
        <v>317</v>
      </c>
      <c r="C139" t="s">
        <v>12</v>
      </c>
      <c r="D139" t="s">
        <v>13</v>
      </c>
      <c r="E139" t="s">
        <v>44</v>
      </c>
      <c r="F139" t="s">
        <v>32</v>
      </c>
      <c r="G139">
        <v>72350000</v>
      </c>
      <c r="H139" s="1">
        <v>45102</v>
      </c>
      <c r="J139">
        <v>30</v>
      </c>
    </row>
    <row r="140" spans="1:10" x14ac:dyDescent="0.3">
      <c r="A140" t="s">
        <v>318</v>
      </c>
      <c r="B140" t="s">
        <v>319</v>
      </c>
      <c r="C140" t="s">
        <v>57</v>
      </c>
      <c r="D140" t="s">
        <v>36</v>
      </c>
      <c r="E140" t="s">
        <v>18</v>
      </c>
      <c r="F140" t="s">
        <v>38</v>
      </c>
      <c r="G140">
        <v>26500000</v>
      </c>
      <c r="H140" s="1">
        <v>44284</v>
      </c>
      <c r="J140">
        <v>60</v>
      </c>
    </row>
    <row r="141" spans="1:10" x14ac:dyDescent="0.3">
      <c r="A141" t="s">
        <v>320</v>
      </c>
      <c r="B141" t="s">
        <v>321</v>
      </c>
      <c r="C141" t="s">
        <v>12</v>
      </c>
      <c r="D141" t="s">
        <v>13</v>
      </c>
      <c r="E141" t="s">
        <v>24</v>
      </c>
      <c r="F141" t="s">
        <v>21</v>
      </c>
      <c r="G141">
        <v>9000000</v>
      </c>
      <c r="H141" s="1">
        <v>43583</v>
      </c>
      <c r="J141">
        <v>45</v>
      </c>
    </row>
    <row r="142" spans="1:10" x14ac:dyDescent="0.3">
      <c r="A142" t="s">
        <v>322</v>
      </c>
      <c r="B142" t="s">
        <v>323</v>
      </c>
      <c r="C142" t="s">
        <v>12</v>
      </c>
      <c r="D142" t="s">
        <v>13</v>
      </c>
      <c r="E142" t="s">
        <v>14</v>
      </c>
      <c r="F142" t="s">
        <v>15</v>
      </c>
      <c r="G142">
        <v>86850000</v>
      </c>
      <c r="H142" s="1">
        <v>44149</v>
      </c>
      <c r="J142">
        <v>60</v>
      </c>
    </row>
    <row r="143" spans="1:10" x14ac:dyDescent="0.3">
      <c r="A143" t="s">
        <v>324</v>
      </c>
      <c r="B143" t="s">
        <v>325</v>
      </c>
      <c r="C143" t="s">
        <v>53</v>
      </c>
      <c r="D143" t="s">
        <v>31</v>
      </c>
      <c r="E143" t="s">
        <v>18</v>
      </c>
      <c r="F143" t="s">
        <v>15</v>
      </c>
      <c r="G143">
        <v>20100000</v>
      </c>
      <c r="H143" s="1">
        <v>44296</v>
      </c>
      <c r="J143">
        <v>60</v>
      </c>
    </row>
    <row r="144" spans="1:10" x14ac:dyDescent="0.3">
      <c r="A144" t="s">
        <v>326</v>
      </c>
      <c r="B144" t="s">
        <v>327</v>
      </c>
      <c r="C144" t="s">
        <v>12</v>
      </c>
      <c r="D144" t="s">
        <v>13</v>
      </c>
      <c r="E144" t="s">
        <v>27</v>
      </c>
      <c r="F144" t="s">
        <v>38</v>
      </c>
      <c r="G144">
        <v>16250000</v>
      </c>
      <c r="H144" s="1">
        <v>44882</v>
      </c>
      <c r="J144">
        <v>30</v>
      </c>
    </row>
    <row r="145" spans="1:10" x14ac:dyDescent="0.3">
      <c r="A145" t="s">
        <v>328</v>
      </c>
      <c r="B145" t="s">
        <v>329</v>
      </c>
      <c r="C145" t="s">
        <v>12</v>
      </c>
      <c r="D145" t="s">
        <v>13</v>
      </c>
      <c r="E145" t="s">
        <v>44</v>
      </c>
      <c r="F145" t="s">
        <v>32</v>
      </c>
      <c r="G145">
        <v>86600000</v>
      </c>
      <c r="H145" s="1">
        <v>43504</v>
      </c>
      <c r="J145">
        <v>45</v>
      </c>
    </row>
    <row r="146" spans="1:10" x14ac:dyDescent="0.3">
      <c r="A146" t="s">
        <v>330</v>
      </c>
      <c r="B146" t="s">
        <v>331</v>
      </c>
      <c r="C146" t="s">
        <v>30</v>
      </c>
      <c r="D146" t="s">
        <v>31</v>
      </c>
      <c r="E146" t="s">
        <v>14</v>
      </c>
      <c r="F146" t="s">
        <v>15</v>
      </c>
      <c r="G146">
        <v>10500000</v>
      </c>
      <c r="H146" s="1">
        <v>42227</v>
      </c>
      <c r="J146">
        <v>60</v>
      </c>
    </row>
    <row r="147" spans="1:10" x14ac:dyDescent="0.3">
      <c r="A147" t="s">
        <v>332</v>
      </c>
      <c r="B147" t="s">
        <v>333</v>
      </c>
      <c r="C147" t="s">
        <v>57</v>
      </c>
      <c r="D147" t="s">
        <v>36</v>
      </c>
      <c r="E147" t="s">
        <v>14</v>
      </c>
      <c r="F147" t="s">
        <v>45</v>
      </c>
      <c r="G147">
        <v>233250000</v>
      </c>
      <c r="H147" s="1">
        <v>43999</v>
      </c>
      <c r="J147">
        <v>60</v>
      </c>
    </row>
    <row r="148" spans="1:10" x14ac:dyDescent="0.3">
      <c r="A148" t="s">
        <v>334</v>
      </c>
      <c r="B148" t="s">
        <v>335</v>
      </c>
      <c r="C148" t="s">
        <v>12</v>
      </c>
      <c r="D148" t="s">
        <v>13</v>
      </c>
      <c r="E148" t="s">
        <v>44</v>
      </c>
      <c r="F148" t="s">
        <v>15</v>
      </c>
      <c r="G148">
        <v>53000000</v>
      </c>
      <c r="H148" s="1">
        <v>44692</v>
      </c>
      <c r="J148">
        <v>90</v>
      </c>
    </row>
    <row r="149" spans="1:10" x14ac:dyDescent="0.3">
      <c r="A149" t="s">
        <v>336</v>
      </c>
      <c r="B149" t="s">
        <v>337</v>
      </c>
      <c r="C149" t="s">
        <v>12</v>
      </c>
      <c r="D149" t="s">
        <v>13</v>
      </c>
      <c r="E149" t="s">
        <v>14</v>
      </c>
      <c r="F149" t="s">
        <v>32</v>
      </c>
      <c r="G149">
        <v>63900000</v>
      </c>
      <c r="H149" s="1">
        <v>42352</v>
      </c>
      <c r="J149">
        <v>30</v>
      </c>
    </row>
    <row r="150" spans="1:10" x14ac:dyDescent="0.3">
      <c r="A150" t="s">
        <v>338</v>
      </c>
      <c r="B150" t="s">
        <v>339</v>
      </c>
      <c r="C150" t="s">
        <v>12</v>
      </c>
      <c r="D150" t="s">
        <v>13</v>
      </c>
      <c r="E150" t="s">
        <v>80</v>
      </c>
      <c r="F150" t="s">
        <v>102</v>
      </c>
      <c r="G150">
        <v>101650000</v>
      </c>
      <c r="H150" s="1">
        <v>42098</v>
      </c>
      <c r="J150">
        <v>45</v>
      </c>
    </row>
    <row r="151" spans="1:10" x14ac:dyDescent="0.3">
      <c r="A151" t="s">
        <v>340</v>
      </c>
      <c r="B151" t="s">
        <v>341</v>
      </c>
      <c r="C151" t="s">
        <v>35</v>
      </c>
      <c r="D151" t="s">
        <v>36</v>
      </c>
      <c r="E151" t="s">
        <v>14</v>
      </c>
      <c r="F151" t="s">
        <v>32</v>
      </c>
      <c r="G151">
        <v>14200000</v>
      </c>
      <c r="H151" s="1">
        <v>44643</v>
      </c>
      <c r="J151">
        <v>60</v>
      </c>
    </row>
    <row r="152" spans="1:10" x14ac:dyDescent="0.3">
      <c r="A152" t="s">
        <v>342</v>
      </c>
      <c r="B152" t="s">
        <v>343</v>
      </c>
      <c r="C152" t="s">
        <v>12</v>
      </c>
      <c r="D152" t="s">
        <v>13</v>
      </c>
      <c r="E152" t="s">
        <v>18</v>
      </c>
      <c r="F152" t="s">
        <v>32</v>
      </c>
      <c r="G152">
        <v>55050000</v>
      </c>
      <c r="H152" s="1">
        <v>44169</v>
      </c>
      <c r="J152">
        <v>30</v>
      </c>
    </row>
    <row r="153" spans="1:10" x14ac:dyDescent="0.3">
      <c r="A153" t="s">
        <v>344</v>
      </c>
      <c r="B153" t="s">
        <v>345</v>
      </c>
      <c r="C153" t="s">
        <v>12</v>
      </c>
      <c r="D153" t="s">
        <v>13</v>
      </c>
      <c r="E153" t="s">
        <v>27</v>
      </c>
      <c r="F153" t="s">
        <v>45</v>
      </c>
      <c r="G153">
        <v>45400000</v>
      </c>
      <c r="H153" s="1">
        <v>43360</v>
      </c>
      <c r="J153">
        <v>60</v>
      </c>
    </row>
    <row r="154" spans="1:10" x14ac:dyDescent="0.3">
      <c r="A154" t="s">
        <v>346</v>
      </c>
      <c r="B154" t="s">
        <v>347</v>
      </c>
      <c r="C154" t="s">
        <v>12</v>
      </c>
      <c r="D154" t="s">
        <v>13</v>
      </c>
      <c r="E154" t="s">
        <v>27</v>
      </c>
      <c r="F154" t="s">
        <v>32</v>
      </c>
      <c r="G154">
        <v>78800000</v>
      </c>
      <c r="H154" s="1">
        <v>44548</v>
      </c>
      <c r="J154">
        <v>90</v>
      </c>
    </row>
    <row r="155" spans="1:10" x14ac:dyDescent="0.3">
      <c r="A155" t="s">
        <v>348</v>
      </c>
      <c r="B155" t="s">
        <v>349</v>
      </c>
      <c r="C155" t="s">
        <v>12</v>
      </c>
      <c r="D155" t="s">
        <v>13</v>
      </c>
      <c r="E155" t="s">
        <v>27</v>
      </c>
      <c r="F155" t="s">
        <v>21</v>
      </c>
      <c r="G155">
        <v>8550000</v>
      </c>
      <c r="H155" s="1">
        <v>45045</v>
      </c>
      <c r="J155">
        <v>45</v>
      </c>
    </row>
    <row r="156" spans="1:10" x14ac:dyDescent="0.3">
      <c r="A156" t="s">
        <v>350</v>
      </c>
      <c r="B156" t="s">
        <v>351</v>
      </c>
      <c r="C156" t="s">
        <v>57</v>
      </c>
      <c r="D156" t="s">
        <v>36</v>
      </c>
      <c r="E156" t="s">
        <v>18</v>
      </c>
      <c r="F156" t="s">
        <v>32</v>
      </c>
      <c r="G156">
        <v>24450000</v>
      </c>
      <c r="H156" s="1">
        <v>44814</v>
      </c>
      <c r="J156">
        <v>60</v>
      </c>
    </row>
    <row r="157" spans="1:10" x14ac:dyDescent="0.3">
      <c r="A157" t="s">
        <v>352</v>
      </c>
      <c r="B157" t="s">
        <v>353</v>
      </c>
      <c r="C157" t="s">
        <v>57</v>
      </c>
      <c r="D157" t="s">
        <v>36</v>
      </c>
      <c r="E157" t="s">
        <v>14</v>
      </c>
      <c r="F157" t="s">
        <v>32</v>
      </c>
      <c r="G157">
        <v>49000000</v>
      </c>
      <c r="H157" s="1">
        <v>44898</v>
      </c>
      <c r="J157">
        <v>45</v>
      </c>
    </row>
    <row r="158" spans="1:10" x14ac:dyDescent="0.3">
      <c r="A158" t="s">
        <v>354</v>
      </c>
      <c r="B158" t="s">
        <v>355</v>
      </c>
      <c r="C158" t="s">
        <v>12</v>
      </c>
      <c r="D158" t="s">
        <v>13</v>
      </c>
      <c r="E158" t="s">
        <v>41</v>
      </c>
      <c r="F158" t="s">
        <v>15</v>
      </c>
      <c r="G158">
        <v>11100000</v>
      </c>
      <c r="H158" s="1">
        <v>42919</v>
      </c>
      <c r="J158">
        <v>60</v>
      </c>
    </row>
    <row r="159" spans="1:10" x14ac:dyDescent="0.3">
      <c r="A159" t="s">
        <v>356</v>
      </c>
      <c r="B159" t="s">
        <v>357</v>
      </c>
      <c r="C159" t="s">
        <v>12</v>
      </c>
      <c r="D159" t="s">
        <v>13</v>
      </c>
      <c r="E159" t="s">
        <v>41</v>
      </c>
      <c r="F159" t="s">
        <v>32</v>
      </c>
      <c r="G159">
        <v>40200000</v>
      </c>
      <c r="H159" s="1">
        <v>44127</v>
      </c>
      <c r="J159">
        <v>60</v>
      </c>
    </row>
    <row r="160" spans="1:10" x14ac:dyDescent="0.3">
      <c r="A160" t="s">
        <v>358</v>
      </c>
      <c r="B160" t="s">
        <v>359</v>
      </c>
      <c r="C160" t="s">
        <v>12</v>
      </c>
      <c r="D160" t="s">
        <v>13</v>
      </c>
      <c r="E160" t="s">
        <v>44</v>
      </c>
      <c r="F160" t="s">
        <v>32</v>
      </c>
      <c r="G160">
        <v>27200000</v>
      </c>
      <c r="H160" s="1">
        <v>43885</v>
      </c>
      <c r="J160">
        <v>45</v>
      </c>
    </row>
    <row r="161" spans="1:10" x14ac:dyDescent="0.3">
      <c r="A161" t="s">
        <v>360</v>
      </c>
      <c r="B161" t="s">
        <v>361</v>
      </c>
      <c r="C161" t="s">
        <v>12</v>
      </c>
      <c r="D161" t="s">
        <v>13</v>
      </c>
      <c r="E161" t="s">
        <v>58</v>
      </c>
      <c r="F161" t="s">
        <v>38</v>
      </c>
      <c r="G161">
        <v>7800000</v>
      </c>
      <c r="H161" s="1">
        <v>43626</v>
      </c>
      <c r="J161">
        <v>45</v>
      </c>
    </row>
    <row r="162" spans="1:10" x14ac:dyDescent="0.3">
      <c r="A162" t="s">
        <v>362</v>
      </c>
      <c r="B162" t="s">
        <v>363</v>
      </c>
      <c r="C162" t="s">
        <v>69</v>
      </c>
      <c r="D162" t="s">
        <v>36</v>
      </c>
      <c r="E162" t="s">
        <v>18</v>
      </c>
      <c r="F162" t="s">
        <v>15</v>
      </c>
      <c r="G162">
        <v>47250000</v>
      </c>
      <c r="H162" s="1">
        <v>42778</v>
      </c>
      <c r="J162">
        <v>90</v>
      </c>
    </row>
    <row r="163" spans="1:10" x14ac:dyDescent="0.3">
      <c r="A163" t="s">
        <v>364</v>
      </c>
      <c r="B163" t="s">
        <v>365</v>
      </c>
      <c r="C163" t="s">
        <v>12</v>
      </c>
      <c r="D163" t="s">
        <v>13</v>
      </c>
      <c r="E163" t="s">
        <v>64</v>
      </c>
      <c r="F163" t="s">
        <v>21</v>
      </c>
      <c r="G163">
        <v>15300000</v>
      </c>
      <c r="H163" s="1">
        <v>43014</v>
      </c>
      <c r="J163">
        <v>30</v>
      </c>
    </row>
    <row r="164" spans="1:10" x14ac:dyDescent="0.3">
      <c r="A164" t="s">
        <v>366</v>
      </c>
      <c r="B164" t="s">
        <v>367</v>
      </c>
      <c r="C164" t="s">
        <v>53</v>
      </c>
      <c r="D164" t="s">
        <v>31</v>
      </c>
      <c r="E164" t="s">
        <v>64</v>
      </c>
      <c r="F164" t="s">
        <v>15</v>
      </c>
      <c r="G164">
        <v>22050000</v>
      </c>
      <c r="H164" s="1">
        <v>44357</v>
      </c>
      <c r="J164">
        <v>60</v>
      </c>
    </row>
    <row r="165" spans="1:10" x14ac:dyDescent="0.3">
      <c r="A165" t="s">
        <v>368</v>
      </c>
      <c r="B165" t="s">
        <v>369</v>
      </c>
      <c r="C165" t="s">
        <v>57</v>
      </c>
      <c r="D165" t="s">
        <v>36</v>
      </c>
      <c r="E165" t="s">
        <v>64</v>
      </c>
      <c r="F165" t="s">
        <v>15</v>
      </c>
      <c r="G165">
        <v>66750000</v>
      </c>
      <c r="H165" s="1">
        <v>43109</v>
      </c>
      <c r="J165">
        <v>60</v>
      </c>
    </row>
    <row r="166" spans="1:10" x14ac:dyDescent="0.3">
      <c r="A166" t="s">
        <v>370</v>
      </c>
      <c r="B166" t="s">
        <v>371</v>
      </c>
      <c r="C166" t="s">
        <v>35</v>
      </c>
      <c r="D166" t="s">
        <v>36</v>
      </c>
      <c r="E166" t="s">
        <v>14</v>
      </c>
      <c r="F166" t="s">
        <v>102</v>
      </c>
      <c r="G166">
        <v>157650000</v>
      </c>
      <c r="H166" s="1">
        <v>43296</v>
      </c>
      <c r="J166">
        <v>30</v>
      </c>
    </row>
    <row r="167" spans="1:10" x14ac:dyDescent="0.3">
      <c r="A167" t="s">
        <v>372</v>
      </c>
      <c r="B167" t="s">
        <v>373</v>
      </c>
      <c r="C167" t="s">
        <v>12</v>
      </c>
      <c r="D167" t="s">
        <v>13</v>
      </c>
      <c r="E167" t="s">
        <v>41</v>
      </c>
      <c r="F167" t="s">
        <v>38</v>
      </c>
      <c r="G167">
        <v>53500000</v>
      </c>
      <c r="H167" s="1">
        <v>44859</v>
      </c>
      <c r="J167">
        <v>90</v>
      </c>
    </row>
    <row r="168" spans="1:10" x14ac:dyDescent="0.3">
      <c r="A168" t="s">
        <v>374</v>
      </c>
      <c r="B168" t="s">
        <v>375</v>
      </c>
      <c r="C168" t="s">
        <v>12</v>
      </c>
      <c r="D168" t="s">
        <v>13</v>
      </c>
      <c r="E168" t="s">
        <v>58</v>
      </c>
      <c r="F168" t="s">
        <v>15</v>
      </c>
      <c r="G168">
        <v>9400000</v>
      </c>
      <c r="H168" s="1">
        <v>43425</v>
      </c>
      <c r="J168">
        <v>30</v>
      </c>
    </row>
    <row r="169" spans="1:10" x14ac:dyDescent="0.3">
      <c r="A169" t="s">
        <v>376</v>
      </c>
      <c r="B169" t="s">
        <v>377</v>
      </c>
      <c r="C169" t="s">
        <v>12</v>
      </c>
      <c r="D169" t="s">
        <v>13</v>
      </c>
      <c r="E169" t="s">
        <v>58</v>
      </c>
      <c r="F169" t="s">
        <v>32</v>
      </c>
      <c r="G169">
        <v>32150000</v>
      </c>
      <c r="H169" s="1">
        <v>44509</v>
      </c>
      <c r="J169">
        <v>60</v>
      </c>
    </row>
    <row r="170" spans="1:10" x14ac:dyDescent="0.3">
      <c r="A170" t="s">
        <v>378</v>
      </c>
      <c r="B170" t="s">
        <v>379</v>
      </c>
      <c r="C170" t="s">
        <v>30</v>
      </c>
      <c r="D170" t="s">
        <v>31</v>
      </c>
      <c r="E170" t="s">
        <v>44</v>
      </c>
      <c r="F170" t="s">
        <v>32</v>
      </c>
      <c r="G170">
        <v>75250000</v>
      </c>
      <c r="H170" s="1">
        <v>44306</v>
      </c>
      <c r="J170">
        <v>45</v>
      </c>
    </row>
    <row r="171" spans="1:10" x14ac:dyDescent="0.3">
      <c r="A171" t="s">
        <v>380</v>
      </c>
      <c r="B171" t="s">
        <v>381</v>
      </c>
      <c r="C171" t="s">
        <v>12</v>
      </c>
      <c r="D171" t="s">
        <v>13</v>
      </c>
      <c r="E171" t="s">
        <v>14</v>
      </c>
      <c r="F171" t="s">
        <v>15</v>
      </c>
      <c r="G171">
        <v>36500000</v>
      </c>
      <c r="H171" s="1">
        <v>44314</v>
      </c>
      <c r="J171">
        <v>60</v>
      </c>
    </row>
    <row r="172" spans="1:10" x14ac:dyDescent="0.3">
      <c r="A172" t="s">
        <v>382</v>
      </c>
      <c r="B172" t="s">
        <v>383</v>
      </c>
      <c r="C172" t="s">
        <v>48</v>
      </c>
      <c r="D172" t="s">
        <v>36</v>
      </c>
      <c r="E172" t="s">
        <v>41</v>
      </c>
      <c r="F172" t="s">
        <v>15</v>
      </c>
      <c r="G172">
        <v>46350000</v>
      </c>
      <c r="H172" s="1">
        <v>43238</v>
      </c>
      <c r="J172">
        <v>90</v>
      </c>
    </row>
    <row r="173" spans="1:10" x14ac:dyDescent="0.3">
      <c r="A173" t="s">
        <v>384</v>
      </c>
      <c r="B173" t="s">
        <v>385</v>
      </c>
      <c r="C173" t="s">
        <v>12</v>
      </c>
      <c r="D173" t="s">
        <v>13</v>
      </c>
      <c r="E173" t="s">
        <v>41</v>
      </c>
      <c r="F173" t="s">
        <v>15</v>
      </c>
      <c r="G173">
        <v>20900000</v>
      </c>
      <c r="H173" s="1">
        <v>44800</v>
      </c>
      <c r="J173">
        <v>30</v>
      </c>
    </row>
    <row r="174" spans="1:10" x14ac:dyDescent="0.3">
      <c r="A174" t="s">
        <v>386</v>
      </c>
      <c r="B174" t="s">
        <v>387</v>
      </c>
      <c r="C174" t="s">
        <v>61</v>
      </c>
      <c r="D174" t="s">
        <v>31</v>
      </c>
      <c r="E174" t="s">
        <v>41</v>
      </c>
      <c r="F174" t="s">
        <v>15</v>
      </c>
      <c r="G174">
        <v>54700000</v>
      </c>
      <c r="H174" s="1">
        <v>43641</v>
      </c>
      <c r="J174">
        <v>60</v>
      </c>
    </row>
    <row r="175" spans="1:10" x14ac:dyDescent="0.3">
      <c r="A175" t="s">
        <v>388</v>
      </c>
      <c r="B175" t="s">
        <v>389</v>
      </c>
      <c r="C175" t="s">
        <v>53</v>
      </c>
      <c r="D175" t="s">
        <v>31</v>
      </c>
      <c r="E175" t="s">
        <v>64</v>
      </c>
      <c r="F175" t="s">
        <v>15</v>
      </c>
      <c r="G175">
        <v>17600000</v>
      </c>
      <c r="H175" s="1">
        <v>44453</v>
      </c>
      <c r="J175">
        <v>45</v>
      </c>
    </row>
    <row r="176" spans="1:10" x14ac:dyDescent="0.3">
      <c r="A176" t="s">
        <v>390</v>
      </c>
      <c r="B176" t="s">
        <v>391</v>
      </c>
      <c r="C176" t="s">
        <v>12</v>
      </c>
      <c r="D176" t="s">
        <v>13</v>
      </c>
      <c r="E176" t="s">
        <v>24</v>
      </c>
      <c r="F176" t="s">
        <v>38</v>
      </c>
      <c r="G176">
        <v>8750000</v>
      </c>
      <c r="H176" s="1">
        <v>42810</v>
      </c>
      <c r="J176">
        <v>60</v>
      </c>
    </row>
    <row r="177" spans="1:10" x14ac:dyDescent="0.3">
      <c r="A177" t="s">
        <v>392</v>
      </c>
      <c r="B177" t="s">
        <v>393</v>
      </c>
      <c r="C177" t="s">
        <v>12</v>
      </c>
      <c r="D177" t="s">
        <v>13</v>
      </c>
      <c r="E177" t="s">
        <v>37</v>
      </c>
      <c r="F177" t="s">
        <v>15</v>
      </c>
      <c r="G177">
        <v>29800000</v>
      </c>
      <c r="H177" s="1">
        <v>44503</v>
      </c>
      <c r="J177">
        <v>30</v>
      </c>
    </row>
    <row r="178" spans="1:10" x14ac:dyDescent="0.3">
      <c r="A178" t="s">
        <v>394</v>
      </c>
      <c r="B178" t="s">
        <v>395</v>
      </c>
      <c r="C178" t="s">
        <v>61</v>
      </c>
      <c r="D178" t="s">
        <v>31</v>
      </c>
      <c r="E178" t="s">
        <v>27</v>
      </c>
      <c r="F178" t="s">
        <v>45</v>
      </c>
      <c r="G178">
        <v>179250000</v>
      </c>
      <c r="H178" s="1">
        <v>43000</v>
      </c>
      <c r="J178">
        <v>60</v>
      </c>
    </row>
    <row r="179" spans="1:10" x14ac:dyDescent="0.3">
      <c r="A179" t="s">
        <v>396</v>
      </c>
      <c r="B179" t="s">
        <v>397</v>
      </c>
      <c r="C179" t="s">
        <v>12</v>
      </c>
      <c r="D179" t="s">
        <v>13</v>
      </c>
      <c r="E179" t="s">
        <v>18</v>
      </c>
      <c r="F179" t="s">
        <v>38</v>
      </c>
      <c r="G179">
        <v>7550000</v>
      </c>
      <c r="H179" s="1">
        <v>42876</v>
      </c>
      <c r="J179">
        <v>60</v>
      </c>
    </row>
    <row r="180" spans="1:10" x14ac:dyDescent="0.3">
      <c r="A180" t="s">
        <v>398</v>
      </c>
      <c r="B180" t="s">
        <v>399</v>
      </c>
      <c r="C180" t="s">
        <v>12</v>
      </c>
      <c r="D180" t="s">
        <v>13</v>
      </c>
      <c r="E180" t="s">
        <v>58</v>
      </c>
      <c r="F180" t="s">
        <v>77</v>
      </c>
      <c r="G180">
        <v>3850000</v>
      </c>
      <c r="H180" s="1">
        <v>44367</v>
      </c>
      <c r="J180">
        <v>30</v>
      </c>
    </row>
    <row r="181" spans="1:10" x14ac:dyDescent="0.3">
      <c r="A181" t="s">
        <v>400</v>
      </c>
      <c r="B181" t="s">
        <v>401</v>
      </c>
      <c r="C181" t="s">
        <v>48</v>
      </c>
      <c r="D181" t="s">
        <v>36</v>
      </c>
      <c r="E181" t="s">
        <v>27</v>
      </c>
      <c r="F181" t="s">
        <v>54</v>
      </c>
      <c r="G181">
        <v>12300000</v>
      </c>
      <c r="H181" s="1">
        <v>42189</v>
      </c>
      <c r="J181">
        <v>45</v>
      </c>
    </row>
    <row r="182" spans="1:10" x14ac:dyDescent="0.3">
      <c r="A182" t="s">
        <v>402</v>
      </c>
      <c r="B182" t="s">
        <v>403</v>
      </c>
      <c r="C182" t="s">
        <v>12</v>
      </c>
      <c r="D182" t="s">
        <v>13</v>
      </c>
      <c r="E182" t="s">
        <v>64</v>
      </c>
      <c r="F182" t="s">
        <v>15</v>
      </c>
      <c r="G182">
        <v>46500000</v>
      </c>
      <c r="H182" s="1">
        <v>44810</v>
      </c>
      <c r="J182">
        <v>60</v>
      </c>
    </row>
    <row r="183" spans="1:10" x14ac:dyDescent="0.3">
      <c r="A183" t="s">
        <v>404</v>
      </c>
      <c r="B183" t="s">
        <v>405</v>
      </c>
      <c r="C183" t="s">
        <v>12</v>
      </c>
      <c r="D183" t="s">
        <v>13</v>
      </c>
      <c r="E183" t="s">
        <v>18</v>
      </c>
      <c r="F183" t="s">
        <v>32</v>
      </c>
      <c r="G183">
        <v>33450000</v>
      </c>
      <c r="H183" s="1">
        <v>43964</v>
      </c>
      <c r="J183">
        <v>60</v>
      </c>
    </row>
    <row r="184" spans="1:10" x14ac:dyDescent="0.3">
      <c r="A184" t="s">
        <v>406</v>
      </c>
      <c r="B184" t="s">
        <v>407</v>
      </c>
      <c r="C184" t="s">
        <v>12</v>
      </c>
      <c r="D184" t="s">
        <v>13</v>
      </c>
      <c r="E184" t="s">
        <v>18</v>
      </c>
      <c r="F184" t="s">
        <v>32</v>
      </c>
      <c r="G184">
        <v>130100000</v>
      </c>
      <c r="H184" s="1">
        <v>43718</v>
      </c>
      <c r="J184">
        <v>90</v>
      </c>
    </row>
    <row r="185" spans="1:10" x14ac:dyDescent="0.3">
      <c r="A185" t="s">
        <v>408</v>
      </c>
      <c r="B185" t="s">
        <v>409</v>
      </c>
      <c r="C185" t="s">
        <v>12</v>
      </c>
      <c r="D185" t="s">
        <v>13</v>
      </c>
      <c r="E185" t="s">
        <v>24</v>
      </c>
      <c r="F185" t="s">
        <v>21</v>
      </c>
      <c r="G185">
        <v>5800000</v>
      </c>
      <c r="H185" s="1">
        <v>43223</v>
      </c>
      <c r="J185">
        <v>45</v>
      </c>
    </row>
    <row r="186" spans="1:10" x14ac:dyDescent="0.3">
      <c r="A186" t="s">
        <v>410</v>
      </c>
      <c r="B186" t="s">
        <v>411</v>
      </c>
      <c r="C186" t="s">
        <v>12</v>
      </c>
      <c r="D186" t="s">
        <v>13</v>
      </c>
      <c r="E186" t="s">
        <v>14</v>
      </c>
      <c r="F186" t="s">
        <v>15</v>
      </c>
      <c r="G186">
        <v>23900000</v>
      </c>
      <c r="H186" s="1">
        <v>43521</v>
      </c>
      <c r="J186">
        <v>60</v>
      </c>
    </row>
    <row r="187" spans="1:10" x14ac:dyDescent="0.3">
      <c r="A187" t="s">
        <v>412</v>
      </c>
      <c r="B187" t="s">
        <v>413</v>
      </c>
      <c r="C187" t="s">
        <v>69</v>
      </c>
      <c r="D187" t="s">
        <v>36</v>
      </c>
      <c r="E187" t="s">
        <v>80</v>
      </c>
      <c r="F187" t="s">
        <v>32</v>
      </c>
      <c r="G187">
        <v>30900000</v>
      </c>
      <c r="H187" s="1">
        <v>43039</v>
      </c>
      <c r="J187">
        <v>45</v>
      </c>
    </row>
    <row r="188" spans="1:10" x14ac:dyDescent="0.3">
      <c r="A188" t="s">
        <v>414</v>
      </c>
      <c r="B188" t="s">
        <v>415</v>
      </c>
      <c r="C188" t="s">
        <v>12</v>
      </c>
      <c r="D188" t="s">
        <v>13</v>
      </c>
      <c r="E188" t="s">
        <v>37</v>
      </c>
      <c r="F188" t="s">
        <v>32</v>
      </c>
      <c r="G188">
        <v>33000000</v>
      </c>
      <c r="H188" s="1">
        <v>43215</v>
      </c>
      <c r="J188">
        <v>45</v>
      </c>
    </row>
    <row r="189" spans="1:10" x14ac:dyDescent="0.3">
      <c r="A189" t="s">
        <v>416</v>
      </c>
      <c r="B189" t="s">
        <v>417</v>
      </c>
      <c r="C189" t="s">
        <v>12</v>
      </c>
      <c r="D189" t="s">
        <v>13</v>
      </c>
      <c r="E189" t="s">
        <v>44</v>
      </c>
      <c r="F189" t="s">
        <v>15</v>
      </c>
      <c r="G189">
        <v>21800000</v>
      </c>
      <c r="H189" s="1">
        <v>44552</v>
      </c>
      <c r="J189">
        <v>45</v>
      </c>
    </row>
    <row r="190" spans="1:10" x14ac:dyDescent="0.3">
      <c r="A190" t="s">
        <v>418</v>
      </c>
      <c r="B190" t="s">
        <v>419</v>
      </c>
      <c r="C190" t="s">
        <v>12</v>
      </c>
      <c r="D190" t="s">
        <v>13</v>
      </c>
      <c r="E190" t="s">
        <v>64</v>
      </c>
      <c r="F190" t="s">
        <v>21</v>
      </c>
      <c r="G190">
        <v>22150000</v>
      </c>
      <c r="H190" s="1">
        <v>44572</v>
      </c>
      <c r="J190">
        <v>45</v>
      </c>
    </row>
    <row r="191" spans="1:10" x14ac:dyDescent="0.3">
      <c r="A191" t="s">
        <v>420</v>
      </c>
      <c r="B191" t="s">
        <v>421</v>
      </c>
      <c r="C191" t="s">
        <v>12</v>
      </c>
      <c r="D191" t="s">
        <v>13</v>
      </c>
      <c r="E191" t="s">
        <v>58</v>
      </c>
      <c r="F191" t="s">
        <v>45</v>
      </c>
      <c r="G191">
        <v>42400000</v>
      </c>
      <c r="H191" s="1">
        <v>42092</v>
      </c>
      <c r="J191">
        <v>30</v>
      </c>
    </row>
    <row r="192" spans="1:10" x14ac:dyDescent="0.3">
      <c r="A192" t="s">
        <v>422</v>
      </c>
      <c r="B192" t="s">
        <v>423</v>
      </c>
      <c r="C192" t="s">
        <v>121</v>
      </c>
      <c r="D192" t="s">
        <v>31</v>
      </c>
      <c r="E192" t="s">
        <v>58</v>
      </c>
      <c r="F192" t="s">
        <v>102</v>
      </c>
      <c r="G192">
        <v>55050000</v>
      </c>
      <c r="H192" s="1">
        <v>44206</v>
      </c>
      <c r="J192">
        <v>45</v>
      </c>
    </row>
    <row r="193" spans="1:10" x14ac:dyDescent="0.3">
      <c r="A193" t="s">
        <v>424</v>
      </c>
      <c r="B193" t="s">
        <v>425</v>
      </c>
      <c r="C193" t="s">
        <v>61</v>
      </c>
      <c r="D193" t="s">
        <v>31</v>
      </c>
      <c r="E193" t="s">
        <v>58</v>
      </c>
      <c r="F193" t="s">
        <v>15</v>
      </c>
      <c r="G193">
        <v>32800000</v>
      </c>
      <c r="H193" s="1">
        <v>44062</v>
      </c>
      <c r="J193">
        <v>90</v>
      </c>
    </row>
    <row r="194" spans="1:10" x14ac:dyDescent="0.3">
      <c r="A194" t="s">
        <v>426</v>
      </c>
      <c r="B194" t="s">
        <v>427</v>
      </c>
      <c r="C194" t="s">
        <v>53</v>
      </c>
      <c r="D194" t="s">
        <v>31</v>
      </c>
      <c r="E194" t="s">
        <v>80</v>
      </c>
      <c r="F194" t="s">
        <v>15</v>
      </c>
      <c r="G194">
        <v>33050000</v>
      </c>
      <c r="H194" s="1">
        <v>42695</v>
      </c>
      <c r="J194">
        <v>45</v>
      </c>
    </row>
    <row r="195" spans="1:10" x14ac:dyDescent="0.3">
      <c r="A195" t="s">
        <v>428</v>
      </c>
      <c r="B195" t="s">
        <v>429</v>
      </c>
      <c r="C195" t="s">
        <v>12</v>
      </c>
      <c r="D195" t="s">
        <v>13</v>
      </c>
      <c r="E195" t="s">
        <v>64</v>
      </c>
      <c r="F195" t="s">
        <v>32</v>
      </c>
      <c r="G195">
        <v>10850000</v>
      </c>
      <c r="H195" s="1">
        <v>45096</v>
      </c>
      <c r="J195">
        <v>60</v>
      </c>
    </row>
    <row r="196" spans="1:10" x14ac:dyDescent="0.3">
      <c r="A196" t="s">
        <v>430</v>
      </c>
      <c r="B196" t="s">
        <v>431</v>
      </c>
      <c r="C196" t="s">
        <v>53</v>
      </c>
      <c r="D196" t="s">
        <v>31</v>
      </c>
      <c r="E196" t="s">
        <v>27</v>
      </c>
      <c r="F196" t="s">
        <v>32</v>
      </c>
      <c r="G196">
        <v>26900000</v>
      </c>
      <c r="H196" s="1">
        <v>42008</v>
      </c>
      <c r="J196">
        <v>60</v>
      </c>
    </row>
    <row r="197" spans="1:10" x14ac:dyDescent="0.3">
      <c r="A197" t="s">
        <v>432</v>
      </c>
      <c r="B197" t="s">
        <v>433</v>
      </c>
      <c r="C197" t="s">
        <v>48</v>
      </c>
      <c r="D197" t="s">
        <v>36</v>
      </c>
      <c r="E197" t="s">
        <v>58</v>
      </c>
      <c r="F197" t="s">
        <v>102</v>
      </c>
      <c r="G197">
        <v>82100000</v>
      </c>
      <c r="H197" s="1">
        <v>42418</v>
      </c>
      <c r="J197">
        <v>90</v>
      </c>
    </row>
    <row r="198" spans="1:10" x14ac:dyDescent="0.3">
      <c r="A198" t="s">
        <v>434</v>
      </c>
      <c r="B198" t="s">
        <v>435</v>
      </c>
      <c r="C198" t="s">
        <v>12</v>
      </c>
      <c r="D198" t="s">
        <v>13</v>
      </c>
      <c r="E198" t="s">
        <v>27</v>
      </c>
      <c r="F198" t="s">
        <v>54</v>
      </c>
      <c r="G198">
        <v>63800000</v>
      </c>
      <c r="H198" s="1">
        <v>44844</v>
      </c>
      <c r="J198">
        <v>45</v>
      </c>
    </row>
    <row r="199" spans="1:10" x14ac:dyDescent="0.3">
      <c r="A199" t="s">
        <v>436</v>
      </c>
      <c r="B199" t="s">
        <v>437</v>
      </c>
      <c r="C199" t="s">
        <v>57</v>
      </c>
      <c r="D199" t="s">
        <v>36</v>
      </c>
      <c r="E199" t="s">
        <v>18</v>
      </c>
      <c r="F199" t="s">
        <v>38</v>
      </c>
      <c r="G199">
        <v>79550000</v>
      </c>
      <c r="H199" s="1">
        <v>44186</v>
      </c>
      <c r="J199">
        <v>45</v>
      </c>
    </row>
    <row r="200" spans="1:10" x14ac:dyDescent="0.3">
      <c r="A200" t="s">
        <v>438</v>
      </c>
      <c r="B200" t="s">
        <v>439</v>
      </c>
      <c r="C200" t="s">
        <v>35</v>
      </c>
      <c r="D200" t="s">
        <v>36</v>
      </c>
      <c r="E200" t="s">
        <v>14</v>
      </c>
      <c r="F200" t="s">
        <v>15</v>
      </c>
      <c r="G200">
        <v>25500000</v>
      </c>
      <c r="H200" s="1">
        <v>44127</v>
      </c>
      <c r="J200">
        <v>60</v>
      </c>
    </row>
    <row r="201" spans="1:10" x14ac:dyDescent="0.3">
      <c r="A201" t="s">
        <v>440</v>
      </c>
      <c r="B201" t="s">
        <v>441</v>
      </c>
      <c r="C201" t="s">
        <v>30</v>
      </c>
      <c r="D201" t="s">
        <v>31</v>
      </c>
      <c r="E201" t="s">
        <v>44</v>
      </c>
      <c r="F201" t="s">
        <v>32</v>
      </c>
      <c r="G201">
        <v>26000000</v>
      </c>
      <c r="H201" s="1">
        <v>43038</v>
      </c>
      <c r="J201">
        <v>60</v>
      </c>
    </row>
    <row r="202" spans="1:10" x14ac:dyDescent="0.3">
      <c r="A202" t="s">
        <v>442</v>
      </c>
      <c r="B202" t="s">
        <v>443</v>
      </c>
      <c r="C202" t="s">
        <v>12</v>
      </c>
      <c r="D202" t="s">
        <v>13</v>
      </c>
      <c r="E202" t="s">
        <v>64</v>
      </c>
      <c r="F202" t="s">
        <v>38</v>
      </c>
      <c r="G202">
        <v>32350000</v>
      </c>
      <c r="H202" s="1">
        <v>44651</v>
      </c>
      <c r="J202">
        <v>60</v>
      </c>
    </row>
    <row r="203" spans="1:10" x14ac:dyDescent="0.3">
      <c r="A203" t="s">
        <v>444</v>
      </c>
      <c r="B203" t="s">
        <v>445</v>
      </c>
      <c r="C203" t="s">
        <v>48</v>
      </c>
      <c r="D203" t="s">
        <v>36</v>
      </c>
      <c r="E203" t="s">
        <v>27</v>
      </c>
      <c r="F203" t="s">
        <v>45</v>
      </c>
      <c r="G203">
        <v>123800000</v>
      </c>
      <c r="H203" s="1">
        <v>44831</v>
      </c>
      <c r="J203">
        <v>45</v>
      </c>
    </row>
    <row r="204" spans="1:10" x14ac:dyDescent="0.3">
      <c r="A204" t="s">
        <v>446</v>
      </c>
      <c r="B204" t="s">
        <v>447</v>
      </c>
      <c r="C204" t="s">
        <v>12</v>
      </c>
      <c r="D204" t="s">
        <v>13</v>
      </c>
      <c r="E204" t="s">
        <v>27</v>
      </c>
      <c r="F204" t="s">
        <v>15</v>
      </c>
      <c r="G204">
        <v>41150000</v>
      </c>
      <c r="H204" s="1">
        <v>43794</v>
      </c>
      <c r="J204">
        <v>45</v>
      </c>
    </row>
    <row r="205" spans="1:10" x14ac:dyDescent="0.3">
      <c r="A205" t="s">
        <v>448</v>
      </c>
      <c r="B205" t="s">
        <v>449</v>
      </c>
      <c r="C205" t="s">
        <v>57</v>
      </c>
      <c r="D205" t="s">
        <v>36</v>
      </c>
      <c r="E205" t="s">
        <v>44</v>
      </c>
      <c r="F205" t="s">
        <v>38</v>
      </c>
      <c r="G205">
        <v>9150000</v>
      </c>
      <c r="H205" s="1">
        <v>42022</v>
      </c>
      <c r="J205">
        <v>90</v>
      </c>
    </row>
    <row r="206" spans="1:10" x14ac:dyDescent="0.3">
      <c r="A206" t="s">
        <v>450</v>
      </c>
      <c r="B206" t="s">
        <v>451</v>
      </c>
      <c r="C206" t="s">
        <v>12</v>
      </c>
      <c r="D206" t="s">
        <v>13</v>
      </c>
      <c r="E206" t="s">
        <v>37</v>
      </c>
      <c r="F206" t="s">
        <v>15</v>
      </c>
      <c r="G206">
        <v>29600000</v>
      </c>
      <c r="H206" s="1">
        <v>42599</v>
      </c>
      <c r="J206">
        <v>30</v>
      </c>
    </row>
    <row r="207" spans="1:10" x14ac:dyDescent="0.3">
      <c r="A207" t="s">
        <v>452</v>
      </c>
      <c r="B207" t="s">
        <v>453</v>
      </c>
      <c r="C207" t="s">
        <v>12</v>
      </c>
      <c r="D207" t="s">
        <v>13</v>
      </c>
      <c r="E207" t="s">
        <v>27</v>
      </c>
      <c r="F207" t="s">
        <v>15</v>
      </c>
      <c r="G207">
        <v>17950000</v>
      </c>
      <c r="H207" s="1">
        <v>44123</v>
      </c>
      <c r="J207">
        <v>45</v>
      </c>
    </row>
    <row r="208" spans="1:10" x14ac:dyDescent="0.3">
      <c r="A208" t="s">
        <v>454</v>
      </c>
      <c r="B208" t="s">
        <v>455</v>
      </c>
      <c r="C208" t="s">
        <v>12</v>
      </c>
      <c r="D208" t="s">
        <v>13</v>
      </c>
      <c r="E208" t="s">
        <v>44</v>
      </c>
      <c r="F208" t="s">
        <v>32</v>
      </c>
      <c r="G208">
        <v>110050000</v>
      </c>
      <c r="H208" s="1">
        <v>44611</v>
      </c>
      <c r="J208">
        <v>60</v>
      </c>
    </row>
    <row r="209" spans="1:10" x14ac:dyDescent="0.3">
      <c r="A209" t="s">
        <v>456</v>
      </c>
      <c r="B209" t="s">
        <v>457</v>
      </c>
      <c r="C209" t="s">
        <v>12</v>
      </c>
      <c r="D209" t="s">
        <v>13</v>
      </c>
      <c r="E209" t="s">
        <v>44</v>
      </c>
      <c r="F209" t="s">
        <v>21</v>
      </c>
      <c r="G209">
        <v>7400000</v>
      </c>
      <c r="H209" s="1">
        <v>42947</v>
      </c>
      <c r="J209">
        <v>60</v>
      </c>
    </row>
    <row r="210" spans="1:10" x14ac:dyDescent="0.3">
      <c r="A210" t="s">
        <v>458</v>
      </c>
      <c r="B210" t="s">
        <v>459</v>
      </c>
      <c r="C210" t="s">
        <v>12</v>
      </c>
      <c r="D210" t="s">
        <v>13</v>
      </c>
      <c r="E210" t="s">
        <v>37</v>
      </c>
      <c r="F210" t="s">
        <v>15</v>
      </c>
      <c r="G210">
        <v>18250000</v>
      </c>
      <c r="H210" s="1">
        <v>42915</v>
      </c>
      <c r="J210">
        <v>90</v>
      </c>
    </row>
    <row r="211" spans="1:10" x14ac:dyDescent="0.3">
      <c r="A211" t="s">
        <v>460</v>
      </c>
      <c r="B211" t="s">
        <v>461</v>
      </c>
      <c r="C211" t="s">
        <v>57</v>
      </c>
      <c r="D211" t="s">
        <v>36</v>
      </c>
      <c r="E211" t="s">
        <v>24</v>
      </c>
      <c r="F211" t="s">
        <v>32</v>
      </c>
      <c r="G211">
        <v>26450000</v>
      </c>
      <c r="H211" s="1">
        <v>43882</v>
      </c>
      <c r="J211">
        <v>45</v>
      </c>
    </row>
    <row r="212" spans="1:10" x14ac:dyDescent="0.3">
      <c r="A212" t="s">
        <v>462</v>
      </c>
      <c r="B212" t="s">
        <v>463</v>
      </c>
      <c r="C212" t="s">
        <v>12</v>
      </c>
      <c r="D212" t="s">
        <v>13</v>
      </c>
      <c r="E212" t="s">
        <v>27</v>
      </c>
      <c r="F212" t="s">
        <v>38</v>
      </c>
      <c r="G212">
        <v>45250000</v>
      </c>
      <c r="H212" s="1">
        <v>43852</v>
      </c>
      <c r="J212">
        <v>45</v>
      </c>
    </row>
    <row r="213" spans="1:10" x14ac:dyDescent="0.3">
      <c r="A213" t="s">
        <v>464</v>
      </c>
      <c r="B213" t="s">
        <v>465</v>
      </c>
      <c r="C213" t="s">
        <v>12</v>
      </c>
      <c r="D213" t="s">
        <v>13</v>
      </c>
      <c r="E213" t="s">
        <v>27</v>
      </c>
      <c r="F213" t="s">
        <v>45</v>
      </c>
      <c r="G213">
        <v>141550000</v>
      </c>
      <c r="H213" s="1">
        <v>42103</v>
      </c>
      <c r="J213">
        <v>90</v>
      </c>
    </row>
    <row r="214" spans="1:10" x14ac:dyDescent="0.3">
      <c r="A214" t="s">
        <v>466</v>
      </c>
      <c r="B214" t="s">
        <v>467</v>
      </c>
      <c r="C214" t="s">
        <v>61</v>
      </c>
      <c r="D214" t="s">
        <v>31</v>
      </c>
      <c r="E214" t="s">
        <v>44</v>
      </c>
      <c r="F214" t="s">
        <v>102</v>
      </c>
      <c r="G214">
        <v>389650000</v>
      </c>
      <c r="H214" s="1">
        <v>45034</v>
      </c>
      <c r="J214">
        <v>60</v>
      </c>
    </row>
    <row r="215" spans="1:10" x14ac:dyDescent="0.3">
      <c r="A215" t="s">
        <v>468</v>
      </c>
      <c r="B215" t="s">
        <v>469</v>
      </c>
      <c r="C215" t="s">
        <v>12</v>
      </c>
      <c r="D215" t="s">
        <v>13</v>
      </c>
      <c r="E215" t="s">
        <v>14</v>
      </c>
      <c r="F215" t="s">
        <v>45</v>
      </c>
      <c r="G215">
        <v>90250000</v>
      </c>
      <c r="H215" s="1">
        <v>43036</v>
      </c>
      <c r="J215">
        <v>30</v>
      </c>
    </row>
    <row r="216" spans="1:10" x14ac:dyDescent="0.3">
      <c r="A216" t="s">
        <v>470</v>
      </c>
      <c r="B216" t="s">
        <v>471</v>
      </c>
      <c r="C216" t="s">
        <v>48</v>
      </c>
      <c r="D216" t="s">
        <v>36</v>
      </c>
      <c r="E216" t="s">
        <v>80</v>
      </c>
      <c r="F216" t="s">
        <v>32</v>
      </c>
      <c r="G216">
        <v>54350000</v>
      </c>
      <c r="H216" s="1">
        <v>44754</v>
      </c>
      <c r="J216">
        <v>30</v>
      </c>
    </row>
    <row r="217" spans="1:10" x14ac:dyDescent="0.3">
      <c r="A217" t="s">
        <v>472</v>
      </c>
      <c r="B217" t="s">
        <v>473</v>
      </c>
      <c r="C217" t="s">
        <v>57</v>
      </c>
      <c r="D217" t="s">
        <v>36</v>
      </c>
      <c r="E217" t="s">
        <v>58</v>
      </c>
      <c r="F217" t="s">
        <v>15</v>
      </c>
      <c r="G217">
        <v>61950000</v>
      </c>
      <c r="H217" s="1">
        <v>43911</v>
      </c>
      <c r="J217">
        <v>60</v>
      </c>
    </row>
    <row r="218" spans="1:10" x14ac:dyDescent="0.3">
      <c r="A218" t="s">
        <v>474</v>
      </c>
      <c r="B218" t="s">
        <v>475</v>
      </c>
      <c r="C218" t="s">
        <v>69</v>
      </c>
      <c r="D218" t="s">
        <v>36</v>
      </c>
      <c r="E218" t="s">
        <v>80</v>
      </c>
      <c r="F218" t="s">
        <v>15</v>
      </c>
      <c r="G218">
        <v>21600000</v>
      </c>
      <c r="H218" s="1">
        <v>44258</v>
      </c>
      <c r="J218">
        <v>90</v>
      </c>
    </row>
    <row r="219" spans="1:10" x14ac:dyDescent="0.3">
      <c r="A219" t="s">
        <v>476</v>
      </c>
      <c r="B219" t="s">
        <v>477</v>
      </c>
      <c r="C219" t="s">
        <v>12</v>
      </c>
      <c r="D219" t="s">
        <v>13</v>
      </c>
      <c r="E219" t="s">
        <v>64</v>
      </c>
      <c r="F219" t="s">
        <v>38</v>
      </c>
      <c r="G219">
        <v>35500000</v>
      </c>
      <c r="H219" s="1">
        <v>42627</v>
      </c>
      <c r="J219">
        <v>45</v>
      </c>
    </row>
    <row r="220" spans="1:10" x14ac:dyDescent="0.3">
      <c r="A220" t="s">
        <v>478</v>
      </c>
      <c r="B220" t="s">
        <v>479</v>
      </c>
      <c r="C220" t="s">
        <v>12</v>
      </c>
      <c r="D220" t="s">
        <v>13</v>
      </c>
      <c r="E220" t="s">
        <v>80</v>
      </c>
      <c r="F220" t="s">
        <v>32</v>
      </c>
      <c r="G220">
        <v>51350000</v>
      </c>
      <c r="H220" s="1">
        <v>43871</v>
      </c>
      <c r="J220">
        <v>30</v>
      </c>
    </row>
    <row r="221" spans="1:10" x14ac:dyDescent="0.3">
      <c r="A221" t="s">
        <v>480</v>
      </c>
      <c r="B221" t="s">
        <v>481</v>
      </c>
      <c r="C221" t="s">
        <v>12</v>
      </c>
      <c r="D221" t="s">
        <v>13</v>
      </c>
      <c r="E221" t="s">
        <v>64</v>
      </c>
      <c r="F221" t="s">
        <v>15</v>
      </c>
      <c r="G221">
        <v>27800000</v>
      </c>
      <c r="H221" s="1">
        <v>42249</v>
      </c>
      <c r="J221">
        <v>30</v>
      </c>
    </row>
    <row r="222" spans="1:10" x14ac:dyDescent="0.3">
      <c r="A222" t="s">
        <v>482</v>
      </c>
      <c r="B222" t="s">
        <v>483</v>
      </c>
      <c r="C222" t="s">
        <v>12</v>
      </c>
      <c r="D222" t="s">
        <v>13</v>
      </c>
      <c r="E222" t="s">
        <v>37</v>
      </c>
      <c r="F222" t="s">
        <v>38</v>
      </c>
      <c r="G222">
        <v>46950000</v>
      </c>
      <c r="H222" s="1">
        <v>44766</v>
      </c>
      <c r="J222">
        <v>60</v>
      </c>
    </row>
    <row r="223" spans="1:10" x14ac:dyDescent="0.3">
      <c r="A223" t="s">
        <v>484</v>
      </c>
      <c r="B223" t="s">
        <v>485</v>
      </c>
      <c r="C223" t="s">
        <v>30</v>
      </c>
      <c r="D223" t="s">
        <v>31</v>
      </c>
      <c r="E223" t="s">
        <v>27</v>
      </c>
      <c r="F223" t="s">
        <v>38</v>
      </c>
      <c r="G223">
        <v>37400000</v>
      </c>
      <c r="H223" s="1">
        <v>43657</v>
      </c>
      <c r="J223">
        <v>60</v>
      </c>
    </row>
    <row r="224" spans="1:10" x14ac:dyDescent="0.3">
      <c r="A224" t="s">
        <v>486</v>
      </c>
      <c r="B224" t="s">
        <v>487</v>
      </c>
      <c r="C224" t="s">
        <v>12</v>
      </c>
      <c r="D224" t="s">
        <v>13</v>
      </c>
      <c r="E224" t="s">
        <v>24</v>
      </c>
      <c r="F224" t="s">
        <v>77</v>
      </c>
      <c r="G224">
        <v>8300000</v>
      </c>
      <c r="H224" s="1">
        <v>42662</v>
      </c>
      <c r="J224">
        <v>45</v>
      </c>
    </row>
    <row r="225" spans="1:10" x14ac:dyDescent="0.3">
      <c r="A225" t="s">
        <v>488</v>
      </c>
      <c r="B225" t="s">
        <v>489</v>
      </c>
      <c r="C225" t="s">
        <v>61</v>
      </c>
      <c r="D225" t="s">
        <v>31</v>
      </c>
      <c r="E225" t="s">
        <v>14</v>
      </c>
      <c r="F225" t="s">
        <v>21</v>
      </c>
      <c r="G225">
        <v>10150000</v>
      </c>
      <c r="H225" s="1">
        <v>44588</v>
      </c>
      <c r="J225">
        <v>30</v>
      </c>
    </row>
    <row r="226" spans="1:10" x14ac:dyDescent="0.3">
      <c r="A226" t="s">
        <v>490</v>
      </c>
      <c r="B226" t="s">
        <v>491</v>
      </c>
      <c r="C226" t="s">
        <v>48</v>
      </c>
      <c r="D226" t="s">
        <v>36</v>
      </c>
      <c r="E226" t="s">
        <v>80</v>
      </c>
      <c r="F226" t="s">
        <v>45</v>
      </c>
      <c r="G226">
        <v>117550000</v>
      </c>
      <c r="H226" s="1">
        <v>44986</v>
      </c>
      <c r="J226">
        <v>45</v>
      </c>
    </row>
    <row r="227" spans="1:10" x14ac:dyDescent="0.3">
      <c r="A227" t="s">
        <v>492</v>
      </c>
      <c r="B227" t="s">
        <v>493</v>
      </c>
      <c r="C227" t="s">
        <v>12</v>
      </c>
      <c r="D227" t="s">
        <v>13</v>
      </c>
      <c r="E227" t="s">
        <v>18</v>
      </c>
      <c r="F227" t="s">
        <v>32</v>
      </c>
      <c r="G227">
        <v>88200000</v>
      </c>
      <c r="H227" s="1">
        <v>44214</v>
      </c>
      <c r="J227">
        <v>45</v>
      </c>
    </row>
    <row r="228" spans="1:10" x14ac:dyDescent="0.3">
      <c r="A228" t="s">
        <v>494</v>
      </c>
      <c r="B228" t="s">
        <v>495</v>
      </c>
      <c r="C228" t="s">
        <v>12</v>
      </c>
      <c r="D228" t="s">
        <v>13</v>
      </c>
      <c r="E228" t="s">
        <v>80</v>
      </c>
      <c r="F228" t="s">
        <v>38</v>
      </c>
      <c r="G228">
        <v>21150000</v>
      </c>
      <c r="H228" s="1">
        <v>45009</v>
      </c>
      <c r="J228">
        <v>45</v>
      </c>
    </row>
    <row r="229" spans="1:10" x14ac:dyDescent="0.3">
      <c r="A229" t="s">
        <v>496</v>
      </c>
      <c r="B229" t="s">
        <v>497</v>
      </c>
      <c r="C229" t="s">
        <v>12</v>
      </c>
      <c r="D229" t="s">
        <v>13</v>
      </c>
      <c r="E229" t="s">
        <v>80</v>
      </c>
      <c r="F229" t="s">
        <v>15</v>
      </c>
      <c r="G229">
        <v>154800000</v>
      </c>
      <c r="H229" s="1">
        <v>42873</v>
      </c>
      <c r="J229">
        <v>45</v>
      </c>
    </row>
    <row r="230" spans="1:10" x14ac:dyDescent="0.3">
      <c r="A230" t="s">
        <v>498</v>
      </c>
      <c r="B230" t="s">
        <v>499</v>
      </c>
      <c r="C230" t="s">
        <v>57</v>
      </c>
      <c r="D230" t="s">
        <v>36</v>
      </c>
      <c r="E230" t="s">
        <v>27</v>
      </c>
      <c r="F230" t="s">
        <v>32</v>
      </c>
      <c r="G230">
        <v>52000000</v>
      </c>
      <c r="H230" s="1">
        <v>42475</v>
      </c>
      <c r="J230">
        <v>90</v>
      </c>
    </row>
    <row r="231" spans="1:10" x14ac:dyDescent="0.3">
      <c r="A231" t="s">
        <v>500</v>
      </c>
      <c r="B231" t="s">
        <v>501</v>
      </c>
      <c r="C231" t="s">
        <v>12</v>
      </c>
      <c r="D231" t="s">
        <v>13</v>
      </c>
      <c r="E231" t="s">
        <v>58</v>
      </c>
      <c r="F231" t="s">
        <v>38</v>
      </c>
      <c r="G231">
        <v>19650000</v>
      </c>
      <c r="H231" s="1">
        <v>43352</v>
      </c>
      <c r="J231">
        <v>30</v>
      </c>
    </row>
    <row r="232" spans="1:10" x14ac:dyDescent="0.3">
      <c r="A232" t="s">
        <v>502</v>
      </c>
      <c r="B232" t="s">
        <v>503</v>
      </c>
      <c r="C232" t="s">
        <v>12</v>
      </c>
      <c r="D232" t="s">
        <v>13</v>
      </c>
      <c r="E232" t="s">
        <v>58</v>
      </c>
      <c r="F232" t="s">
        <v>54</v>
      </c>
      <c r="G232">
        <v>30250000</v>
      </c>
      <c r="H232" s="1">
        <v>42867</v>
      </c>
      <c r="J232">
        <v>30</v>
      </c>
    </row>
    <row r="233" spans="1:10" x14ac:dyDescent="0.3">
      <c r="A233" t="s">
        <v>504</v>
      </c>
      <c r="B233" t="s">
        <v>505</v>
      </c>
      <c r="C233" t="s">
        <v>121</v>
      </c>
      <c r="D233" t="s">
        <v>31</v>
      </c>
      <c r="E233" t="s">
        <v>27</v>
      </c>
      <c r="F233" t="s">
        <v>32</v>
      </c>
      <c r="G233">
        <v>34000000</v>
      </c>
      <c r="H233" s="1">
        <v>42395</v>
      </c>
      <c r="J233">
        <v>90</v>
      </c>
    </row>
    <row r="234" spans="1:10" x14ac:dyDescent="0.3">
      <c r="A234" t="s">
        <v>506</v>
      </c>
      <c r="B234" t="s">
        <v>507</v>
      </c>
      <c r="C234" t="s">
        <v>12</v>
      </c>
      <c r="D234" t="s">
        <v>13</v>
      </c>
      <c r="E234" t="s">
        <v>14</v>
      </c>
      <c r="F234" t="s">
        <v>15</v>
      </c>
      <c r="G234">
        <v>44050000</v>
      </c>
      <c r="H234" s="1">
        <v>44859</v>
      </c>
      <c r="J234">
        <v>60</v>
      </c>
    </row>
    <row r="235" spans="1:10" x14ac:dyDescent="0.3">
      <c r="A235" t="s">
        <v>508</v>
      </c>
      <c r="B235" t="s">
        <v>509</v>
      </c>
      <c r="C235" t="s">
        <v>12</v>
      </c>
      <c r="D235" t="s">
        <v>13</v>
      </c>
      <c r="E235" t="s">
        <v>14</v>
      </c>
      <c r="F235" t="s">
        <v>15</v>
      </c>
      <c r="G235">
        <v>50700000</v>
      </c>
      <c r="H235" s="1">
        <v>43115</v>
      </c>
      <c r="J235">
        <v>60</v>
      </c>
    </row>
    <row r="236" spans="1:10" x14ac:dyDescent="0.3">
      <c r="A236" t="s">
        <v>510</v>
      </c>
      <c r="B236" t="s">
        <v>511</v>
      </c>
      <c r="C236" t="s">
        <v>53</v>
      </c>
      <c r="D236" t="s">
        <v>31</v>
      </c>
      <c r="E236" t="s">
        <v>64</v>
      </c>
      <c r="F236" t="s">
        <v>21</v>
      </c>
      <c r="G236">
        <v>4200000</v>
      </c>
      <c r="H236" s="1">
        <v>44122</v>
      </c>
      <c r="J236">
        <v>60</v>
      </c>
    </row>
    <row r="237" spans="1:10" x14ac:dyDescent="0.3">
      <c r="A237" t="s">
        <v>512</v>
      </c>
      <c r="B237" t="s">
        <v>513</v>
      </c>
      <c r="C237" t="s">
        <v>61</v>
      </c>
      <c r="D237" t="s">
        <v>31</v>
      </c>
      <c r="E237" t="s">
        <v>37</v>
      </c>
      <c r="F237" t="s">
        <v>21</v>
      </c>
      <c r="G237">
        <v>54850000</v>
      </c>
      <c r="H237" s="1">
        <v>44475</v>
      </c>
      <c r="J237">
        <v>60</v>
      </c>
    </row>
    <row r="238" spans="1:10" x14ac:dyDescent="0.3">
      <c r="A238" t="s">
        <v>514</v>
      </c>
      <c r="B238" t="s">
        <v>515</v>
      </c>
      <c r="C238" t="s">
        <v>12</v>
      </c>
      <c r="D238" t="s">
        <v>13</v>
      </c>
      <c r="E238" t="s">
        <v>64</v>
      </c>
      <c r="F238" t="s">
        <v>45</v>
      </c>
      <c r="G238">
        <v>22700000</v>
      </c>
      <c r="H238" s="1">
        <v>43649</v>
      </c>
      <c r="J238">
        <v>30</v>
      </c>
    </row>
    <row r="239" spans="1:10" x14ac:dyDescent="0.3">
      <c r="A239" t="s">
        <v>516</v>
      </c>
      <c r="B239" t="s">
        <v>517</v>
      </c>
      <c r="C239" t="s">
        <v>12</v>
      </c>
      <c r="D239" t="s">
        <v>13</v>
      </c>
      <c r="E239" t="s">
        <v>41</v>
      </c>
      <c r="F239" t="s">
        <v>32</v>
      </c>
      <c r="G239">
        <v>200000000</v>
      </c>
      <c r="H239" s="1">
        <v>44090</v>
      </c>
      <c r="J239">
        <v>60</v>
      </c>
    </row>
    <row r="240" spans="1:10" x14ac:dyDescent="0.3">
      <c r="A240" t="s">
        <v>518</v>
      </c>
      <c r="B240" t="s">
        <v>519</v>
      </c>
      <c r="C240" t="s">
        <v>12</v>
      </c>
      <c r="D240" t="s">
        <v>13</v>
      </c>
      <c r="E240" t="s">
        <v>18</v>
      </c>
      <c r="F240" t="s">
        <v>21</v>
      </c>
      <c r="G240">
        <v>6050000</v>
      </c>
      <c r="H240" s="1">
        <v>43875</v>
      </c>
      <c r="J240">
        <v>45</v>
      </c>
    </row>
    <row r="241" spans="1:10" x14ac:dyDescent="0.3">
      <c r="A241" t="s">
        <v>520</v>
      </c>
      <c r="B241" t="s">
        <v>521</v>
      </c>
      <c r="C241" t="s">
        <v>12</v>
      </c>
      <c r="D241" t="s">
        <v>13</v>
      </c>
      <c r="E241" t="s">
        <v>18</v>
      </c>
      <c r="F241" t="s">
        <v>15</v>
      </c>
      <c r="G241">
        <v>32250000</v>
      </c>
      <c r="H241" s="1">
        <v>42974</v>
      </c>
      <c r="J241">
        <v>30</v>
      </c>
    </row>
    <row r="242" spans="1:10" x14ac:dyDescent="0.3">
      <c r="A242" t="s">
        <v>522</v>
      </c>
      <c r="B242" t="s">
        <v>523</v>
      </c>
      <c r="C242" t="s">
        <v>61</v>
      </c>
      <c r="D242" t="s">
        <v>31</v>
      </c>
      <c r="E242" t="s">
        <v>37</v>
      </c>
      <c r="F242" t="s">
        <v>38</v>
      </c>
      <c r="G242">
        <v>39100000</v>
      </c>
      <c r="H242" s="1">
        <v>43726</v>
      </c>
      <c r="J242">
        <v>60</v>
      </c>
    </row>
    <row r="243" spans="1:10" x14ac:dyDescent="0.3">
      <c r="A243" t="s">
        <v>524</v>
      </c>
      <c r="B243" t="s">
        <v>525</v>
      </c>
      <c r="C243" t="s">
        <v>121</v>
      </c>
      <c r="D243" t="s">
        <v>31</v>
      </c>
      <c r="E243" t="s">
        <v>24</v>
      </c>
      <c r="F243" t="s">
        <v>32</v>
      </c>
      <c r="G243">
        <v>88400000</v>
      </c>
      <c r="H243" s="1">
        <v>42876</v>
      </c>
      <c r="J243">
        <v>60</v>
      </c>
    </row>
    <row r="244" spans="1:10" x14ac:dyDescent="0.3">
      <c r="A244" t="s">
        <v>526</v>
      </c>
      <c r="B244" t="s">
        <v>527</v>
      </c>
      <c r="C244" t="s">
        <v>30</v>
      </c>
      <c r="D244" t="s">
        <v>31</v>
      </c>
      <c r="E244" t="s">
        <v>27</v>
      </c>
      <c r="F244" t="s">
        <v>45</v>
      </c>
      <c r="G244">
        <v>29700000</v>
      </c>
      <c r="H244" s="1">
        <v>44596</v>
      </c>
      <c r="J244">
        <v>60</v>
      </c>
    </row>
    <row r="245" spans="1:10" x14ac:dyDescent="0.3">
      <c r="A245" t="s">
        <v>528</v>
      </c>
      <c r="B245" t="s">
        <v>529</v>
      </c>
      <c r="C245" t="s">
        <v>12</v>
      </c>
      <c r="D245" t="s">
        <v>13</v>
      </c>
      <c r="E245" t="s">
        <v>44</v>
      </c>
      <c r="F245" t="s">
        <v>21</v>
      </c>
      <c r="G245">
        <v>35350000</v>
      </c>
      <c r="H245" s="1">
        <v>42694</v>
      </c>
      <c r="J245">
        <v>60</v>
      </c>
    </row>
    <row r="246" spans="1:10" x14ac:dyDescent="0.3">
      <c r="A246" t="s">
        <v>530</v>
      </c>
      <c r="B246" t="s">
        <v>531</v>
      </c>
      <c r="C246" t="s">
        <v>57</v>
      </c>
      <c r="D246" t="s">
        <v>36</v>
      </c>
      <c r="E246" t="s">
        <v>18</v>
      </c>
      <c r="F246" t="s">
        <v>32</v>
      </c>
      <c r="G246">
        <v>27600000</v>
      </c>
      <c r="H246" s="1">
        <v>42850</v>
      </c>
      <c r="J246">
        <v>60</v>
      </c>
    </row>
    <row r="247" spans="1:10" x14ac:dyDescent="0.3">
      <c r="A247" t="s">
        <v>532</v>
      </c>
      <c r="B247" t="s">
        <v>533</v>
      </c>
      <c r="C247" t="s">
        <v>48</v>
      </c>
      <c r="D247" t="s">
        <v>36</v>
      </c>
      <c r="E247" t="s">
        <v>27</v>
      </c>
      <c r="F247" t="s">
        <v>54</v>
      </c>
      <c r="G247">
        <v>64400000</v>
      </c>
      <c r="H247" s="1">
        <v>44005</v>
      </c>
      <c r="J247">
        <v>60</v>
      </c>
    </row>
    <row r="248" spans="1:10" x14ac:dyDescent="0.3">
      <c r="A248" t="s">
        <v>534</v>
      </c>
      <c r="B248" t="s">
        <v>535</v>
      </c>
      <c r="C248" t="s">
        <v>48</v>
      </c>
      <c r="D248" t="s">
        <v>36</v>
      </c>
      <c r="E248" t="s">
        <v>27</v>
      </c>
      <c r="F248" t="s">
        <v>15</v>
      </c>
      <c r="G248">
        <v>29650000</v>
      </c>
      <c r="H248" s="1">
        <v>43214</v>
      </c>
      <c r="J248">
        <v>45</v>
      </c>
    </row>
    <row r="249" spans="1:10" x14ac:dyDescent="0.3">
      <c r="A249" t="s">
        <v>536</v>
      </c>
      <c r="B249" t="s">
        <v>537</v>
      </c>
      <c r="C249" t="s">
        <v>48</v>
      </c>
      <c r="D249" t="s">
        <v>36</v>
      </c>
      <c r="E249" t="s">
        <v>37</v>
      </c>
      <c r="F249" t="s">
        <v>45</v>
      </c>
      <c r="G249">
        <v>89150000</v>
      </c>
      <c r="H249" s="1">
        <v>43266</v>
      </c>
      <c r="J249">
        <v>30</v>
      </c>
    </row>
    <row r="250" spans="1:10" x14ac:dyDescent="0.3">
      <c r="A250" t="s">
        <v>538</v>
      </c>
      <c r="B250" t="s">
        <v>539</v>
      </c>
      <c r="C250" t="s">
        <v>61</v>
      </c>
      <c r="D250" t="s">
        <v>31</v>
      </c>
      <c r="E250" t="s">
        <v>18</v>
      </c>
      <c r="F250" t="s">
        <v>38</v>
      </c>
      <c r="G250">
        <v>10250000</v>
      </c>
      <c r="H250" s="1">
        <v>42632</v>
      </c>
      <c r="J250">
        <v>90</v>
      </c>
    </row>
    <row r="251" spans="1:10" x14ac:dyDescent="0.3">
      <c r="A251" t="s">
        <v>540</v>
      </c>
      <c r="B251" t="s">
        <v>541</v>
      </c>
      <c r="C251" t="s">
        <v>12</v>
      </c>
      <c r="D251" t="s">
        <v>13</v>
      </c>
      <c r="E251" t="s">
        <v>14</v>
      </c>
      <c r="F251" t="s">
        <v>32</v>
      </c>
      <c r="G251">
        <v>37200000</v>
      </c>
      <c r="H251" s="1">
        <v>42466</v>
      </c>
      <c r="J251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BB93-7557-40BC-9EA2-6982B749E768}">
  <dimension ref="A1:N1502"/>
  <sheetViews>
    <sheetView workbookViewId="0">
      <selection activeCell="M16" sqref="M16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7.77734375" bestFit="1" customWidth="1"/>
    <col min="4" max="4" width="10.44140625" bestFit="1" customWidth="1"/>
    <col min="5" max="5" width="10.109375" bestFit="1" customWidth="1"/>
    <col min="6" max="6" width="6.44140625" bestFit="1" customWidth="1"/>
    <col min="7" max="7" width="14.21875" bestFit="1" customWidth="1"/>
    <col min="8" max="8" width="13.109375" bestFit="1" customWidth="1"/>
    <col min="9" max="9" width="13.33203125" bestFit="1" customWidth="1"/>
    <col min="10" max="10" width="19.77734375" bestFit="1" customWidth="1"/>
    <col min="11" max="11" width="11.5546875" bestFit="1" customWidth="1"/>
    <col min="12" max="12" width="15.109375" bestFit="1" customWidth="1"/>
    <col min="13" max="13" width="17.33203125" bestFit="1" customWidth="1"/>
    <col min="14" max="14" width="21.21875" bestFit="1" customWidth="1"/>
  </cols>
  <sheetData>
    <row r="1" spans="1:14" x14ac:dyDescent="0.3">
      <c r="A1" t="s">
        <v>3252</v>
      </c>
      <c r="B1" t="s">
        <v>3253</v>
      </c>
      <c r="C1" t="s">
        <v>543</v>
      </c>
      <c r="D1" t="s">
        <v>546</v>
      </c>
      <c r="E1" t="s">
        <v>3254</v>
      </c>
      <c r="F1" t="s">
        <v>3255</v>
      </c>
      <c r="G1" t="s">
        <v>3256</v>
      </c>
      <c r="H1" t="s">
        <v>551</v>
      </c>
      <c r="I1" t="s">
        <v>3257</v>
      </c>
      <c r="J1" t="s">
        <v>3258</v>
      </c>
      <c r="K1" t="s">
        <v>3259</v>
      </c>
      <c r="L1" t="s">
        <v>3260</v>
      </c>
      <c r="M1" t="s">
        <v>6533</v>
      </c>
      <c r="N1" t="s">
        <v>6523</v>
      </c>
    </row>
    <row r="2" spans="1:14" x14ac:dyDescent="0.3">
      <c r="A2" t="s">
        <v>3267</v>
      </c>
      <c r="B2" s="1">
        <v>45019</v>
      </c>
      <c r="C2" t="s">
        <v>575</v>
      </c>
      <c r="D2" t="s">
        <v>36</v>
      </c>
      <c r="E2">
        <v>2153</v>
      </c>
      <c r="F2" t="s">
        <v>3262</v>
      </c>
      <c r="G2">
        <v>186083.79</v>
      </c>
      <c r="H2" t="s">
        <v>556</v>
      </c>
      <c r="J2" t="s">
        <v>3263</v>
      </c>
      <c r="K2">
        <v>86.43</v>
      </c>
      <c r="L2" s="1">
        <v>45049</v>
      </c>
      <c r="M2">
        <f>G2*IF(D2="INR",1,INDEX('rates'!$B$2:$B$522,MATCH(B2,'rates'!$A$2:$A$522,1)))</f>
        <v>15303530.889599999</v>
      </c>
      <c r="N2">
        <f t="shared" ref="N2:N65" si="0">IF(L2="","",L2-B2)</f>
        <v>30</v>
      </c>
    </row>
    <row r="3" spans="1:14" x14ac:dyDescent="0.3">
      <c r="A3" t="s">
        <v>3276</v>
      </c>
      <c r="B3" s="1">
        <v>45023</v>
      </c>
      <c r="C3" t="s">
        <v>554</v>
      </c>
      <c r="D3" t="s">
        <v>13</v>
      </c>
      <c r="E3">
        <v>49318</v>
      </c>
      <c r="F3" t="s">
        <v>3270</v>
      </c>
      <c r="G3">
        <v>4419879.16</v>
      </c>
      <c r="H3" t="s">
        <v>556</v>
      </c>
      <c r="J3" t="s">
        <v>3271</v>
      </c>
      <c r="K3">
        <v>89.62</v>
      </c>
      <c r="L3" s="1">
        <v>45053</v>
      </c>
      <c r="M3">
        <f>G3*IF(D3="INR",1,INDEX('rates'!$B$2:$B$522,MATCH(B3,'rates'!$A$2:$A$522,1)))</f>
        <v>4419879.16</v>
      </c>
      <c r="N3">
        <f t="shared" si="0"/>
        <v>30</v>
      </c>
    </row>
    <row r="4" spans="1:14" x14ac:dyDescent="0.3">
      <c r="A4" t="s">
        <v>3277</v>
      </c>
      <c r="B4" s="1">
        <v>45023</v>
      </c>
      <c r="C4" t="s">
        <v>554</v>
      </c>
      <c r="D4" t="s">
        <v>36</v>
      </c>
      <c r="E4">
        <v>383</v>
      </c>
      <c r="F4" t="s">
        <v>3262</v>
      </c>
      <c r="G4">
        <v>32344.35</v>
      </c>
      <c r="H4" t="s">
        <v>573</v>
      </c>
      <c r="I4">
        <v>86.03</v>
      </c>
      <c r="J4" t="s">
        <v>3263</v>
      </c>
      <c r="K4">
        <v>84.45</v>
      </c>
      <c r="L4" s="1">
        <v>45053</v>
      </c>
      <c r="M4">
        <f>G4*IF(D4="INR",1,INDEX('rates'!$B$2:$B$522,MATCH(B4,'rates'!$A$2:$A$522,1)))</f>
        <v>2647385.0474999999</v>
      </c>
      <c r="N4">
        <f t="shared" si="0"/>
        <v>30</v>
      </c>
    </row>
    <row r="5" spans="1:14" x14ac:dyDescent="0.3">
      <c r="A5" t="s">
        <v>3280</v>
      </c>
      <c r="B5" s="1">
        <v>45023</v>
      </c>
      <c r="C5" t="s">
        <v>575</v>
      </c>
      <c r="D5" t="s">
        <v>36</v>
      </c>
      <c r="E5">
        <v>1349</v>
      </c>
      <c r="F5" t="s">
        <v>3262</v>
      </c>
      <c r="G5">
        <v>115056.21</v>
      </c>
      <c r="H5" t="s">
        <v>573</v>
      </c>
      <c r="I5">
        <v>86.03</v>
      </c>
      <c r="J5" t="s">
        <v>3263</v>
      </c>
      <c r="K5">
        <v>85.29</v>
      </c>
      <c r="L5" s="1">
        <v>45053</v>
      </c>
      <c r="M5">
        <f>G5*IF(D5="INR",1,INDEX('rates'!$B$2:$B$522,MATCH(B5,'rates'!$A$2:$A$522,1)))</f>
        <v>9417350.7884999998</v>
      </c>
      <c r="N5">
        <f t="shared" si="0"/>
        <v>30</v>
      </c>
    </row>
    <row r="6" spans="1:14" x14ac:dyDescent="0.3">
      <c r="A6" t="s">
        <v>3286</v>
      </c>
      <c r="B6" s="1">
        <v>45028</v>
      </c>
      <c r="C6" t="s">
        <v>558</v>
      </c>
      <c r="D6" t="s">
        <v>13</v>
      </c>
      <c r="E6">
        <v>29927</v>
      </c>
      <c r="F6" t="s">
        <v>3270</v>
      </c>
      <c r="G6">
        <v>2663802.27</v>
      </c>
      <c r="H6" t="s">
        <v>556</v>
      </c>
      <c r="J6" t="s">
        <v>3271</v>
      </c>
      <c r="K6">
        <v>89.01</v>
      </c>
      <c r="L6" s="1">
        <v>45058</v>
      </c>
      <c r="M6">
        <f>G6*IF(D6="INR",1,INDEX('rates'!$B$2:$B$522,MATCH(B6,'rates'!$A$2:$A$522,1)))</f>
        <v>2663802.27</v>
      </c>
      <c r="N6">
        <f t="shared" si="0"/>
        <v>30</v>
      </c>
    </row>
    <row r="7" spans="1:14" x14ac:dyDescent="0.3">
      <c r="A7" t="s">
        <v>3289</v>
      </c>
      <c r="B7" s="1">
        <v>45030</v>
      </c>
      <c r="C7" t="s">
        <v>566</v>
      </c>
      <c r="D7" t="s">
        <v>36</v>
      </c>
      <c r="E7">
        <v>429</v>
      </c>
      <c r="F7" t="s">
        <v>3262</v>
      </c>
      <c r="G7">
        <v>38361.18</v>
      </c>
      <c r="H7" t="s">
        <v>556</v>
      </c>
      <c r="J7" t="s">
        <v>3263</v>
      </c>
      <c r="K7">
        <v>89.42</v>
      </c>
      <c r="L7" s="1">
        <v>45060</v>
      </c>
      <c r="M7">
        <f>G7*IF(D7="INR",1,INDEX('rates'!$B$2:$B$522,MATCH(B7,'rates'!$A$2:$A$522,1)))</f>
        <v>3141013.4183999998</v>
      </c>
      <c r="N7">
        <f t="shared" si="0"/>
        <v>30</v>
      </c>
    </row>
    <row r="8" spans="1:14" x14ac:dyDescent="0.3">
      <c r="A8" t="s">
        <v>3293</v>
      </c>
      <c r="B8" s="1">
        <v>45033</v>
      </c>
      <c r="C8" t="s">
        <v>560</v>
      </c>
      <c r="D8" t="s">
        <v>36</v>
      </c>
      <c r="E8">
        <v>921</v>
      </c>
      <c r="F8" t="s">
        <v>3262</v>
      </c>
      <c r="G8">
        <v>79150.740000000005</v>
      </c>
      <c r="H8" t="s">
        <v>556</v>
      </c>
      <c r="J8" t="s">
        <v>3263</v>
      </c>
      <c r="K8">
        <v>85.94</v>
      </c>
      <c r="L8" s="1">
        <v>45063</v>
      </c>
      <c r="M8">
        <f>G8*IF(D8="INR",1,INDEX('rates'!$B$2:$B$522,MATCH(B8,'rates'!$A$2:$A$522,1)))</f>
        <v>6488777.6652000006</v>
      </c>
      <c r="N8">
        <f t="shared" si="0"/>
        <v>30</v>
      </c>
    </row>
    <row r="9" spans="1:14" x14ac:dyDescent="0.3">
      <c r="A9" t="s">
        <v>3264</v>
      </c>
      <c r="B9" s="1">
        <v>45019</v>
      </c>
      <c r="C9" t="s">
        <v>566</v>
      </c>
      <c r="D9" t="s">
        <v>36</v>
      </c>
      <c r="E9">
        <v>1019</v>
      </c>
      <c r="F9" t="s">
        <v>3262</v>
      </c>
      <c r="G9">
        <v>88163.88</v>
      </c>
      <c r="H9" t="s">
        <v>573</v>
      </c>
      <c r="I9">
        <v>86.03</v>
      </c>
      <c r="J9" t="s">
        <v>3263</v>
      </c>
      <c r="K9">
        <v>86.52</v>
      </c>
      <c r="L9" s="1">
        <v>45064</v>
      </c>
      <c r="M9">
        <f>G9*IF(D9="INR",1,INDEX('rates'!$B$2:$B$522,MATCH(B9,'rates'!$A$2:$A$522,1)))</f>
        <v>7250597.4912</v>
      </c>
      <c r="N9">
        <f t="shared" si="0"/>
        <v>45</v>
      </c>
    </row>
    <row r="10" spans="1:14" x14ac:dyDescent="0.3">
      <c r="A10" t="s">
        <v>3295</v>
      </c>
      <c r="B10" s="1">
        <v>45034</v>
      </c>
      <c r="C10" t="s">
        <v>554</v>
      </c>
      <c r="D10" t="s">
        <v>36</v>
      </c>
      <c r="E10">
        <v>1868</v>
      </c>
      <c r="F10" t="s">
        <v>3262</v>
      </c>
      <c r="G10">
        <v>160591.96</v>
      </c>
      <c r="H10" t="s">
        <v>556</v>
      </c>
      <c r="J10" t="s">
        <v>3263</v>
      </c>
      <c r="K10">
        <v>85.97</v>
      </c>
      <c r="L10" s="1">
        <v>45064</v>
      </c>
      <c r="M10">
        <f>G10*IF(D10="INR",1,INDEX('rates'!$B$2:$B$522,MATCH(B10,'rates'!$A$2:$A$522,1)))</f>
        <v>13181388.0768</v>
      </c>
      <c r="N10">
        <f t="shared" si="0"/>
        <v>30</v>
      </c>
    </row>
    <row r="11" spans="1:14" x14ac:dyDescent="0.3">
      <c r="A11" t="s">
        <v>3268</v>
      </c>
      <c r="B11" s="1">
        <v>45020</v>
      </c>
      <c r="C11" t="s">
        <v>558</v>
      </c>
      <c r="D11" t="s">
        <v>36</v>
      </c>
      <c r="E11">
        <v>1819</v>
      </c>
      <c r="F11" t="s">
        <v>3262</v>
      </c>
      <c r="G11">
        <v>152832.38</v>
      </c>
      <c r="H11" t="s">
        <v>556</v>
      </c>
      <c r="J11" t="s">
        <v>3263</v>
      </c>
      <c r="K11">
        <v>84.02</v>
      </c>
      <c r="L11" s="1">
        <v>45065</v>
      </c>
      <c r="M11">
        <f>G11*IF(D11="INR",1,INDEX('rates'!$B$2:$B$522,MATCH(B11,'rates'!$A$2:$A$522,1)))</f>
        <v>12582689.8454</v>
      </c>
      <c r="N11">
        <f t="shared" si="0"/>
        <v>45</v>
      </c>
    </row>
    <row r="12" spans="1:14" x14ac:dyDescent="0.3">
      <c r="A12" t="s">
        <v>3298</v>
      </c>
      <c r="B12" s="1">
        <v>45035</v>
      </c>
      <c r="C12" t="s">
        <v>558</v>
      </c>
      <c r="D12" t="s">
        <v>36</v>
      </c>
      <c r="E12">
        <v>689</v>
      </c>
      <c r="F12" t="s">
        <v>3262</v>
      </c>
      <c r="G12">
        <v>58220.5</v>
      </c>
      <c r="H12" t="s">
        <v>573</v>
      </c>
      <c r="J12" t="s">
        <v>3263</v>
      </c>
      <c r="K12">
        <v>84.5</v>
      </c>
      <c r="L12" s="1">
        <v>45065</v>
      </c>
      <c r="M12">
        <f>G12*IF(D12="INR",1,INDEX('rates'!$B$2:$B$522,MATCH(B12,'rates'!$A$2:$A$522,1)))</f>
        <v>4784560.6900000004</v>
      </c>
      <c r="N12">
        <f t="shared" si="0"/>
        <v>30</v>
      </c>
    </row>
    <row r="13" spans="1:14" x14ac:dyDescent="0.3">
      <c r="A13" t="s">
        <v>3300</v>
      </c>
      <c r="B13" s="1">
        <v>45035</v>
      </c>
      <c r="C13" t="s">
        <v>575</v>
      </c>
      <c r="D13" t="s">
        <v>36</v>
      </c>
      <c r="E13">
        <v>1073</v>
      </c>
      <c r="F13" t="s">
        <v>3262</v>
      </c>
      <c r="G13">
        <v>90475.36</v>
      </c>
      <c r="H13" t="s">
        <v>573</v>
      </c>
      <c r="I13">
        <v>86.03</v>
      </c>
      <c r="J13" t="s">
        <v>3263</v>
      </c>
      <c r="K13">
        <v>84.32</v>
      </c>
      <c r="L13" s="1">
        <v>45065</v>
      </c>
      <c r="M13">
        <f>G13*IF(D13="INR",1,INDEX('rates'!$B$2:$B$522,MATCH(B13,'rates'!$A$2:$A$522,1)))</f>
        <v>7435265.0848000003</v>
      </c>
      <c r="N13">
        <f t="shared" si="0"/>
        <v>30</v>
      </c>
    </row>
    <row r="14" spans="1:14" x14ac:dyDescent="0.3">
      <c r="A14" t="s">
        <v>3272</v>
      </c>
      <c r="B14" s="1">
        <v>45021</v>
      </c>
      <c r="C14" t="s">
        <v>560</v>
      </c>
      <c r="D14" t="s">
        <v>36</v>
      </c>
      <c r="E14">
        <v>877</v>
      </c>
      <c r="F14" t="s">
        <v>3262</v>
      </c>
      <c r="G14">
        <v>76035.899999999994</v>
      </c>
      <c r="H14" t="s">
        <v>573</v>
      </c>
      <c r="I14">
        <v>86.03</v>
      </c>
      <c r="J14" t="s">
        <v>3263</v>
      </c>
      <c r="K14">
        <v>86.7</v>
      </c>
      <c r="L14" s="1">
        <v>45066</v>
      </c>
      <c r="M14">
        <f>G14*IF(D14="INR",1,INDEX('rates'!$B$2:$B$522,MATCH(B14,'rates'!$A$2:$A$522,1)))</f>
        <v>6226579.8509999998</v>
      </c>
      <c r="N14">
        <f t="shared" si="0"/>
        <v>45</v>
      </c>
    </row>
    <row r="15" spans="1:14" x14ac:dyDescent="0.3">
      <c r="A15" t="s">
        <v>3273</v>
      </c>
      <c r="B15" s="1">
        <v>45022</v>
      </c>
      <c r="C15" t="s">
        <v>554</v>
      </c>
      <c r="D15" t="s">
        <v>36</v>
      </c>
      <c r="E15">
        <v>457</v>
      </c>
      <c r="F15" t="s">
        <v>3262</v>
      </c>
      <c r="G15">
        <v>38991.24</v>
      </c>
      <c r="H15" t="s">
        <v>573</v>
      </c>
      <c r="I15">
        <v>86.03</v>
      </c>
      <c r="J15" t="s">
        <v>3263</v>
      </c>
      <c r="K15">
        <v>85.32</v>
      </c>
      <c r="L15" s="1">
        <v>45067</v>
      </c>
      <c r="M15">
        <f>G15*IF(D15="INR",1,INDEX('rates'!$B$2:$B$522,MATCH(B15,'rates'!$A$2:$A$522,1)))</f>
        <v>3191822.9063999997</v>
      </c>
      <c r="N15">
        <f t="shared" si="0"/>
        <v>45</v>
      </c>
    </row>
    <row r="16" spans="1:14" x14ac:dyDescent="0.3">
      <c r="A16" t="s">
        <v>3305</v>
      </c>
      <c r="B16" s="1">
        <v>45037</v>
      </c>
      <c r="C16" t="s">
        <v>575</v>
      </c>
      <c r="D16" t="s">
        <v>36</v>
      </c>
      <c r="E16">
        <v>1361</v>
      </c>
      <c r="F16" t="s">
        <v>3262</v>
      </c>
      <c r="G16">
        <v>112704.41</v>
      </c>
      <c r="H16" t="s">
        <v>573</v>
      </c>
      <c r="I16">
        <v>86.03</v>
      </c>
      <c r="J16" t="s">
        <v>3263</v>
      </c>
      <c r="K16">
        <v>82.81</v>
      </c>
      <c r="L16" s="1">
        <v>45067</v>
      </c>
      <c r="M16">
        <f>G16*IF(D16="INR",1,INDEX('rates'!$B$2:$B$522,MATCH(B16,'rates'!$A$2:$A$522,1)))</f>
        <v>9248523.8846000005</v>
      </c>
      <c r="N16">
        <f t="shared" si="0"/>
        <v>30</v>
      </c>
    </row>
    <row r="17" spans="1:14" x14ac:dyDescent="0.3">
      <c r="A17" t="s">
        <v>3306</v>
      </c>
      <c r="B17" s="1">
        <v>45037</v>
      </c>
      <c r="C17" t="s">
        <v>560</v>
      </c>
      <c r="D17" t="s">
        <v>36</v>
      </c>
      <c r="E17">
        <v>676</v>
      </c>
      <c r="F17" t="s">
        <v>3262</v>
      </c>
      <c r="G17">
        <v>55911.96</v>
      </c>
      <c r="H17" t="s">
        <v>556</v>
      </c>
      <c r="J17" t="s">
        <v>3263</v>
      </c>
      <c r="K17">
        <v>82.71</v>
      </c>
      <c r="L17" s="1">
        <v>45067</v>
      </c>
      <c r="M17">
        <f>G17*IF(D17="INR",1,INDEX('rates'!$B$2:$B$522,MATCH(B17,'rates'!$A$2:$A$522,1)))</f>
        <v>4588135.4375999998</v>
      </c>
      <c r="N17">
        <f t="shared" si="0"/>
        <v>30</v>
      </c>
    </row>
    <row r="18" spans="1:14" x14ac:dyDescent="0.3">
      <c r="A18" t="s">
        <v>3310</v>
      </c>
      <c r="B18" s="1">
        <v>45037</v>
      </c>
      <c r="C18" t="s">
        <v>575</v>
      </c>
      <c r="D18" t="s">
        <v>36</v>
      </c>
      <c r="E18">
        <v>421</v>
      </c>
      <c r="F18" t="s">
        <v>3262</v>
      </c>
      <c r="G18">
        <v>34623.040000000001</v>
      </c>
      <c r="H18" t="s">
        <v>573</v>
      </c>
      <c r="I18">
        <v>86.03</v>
      </c>
      <c r="J18" t="s">
        <v>3263</v>
      </c>
      <c r="K18">
        <v>82.24</v>
      </c>
      <c r="L18" s="1">
        <v>45067</v>
      </c>
      <c r="M18">
        <f>G18*IF(D18="INR",1,INDEX('rates'!$B$2:$B$522,MATCH(B18,'rates'!$A$2:$A$522,1)))</f>
        <v>2841166.6624000003</v>
      </c>
      <c r="N18">
        <f t="shared" si="0"/>
        <v>30</v>
      </c>
    </row>
    <row r="19" spans="1:14" x14ac:dyDescent="0.3">
      <c r="A19" t="s">
        <v>3274</v>
      </c>
      <c r="B19" s="1">
        <v>45023</v>
      </c>
      <c r="C19" t="s">
        <v>558</v>
      </c>
      <c r="D19" t="s">
        <v>13</v>
      </c>
      <c r="E19">
        <v>59370</v>
      </c>
      <c r="F19" t="s">
        <v>3270</v>
      </c>
      <c r="G19">
        <v>5079697.2</v>
      </c>
      <c r="H19" t="s">
        <v>556</v>
      </c>
      <c r="J19" t="s">
        <v>3271</v>
      </c>
      <c r="K19">
        <v>85.56</v>
      </c>
      <c r="L19" s="1">
        <v>45068</v>
      </c>
      <c r="M19">
        <f>G19*IF(D19="INR",1,INDEX('rates'!$B$2:$B$522,MATCH(B19,'rates'!$A$2:$A$522,1)))</f>
        <v>5079697.2</v>
      </c>
      <c r="N19">
        <f t="shared" si="0"/>
        <v>45</v>
      </c>
    </row>
    <row r="20" spans="1:14" x14ac:dyDescent="0.3">
      <c r="A20" t="s">
        <v>3278</v>
      </c>
      <c r="B20" s="1">
        <v>45023</v>
      </c>
      <c r="C20" t="s">
        <v>566</v>
      </c>
      <c r="D20" t="s">
        <v>36</v>
      </c>
      <c r="E20">
        <v>917</v>
      </c>
      <c r="F20" t="s">
        <v>3262</v>
      </c>
      <c r="G20">
        <v>79513.070000000007</v>
      </c>
      <c r="H20" t="s">
        <v>556</v>
      </c>
      <c r="J20" t="s">
        <v>3263</v>
      </c>
      <c r="K20">
        <v>86.71</v>
      </c>
      <c r="L20" s="1">
        <v>45068</v>
      </c>
      <c r="M20">
        <f>G20*IF(D20="INR",1,INDEX('rates'!$B$2:$B$522,MATCH(B20,'rates'!$A$2:$A$522,1)))</f>
        <v>6508144.7795000002</v>
      </c>
      <c r="N20">
        <f t="shared" si="0"/>
        <v>45</v>
      </c>
    </row>
    <row r="21" spans="1:14" x14ac:dyDescent="0.3">
      <c r="A21" t="s">
        <v>3311</v>
      </c>
      <c r="B21" s="1">
        <v>45040</v>
      </c>
      <c r="C21" t="s">
        <v>560</v>
      </c>
      <c r="D21" t="s">
        <v>36</v>
      </c>
      <c r="E21">
        <v>637</v>
      </c>
      <c r="F21" t="s">
        <v>3262</v>
      </c>
      <c r="G21">
        <v>53304.160000000003</v>
      </c>
      <c r="H21" t="s">
        <v>573</v>
      </c>
      <c r="I21">
        <v>86.03</v>
      </c>
      <c r="J21" t="s">
        <v>3263</v>
      </c>
      <c r="K21">
        <v>83.68</v>
      </c>
      <c r="L21" s="1">
        <v>45070</v>
      </c>
      <c r="M21">
        <f>G21*IF(D21="INR",1,INDEX('rates'!$B$2:$B$522,MATCH(B21,'rates'!$A$2:$A$522,1)))</f>
        <v>4365610.7040000008</v>
      </c>
      <c r="N21">
        <f t="shared" si="0"/>
        <v>30</v>
      </c>
    </row>
    <row r="22" spans="1:14" x14ac:dyDescent="0.3">
      <c r="A22" t="s">
        <v>3313</v>
      </c>
      <c r="B22" s="1">
        <v>45040</v>
      </c>
      <c r="C22" t="s">
        <v>554</v>
      </c>
      <c r="D22" t="s">
        <v>36</v>
      </c>
      <c r="E22">
        <v>712</v>
      </c>
      <c r="F22" t="s">
        <v>3262</v>
      </c>
      <c r="G22">
        <v>59644.24</v>
      </c>
      <c r="H22" t="s">
        <v>556</v>
      </c>
      <c r="J22" t="s">
        <v>3263</v>
      </c>
      <c r="K22">
        <v>83.77</v>
      </c>
      <c r="L22" s="1">
        <v>45070</v>
      </c>
      <c r="M22">
        <f>G22*IF(D22="INR",1,INDEX('rates'!$B$2:$B$522,MATCH(B22,'rates'!$A$2:$A$522,1)))</f>
        <v>4884863.2560000001</v>
      </c>
      <c r="N22">
        <f t="shared" si="0"/>
        <v>30</v>
      </c>
    </row>
    <row r="23" spans="1:14" x14ac:dyDescent="0.3">
      <c r="A23" t="s">
        <v>3314</v>
      </c>
      <c r="B23" s="1">
        <v>45042</v>
      </c>
      <c r="C23" t="s">
        <v>558</v>
      </c>
      <c r="D23" t="s">
        <v>36</v>
      </c>
      <c r="E23">
        <v>1545</v>
      </c>
      <c r="F23" t="s">
        <v>3262</v>
      </c>
      <c r="G23">
        <v>123182.85</v>
      </c>
      <c r="H23" t="s">
        <v>556</v>
      </c>
      <c r="J23" t="s">
        <v>3263</v>
      </c>
      <c r="K23">
        <v>79.73</v>
      </c>
      <c r="L23" s="1">
        <v>45072</v>
      </c>
      <c r="M23">
        <f>G23*IF(D23="INR",1,INDEX('rates'!$B$2:$B$522,MATCH(B23,'rates'!$A$2:$A$522,1)))</f>
        <v>10068966.159</v>
      </c>
      <c r="N23">
        <f t="shared" si="0"/>
        <v>30</v>
      </c>
    </row>
    <row r="24" spans="1:14" x14ac:dyDescent="0.3">
      <c r="A24" t="s">
        <v>3315</v>
      </c>
      <c r="B24" s="1">
        <v>45042</v>
      </c>
      <c r="C24" t="s">
        <v>554</v>
      </c>
      <c r="D24" t="s">
        <v>36</v>
      </c>
      <c r="E24">
        <v>1129</v>
      </c>
      <c r="F24" t="s">
        <v>3262</v>
      </c>
      <c r="G24">
        <v>88457.15</v>
      </c>
      <c r="H24" t="s">
        <v>556</v>
      </c>
      <c r="J24" t="s">
        <v>3263</v>
      </c>
      <c r="K24">
        <v>78.349999999999994</v>
      </c>
      <c r="L24" s="1">
        <v>45072</v>
      </c>
      <c r="M24">
        <f>G24*IF(D24="INR",1,INDEX('rates'!$B$2:$B$522,MATCH(B24,'rates'!$A$2:$A$522,1)))</f>
        <v>7230487.4409999987</v>
      </c>
      <c r="N24">
        <f t="shared" si="0"/>
        <v>30</v>
      </c>
    </row>
    <row r="25" spans="1:14" x14ac:dyDescent="0.3">
      <c r="A25" t="s">
        <v>3285</v>
      </c>
      <c r="B25" s="1">
        <v>45028</v>
      </c>
      <c r="C25" t="s">
        <v>558</v>
      </c>
      <c r="D25" t="s">
        <v>36</v>
      </c>
      <c r="E25">
        <v>565</v>
      </c>
      <c r="F25" t="s">
        <v>3262</v>
      </c>
      <c r="G25">
        <v>50177.65</v>
      </c>
      <c r="H25" t="s">
        <v>556</v>
      </c>
      <c r="J25" t="s">
        <v>3263</v>
      </c>
      <c r="K25">
        <v>88.81</v>
      </c>
      <c r="L25" s="1">
        <v>45073</v>
      </c>
      <c r="M25">
        <f>G25*IF(D25="INR",1,INDEX('rates'!$B$2:$B$522,MATCH(B25,'rates'!$A$2:$A$522,1)))</f>
        <v>4113563.7470000004</v>
      </c>
      <c r="N25">
        <f t="shared" si="0"/>
        <v>45</v>
      </c>
    </row>
    <row r="26" spans="1:14" x14ac:dyDescent="0.3">
      <c r="A26" t="s">
        <v>3319</v>
      </c>
      <c r="B26" s="1">
        <v>45043</v>
      </c>
      <c r="C26" t="s">
        <v>554</v>
      </c>
      <c r="D26" t="s">
        <v>13</v>
      </c>
      <c r="E26">
        <v>125862</v>
      </c>
      <c r="F26" t="s">
        <v>3270</v>
      </c>
      <c r="G26">
        <v>10359701.220000001</v>
      </c>
      <c r="H26" t="s">
        <v>556</v>
      </c>
      <c r="J26" t="s">
        <v>3271</v>
      </c>
      <c r="K26">
        <v>82.31</v>
      </c>
      <c r="L26" s="1">
        <v>45073</v>
      </c>
      <c r="M26">
        <f>G26*IF(D26="INR",1,INDEX('rates'!$B$2:$B$522,MATCH(B26,'rates'!$A$2:$A$522,1)))</f>
        <v>10359701.220000001</v>
      </c>
      <c r="N26">
        <f t="shared" si="0"/>
        <v>30</v>
      </c>
    </row>
    <row r="27" spans="1:14" x14ac:dyDescent="0.3">
      <c r="A27" t="s">
        <v>3287</v>
      </c>
      <c r="B27" s="1">
        <v>45029</v>
      </c>
      <c r="C27" t="s">
        <v>566</v>
      </c>
      <c r="D27" t="s">
        <v>13</v>
      </c>
      <c r="E27">
        <v>34331</v>
      </c>
      <c r="F27" t="s">
        <v>3270</v>
      </c>
      <c r="G27">
        <v>3524420.46</v>
      </c>
      <c r="H27" t="s">
        <v>556</v>
      </c>
      <c r="J27" t="s">
        <v>3271</v>
      </c>
      <c r="K27">
        <v>102.66</v>
      </c>
      <c r="L27" s="1">
        <v>45074</v>
      </c>
      <c r="M27">
        <f>G27*IF(D27="INR",1,INDEX('rates'!$B$2:$B$522,MATCH(B27,'rates'!$A$2:$A$522,1)))</f>
        <v>3524420.46</v>
      </c>
      <c r="N27">
        <f t="shared" si="0"/>
        <v>45</v>
      </c>
    </row>
    <row r="28" spans="1:14" x14ac:dyDescent="0.3">
      <c r="A28" t="s">
        <v>3292</v>
      </c>
      <c r="B28" s="1">
        <v>45033</v>
      </c>
      <c r="C28" t="s">
        <v>566</v>
      </c>
      <c r="D28" t="s">
        <v>36</v>
      </c>
      <c r="E28">
        <v>1990</v>
      </c>
      <c r="F28" t="s">
        <v>3262</v>
      </c>
      <c r="G28">
        <v>167279.4</v>
      </c>
      <c r="H28" t="s">
        <v>573</v>
      </c>
      <c r="I28">
        <v>86.03</v>
      </c>
      <c r="J28" t="s">
        <v>3263</v>
      </c>
      <c r="K28">
        <v>84.06</v>
      </c>
      <c r="L28" s="1">
        <v>45078</v>
      </c>
      <c r="M28">
        <f>G28*IF(D28="INR",1,INDEX('rates'!$B$2:$B$522,MATCH(B28,'rates'!$A$2:$A$522,1)))</f>
        <v>13713565.211999999</v>
      </c>
      <c r="N28">
        <f t="shared" si="0"/>
        <v>45</v>
      </c>
    </row>
    <row r="29" spans="1:14" x14ac:dyDescent="0.3">
      <c r="A29" t="s">
        <v>3294</v>
      </c>
      <c r="B29" s="1">
        <v>45033</v>
      </c>
      <c r="C29" t="s">
        <v>558</v>
      </c>
      <c r="D29" t="s">
        <v>36</v>
      </c>
      <c r="E29">
        <v>371</v>
      </c>
      <c r="F29" t="s">
        <v>3262</v>
      </c>
      <c r="G29">
        <v>31449.67</v>
      </c>
      <c r="H29" t="s">
        <v>573</v>
      </c>
      <c r="I29">
        <v>86.03</v>
      </c>
      <c r="J29" t="s">
        <v>3263</v>
      </c>
      <c r="K29">
        <v>84.77</v>
      </c>
      <c r="L29" s="1">
        <v>45078</v>
      </c>
      <c r="M29">
        <f>G29*IF(D29="INR",1,INDEX('rates'!$B$2:$B$522,MATCH(B29,'rates'!$A$2:$A$522,1)))</f>
        <v>2578243.9465999999</v>
      </c>
      <c r="N29">
        <f t="shared" si="0"/>
        <v>45</v>
      </c>
    </row>
    <row r="30" spans="1:14" x14ac:dyDescent="0.3">
      <c r="A30" t="s">
        <v>3261</v>
      </c>
      <c r="B30" s="1">
        <v>45019</v>
      </c>
      <c r="C30" t="s">
        <v>575</v>
      </c>
      <c r="D30" t="s">
        <v>36</v>
      </c>
      <c r="E30">
        <v>1609</v>
      </c>
      <c r="F30" t="s">
        <v>3262</v>
      </c>
      <c r="G30">
        <v>136604.1</v>
      </c>
      <c r="H30" t="s">
        <v>556</v>
      </c>
      <c r="J30" t="s">
        <v>3263</v>
      </c>
      <c r="K30">
        <v>84.9</v>
      </c>
      <c r="L30" s="1">
        <v>45079</v>
      </c>
      <c r="M30">
        <f>G30*IF(D30="INR",1,INDEX('rates'!$B$2:$B$522,MATCH(B30,'rates'!$A$2:$A$522,1)))</f>
        <v>11234321.184</v>
      </c>
      <c r="N30">
        <f t="shared" si="0"/>
        <v>60</v>
      </c>
    </row>
    <row r="31" spans="1:14" x14ac:dyDescent="0.3">
      <c r="A31" t="s">
        <v>3265</v>
      </c>
      <c r="B31" s="1">
        <v>45019</v>
      </c>
      <c r="C31" t="s">
        <v>554</v>
      </c>
      <c r="D31" t="s">
        <v>36</v>
      </c>
      <c r="E31">
        <v>921</v>
      </c>
      <c r="F31" t="s">
        <v>3262</v>
      </c>
      <c r="G31">
        <v>78809.97</v>
      </c>
      <c r="H31" t="s">
        <v>573</v>
      </c>
      <c r="I31">
        <v>86.03</v>
      </c>
      <c r="J31" t="s">
        <v>3263</v>
      </c>
      <c r="K31">
        <v>85.57</v>
      </c>
      <c r="L31" s="1">
        <v>45079</v>
      </c>
      <c r="M31">
        <f>G31*IF(D31="INR",1,INDEX('rates'!$B$2:$B$522,MATCH(B31,'rates'!$A$2:$A$522,1)))</f>
        <v>6481331.9327999996</v>
      </c>
      <c r="N31">
        <f t="shared" si="0"/>
        <v>60</v>
      </c>
    </row>
    <row r="32" spans="1:14" x14ac:dyDescent="0.3">
      <c r="A32" t="s">
        <v>3266</v>
      </c>
      <c r="B32" s="1">
        <v>45019</v>
      </c>
      <c r="C32" t="s">
        <v>560</v>
      </c>
      <c r="D32" t="s">
        <v>36</v>
      </c>
      <c r="E32">
        <v>1527</v>
      </c>
      <c r="F32" t="s">
        <v>3262</v>
      </c>
      <c r="G32">
        <v>130024.05</v>
      </c>
      <c r="H32" t="s">
        <v>573</v>
      </c>
      <c r="I32">
        <v>86.03</v>
      </c>
      <c r="J32" t="s">
        <v>3263</v>
      </c>
      <c r="K32">
        <v>85.15</v>
      </c>
      <c r="L32" s="1">
        <v>45079</v>
      </c>
      <c r="M32">
        <f>G32*IF(D32="INR",1,INDEX('rates'!$B$2:$B$522,MATCH(B32,'rates'!$A$2:$A$522,1)))</f>
        <v>10693177.872</v>
      </c>
      <c r="N32">
        <f t="shared" si="0"/>
        <v>60</v>
      </c>
    </row>
    <row r="33" spans="1:14" x14ac:dyDescent="0.3">
      <c r="A33" t="s">
        <v>3296</v>
      </c>
      <c r="B33" s="1">
        <v>45034</v>
      </c>
      <c r="C33" t="s">
        <v>554</v>
      </c>
      <c r="D33" t="s">
        <v>13</v>
      </c>
      <c r="E33">
        <v>36226</v>
      </c>
      <c r="F33" t="s">
        <v>3270</v>
      </c>
      <c r="G33">
        <v>3095873.96</v>
      </c>
      <c r="H33" t="s">
        <v>556</v>
      </c>
      <c r="J33" t="s">
        <v>3271</v>
      </c>
      <c r="K33">
        <v>85.46</v>
      </c>
      <c r="L33" s="1">
        <v>45079</v>
      </c>
      <c r="M33">
        <f>G33*IF(D33="INR",1,INDEX('rates'!$B$2:$B$522,MATCH(B33,'rates'!$A$2:$A$522,1)))</f>
        <v>3095873.96</v>
      </c>
      <c r="N33">
        <f t="shared" si="0"/>
        <v>45</v>
      </c>
    </row>
    <row r="34" spans="1:14" x14ac:dyDescent="0.3">
      <c r="A34" t="s">
        <v>3328</v>
      </c>
      <c r="B34" s="1">
        <v>45049</v>
      </c>
      <c r="C34" t="s">
        <v>554</v>
      </c>
      <c r="D34" t="s">
        <v>36</v>
      </c>
      <c r="E34">
        <v>2326</v>
      </c>
      <c r="F34" t="s">
        <v>3262</v>
      </c>
      <c r="G34">
        <v>168053.5</v>
      </c>
      <c r="H34" t="s">
        <v>573</v>
      </c>
      <c r="I34">
        <v>86.03</v>
      </c>
      <c r="J34" t="s">
        <v>3263</v>
      </c>
      <c r="K34">
        <v>72.25</v>
      </c>
      <c r="L34" s="1">
        <v>45079</v>
      </c>
      <c r="M34">
        <f>G34*IF(D34="INR",1,INDEX('rates'!$B$2:$B$522,MATCH(B34,'rates'!$A$2:$A$522,1)))</f>
        <v>13751817.904999999</v>
      </c>
      <c r="N34">
        <f t="shared" si="0"/>
        <v>30</v>
      </c>
    </row>
    <row r="35" spans="1:14" x14ac:dyDescent="0.3">
      <c r="A35" t="s">
        <v>3297</v>
      </c>
      <c r="B35" s="1">
        <v>45035</v>
      </c>
      <c r="C35" t="s">
        <v>558</v>
      </c>
      <c r="D35" t="s">
        <v>13</v>
      </c>
      <c r="E35">
        <v>109772</v>
      </c>
      <c r="F35" t="s">
        <v>3270</v>
      </c>
      <c r="G35">
        <v>9027649.2799999993</v>
      </c>
      <c r="H35" t="s">
        <v>556</v>
      </c>
      <c r="J35" t="s">
        <v>3271</v>
      </c>
      <c r="K35">
        <v>82.24</v>
      </c>
      <c r="L35" s="1">
        <v>45080</v>
      </c>
      <c r="M35">
        <f>G35*IF(D35="INR",1,INDEX('rates'!$B$2:$B$522,MATCH(B35,'rates'!$A$2:$A$522,1)))</f>
        <v>9027649.2799999993</v>
      </c>
      <c r="N35">
        <f t="shared" si="0"/>
        <v>45</v>
      </c>
    </row>
    <row r="36" spans="1:14" x14ac:dyDescent="0.3">
      <c r="A36" t="s">
        <v>3269</v>
      </c>
      <c r="B36" s="1">
        <v>45021</v>
      </c>
      <c r="C36" t="s">
        <v>575</v>
      </c>
      <c r="D36" t="s">
        <v>13</v>
      </c>
      <c r="E36">
        <v>45536</v>
      </c>
      <c r="F36" t="s">
        <v>3270</v>
      </c>
      <c r="G36">
        <v>3685228.48</v>
      </c>
      <c r="H36" t="s">
        <v>556</v>
      </c>
      <c r="J36" t="s">
        <v>3271</v>
      </c>
      <c r="K36">
        <v>80.930000000000007</v>
      </c>
      <c r="L36" s="1">
        <v>45081</v>
      </c>
      <c r="M36">
        <f>G36*IF(D36="INR",1,INDEX('rates'!$B$2:$B$522,MATCH(B36,'rates'!$A$2:$A$522,1)))</f>
        <v>3685228.48</v>
      </c>
      <c r="N36">
        <f t="shared" si="0"/>
        <v>60</v>
      </c>
    </row>
    <row r="37" spans="1:14" x14ac:dyDescent="0.3">
      <c r="A37" t="s">
        <v>3331</v>
      </c>
      <c r="B37" s="1">
        <v>45051</v>
      </c>
      <c r="C37" t="s">
        <v>560</v>
      </c>
      <c r="D37" t="s">
        <v>36</v>
      </c>
      <c r="E37">
        <v>695</v>
      </c>
      <c r="F37" t="s">
        <v>3262</v>
      </c>
      <c r="G37">
        <v>53049.35</v>
      </c>
      <c r="H37" t="s">
        <v>573</v>
      </c>
      <c r="I37">
        <v>86.03</v>
      </c>
      <c r="J37" t="s">
        <v>3263</v>
      </c>
      <c r="K37">
        <v>76.33</v>
      </c>
      <c r="L37" s="1">
        <v>45081</v>
      </c>
      <c r="M37">
        <f>G37*IF(D37="INR",1,INDEX('rates'!$B$2:$B$522,MATCH(B37,'rates'!$A$2:$A$522,1)))</f>
        <v>4339967.3234999999</v>
      </c>
      <c r="N37">
        <f t="shared" si="0"/>
        <v>30</v>
      </c>
    </row>
    <row r="38" spans="1:14" x14ac:dyDescent="0.3">
      <c r="A38" t="s">
        <v>3301</v>
      </c>
      <c r="B38" s="1">
        <v>45037</v>
      </c>
      <c r="C38" t="s">
        <v>558</v>
      </c>
      <c r="D38" t="s">
        <v>36</v>
      </c>
      <c r="E38">
        <v>2428</v>
      </c>
      <c r="F38" t="s">
        <v>3262</v>
      </c>
      <c r="G38">
        <v>201014.12</v>
      </c>
      <c r="H38" t="s">
        <v>556</v>
      </c>
      <c r="J38" t="s">
        <v>3263</v>
      </c>
      <c r="K38">
        <v>82.79</v>
      </c>
      <c r="L38" s="1">
        <v>45082</v>
      </c>
      <c r="M38">
        <f>G38*IF(D38="INR",1,INDEX('rates'!$B$2:$B$522,MATCH(B38,'rates'!$A$2:$A$522,1)))</f>
        <v>16495218.687200001</v>
      </c>
      <c r="N38">
        <f t="shared" si="0"/>
        <v>45</v>
      </c>
    </row>
    <row r="39" spans="1:14" x14ac:dyDescent="0.3">
      <c r="A39" t="s">
        <v>3303</v>
      </c>
      <c r="B39" s="1">
        <v>45037</v>
      </c>
      <c r="C39" t="s">
        <v>560</v>
      </c>
      <c r="D39" t="s">
        <v>13</v>
      </c>
      <c r="E39">
        <v>107990</v>
      </c>
      <c r="F39" t="s">
        <v>3270</v>
      </c>
      <c r="G39">
        <v>9223425.9000000004</v>
      </c>
      <c r="H39" t="s">
        <v>556</v>
      </c>
      <c r="J39" t="s">
        <v>3271</v>
      </c>
      <c r="K39">
        <v>85.41</v>
      </c>
      <c r="L39" s="1">
        <v>45082</v>
      </c>
      <c r="M39">
        <f>G39*IF(D39="INR",1,INDEX('rates'!$B$2:$B$522,MATCH(B39,'rates'!$A$2:$A$522,1)))</f>
        <v>9223425.9000000004</v>
      </c>
      <c r="N39">
        <f t="shared" si="0"/>
        <v>45</v>
      </c>
    </row>
    <row r="40" spans="1:14" x14ac:dyDescent="0.3">
      <c r="A40" t="s">
        <v>3307</v>
      </c>
      <c r="B40" s="1">
        <v>45037</v>
      </c>
      <c r="C40" t="s">
        <v>566</v>
      </c>
      <c r="D40" t="s">
        <v>36</v>
      </c>
      <c r="E40">
        <v>1796</v>
      </c>
      <c r="F40" t="s">
        <v>3262</v>
      </c>
      <c r="G40">
        <v>147505.48000000001</v>
      </c>
      <c r="H40" t="s">
        <v>556</v>
      </c>
      <c r="J40" t="s">
        <v>3263</v>
      </c>
      <c r="K40">
        <v>82.13</v>
      </c>
      <c r="L40" s="1">
        <v>45082</v>
      </c>
      <c r="M40">
        <f>G40*IF(D40="INR",1,INDEX('rates'!$B$2:$B$522,MATCH(B40,'rates'!$A$2:$A$522,1)))</f>
        <v>12104299.688800002</v>
      </c>
      <c r="N40">
        <f t="shared" si="0"/>
        <v>45</v>
      </c>
    </row>
    <row r="41" spans="1:14" x14ac:dyDescent="0.3">
      <c r="A41" t="s">
        <v>3308</v>
      </c>
      <c r="B41" s="1">
        <v>45037</v>
      </c>
      <c r="C41" t="s">
        <v>558</v>
      </c>
      <c r="D41" t="s">
        <v>36</v>
      </c>
      <c r="E41">
        <v>1694</v>
      </c>
      <c r="F41" t="s">
        <v>3262</v>
      </c>
      <c r="G41">
        <v>138061</v>
      </c>
      <c r="H41" t="s">
        <v>556</v>
      </c>
      <c r="J41" t="s">
        <v>3263</v>
      </c>
      <c r="K41">
        <v>81.5</v>
      </c>
      <c r="L41" s="1">
        <v>45082</v>
      </c>
      <c r="M41">
        <f>G41*IF(D41="INR",1,INDEX('rates'!$B$2:$B$522,MATCH(B41,'rates'!$A$2:$A$522,1)))</f>
        <v>11329285.66</v>
      </c>
      <c r="N41">
        <f t="shared" si="0"/>
        <v>45</v>
      </c>
    </row>
    <row r="42" spans="1:14" x14ac:dyDescent="0.3">
      <c r="A42" t="s">
        <v>3275</v>
      </c>
      <c r="B42" s="1">
        <v>45023</v>
      </c>
      <c r="C42" t="s">
        <v>558</v>
      </c>
      <c r="D42" t="s">
        <v>36</v>
      </c>
      <c r="E42">
        <v>987</v>
      </c>
      <c r="F42" t="s">
        <v>3262</v>
      </c>
      <c r="G42">
        <v>84931.35</v>
      </c>
      <c r="H42" t="s">
        <v>556</v>
      </c>
      <c r="J42" t="s">
        <v>3263</v>
      </c>
      <c r="K42">
        <v>86.05</v>
      </c>
      <c r="L42" s="1">
        <v>45083</v>
      </c>
      <c r="M42">
        <f>G42*IF(D42="INR",1,INDEX('rates'!$B$2:$B$522,MATCH(B42,'rates'!$A$2:$A$522,1)))</f>
        <v>6951630.9974999996</v>
      </c>
      <c r="N42">
        <f t="shared" si="0"/>
        <v>60</v>
      </c>
    </row>
    <row r="43" spans="1:14" x14ac:dyDescent="0.3">
      <c r="A43" t="s">
        <v>3279</v>
      </c>
      <c r="B43" s="1">
        <v>45023</v>
      </c>
      <c r="C43" t="s">
        <v>560</v>
      </c>
      <c r="D43" t="s">
        <v>36</v>
      </c>
      <c r="E43">
        <v>2012</v>
      </c>
      <c r="F43" t="s">
        <v>3262</v>
      </c>
      <c r="G43">
        <v>167398.39999999999</v>
      </c>
      <c r="H43" t="s">
        <v>556</v>
      </c>
      <c r="J43" t="s">
        <v>3263</v>
      </c>
      <c r="K43">
        <v>83.2</v>
      </c>
      <c r="L43" s="1">
        <v>45083</v>
      </c>
      <c r="M43">
        <f>G43*IF(D43="INR",1,INDEX('rates'!$B$2:$B$522,MATCH(B43,'rates'!$A$2:$A$522,1)))</f>
        <v>13701559.039999999</v>
      </c>
      <c r="N43">
        <f t="shared" si="0"/>
        <v>60</v>
      </c>
    </row>
    <row r="44" spans="1:14" x14ac:dyDescent="0.3">
      <c r="A44" t="s">
        <v>3281</v>
      </c>
      <c r="B44" s="1">
        <v>45023</v>
      </c>
      <c r="C44" t="s">
        <v>560</v>
      </c>
      <c r="D44" t="s">
        <v>36</v>
      </c>
      <c r="E44">
        <v>1475</v>
      </c>
      <c r="F44" t="s">
        <v>3262</v>
      </c>
      <c r="G44">
        <v>129932.75</v>
      </c>
      <c r="H44" t="s">
        <v>573</v>
      </c>
      <c r="I44">
        <v>86.03</v>
      </c>
      <c r="J44" t="s">
        <v>3263</v>
      </c>
      <c r="K44">
        <v>88.09</v>
      </c>
      <c r="L44" s="1">
        <v>45083</v>
      </c>
      <c r="M44">
        <f>G44*IF(D44="INR",1,INDEX('rates'!$B$2:$B$522,MATCH(B44,'rates'!$A$2:$A$522,1)))</f>
        <v>10634995.587499999</v>
      </c>
      <c r="N44">
        <f t="shared" si="0"/>
        <v>60</v>
      </c>
    </row>
    <row r="45" spans="1:14" x14ac:dyDescent="0.3">
      <c r="A45" t="s">
        <v>3334</v>
      </c>
      <c r="B45" s="1">
        <v>45054</v>
      </c>
      <c r="C45" t="s">
        <v>575</v>
      </c>
      <c r="D45" t="s">
        <v>36</v>
      </c>
      <c r="E45">
        <v>205</v>
      </c>
      <c r="F45" t="s">
        <v>3262</v>
      </c>
      <c r="G45">
        <v>15832.15</v>
      </c>
      <c r="H45" t="s">
        <v>556</v>
      </c>
      <c r="J45" t="s">
        <v>3263</v>
      </c>
      <c r="K45">
        <v>77.23</v>
      </c>
      <c r="L45" s="1">
        <v>45084</v>
      </c>
      <c r="M45">
        <f>G45*IF(D45="INR",1,INDEX('rates'!$B$2:$B$522,MATCH(B45,'rates'!$A$2:$A$522,1)))</f>
        <v>1294753.227</v>
      </c>
      <c r="N45">
        <f t="shared" si="0"/>
        <v>30</v>
      </c>
    </row>
    <row r="46" spans="1:14" x14ac:dyDescent="0.3">
      <c r="A46" t="s">
        <v>3336</v>
      </c>
      <c r="B46" s="1">
        <v>45054</v>
      </c>
      <c r="C46" t="s">
        <v>558</v>
      </c>
      <c r="D46" t="s">
        <v>36</v>
      </c>
      <c r="E46">
        <v>717</v>
      </c>
      <c r="F46" t="s">
        <v>3262</v>
      </c>
      <c r="G46">
        <v>56126.76</v>
      </c>
      <c r="H46" t="s">
        <v>556</v>
      </c>
      <c r="J46" t="s">
        <v>3263</v>
      </c>
      <c r="K46">
        <v>78.28</v>
      </c>
      <c r="L46" s="1">
        <v>45084</v>
      </c>
      <c r="M46">
        <f>G46*IF(D46="INR",1,INDEX('rates'!$B$2:$B$522,MATCH(B46,'rates'!$A$2:$A$522,1)))</f>
        <v>4590046.4328000005</v>
      </c>
      <c r="N46">
        <f t="shared" si="0"/>
        <v>30</v>
      </c>
    </row>
    <row r="47" spans="1:14" x14ac:dyDescent="0.3">
      <c r="A47" t="s">
        <v>3312</v>
      </c>
      <c r="B47" s="1">
        <v>45040</v>
      </c>
      <c r="C47" t="s">
        <v>560</v>
      </c>
      <c r="D47" t="s">
        <v>36</v>
      </c>
      <c r="E47">
        <v>562</v>
      </c>
      <c r="F47" t="s">
        <v>3262</v>
      </c>
      <c r="G47">
        <v>45600.68</v>
      </c>
      <c r="H47" t="s">
        <v>556</v>
      </c>
      <c r="J47" t="s">
        <v>3263</v>
      </c>
      <c r="K47">
        <v>81.14</v>
      </c>
      <c r="L47" s="1">
        <v>45085</v>
      </c>
      <c r="M47">
        <f>G47*IF(D47="INR",1,INDEX('rates'!$B$2:$B$522,MATCH(B47,'rates'!$A$2:$A$522,1)))</f>
        <v>3734695.6920000003</v>
      </c>
      <c r="N47">
        <f t="shared" si="0"/>
        <v>45</v>
      </c>
    </row>
    <row r="48" spans="1:14" x14ac:dyDescent="0.3">
      <c r="A48" t="s">
        <v>3337</v>
      </c>
      <c r="B48" s="1">
        <v>45055</v>
      </c>
      <c r="C48" t="s">
        <v>554</v>
      </c>
      <c r="D48" t="s">
        <v>36</v>
      </c>
      <c r="E48">
        <v>1925</v>
      </c>
      <c r="F48" t="s">
        <v>3262</v>
      </c>
      <c r="G48">
        <v>150265.5</v>
      </c>
      <c r="H48" t="s">
        <v>556</v>
      </c>
      <c r="J48" t="s">
        <v>3263</v>
      </c>
      <c r="K48">
        <v>78.06</v>
      </c>
      <c r="L48" s="1">
        <v>45085</v>
      </c>
      <c r="M48">
        <f>G48*IF(D48="INR",1,INDEX('rates'!$B$2:$B$522,MATCH(B48,'rates'!$A$2:$A$522,1)))</f>
        <v>12327781.620000001</v>
      </c>
      <c r="N48">
        <f t="shared" si="0"/>
        <v>30</v>
      </c>
    </row>
    <row r="49" spans="1:14" x14ac:dyDescent="0.3">
      <c r="A49" t="s">
        <v>3282</v>
      </c>
      <c r="B49" s="1">
        <v>45026</v>
      </c>
      <c r="C49" t="s">
        <v>566</v>
      </c>
      <c r="D49" t="s">
        <v>36</v>
      </c>
      <c r="E49">
        <v>340</v>
      </c>
      <c r="F49" t="s">
        <v>3262</v>
      </c>
      <c r="G49">
        <v>28903.4</v>
      </c>
      <c r="H49" t="s">
        <v>573</v>
      </c>
      <c r="I49">
        <v>86.03</v>
      </c>
      <c r="J49" t="s">
        <v>3263</v>
      </c>
      <c r="K49">
        <v>85.01</v>
      </c>
      <c r="L49" s="1">
        <v>45086</v>
      </c>
      <c r="M49">
        <f>G49*IF(D49="INR",1,INDEX('rates'!$B$2:$B$522,MATCH(B49,'rates'!$A$2:$A$522,1)))</f>
        <v>2370367.8340000003</v>
      </c>
      <c r="N49">
        <f t="shared" si="0"/>
        <v>60</v>
      </c>
    </row>
    <row r="50" spans="1:14" x14ac:dyDescent="0.3">
      <c r="A50" t="s">
        <v>3340</v>
      </c>
      <c r="B50" s="1">
        <v>45056</v>
      </c>
      <c r="C50" t="s">
        <v>558</v>
      </c>
      <c r="D50" t="s">
        <v>36</v>
      </c>
      <c r="E50">
        <v>2176</v>
      </c>
      <c r="F50" t="s">
        <v>3262</v>
      </c>
      <c r="G50">
        <v>170010.88</v>
      </c>
      <c r="H50" t="s">
        <v>556</v>
      </c>
      <c r="J50" t="s">
        <v>3263</v>
      </c>
      <c r="K50">
        <v>78.13</v>
      </c>
      <c r="L50" s="1">
        <v>45086</v>
      </c>
      <c r="M50">
        <f>G50*IF(D50="INR",1,INDEX('rates'!$B$2:$B$522,MATCH(B50,'rates'!$A$2:$A$522,1)))</f>
        <v>13930691.507200001</v>
      </c>
      <c r="N50">
        <f t="shared" si="0"/>
        <v>30</v>
      </c>
    </row>
    <row r="51" spans="1:14" x14ac:dyDescent="0.3">
      <c r="A51" t="s">
        <v>3283</v>
      </c>
      <c r="B51" s="1">
        <v>45027</v>
      </c>
      <c r="C51" t="s">
        <v>575</v>
      </c>
      <c r="D51" t="s">
        <v>36</v>
      </c>
      <c r="E51">
        <v>1132</v>
      </c>
      <c r="F51" t="s">
        <v>3262</v>
      </c>
      <c r="G51">
        <v>97702.92</v>
      </c>
      <c r="H51" t="s">
        <v>556</v>
      </c>
      <c r="J51" t="s">
        <v>3263</v>
      </c>
      <c r="K51">
        <v>86.31</v>
      </c>
      <c r="L51" s="1">
        <v>45087</v>
      </c>
      <c r="M51">
        <f>G51*IF(D51="INR",1,INDEX('rates'!$B$2:$B$522,MATCH(B51,'rates'!$A$2:$A$522,1)))</f>
        <v>8015547.5568000004</v>
      </c>
      <c r="N51">
        <f t="shared" si="0"/>
        <v>60</v>
      </c>
    </row>
    <row r="52" spans="1:14" x14ac:dyDescent="0.3">
      <c r="A52" t="s">
        <v>3284</v>
      </c>
      <c r="B52" s="1">
        <v>45027</v>
      </c>
      <c r="C52" t="s">
        <v>558</v>
      </c>
      <c r="D52" t="s">
        <v>36</v>
      </c>
      <c r="E52">
        <v>1285</v>
      </c>
      <c r="F52" t="s">
        <v>3262</v>
      </c>
      <c r="G52">
        <v>112077.7</v>
      </c>
      <c r="H52" t="s">
        <v>573</v>
      </c>
      <c r="I52">
        <v>86.03</v>
      </c>
      <c r="J52" t="s">
        <v>3263</v>
      </c>
      <c r="K52">
        <v>87.22</v>
      </c>
      <c r="L52" s="1">
        <v>45087</v>
      </c>
      <c r="M52">
        <f>G52*IF(D52="INR",1,INDEX('rates'!$B$2:$B$522,MATCH(B52,'rates'!$A$2:$A$522,1)))</f>
        <v>9194854.5080000013</v>
      </c>
      <c r="N52">
        <f t="shared" si="0"/>
        <v>60</v>
      </c>
    </row>
    <row r="53" spans="1:14" x14ac:dyDescent="0.3">
      <c r="A53" t="s">
        <v>3341</v>
      </c>
      <c r="B53" s="1">
        <v>45057</v>
      </c>
      <c r="C53" t="s">
        <v>566</v>
      </c>
      <c r="D53" t="s">
        <v>13</v>
      </c>
      <c r="E53">
        <v>64077</v>
      </c>
      <c r="F53" t="s">
        <v>3270</v>
      </c>
      <c r="G53">
        <v>5542019.7300000004</v>
      </c>
      <c r="H53" t="s">
        <v>556</v>
      </c>
      <c r="J53" t="s">
        <v>3271</v>
      </c>
      <c r="K53">
        <v>86.49</v>
      </c>
      <c r="L53" s="1">
        <v>45087</v>
      </c>
      <c r="M53">
        <f>G53*IF(D53="INR",1,INDEX('rates'!$B$2:$B$522,MATCH(B53,'rates'!$A$2:$A$522,1)))</f>
        <v>5542019.7300000004</v>
      </c>
      <c r="N53">
        <f t="shared" si="0"/>
        <v>30</v>
      </c>
    </row>
    <row r="54" spans="1:14" x14ac:dyDescent="0.3">
      <c r="A54" t="s">
        <v>3343</v>
      </c>
      <c r="B54" s="1">
        <v>45057</v>
      </c>
      <c r="C54" t="s">
        <v>575</v>
      </c>
      <c r="D54" t="s">
        <v>36</v>
      </c>
      <c r="E54">
        <v>716</v>
      </c>
      <c r="F54" t="s">
        <v>3262</v>
      </c>
      <c r="G54">
        <v>54544.88</v>
      </c>
      <c r="H54" t="s">
        <v>573</v>
      </c>
      <c r="I54">
        <v>86.03</v>
      </c>
      <c r="J54" t="s">
        <v>3263</v>
      </c>
      <c r="K54">
        <v>76.180000000000007</v>
      </c>
      <c r="L54" s="1">
        <v>45087</v>
      </c>
      <c r="M54">
        <f>G54*IF(D54="INR",1,INDEX('rates'!$B$2:$B$522,MATCH(B54,'rates'!$A$2:$A$522,1)))</f>
        <v>4479770.9943999993</v>
      </c>
      <c r="N54">
        <f t="shared" si="0"/>
        <v>30</v>
      </c>
    </row>
    <row r="55" spans="1:14" x14ac:dyDescent="0.3">
      <c r="A55" t="s">
        <v>3318</v>
      </c>
      <c r="B55" s="1">
        <v>45043</v>
      </c>
      <c r="C55" t="s">
        <v>558</v>
      </c>
      <c r="D55" t="s">
        <v>36</v>
      </c>
      <c r="E55">
        <v>1278</v>
      </c>
      <c r="F55" t="s">
        <v>3262</v>
      </c>
      <c r="G55">
        <v>100246.32</v>
      </c>
      <c r="H55" t="s">
        <v>556</v>
      </c>
      <c r="J55" t="s">
        <v>3263</v>
      </c>
      <c r="K55">
        <v>78.44</v>
      </c>
      <c r="L55" s="1">
        <v>45088</v>
      </c>
      <c r="M55">
        <f>G55*IF(D55="INR",1,INDEX('rates'!$B$2:$B$522,MATCH(B55,'rates'!$A$2:$A$522,1)))</f>
        <v>8204158.8288000012</v>
      </c>
      <c r="N55">
        <f t="shared" si="0"/>
        <v>45</v>
      </c>
    </row>
    <row r="56" spans="1:14" x14ac:dyDescent="0.3">
      <c r="A56" t="s">
        <v>3321</v>
      </c>
      <c r="B56" s="1">
        <v>45043</v>
      </c>
      <c r="C56" t="s">
        <v>575</v>
      </c>
      <c r="D56" t="s">
        <v>36</v>
      </c>
      <c r="E56">
        <v>633</v>
      </c>
      <c r="F56" t="s">
        <v>3262</v>
      </c>
      <c r="G56">
        <v>49247.4</v>
      </c>
      <c r="H56" t="s">
        <v>556</v>
      </c>
      <c r="J56" t="s">
        <v>3263</v>
      </c>
      <c r="K56">
        <v>77.8</v>
      </c>
      <c r="L56" s="1">
        <v>45088</v>
      </c>
      <c r="M56">
        <f>G56*IF(D56="INR",1,INDEX('rates'!$B$2:$B$522,MATCH(B56,'rates'!$A$2:$A$522,1)))</f>
        <v>4030407.2160000005</v>
      </c>
      <c r="N56">
        <f t="shared" si="0"/>
        <v>45</v>
      </c>
    </row>
    <row r="57" spans="1:14" x14ac:dyDescent="0.3">
      <c r="A57" t="s">
        <v>3344</v>
      </c>
      <c r="B57" s="1">
        <v>45058</v>
      </c>
      <c r="C57" t="s">
        <v>566</v>
      </c>
      <c r="D57" t="s">
        <v>13</v>
      </c>
      <c r="E57">
        <v>71760</v>
      </c>
      <c r="F57" t="s">
        <v>3270</v>
      </c>
      <c r="G57">
        <v>4587616.8</v>
      </c>
      <c r="H57" t="s">
        <v>556</v>
      </c>
      <c r="J57" t="s">
        <v>3271</v>
      </c>
      <c r="K57">
        <v>63.93</v>
      </c>
      <c r="L57" s="1">
        <v>45088</v>
      </c>
      <c r="M57">
        <f>G57*IF(D57="INR",1,INDEX('rates'!$B$2:$B$522,MATCH(B57,'rates'!$A$2:$A$522,1)))</f>
        <v>4587616.8</v>
      </c>
      <c r="N57">
        <f t="shared" si="0"/>
        <v>30</v>
      </c>
    </row>
    <row r="58" spans="1:14" x14ac:dyDescent="0.3">
      <c r="A58" t="s">
        <v>3350</v>
      </c>
      <c r="B58" s="1">
        <v>45058</v>
      </c>
      <c r="C58" t="s">
        <v>554</v>
      </c>
      <c r="D58" t="s">
        <v>36</v>
      </c>
      <c r="E58">
        <v>1287</v>
      </c>
      <c r="F58" t="s">
        <v>3262</v>
      </c>
      <c r="G58">
        <v>95945.85</v>
      </c>
      <c r="H58" t="s">
        <v>556</v>
      </c>
      <c r="J58" t="s">
        <v>3263</v>
      </c>
      <c r="K58">
        <v>74.55</v>
      </c>
      <c r="L58" s="1">
        <v>45088</v>
      </c>
      <c r="M58">
        <f>G58*IF(D58="INR",1,INDEX('rates'!$B$2:$B$522,MATCH(B58,'rates'!$A$2:$A$522,1)))</f>
        <v>7883870.494500001</v>
      </c>
      <c r="N58">
        <f t="shared" si="0"/>
        <v>30</v>
      </c>
    </row>
    <row r="59" spans="1:14" x14ac:dyDescent="0.3">
      <c r="A59" t="s">
        <v>3351</v>
      </c>
      <c r="B59" s="1">
        <v>45058</v>
      </c>
      <c r="C59" t="s">
        <v>575</v>
      </c>
      <c r="D59" t="s">
        <v>36</v>
      </c>
      <c r="E59">
        <v>1059</v>
      </c>
      <c r="F59" t="s">
        <v>3262</v>
      </c>
      <c r="G59">
        <v>78980.22</v>
      </c>
      <c r="H59" t="s">
        <v>556</v>
      </c>
      <c r="J59" t="s">
        <v>3263</v>
      </c>
      <c r="K59">
        <v>74.58</v>
      </c>
      <c r="L59" s="1">
        <v>45088</v>
      </c>
      <c r="M59">
        <f>G59*IF(D59="INR",1,INDEX('rates'!$B$2:$B$522,MATCH(B59,'rates'!$A$2:$A$522,1)))</f>
        <v>6489804.6774000004</v>
      </c>
      <c r="N59">
        <f t="shared" si="0"/>
        <v>30</v>
      </c>
    </row>
    <row r="60" spans="1:14" x14ac:dyDescent="0.3">
      <c r="A60" t="s">
        <v>3322</v>
      </c>
      <c r="B60" s="1">
        <v>45044</v>
      </c>
      <c r="C60" t="s">
        <v>566</v>
      </c>
      <c r="D60" t="s">
        <v>36</v>
      </c>
      <c r="E60">
        <v>691</v>
      </c>
      <c r="F60" t="s">
        <v>3262</v>
      </c>
      <c r="G60">
        <v>57373.73</v>
      </c>
      <c r="H60" t="s">
        <v>573</v>
      </c>
      <c r="I60">
        <v>86.03</v>
      </c>
      <c r="J60" t="s">
        <v>3263</v>
      </c>
      <c r="K60">
        <v>83.03</v>
      </c>
      <c r="L60" s="1">
        <v>45089</v>
      </c>
      <c r="M60">
        <f>G60*IF(D60="INR",1,INDEX('rates'!$B$2:$B$522,MATCH(B60,'rates'!$A$2:$A$522,1)))</f>
        <v>4695466.0632000007</v>
      </c>
      <c r="N60">
        <f t="shared" si="0"/>
        <v>45</v>
      </c>
    </row>
    <row r="61" spans="1:14" x14ac:dyDescent="0.3">
      <c r="A61" t="s">
        <v>3288</v>
      </c>
      <c r="B61" s="1">
        <v>45030</v>
      </c>
      <c r="C61" t="s">
        <v>566</v>
      </c>
      <c r="D61" t="s">
        <v>13</v>
      </c>
      <c r="E61">
        <v>51152</v>
      </c>
      <c r="F61" t="s">
        <v>3270</v>
      </c>
      <c r="G61">
        <v>4632325.12</v>
      </c>
      <c r="H61" t="s">
        <v>556</v>
      </c>
      <c r="J61" t="s">
        <v>3271</v>
      </c>
      <c r="K61">
        <v>90.56</v>
      </c>
      <c r="L61" s="1">
        <v>45090</v>
      </c>
      <c r="M61">
        <f>G61*IF(D61="INR",1,INDEX('rates'!$B$2:$B$522,MATCH(B61,'rates'!$A$2:$A$522,1)))</f>
        <v>4632325.12</v>
      </c>
      <c r="N61">
        <f t="shared" si="0"/>
        <v>60</v>
      </c>
    </row>
    <row r="62" spans="1:14" x14ac:dyDescent="0.3">
      <c r="A62" t="s">
        <v>3290</v>
      </c>
      <c r="B62" s="1">
        <v>45030</v>
      </c>
      <c r="C62" t="s">
        <v>560</v>
      </c>
      <c r="D62" t="s">
        <v>36</v>
      </c>
      <c r="E62">
        <v>509</v>
      </c>
      <c r="F62" t="s">
        <v>3262</v>
      </c>
      <c r="G62">
        <v>43768.91</v>
      </c>
      <c r="H62" t="s">
        <v>573</v>
      </c>
      <c r="I62">
        <v>86.03</v>
      </c>
      <c r="J62" t="s">
        <v>3263</v>
      </c>
      <c r="K62">
        <v>85.99</v>
      </c>
      <c r="L62" s="1">
        <v>45090</v>
      </c>
      <c r="M62">
        <f>G62*IF(D62="INR",1,INDEX('rates'!$B$2:$B$522,MATCH(B62,'rates'!$A$2:$A$522,1)))</f>
        <v>3583798.3508000001</v>
      </c>
      <c r="N62">
        <f t="shared" si="0"/>
        <v>60</v>
      </c>
    </row>
    <row r="63" spans="1:14" x14ac:dyDescent="0.3">
      <c r="A63" t="s">
        <v>3291</v>
      </c>
      <c r="B63" s="1">
        <v>45030</v>
      </c>
      <c r="C63" t="s">
        <v>558</v>
      </c>
      <c r="D63" t="s">
        <v>13</v>
      </c>
      <c r="E63">
        <v>106539</v>
      </c>
      <c r="F63" t="s">
        <v>3270</v>
      </c>
      <c r="G63">
        <v>8428300.2899999991</v>
      </c>
      <c r="H63" t="s">
        <v>556</v>
      </c>
      <c r="J63" t="s">
        <v>3271</v>
      </c>
      <c r="K63">
        <v>79.11</v>
      </c>
      <c r="L63" s="1">
        <v>45090</v>
      </c>
      <c r="M63">
        <f>G63*IF(D63="INR",1,INDEX('rates'!$B$2:$B$522,MATCH(B63,'rates'!$A$2:$A$522,1)))</f>
        <v>8428300.2899999991</v>
      </c>
      <c r="N63">
        <f t="shared" si="0"/>
        <v>60</v>
      </c>
    </row>
    <row r="64" spans="1:14" x14ac:dyDescent="0.3">
      <c r="A64" t="s">
        <v>3354</v>
      </c>
      <c r="B64" s="1">
        <v>45062</v>
      </c>
      <c r="C64" t="s">
        <v>558</v>
      </c>
      <c r="D64" t="s">
        <v>13</v>
      </c>
      <c r="E64">
        <v>31616</v>
      </c>
      <c r="F64" t="s">
        <v>3270</v>
      </c>
      <c r="G64">
        <v>2955147.52</v>
      </c>
      <c r="H64" t="s">
        <v>556</v>
      </c>
      <c r="J64" t="s">
        <v>3271</v>
      </c>
      <c r="K64">
        <v>93.47</v>
      </c>
      <c r="L64" s="1">
        <v>45092</v>
      </c>
      <c r="M64">
        <f>G64*IF(D64="INR",1,INDEX('rates'!$B$2:$B$522,MATCH(B64,'rates'!$A$2:$A$522,1)))</f>
        <v>2955147.52</v>
      </c>
      <c r="N64">
        <f t="shared" si="0"/>
        <v>30</v>
      </c>
    </row>
    <row r="65" spans="1:14" x14ac:dyDescent="0.3">
      <c r="A65" t="s">
        <v>3355</v>
      </c>
      <c r="B65" s="1">
        <v>45062</v>
      </c>
      <c r="C65" t="s">
        <v>566</v>
      </c>
      <c r="D65" t="s">
        <v>36</v>
      </c>
      <c r="E65">
        <v>896</v>
      </c>
      <c r="F65" t="s">
        <v>3262</v>
      </c>
      <c r="G65">
        <v>67854.080000000002</v>
      </c>
      <c r="H65" t="s">
        <v>573</v>
      </c>
      <c r="I65">
        <v>86.03</v>
      </c>
      <c r="J65" t="s">
        <v>3263</v>
      </c>
      <c r="K65">
        <v>75.73</v>
      </c>
      <c r="L65" s="1">
        <v>45092</v>
      </c>
      <c r="M65">
        <f>G65*IF(D65="INR",1,INDEX('rates'!$B$2:$B$522,MATCH(B65,'rates'!$A$2:$A$522,1)))</f>
        <v>5581676.6208000006</v>
      </c>
      <c r="N65">
        <f t="shared" si="0"/>
        <v>30</v>
      </c>
    </row>
    <row r="66" spans="1:14" x14ac:dyDescent="0.3">
      <c r="A66" t="s">
        <v>3356</v>
      </c>
      <c r="B66" s="1">
        <v>45062</v>
      </c>
      <c r="C66" t="s">
        <v>558</v>
      </c>
      <c r="D66" t="s">
        <v>36</v>
      </c>
      <c r="E66">
        <v>694</v>
      </c>
      <c r="F66" t="s">
        <v>3262</v>
      </c>
      <c r="G66">
        <v>49850.02</v>
      </c>
      <c r="H66" t="s">
        <v>556</v>
      </c>
      <c r="J66" t="s">
        <v>3263</v>
      </c>
      <c r="K66">
        <v>71.83</v>
      </c>
      <c r="L66" s="1">
        <v>45092</v>
      </c>
      <c r="M66">
        <f>G66*IF(D66="INR",1,INDEX('rates'!$B$2:$B$522,MATCH(B66,'rates'!$A$2:$A$522,1)))</f>
        <v>4100662.6452000001</v>
      </c>
      <c r="N66">
        <f t="shared" ref="N66:N129" si="1">IF(L66="","",L66-B66)</f>
        <v>30</v>
      </c>
    </row>
    <row r="67" spans="1:14" x14ac:dyDescent="0.3">
      <c r="A67" t="s">
        <v>3329</v>
      </c>
      <c r="B67" s="1">
        <v>45049</v>
      </c>
      <c r="C67" t="s">
        <v>566</v>
      </c>
      <c r="D67" t="s">
        <v>36</v>
      </c>
      <c r="E67">
        <v>382</v>
      </c>
      <c r="F67" t="s">
        <v>3262</v>
      </c>
      <c r="G67">
        <v>28306.2</v>
      </c>
      <c r="H67" t="s">
        <v>573</v>
      </c>
      <c r="I67">
        <v>86.03</v>
      </c>
      <c r="J67" t="s">
        <v>3263</v>
      </c>
      <c r="K67">
        <v>74.099999999999994</v>
      </c>
      <c r="L67" s="1">
        <v>45094</v>
      </c>
      <c r="M67">
        <f>G67*IF(D67="INR",1,INDEX('rates'!$B$2:$B$522,MATCH(B67,'rates'!$A$2:$A$522,1)))</f>
        <v>2316296.3459999999</v>
      </c>
      <c r="N67">
        <f t="shared" si="1"/>
        <v>45</v>
      </c>
    </row>
    <row r="68" spans="1:14" x14ac:dyDescent="0.3">
      <c r="A68" t="s">
        <v>3357</v>
      </c>
      <c r="B68" s="1">
        <v>45064</v>
      </c>
      <c r="C68" t="s">
        <v>554</v>
      </c>
      <c r="D68" t="s">
        <v>36</v>
      </c>
      <c r="E68">
        <v>616</v>
      </c>
      <c r="F68" t="s">
        <v>3262</v>
      </c>
      <c r="G68">
        <v>46674.32</v>
      </c>
      <c r="H68" t="s">
        <v>573</v>
      </c>
      <c r="I68">
        <v>86.03</v>
      </c>
      <c r="J68" t="s">
        <v>3263</v>
      </c>
      <c r="K68">
        <v>75.77</v>
      </c>
      <c r="L68" s="1">
        <v>45094</v>
      </c>
      <c r="M68">
        <f>G68*IF(D68="INR",1,INDEX('rates'!$B$2:$B$522,MATCH(B68,'rates'!$A$2:$A$522,1)))</f>
        <v>3863233.4663999998</v>
      </c>
      <c r="N68">
        <f t="shared" si="1"/>
        <v>30</v>
      </c>
    </row>
    <row r="69" spans="1:14" x14ac:dyDescent="0.3">
      <c r="A69" t="s">
        <v>3299</v>
      </c>
      <c r="B69" s="1">
        <v>45035</v>
      </c>
      <c r="C69" t="s">
        <v>560</v>
      </c>
      <c r="D69" t="s">
        <v>36</v>
      </c>
      <c r="E69">
        <v>313</v>
      </c>
      <c r="F69" t="s">
        <v>3262</v>
      </c>
      <c r="G69">
        <v>25766.16</v>
      </c>
      <c r="H69" t="s">
        <v>556</v>
      </c>
      <c r="J69" t="s">
        <v>3263</v>
      </c>
      <c r="K69">
        <v>82.32</v>
      </c>
      <c r="L69" s="1">
        <v>45095</v>
      </c>
      <c r="M69">
        <f>G69*IF(D69="INR",1,INDEX('rates'!$B$2:$B$522,MATCH(B69,'rates'!$A$2:$A$522,1)))</f>
        <v>2117463.0288</v>
      </c>
      <c r="N69">
        <f t="shared" si="1"/>
        <v>60</v>
      </c>
    </row>
    <row r="70" spans="1:14" x14ac:dyDescent="0.3">
      <c r="A70" t="s">
        <v>3358</v>
      </c>
      <c r="B70" s="1">
        <v>45065</v>
      </c>
      <c r="C70" t="s">
        <v>566</v>
      </c>
      <c r="D70" t="s">
        <v>36</v>
      </c>
      <c r="E70">
        <v>367</v>
      </c>
      <c r="F70" t="s">
        <v>3262</v>
      </c>
      <c r="G70">
        <v>26974.5</v>
      </c>
      <c r="H70" t="s">
        <v>556</v>
      </c>
      <c r="J70" t="s">
        <v>3263</v>
      </c>
      <c r="K70">
        <v>73.5</v>
      </c>
      <c r="L70" s="1">
        <v>45095</v>
      </c>
      <c r="M70">
        <f>G70*IF(D70="INR",1,INDEX('rates'!$B$2:$B$522,MATCH(B70,'rates'!$A$2:$A$522,1)))</f>
        <v>2229442.4250000003</v>
      </c>
      <c r="N70">
        <f t="shared" si="1"/>
        <v>30</v>
      </c>
    </row>
    <row r="71" spans="1:14" x14ac:dyDescent="0.3">
      <c r="A71" t="s">
        <v>3333</v>
      </c>
      <c r="B71" s="1">
        <v>45051</v>
      </c>
      <c r="C71" t="s">
        <v>566</v>
      </c>
      <c r="D71" t="s">
        <v>36</v>
      </c>
      <c r="E71">
        <v>1072</v>
      </c>
      <c r="F71" t="s">
        <v>3262</v>
      </c>
      <c r="G71">
        <v>81139.679999999993</v>
      </c>
      <c r="H71" t="s">
        <v>573</v>
      </c>
      <c r="I71">
        <v>86.03</v>
      </c>
      <c r="J71" t="s">
        <v>3263</v>
      </c>
      <c r="K71">
        <v>75.69</v>
      </c>
      <c r="L71" s="1">
        <v>45096</v>
      </c>
      <c r="M71">
        <f>G71*IF(D71="INR",1,INDEX('rates'!$B$2:$B$522,MATCH(B71,'rates'!$A$2:$A$522,1)))</f>
        <v>6638037.2207999993</v>
      </c>
      <c r="N71">
        <f t="shared" si="1"/>
        <v>45</v>
      </c>
    </row>
    <row r="72" spans="1:14" x14ac:dyDescent="0.3">
      <c r="A72" t="s">
        <v>3302</v>
      </c>
      <c r="B72" s="1">
        <v>45037</v>
      </c>
      <c r="C72" t="s">
        <v>558</v>
      </c>
      <c r="D72" t="s">
        <v>36</v>
      </c>
      <c r="E72">
        <v>1273</v>
      </c>
      <c r="F72" t="s">
        <v>3262</v>
      </c>
      <c r="G72">
        <v>105697.19</v>
      </c>
      <c r="H72" t="s">
        <v>556</v>
      </c>
      <c r="J72" t="s">
        <v>3263</v>
      </c>
      <c r="K72">
        <v>83.03</v>
      </c>
      <c r="L72" s="1">
        <v>45097</v>
      </c>
      <c r="M72">
        <f>G72*IF(D72="INR",1,INDEX('rates'!$B$2:$B$522,MATCH(B72,'rates'!$A$2:$A$522,1)))</f>
        <v>8673511.4113999996</v>
      </c>
      <c r="N72">
        <f t="shared" si="1"/>
        <v>60</v>
      </c>
    </row>
    <row r="73" spans="1:14" x14ac:dyDescent="0.3">
      <c r="A73" t="s">
        <v>3304</v>
      </c>
      <c r="B73" s="1">
        <v>45037</v>
      </c>
      <c r="C73" t="s">
        <v>554</v>
      </c>
      <c r="D73" t="s">
        <v>36</v>
      </c>
      <c r="E73">
        <v>658</v>
      </c>
      <c r="F73" t="s">
        <v>3262</v>
      </c>
      <c r="G73">
        <v>53778.34</v>
      </c>
      <c r="H73" t="s">
        <v>573</v>
      </c>
      <c r="I73">
        <v>86.03</v>
      </c>
      <c r="J73" t="s">
        <v>3263</v>
      </c>
      <c r="K73">
        <v>81.73</v>
      </c>
      <c r="L73" s="1">
        <v>45097</v>
      </c>
      <c r="M73">
        <f>G73*IF(D73="INR",1,INDEX('rates'!$B$2:$B$522,MATCH(B73,'rates'!$A$2:$A$522,1)))</f>
        <v>4413050.5803999994</v>
      </c>
      <c r="N73">
        <f t="shared" si="1"/>
        <v>60</v>
      </c>
    </row>
    <row r="74" spans="1:14" x14ac:dyDescent="0.3">
      <c r="A74" t="s">
        <v>3309</v>
      </c>
      <c r="B74" s="1">
        <v>45037</v>
      </c>
      <c r="C74" t="s">
        <v>554</v>
      </c>
      <c r="D74" t="s">
        <v>36</v>
      </c>
      <c r="E74">
        <v>421</v>
      </c>
      <c r="F74" t="s">
        <v>3262</v>
      </c>
      <c r="G74">
        <v>33587.379999999997</v>
      </c>
      <c r="H74" t="s">
        <v>556</v>
      </c>
      <c r="J74" t="s">
        <v>3263</v>
      </c>
      <c r="K74">
        <v>79.78</v>
      </c>
      <c r="L74" s="1">
        <v>45097</v>
      </c>
      <c r="M74">
        <f>G74*IF(D74="INR",1,INDEX('rates'!$B$2:$B$522,MATCH(B74,'rates'!$A$2:$A$522,1)))</f>
        <v>2756180.4027999998</v>
      </c>
      <c r="N74">
        <f t="shared" si="1"/>
        <v>60</v>
      </c>
    </row>
    <row r="75" spans="1:14" x14ac:dyDescent="0.3">
      <c r="A75" t="s">
        <v>3362</v>
      </c>
      <c r="B75" s="1">
        <v>45068</v>
      </c>
      <c r="C75" t="s">
        <v>575</v>
      </c>
      <c r="D75" t="s">
        <v>13</v>
      </c>
      <c r="E75">
        <v>37074</v>
      </c>
      <c r="F75" t="s">
        <v>3270</v>
      </c>
      <c r="G75">
        <v>3344074.8</v>
      </c>
      <c r="H75" t="s">
        <v>556</v>
      </c>
      <c r="J75" t="s">
        <v>3271</v>
      </c>
      <c r="K75">
        <v>90.2</v>
      </c>
      <c r="L75" s="1">
        <v>45098</v>
      </c>
      <c r="M75">
        <f>G75*IF(D75="INR",1,INDEX('rates'!$B$2:$B$522,MATCH(B75,'rates'!$A$2:$A$522,1)))</f>
        <v>3344074.8</v>
      </c>
      <c r="N75">
        <f t="shared" si="1"/>
        <v>30</v>
      </c>
    </row>
    <row r="76" spans="1:14" x14ac:dyDescent="0.3">
      <c r="A76" t="s">
        <v>3335</v>
      </c>
      <c r="B76" s="1">
        <v>45054</v>
      </c>
      <c r="C76" t="s">
        <v>558</v>
      </c>
      <c r="D76" t="s">
        <v>36</v>
      </c>
      <c r="E76">
        <v>1187</v>
      </c>
      <c r="F76" t="s">
        <v>3262</v>
      </c>
      <c r="G76">
        <v>91125.99</v>
      </c>
      <c r="H76" t="s">
        <v>556</v>
      </c>
      <c r="J76" t="s">
        <v>3263</v>
      </c>
      <c r="K76">
        <v>76.77</v>
      </c>
      <c r="L76" s="1">
        <v>45099</v>
      </c>
      <c r="M76">
        <f>G76*IF(D76="INR",1,INDEX('rates'!$B$2:$B$522,MATCH(B76,'rates'!$A$2:$A$522,1)))</f>
        <v>7452283.4622000009</v>
      </c>
      <c r="N76">
        <f t="shared" si="1"/>
        <v>45</v>
      </c>
    </row>
    <row r="77" spans="1:14" x14ac:dyDescent="0.3">
      <c r="A77" t="s">
        <v>3364</v>
      </c>
      <c r="B77" s="1">
        <v>45069</v>
      </c>
      <c r="C77" t="s">
        <v>558</v>
      </c>
      <c r="D77" t="s">
        <v>13</v>
      </c>
      <c r="E77">
        <v>44974</v>
      </c>
      <c r="F77" t="s">
        <v>3270</v>
      </c>
      <c r="G77">
        <v>2577909.6800000002</v>
      </c>
      <c r="H77" t="s">
        <v>556</v>
      </c>
      <c r="J77" t="s">
        <v>3271</v>
      </c>
      <c r="K77">
        <v>57.32</v>
      </c>
      <c r="L77" s="1">
        <v>45099</v>
      </c>
      <c r="M77">
        <f>G77*IF(D77="INR",1,INDEX('rates'!$B$2:$B$522,MATCH(B77,'rates'!$A$2:$A$522,1)))</f>
        <v>2577909.6800000002</v>
      </c>
      <c r="N77">
        <f t="shared" si="1"/>
        <v>30</v>
      </c>
    </row>
    <row r="78" spans="1:14" x14ac:dyDescent="0.3">
      <c r="A78" t="s">
        <v>3339</v>
      </c>
      <c r="B78" s="1">
        <v>45056</v>
      </c>
      <c r="C78" t="s">
        <v>558</v>
      </c>
      <c r="D78" t="s">
        <v>13</v>
      </c>
      <c r="E78">
        <v>83334</v>
      </c>
      <c r="F78" t="s">
        <v>3270</v>
      </c>
      <c r="G78">
        <v>7626727.6799999997</v>
      </c>
      <c r="H78" t="s">
        <v>556</v>
      </c>
      <c r="J78" t="s">
        <v>3271</v>
      </c>
      <c r="K78">
        <v>91.52</v>
      </c>
      <c r="L78" s="1">
        <v>45101</v>
      </c>
      <c r="M78">
        <f>G78*IF(D78="INR",1,INDEX('rates'!$B$2:$B$522,MATCH(B78,'rates'!$A$2:$A$522,1)))</f>
        <v>7626727.6799999997</v>
      </c>
      <c r="N78">
        <f t="shared" si="1"/>
        <v>45</v>
      </c>
    </row>
    <row r="79" spans="1:14" x14ac:dyDescent="0.3">
      <c r="A79" t="s">
        <v>3368</v>
      </c>
      <c r="B79" s="1">
        <v>45071</v>
      </c>
      <c r="C79" t="s">
        <v>560</v>
      </c>
      <c r="D79" t="s">
        <v>13</v>
      </c>
      <c r="E79">
        <v>66908</v>
      </c>
      <c r="F79" t="s">
        <v>3270</v>
      </c>
      <c r="G79">
        <v>4453396.4800000004</v>
      </c>
      <c r="H79" t="s">
        <v>556</v>
      </c>
      <c r="J79" t="s">
        <v>3271</v>
      </c>
      <c r="K79">
        <v>66.56</v>
      </c>
      <c r="L79" s="1">
        <v>45101</v>
      </c>
      <c r="M79">
        <f>G79*IF(D79="INR",1,INDEX('rates'!$B$2:$B$522,MATCH(B79,'rates'!$A$2:$A$522,1)))</f>
        <v>4453396.4800000004</v>
      </c>
      <c r="N79">
        <f t="shared" si="1"/>
        <v>30</v>
      </c>
    </row>
    <row r="80" spans="1:14" x14ac:dyDescent="0.3">
      <c r="A80" t="s">
        <v>3369</v>
      </c>
      <c r="B80" s="1">
        <v>45071</v>
      </c>
      <c r="C80" t="s">
        <v>560</v>
      </c>
      <c r="D80" t="s">
        <v>13</v>
      </c>
      <c r="E80">
        <v>69810</v>
      </c>
      <c r="F80" t="s">
        <v>3270</v>
      </c>
      <c r="G80">
        <v>5629478.4000000004</v>
      </c>
      <c r="H80" t="s">
        <v>556</v>
      </c>
      <c r="J80" t="s">
        <v>3271</v>
      </c>
      <c r="K80">
        <v>80.64</v>
      </c>
      <c r="L80" s="1">
        <v>45101</v>
      </c>
      <c r="M80">
        <f>G80*IF(D80="INR",1,INDEX('rates'!$B$2:$B$522,MATCH(B80,'rates'!$A$2:$A$522,1)))</f>
        <v>5629478.4000000004</v>
      </c>
      <c r="N80">
        <f t="shared" si="1"/>
        <v>30</v>
      </c>
    </row>
    <row r="81" spans="1:14" x14ac:dyDescent="0.3">
      <c r="A81" t="s">
        <v>3316</v>
      </c>
      <c r="B81" s="1">
        <v>45042</v>
      </c>
      <c r="C81" t="s">
        <v>558</v>
      </c>
      <c r="D81" t="s">
        <v>36</v>
      </c>
      <c r="E81">
        <v>1048</v>
      </c>
      <c r="F81" t="s">
        <v>3262</v>
      </c>
      <c r="G81">
        <v>84730.8</v>
      </c>
      <c r="H81" t="s">
        <v>556</v>
      </c>
      <c r="J81" t="s">
        <v>3263</v>
      </c>
      <c r="K81">
        <v>80.849999999999994</v>
      </c>
      <c r="L81" s="1">
        <v>45102</v>
      </c>
      <c r="M81">
        <f>G81*IF(D81="INR",1,INDEX('rates'!$B$2:$B$522,MATCH(B81,'rates'!$A$2:$A$522,1)))</f>
        <v>6925895.5920000002</v>
      </c>
      <c r="N81">
        <f t="shared" si="1"/>
        <v>60</v>
      </c>
    </row>
    <row r="82" spans="1:14" x14ac:dyDescent="0.3">
      <c r="A82" t="s">
        <v>3342</v>
      </c>
      <c r="B82" s="1">
        <v>45057</v>
      </c>
      <c r="C82" t="s">
        <v>558</v>
      </c>
      <c r="D82" t="s">
        <v>36</v>
      </c>
      <c r="E82">
        <v>759</v>
      </c>
      <c r="F82" t="s">
        <v>3262</v>
      </c>
      <c r="G82">
        <v>57372.81</v>
      </c>
      <c r="H82" t="s">
        <v>573</v>
      </c>
      <c r="I82">
        <v>86.03</v>
      </c>
      <c r="J82" t="s">
        <v>3263</v>
      </c>
      <c r="K82">
        <v>75.59</v>
      </c>
      <c r="L82" s="1">
        <v>45102</v>
      </c>
      <c r="M82">
        <f>G82*IF(D82="INR",1,INDEX('rates'!$B$2:$B$522,MATCH(B82,'rates'!$A$2:$A$522,1)))</f>
        <v>4712028.8852999993</v>
      </c>
      <c r="N82">
        <f t="shared" si="1"/>
        <v>45</v>
      </c>
    </row>
    <row r="83" spans="1:14" x14ac:dyDescent="0.3">
      <c r="A83" t="s">
        <v>3370</v>
      </c>
      <c r="B83" s="1">
        <v>45072</v>
      </c>
      <c r="C83" t="s">
        <v>566</v>
      </c>
      <c r="D83" t="s">
        <v>36</v>
      </c>
      <c r="E83">
        <v>5334</v>
      </c>
      <c r="F83" t="s">
        <v>3262</v>
      </c>
      <c r="G83">
        <v>409277.82</v>
      </c>
      <c r="H83" t="s">
        <v>573</v>
      </c>
      <c r="I83">
        <v>86.03</v>
      </c>
      <c r="J83" t="s">
        <v>3263</v>
      </c>
      <c r="K83">
        <v>76.73</v>
      </c>
      <c r="L83" s="1">
        <v>45102</v>
      </c>
      <c r="M83">
        <f>G83*IF(D83="INR",1,INDEX('rates'!$B$2:$B$522,MATCH(B83,'rates'!$A$2:$A$522,1)))</f>
        <v>33798162.375600003</v>
      </c>
      <c r="N83">
        <f t="shared" si="1"/>
        <v>30</v>
      </c>
    </row>
    <row r="84" spans="1:14" x14ac:dyDescent="0.3">
      <c r="A84" t="s">
        <v>3373</v>
      </c>
      <c r="B84" s="1">
        <v>45072</v>
      </c>
      <c r="C84" t="s">
        <v>560</v>
      </c>
      <c r="D84" t="s">
        <v>13</v>
      </c>
      <c r="E84">
        <v>131867</v>
      </c>
      <c r="F84" t="s">
        <v>3270</v>
      </c>
      <c r="G84">
        <v>12305828.439999999</v>
      </c>
      <c r="H84" t="s">
        <v>556</v>
      </c>
      <c r="J84" t="s">
        <v>3271</v>
      </c>
      <c r="K84">
        <v>93.32</v>
      </c>
      <c r="L84" s="1">
        <v>45102</v>
      </c>
      <c r="M84">
        <f>G84*IF(D84="INR",1,INDEX('rates'!$B$2:$B$522,MATCH(B84,'rates'!$A$2:$A$522,1)))</f>
        <v>12305828.439999999</v>
      </c>
      <c r="N84">
        <f t="shared" si="1"/>
        <v>30</v>
      </c>
    </row>
    <row r="85" spans="1:14" x14ac:dyDescent="0.3">
      <c r="A85" t="s">
        <v>3374</v>
      </c>
      <c r="B85" s="1">
        <v>45072</v>
      </c>
      <c r="C85" t="s">
        <v>566</v>
      </c>
      <c r="D85" t="s">
        <v>36</v>
      </c>
      <c r="E85">
        <v>1839</v>
      </c>
      <c r="F85" t="s">
        <v>3262</v>
      </c>
      <c r="G85">
        <v>143846.57999999999</v>
      </c>
      <c r="H85" t="s">
        <v>556</v>
      </c>
      <c r="J85" t="s">
        <v>3263</v>
      </c>
      <c r="K85">
        <v>78.22</v>
      </c>
      <c r="L85" s="1">
        <v>45102</v>
      </c>
      <c r="M85">
        <f>G85*IF(D85="INR",1,INDEX('rates'!$B$2:$B$522,MATCH(B85,'rates'!$A$2:$A$522,1)))</f>
        <v>11878850.576399999</v>
      </c>
      <c r="N85">
        <f t="shared" si="1"/>
        <v>30</v>
      </c>
    </row>
    <row r="86" spans="1:14" x14ac:dyDescent="0.3">
      <c r="A86" t="s">
        <v>3375</v>
      </c>
      <c r="B86" s="1">
        <v>45072</v>
      </c>
      <c r="C86" t="s">
        <v>558</v>
      </c>
      <c r="D86" t="s">
        <v>36</v>
      </c>
      <c r="E86">
        <v>163</v>
      </c>
      <c r="F86" t="s">
        <v>3262</v>
      </c>
      <c r="G86">
        <v>12340.73</v>
      </c>
      <c r="H86" t="s">
        <v>556</v>
      </c>
      <c r="J86" t="s">
        <v>3263</v>
      </c>
      <c r="K86">
        <v>75.709999999999994</v>
      </c>
      <c r="L86" s="1">
        <v>45102</v>
      </c>
      <c r="M86">
        <f>G86*IF(D86="INR",1,INDEX('rates'!$B$2:$B$522,MATCH(B86,'rates'!$A$2:$A$522,1)))</f>
        <v>1019097.4833999999</v>
      </c>
      <c r="N86">
        <f t="shared" si="1"/>
        <v>30</v>
      </c>
    </row>
    <row r="87" spans="1:14" x14ac:dyDescent="0.3">
      <c r="A87" t="s">
        <v>3317</v>
      </c>
      <c r="B87" s="1">
        <v>45043</v>
      </c>
      <c r="C87" t="s">
        <v>566</v>
      </c>
      <c r="D87" t="s">
        <v>36</v>
      </c>
      <c r="E87">
        <v>666</v>
      </c>
      <c r="F87" t="s">
        <v>3262</v>
      </c>
      <c r="G87">
        <v>51801.48</v>
      </c>
      <c r="H87" t="s">
        <v>556</v>
      </c>
      <c r="J87" t="s">
        <v>3263</v>
      </c>
      <c r="K87">
        <v>77.78</v>
      </c>
      <c r="L87" s="1">
        <v>45103</v>
      </c>
      <c r="M87">
        <f>G87*IF(D87="INR",1,INDEX('rates'!$B$2:$B$522,MATCH(B87,'rates'!$A$2:$A$522,1)))</f>
        <v>4239433.1232000003</v>
      </c>
      <c r="N87">
        <f t="shared" si="1"/>
        <v>60</v>
      </c>
    </row>
    <row r="88" spans="1:14" x14ac:dyDescent="0.3">
      <c r="A88" t="s">
        <v>3320</v>
      </c>
      <c r="B88" s="1">
        <v>45043</v>
      </c>
      <c r="C88" t="s">
        <v>558</v>
      </c>
      <c r="D88" t="s">
        <v>36</v>
      </c>
      <c r="E88">
        <v>5682</v>
      </c>
      <c r="F88" t="s">
        <v>3262</v>
      </c>
      <c r="G88">
        <v>439048.14</v>
      </c>
      <c r="H88" t="s">
        <v>573</v>
      </c>
      <c r="I88">
        <v>86.03</v>
      </c>
      <c r="J88" t="s">
        <v>3263</v>
      </c>
      <c r="K88">
        <v>77.27</v>
      </c>
      <c r="L88" s="1">
        <v>45103</v>
      </c>
      <c r="M88">
        <f>G88*IF(D88="INR",1,INDEX('rates'!$B$2:$B$522,MATCH(B88,'rates'!$A$2:$A$522,1)))</f>
        <v>35931699.777600005</v>
      </c>
      <c r="N88">
        <f t="shared" si="1"/>
        <v>60</v>
      </c>
    </row>
    <row r="89" spans="1:14" x14ac:dyDescent="0.3">
      <c r="A89" t="s">
        <v>3345</v>
      </c>
      <c r="B89" s="1">
        <v>45058</v>
      </c>
      <c r="C89" t="s">
        <v>566</v>
      </c>
      <c r="D89" t="s">
        <v>36</v>
      </c>
      <c r="E89">
        <v>413</v>
      </c>
      <c r="F89" t="s">
        <v>3262</v>
      </c>
      <c r="G89">
        <v>31284.75</v>
      </c>
      <c r="H89" t="s">
        <v>573</v>
      </c>
      <c r="I89">
        <v>86.03</v>
      </c>
      <c r="J89" t="s">
        <v>3263</v>
      </c>
      <c r="K89">
        <v>75.75</v>
      </c>
      <c r="L89" s="1">
        <v>45103</v>
      </c>
      <c r="M89">
        <f>G89*IF(D89="INR",1,INDEX('rates'!$B$2:$B$522,MATCH(B89,'rates'!$A$2:$A$522,1)))</f>
        <v>2570667.9075000002</v>
      </c>
      <c r="N89">
        <f t="shared" si="1"/>
        <v>45</v>
      </c>
    </row>
    <row r="90" spans="1:14" x14ac:dyDescent="0.3">
      <c r="A90" t="s">
        <v>3346</v>
      </c>
      <c r="B90" s="1">
        <v>45058</v>
      </c>
      <c r="C90" t="s">
        <v>566</v>
      </c>
      <c r="D90" t="s">
        <v>36</v>
      </c>
      <c r="E90">
        <v>192</v>
      </c>
      <c r="F90" t="s">
        <v>3262</v>
      </c>
      <c r="G90">
        <v>14238.72</v>
      </c>
      <c r="H90" t="s">
        <v>573</v>
      </c>
      <c r="I90">
        <v>86.03</v>
      </c>
      <c r="J90" t="s">
        <v>3263</v>
      </c>
      <c r="K90">
        <v>74.16</v>
      </c>
      <c r="L90" s="1">
        <v>45103</v>
      </c>
      <c r="M90">
        <f>G90*IF(D90="INR",1,INDEX('rates'!$B$2:$B$522,MATCH(B90,'rates'!$A$2:$A$522,1)))</f>
        <v>1169995.6224</v>
      </c>
      <c r="N90">
        <f t="shared" si="1"/>
        <v>45</v>
      </c>
    </row>
    <row r="91" spans="1:14" x14ac:dyDescent="0.3">
      <c r="A91" t="s">
        <v>3347</v>
      </c>
      <c r="B91" s="1">
        <v>45058</v>
      </c>
      <c r="C91" t="s">
        <v>566</v>
      </c>
      <c r="D91" t="s">
        <v>13</v>
      </c>
      <c r="E91">
        <v>44366</v>
      </c>
      <c r="F91" t="s">
        <v>3270</v>
      </c>
      <c r="G91">
        <v>3674392.12</v>
      </c>
      <c r="H91" t="s">
        <v>556</v>
      </c>
      <c r="J91" t="s">
        <v>3271</v>
      </c>
      <c r="K91">
        <v>82.82</v>
      </c>
      <c r="L91" s="1">
        <v>45103</v>
      </c>
      <c r="M91">
        <f>G91*IF(D91="INR",1,INDEX('rates'!$B$2:$B$522,MATCH(B91,'rates'!$A$2:$A$522,1)))</f>
        <v>3674392.12</v>
      </c>
      <c r="N91">
        <f t="shared" si="1"/>
        <v>45</v>
      </c>
    </row>
    <row r="92" spans="1:14" x14ac:dyDescent="0.3">
      <c r="A92" t="s">
        <v>3349</v>
      </c>
      <c r="B92" s="1">
        <v>45058</v>
      </c>
      <c r="C92" t="s">
        <v>566</v>
      </c>
      <c r="D92" t="s">
        <v>13</v>
      </c>
      <c r="E92">
        <v>145396</v>
      </c>
      <c r="F92" t="s">
        <v>3270</v>
      </c>
      <c r="G92">
        <v>12153651.640000001</v>
      </c>
      <c r="H92" t="s">
        <v>556</v>
      </c>
      <c r="J92" t="s">
        <v>3271</v>
      </c>
      <c r="K92">
        <v>83.59</v>
      </c>
      <c r="L92" s="1">
        <v>45103</v>
      </c>
      <c r="M92">
        <f>G92*IF(D92="INR",1,INDEX('rates'!$B$2:$B$522,MATCH(B92,'rates'!$A$2:$A$522,1)))</f>
        <v>12153651.640000001</v>
      </c>
      <c r="N92">
        <f t="shared" si="1"/>
        <v>45</v>
      </c>
    </row>
    <row r="93" spans="1:14" x14ac:dyDescent="0.3">
      <c r="A93" t="s">
        <v>3323</v>
      </c>
      <c r="B93" s="1">
        <v>45044</v>
      </c>
      <c r="C93" t="s">
        <v>566</v>
      </c>
      <c r="D93" t="s">
        <v>36</v>
      </c>
      <c r="E93">
        <v>529</v>
      </c>
      <c r="F93" t="s">
        <v>3262</v>
      </c>
      <c r="G93">
        <v>43552.57</v>
      </c>
      <c r="H93" t="s">
        <v>573</v>
      </c>
      <c r="I93">
        <v>86.03</v>
      </c>
      <c r="J93" t="s">
        <v>3263</v>
      </c>
      <c r="K93">
        <v>82.33</v>
      </c>
      <c r="L93" s="1">
        <v>45104</v>
      </c>
      <c r="M93">
        <f>G93*IF(D93="INR",1,INDEX('rates'!$B$2:$B$522,MATCH(B93,'rates'!$A$2:$A$522,1)))</f>
        <v>3564342.3288000003</v>
      </c>
      <c r="N93">
        <f t="shared" si="1"/>
        <v>60</v>
      </c>
    </row>
    <row r="94" spans="1:14" x14ac:dyDescent="0.3">
      <c r="A94" t="s">
        <v>3324</v>
      </c>
      <c r="B94" s="1">
        <v>45044</v>
      </c>
      <c r="C94" t="s">
        <v>558</v>
      </c>
      <c r="D94" t="s">
        <v>13</v>
      </c>
      <c r="E94">
        <v>60556</v>
      </c>
      <c r="F94" t="s">
        <v>3270</v>
      </c>
      <c r="G94">
        <v>5651085.9199999999</v>
      </c>
      <c r="H94" t="s">
        <v>556</v>
      </c>
      <c r="J94" t="s">
        <v>3271</v>
      </c>
      <c r="K94">
        <v>93.32</v>
      </c>
      <c r="L94" s="1">
        <v>45104</v>
      </c>
      <c r="M94">
        <f>G94*IF(D94="INR",1,INDEX('rates'!$B$2:$B$522,MATCH(B94,'rates'!$A$2:$A$522,1)))</f>
        <v>5651085.9199999999</v>
      </c>
      <c r="N94">
        <f t="shared" si="1"/>
        <v>60</v>
      </c>
    </row>
    <row r="95" spans="1:14" x14ac:dyDescent="0.3">
      <c r="A95" t="s">
        <v>3325</v>
      </c>
      <c r="B95" s="1">
        <v>45044</v>
      </c>
      <c r="C95" t="s">
        <v>566</v>
      </c>
      <c r="D95" t="s">
        <v>36</v>
      </c>
      <c r="E95">
        <v>1148</v>
      </c>
      <c r="F95" t="s">
        <v>3262</v>
      </c>
      <c r="G95">
        <v>93986.76</v>
      </c>
      <c r="H95" t="s">
        <v>573</v>
      </c>
      <c r="I95">
        <v>86.03</v>
      </c>
      <c r="J95" t="s">
        <v>3263</v>
      </c>
      <c r="K95">
        <v>81.87</v>
      </c>
      <c r="L95" s="1">
        <v>45104</v>
      </c>
      <c r="M95">
        <f>G95*IF(D95="INR",1,INDEX('rates'!$B$2:$B$522,MATCH(B95,'rates'!$A$2:$A$522,1)))</f>
        <v>7691876.4384000003</v>
      </c>
      <c r="N95">
        <f t="shared" si="1"/>
        <v>60</v>
      </c>
    </row>
    <row r="96" spans="1:14" x14ac:dyDescent="0.3">
      <c r="A96" t="s">
        <v>3326</v>
      </c>
      <c r="B96" s="1">
        <v>45044</v>
      </c>
      <c r="C96" t="s">
        <v>575</v>
      </c>
      <c r="D96" t="s">
        <v>36</v>
      </c>
      <c r="E96">
        <v>396</v>
      </c>
      <c r="F96" t="s">
        <v>3262</v>
      </c>
      <c r="G96">
        <v>31810.68</v>
      </c>
      <c r="H96" t="s">
        <v>573</v>
      </c>
      <c r="I96">
        <v>86.03</v>
      </c>
      <c r="J96" t="s">
        <v>3263</v>
      </c>
      <c r="K96">
        <v>80.33</v>
      </c>
      <c r="L96" s="1">
        <v>45104</v>
      </c>
      <c r="M96">
        <f>G96*IF(D96="INR",1,INDEX('rates'!$B$2:$B$522,MATCH(B96,'rates'!$A$2:$A$522,1)))</f>
        <v>2603386.0512000001</v>
      </c>
      <c r="N96">
        <f t="shared" si="1"/>
        <v>60</v>
      </c>
    </row>
    <row r="97" spans="1:14" x14ac:dyDescent="0.3">
      <c r="A97" t="s">
        <v>3327</v>
      </c>
      <c r="B97" s="1">
        <v>45044</v>
      </c>
      <c r="C97" t="s">
        <v>566</v>
      </c>
      <c r="D97" t="s">
        <v>36</v>
      </c>
      <c r="E97">
        <v>1010</v>
      </c>
      <c r="F97" t="s">
        <v>3262</v>
      </c>
      <c r="G97">
        <v>81961.5</v>
      </c>
      <c r="H97" t="s">
        <v>573</v>
      </c>
      <c r="I97">
        <v>86.03</v>
      </c>
      <c r="J97" t="s">
        <v>3263</v>
      </c>
      <c r="K97">
        <v>81.150000000000006</v>
      </c>
      <c r="L97" s="1">
        <v>45104</v>
      </c>
      <c r="M97">
        <f>G97*IF(D97="INR",1,INDEX('rates'!$B$2:$B$522,MATCH(B97,'rates'!$A$2:$A$522,1)))</f>
        <v>6707729.1600000001</v>
      </c>
      <c r="N97">
        <f t="shared" si="1"/>
        <v>60</v>
      </c>
    </row>
    <row r="98" spans="1:14" x14ac:dyDescent="0.3">
      <c r="A98" t="s">
        <v>3377</v>
      </c>
      <c r="B98" s="1">
        <v>45075</v>
      </c>
      <c r="C98" t="s">
        <v>558</v>
      </c>
      <c r="D98" t="s">
        <v>36</v>
      </c>
      <c r="E98">
        <v>419</v>
      </c>
      <c r="F98" t="s">
        <v>3262</v>
      </c>
      <c r="G98">
        <v>32313.279999999999</v>
      </c>
      <c r="H98" t="s">
        <v>556</v>
      </c>
      <c r="J98" t="s">
        <v>3263</v>
      </c>
      <c r="K98">
        <v>77.12</v>
      </c>
      <c r="L98" s="1">
        <v>45105</v>
      </c>
      <c r="M98">
        <f>G98*IF(D98="INR",1,INDEX('rates'!$B$2:$B$522,MATCH(B98,'rates'!$A$2:$A$522,1)))</f>
        <v>2668430.6623999998</v>
      </c>
      <c r="N98">
        <f t="shared" si="1"/>
        <v>30</v>
      </c>
    </row>
    <row r="99" spans="1:14" x14ac:dyDescent="0.3">
      <c r="A99" t="s">
        <v>3378</v>
      </c>
      <c r="B99" s="1">
        <v>45075</v>
      </c>
      <c r="C99" t="s">
        <v>558</v>
      </c>
      <c r="D99" t="s">
        <v>36</v>
      </c>
      <c r="E99">
        <v>666</v>
      </c>
      <c r="F99" t="s">
        <v>3262</v>
      </c>
      <c r="G99">
        <v>51015.6</v>
      </c>
      <c r="H99" t="s">
        <v>573</v>
      </c>
      <c r="I99">
        <v>86.03</v>
      </c>
      <c r="J99" t="s">
        <v>3263</v>
      </c>
      <c r="K99">
        <v>76.599999999999994</v>
      </c>
      <c r="L99" s="1">
        <v>45105</v>
      </c>
      <c r="M99">
        <f>G99*IF(D99="INR",1,INDEX('rates'!$B$2:$B$522,MATCH(B99,'rates'!$A$2:$A$522,1)))</f>
        <v>4212868.2479999997</v>
      </c>
      <c r="N99">
        <f t="shared" si="1"/>
        <v>30</v>
      </c>
    </row>
    <row r="100" spans="1:14" x14ac:dyDescent="0.3">
      <c r="A100" t="s">
        <v>3379</v>
      </c>
      <c r="B100" s="1">
        <v>45075</v>
      </c>
      <c r="C100" t="s">
        <v>566</v>
      </c>
      <c r="D100" t="s">
        <v>36</v>
      </c>
      <c r="E100">
        <v>730</v>
      </c>
      <c r="F100" t="s">
        <v>3262</v>
      </c>
      <c r="G100">
        <v>55275.6</v>
      </c>
      <c r="H100" t="s">
        <v>556</v>
      </c>
      <c r="J100" t="s">
        <v>3263</v>
      </c>
      <c r="K100">
        <v>75.72</v>
      </c>
      <c r="L100" s="1">
        <v>45105</v>
      </c>
      <c r="M100">
        <f>G100*IF(D100="INR",1,INDEX('rates'!$B$2:$B$522,MATCH(B100,'rates'!$A$2:$A$522,1)))</f>
        <v>4564659.0479999995</v>
      </c>
      <c r="N100">
        <f t="shared" si="1"/>
        <v>30</v>
      </c>
    </row>
    <row r="101" spans="1:14" x14ac:dyDescent="0.3">
      <c r="A101" t="s">
        <v>3380</v>
      </c>
      <c r="B101" s="1">
        <v>45075</v>
      </c>
      <c r="C101" t="s">
        <v>566</v>
      </c>
      <c r="D101" t="s">
        <v>36</v>
      </c>
      <c r="E101">
        <v>1286</v>
      </c>
      <c r="F101" t="s">
        <v>3262</v>
      </c>
      <c r="G101">
        <v>98237.54</v>
      </c>
      <c r="H101" t="s">
        <v>573</v>
      </c>
      <c r="I101">
        <v>86.03</v>
      </c>
      <c r="J101" t="s">
        <v>3263</v>
      </c>
      <c r="K101">
        <v>76.39</v>
      </c>
      <c r="L101" s="1">
        <v>45105</v>
      </c>
      <c r="M101">
        <f>G101*IF(D101="INR",1,INDEX('rates'!$B$2:$B$522,MATCH(B101,'rates'!$A$2:$A$522,1)))</f>
        <v>8112456.053199999</v>
      </c>
      <c r="N101">
        <f t="shared" si="1"/>
        <v>30</v>
      </c>
    </row>
    <row r="102" spans="1:14" x14ac:dyDescent="0.3">
      <c r="A102" t="s">
        <v>3382</v>
      </c>
      <c r="B102" s="1">
        <v>45077</v>
      </c>
      <c r="C102" t="s">
        <v>560</v>
      </c>
      <c r="D102" t="s">
        <v>13</v>
      </c>
      <c r="E102">
        <v>299723</v>
      </c>
      <c r="F102" t="s">
        <v>3270</v>
      </c>
      <c r="G102">
        <v>26789241.739999998</v>
      </c>
      <c r="H102" t="s">
        <v>556</v>
      </c>
      <c r="J102" t="s">
        <v>3271</v>
      </c>
      <c r="K102">
        <v>89.38</v>
      </c>
      <c r="L102" s="1">
        <v>45107</v>
      </c>
      <c r="M102">
        <f>G102*IF(D102="INR",1,INDEX('rates'!$B$2:$B$522,MATCH(B102,'rates'!$A$2:$A$522,1)))</f>
        <v>26789241.739999998</v>
      </c>
      <c r="N102">
        <f t="shared" si="1"/>
        <v>30</v>
      </c>
    </row>
    <row r="103" spans="1:14" x14ac:dyDescent="0.3">
      <c r="A103" t="s">
        <v>3383</v>
      </c>
      <c r="B103" s="1">
        <v>45078</v>
      </c>
      <c r="C103" t="s">
        <v>566</v>
      </c>
      <c r="D103" t="s">
        <v>36</v>
      </c>
      <c r="E103">
        <v>500</v>
      </c>
      <c r="F103" t="s">
        <v>3262</v>
      </c>
      <c r="G103">
        <v>36995</v>
      </c>
      <c r="H103" t="s">
        <v>573</v>
      </c>
      <c r="I103">
        <v>86.03</v>
      </c>
      <c r="J103" t="s">
        <v>3263</v>
      </c>
      <c r="K103">
        <v>73.989999999999995</v>
      </c>
      <c r="L103" s="1">
        <v>45108</v>
      </c>
      <c r="M103">
        <f>G103*IF(D103="INR",1,INDEX('rates'!$B$2:$B$522,MATCH(B103,'rates'!$A$2:$A$522,1)))</f>
        <v>3048757.9499999997</v>
      </c>
      <c r="N103">
        <f t="shared" si="1"/>
        <v>30</v>
      </c>
    </row>
    <row r="104" spans="1:14" x14ac:dyDescent="0.3">
      <c r="A104" t="s">
        <v>3384</v>
      </c>
      <c r="B104" s="1">
        <v>45078</v>
      </c>
      <c r="C104" t="s">
        <v>575</v>
      </c>
      <c r="D104" t="s">
        <v>36</v>
      </c>
      <c r="E104">
        <v>647</v>
      </c>
      <c r="F104" t="s">
        <v>3262</v>
      </c>
      <c r="G104">
        <v>49249.64</v>
      </c>
      <c r="H104" t="s">
        <v>573</v>
      </c>
      <c r="I104">
        <v>86.03</v>
      </c>
      <c r="J104" t="s">
        <v>3263</v>
      </c>
      <c r="K104">
        <v>76.12</v>
      </c>
      <c r="L104" s="1">
        <v>45108</v>
      </c>
      <c r="M104">
        <f>G104*IF(D104="INR",1,INDEX('rates'!$B$2:$B$522,MATCH(B104,'rates'!$A$2:$A$522,1)))</f>
        <v>4058662.8323999997</v>
      </c>
      <c r="N104">
        <f t="shared" si="1"/>
        <v>30</v>
      </c>
    </row>
    <row r="105" spans="1:14" x14ac:dyDescent="0.3">
      <c r="A105" t="s">
        <v>3389</v>
      </c>
      <c r="B105" s="1">
        <v>45079</v>
      </c>
      <c r="C105" t="s">
        <v>558</v>
      </c>
      <c r="D105" t="s">
        <v>13</v>
      </c>
      <c r="E105">
        <v>43711</v>
      </c>
      <c r="F105" t="s">
        <v>3270</v>
      </c>
      <c r="G105">
        <v>2852142.75</v>
      </c>
      <c r="H105" t="s">
        <v>556</v>
      </c>
      <c r="J105" t="s">
        <v>3271</v>
      </c>
      <c r="K105">
        <v>65.25</v>
      </c>
      <c r="L105" s="1">
        <v>45109</v>
      </c>
      <c r="M105">
        <f>G105*IF(D105="INR",1,INDEX('rates'!$B$2:$B$522,MATCH(B105,'rates'!$A$2:$A$522,1)))</f>
        <v>2852142.75</v>
      </c>
      <c r="N105">
        <f t="shared" si="1"/>
        <v>30</v>
      </c>
    </row>
    <row r="106" spans="1:14" x14ac:dyDescent="0.3">
      <c r="A106" t="s">
        <v>3393</v>
      </c>
      <c r="B106" s="1">
        <v>45079</v>
      </c>
      <c r="C106" t="s">
        <v>566</v>
      </c>
      <c r="D106" t="s">
        <v>36</v>
      </c>
      <c r="E106">
        <v>564</v>
      </c>
      <c r="F106" t="s">
        <v>3262</v>
      </c>
      <c r="G106">
        <v>41826.239999999998</v>
      </c>
      <c r="H106" t="s">
        <v>573</v>
      </c>
      <c r="I106">
        <v>86.03</v>
      </c>
      <c r="J106" t="s">
        <v>3263</v>
      </c>
      <c r="K106">
        <v>74.16</v>
      </c>
      <c r="L106" s="1">
        <v>45109</v>
      </c>
      <c r="M106">
        <f>G106*IF(D106="INR",1,INDEX('rates'!$B$2:$B$522,MATCH(B106,'rates'!$A$2:$A$522,1)))</f>
        <v>3444390.8639999996</v>
      </c>
      <c r="N106">
        <f t="shared" si="1"/>
        <v>30</v>
      </c>
    </row>
    <row r="107" spans="1:14" x14ac:dyDescent="0.3">
      <c r="A107" t="s">
        <v>3330</v>
      </c>
      <c r="B107" s="1">
        <v>45050</v>
      </c>
      <c r="C107" t="s">
        <v>560</v>
      </c>
      <c r="D107" t="s">
        <v>36</v>
      </c>
      <c r="E107">
        <v>894</v>
      </c>
      <c r="F107" t="s">
        <v>3262</v>
      </c>
      <c r="G107">
        <v>64001.46</v>
      </c>
      <c r="H107" t="s">
        <v>573</v>
      </c>
      <c r="I107">
        <v>86.03</v>
      </c>
      <c r="J107" t="s">
        <v>3263</v>
      </c>
      <c r="K107">
        <v>71.59</v>
      </c>
      <c r="L107" s="1">
        <v>45110</v>
      </c>
      <c r="M107">
        <f>G107*IF(D107="INR",1,INDEX('rates'!$B$2:$B$522,MATCH(B107,'rates'!$A$2:$A$522,1)))</f>
        <v>5230839.3257999998</v>
      </c>
      <c r="N107">
        <f t="shared" si="1"/>
        <v>60</v>
      </c>
    </row>
    <row r="108" spans="1:14" x14ac:dyDescent="0.3">
      <c r="A108" t="s">
        <v>3361</v>
      </c>
      <c r="B108" s="1">
        <v>45065</v>
      </c>
      <c r="C108" t="s">
        <v>575</v>
      </c>
      <c r="D108" t="s">
        <v>13</v>
      </c>
      <c r="E108">
        <v>37490</v>
      </c>
      <c r="F108" t="s">
        <v>3270</v>
      </c>
      <c r="G108">
        <v>3288622.8</v>
      </c>
      <c r="H108" t="s">
        <v>556</v>
      </c>
      <c r="J108" t="s">
        <v>3271</v>
      </c>
      <c r="K108">
        <v>87.72</v>
      </c>
      <c r="L108" s="1">
        <v>45110</v>
      </c>
      <c r="M108">
        <f>G108*IF(D108="INR",1,INDEX('rates'!$B$2:$B$522,MATCH(B108,'rates'!$A$2:$A$522,1)))</f>
        <v>3288622.8</v>
      </c>
      <c r="N108">
        <f t="shared" si="1"/>
        <v>45</v>
      </c>
    </row>
    <row r="109" spans="1:14" x14ac:dyDescent="0.3">
      <c r="A109" t="s">
        <v>3332</v>
      </c>
      <c r="B109" s="1">
        <v>45051</v>
      </c>
      <c r="C109" t="s">
        <v>560</v>
      </c>
      <c r="D109" t="s">
        <v>36</v>
      </c>
      <c r="E109">
        <v>842</v>
      </c>
      <c r="F109" t="s">
        <v>3262</v>
      </c>
      <c r="G109">
        <v>64118.3</v>
      </c>
      <c r="H109" t="s">
        <v>573</v>
      </c>
      <c r="I109">
        <v>86.03</v>
      </c>
      <c r="J109" t="s">
        <v>3263</v>
      </c>
      <c r="K109">
        <v>76.150000000000006</v>
      </c>
      <c r="L109" s="1">
        <v>45111</v>
      </c>
      <c r="M109">
        <f>G109*IF(D109="INR",1,INDEX('rates'!$B$2:$B$522,MATCH(B109,'rates'!$A$2:$A$522,1)))</f>
        <v>5245518.1230000006</v>
      </c>
      <c r="N109">
        <f t="shared" si="1"/>
        <v>60</v>
      </c>
    </row>
    <row r="110" spans="1:14" x14ac:dyDescent="0.3">
      <c r="A110" t="s">
        <v>3397</v>
      </c>
      <c r="B110" s="1">
        <v>45082</v>
      </c>
      <c r="C110" t="s">
        <v>558</v>
      </c>
      <c r="D110" t="s">
        <v>36</v>
      </c>
      <c r="E110">
        <v>904</v>
      </c>
      <c r="F110" t="s">
        <v>3262</v>
      </c>
      <c r="G110">
        <v>69300.639999999999</v>
      </c>
      <c r="H110" t="s">
        <v>556</v>
      </c>
      <c r="J110" t="s">
        <v>3263</v>
      </c>
      <c r="K110">
        <v>76.66</v>
      </c>
      <c r="L110" s="1">
        <v>45112</v>
      </c>
      <c r="M110">
        <f>G110*IF(D110="INR",1,INDEX('rates'!$B$2:$B$522,MATCH(B110,'rates'!$A$2:$A$522,1)))</f>
        <v>5729083.9088000003</v>
      </c>
      <c r="N110">
        <f t="shared" si="1"/>
        <v>30</v>
      </c>
    </row>
    <row r="111" spans="1:14" x14ac:dyDescent="0.3">
      <c r="A111" t="s">
        <v>3363</v>
      </c>
      <c r="B111" s="1">
        <v>45068</v>
      </c>
      <c r="C111" t="s">
        <v>558</v>
      </c>
      <c r="D111" t="s">
        <v>36</v>
      </c>
      <c r="E111">
        <v>1195</v>
      </c>
      <c r="F111" t="s">
        <v>3262</v>
      </c>
      <c r="G111">
        <v>92385.45</v>
      </c>
      <c r="H111" t="s">
        <v>573</v>
      </c>
      <c r="I111">
        <v>86.03</v>
      </c>
      <c r="J111" t="s">
        <v>3263</v>
      </c>
      <c r="K111">
        <v>77.31</v>
      </c>
      <c r="L111" s="1">
        <v>45113</v>
      </c>
      <c r="M111">
        <f>G111*IF(D111="INR",1,INDEX('rates'!$B$2:$B$522,MATCH(B111,'rates'!$A$2:$A$522,1)))</f>
        <v>7652286.8234999999</v>
      </c>
      <c r="N111">
        <f t="shared" si="1"/>
        <v>45</v>
      </c>
    </row>
    <row r="112" spans="1:14" x14ac:dyDescent="0.3">
      <c r="A112" t="s">
        <v>3398</v>
      </c>
      <c r="B112" s="1">
        <v>45083</v>
      </c>
      <c r="C112" t="s">
        <v>575</v>
      </c>
      <c r="D112" t="s">
        <v>36</v>
      </c>
      <c r="E112">
        <v>1546</v>
      </c>
      <c r="F112" t="s">
        <v>3262</v>
      </c>
      <c r="G112">
        <v>115965.46</v>
      </c>
      <c r="H112" t="s">
        <v>573</v>
      </c>
      <c r="J112" t="s">
        <v>3263</v>
      </c>
      <c r="K112">
        <v>75.010000000000005</v>
      </c>
      <c r="L112" s="1">
        <v>45113</v>
      </c>
      <c r="M112">
        <f>G112*IF(D112="INR",1,INDEX('rates'!$B$2:$B$522,MATCH(B112,'rates'!$A$2:$A$522,1)))</f>
        <v>9579906.6506000012</v>
      </c>
      <c r="N112">
        <f t="shared" si="1"/>
        <v>30</v>
      </c>
    </row>
    <row r="113" spans="1:14" x14ac:dyDescent="0.3">
      <c r="A113" t="s">
        <v>3400</v>
      </c>
      <c r="B113" s="1">
        <v>45083</v>
      </c>
      <c r="C113" t="s">
        <v>558</v>
      </c>
      <c r="D113" t="s">
        <v>36</v>
      </c>
      <c r="E113">
        <v>1334</v>
      </c>
      <c r="F113" t="s">
        <v>3262</v>
      </c>
      <c r="G113">
        <v>101117.2</v>
      </c>
      <c r="H113" t="s">
        <v>573</v>
      </c>
      <c r="I113">
        <v>86.03</v>
      </c>
      <c r="J113" t="s">
        <v>3263</v>
      </c>
      <c r="K113">
        <v>75.8</v>
      </c>
      <c r="L113" s="1">
        <v>45113</v>
      </c>
      <c r="M113">
        <f>G113*IF(D113="INR",1,INDEX('rates'!$B$2:$B$522,MATCH(B113,'rates'!$A$2:$A$522,1)))</f>
        <v>8353291.892</v>
      </c>
      <c r="N113">
        <f t="shared" si="1"/>
        <v>30</v>
      </c>
    </row>
    <row r="114" spans="1:14" x14ac:dyDescent="0.3">
      <c r="A114" t="s">
        <v>3365</v>
      </c>
      <c r="B114" s="1">
        <v>45069</v>
      </c>
      <c r="C114" t="s">
        <v>554</v>
      </c>
      <c r="D114" t="s">
        <v>36</v>
      </c>
      <c r="E114">
        <v>698</v>
      </c>
      <c r="F114" t="s">
        <v>3262</v>
      </c>
      <c r="G114">
        <v>54576.62</v>
      </c>
      <c r="H114" t="s">
        <v>573</v>
      </c>
      <c r="I114">
        <v>86.03</v>
      </c>
      <c r="J114" t="s">
        <v>3263</v>
      </c>
      <c r="K114">
        <v>78.19</v>
      </c>
      <c r="L114" s="1">
        <v>45114</v>
      </c>
      <c r="M114">
        <f>G114*IF(D114="INR",1,INDEX('rates'!$B$2:$B$522,MATCH(B114,'rates'!$A$2:$A$522,1)))</f>
        <v>4521127.2008000007</v>
      </c>
      <c r="N114">
        <f t="shared" si="1"/>
        <v>45</v>
      </c>
    </row>
    <row r="115" spans="1:14" x14ac:dyDescent="0.3">
      <c r="A115" t="s">
        <v>3401</v>
      </c>
      <c r="B115" s="1">
        <v>45085</v>
      </c>
      <c r="C115" t="s">
        <v>558</v>
      </c>
      <c r="D115" t="s">
        <v>36</v>
      </c>
      <c r="E115">
        <v>437</v>
      </c>
      <c r="F115" t="s">
        <v>3262</v>
      </c>
      <c r="G115">
        <v>33098.379999999997</v>
      </c>
      <c r="H115" t="s">
        <v>556</v>
      </c>
      <c r="J115" t="s">
        <v>3263</v>
      </c>
      <c r="K115">
        <v>75.739999999999995</v>
      </c>
      <c r="L115" s="1">
        <v>45115</v>
      </c>
      <c r="M115">
        <f>G115*IF(D115="INR",1,INDEX('rates'!$B$2:$B$522,MATCH(B115,'rates'!$A$2:$A$522,1)))</f>
        <v>2732933.2365999995</v>
      </c>
      <c r="N115">
        <f t="shared" si="1"/>
        <v>30</v>
      </c>
    </row>
    <row r="116" spans="1:14" x14ac:dyDescent="0.3">
      <c r="A116" t="s">
        <v>3338</v>
      </c>
      <c r="B116" s="1">
        <v>45056</v>
      </c>
      <c r="C116" t="s">
        <v>575</v>
      </c>
      <c r="D116" t="s">
        <v>36</v>
      </c>
      <c r="E116">
        <v>1166</v>
      </c>
      <c r="F116" t="s">
        <v>3262</v>
      </c>
      <c r="G116">
        <v>90784.76</v>
      </c>
      <c r="H116" t="s">
        <v>556</v>
      </c>
      <c r="J116" t="s">
        <v>3263</v>
      </c>
      <c r="K116">
        <v>77.86</v>
      </c>
      <c r="L116" s="1">
        <v>45116</v>
      </c>
      <c r="M116">
        <f>G116*IF(D116="INR",1,INDEX('rates'!$B$2:$B$522,MATCH(B116,'rates'!$A$2:$A$522,1)))</f>
        <v>7438903.2343999995</v>
      </c>
      <c r="N116">
        <f t="shared" si="1"/>
        <v>60</v>
      </c>
    </row>
    <row r="117" spans="1:14" x14ac:dyDescent="0.3">
      <c r="A117" t="s">
        <v>3367</v>
      </c>
      <c r="B117" s="1">
        <v>45071</v>
      </c>
      <c r="C117" t="s">
        <v>575</v>
      </c>
      <c r="D117" t="s">
        <v>36</v>
      </c>
      <c r="E117">
        <v>1047</v>
      </c>
      <c r="F117" t="s">
        <v>3262</v>
      </c>
      <c r="G117">
        <v>79561.53</v>
      </c>
      <c r="H117" t="s">
        <v>573</v>
      </c>
      <c r="I117">
        <v>86.03</v>
      </c>
      <c r="J117" t="s">
        <v>3263</v>
      </c>
      <c r="K117">
        <v>75.989999999999995</v>
      </c>
      <c r="L117" s="1">
        <v>45116</v>
      </c>
      <c r="M117">
        <f>G117*IF(D117="INR",1,INDEX('rates'!$B$2:$B$522,MATCH(B117,'rates'!$A$2:$A$522,1)))</f>
        <v>6584512.2228000006</v>
      </c>
      <c r="N117">
        <f t="shared" si="1"/>
        <v>45</v>
      </c>
    </row>
    <row r="118" spans="1:14" x14ac:dyDescent="0.3">
      <c r="A118" t="s">
        <v>3405</v>
      </c>
      <c r="B118" s="1">
        <v>45086</v>
      </c>
      <c r="C118" t="s">
        <v>554</v>
      </c>
      <c r="D118" t="s">
        <v>36</v>
      </c>
      <c r="E118">
        <v>301</v>
      </c>
      <c r="F118" t="s">
        <v>3262</v>
      </c>
      <c r="G118">
        <v>22764.63</v>
      </c>
      <c r="H118" t="s">
        <v>573</v>
      </c>
      <c r="I118">
        <v>86.03</v>
      </c>
      <c r="J118" t="s">
        <v>3263</v>
      </c>
      <c r="K118">
        <v>75.63</v>
      </c>
      <c r="L118" s="1">
        <v>45116</v>
      </c>
      <c r="M118">
        <f>G118*IF(D118="INR",1,INDEX('rates'!$B$2:$B$522,MATCH(B118,'rates'!$A$2:$A$522,1)))</f>
        <v>1877171.3898</v>
      </c>
      <c r="N118">
        <f t="shared" si="1"/>
        <v>30</v>
      </c>
    </row>
    <row r="119" spans="1:14" x14ac:dyDescent="0.3">
      <c r="A119" t="s">
        <v>3410</v>
      </c>
      <c r="B119" s="1">
        <v>45086</v>
      </c>
      <c r="C119" t="s">
        <v>560</v>
      </c>
      <c r="D119" t="s">
        <v>36</v>
      </c>
      <c r="E119">
        <v>3372</v>
      </c>
      <c r="F119" t="s">
        <v>3262</v>
      </c>
      <c r="G119">
        <v>251820.96</v>
      </c>
      <c r="H119" t="s">
        <v>556</v>
      </c>
      <c r="J119" t="s">
        <v>3263</v>
      </c>
      <c r="K119">
        <v>74.680000000000007</v>
      </c>
      <c r="L119" s="1">
        <v>45116</v>
      </c>
      <c r="M119">
        <f>G119*IF(D119="INR",1,INDEX('rates'!$B$2:$B$522,MATCH(B119,'rates'!$A$2:$A$522,1)))</f>
        <v>20765156.361599997</v>
      </c>
      <c r="N119">
        <f t="shared" si="1"/>
        <v>30</v>
      </c>
    </row>
    <row r="120" spans="1:14" x14ac:dyDescent="0.3">
      <c r="A120" t="s">
        <v>3412</v>
      </c>
      <c r="B120" s="1">
        <v>45086</v>
      </c>
      <c r="C120" t="s">
        <v>575</v>
      </c>
      <c r="D120" t="s">
        <v>36</v>
      </c>
      <c r="E120">
        <v>1536</v>
      </c>
      <c r="F120" t="s">
        <v>3262</v>
      </c>
      <c r="G120">
        <v>114201.60000000001</v>
      </c>
      <c r="H120" t="s">
        <v>556</v>
      </c>
      <c r="J120" t="s">
        <v>3263</v>
      </c>
      <c r="K120">
        <v>74.349999999999994</v>
      </c>
      <c r="L120" s="1">
        <v>45116</v>
      </c>
      <c r="M120">
        <f>G120*IF(D120="INR",1,INDEX('rates'!$B$2:$B$522,MATCH(B120,'rates'!$A$2:$A$522,1)))</f>
        <v>9417063.9360000007</v>
      </c>
      <c r="N120">
        <f t="shared" si="1"/>
        <v>30</v>
      </c>
    </row>
    <row r="121" spans="1:14" x14ac:dyDescent="0.3">
      <c r="A121" t="s">
        <v>3413</v>
      </c>
      <c r="B121" s="1">
        <v>45086</v>
      </c>
      <c r="C121" t="s">
        <v>560</v>
      </c>
      <c r="D121" t="s">
        <v>36</v>
      </c>
      <c r="E121">
        <v>972</v>
      </c>
      <c r="F121" t="s">
        <v>3262</v>
      </c>
      <c r="G121">
        <v>72734.759999999995</v>
      </c>
      <c r="H121" t="s">
        <v>573</v>
      </c>
      <c r="I121">
        <v>86.03</v>
      </c>
      <c r="J121" t="s">
        <v>3263</v>
      </c>
      <c r="K121">
        <v>74.83</v>
      </c>
      <c r="L121" s="1">
        <v>45116</v>
      </c>
      <c r="M121">
        <f>G121*IF(D121="INR",1,INDEX('rates'!$B$2:$B$522,MATCH(B121,'rates'!$A$2:$A$522,1)))</f>
        <v>5997708.3095999993</v>
      </c>
      <c r="N121">
        <f t="shared" si="1"/>
        <v>30</v>
      </c>
    </row>
    <row r="122" spans="1:14" x14ac:dyDescent="0.3">
      <c r="A122" t="s">
        <v>3371</v>
      </c>
      <c r="B122" s="1">
        <v>45072</v>
      </c>
      <c r="C122" t="s">
        <v>566</v>
      </c>
      <c r="D122" t="s">
        <v>36</v>
      </c>
      <c r="E122">
        <v>1540</v>
      </c>
      <c r="F122" t="s">
        <v>3262</v>
      </c>
      <c r="G122">
        <v>118102.6</v>
      </c>
      <c r="H122" t="s">
        <v>556</v>
      </c>
      <c r="J122" t="s">
        <v>3263</v>
      </c>
      <c r="K122">
        <v>76.69</v>
      </c>
      <c r="L122" s="1">
        <v>45117</v>
      </c>
      <c r="M122">
        <f>G122*IF(D122="INR",1,INDEX('rates'!$B$2:$B$522,MATCH(B122,'rates'!$A$2:$A$522,1)))</f>
        <v>9752912.7080000006</v>
      </c>
      <c r="N122">
        <f t="shared" si="1"/>
        <v>45</v>
      </c>
    </row>
    <row r="123" spans="1:14" x14ac:dyDescent="0.3">
      <c r="A123" t="s">
        <v>3372</v>
      </c>
      <c r="B123" s="1">
        <v>45072</v>
      </c>
      <c r="C123" t="s">
        <v>566</v>
      </c>
      <c r="D123" t="s">
        <v>36</v>
      </c>
      <c r="E123">
        <v>1181</v>
      </c>
      <c r="F123" t="s">
        <v>3262</v>
      </c>
      <c r="G123">
        <v>89661.52</v>
      </c>
      <c r="H123" t="s">
        <v>556</v>
      </c>
      <c r="J123" t="s">
        <v>3263</v>
      </c>
      <c r="K123">
        <v>75.92</v>
      </c>
      <c r="L123" s="1">
        <v>45117</v>
      </c>
      <c r="M123">
        <f>G123*IF(D123="INR",1,INDEX('rates'!$B$2:$B$522,MATCH(B123,'rates'!$A$2:$A$522,1)))</f>
        <v>7404248.3216000004</v>
      </c>
      <c r="N123">
        <f t="shared" si="1"/>
        <v>45</v>
      </c>
    </row>
    <row r="124" spans="1:14" x14ac:dyDescent="0.3">
      <c r="A124" t="s">
        <v>3376</v>
      </c>
      <c r="B124" s="1">
        <v>45072</v>
      </c>
      <c r="C124" t="s">
        <v>558</v>
      </c>
      <c r="D124" t="s">
        <v>36</v>
      </c>
      <c r="E124">
        <v>906</v>
      </c>
      <c r="F124" t="s">
        <v>3262</v>
      </c>
      <c r="G124">
        <v>70233.119999999995</v>
      </c>
      <c r="H124" t="s">
        <v>556</v>
      </c>
      <c r="J124" t="s">
        <v>3263</v>
      </c>
      <c r="K124">
        <v>77.52</v>
      </c>
      <c r="L124" s="1">
        <v>45117</v>
      </c>
      <c r="M124">
        <f>G124*IF(D124="INR",1,INDEX('rates'!$B$2:$B$522,MATCH(B124,'rates'!$A$2:$A$522,1)))</f>
        <v>5799851.0495999996</v>
      </c>
      <c r="N124">
        <f t="shared" si="1"/>
        <v>45</v>
      </c>
    </row>
    <row r="125" spans="1:14" x14ac:dyDescent="0.3">
      <c r="A125" t="s">
        <v>3348</v>
      </c>
      <c r="B125" s="1">
        <v>45058</v>
      </c>
      <c r="C125" t="s">
        <v>566</v>
      </c>
      <c r="D125" t="s">
        <v>36</v>
      </c>
      <c r="E125">
        <v>244</v>
      </c>
      <c r="F125" t="s">
        <v>3262</v>
      </c>
      <c r="G125">
        <v>18136.52</v>
      </c>
      <c r="H125" t="s">
        <v>556</v>
      </c>
      <c r="J125" t="s">
        <v>3263</v>
      </c>
      <c r="K125">
        <v>74.33</v>
      </c>
      <c r="L125" s="1">
        <v>45118</v>
      </c>
      <c r="M125">
        <f>G125*IF(D125="INR",1,INDEX('rates'!$B$2:$B$522,MATCH(B125,'rates'!$A$2:$A$522,1)))</f>
        <v>1490277.8484</v>
      </c>
      <c r="N125">
        <f t="shared" si="1"/>
        <v>60</v>
      </c>
    </row>
    <row r="126" spans="1:14" x14ac:dyDescent="0.3">
      <c r="A126" t="s">
        <v>3352</v>
      </c>
      <c r="B126" s="1">
        <v>45058</v>
      </c>
      <c r="C126" t="s">
        <v>575</v>
      </c>
      <c r="D126" t="s">
        <v>36</v>
      </c>
      <c r="E126">
        <v>760</v>
      </c>
      <c r="F126" t="s">
        <v>3262</v>
      </c>
      <c r="G126">
        <v>57235.6</v>
      </c>
      <c r="H126" t="s">
        <v>573</v>
      </c>
      <c r="I126">
        <v>86.03</v>
      </c>
      <c r="J126" t="s">
        <v>3263</v>
      </c>
      <c r="K126">
        <v>75.31</v>
      </c>
      <c r="L126" s="1">
        <v>45118</v>
      </c>
      <c r="M126">
        <f>G126*IF(D126="INR",1,INDEX('rates'!$B$2:$B$522,MATCH(B126,'rates'!$A$2:$A$522,1)))</f>
        <v>4703049.2520000003</v>
      </c>
      <c r="N126">
        <f t="shared" si="1"/>
        <v>60</v>
      </c>
    </row>
    <row r="127" spans="1:14" x14ac:dyDescent="0.3">
      <c r="A127" t="s">
        <v>3353</v>
      </c>
      <c r="B127" s="1">
        <v>45061</v>
      </c>
      <c r="C127" t="s">
        <v>575</v>
      </c>
      <c r="D127" t="s">
        <v>36</v>
      </c>
      <c r="E127">
        <v>1933</v>
      </c>
      <c r="F127" t="s">
        <v>3262</v>
      </c>
      <c r="G127">
        <v>145612.89000000001</v>
      </c>
      <c r="H127" t="s">
        <v>573</v>
      </c>
      <c r="I127">
        <v>86.03</v>
      </c>
      <c r="J127" t="s">
        <v>3263</v>
      </c>
      <c r="K127">
        <v>75.33</v>
      </c>
      <c r="L127" s="1">
        <v>45121</v>
      </c>
      <c r="M127">
        <f>G127*IF(D127="INR",1,INDEX('rates'!$B$2:$B$522,MATCH(B127,'rates'!$A$2:$A$522,1)))</f>
        <v>11983940.847000001</v>
      </c>
      <c r="N127">
        <f t="shared" si="1"/>
        <v>60</v>
      </c>
    </row>
    <row r="128" spans="1:14" x14ac:dyDescent="0.3">
      <c r="A128" t="s">
        <v>3388</v>
      </c>
      <c r="B128" s="1">
        <v>45079</v>
      </c>
      <c r="C128" t="s">
        <v>558</v>
      </c>
      <c r="D128" t="s">
        <v>36</v>
      </c>
      <c r="E128">
        <v>771</v>
      </c>
      <c r="F128" t="s">
        <v>3262</v>
      </c>
      <c r="G128">
        <v>59590.59</v>
      </c>
      <c r="H128" t="s">
        <v>556</v>
      </c>
      <c r="J128" t="s">
        <v>3263</v>
      </c>
      <c r="K128">
        <v>77.290000000000006</v>
      </c>
      <c r="L128" s="1">
        <v>45124</v>
      </c>
      <c r="M128">
        <f>G128*IF(D128="INR",1,INDEX('rates'!$B$2:$B$522,MATCH(B128,'rates'!$A$2:$A$522,1)))</f>
        <v>4907285.0864999993</v>
      </c>
      <c r="N128">
        <f t="shared" si="1"/>
        <v>45</v>
      </c>
    </row>
    <row r="129" spans="1:14" x14ac:dyDescent="0.3">
      <c r="A129" t="s">
        <v>3392</v>
      </c>
      <c r="B129" s="1">
        <v>45079</v>
      </c>
      <c r="C129" t="s">
        <v>566</v>
      </c>
      <c r="D129" t="s">
        <v>36</v>
      </c>
      <c r="E129">
        <v>900</v>
      </c>
      <c r="F129" t="s">
        <v>3262</v>
      </c>
      <c r="G129">
        <v>69048</v>
      </c>
      <c r="H129" t="s">
        <v>573</v>
      </c>
      <c r="I129">
        <v>86.03</v>
      </c>
      <c r="J129" t="s">
        <v>3263</v>
      </c>
      <c r="K129">
        <v>76.72</v>
      </c>
      <c r="L129" s="1">
        <v>45124</v>
      </c>
      <c r="M129">
        <f>G129*IF(D129="INR",1,INDEX('rates'!$B$2:$B$522,MATCH(B129,'rates'!$A$2:$A$522,1)))</f>
        <v>5686102.7999999998</v>
      </c>
      <c r="N129">
        <f t="shared" si="1"/>
        <v>45</v>
      </c>
    </row>
    <row r="130" spans="1:14" x14ac:dyDescent="0.3">
      <c r="A130" t="s">
        <v>3359</v>
      </c>
      <c r="B130" s="1">
        <v>45065</v>
      </c>
      <c r="C130" t="s">
        <v>560</v>
      </c>
      <c r="D130" t="s">
        <v>13</v>
      </c>
      <c r="E130">
        <v>24369</v>
      </c>
      <c r="F130" t="s">
        <v>3270</v>
      </c>
      <c r="G130">
        <v>2224158.63</v>
      </c>
      <c r="H130" t="s">
        <v>556</v>
      </c>
      <c r="J130" t="s">
        <v>3271</v>
      </c>
      <c r="K130">
        <v>91.27</v>
      </c>
      <c r="L130" s="1">
        <v>45125</v>
      </c>
      <c r="M130">
        <f>G130*IF(D130="INR",1,INDEX('rates'!$B$2:$B$522,MATCH(B130,'rates'!$A$2:$A$522,1)))</f>
        <v>2224158.63</v>
      </c>
      <c r="N130">
        <f t="shared" ref="N130:N193" si="2">IF(L130="","",L130-B130)</f>
        <v>60</v>
      </c>
    </row>
    <row r="131" spans="1:14" x14ac:dyDescent="0.3">
      <c r="A131" t="s">
        <v>3360</v>
      </c>
      <c r="B131" s="1">
        <v>45065</v>
      </c>
      <c r="C131" t="s">
        <v>558</v>
      </c>
      <c r="D131" t="s">
        <v>13</v>
      </c>
      <c r="E131">
        <v>78869</v>
      </c>
      <c r="F131" t="s">
        <v>3270</v>
      </c>
      <c r="G131">
        <v>6744876.8799999999</v>
      </c>
      <c r="H131" t="s">
        <v>556</v>
      </c>
      <c r="J131" t="s">
        <v>3271</v>
      </c>
      <c r="K131">
        <v>85.52</v>
      </c>
      <c r="L131" s="1">
        <v>45125</v>
      </c>
      <c r="M131">
        <f>G131*IF(D131="INR",1,INDEX('rates'!$B$2:$B$522,MATCH(B131,'rates'!$A$2:$A$522,1)))</f>
        <v>6744876.8799999999</v>
      </c>
      <c r="N131">
        <f t="shared" si="2"/>
        <v>60</v>
      </c>
    </row>
    <row r="132" spans="1:14" x14ac:dyDescent="0.3">
      <c r="A132" t="s">
        <v>3423</v>
      </c>
      <c r="B132" s="1">
        <v>45096</v>
      </c>
      <c r="C132" t="s">
        <v>558</v>
      </c>
      <c r="D132" t="s">
        <v>36</v>
      </c>
      <c r="E132">
        <v>1425</v>
      </c>
      <c r="F132" t="s">
        <v>3262</v>
      </c>
      <c r="G132">
        <v>108057.75</v>
      </c>
      <c r="H132" t="s">
        <v>556</v>
      </c>
      <c r="J132" t="s">
        <v>3263</v>
      </c>
      <c r="K132">
        <v>75.83</v>
      </c>
      <c r="L132" s="1">
        <v>45126</v>
      </c>
      <c r="M132">
        <f>G132*IF(D132="INR",1,INDEX('rates'!$B$2:$B$522,MATCH(B132,'rates'!$A$2:$A$522,1)))</f>
        <v>8848849.1475000009</v>
      </c>
      <c r="N132">
        <f t="shared" si="2"/>
        <v>30</v>
      </c>
    </row>
    <row r="133" spans="1:14" x14ac:dyDescent="0.3">
      <c r="A133" t="s">
        <v>3426</v>
      </c>
      <c r="B133" s="1">
        <v>45097</v>
      </c>
      <c r="C133" t="s">
        <v>575</v>
      </c>
      <c r="D133" t="s">
        <v>36</v>
      </c>
      <c r="E133">
        <v>881</v>
      </c>
      <c r="F133" t="s">
        <v>3262</v>
      </c>
      <c r="G133">
        <v>67863.429999999993</v>
      </c>
      <c r="H133" t="s">
        <v>573</v>
      </c>
      <c r="I133">
        <v>86.03</v>
      </c>
      <c r="J133" t="s">
        <v>3263</v>
      </c>
      <c r="K133">
        <v>77.03</v>
      </c>
      <c r="L133" s="1">
        <v>45127</v>
      </c>
      <c r="M133">
        <f>G133*IF(D133="INR",1,INDEX('rates'!$B$2:$B$522,MATCH(B133,'rates'!$A$2:$A$522,1)))</f>
        <v>5572266.2372999992</v>
      </c>
      <c r="N133">
        <f t="shared" si="2"/>
        <v>30</v>
      </c>
    </row>
    <row r="134" spans="1:14" x14ac:dyDescent="0.3">
      <c r="A134" t="s">
        <v>3427</v>
      </c>
      <c r="B134" s="1">
        <v>45097</v>
      </c>
      <c r="C134" t="s">
        <v>558</v>
      </c>
      <c r="D134" t="s">
        <v>36</v>
      </c>
      <c r="E134">
        <v>4678</v>
      </c>
      <c r="F134" t="s">
        <v>3262</v>
      </c>
      <c r="G134">
        <v>348791.68</v>
      </c>
      <c r="H134" t="s">
        <v>556</v>
      </c>
      <c r="J134" t="s">
        <v>3263</v>
      </c>
      <c r="K134">
        <v>74.56</v>
      </c>
      <c r="L134" s="1">
        <v>45127</v>
      </c>
      <c r="M134">
        <f>G134*IF(D134="INR",1,INDEX('rates'!$B$2:$B$522,MATCH(B134,'rates'!$A$2:$A$522,1)))</f>
        <v>28639284.844799999</v>
      </c>
      <c r="N134">
        <f t="shared" si="2"/>
        <v>30</v>
      </c>
    </row>
    <row r="135" spans="1:14" x14ac:dyDescent="0.3">
      <c r="A135" t="s">
        <v>3399</v>
      </c>
      <c r="B135" s="1">
        <v>45083</v>
      </c>
      <c r="C135" t="s">
        <v>566</v>
      </c>
      <c r="D135" t="s">
        <v>36</v>
      </c>
      <c r="E135">
        <v>449</v>
      </c>
      <c r="F135" t="s">
        <v>3262</v>
      </c>
      <c r="G135">
        <v>34492.18</v>
      </c>
      <c r="H135" t="s">
        <v>556</v>
      </c>
      <c r="J135" t="s">
        <v>3263</v>
      </c>
      <c r="K135">
        <v>76.819999999999993</v>
      </c>
      <c r="L135" s="1">
        <v>45128</v>
      </c>
      <c r="M135">
        <f>G135*IF(D135="INR",1,INDEX('rates'!$B$2:$B$522,MATCH(B135,'rates'!$A$2:$A$522,1)))</f>
        <v>2849398.9898000001</v>
      </c>
      <c r="N135">
        <f t="shared" si="2"/>
        <v>45</v>
      </c>
    </row>
    <row r="136" spans="1:14" x14ac:dyDescent="0.3">
      <c r="A136" t="s">
        <v>3428</v>
      </c>
      <c r="B136" s="1">
        <v>45098</v>
      </c>
      <c r="C136" t="s">
        <v>558</v>
      </c>
      <c r="D136" t="s">
        <v>36</v>
      </c>
      <c r="E136">
        <v>649</v>
      </c>
      <c r="F136" t="s">
        <v>3262</v>
      </c>
      <c r="G136">
        <v>50031.41</v>
      </c>
      <c r="H136" t="s">
        <v>556</v>
      </c>
      <c r="J136" t="s">
        <v>3263</v>
      </c>
      <c r="K136">
        <v>77.09</v>
      </c>
      <c r="L136" s="1">
        <v>45128</v>
      </c>
      <c r="M136">
        <f>G136*IF(D136="INR",1,INDEX('rates'!$B$2:$B$522,MATCH(B136,'rates'!$A$2:$A$522,1)))</f>
        <v>4104576.8764000004</v>
      </c>
      <c r="N136">
        <f t="shared" si="2"/>
        <v>30</v>
      </c>
    </row>
    <row r="137" spans="1:14" x14ac:dyDescent="0.3">
      <c r="A137" t="s">
        <v>3432</v>
      </c>
      <c r="B137" s="1">
        <v>45099</v>
      </c>
      <c r="C137" t="s">
        <v>560</v>
      </c>
      <c r="D137" t="s">
        <v>36</v>
      </c>
      <c r="E137">
        <v>380</v>
      </c>
      <c r="F137" t="s">
        <v>3262</v>
      </c>
      <c r="G137">
        <v>27550</v>
      </c>
      <c r="H137" t="s">
        <v>556</v>
      </c>
      <c r="J137" t="s">
        <v>3263</v>
      </c>
      <c r="K137">
        <v>72.5</v>
      </c>
      <c r="L137" s="1">
        <v>45129</v>
      </c>
      <c r="M137">
        <f>G137*IF(D137="INR",1,INDEX('rates'!$B$2:$B$522,MATCH(B137,'rates'!$A$2:$A$522,1)))</f>
        <v>2257171.5</v>
      </c>
      <c r="N137">
        <f t="shared" si="2"/>
        <v>30</v>
      </c>
    </row>
    <row r="138" spans="1:14" x14ac:dyDescent="0.3">
      <c r="A138" t="s">
        <v>3366</v>
      </c>
      <c r="B138" s="1">
        <v>45070</v>
      </c>
      <c r="C138" t="s">
        <v>575</v>
      </c>
      <c r="D138" t="s">
        <v>36</v>
      </c>
      <c r="E138">
        <v>1165</v>
      </c>
      <c r="F138" t="s">
        <v>3262</v>
      </c>
      <c r="G138">
        <v>93398.05</v>
      </c>
      <c r="H138" t="s">
        <v>573</v>
      </c>
      <c r="I138">
        <v>86.03</v>
      </c>
      <c r="J138" t="s">
        <v>3263</v>
      </c>
      <c r="K138">
        <v>80.17</v>
      </c>
      <c r="L138" s="1">
        <v>45130</v>
      </c>
      <c r="M138">
        <f>G138*IF(D138="INR",1,INDEX('rates'!$B$2:$B$522,MATCH(B138,'rates'!$A$2:$A$522,1)))</f>
        <v>7720282.8130000001</v>
      </c>
      <c r="N138">
        <f t="shared" si="2"/>
        <v>60</v>
      </c>
    </row>
    <row r="139" spans="1:14" x14ac:dyDescent="0.3">
      <c r="A139" t="s">
        <v>3403</v>
      </c>
      <c r="B139" s="1">
        <v>45085</v>
      </c>
      <c r="C139" t="s">
        <v>558</v>
      </c>
      <c r="D139" t="s">
        <v>13</v>
      </c>
      <c r="E139">
        <v>215855</v>
      </c>
      <c r="F139" t="s">
        <v>3270</v>
      </c>
      <c r="G139">
        <v>17112984.399999999</v>
      </c>
      <c r="H139" t="s">
        <v>556</v>
      </c>
      <c r="J139" t="s">
        <v>3271</v>
      </c>
      <c r="K139">
        <v>79.28</v>
      </c>
      <c r="L139" s="1">
        <v>45130</v>
      </c>
      <c r="M139">
        <f>G139*IF(D139="INR",1,INDEX('rates'!$B$2:$B$522,MATCH(B139,'rates'!$A$2:$A$522,1)))</f>
        <v>17112984.399999999</v>
      </c>
      <c r="N139">
        <f t="shared" si="2"/>
        <v>45</v>
      </c>
    </row>
    <row r="140" spans="1:14" x14ac:dyDescent="0.3">
      <c r="A140" t="s">
        <v>3434</v>
      </c>
      <c r="B140" s="1">
        <v>45100</v>
      </c>
      <c r="C140" t="s">
        <v>566</v>
      </c>
      <c r="D140" t="s">
        <v>36</v>
      </c>
      <c r="E140">
        <v>205</v>
      </c>
      <c r="F140" t="s">
        <v>3262</v>
      </c>
      <c r="G140">
        <v>14911.7</v>
      </c>
      <c r="H140" t="s">
        <v>573</v>
      </c>
      <c r="I140">
        <v>86.03</v>
      </c>
      <c r="J140" t="s">
        <v>3263</v>
      </c>
      <c r="K140">
        <v>72.739999999999995</v>
      </c>
      <c r="L140" s="1">
        <v>45130</v>
      </c>
      <c r="M140">
        <f>G140*IF(D140="INR",1,INDEX('rates'!$B$2:$B$522,MATCH(B140,'rates'!$A$2:$A$522,1)))</f>
        <v>1222908.5170000002</v>
      </c>
      <c r="N140">
        <f t="shared" si="2"/>
        <v>30</v>
      </c>
    </row>
    <row r="141" spans="1:14" x14ac:dyDescent="0.3">
      <c r="A141" t="s">
        <v>3435</v>
      </c>
      <c r="B141" s="1">
        <v>45100</v>
      </c>
      <c r="C141" t="s">
        <v>558</v>
      </c>
      <c r="D141" t="s">
        <v>36</v>
      </c>
      <c r="E141">
        <v>414</v>
      </c>
      <c r="F141" t="s">
        <v>3262</v>
      </c>
      <c r="G141">
        <v>29886.66</v>
      </c>
      <c r="H141" t="s">
        <v>556</v>
      </c>
      <c r="J141" t="s">
        <v>3263</v>
      </c>
      <c r="K141">
        <v>72.19</v>
      </c>
      <c r="L141" s="1">
        <v>45130</v>
      </c>
      <c r="M141">
        <f>G141*IF(D141="INR",1,INDEX('rates'!$B$2:$B$522,MATCH(B141,'rates'!$A$2:$A$522,1)))</f>
        <v>2451004.9865999999</v>
      </c>
      <c r="N141">
        <f t="shared" si="2"/>
        <v>30</v>
      </c>
    </row>
    <row r="142" spans="1:14" x14ac:dyDescent="0.3">
      <c r="A142" t="s">
        <v>3436</v>
      </c>
      <c r="B142" s="1">
        <v>45100</v>
      </c>
      <c r="C142" t="s">
        <v>560</v>
      </c>
      <c r="D142" t="s">
        <v>36</v>
      </c>
      <c r="E142">
        <v>2144</v>
      </c>
      <c r="F142" t="s">
        <v>3262</v>
      </c>
      <c r="G142">
        <v>158784.64000000001</v>
      </c>
      <c r="H142" t="s">
        <v>556</v>
      </c>
      <c r="J142" t="s">
        <v>3263</v>
      </c>
      <c r="K142">
        <v>74.06</v>
      </c>
      <c r="L142" s="1">
        <v>45130</v>
      </c>
      <c r="M142">
        <f>G142*IF(D142="INR",1,INDEX('rates'!$B$2:$B$522,MATCH(B142,'rates'!$A$2:$A$522,1)))</f>
        <v>13021928.326400002</v>
      </c>
      <c r="N142">
        <f t="shared" si="2"/>
        <v>30</v>
      </c>
    </row>
    <row r="143" spans="1:14" x14ac:dyDescent="0.3">
      <c r="A143" t="s">
        <v>3406</v>
      </c>
      <c r="B143" s="1">
        <v>45086</v>
      </c>
      <c r="C143" t="s">
        <v>558</v>
      </c>
      <c r="D143" t="s">
        <v>36</v>
      </c>
      <c r="E143">
        <v>2475</v>
      </c>
      <c r="F143" t="s">
        <v>3262</v>
      </c>
      <c r="G143">
        <v>178249.5</v>
      </c>
      <c r="H143" t="s">
        <v>556</v>
      </c>
      <c r="J143" t="s">
        <v>3263</v>
      </c>
      <c r="K143">
        <v>72.02</v>
      </c>
      <c r="L143" s="1">
        <v>45131</v>
      </c>
      <c r="M143">
        <f>G143*IF(D143="INR",1,INDEX('rates'!$B$2:$B$522,MATCH(B143,'rates'!$A$2:$A$522,1)))</f>
        <v>14698453.77</v>
      </c>
      <c r="N143">
        <f t="shared" si="2"/>
        <v>45</v>
      </c>
    </row>
    <row r="144" spans="1:14" x14ac:dyDescent="0.3">
      <c r="A144" t="s">
        <v>3411</v>
      </c>
      <c r="B144" s="1">
        <v>45086</v>
      </c>
      <c r="C144" t="s">
        <v>560</v>
      </c>
      <c r="D144" t="s">
        <v>36</v>
      </c>
      <c r="E144">
        <v>760</v>
      </c>
      <c r="F144" t="s">
        <v>3262</v>
      </c>
      <c r="G144">
        <v>55814.400000000001</v>
      </c>
      <c r="H144" t="s">
        <v>556</v>
      </c>
      <c r="J144" t="s">
        <v>3263</v>
      </c>
      <c r="K144">
        <v>73.44</v>
      </c>
      <c r="L144" s="1">
        <v>45131</v>
      </c>
      <c r="M144">
        <f>G144*IF(D144="INR",1,INDEX('rates'!$B$2:$B$522,MATCH(B144,'rates'!$A$2:$A$522,1)))</f>
        <v>4602455.4239999996</v>
      </c>
      <c r="N144">
        <f t="shared" si="2"/>
        <v>45</v>
      </c>
    </row>
    <row r="145" spans="1:14" x14ac:dyDescent="0.3">
      <c r="A145" t="s">
        <v>3440</v>
      </c>
      <c r="B145" s="1">
        <v>45104</v>
      </c>
      <c r="C145" t="s">
        <v>554</v>
      </c>
      <c r="D145" t="s">
        <v>36</v>
      </c>
      <c r="E145">
        <v>338</v>
      </c>
      <c r="F145" t="s">
        <v>3262</v>
      </c>
      <c r="G145">
        <v>24221.08</v>
      </c>
      <c r="H145" t="s">
        <v>573</v>
      </c>
      <c r="I145">
        <v>86.03</v>
      </c>
      <c r="J145" t="s">
        <v>3263</v>
      </c>
      <c r="K145">
        <v>71.66</v>
      </c>
      <c r="L145" s="1">
        <v>45134</v>
      </c>
      <c r="M145">
        <f>G145*IF(D145="INR",1,INDEX('rates'!$B$2:$B$522,MATCH(B145,'rates'!$A$2:$A$522,1)))</f>
        <v>1985644.1384000003</v>
      </c>
      <c r="N145">
        <f t="shared" si="2"/>
        <v>30</v>
      </c>
    </row>
    <row r="146" spans="1:14" x14ac:dyDescent="0.3">
      <c r="A146" t="s">
        <v>3414</v>
      </c>
      <c r="B146" s="1">
        <v>45090</v>
      </c>
      <c r="C146" t="s">
        <v>560</v>
      </c>
      <c r="D146" t="s">
        <v>36</v>
      </c>
      <c r="E146">
        <v>1608</v>
      </c>
      <c r="F146" t="s">
        <v>3262</v>
      </c>
      <c r="G146">
        <v>118766.88</v>
      </c>
      <c r="H146" t="s">
        <v>556</v>
      </c>
      <c r="J146" t="s">
        <v>3263</v>
      </c>
      <c r="K146">
        <v>73.86</v>
      </c>
      <c r="L146" s="1">
        <v>45135</v>
      </c>
      <c r="M146">
        <f>G146*IF(D146="INR",1,INDEX('rates'!$B$2:$B$522,MATCH(B146,'rates'!$A$2:$A$522,1)))</f>
        <v>9784015.5744000003</v>
      </c>
      <c r="N146">
        <f t="shared" si="2"/>
        <v>45</v>
      </c>
    </row>
    <row r="147" spans="1:14" x14ac:dyDescent="0.3">
      <c r="A147" t="s">
        <v>3381</v>
      </c>
      <c r="B147" s="1">
        <v>45076</v>
      </c>
      <c r="C147" t="s">
        <v>566</v>
      </c>
      <c r="D147" t="s">
        <v>36</v>
      </c>
      <c r="E147">
        <v>463</v>
      </c>
      <c r="F147" t="s">
        <v>3262</v>
      </c>
      <c r="G147">
        <v>33794.370000000003</v>
      </c>
      <c r="H147" t="s">
        <v>556</v>
      </c>
      <c r="J147" t="s">
        <v>3263</v>
      </c>
      <c r="K147">
        <v>72.989999999999995</v>
      </c>
      <c r="L147" s="1">
        <v>45136</v>
      </c>
      <c r="M147">
        <f>G147*IF(D147="INR",1,INDEX('rates'!$B$2:$B$522,MATCH(B147,'rates'!$A$2:$A$522,1)))</f>
        <v>2793780.5679000001</v>
      </c>
      <c r="N147">
        <f t="shared" si="2"/>
        <v>60</v>
      </c>
    </row>
    <row r="148" spans="1:14" x14ac:dyDescent="0.3">
      <c r="A148" t="s">
        <v>3416</v>
      </c>
      <c r="B148" s="1">
        <v>45091</v>
      </c>
      <c r="C148" t="s">
        <v>558</v>
      </c>
      <c r="D148" t="s">
        <v>36</v>
      </c>
      <c r="E148">
        <v>1236</v>
      </c>
      <c r="F148" t="s">
        <v>3262</v>
      </c>
      <c r="G148">
        <v>88065</v>
      </c>
      <c r="H148" t="s">
        <v>556</v>
      </c>
      <c r="J148" t="s">
        <v>3263</v>
      </c>
      <c r="K148">
        <v>71.25</v>
      </c>
      <c r="L148" s="1">
        <v>45136</v>
      </c>
      <c r="M148">
        <f>G148*IF(D148="INR",1,INDEX('rates'!$B$2:$B$522,MATCH(B148,'rates'!$A$2:$A$522,1)))</f>
        <v>7230136.4999999991</v>
      </c>
      <c r="N148">
        <f t="shared" si="2"/>
        <v>45</v>
      </c>
    </row>
    <row r="149" spans="1:14" x14ac:dyDescent="0.3">
      <c r="A149" t="s">
        <v>3441</v>
      </c>
      <c r="B149" s="1">
        <v>45106</v>
      </c>
      <c r="C149" t="s">
        <v>558</v>
      </c>
      <c r="D149" t="s">
        <v>36</v>
      </c>
      <c r="E149">
        <v>210</v>
      </c>
      <c r="F149" t="s">
        <v>3262</v>
      </c>
      <c r="G149">
        <v>15621.9</v>
      </c>
      <c r="H149" t="s">
        <v>573</v>
      </c>
      <c r="I149">
        <v>86.03</v>
      </c>
      <c r="J149" t="s">
        <v>3263</v>
      </c>
      <c r="K149">
        <v>74.39</v>
      </c>
      <c r="L149" s="1">
        <v>45136</v>
      </c>
      <c r="M149">
        <f>G149*IF(D149="INR",1,INDEX('rates'!$B$2:$B$522,MATCH(B149,'rates'!$A$2:$A$522,1)))</f>
        <v>1281776.895</v>
      </c>
      <c r="N149">
        <f t="shared" si="2"/>
        <v>30</v>
      </c>
    </row>
    <row r="150" spans="1:14" x14ac:dyDescent="0.3">
      <c r="A150" t="s">
        <v>3417</v>
      </c>
      <c r="B150" s="1">
        <v>45092</v>
      </c>
      <c r="C150" t="s">
        <v>566</v>
      </c>
      <c r="D150" t="s">
        <v>36</v>
      </c>
      <c r="E150">
        <v>508</v>
      </c>
      <c r="F150" t="s">
        <v>3262</v>
      </c>
      <c r="G150">
        <v>37764.720000000001</v>
      </c>
      <c r="H150" t="s">
        <v>573</v>
      </c>
      <c r="I150">
        <v>86.03</v>
      </c>
      <c r="J150" t="s">
        <v>3263</v>
      </c>
      <c r="K150">
        <v>74.34</v>
      </c>
      <c r="L150" s="1">
        <v>45137</v>
      </c>
      <c r="M150">
        <f>G150*IF(D150="INR",1,INDEX('rates'!$B$2:$B$522,MATCH(B150,'rates'!$A$2:$A$522,1)))</f>
        <v>3103504.6896000002</v>
      </c>
      <c r="N150">
        <f t="shared" si="2"/>
        <v>45</v>
      </c>
    </row>
    <row r="151" spans="1:14" x14ac:dyDescent="0.3">
      <c r="A151" t="s">
        <v>3419</v>
      </c>
      <c r="B151" s="1">
        <v>45092</v>
      </c>
      <c r="C151" t="s">
        <v>575</v>
      </c>
      <c r="D151" t="s">
        <v>36</v>
      </c>
      <c r="E151">
        <v>600</v>
      </c>
      <c r="F151" t="s">
        <v>3262</v>
      </c>
      <c r="G151">
        <v>45468</v>
      </c>
      <c r="H151" t="s">
        <v>556</v>
      </c>
      <c r="J151" t="s">
        <v>3263</v>
      </c>
      <c r="K151">
        <v>75.78</v>
      </c>
      <c r="L151" s="1">
        <v>45137</v>
      </c>
      <c r="M151">
        <f>G151*IF(D151="INR",1,INDEX('rates'!$B$2:$B$522,MATCH(B151,'rates'!$A$2:$A$522,1)))</f>
        <v>3736560.24</v>
      </c>
      <c r="N151">
        <f t="shared" si="2"/>
        <v>45</v>
      </c>
    </row>
    <row r="152" spans="1:14" x14ac:dyDescent="0.3">
      <c r="A152" t="s">
        <v>3442</v>
      </c>
      <c r="B152" s="1">
        <v>45107</v>
      </c>
      <c r="C152" t="s">
        <v>554</v>
      </c>
      <c r="D152" t="s">
        <v>36</v>
      </c>
      <c r="E152">
        <v>1528</v>
      </c>
      <c r="F152" t="s">
        <v>3262</v>
      </c>
      <c r="G152">
        <v>114202.72</v>
      </c>
      <c r="H152" t="s">
        <v>556</v>
      </c>
      <c r="J152" t="s">
        <v>3263</v>
      </c>
      <c r="K152">
        <v>74.739999999999995</v>
      </c>
      <c r="L152" s="1">
        <v>45137</v>
      </c>
      <c r="M152">
        <f>G152*IF(D152="INR",1,INDEX('rates'!$B$2:$B$522,MATCH(B152,'rates'!$A$2:$A$522,1)))</f>
        <v>9371475.2032000013</v>
      </c>
      <c r="N152">
        <f t="shared" si="2"/>
        <v>30</v>
      </c>
    </row>
    <row r="153" spans="1:14" x14ac:dyDescent="0.3">
      <c r="A153" t="s">
        <v>3421</v>
      </c>
      <c r="B153" s="1">
        <v>45093</v>
      </c>
      <c r="C153" t="s">
        <v>575</v>
      </c>
      <c r="D153" t="s">
        <v>13</v>
      </c>
      <c r="E153">
        <v>50758</v>
      </c>
      <c r="F153" t="s">
        <v>3270</v>
      </c>
      <c r="G153">
        <v>4374324.4400000004</v>
      </c>
      <c r="H153" t="s">
        <v>556</v>
      </c>
      <c r="J153" t="s">
        <v>3271</v>
      </c>
      <c r="K153">
        <v>86.18</v>
      </c>
      <c r="L153" s="1">
        <v>45138</v>
      </c>
      <c r="M153">
        <f>G153*IF(D153="INR",1,INDEX('rates'!$B$2:$B$522,MATCH(B153,'rates'!$A$2:$A$522,1)))</f>
        <v>4374324.4400000004</v>
      </c>
      <c r="N153">
        <f t="shared" si="2"/>
        <v>45</v>
      </c>
    </row>
    <row r="154" spans="1:14" x14ac:dyDescent="0.3">
      <c r="A154" t="s">
        <v>3422</v>
      </c>
      <c r="B154" s="1">
        <v>45093</v>
      </c>
      <c r="C154" t="s">
        <v>566</v>
      </c>
      <c r="D154" t="s">
        <v>36</v>
      </c>
      <c r="E154">
        <v>1070</v>
      </c>
      <c r="F154" t="s">
        <v>3262</v>
      </c>
      <c r="G154">
        <v>82646.8</v>
      </c>
      <c r="H154" t="s">
        <v>573</v>
      </c>
      <c r="I154">
        <v>86.03</v>
      </c>
      <c r="J154" t="s">
        <v>3263</v>
      </c>
      <c r="K154">
        <v>77.239999999999995</v>
      </c>
      <c r="L154" s="1">
        <v>45138</v>
      </c>
      <c r="M154">
        <f>G154*IF(D154="INR",1,INDEX('rates'!$B$2:$B$522,MATCH(B154,'rates'!$A$2:$A$522,1)))</f>
        <v>6767946.4520000005</v>
      </c>
      <c r="N154">
        <f t="shared" si="2"/>
        <v>45</v>
      </c>
    </row>
    <row r="155" spans="1:14" x14ac:dyDescent="0.3">
      <c r="A155" t="s">
        <v>3385</v>
      </c>
      <c r="B155" s="1">
        <v>45079</v>
      </c>
      <c r="C155" t="s">
        <v>560</v>
      </c>
      <c r="D155" t="s">
        <v>36</v>
      </c>
      <c r="E155">
        <v>881</v>
      </c>
      <c r="F155" t="s">
        <v>3262</v>
      </c>
      <c r="G155">
        <v>67123.39</v>
      </c>
      <c r="H155" t="s">
        <v>556</v>
      </c>
      <c r="J155" t="s">
        <v>3263</v>
      </c>
      <c r="K155">
        <v>76.19</v>
      </c>
      <c r="L155" s="1">
        <v>45139</v>
      </c>
      <c r="M155">
        <f>G155*IF(D155="INR",1,INDEX('rates'!$B$2:$B$522,MATCH(B155,'rates'!$A$2:$A$522,1)))</f>
        <v>5527611.1664999994</v>
      </c>
      <c r="N155">
        <f t="shared" si="2"/>
        <v>60</v>
      </c>
    </row>
    <row r="156" spans="1:14" x14ac:dyDescent="0.3">
      <c r="A156" t="s">
        <v>3386</v>
      </c>
      <c r="B156" s="1">
        <v>45079</v>
      </c>
      <c r="C156" t="s">
        <v>554</v>
      </c>
      <c r="D156" t="s">
        <v>36</v>
      </c>
      <c r="E156">
        <v>1769</v>
      </c>
      <c r="F156" t="s">
        <v>3262</v>
      </c>
      <c r="G156">
        <v>134903.94</v>
      </c>
      <c r="H156" t="s">
        <v>573</v>
      </c>
      <c r="I156">
        <v>86.03</v>
      </c>
      <c r="J156" t="s">
        <v>3263</v>
      </c>
      <c r="K156">
        <v>76.260000000000005</v>
      </c>
      <c r="L156" s="1">
        <v>45139</v>
      </c>
      <c r="M156">
        <f>G156*IF(D156="INR",1,INDEX('rates'!$B$2:$B$522,MATCH(B156,'rates'!$A$2:$A$522,1)))</f>
        <v>11109339.458999999</v>
      </c>
      <c r="N156">
        <f t="shared" si="2"/>
        <v>60</v>
      </c>
    </row>
    <row r="157" spans="1:14" x14ac:dyDescent="0.3">
      <c r="A157" t="s">
        <v>3387</v>
      </c>
      <c r="B157" s="1">
        <v>45079</v>
      </c>
      <c r="C157" t="s">
        <v>566</v>
      </c>
      <c r="D157" t="s">
        <v>36</v>
      </c>
      <c r="E157">
        <v>283</v>
      </c>
      <c r="F157" t="s">
        <v>3262</v>
      </c>
      <c r="G157">
        <v>21556.11</v>
      </c>
      <c r="H157" t="s">
        <v>573</v>
      </c>
      <c r="I157">
        <v>86.03</v>
      </c>
      <c r="J157" t="s">
        <v>3263</v>
      </c>
      <c r="K157">
        <v>76.17</v>
      </c>
      <c r="L157" s="1">
        <v>45139</v>
      </c>
      <c r="M157">
        <f>G157*IF(D157="INR",1,INDEX('rates'!$B$2:$B$522,MATCH(B157,'rates'!$A$2:$A$522,1)))</f>
        <v>1775145.6584999999</v>
      </c>
      <c r="N157">
        <f t="shared" si="2"/>
        <v>60</v>
      </c>
    </row>
    <row r="158" spans="1:14" x14ac:dyDescent="0.3">
      <c r="A158" t="s">
        <v>3390</v>
      </c>
      <c r="B158" s="1">
        <v>45079</v>
      </c>
      <c r="C158" t="s">
        <v>575</v>
      </c>
      <c r="D158" t="s">
        <v>36</v>
      </c>
      <c r="E158">
        <v>1314</v>
      </c>
      <c r="F158" t="s">
        <v>3262</v>
      </c>
      <c r="G158">
        <v>98576.28</v>
      </c>
      <c r="H158" t="s">
        <v>573</v>
      </c>
      <c r="I158">
        <v>86.03</v>
      </c>
      <c r="J158" t="s">
        <v>3263</v>
      </c>
      <c r="K158">
        <v>75.02</v>
      </c>
      <c r="L158" s="1">
        <v>45139</v>
      </c>
      <c r="M158">
        <f>G158*IF(D158="INR",1,INDEX('rates'!$B$2:$B$522,MATCH(B158,'rates'!$A$2:$A$522,1)))</f>
        <v>8117756.6579999989</v>
      </c>
      <c r="N158">
        <f t="shared" si="2"/>
        <v>60</v>
      </c>
    </row>
    <row r="159" spans="1:14" x14ac:dyDescent="0.3">
      <c r="A159" t="s">
        <v>3391</v>
      </c>
      <c r="B159" s="1">
        <v>45079</v>
      </c>
      <c r="C159" t="s">
        <v>558</v>
      </c>
      <c r="D159" t="s">
        <v>36</v>
      </c>
      <c r="E159">
        <v>188</v>
      </c>
      <c r="F159" t="s">
        <v>3262</v>
      </c>
      <c r="G159">
        <v>14276.72</v>
      </c>
      <c r="H159" t="s">
        <v>556</v>
      </c>
      <c r="J159" t="s">
        <v>3263</v>
      </c>
      <c r="K159">
        <v>75.94</v>
      </c>
      <c r="L159" s="1">
        <v>45139</v>
      </c>
      <c r="M159">
        <f>G159*IF(D159="INR",1,INDEX('rates'!$B$2:$B$522,MATCH(B159,'rates'!$A$2:$A$522,1)))</f>
        <v>1175687.8919999998</v>
      </c>
      <c r="N159">
        <f t="shared" si="2"/>
        <v>60</v>
      </c>
    </row>
    <row r="160" spans="1:14" x14ac:dyDescent="0.3">
      <c r="A160" t="s">
        <v>3394</v>
      </c>
      <c r="B160" s="1">
        <v>45079</v>
      </c>
      <c r="C160" t="s">
        <v>566</v>
      </c>
      <c r="D160" t="s">
        <v>36</v>
      </c>
      <c r="E160">
        <v>629</v>
      </c>
      <c r="F160" t="s">
        <v>3262</v>
      </c>
      <c r="G160">
        <v>47476.92</v>
      </c>
      <c r="H160" t="s">
        <v>573</v>
      </c>
      <c r="I160">
        <v>86.03</v>
      </c>
      <c r="J160" t="s">
        <v>3263</v>
      </c>
      <c r="K160">
        <v>75.48</v>
      </c>
      <c r="L160" s="1">
        <v>45139</v>
      </c>
      <c r="M160">
        <f>G160*IF(D160="INR",1,INDEX('rates'!$B$2:$B$522,MATCH(B160,'rates'!$A$2:$A$522,1)))</f>
        <v>3909724.3619999997</v>
      </c>
      <c r="N160">
        <f t="shared" si="2"/>
        <v>60</v>
      </c>
    </row>
    <row r="161" spans="1:14" x14ac:dyDescent="0.3">
      <c r="A161" t="s">
        <v>3395</v>
      </c>
      <c r="B161" s="1">
        <v>45079</v>
      </c>
      <c r="C161" t="s">
        <v>558</v>
      </c>
      <c r="D161" t="s">
        <v>36</v>
      </c>
      <c r="E161">
        <v>2637</v>
      </c>
      <c r="F161" t="s">
        <v>3262</v>
      </c>
      <c r="G161">
        <v>205211</v>
      </c>
      <c r="H161" t="s">
        <v>556</v>
      </c>
      <c r="J161" t="s">
        <v>3263</v>
      </c>
      <c r="K161">
        <v>77.819999999999993</v>
      </c>
      <c r="L161" s="1">
        <v>45139</v>
      </c>
      <c r="M161">
        <f>G161*IF(D161="INR",1,INDEX('rates'!$B$2:$B$522,MATCH(B161,'rates'!$A$2:$A$522,1)))</f>
        <v>16899125.849999998</v>
      </c>
      <c r="N161">
        <f t="shared" si="2"/>
        <v>60</v>
      </c>
    </row>
    <row r="162" spans="1:14" x14ac:dyDescent="0.3">
      <c r="A162" t="s">
        <v>3396</v>
      </c>
      <c r="B162" s="1">
        <v>45082</v>
      </c>
      <c r="C162" t="s">
        <v>560</v>
      </c>
      <c r="D162" t="s">
        <v>36</v>
      </c>
      <c r="E162">
        <v>1074</v>
      </c>
      <c r="F162" t="s">
        <v>3262</v>
      </c>
      <c r="G162">
        <v>81398.460000000006</v>
      </c>
      <c r="H162" t="s">
        <v>556</v>
      </c>
      <c r="J162" t="s">
        <v>3263</v>
      </c>
      <c r="K162">
        <v>75.790000000000006</v>
      </c>
      <c r="L162" s="1">
        <v>45142</v>
      </c>
      <c r="M162">
        <f>G162*IF(D162="INR",1,INDEX('rates'!$B$2:$B$522,MATCH(B162,'rates'!$A$2:$A$522,1)))</f>
        <v>6729210.6882000007</v>
      </c>
      <c r="N162">
        <f t="shared" si="2"/>
        <v>60</v>
      </c>
    </row>
    <row r="163" spans="1:14" x14ac:dyDescent="0.3">
      <c r="A163" t="s">
        <v>3425</v>
      </c>
      <c r="B163" s="1">
        <v>45097</v>
      </c>
      <c r="C163" t="s">
        <v>560</v>
      </c>
      <c r="D163" t="s">
        <v>13</v>
      </c>
      <c r="E163">
        <v>74732</v>
      </c>
      <c r="F163" t="s">
        <v>3270</v>
      </c>
      <c r="G163">
        <v>4803025.6399999997</v>
      </c>
      <c r="H163" t="s">
        <v>556</v>
      </c>
      <c r="J163" t="s">
        <v>3271</v>
      </c>
      <c r="K163">
        <v>64.27</v>
      </c>
      <c r="L163" s="1">
        <v>45142</v>
      </c>
      <c r="M163">
        <f>G163*IF(D163="INR",1,INDEX('rates'!$B$2:$B$522,MATCH(B163,'rates'!$A$2:$A$522,1)))</f>
        <v>4803025.6399999997</v>
      </c>
      <c r="N163">
        <f t="shared" si="2"/>
        <v>45</v>
      </c>
    </row>
    <row r="164" spans="1:14" x14ac:dyDescent="0.3">
      <c r="A164" t="s">
        <v>3429</v>
      </c>
      <c r="B164" s="1">
        <v>45098</v>
      </c>
      <c r="C164" t="s">
        <v>554</v>
      </c>
      <c r="D164" t="s">
        <v>36</v>
      </c>
      <c r="E164">
        <v>1323</v>
      </c>
      <c r="F164" t="s">
        <v>3262</v>
      </c>
      <c r="G164">
        <v>100045.26</v>
      </c>
      <c r="H164" t="s">
        <v>573</v>
      </c>
      <c r="I164">
        <v>86.03</v>
      </c>
      <c r="J164" t="s">
        <v>3263</v>
      </c>
      <c r="K164">
        <v>75.62</v>
      </c>
      <c r="L164" s="1">
        <v>45143</v>
      </c>
      <c r="M164">
        <f>G164*IF(D164="INR",1,INDEX('rates'!$B$2:$B$522,MATCH(B164,'rates'!$A$2:$A$522,1)))</f>
        <v>8207713.1304000001</v>
      </c>
      <c r="N164">
        <f t="shared" si="2"/>
        <v>45</v>
      </c>
    </row>
    <row r="165" spans="1:14" x14ac:dyDescent="0.3">
      <c r="A165" t="s">
        <v>3431</v>
      </c>
      <c r="B165" s="1">
        <v>45099</v>
      </c>
      <c r="C165" t="s">
        <v>566</v>
      </c>
      <c r="D165" t="s">
        <v>36</v>
      </c>
      <c r="E165">
        <v>556</v>
      </c>
      <c r="F165" t="s">
        <v>3262</v>
      </c>
      <c r="G165">
        <v>40499.040000000001</v>
      </c>
      <c r="H165" t="s">
        <v>556</v>
      </c>
      <c r="J165" t="s">
        <v>3263</v>
      </c>
      <c r="K165">
        <v>72.84</v>
      </c>
      <c r="L165" s="1">
        <v>45144</v>
      </c>
      <c r="M165">
        <f>G165*IF(D165="INR",1,INDEX('rates'!$B$2:$B$522,MATCH(B165,'rates'!$A$2:$A$522,1)))</f>
        <v>3318086.3472000002</v>
      </c>
      <c r="N165">
        <f t="shared" si="2"/>
        <v>45</v>
      </c>
    </row>
    <row r="166" spans="1:14" x14ac:dyDescent="0.3">
      <c r="A166" t="s">
        <v>3402</v>
      </c>
      <c r="B166" s="1">
        <v>45085</v>
      </c>
      <c r="C166" t="s">
        <v>566</v>
      </c>
      <c r="D166" t="s">
        <v>36</v>
      </c>
      <c r="E166">
        <v>554</v>
      </c>
      <c r="F166" t="s">
        <v>3262</v>
      </c>
      <c r="G166">
        <v>41273</v>
      </c>
      <c r="H166" t="s">
        <v>573</v>
      </c>
      <c r="I166">
        <v>86.03</v>
      </c>
      <c r="J166" t="s">
        <v>3263</v>
      </c>
      <c r="K166">
        <v>74.5</v>
      </c>
      <c r="L166" s="1">
        <v>45145</v>
      </c>
      <c r="M166">
        <f>G166*IF(D166="INR",1,INDEX('rates'!$B$2:$B$522,MATCH(B166,'rates'!$A$2:$A$522,1)))</f>
        <v>3407911.61</v>
      </c>
      <c r="N166">
        <f t="shared" si="2"/>
        <v>60</v>
      </c>
    </row>
    <row r="167" spans="1:14" x14ac:dyDescent="0.3">
      <c r="A167" t="s">
        <v>3437</v>
      </c>
      <c r="B167" s="1">
        <v>45100</v>
      </c>
      <c r="C167" t="s">
        <v>560</v>
      </c>
      <c r="D167" t="s">
        <v>36</v>
      </c>
      <c r="E167">
        <v>1008</v>
      </c>
      <c r="F167" t="s">
        <v>3262</v>
      </c>
      <c r="G167">
        <v>74632.320000000007</v>
      </c>
      <c r="H167" t="s">
        <v>556</v>
      </c>
      <c r="J167" t="s">
        <v>3263</v>
      </c>
      <c r="K167">
        <v>74.040000000000006</v>
      </c>
      <c r="L167" s="1">
        <v>45145</v>
      </c>
      <c r="M167">
        <f>G167*IF(D167="INR",1,INDEX('rates'!$B$2:$B$522,MATCH(B167,'rates'!$A$2:$A$522,1)))</f>
        <v>6120596.5632000007</v>
      </c>
      <c r="N167">
        <f t="shared" si="2"/>
        <v>45</v>
      </c>
    </row>
    <row r="168" spans="1:14" x14ac:dyDescent="0.3">
      <c r="A168" t="s">
        <v>3438</v>
      </c>
      <c r="B168" s="1">
        <v>45100</v>
      </c>
      <c r="C168" t="s">
        <v>566</v>
      </c>
      <c r="D168" t="s">
        <v>36</v>
      </c>
      <c r="E168">
        <v>4300</v>
      </c>
      <c r="F168" t="s">
        <v>3262</v>
      </c>
      <c r="G168">
        <v>315061</v>
      </c>
      <c r="H168" t="s">
        <v>573</v>
      </c>
      <c r="I168">
        <v>86.03</v>
      </c>
      <c r="J168" t="s">
        <v>3263</v>
      </c>
      <c r="K168">
        <v>73.27</v>
      </c>
      <c r="L168" s="1">
        <v>45145</v>
      </c>
      <c r="M168">
        <f>G168*IF(D168="INR",1,INDEX('rates'!$B$2:$B$522,MATCH(B168,'rates'!$A$2:$A$522,1)))</f>
        <v>25838152.610000003</v>
      </c>
      <c r="N168">
        <f t="shared" si="2"/>
        <v>45</v>
      </c>
    </row>
    <row r="169" spans="1:14" x14ac:dyDescent="0.3">
      <c r="A169" t="s">
        <v>3404</v>
      </c>
      <c r="B169" s="1">
        <v>45086</v>
      </c>
      <c r="C169" t="s">
        <v>558</v>
      </c>
      <c r="D169" t="s">
        <v>36</v>
      </c>
      <c r="E169">
        <v>259</v>
      </c>
      <c r="F169" t="s">
        <v>3262</v>
      </c>
      <c r="G169">
        <v>18839.66</v>
      </c>
      <c r="H169" t="s">
        <v>556</v>
      </c>
      <c r="J169" t="s">
        <v>3263</v>
      </c>
      <c r="K169">
        <v>72.739999999999995</v>
      </c>
      <c r="L169" s="1">
        <v>45146</v>
      </c>
      <c r="M169">
        <f>G169*IF(D169="INR",1,INDEX('rates'!$B$2:$B$522,MATCH(B169,'rates'!$A$2:$A$522,1)))</f>
        <v>1553518.3635999998</v>
      </c>
      <c r="N169">
        <f t="shared" si="2"/>
        <v>60</v>
      </c>
    </row>
    <row r="170" spans="1:14" x14ac:dyDescent="0.3">
      <c r="A170" t="s">
        <v>3407</v>
      </c>
      <c r="B170" s="1">
        <v>45086</v>
      </c>
      <c r="C170" t="s">
        <v>554</v>
      </c>
      <c r="D170" t="s">
        <v>13</v>
      </c>
      <c r="E170">
        <v>98948</v>
      </c>
      <c r="F170" t="s">
        <v>3270</v>
      </c>
      <c r="G170">
        <v>6857096.4000000004</v>
      </c>
      <c r="H170" t="s">
        <v>556</v>
      </c>
      <c r="J170" t="s">
        <v>3271</v>
      </c>
      <c r="K170">
        <v>69.3</v>
      </c>
      <c r="L170" s="1">
        <v>45146</v>
      </c>
      <c r="M170">
        <f>G170*IF(D170="INR",1,INDEX('rates'!$B$2:$B$522,MATCH(B170,'rates'!$A$2:$A$522,1)))</f>
        <v>6857096.4000000004</v>
      </c>
      <c r="N170">
        <f t="shared" si="2"/>
        <v>60</v>
      </c>
    </row>
    <row r="171" spans="1:14" x14ac:dyDescent="0.3">
      <c r="A171" t="s">
        <v>3408</v>
      </c>
      <c r="B171" s="1">
        <v>45086</v>
      </c>
      <c r="C171" t="s">
        <v>575</v>
      </c>
      <c r="D171" t="s">
        <v>36</v>
      </c>
      <c r="E171">
        <v>935</v>
      </c>
      <c r="F171" t="s">
        <v>3262</v>
      </c>
      <c r="G171">
        <v>69779.05</v>
      </c>
      <c r="H171" t="s">
        <v>573</v>
      </c>
      <c r="I171">
        <v>86.03</v>
      </c>
      <c r="J171" t="s">
        <v>3263</v>
      </c>
      <c r="K171">
        <v>74.63</v>
      </c>
      <c r="L171" s="1">
        <v>45146</v>
      </c>
      <c r="M171">
        <f>G171*IF(D171="INR",1,INDEX('rates'!$B$2:$B$522,MATCH(B171,'rates'!$A$2:$A$522,1)))</f>
        <v>5753980.4629999995</v>
      </c>
      <c r="N171">
        <f t="shared" si="2"/>
        <v>60</v>
      </c>
    </row>
    <row r="172" spans="1:14" x14ac:dyDescent="0.3">
      <c r="A172" t="s">
        <v>3409</v>
      </c>
      <c r="B172" s="1">
        <v>45086</v>
      </c>
      <c r="C172" t="s">
        <v>566</v>
      </c>
      <c r="D172" t="s">
        <v>36</v>
      </c>
      <c r="E172">
        <v>568</v>
      </c>
      <c r="F172" t="s">
        <v>3262</v>
      </c>
      <c r="G172">
        <v>41418.559999999998</v>
      </c>
      <c r="H172" t="s">
        <v>573</v>
      </c>
      <c r="I172">
        <v>86.03</v>
      </c>
      <c r="J172" t="s">
        <v>3263</v>
      </c>
      <c r="K172">
        <v>72.92</v>
      </c>
      <c r="L172" s="1">
        <v>45146</v>
      </c>
      <c r="M172">
        <f>G172*IF(D172="INR",1,INDEX('rates'!$B$2:$B$522,MATCH(B172,'rates'!$A$2:$A$522,1)))</f>
        <v>3415374.4575999994</v>
      </c>
      <c r="N172">
        <f t="shared" si="2"/>
        <v>60</v>
      </c>
    </row>
    <row r="173" spans="1:14" x14ac:dyDescent="0.3">
      <c r="A173" t="s">
        <v>3459</v>
      </c>
      <c r="B173" s="1">
        <v>45117</v>
      </c>
      <c r="C173" t="s">
        <v>575</v>
      </c>
      <c r="D173" t="s">
        <v>36</v>
      </c>
      <c r="E173">
        <v>1471</v>
      </c>
      <c r="F173" t="s">
        <v>3262</v>
      </c>
      <c r="G173">
        <v>115958.93</v>
      </c>
      <c r="H173" t="s">
        <v>573</v>
      </c>
      <c r="I173">
        <v>87.25</v>
      </c>
      <c r="J173" t="s">
        <v>3263</v>
      </c>
      <c r="K173">
        <v>78.83</v>
      </c>
      <c r="L173" s="1">
        <v>45147</v>
      </c>
      <c r="M173">
        <f>G173*IF(D173="INR",1,INDEX('rates'!$B$2:$B$522,MATCH(B173,'rates'!$A$2:$A$522,1)))</f>
        <v>9574728.8500999995</v>
      </c>
      <c r="N173">
        <f t="shared" si="2"/>
        <v>30</v>
      </c>
    </row>
    <row r="174" spans="1:14" x14ac:dyDescent="0.3">
      <c r="A174" t="s">
        <v>3461</v>
      </c>
      <c r="B174" s="1">
        <v>45118</v>
      </c>
      <c r="C174" t="s">
        <v>558</v>
      </c>
      <c r="D174" t="s">
        <v>36</v>
      </c>
      <c r="E174">
        <v>524</v>
      </c>
      <c r="F174" t="s">
        <v>3262</v>
      </c>
      <c r="G174">
        <v>41343.599999999999</v>
      </c>
      <c r="H174" t="s">
        <v>556</v>
      </c>
      <c r="J174" t="s">
        <v>3263</v>
      </c>
      <c r="K174">
        <v>78.900000000000006</v>
      </c>
      <c r="L174" s="1">
        <v>45148</v>
      </c>
      <c r="M174">
        <f>G174*IF(D174="INR",1,INDEX('rates'!$B$2:$B$522,MATCH(B174,'rates'!$A$2:$A$522,1)))</f>
        <v>3406299.2039999999</v>
      </c>
      <c r="N174">
        <f t="shared" si="2"/>
        <v>30</v>
      </c>
    </row>
    <row r="175" spans="1:14" x14ac:dyDescent="0.3">
      <c r="A175" t="s">
        <v>3462</v>
      </c>
      <c r="B175" s="1">
        <v>45118</v>
      </c>
      <c r="C175" t="s">
        <v>575</v>
      </c>
      <c r="D175" t="s">
        <v>36</v>
      </c>
      <c r="E175">
        <v>1649</v>
      </c>
      <c r="F175" t="s">
        <v>3262</v>
      </c>
      <c r="G175">
        <v>130040.14</v>
      </c>
      <c r="H175" t="s">
        <v>556</v>
      </c>
      <c r="J175" t="s">
        <v>3263</v>
      </c>
      <c r="K175">
        <v>78.86</v>
      </c>
      <c r="L175" s="1">
        <v>45148</v>
      </c>
      <c r="M175">
        <f>G175*IF(D175="INR",1,INDEX('rates'!$B$2:$B$522,MATCH(B175,'rates'!$A$2:$A$522,1)))</f>
        <v>10714007.1346</v>
      </c>
      <c r="N175">
        <f t="shared" si="2"/>
        <v>30</v>
      </c>
    </row>
    <row r="176" spans="1:14" x14ac:dyDescent="0.3">
      <c r="A176" t="s">
        <v>3464</v>
      </c>
      <c r="B176" s="1">
        <v>45119</v>
      </c>
      <c r="C176" t="s">
        <v>575</v>
      </c>
      <c r="D176" t="s">
        <v>36</v>
      </c>
      <c r="E176">
        <v>2789</v>
      </c>
      <c r="F176" t="s">
        <v>3262</v>
      </c>
      <c r="G176">
        <v>222645.87</v>
      </c>
      <c r="H176" t="s">
        <v>556</v>
      </c>
      <c r="J176" t="s">
        <v>3263</v>
      </c>
      <c r="K176">
        <v>79.83</v>
      </c>
      <c r="L176" s="1">
        <v>45149</v>
      </c>
      <c r="M176">
        <f>G176*IF(D176="INR",1,INDEX('rates'!$B$2:$B$522,MATCH(B176,'rates'!$A$2:$A$522,1)))</f>
        <v>18263640.7161</v>
      </c>
      <c r="N176">
        <f t="shared" si="2"/>
        <v>30</v>
      </c>
    </row>
    <row r="177" spans="1:14" x14ac:dyDescent="0.3">
      <c r="A177" t="s">
        <v>3415</v>
      </c>
      <c r="B177" s="1">
        <v>45091</v>
      </c>
      <c r="C177" t="s">
        <v>554</v>
      </c>
      <c r="D177" t="s">
        <v>36</v>
      </c>
      <c r="E177">
        <v>1800</v>
      </c>
      <c r="F177" t="s">
        <v>3262</v>
      </c>
      <c r="G177">
        <v>128736</v>
      </c>
      <c r="H177" t="s">
        <v>573</v>
      </c>
      <c r="I177">
        <v>86.03</v>
      </c>
      <c r="J177" t="s">
        <v>3263</v>
      </c>
      <c r="K177">
        <v>71.52</v>
      </c>
      <c r="L177" s="1">
        <v>45151</v>
      </c>
      <c r="M177">
        <f>G177*IF(D177="INR",1,INDEX('rates'!$B$2:$B$522,MATCH(B177,'rates'!$A$2:$A$522,1)))</f>
        <v>10569225.6</v>
      </c>
      <c r="N177">
        <f t="shared" si="2"/>
        <v>60</v>
      </c>
    </row>
    <row r="178" spans="1:14" x14ac:dyDescent="0.3">
      <c r="A178" t="s">
        <v>3469</v>
      </c>
      <c r="B178" s="1">
        <v>45121</v>
      </c>
      <c r="C178" t="s">
        <v>554</v>
      </c>
      <c r="D178" t="s">
        <v>13</v>
      </c>
      <c r="E178">
        <v>188923</v>
      </c>
      <c r="F178" t="s">
        <v>3270</v>
      </c>
      <c r="G178">
        <v>14250461.890000001</v>
      </c>
      <c r="H178" t="s">
        <v>556</v>
      </c>
      <c r="J178" t="s">
        <v>3271</v>
      </c>
      <c r="K178">
        <v>75.430000000000007</v>
      </c>
      <c r="L178" s="1">
        <v>45151</v>
      </c>
      <c r="M178">
        <f>G178*IF(D178="INR",1,INDEX('rates'!$B$2:$B$522,MATCH(B178,'rates'!$A$2:$A$522,1)))</f>
        <v>14250461.890000001</v>
      </c>
      <c r="N178">
        <f t="shared" si="2"/>
        <v>30</v>
      </c>
    </row>
    <row r="179" spans="1:14" x14ac:dyDescent="0.3">
      <c r="A179" t="s">
        <v>3418</v>
      </c>
      <c r="B179" s="1">
        <v>45092</v>
      </c>
      <c r="C179" t="s">
        <v>554</v>
      </c>
      <c r="D179" t="s">
        <v>36</v>
      </c>
      <c r="E179">
        <v>976</v>
      </c>
      <c r="F179" t="s">
        <v>3262</v>
      </c>
      <c r="G179">
        <v>72897.440000000002</v>
      </c>
      <c r="H179" t="s">
        <v>573</v>
      </c>
      <c r="I179">
        <v>86.03</v>
      </c>
      <c r="J179" t="s">
        <v>3263</v>
      </c>
      <c r="K179">
        <v>74.69</v>
      </c>
      <c r="L179" s="1">
        <v>45152</v>
      </c>
      <c r="M179">
        <f>G179*IF(D179="INR",1,INDEX('rates'!$B$2:$B$522,MATCH(B179,'rates'!$A$2:$A$522,1)))</f>
        <v>5990711.6192000005</v>
      </c>
      <c r="N179">
        <f t="shared" si="2"/>
        <v>60</v>
      </c>
    </row>
    <row r="180" spans="1:14" x14ac:dyDescent="0.3">
      <c r="A180" t="s">
        <v>3443</v>
      </c>
      <c r="B180" s="1">
        <v>45107</v>
      </c>
      <c r="C180" t="s">
        <v>558</v>
      </c>
      <c r="D180" t="s">
        <v>13</v>
      </c>
      <c r="E180">
        <v>71160</v>
      </c>
      <c r="F180" t="s">
        <v>3270</v>
      </c>
      <c r="G180">
        <v>4630381.2</v>
      </c>
      <c r="H180" t="s">
        <v>556</v>
      </c>
      <c r="J180" t="s">
        <v>3271</v>
      </c>
      <c r="K180">
        <v>65.069999999999993</v>
      </c>
      <c r="L180" s="1">
        <v>45152</v>
      </c>
      <c r="M180">
        <f>G180*IF(D180="INR",1,INDEX('rates'!$B$2:$B$522,MATCH(B180,'rates'!$A$2:$A$522,1)))</f>
        <v>4630381.2</v>
      </c>
      <c r="N180">
        <f t="shared" si="2"/>
        <v>45</v>
      </c>
    </row>
    <row r="181" spans="1:14" x14ac:dyDescent="0.3">
      <c r="A181" t="s">
        <v>3420</v>
      </c>
      <c r="B181" s="1">
        <v>45093</v>
      </c>
      <c r="C181" t="s">
        <v>560</v>
      </c>
      <c r="D181" t="s">
        <v>36</v>
      </c>
      <c r="E181">
        <v>975</v>
      </c>
      <c r="F181" t="s">
        <v>3262</v>
      </c>
      <c r="G181">
        <v>75114</v>
      </c>
      <c r="H181" t="s">
        <v>556</v>
      </c>
      <c r="J181" t="s">
        <v>3263</v>
      </c>
      <c r="K181">
        <v>77.040000000000006</v>
      </c>
      <c r="L181" s="1">
        <v>45153</v>
      </c>
      <c r="M181">
        <f>G181*IF(D181="INR",1,INDEX('rates'!$B$2:$B$522,MATCH(B181,'rates'!$A$2:$A$522,1)))</f>
        <v>6151085.46</v>
      </c>
      <c r="N181">
        <f t="shared" si="2"/>
        <v>60</v>
      </c>
    </row>
    <row r="182" spans="1:14" x14ac:dyDescent="0.3">
      <c r="A182" t="s">
        <v>3424</v>
      </c>
      <c r="B182" s="1">
        <v>45096</v>
      </c>
      <c r="C182" t="s">
        <v>566</v>
      </c>
      <c r="D182" t="s">
        <v>36</v>
      </c>
      <c r="E182">
        <v>910</v>
      </c>
      <c r="F182" t="s">
        <v>3262</v>
      </c>
      <c r="G182">
        <v>68231.8</v>
      </c>
      <c r="H182" t="s">
        <v>573</v>
      </c>
      <c r="I182">
        <v>86.03</v>
      </c>
      <c r="J182" t="s">
        <v>3263</v>
      </c>
      <c r="K182">
        <v>74.98</v>
      </c>
      <c r="L182" s="1">
        <v>45156</v>
      </c>
      <c r="M182">
        <f>G182*IF(D182="INR",1,INDEX('rates'!$B$2:$B$522,MATCH(B182,'rates'!$A$2:$A$522,1)))</f>
        <v>5587502.102</v>
      </c>
      <c r="N182">
        <f t="shared" si="2"/>
        <v>60</v>
      </c>
    </row>
    <row r="183" spans="1:14" x14ac:dyDescent="0.3">
      <c r="A183" t="s">
        <v>3447</v>
      </c>
      <c r="B183" s="1">
        <v>45111</v>
      </c>
      <c r="C183" t="s">
        <v>558</v>
      </c>
      <c r="D183" t="s">
        <v>36</v>
      </c>
      <c r="E183">
        <v>1253</v>
      </c>
      <c r="F183" t="s">
        <v>3262</v>
      </c>
      <c r="G183">
        <v>90479.13</v>
      </c>
      <c r="H183" t="s">
        <v>556</v>
      </c>
      <c r="J183" t="s">
        <v>3263</v>
      </c>
      <c r="K183">
        <v>72.209999999999994</v>
      </c>
      <c r="L183" s="1">
        <v>45156</v>
      </c>
      <c r="M183">
        <f>G183*IF(D183="INR",1,INDEX('rates'!$B$2:$B$522,MATCH(B183,'rates'!$A$2:$A$522,1)))</f>
        <v>7415669.4947999995</v>
      </c>
      <c r="N183">
        <f t="shared" si="2"/>
        <v>45</v>
      </c>
    </row>
    <row r="184" spans="1:14" x14ac:dyDescent="0.3">
      <c r="A184" t="s">
        <v>3477</v>
      </c>
      <c r="B184" s="1">
        <v>45126</v>
      </c>
      <c r="C184" t="s">
        <v>575</v>
      </c>
      <c r="D184" t="s">
        <v>13</v>
      </c>
      <c r="E184">
        <v>31054</v>
      </c>
      <c r="F184" t="s">
        <v>3270</v>
      </c>
      <c r="G184">
        <v>2681823.44</v>
      </c>
      <c r="H184" t="s">
        <v>556</v>
      </c>
      <c r="J184" t="s">
        <v>3271</v>
      </c>
      <c r="K184">
        <v>86.36</v>
      </c>
      <c r="L184" s="1">
        <v>45156</v>
      </c>
      <c r="M184">
        <f>G184*IF(D184="INR",1,INDEX('rates'!$B$2:$B$522,MATCH(B184,'rates'!$A$2:$A$522,1)))</f>
        <v>2681823.44</v>
      </c>
      <c r="N184">
        <f t="shared" si="2"/>
        <v>30</v>
      </c>
    </row>
    <row r="185" spans="1:14" x14ac:dyDescent="0.3">
      <c r="A185" t="s">
        <v>3448</v>
      </c>
      <c r="B185" s="1">
        <v>45112</v>
      </c>
      <c r="C185" t="s">
        <v>560</v>
      </c>
      <c r="D185" t="s">
        <v>36</v>
      </c>
      <c r="E185">
        <v>403</v>
      </c>
      <c r="F185" t="s">
        <v>3262</v>
      </c>
      <c r="G185">
        <v>30954.43</v>
      </c>
      <c r="H185" t="s">
        <v>556</v>
      </c>
      <c r="J185" t="s">
        <v>3263</v>
      </c>
      <c r="K185">
        <v>76.81</v>
      </c>
      <c r="L185" s="1">
        <v>45157</v>
      </c>
      <c r="M185">
        <f>G185*IF(D185="INR",1,INDEX('rates'!$B$2:$B$522,MATCH(B185,'rates'!$A$2:$A$522,1)))</f>
        <v>2548787.7662</v>
      </c>
      <c r="N185">
        <f t="shared" si="2"/>
        <v>45</v>
      </c>
    </row>
    <row r="186" spans="1:14" x14ac:dyDescent="0.3">
      <c r="A186" t="s">
        <v>3450</v>
      </c>
      <c r="B186" s="1">
        <v>45112</v>
      </c>
      <c r="C186" t="s">
        <v>575</v>
      </c>
      <c r="D186" t="s">
        <v>36</v>
      </c>
      <c r="E186">
        <v>324</v>
      </c>
      <c r="F186" t="s">
        <v>3262</v>
      </c>
      <c r="G186">
        <v>24523.56</v>
      </c>
      <c r="H186" t="s">
        <v>556</v>
      </c>
      <c r="J186" t="s">
        <v>3263</v>
      </c>
      <c r="K186">
        <v>75.69</v>
      </c>
      <c r="L186" s="1">
        <v>45157</v>
      </c>
      <c r="M186">
        <f>G186*IF(D186="INR",1,INDEX('rates'!$B$2:$B$522,MATCH(B186,'rates'!$A$2:$A$522,1)))</f>
        <v>2019269.9304000002</v>
      </c>
      <c r="N186">
        <f t="shared" si="2"/>
        <v>45</v>
      </c>
    </row>
    <row r="187" spans="1:14" x14ac:dyDescent="0.3">
      <c r="A187" t="s">
        <v>3430</v>
      </c>
      <c r="B187" s="1">
        <v>45098</v>
      </c>
      <c r="C187" t="s">
        <v>558</v>
      </c>
      <c r="D187" t="s">
        <v>36</v>
      </c>
      <c r="E187">
        <v>584</v>
      </c>
      <c r="F187" t="s">
        <v>3262</v>
      </c>
      <c r="G187">
        <v>44699.360000000001</v>
      </c>
      <c r="H187" t="s">
        <v>556</v>
      </c>
      <c r="J187" t="s">
        <v>3263</v>
      </c>
      <c r="K187">
        <v>76.540000000000006</v>
      </c>
      <c r="L187" s="1">
        <v>45158</v>
      </c>
      <c r="M187">
        <f>G187*IF(D187="INR",1,INDEX('rates'!$B$2:$B$522,MATCH(B187,'rates'!$A$2:$A$522,1)))</f>
        <v>3667135.4944000002</v>
      </c>
      <c r="N187">
        <f t="shared" si="2"/>
        <v>60</v>
      </c>
    </row>
    <row r="188" spans="1:14" x14ac:dyDescent="0.3">
      <c r="A188" t="s">
        <v>3451</v>
      </c>
      <c r="B188" s="1">
        <v>45113</v>
      </c>
      <c r="C188" t="s">
        <v>566</v>
      </c>
      <c r="D188" t="s">
        <v>36</v>
      </c>
      <c r="E188">
        <v>768</v>
      </c>
      <c r="F188" t="s">
        <v>3262</v>
      </c>
      <c r="G188">
        <v>57992</v>
      </c>
      <c r="H188" t="s">
        <v>573</v>
      </c>
      <c r="I188">
        <v>86.35</v>
      </c>
      <c r="J188" t="s">
        <v>3263</v>
      </c>
      <c r="K188">
        <v>75.510000000000005</v>
      </c>
      <c r="L188" s="1">
        <v>45158</v>
      </c>
      <c r="M188">
        <f>G188*IF(D188="INR",1,INDEX('rates'!$B$2:$B$522,MATCH(B188,'rates'!$A$2:$A$522,1)))</f>
        <v>4783760.08</v>
      </c>
      <c r="N188">
        <f t="shared" si="2"/>
        <v>45</v>
      </c>
    </row>
    <row r="189" spans="1:14" x14ac:dyDescent="0.3">
      <c r="A189" t="s">
        <v>3479</v>
      </c>
      <c r="B189" s="1">
        <v>45128</v>
      </c>
      <c r="C189" t="s">
        <v>560</v>
      </c>
      <c r="D189" t="s">
        <v>36</v>
      </c>
      <c r="E189">
        <v>488</v>
      </c>
      <c r="F189" t="s">
        <v>3262</v>
      </c>
      <c r="G189">
        <v>38820.400000000001</v>
      </c>
      <c r="H189" t="s">
        <v>556</v>
      </c>
      <c r="J189" t="s">
        <v>3263</v>
      </c>
      <c r="K189">
        <v>79.55</v>
      </c>
      <c r="L189" s="1">
        <v>45158</v>
      </c>
      <c r="M189">
        <f>G189*IF(D189="INR",1,INDEX('rates'!$B$2:$B$522,MATCH(B189,'rates'!$A$2:$A$522,1)))</f>
        <v>3182884.5959999999</v>
      </c>
      <c r="N189">
        <f t="shared" si="2"/>
        <v>30</v>
      </c>
    </row>
    <row r="190" spans="1:14" x14ac:dyDescent="0.3">
      <c r="A190" t="s">
        <v>3480</v>
      </c>
      <c r="B190" s="1">
        <v>45128</v>
      </c>
      <c r="C190" t="s">
        <v>575</v>
      </c>
      <c r="D190" t="s">
        <v>36</v>
      </c>
      <c r="E190">
        <v>534</v>
      </c>
      <c r="F190" t="s">
        <v>3262</v>
      </c>
      <c r="G190">
        <v>42687.96</v>
      </c>
      <c r="H190" t="s">
        <v>573</v>
      </c>
      <c r="I190">
        <v>83.31</v>
      </c>
      <c r="J190" t="s">
        <v>3263</v>
      </c>
      <c r="K190">
        <v>79.94</v>
      </c>
      <c r="L190" s="1">
        <v>45158</v>
      </c>
      <c r="M190">
        <f>G190*IF(D190="INR",1,INDEX('rates'!$B$2:$B$522,MATCH(B190,'rates'!$A$2:$A$522,1)))</f>
        <v>3499985.8403999996</v>
      </c>
      <c r="N190">
        <f t="shared" si="2"/>
        <v>30</v>
      </c>
    </row>
    <row r="191" spans="1:14" x14ac:dyDescent="0.3">
      <c r="A191" t="s">
        <v>3481</v>
      </c>
      <c r="B191" s="1">
        <v>45128</v>
      </c>
      <c r="C191" t="s">
        <v>554</v>
      </c>
      <c r="D191" t="s">
        <v>36</v>
      </c>
      <c r="E191">
        <v>2350</v>
      </c>
      <c r="F191" t="s">
        <v>3262</v>
      </c>
      <c r="G191">
        <v>189081</v>
      </c>
      <c r="H191" t="s">
        <v>573</v>
      </c>
      <c r="I191">
        <v>83.31</v>
      </c>
      <c r="J191" t="s">
        <v>3263</v>
      </c>
      <c r="K191">
        <v>80.459999999999994</v>
      </c>
      <c r="L191" s="1">
        <v>45158</v>
      </c>
      <c r="M191">
        <f>G191*IF(D191="INR",1,INDEX('rates'!$B$2:$B$522,MATCH(B191,'rates'!$A$2:$A$522,1)))</f>
        <v>15502751.189999999</v>
      </c>
      <c r="N191">
        <f t="shared" si="2"/>
        <v>30</v>
      </c>
    </row>
    <row r="192" spans="1:14" x14ac:dyDescent="0.3">
      <c r="A192" t="s">
        <v>3482</v>
      </c>
      <c r="B192" s="1">
        <v>45128</v>
      </c>
      <c r="C192" t="s">
        <v>558</v>
      </c>
      <c r="D192" t="s">
        <v>36</v>
      </c>
      <c r="E192">
        <v>1208</v>
      </c>
      <c r="F192" t="s">
        <v>3262</v>
      </c>
      <c r="G192">
        <v>98452</v>
      </c>
      <c r="H192" t="s">
        <v>556</v>
      </c>
      <c r="J192" t="s">
        <v>3263</v>
      </c>
      <c r="K192">
        <v>81.5</v>
      </c>
      <c r="L192" s="1">
        <v>45158</v>
      </c>
      <c r="M192">
        <f>G192*IF(D192="INR",1,INDEX('rates'!$B$2:$B$522,MATCH(B192,'rates'!$A$2:$A$522,1)))</f>
        <v>8072079.4799999995</v>
      </c>
      <c r="N192">
        <f t="shared" si="2"/>
        <v>30</v>
      </c>
    </row>
    <row r="193" spans="1:14" x14ac:dyDescent="0.3">
      <c r="A193" t="s">
        <v>3484</v>
      </c>
      <c r="B193" s="1">
        <v>45128</v>
      </c>
      <c r="C193" t="s">
        <v>566</v>
      </c>
      <c r="D193" t="s">
        <v>13</v>
      </c>
      <c r="E193">
        <v>121768</v>
      </c>
      <c r="F193" t="s">
        <v>3270</v>
      </c>
      <c r="G193">
        <v>8792867.2799999993</v>
      </c>
      <c r="H193" t="s">
        <v>556</v>
      </c>
      <c r="J193" t="s">
        <v>3271</v>
      </c>
      <c r="K193">
        <v>72.209999999999994</v>
      </c>
      <c r="L193" s="1">
        <v>45158</v>
      </c>
      <c r="M193">
        <f>G193*IF(D193="INR",1,INDEX('rates'!$B$2:$B$522,MATCH(B193,'rates'!$A$2:$A$522,1)))</f>
        <v>8792867.2799999993</v>
      </c>
      <c r="N193">
        <f t="shared" si="2"/>
        <v>30</v>
      </c>
    </row>
    <row r="194" spans="1:14" x14ac:dyDescent="0.3">
      <c r="A194" t="s">
        <v>3487</v>
      </c>
      <c r="B194" s="1">
        <v>45128</v>
      </c>
      <c r="C194" t="s">
        <v>558</v>
      </c>
      <c r="D194" t="s">
        <v>36</v>
      </c>
      <c r="E194">
        <v>1453</v>
      </c>
      <c r="F194" t="s">
        <v>3262</v>
      </c>
      <c r="G194">
        <v>117547.7</v>
      </c>
      <c r="H194" t="s">
        <v>556</v>
      </c>
      <c r="J194" t="s">
        <v>3263</v>
      </c>
      <c r="K194">
        <v>80.900000000000006</v>
      </c>
      <c r="L194" s="1">
        <v>45158</v>
      </c>
      <c r="M194">
        <f>G194*IF(D194="INR",1,INDEX('rates'!$B$2:$B$522,MATCH(B194,'rates'!$A$2:$A$522,1)))</f>
        <v>9637735.9229999986</v>
      </c>
      <c r="N194">
        <f t="shared" ref="N194:N257" si="3">IF(L194="","",L194-B194)</f>
        <v>30</v>
      </c>
    </row>
    <row r="195" spans="1:14" x14ac:dyDescent="0.3">
      <c r="A195" t="s">
        <v>3433</v>
      </c>
      <c r="B195" s="1">
        <v>45099</v>
      </c>
      <c r="C195" t="s">
        <v>554</v>
      </c>
      <c r="D195" t="s">
        <v>13</v>
      </c>
      <c r="E195">
        <v>29124</v>
      </c>
      <c r="F195" t="s">
        <v>3270</v>
      </c>
      <c r="G195">
        <v>2428941.6</v>
      </c>
      <c r="H195" t="s">
        <v>556</v>
      </c>
      <c r="J195" t="s">
        <v>3271</v>
      </c>
      <c r="K195">
        <v>83.4</v>
      </c>
      <c r="L195" s="1">
        <v>45159</v>
      </c>
      <c r="M195">
        <f>G195*IF(D195="INR",1,INDEX('rates'!$B$2:$B$522,MATCH(B195,'rates'!$A$2:$A$522,1)))</f>
        <v>2428941.6</v>
      </c>
      <c r="N195">
        <f t="shared" si="3"/>
        <v>60</v>
      </c>
    </row>
    <row r="196" spans="1:14" x14ac:dyDescent="0.3">
      <c r="A196" t="s">
        <v>3453</v>
      </c>
      <c r="B196" s="1">
        <v>45114</v>
      </c>
      <c r="C196" t="s">
        <v>566</v>
      </c>
      <c r="D196" t="s">
        <v>36</v>
      </c>
      <c r="E196">
        <v>501</v>
      </c>
      <c r="F196" t="s">
        <v>3262</v>
      </c>
      <c r="G196">
        <v>39894.629999999997</v>
      </c>
      <c r="H196" t="s">
        <v>573</v>
      </c>
      <c r="I196">
        <v>86.35</v>
      </c>
      <c r="J196" t="s">
        <v>3263</v>
      </c>
      <c r="K196">
        <v>79.63</v>
      </c>
      <c r="L196" s="1">
        <v>45159</v>
      </c>
      <c r="M196">
        <f>G196*IF(D196="INR",1,INDEX('rates'!$B$2:$B$522,MATCH(B196,'rates'!$A$2:$A$522,1)))</f>
        <v>3300881.6861999994</v>
      </c>
      <c r="N196">
        <f t="shared" si="3"/>
        <v>45</v>
      </c>
    </row>
    <row r="197" spans="1:14" x14ac:dyDescent="0.3">
      <c r="A197" t="s">
        <v>3454</v>
      </c>
      <c r="B197" s="1">
        <v>45114</v>
      </c>
      <c r="C197" t="s">
        <v>554</v>
      </c>
      <c r="D197" t="s">
        <v>36</v>
      </c>
      <c r="E197">
        <v>815</v>
      </c>
      <c r="F197" t="s">
        <v>3262</v>
      </c>
      <c r="G197">
        <v>64295.35</v>
      </c>
      <c r="H197" t="s">
        <v>573</v>
      </c>
      <c r="I197">
        <v>86.35</v>
      </c>
      <c r="J197" t="s">
        <v>3263</v>
      </c>
      <c r="K197">
        <v>78.89</v>
      </c>
      <c r="L197" s="1">
        <v>45159</v>
      </c>
      <c r="M197">
        <f>G197*IF(D197="INR",1,INDEX('rates'!$B$2:$B$522,MATCH(B197,'rates'!$A$2:$A$522,1)))</f>
        <v>5319797.2589999996</v>
      </c>
      <c r="N197">
        <f t="shared" si="3"/>
        <v>45</v>
      </c>
    </row>
    <row r="198" spans="1:14" x14ac:dyDescent="0.3">
      <c r="A198" t="s">
        <v>3455</v>
      </c>
      <c r="B198" s="1">
        <v>45114</v>
      </c>
      <c r="C198" t="s">
        <v>566</v>
      </c>
      <c r="D198" t="s">
        <v>36</v>
      </c>
      <c r="E198">
        <v>1391</v>
      </c>
      <c r="F198" t="s">
        <v>3262</v>
      </c>
      <c r="G198">
        <v>106731.43</v>
      </c>
      <c r="H198" t="s">
        <v>556</v>
      </c>
      <c r="J198" t="s">
        <v>3263</v>
      </c>
      <c r="K198">
        <v>76.73</v>
      </c>
      <c r="L198" s="1">
        <v>45159</v>
      </c>
      <c r="M198">
        <f>G198*IF(D198="INR",1,INDEX('rates'!$B$2:$B$522,MATCH(B198,'rates'!$A$2:$A$522,1)))</f>
        <v>8830958.5181999989</v>
      </c>
      <c r="N198">
        <f t="shared" si="3"/>
        <v>45</v>
      </c>
    </row>
    <row r="199" spans="1:14" x14ac:dyDescent="0.3">
      <c r="A199" t="s">
        <v>3456</v>
      </c>
      <c r="B199" s="1">
        <v>45114</v>
      </c>
      <c r="C199" t="s">
        <v>560</v>
      </c>
      <c r="D199" t="s">
        <v>36</v>
      </c>
      <c r="E199">
        <v>745</v>
      </c>
      <c r="F199" t="s">
        <v>3262</v>
      </c>
      <c r="G199">
        <v>58206.85</v>
      </c>
      <c r="H199" t="s">
        <v>556</v>
      </c>
      <c r="J199" t="s">
        <v>3263</v>
      </c>
      <c r="K199">
        <v>78.13</v>
      </c>
      <c r="L199" s="1">
        <v>45159</v>
      </c>
      <c r="M199">
        <f>G199*IF(D199="INR",1,INDEX('rates'!$B$2:$B$522,MATCH(B199,'rates'!$A$2:$A$522,1)))</f>
        <v>4816034.7689999994</v>
      </c>
      <c r="N199">
        <f t="shared" si="3"/>
        <v>45</v>
      </c>
    </row>
    <row r="200" spans="1:14" x14ac:dyDescent="0.3">
      <c r="A200" t="s">
        <v>3439</v>
      </c>
      <c r="B200" s="1">
        <v>45100</v>
      </c>
      <c r="C200" t="s">
        <v>554</v>
      </c>
      <c r="D200" t="s">
        <v>36</v>
      </c>
      <c r="E200">
        <v>1932</v>
      </c>
      <c r="F200" t="s">
        <v>3262</v>
      </c>
      <c r="G200">
        <v>143219.16</v>
      </c>
      <c r="H200" t="s">
        <v>556</v>
      </c>
      <c r="J200" t="s">
        <v>3263</v>
      </c>
      <c r="K200">
        <v>74.13</v>
      </c>
      <c r="L200" s="1">
        <v>45160</v>
      </c>
      <c r="M200">
        <f>G200*IF(D200="INR",1,INDEX('rates'!$B$2:$B$522,MATCH(B200,'rates'!$A$2:$A$522,1)))</f>
        <v>11745403.311600002</v>
      </c>
      <c r="N200">
        <f t="shared" si="3"/>
        <v>60</v>
      </c>
    </row>
    <row r="201" spans="1:14" x14ac:dyDescent="0.3">
      <c r="A201" t="s">
        <v>3488</v>
      </c>
      <c r="B201" s="1">
        <v>45131</v>
      </c>
      <c r="C201" t="s">
        <v>558</v>
      </c>
      <c r="D201" t="s">
        <v>36</v>
      </c>
      <c r="E201">
        <v>1143</v>
      </c>
      <c r="F201" t="s">
        <v>3262</v>
      </c>
      <c r="G201">
        <v>98389.440000000002</v>
      </c>
      <c r="H201" t="s">
        <v>556</v>
      </c>
      <c r="J201" t="s">
        <v>3263</v>
      </c>
      <c r="K201">
        <v>86.08</v>
      </c>
      <c r="L201" s="1">
        <v>45161</v>
      </c>
      <c r="M201">
        <f>G201*IF(D201="INR",1,INDEX('rates'!$B$2:$B$522,MATCH(B201,'rates'!$A$2:$A$522,1)))</f>
        <v>8049240.0864000004</v>
      </c>
      <c r="N201">
        <f t="shared" si="3"/>
        <v>30</v>
      </c>
    </row>
    <row r="202" spans="1:14" x14ac:dyDescent="0.3">
      <c r="A202" t="s">
        <v>3458</v>
      </c>
      <c r="B202" s="1">
        <v>45117</v>
      </c>
      <c r="C202" t="s">
        <v>554</v>
      </c>
      <c r="D202" t="s">
        <v>36</v>
      </c>
      <c r="E202">
        <v>1834</v>
      </c>
      <c r="F202" t="s">
        <v>3262</v>
      </c>
      <c r="G202">
        <v>140722.82</v>
      </c>
      <c r="H202" t="s">
        <v>573</v>
      </c>
      <c r="I202">
        <v>87.25</v>
      </c>
      <c r="J202" t="s">
        <v>3263</v>
      </c>
      <c r="K202">
        <v>76.73</v>
      </c>
      <c r="L202" s="1">
        <v>45162</v>
      </c>
      <c r="M202">
        <f>G202*IF(D202="INR",1,INDEX('rates'!$B$2:$B$522,MATCH(B202,'rates'!$A$2:$A$522,1)))</f>
        <v>11619483.247399999</v>
      </c>
      <c r="N202">
        <f t="shared" si="3"/>
        <v>45</v>
      </c>
    </row>
    <row r="203" spans="1:14" x14ac:dyDescent="0.3">
      <c r="A203" t="s">
        <v>3490</v>
      </c>
      <c r="B203" s="1">
        <v>45132</v>
      </c>
      <c r="C203" t="s">
        <v>566</v>
      </c>
      <c r="D203" t="s">
        <v>36</v>
      </c>
      <c r="E203">
        <v>1726</v>
      </c>
      <c r="F203" t="s">
        <v>3262</v>
      </c>
      <c r="G203">
        <v>143430.6</v>
      </c>
      <c r="H203" t="s">
        <v>556</v>
      </c>
      <c r="J203" t="s">
        <v>3263</v>
      </c>
      <c r="K203">
        <v>83.1</v>
      </c>
      <c r="L203" s="1">
        <v>45162</v>
      </c>
      <c r="M203">
        <f>G203*IF(D203="INR",1,INDEX('rates'!$B$2:$B$522,MATCH(B203,'rates'!$A$2:$A$522,1)))</f>
        <v>11742663.222000001</v>
      </c>
      <c r="N203">
        <f t="shared" si="3"/>
        <v>30</v>
      </c>
    </row>
    <row r="204" spans="1:14" x14ac:dyDescent="0.3">
      <c r="A204" t="s">
        <v>3465</v>
      </c>
      <c r="B204" s="1">
        <v>45119</v>
      </c>
      <c r="C204" t="s">
        <v>558</v>
      </c>
      <c r="D204" t="s">
        <v>36</v>
      </c>
      <c r="E204">
        <v>1359</v>
      </c>
      <c r="F204" t="s">
        <v>3262</v>
      </c>
      <c r="G204">
        <v>108271.53</v>
      </c>
      <c r="H204" t="s">
        <v>556</v>
      </c>
      <c r="J204" t="s">
        <v>3263</v>
      </c>
      <c r="K204">
        <v>79.67</v>
      </c>
      <c r="L204" s="1">
        <v>45164</v>
      </c>
      <c r="M204">
        <f>G204*IF(D204="INR",1,INDEX('rates'!$B$2:$B$522,MATCH(B204,'rates'!$A$2:$A$522,1)))</f>
        <v>8881513.6059000008</v>
      </c>
      <c r="N204">
        <f t="shared" si="3"/>
        <v>45</v>
      </c>
    </row>
    <row r="205" spans="1:14" x14ac:dyDescent="0.3">
      <c r="A205" t="s">
        <v>3493</v>
      </c>
      <c r="B205" s="1">
        <v>45135</v>
      </c>
      <c r="C205" t="s">
        <v>566</v>
      </c>
      <c r="D205" t="s">
        <v>13</v>
      </c>
      <c r="E205">
        <v>44998</v>
      </c>
      <c r="F205" t="s">
        <v>3270</v>
      </c>
      <c r="G205">
        <v>3649337.8</v>
      </c>
      <c r="H205" t="s">
        <v>556</v>
      </c>
      <c r="J205" t="s">
        <v>3271</v>
      </c>
      <c r="K205">
        <v>81.099999999999994</v>
      </c>
      <c r="L205" s="1">
        <v>45165</v>
      </c>
      <c r="M205">
        <f>G205*IF(D205="INR",1,INDEX('rates'!$B$2:$B$522,MATCH(B205,'rates'!$A$2:$A$522,1)))</f>
        <v>3649337.8</v>
      </c>
      <c r="N205">
        <f t="shared" si="3"/>
        <v>30</v>
      </c>
    </row>
    <row r="206" spans="1:14" x14ac:dyDescent="0.3">
      <c r="A206" t="s">
        <v>3495</v>
      </c>
      <c r="B206" s="1">
        <v>45135</v>
      </c>
      <c r="C206" t="s">
        <v>560</v>
      </c>
      <c r="D206" t="s">
        <v>36</v>
      </c>
      <c r="E206">
        <v>127</v>
      </c>
      <c r="F206" t="s">
        <v>3262</v>
      </c>
      <c r="G206">
        <v>10867.39</v>
      </c>
      <c r="H206" t="s">
        <v>556</v>
      </c>
      <c r="J206" t="s">
        <v>3263</v>
      </c>
      <c r="K206">
        <v>85.57</v>
      </c>
      <c r="L206" s="1">
        <v>45165</v>
      </c>
      <c r="M206">
        <f>G206*IF(D206="INR",1,INDEX('rates'!$B$2:$B$522,MATCH(B206,'rates'!$A$2:$A$522,1)))</f>
        <v>893516.80579999997</v>
      </c>
      <c r="N206">
        <f t="shared" si="3"/>
        <v>30</v>
      </c>
    </row>
    <row r="207" spans="1:14" x14ac:dyDescent="0.3">
      <c r="A207" t="s">
        <v>3467</v>
      </c>
      <c r="B207" s="1">
        <v>45121</v>
      </c>
      <c r="C207" t="s">
        <v>566</v>
      </c>
      <c r="D207" t="s">
        <v>13</v>
      </c>
      <c r="E207">
        <v>48048</v>
      </c>
      <c r="F207" t="s">
        <v>3270</v>
      </c>
      <c r="G207">
        <v>4033629.6</v>
      </c>
      <c r="H207" t="s">
        <v>556</v>
      </c>
      <c r="J207" t="s">
        <v>3271</v>
      </c>
      <c r="K207">
        <v>83.95</v>
      </c>
      <c r="L207" s="1">
        <v>45166</v>
      </c>
      <c r="M207">
        <f>G207*IF(D207="INR",1,INDEX('rates'!$B$2:$B$522,MATCH(B207,'rates'!$A$2:$A$522,1)))</f>
        <v>4033629.6</v>
      </c>
      <c r="N207">
        <f t="shared" si="3"/>
        <v>45</v>
      </c>
    </row>
    <row r="208" spans="1:14" x14ac:dyDescent="0.3">
      <c r="A208" t="s">
        <v>3468</v>
      </c>
      <c r="B208" s="1">
        <v>45121</v>
      </c>
      <c r="C208" t="s">
        <v>560</v>
      </c>
      <c r="D208" t="s">
        <v>36</v>
      </c>
      <c r="E208">
        <v>907</v>
      </c>
      <c r="F208" t="s">
        <v>3262</v>
      </c>
      <c r="G208">
        <v>72886.52</v>
      </c>
      <c r="H208" t="s">
        <v>556</v>
      </c>
      <c r="J208" t="s">
        <v>3263</v>
      </c>
      <c r="K208">
        <v>80.36</v>
      </c>
      <c r="L208" s="1">
        <v>45166</v>
      </c>
      <c r="M208">
        <f>G208*IF(D208="INR",1,INDEX('rates'!$B$2:$B$522,MATCH(B208,'rates'!$A$2:$A$522,1)))</f>
        <v>5988356.4831999997</v>
      </c>
      <c r="N208">
        <f t="shared" si="3"/>
        <v>45</v>
      </c>
    </row>
    <row r="209" spans="1:14" x14ac:dyDescent="0.3">
      <c r="A209" t="s">
        <v>3444</v>
      </c>
      <c r="B209" s="1">
        <v>45107</v>
      </c>
      <c r="C209" t="s">
        <v>566</v>
      </c>
      <c r="D209" t="s">
        <v>36</v>
      </c>
      <c r="E209">
        <v>1709</v>
      </c>
      <c r="F209" t="s">
        <v>3262</v>
      </c>
      <c r="G209">
        <v>125850.76</v>
      </c>
      <c r="H209" t="s">
        <v>573</v>
      </c>
      <c r="I209">
        <v>86.03</v>
      </c>
      <c r="J209" t="s">
        <v>3263</v>
      </c>
      <c r="K209">
        <v>73.64</v>
      </c>
      <c r="L209" s="1">
        <v>45167</v>
      </c>
      <c r="M209">
        <f>G209*IF(D209="INR",1,INDEX('rates'!$B$2:$B$522,MATCH(B209,'rates'!$A$2:$A$522,1)))</f>
        <v>10327313.365599999</v>
      </c>
      <c r="N209">
        <f t="shared" si="3"/>
        <v>60</v>
      </c>
    </row>
    <row r="210" spans="1:14" x14ac:dyDescent="0.3">
      <c r="A210" t="s">
        <v>3499</v>
      </c>
      <c r="B210" s="1">
        <v>45138</v>
      </c>
      <c r="C210" t="s">
        <v>560</v>
      </c>
      <c r="D210" t="s">
        <v>36</v>
      </c>
      <c r="E210">
        <v>6333</v>
      </c>
      <c r="F210" t="s">
        <v>3262</v>
      </c>
      <c r="G210">
        <v>542674.77</v>
      </c>
      <c r="H210" t="s">
        <v>556</v>
      </c>
      <c r="J210" t="s">
        <v>3263</v>
      </c>
      <c r="K210">
        <v>85.69</v>
      </c>
      <c r="L210" s="1">
        <v>45168</v>
      </c>
      <c r="M210">
        <f>G210*IF(D210="INR",1,INDEX('rates'!$B$2:$B$522,MATCH(B210,'rates'!$A$2:$A$522,1)))</f>
        <v>44629573.084799998</v>
      </c>
      <c r="N210">
        <f t="shared" si="3"/>
        <v>30</v>
      </c>
    </row>
    <row r="211" spans="1:14" x14ac:dyDescent="0.3">
      <c r="A211" t="s">
        <v>3445</v>
      </c>
      <c r="B211" s="1">
        <v>45110</v>
      </c>
      <c r="C211" t="s">
        <v>554</v>
      </c>
      <c r="D211" t="s">
        <v>36</v>
      </c>
      <c r="E211">
        <v>575</v>
      </c>
      <c r="F211" t="s">
        <v>3262</v>
      </c>
      <c r="G211">
        <v>42745.5</v>
      </c>
      <c r="H211" t="s">
        <v>573</v>
      </c>
      <c r="I211">
        <v>86.35</v>
      </c>
      <c r="J211" t="s">
        <v>3263</v>
      </c>
      <c r="K211">
        <v>74.34</v>
      </c>
      <c r="L211" s="1">
        <v>45170</v>
      </c>
      <c r="M211">
        <f>G211*IF(D211="INR",1,INDEX('rates'!$B$2:$B$522,MATCH(B211,'rates'!$A$2:$A$522,1)))</f>
        <v>3503421.1799999997</v>
      </c>
      <c r="N211">
        <f t="shared" si="3"/>
        <v>60</v>
      </c>
    </row>
    <row r="212" spans="1:14" x14ac:dyDescent="0.3">
      <c r="A212" t="s">
        <v>3446</v>
      </c>
      <c r="B212" s="1">
        <v>45110</v>
      </c>
      <c r="C212" t="s">
        <v>558</v>
      </c>
      <c r="D212" t="s">
        <v>36</v>
      </c>
      <c r="E212">
        <v>2158</v>
      </c>
      <c r="F212" t="s">
        <v>3262</v>
      </c>
      <c r="G212">
        <v>158850.38</v>
      </c>
      <c r="H212" t="s">
        <v>556</v>
      </c>
      <c r="J212" t="s">
        <v>3263</v>
      </c>
      <c r="K212">
        <v>73.61</v>
      </c>
      <c r="L212" s="1">
        <v>45170</v>
      </c>
      <c r="M212">
        <f>G212*IF(D212="INR",1,INDEX('rates'!$B$2:$B$522,MATCH(B212,'rates'!$A$2:$A$522,1)))</f>
        <v>13019377.1448</v>
      </c>
      <c r="N212">
        <f t="shared" si="3"/>
        <v>60</v>
      </c>
    </row>
    <row r="213" spans="1:14" x14ac:dyDescent="0.3">
      <c r="A213" t="s">
        <v>3473</v>
      </c>
      <c r="B213" s="1">
        <v>45125</v>
      </c>
      <c r="C213" t="s">
        <v>558</v>
      </c>
      <c r="D213" t="s">
        <v>36</v>
      </c>
      <c r="E213">
        <v>644</v>
      </c>
      <c r="F213" t="s">
        <v>3262</v>
      </c>
      <c r="G213">
        <v>52118.92</v>
      </c>
      <c r="H213" t="s">
        <v>573</v>
      </c>
      <c r="I213">
        <v>84.72</v>
      </c>
      <c r="J213" t="s">
        <v>3263</v>
      </c>
      <c r="K213">
        <v>80.930000000000007</v>
      </c>
      <c r="L213" s="1">
        <v>45170</v>
      </c>
      <c r="M213">
        <f>G213*IF(D213="INR",1,INDEX('rates'!$B$2:$B$522,MATCH(B213,'rates'!$A$2:$A$522,1)))</f>
        <v>4275315.0076000001</v>
      </c>
      <c r="N213">
        <f t="shared" si="3"/>
        <v>45</v>
      </c>
    </row>
    <row r="214" spans="1:14" x14ac:dyDescent="0.3">
      <c r="A214" t="s">
        <v>3475</v>
      </c>
      <c r="B214" s="1">
        <v>45125</v>
      </c>
      <c r="C214" t="s">
        <v>554</v>
      </c>
      <c r="D214" t="s">
        <v>36</v>
      </c>
      <c r="E214">
        <v>1498</v>
      </c>
      <c r="F214" t="s">
        <v>3262</v>
      </c>
      <c r="G214">
        <v>121308.04</v>
      </c>
      <c r="H214" t="s">
        <v>556</v>
      </c>
      <c r="J214" t="s">
        <v>3263</v>
      </c>
      <c r="K214">
        <v>80.98</v>
      </c>
      <c r="L214" s="1">
        <v>45170</v>
      </c>
      <c r="M214">
        <f>G214*IF(D214="INR",1,INDEX('rates'!$B$2:$B$522,MATCH(B214,'rates'!$A$2:$A$522,1)))</f>
        <v>9950898.5211999994</v>
      </c>
      <c r="N214">
        <f t="shared" si="3"/>
        <v>45</v>
      </c>
    </row>
    <row r="215" spans="1:14" x14ac:dyDescent="0.3">
      <c r="A215" t="s">
        <v>3478</v>
      </c>
      <c r="B215" s="1">
        <v>45126</v>
      </c>
      <c r="C215" t="s">
        <v>560</v>
      </c>
      <c r="D215" t="s">
        <v>36</v>
      </c>
      <c r="E215">
        <v>477</v>
      </c>
      <c r="F215" t="s">
        <v>3262</v>
      </c>
      <c r="G215">
        <v>38322.18</v>
      </c>
      <c r="H215" t="s">
        <v>573</v>
      </c>
      <c r="I215">
        <v>82.68</v>
      </c>
      <c r="J215" t="s">
        <v>3263</v>
      </c>
      <c r="K215">
        <v>80.34</v>
      </c>
      <c r="L215" s="1">
        <v>45171</v>
      </c>
      <c r="M215">
        <f>G215*IF(D215="INR",1,INDEX('rates'!$B$2:$B$522,MATCH(B215,'rates'!$A$2:$A$522,1)))</f>
        <v>3145867.7562000002</v>
      </c>
      <c r="N215">
        <f t="shared" si="3"/>
        <v>45</v>
      </c>
    </row>
    <row r="216" spans="1:14" x14ac:dyDescent="0.3">
      <c r="A216" t="s">
        <v>3501</v>
      </c>
      <c r="B216" s="1">
        <v>45141</v>
      </c>
      <c r="C216" t="s">
        <v>554</v>
      </c>
      <c r="D216" t="s">
        <v>36</v>
      </c>
      <c r="E216">
        <v>1777</v>
      </c>
      <c r="F216" t="s">
        <v>3262</v>
      </c>
      <c r="G216">
        <v>154670.07999999999</v>
      </c>
      <c r="H216" t="s">
        <v>556</v>
      </c>
      <c r="J216" t="s">
        <v>3263</v>
      </c>
      <c r="K216">
        <v>87.04</v>
      </c>
      <c r="L216" s="1">
        <v>45171</v>
      </c>
      <c r="M216">
        <f>G216*IF(D216="INR",1,INDEX('rates'!$B$2:$B$522,MATCH(B216,'rates'!$A$2:$A$522,1)))</f>
        <v>12797402.419199998</v>
      </c>
      <c r="N216">
        <f t="shared" si="3"/>
        <v>30</v>
      </c>
    </row>
    <row r="217" spans="1:14" x14ac:dyDescent="0.3">
      <c r="A217" t="s">
        <v>3449</v>
      </c>
      <c r="B217" s="1">
        <v>45112</v>
      </c>
      <c r="C217" t="s">
        <v>566</v>
      </c>
      <c r="D217" t="s">
        <v>13</v>
      </c>
      <c r="E217">
        <v>68373</v>
      </c>
      <c r="F217" t="s">
        <v>3270</v>
      </c>
      <c r="G217">
        <v>5467105.0800000001</v>
      </c>
      <c r="H217" t="s">
        <v>556</v>
      </c>
      <c r="J217" t="s">
        <v>3271</v>
      </c>
      <c r="K217">
        <v>79.959999999999994</v>
      </c>
      <c r="L217" s="1">
        <v>45172</v>
      </c>
      <c r="M217">
        <f>G217*IF(D217="INR",1,INDEX('rates'!$B$2:$B$522,MATCH(B217,'rates'!$A$2:$A$522,1)))</f>
        <v>5467105.0800000001</v>
      </c>
      <c r="N217">
        <f t="shared" si="3"/>
        <v>60</v>
      </c>
    </row>
    <row r="218" spans="1:14" x14ac:dyDescent="0.3">
      <c r="A218" t="s">
        <v>3505</v>
      </c>
      <c r="B218" s="1">
        <v>45142</v>
      </c>
      <c r="C218" t="s">
        <v>558</v>
      </c>
      <c r="D218" t="s">
        <v>36</v>
      </c>
      <c r="E218">
        <v>726</v>
      </c>
      <c r="F218" t="s">
        <v>3262</v>
      </c>
      <c r="G218">
        <v>64904.4</v>
      </c>
      <c r="H218" t="s">
        <v>556</v>
      </c>
      <c r="J218" t="s">
        <v>3263</v>
      </c>
      <c r="K218">
        <v>89.4</v>
      </c>
      <c r="L218" s="1">
        <v>45172</v>
      </c>
      <c r="M218">
        <f>G218*IF(D218="INR",1,INDEX('rates'!$B$2:$B$522,MATCH(B218,'rates'!$A$2:$A$522,1)))</f>
        <v>5376031.4519999996</v>
      </c>
      <c r="N218">
        <f t="shared" si="3"/>
        <v>30</v>
      </c>
    </row>
    <row r="219" spans="1:14" x14ac:dyDescent="0.3">
      <c r="A219" t="s">
        <v>3452</v>
      </c>
      <c r="B219" s="1">
        <v>45113</v>
      </c>
      <c r="C219" t="s">
        <v>566</v>
      </c>
      <c r="D219" t="s">
        <v>36</v>
      </c>
      <c r="E219">
        <v>2355</v>
      </c>
      <c r="F219" t="s">
        <v>3262</v>
      </c>
      <c r="G219">
        <v>176248.2</v>
      </c>
      <c r="H219" t="s">
        <v>573</v>
      </c>
      <c r="I219">
        <v>86.35</v>
      </c>
      <c r="J219" t="s">
        <v>3263</v>
      </c>
      <c r="K219">
        <v>74.84</v>
      </c>
      <c r="L219" s="1">
        <v>45173</v>
      </c>
      <c r="M219">
        <f>G219*IF(D219="INR",1,INDEX('rates'!$B$2:$B$522,MATCH(B219,'rates'!$A$2:$A$522,1)))</f>
        <v>14538714.017999999</v>
      </c>
      <c r="N219">
        <f t="shared" si="3"/>
        <v>60</v>
      </c>
    </row>
    <row r="220" spans="1:14" x14ac:dyDescent="0.3">
      <c r="A220" t="s">
        <v>3485</v>
      </c>
      <c r="B220" s="1">
        <v>45128</v>
      </c>
      <c r="C220" t="s">
        <v>566</v>
      </c>
      <c r="D220" t="s">
        <v>13</v>
      </c>
      <c r="E220">
        <v>35272</v>
      </c>
      <c r="F220" t="s">
        <v>3270</v>
      </c>
      <c r="G220">
        <v>2731816.4</v>
      </c>
      <c r="H220" t="s">
        <v>556</v>
      </c>
      <c r="J220" t="s">
        <v>3271</v>
      </c>
      <c r="K220">
        <v>77.45</v>
      </c>
      <c r="L220" s="1">
        <v>45173</v>
      </c>
      <c r="M220">
        <f>G220*IF(D220="INR",1,INDEX('rates'!$B$2:$B$522,MATCH(B220,'rates'!$A$2:$A$522,1)))</f>
        <v>2731816.4</v>
      </c>
      <c r="N220">
        <f t="shared" si="3"/>
        <v>45</v>
      </c>
    </row>
    <row r="221" spans="1:14" x14ac:dyDescent="0.3">
      <c r="A221" t="s">
        <v>3486</v>
      </c>
      <c r="B221" s="1">
        <v>45128</v>
      </c>
      <c r="C221" t="s">
        <v>566</v>
      </c>
      <c r="D221" t="s">
        <v>36</v>
      </c>
      <c r="E221">
        <v>1880</v>
      </c>
      <c r="F221" t="s">
        <v>3262</v>
      </c>
      <c r="G221">
        <v>155964.79999999999</v>
      </c>
      <c r="H221" t="s">
        <v>573</v>
      </c>
      <c r="I221">
        <v>83.31</v>
      </c>
      <c r="J221" t="s">
        <v>3263</v>
      </c>
      <c r="K221">
        <v>82.96</v>
      </c>
      <c r="L221" s="1">
        <v>45173</v>
      </c>
      <c r="M221">
        <f>G221*IF(D221="INR",1,INDEX('rates'!$B$2:$B$522,MATCH(B221,'rates'!$A$2:$A$522,1)))</f>
        <v>12787553.951999998</v>
      </c>
      <c r="N221">
        <f t="shared" si="3"/>
        <v>45</v>
      </c>
    </row>
    <row r="222" spans="1:14" x14ac:dyDescent="0.3">
      <c r="A222" t="s">
        <v>3457</v>
      </c>
      <c r="B222" s="1">
        <v>45114</v>
      </c>
      <c r="C222" t="s">
        <v>558</v>
      </c>
      <c r="D222" t="s">
        <v>36</v>
      </c>
      <c r="E222">
        <v>1796</v>
      </c>
      <c r="F222" t="s">
        <v>3262</v>
      </c>
      <c r="G222">
        <v>142530.56</v>
      </c>
      <c r="H222" t="s">
        <v>556</v>
      </c>
      <c r="J222" t="s">
        <v>3263</v>
      </c>
      <c r="K222">
        <v>79.36</v>
      </c>
      <c r="L222" s="1">
        <v>45174</v>
      </c>
      <c r="M222">
        <f>G222*IF(D222="INR",1,INDEX('rates'!$B$2:$B$522,MATCH(B222,'rates'!$A$2:$A$522,1)))</f>
        <v>11792978.534399999</v>
      </c>
      <c r="N222">
        <f t="shared" si="3"/>
        <v>60</v>
      </c>
    </row>
    <row r="223" spans="1:14" x14ac:dyDescent="0.3">
      <c r="A223" t="s">
        <v>3489</v>
      </c>
      <c r="B223" s="1">
        <v>45131</v>
      </c>
      <c r="C223" t="s">
        <v>560</v>
      </c>
      <c r="D223" t="s">
        <v>36</v>
      </c>
      <c r="E223">
        <v>508</v>
      </c>
      <c r="F223" t="s">
        <v>3262</v>
      </c>
      <c r="G223">
        <v>42438.32</v>
      </c>
      <c r="H223" t="s">
        <v>556</v>
      </c>
      <c r="J223" t="s">
        <v>3263</v>
      </c>
      <c r="K223">
        <v>83.54</v>
      </c>
      <c r="L223" s="1">
        <v>45176</v>
      </c>
      <c r="M223">
        <f>G223*IF(D223="INR",1,INDEX('rates'!$B$2:$B$522,MATCH(B223,'rates'!$A$2:$A$522,1)))</f>
        <v>3471878.9591999999</v>
      </c>
      <c r="N223">
        <f t="shared" si="3"/>
        <v>45</v>
      </c>
    </row>
    <row r="224" spans="1:14" x14ac:dyDescent="0.3">
      <c r="A224" t="s">
        <v>3509</v>
      </c>
      <c r="B224" s="1">
        <v>45146</v>
      </c>
      <c r="C224" t="s">
        <v>566</v>
      </c>
      <c r="D224" t="s">
        <v>36</v>
      </c>
      <c r="E224">
        <v>585</v>
      </c>
      <c r="F224" t="s">
        <v>3262</v>
      </c>
      <c r="G224">
        <v>51333.75</v>
      </c>
      <c r="H224" t="s">
        <v>573</v>
      </c>
      <c r="I224">
        <v>77.61</v>
      </c>
      <c r="J224" t="s">
        <v>3263</v>
      </c>
      <c r="K224">
        <v>87.75</v>
      </c>
      <c r="L224" s="1">
        <v>45176</v>
      </c>
      <c r="M224">
        <f>G224*IF(D224="INR",1,INDEX('rates'!$B$2:$B$522,MATCH(B224,'rates'!$A$2:$A$522,1)))</f>
        <v>4253001.1875</v>
      </c>
      <c r="N224">
        <f t="shared" si="3"/>
        <v>30</v>
      </c>
    </row>
    <row r="225" spans="1:14" x14ac:dyDescent="0.3">
      <c r="A225" t="s">
        <v>3460</v>
      </c>
      <c r="B225" s="1">
        <v>45118</v>
      </c>
      <c r="C225" t="s">
        <v>558</v>
      </c>
      <c r="D225" t="s">
        <v>36</v>
      </c>
      <c r="E225">
        <v>2182</v>
      </c>
      <c r="F225" t="s">
        <v>3262</v>
      </c>
      <c r="G225">
        <v>170872.42</v>
      </c>
      <c r="H225" t="s">
        <v>556</v>
      </c>
      <c r="J225" t="s">
        <v>3263</v>
      </c>
      <c r="K225">
        <v>78.31</v>
      </c>
      <c r="L225" s="1">
        <v>45178</v>
      </c>
      <c r="M225">
        <f>G225*IF(D225="INR",1,INDEX('rates'!$B$2:$B$522,MATCH(B225,'rates'!$A$2:$A$522,1)))</f>
        <v>14078178.683800001</v>
      </c>
      <c r="N225">
        <f t="shared" si="3"/>
        <v>60</v>
      </c>
    </row>
    <row r="226" spans="1:14" x14ac:dyDescent="0.3">
      <c r="A226" t="s">
        <v>3463</v>
      </c>
      <c r="B226" s="1">
        <v>45119</v>
      </c>
      <c r="C226" t="s">
        <v>560</v>
      </c>
      <c r="D226" t="s">
        <v>36</v>
      </c>
      <c r="E226">
        <v>1667</v>
      </c>
      <c r="F226" t="s">
        <v>3262</v>
      </c>
      <c r="G226">
        <v>135977.19</v>
      </c>
      <c r="H226" t="s">
        <v>556</v>
      </c>
      <c r="J226" t="s">
        <v>3263</v>
      </c>
      <c r="K226">
        <v>81.569999999999993</v>
      </c>
      <c r="L226" s="1">
        <v>45179</v>
      </c>
      <c r="M226">
        <f>G226*IF(D226="INR",1,INDEX('rates'!$B$2:$B$522,MATCH(B226,'rates'!$A$2:$A$522,1)))</f>
        <v>11154208.8957</v>
      </c>
      <c r="N226">
        <f t="shared" si="3"/>
        <v>60</v>
      </c>
    </row>
    <row r="227" spans="1:14" x14ac:dyDescent="0.3">
      <c r="A227" t="s">
        <v>3492</v>
      </c>
      <c r="B227" s="1">
        <v>45134</v>
      </c>
      <c r="C227" t="s">
        <v>566</v>
      </c>
      <c r="D227" t="s">
        <v>36</v>
      </c>
      <c r="E227">
        <v>1460</v>
      </c>
      <c r="F227" t="s">
        <v>3262</v>
      </c>
      <c r="G227">
        <v>123574.39999999999</v>
      </c>
      <c r="H227" t="s">
        <v>573</v>
      </c>
      <c r="I227">
        <v>82.15</v>
      </c>
      <c r="J227" t="s">
        <v>3263</v>
      </c>
      <c r="K227">
        <v>84.64</v>
      </c>
      <c r="L227" s="1">
        <v>45179</v>
      </c>
      <c r="M227">
        <f>G227*IF(D227="INR",1,INDEX('rates'!$B$2:$B$522,MATCH(B227,'rates'!$A$2:$A$522,1)))</f>
        <v>10151636.960000001</v>
      </c>
      <c r="N227">
        <f t="shared" si="3"/>
        <v>45</v>
      </c>
    </row>
    <row r="228" spans="1:14" x14ac:dyDescent="0.3">
      <c r="A228" t="s">
        <v>3512</v>
      </c>
      <c r="B228" s="1">
        <v>45149</v>
      </c>
      <c r="C228" t="s">
        <v>566</v>
      </c>
      <c r="D228" t="s">
        <v>13</v>
      </c>
      <c r="E228">
        <v>62792</v>
      </c>
      <c r="F228" t="s">
        <v>3270</v>
      </c>
      <c r="G228">
        <v>4656654.72</v>
      </c>
      <c r="H228" t="s">
        <v>556</v>
      </c>
      <c r="J228" t="s">
        <v>3271</v>
      </c>
      <c r="K228">
        <v>74.16</v>
      </c>
      <c r="L228" s="1">
        <v>45179</v>
      </c>
      <c r="M228">
        <f>G228*IF(D228="INR",1,INDEX('rates'!$B$2:$B$522,MATCH(B228,'rates'!$A$2:$A$522,1)))</f>
        <v>4656654.72</v>
      </c>
      <c r="N228">
        <f t="shared" si="3"/>
        <v>30</v>
      </c>
    </row>
    <row r="229" spans="1:14" x14ac:dyDescent="0.3">
      <c r="A229" t="s">
        <v>3516</v>
      </c>
      <c r="B229" s="1">
        <v>45149</v>
      </c>
      <c r="C229" t="s">
        <v>575</v>
      </c>
      <c r="D229" t="s">
        <v>36</v>
      </c>
      <c r="E229">
        <v>495</v>
      </c>
      <c r="F229" t="s">
        <v>3262</v>
      </c>
      <c r="G229">
        <v>43149.15</v>
      </c>
      <c r="H229" t="s">
        <v>573</v>
      </c>
      <c r="I229">
        <v>74.92</v>
      </c>
      <c r="J229" t="s">
        <v>3263</v>
      </c>
      <c r="K229">
        <v>87.17</v>
      </c>
      <c r="L229" s="1">
        <v>45179</v>
      </c>
      <c r="M229">
        <f>G229*IF(D229="INR",1,INDEX('rates'!$B$2:$B$522,MATCH(B229,'rates'!$A$2:$A$522,1)))</f>
        <v>3575770.0605000001</v>
      </c>
      <c r="N229">
        <f t="shared" si="3"/>
        <v>30</v>
      </c>
    </row>
    <row r="230" spans="1:14" x14ac:dyDescent="0.3">
      <c r="A230" t="s">
        <v>3466</v>
      </c>
      <c r="B230" s="1">
        <v>45120</v>
      </c>
      <c r="C230" t="s">
        <v>558</v>
      </c>
      <c r="D230" t="s">
        <v>36</v>
      </c>
      <c r="E230">
        <v>331</v>
      </c>
      <c r="F230" t="s">
        <v>3262</v>
      </c>
      <c r="G230">
        <v>27380.32</v>
      </c>
      <c r="H230" t="s">
        <v>556</v>
      </c>
      <c r="J230" t="s">
        <v>3263</v>
      </c>
      <c r="K230">
        <v>82.72</v>
      </c>
      <c r="L230" s="1">
        <v>45180</v>
      </c>
      <c r="M230">
        <f>G230*IF(D230="INR",1,INDEX('rates'!$B$2:$B$522,MATCH(B230,'rates'!$A$2:$A$522,1)))</f>
        <v>2246281.4528000001</v>
      </c>
      <c r="N230">
        <f t="shared" si="3"/>
        <v>60</v>
      </c>
    </row>
    <row r="231" spans="1:14" x14ac:dyDescent="0.3">
      <c r="A231" t="s">
        <v>3494</v>
      </c>
      <c r="B231" s="1">
        <v>45135</v>
      </c>
      <c r="C231" t="s">
        <v>560</v>
      </c>
      <c r="D231" t="s">
        <v>36</v>
      </c>
      <c r="E231">
        <v>685</v>
      </c>
      <c r="F231" t="s">
        <v>3262</v>
      </c>
      <c r="G231">
        <v>57211.199999999997</v>
      </c>
      <c r="H231" t="s">
        <v>573</v>
      </c>
      <c r="I231">
        <v>82.15</v>
      </c>
      <c r="J231" t="s">
        <v>3263</v>
      </c>
      <c r="K231">
        <v>83.52</v>
      </c>
      <c r="L231" s="1">
        <v>45180</v>
      </c>
      <c r="M231">
        <f>G231*IF(D231="INR",1,INDEX('rates'!$B$2:$B$522,MATCH(B231,'rates'!$A$2:$A$522,1)))</f>
        <v>4703904.8640000001</v>
      </c>
      <c r="N231">
        <f t="shared" si="3"/>
        <v>45</v>
      </c>
    </row>
    <row r="232" spans="1:14" x14ac:dyDescent="0.3">
      <c r="A232" t="s">
        <v>3496</v>
      </c>
      <c r="B232" s="1">
        <v>45135</v>
      </c>
      <c r="C232" t="s">
        <v>558</v>
      </c>
      <c r="D232" t="s">
        <v>36</v>
      </c>
      <c r="E232">
        <v>667</v>
      </c>
      <c r="F232" t="s">
        <v>3262</v>
      </c>
      <c r="G232">
        <v>57048.51</v>
      </c>
      <c r="H232" t="s">
        <v>556</v>
      </c>
      <c r="J232" t="s">
        <v>3263</v>
      </c>
      <c r="K232">
        <v>85.53</v>
      </c>
      <c r="L232" s="1">
        <v>45180</v>
      </c>
      <c r="M232">
        <f>G232*IF(D232="INR",1,INDEX('rates'!$B$2:$B$522,MATCH(B232,'rates'!$A$2:$A$522,1)))</f>
        <v>4690528.4922000002</v>
      </c>
      <c r="N232">
        <f t="shared" si="3"/>
        <v>45</v>
      </c>
    </row>
    <row r="233" spans="1:14" x14ac:dyDescent="0.3">
      <c r="A233" t="s">
        <v>3517</v>
      </c>
      <c r="B233" s="1">
        <v>45152</v>
      </c>
      <c r="C233" t="s">
        <v>566</v>
      </c>
      <c r="D233" t="s">
        <v>36</v>
      </c>
      <c r="E233">
        <v>848</v>
      </c>
      <c r="F233" t="s">
        <v>3262</v>
      </c>
      <c r="G233">
        <v>73504.639999999999</v>
      </c>
      <c r="H233" t="s">
        <v>573</v>
      </c>
      <c r="I233">
        <v>75.81</v>
      </c>
      <c r="J233" t="s">
        <v>3263</v>
      </c>
      <c r="K233">
        <v>86.68</v>
      </c>
      <c r="L233" s="1">
        <v>45182</v>
      </c>
      <c r="M233">
        <f>G233*IF(D233="INR",1,INDEX('rates'!$B$2:$B$522,MATCH(B233,'rates'!$A$2:$A$522,1)))</f>
        <v>6113380.9088000003</v>
      </c>
      <c r="N233">
        <f t="shared" si="3"/>
        <v>30</v>
      </c>
    </row>
    <row r="234" spans="1:14" x14ac:dyDescent="0.3">
      <c r="A234" t="s">
        <v>3518</v>
      </c>
      <c r="B234" s="1">
        <v>45152</v>
      </c>
      <c r="C234" t="s">
        <v>566</v>
      </c>
      <c r="D234" t="s">
        <v>13</v>
      </c>
      <c r="E234">
        <v>64341</v>
      </c>
      <c r="F234" t="s">
        <v>3270</v>
      </c>
      <c r="G234">
        <v>4385482.5599999996</v>
      </c>
      <c r="H234" t="s">
        <v>556</v>
      </c>
      <c r="J234" t="s">
        <v>3271</v>
      </c>
      <c r="K234">
        <v>68.16</v>
      </c>
      <c r="L234" s="1">
        <v>45182</v>
      </c>
      <c r="M234">
        <f>G234*IF(D234="INR",1,INDEX('rates'!$B$2:$B$522,MATCH(B234,'rates'!$A$2:$A$522,1)))</f>
        <v>4385482.5599999996</v>
      </c>
      <c r="N234">
        <f t="shared" si="3"/>
        <v>30</v>
      </c>
    </row>
    <row r="235" spans="1:14" x14ac:dyDescent="0.3">
      <c r="A235" t="s">
        <v>3522</v>
      </c>
      <c r="B235" s="1">
        <v>45153</v>
      </c>
      <c r="C235" t="s">
        <v>560</v>
      </c>
      <c r="D235" t="s">
        <v>36</v>
      </c>
      <c r="E235">
        <v>1214</v>
      </c>
      <c r="F235" t="s">
        <v>3262</v>
      </c>
      <c r="G235">
        <v>105860.8</v>
      </c>
      <c r="H235" t="s">
        <v>556</v>
      </c>
      <c r="J235" t="s">
        <v>3263</v>
      </c>
      <c r="K235">
        <v>87.2</v>
      </c>
      <c r="L235" s="1">
        <v>45183</v>
      </c>
      <c r="M235">
        <f>G235*IF(D235="INR",1,INDEX('rates'!$B$2:$B$522,MATCH(B235,'rates'!$A$2:$A$522,1)))</f>
        <v>8780094.7520000003</v>
      </c>
      <c r="N235">
        <f t="shared" si="3"/>
        <v>30</v>
      </c>
    </row>
    <row r="236" spans="1:14" x14ac:dyDescent="0.3">
      <c r="A236" t="s">
        <v>3471</v>
      </c>
      <c r="B236" s="1">
        <v>45124</v>
      </c>
      <c r="C236" t="s">
        <v>560</v>
      </c>
      <c r="D236" t="s">
        <v>36</v>
      </c>
      <c r="E236">
        <v>1255</v>
      </c>
      <c r="F236" t="s">
        <v>3262</v>
      </c>
      <c r="G236">
        <v>96283.6</v>
      </c>
      <c r="H236" t="s">
        <v>573</v>
      </c>
      <c r="I236">
        <v>86.51</v>
      </c>
      <c r="J236" t="s">
        <v>3263</v>
      </c>
      <c r="K236">
        <v>76.72</v>
      </c>
      <c r="L236" s="1">
        <v>45184</v>
      </c>
      <c r="M236">
        <f>G236*IF(D236="INR",1,INDEX('rates'!$B$2:$B$522,MATCH(B236,'rates'!$A$2:$A$522,1)))</f>
        <v>7898143.7080000006</v>
      </c>
      <c r="N236">
        <f t="shared" si="3"/>
        <v>60</v>
      </c>
    </row>
    <row r="237" spans="1:14" x14ac:dyDescent="0.3">
      <c r="A237" t="s">
        <v>3472</v>
      </c>
      <c r="B237" s="1">
        <v>45124</v>
      </c>
      <c r="C237" t="s">
        <v>560</v>
      </c>
      <c r="D237" t="s">
        <v>36</v>
      </c>
      <c r="E237">
        <v>398</v>
      </c>
      <c r="F237" t="s">
        <v>3262</v>
      </c>
      <c r="G237">
        <v>30960.42</v>
      </c>
      <c r="H237" t="s">
        <v>556</v>
      </c>
      <c r="J237" t="s">
        <v>3263</v>
      </c>
      <c r="K237">
        <v>77.790000000000006</v>
      </c>
      <c r="L237" s="1">
        <v>45184</v>
      </c>
      <c r="M237">
        <f>G237*IF(D237="INR",1,INDEX('rates'!$B$2:$B$522,MATCH(B237,'rates'!$A$2:$A$522,1)))</f>
        <v>2539683.2525999998</v>
      </c>
      <c r="N237">
        <f t="shared" si="3"/>
        <v>60</v>
      </c>
    </row>
    <row r="238" spans="1:14" x14ac:dyDescent="0.3">
      <c r="A238" t="s">
        <v>3523</v>
      </c>
      <c r="B238" s="1">
        <v>45154</v>
      </c>
      <c r="C238" t="s">
        <v>566</v>
      </c>
      <c r="D238" t="s">
        <v>36</v>
      </c>
      <c r="E238">
        <v>2157</v>
      </c>
      <c r="F238" t="s">
        <v>3262</v>
      </c>
      <c r="G238">
        <v>179225.13</v>
      </c>
      <c r="H238" t="s">
        <v>573</v>
      </c>
      <c r="I238">
        <v>76.849999999999994</v>
      </c>
      <c r="J238" t="s">
        <v>3263</v>
      </c>
      <c r="K238">
        <v>83.09</v>
      </c>
      <c r="L238" s="1">
        <v>45184</v>
      </c>
      <c r="M238">
        <f>G238*IF(D238="INR",1,INDEX('rates'!$B$2:$B$522,MATCH(B238,'rates'!$A$2:$A$522,1)))</f>
        <v>14909738.5647</v>
      </c>
      <c r="N238">
        <f t="shared" si="3"/>
        <v>30</v>
      </c>
    </row>
    <row r="239" spans="1:14" x14ac:dyDescent="0.3">
      <c r="A239" t="s">
        <v>3524</v>
      </c>
      <c r="B239" s="1">
        <v>45154</v>
      </c>
      <c r="C239" t="s">
        <v>575</v>
      </c>
      <c r="D239" t="s">
        <v>36</v>
      </c>
      <c r="E239">
        <v>542</v>
      </c>
      <c r="F239" t="s">
        <v>3262</v>
      </c>
      <c r="G239">
        <v>45668.92</v>
      </c>
      <c r="H239" t="s">
        <v>573</v>
      </c>
      <c r="I239">
        <v>76.849999999999994</v>
      </c>
      <c r="J239" t="s">
        <v>3263</v>
      </c>
      <c r="K239">
        <v>84.26</v>
      </c>
      <c r="L239" s="1">
        <v>45184</v>
      </c>
      <c r="M239">
        <f>G239*IF(D239="INR",1,INDEX('rates'!$B$2:$B$522,MATCH(B239,'rates'!$A$2:$A$522,1)))</f>
        <v>3799197.4547999999</v>
      </c>
      <c r="N239">
        <f t="shared" si="3"/>
        <v>30</v>
      </c>
    </row>
    <row r="240" spans="1:14" x14ac:dyDescent="0.3">
      <c r="A240" t="s">
        <v>3474</v>
      </c>
      <c r="B240" s="1">
        <v>45125</v>
      </c>
      <c r="C240" t="s">
        <v>558</v>
      </c>
      <c r="D240" t="s">
        <v>36</v>
      </c>
      <c r="E240">
        <v>1002</v>
      </c>
      <c r="F240" t="s">
        <v>3262</v>
      </c>
      <c r="G240">
        <v>80550.78</v>
      </c>
      <c r="H240" t="s">
        <v>556</v>
      </c>
      <c r="J240" t="s">
        <v>3263</v>
      </c>
      <c r="K240">
        <v>80.39</v>
      </c>
      <c r="L240" s="1">
        <v>45185</v>
      </c>
      <c r="M240">
        <f>G240*IF(D240="INR",1,INDEX('rates'!$B$2:$B$522,MATCH(B240,'rates'!$A$2:$A$522,1)))</f>
        <v>6607580.4834000003</v>
      </c>
      <c r="N240">
        <f t="shared" si="3"/>
        <v>60</v>
      </c>
    </row>
    <row r="241" spans="1:14" x14ac:dyDescent="0.3">
      <c r="A241" t="s">
        <v>3476</v>
      </c>
      <c r="B241" s="1">
        <v>45125</v>
      </c>
      <c r="C241" t="s">
        <v>560</v>
      </c>
      <c r="D241" t="s">
        <v>36</v>
      </c>
      <c r="E241">
        <v>1671</v>
      </c>
      <c r="F241" t="s">
        <v>3262</v>
      </c>
      <c r="G241">
        <v>131056.53</v>
      </c>
      <c r="H241" t="s">
        <v>573</v>
      </c>
      <c r="I241">
        <v>84.72</v>
      </c>
      <c r="J241" t="s">
        <v>3263</v>
      </c>
      <c r="K241">
        <v>78.430000000000007</v>
      </c>
      <c r="L241" s="1">
        <v>45185</v>
      </c>
      <c r="M241">
        <f>G241*IF(D241="INR",1,INDEX('rates'!$B$2:$B$522,MATCH(B241,'rates'!$A$2:$A$522,1)))</f>
        <v>10750567.1559</v>
      </c>
      <c r="N241">
        <f t="shared" si="3"/>
        <v>60</v>
      </c>
    </row>
    <row r="242" spans="1:14" x14ac:dyDescent="0.3">
      <c r="A242" t="s">
        <v>3500</v>
      </c>
      <c r="B242" s="1">
        <v>45140</v>
      </c>
      <c r="C242" t="s">
        <v>558</v>
      </c>
      <c r="D242" t="s">
        <v>36</v>
      </c>
      <c r="E242">
        <v>1459</v>
      </c>
      <c r="F242" t="s">
        <v>3262</v>
      </c>
      <c r="G242">
        <v>121111.59</v>
      </c>
      <c r="H242" t="s">
        <v>556</v>
      </c>
      <c r="J242" t="s">
        <v>3263</v>
      </c>
      <c r="K242">
        <v>83.01</v>
      </c>
      <c r="L242" s="1">
        <v>45185</v>
      </c>
      <c r="M242">
        <f>G242*IF(D242="INR",1,INDEX('rates'!$B$2:$B$522,MATCH(B242,'rates'!$A$2:$A$522,1)))</f>
        <v>10001395.1022</v>
      </c>
      <c r="N242">
        <f t="shared" si="3"/>
        <v>45</v>
      </c>
    </row>
    <row r="243" spans="1:14" x14ac:dyDescent="0.3">
      <c r="A243" t="s">
        <v>3503</v>
      </c>
      <c r="B243" s="1">
        <v>45142</v>
      </c>
      <c r="C243" t="s">
        <v>566</v>
      </c>
      <c r="D243" t="s">
        <v>36</v>
      </c>
      <c r="E243">
        <v>861</v>
      </c>
      <c r="F243" t="s">
        <v>3262</v>
      </c>
      <c r="G243">
        <v>75475.259999999995</v>
      </c>
      <c r="H243" t="s">
        <v>573</v>
      </c>
      <c r="I243">
        <v>76.31</v>
      </c>
      <c r="J243" t="s">
        <v>3263</v>
      </c>
      <c r="K243">
        <v>87.66</v>
      </c>
      <c r="L243" s="1">
        <v>45187</v>
      </c>
      <c r="M243">
        <f>G243*IF(D243="INR",1,INDEX('rates'!$B$2:$B$522,MATCH(B243,'rates'!$A$2:$A$522,1)))</f>
        <v>6251615.7857999997</v>
      </c>
      <c r="N243">
        <f t="shared" si="3"/>
        <v>45</v>
      </c>
    </row>
    <row r="244" spans="1:14" x14ac:dyDescent="0.3">
      <c r="A244" t="s">
        <v>3483</v>
      </c>
      <c r="B244" s="1">
        <v>45128</v>
      </c>
      <c r="C244" t="s">
        <v>560</v>
      </c>
      <c r="D244" t="s">
        <v>13</v>
      </c>
      <c r="E244">
        <v>182013</v>
      </c>
      <c r="F244" t="s">
        <v>3270</v>
      </c>
      <c r="G244">
        <v>16464895.98</v>
      </c>
      <c r="H244" t="s">
        <v>556</v>
      </c>
      <c r="J244" t="s">
        <v>3271</v>
      </c>
      <c r="K244">
        <v>90.46</v>
      </c>
      <c r="L244" s="1">
        <v>45188</v>
      </c>
      <c r="M244">
        <f>G244*IF(D244="INR",1,INDEX('rates'!$B$2:$B$522,MATCH(B244,'rates'!$A$2:$A$522,1)))</f>
        <v>16464895.98</v>
      </c>
      <c r="N244">
        <f t="shared" si="3"/>
        <v>60</v>
      </c>
    </row>
    <row r="245" spans="1:14" x14ac:dyDescent="0.3">
      <c r="A245" t="s">
        <v>3526</v>
      </c>
      <c r="B245" s="1">
        <v>45159</v>
      </c>
      <c r="C245" t="s">
        <v>554</v>
      </c>
      <c r="D245" t="s">
        <v>36</v>
      </c>
      <c r="E245">
        <v>1515</v>
      </c>
      <c r="F245" t="s">
        <v>3262</v>
      </c>
      <c r="G245">
        <v>131123.25</v>
      </c>
      <c r="H245" t="s">
        <v>573</v>
      </c>
      <c r="I245">
        <v>77.97</v>
      </c>
      <c r="J245" t="s">
        <v>3263</v>
      </c>
      <c r="K245">
        <v>86.55</v>
      </c>
      <c r="L245" s="1">
        <v>45189</v>
      </c>
      <c r="M245">
        <f>G245*IF(D245="INR",1,INDEX('rates'!$B$2:$B$522,MATCH(B245,'rates'!$A$2:$A$522,1)))</f>
        <v>10896342.074999999</v>
      </c>
      <c r="N245">
        <f t="shared" si="3"/>
        <v>30</v>
      </c>
    </row>
    <row r="246" spans="1:14" x14ac:dyDescent="0.3">
      <c r="A246" t="s">
        <v>3529</v>
      </c>
      <c r="B246" s="1">
        <v>45160</v>
      </c>
      <c r="C246" t="s">
        <v>554</v>
      </c>
      <c r="D246" t="s">
        <v>36</v>
      </c>
      <c r="E246">
        <v>1461</v>
      </c>
      <c r="F246" t="s">
        <v>3262</v>
      </c>
      <c r="G246">
        <v>123352.23</v>
      </c>
      <c r="H246" t="s">
        <v>573</v>
      </c>
      <c r="I246">
        <v>79.58</v>
      </c>
      <c r="J246" t="s">
        <v>3263</v>
      </c>
      <c r="K246">
        <v>84.43</v>
      </c>
      <c r="L246" s="1">
        <v>45190</v>
      </c>
      <c r="M246">
        <f>G246*IF(D246="INR",1,INDEX('rates'!$B$2:$B$522,MATCH(B246,'rates'!$A$2:$A$522,1)))</f>
        <v>10230833.9562</v>
      </c>
      <c r="N246">
        <f t="shared" si="3"/>
        <v>30</v>
      </c>
    </row>
    <row r="247" spans="1:14" x14ac:dyDescent="0.3">
      <c r="A247" t="s">
        <v>3507</v>
      </c>
      <c r="B247" s="1">
        <v>45146</v>
      </c>
      <c r="C247" t="s">
        <v>558</v>
      </c>
      <c r="D247" t="s">
        <v>36</v>
      </c>
      <c r="E247">
        <v>1078</v>
      </c>
      <c r="F247" t="s">
        <v>3262</v>
      </c>
      <c r="G247">
        <v>98076.44</v>
      </c>
      <c r="H247" t="s">
        <v>573</v>
      </c>
      <c r="I247">
        <v>77.61</v>
      </c>
      <c r="J247" t="s">
        <v>3263</v>
      </c>
      <c r="K247">
        <v>90.98</v>
      </c>
      <c r="L247" s="1">
        <v>45191</v>
      </c>
      <c r="M247">
        <f>G247*IF(D247="INR",1,INDEX('rates'!$B$2:$B$522,MATCH(B247,'rates'!$A$2:$A$522,1)))</f>
        <v>8125633.0539999995</v>
      </c>
      <c r="N247">
        <f t="shared" si="3"/>
        <v>45</v>
      </c>
    </row>
    <row r="248" spans="1:14" x14ac:dyDescent="0.3">
      <c r="A248" t="s">
        <v>3508</v>
      </c>
      <c r="B248" s="1">
        <v>45146</v>
      </c>
      <c r="C248" t="s">
        <v>566</v>
      </c>
      <c r="D248" t="s">
        <v>36</v>
      </c>
      <c r="E248">
        <v>421</v>
      </c>
      <c r="F248" t="s">
        <v>3262</v>
      </c>
      <c r="G248">
        <v>36854.339999999997</v>
      </c>
      <c r="H248" t="s">
        <v>573</v>
      </c>
      <c r="I248">
        <v>77.61</v>
      </c>
      <c r="J248" t="s">
        <v>3263</v>
      </c>
      <c r="K248">
        <v>87.54</v>
      </c>
      <c r="L248" s="1">
        <v>45191</v>
      </c>
      <c r="M248">
        <f>G248*IF(D248="INR",1,INDEX('rates'!$B$2:$B$522,MATCH(B248,'rates'!$A$2:$A$522,1)))</f>
        <v>3053382.0689999997</v>
      </c>
      <c r="N248">
        <f t="shared" si="3"/>
        <v>45</v>
      </c>
    </row>
    <row r="249" spans="1:14" x14ac:dyDescent="0.3">
      <c r="A249" t="s">
        <v>3532</v>
      </c>
      <c r="B249" s="1">
        <v>45161</v>
      </c>
      <c r="C249" t="s">
        <v>558</v>
      </c>
      <c r="D249" t="s">
        <v>36</v>
      </c>
      <c r="E249">
        <v>540</v>
      </c>
      <c r="F249" t="s">
        <v>3262</v>
      </c>
      <c r="G249">
        <v>44496</v>
      </c>
      <c r="H249" t="s">
        <v>556</v>
      </c>
      <c r="J249" t="s">
        <v>3263</v>
      </c>
      <c r="K249">
        <v>82.4</v>
      </c>
      <c r="L249" s="1">
        <v>45191</v>
      </c>
      <c r="M249">
        <f>G249*IF(D249="INR",1,INDEX('rates'!$B$2:$B$522,MATCH(B249,'rates'!$A$2:$A$522,1)))</f>
        <v>3679374.2399999998</v>
      </c>
      <c r="N249">
        <f t="shared" si="3"/>
        <v>30</v>
      </c>
    </row>
    <row r="250" spans="1:14" x14ac:dyDescent="0.3">
      <c r="A250" t="s">
        <v>3491</v>
      </c>
      <c r="B250" s="1">
        <v>45133</v>
      </c>
      <c r="C250" t="s">
        <v>560</v>
      </c>
      <c r="D250" t="s">
        <v>36</v>
      </c>
      <c r="E250">
        <v>565</v>
      </c>
      <c r="F250" t="s">
        <v>3262</v>
      </c>
      <c r="G250">
        <v>46522.1</v>
      </c>
      <c r="H250" t="s">
        <v>573</v>
      </c>
      <c r="I250">
        <v>80</v>
      </c>
      <c r="J250" t="s">
        <v>3263</v>
      </c>
      <c r="K250">
        <v>82.34</v>
      </c>
      <c r="L250" s="1">
        <v>45193</v>
      </c>
      <c r="M250">
        <f>G250*IF(D250="INR",1,INDEX('rates'!$B$2:$B$522,MATCH(B250,'rates'!$A$2:$A$522,1)))</f>
        <v>3814346.9789999998</v>
      </c>
      <c r="N250">
        <f t="shared" si="3"/>
        <v>60</v>
      </c>
    </row>
    <row r="251" spans="1:14" x14ac:dyDescent="0.3">
      <c r="A251" t="s">
        <v>3537</v>
      </c>
      <c r="B251" s="1">
        <v>45163</v>
      </c>
      <c r="C251" t="s">
        <v>566</v>
      </c>
      <c r="D251" t="s">
        <v>36</v>
      </c>
      <c r="E251">
        <v>469</v>
      </c>
      <c r="F251" t="s">
        <v>3262</v>
      </c>
      <c r="G251">
        <v>40094.81</v>
      </c>
      <c r="H251" t="s">
        <v>573</v>
      </c>
      <c r="I251">
        <v>77.41</v>
      </c>
      <c r="J251" t="s">
        <v>3263</v>
      </c>
      <c r="K251">
        <v>85.49</v>
      </c>
      <c r="L251" s="1">
        <v>45193</v>
      </c>
      <c r="M251">
        <f>G251*IF(D251="INR",1,INDEX('rates'!$B$2:$B$522,MATCH(B251,'rates'!$A$2:$A$522,1)))</f>
        <v>3313435.0984</v>
      </c>
      <c r="N251">
        <f t="shared" si="3"/>
        <v>30</v>
      </c>
    </row>
    <row r="252" spans="1:14" x14ac:dyDescent="0.3">
      <c r="A252" t="s">
        <v>3510</v>
      </c>
      <c r="B252" s="1">
        <v>45149</v>
      </c>
      <c r="C252" t="s">
        <v>558</v>
      </c>
      <c r="D252" t="s">
        <v>36</v>
      </c>
      <c r="E252">
        <v>434</v>
      </c>
      <c r="F252" t="s">
        <v>3262</v>
      </c>
      <c r="G252">
        <v>38608.639999999999</v>
      </c>
      <c r="H252" t="s">
        <v>556</v>
      </c>
      <c r="J252" t="s">
        <v>3263</v>
      </c>
      <c r="K252">
        <v>88.96</v>
      </c>
      <c r="L252" s="1">
        <v>45194</v>
      </c>
      <c r="M252">
        <f>G252*IF(D252="INR",1,INDEX('rates'!$B$2:$B$522,MATCH(B252,'rates'!$A$2:$A$522,1)))</f>
        <v>3199497.9968000003</v>
      </c>
      <c r="N252">
        <f t="shared" si="3"/>
        <v>45</v>
      </c>
    </row>
    <row r="253" spans="1:14" x14ac:dyDescent="0.3">
      <c r="A253" t="s">
        <v>3511</v>
      </c>
      <c r="B253" s="1">
        <v>45149</v>
      </c>
      <c r="C253" t="s">
        <v>558</v>
      </c>
      <c r="D253" t="s">
        <v>36</v>
      </c>
      <c r="E253">
        <v>453</v>
      </c>
      <c r="F253" t="s">
        <v>3262</v>
      </c>
      <c r="G253">
        <v>40516.32</v>
      </c>
      <c r="H253" t="s">
        <v>556</v>
      </c>
      <c r="J253" t="s">
        <v>3263</v>
      </c>
      <c r="K253">
        <v>89.44</v>
      </c>
      <c r="L253" s="1">
        <v>45194</v>
      </c>
      <c r="M253">
        <f>G253*IF(D253="INR",1,INDEX('rates'!$B$2:$B$522,MATCH(B253,'rates'!$A$2:$A$522,1)))</f>
        <v>3357587.4384000003</v>
      </c>
      <c r="N253">
        <f t="shared" si="3"/>
        <v>45</v>
      </c>
    </row>
    <row r="254" spans="1:14" x14ac:dyDescent="0.3">
      <c r="A254" t="s">
        <v>3513</v>
      </c>
      <c r="B254" s="1">
        <v>45149</v>
      </c>
      <c r="C254" t="s">
        <v>558</v>
      </c>
      <c r="D254" t="s">
        <v>36</v>
      </c>
      <c r="E254">
        <v>1389</v>
      </c>
      <c r="F254" t="s">
        <v>3262</v>
      </c>
      <c r="G254">
        <v>123815.46</v>
      </c>
      <c r="H254" t="s">
        <v>556</v>
      </c>
      <c r="J254" t="s">
        <v>3263</v>
      </c>
      <c r="K254">
        <v>89.14</v>
      </c>
      <c r="L254" s="1">
        <v>45194</v>
      </c>
      <c r="M254">
        <f>G254*IF(D254="INR",1,INDEX('rates'!$B$2:$B$522,MATCH(B254,'rates'!$A$2:$A$522,1)))</f>
        <v>10260587.170200001</v>
      </c>
      <c r="N254">
        <f t="shared" si="3"/>
        <v>45</v>
      </c>
    </row>
    <row r="255" spans="1:14" x14ac:dyDescent="0.3">
      <c r="A255" t="s">
        <v>3515</v>
      </c>
      <c r="B255" s="1">
        <v>45149</v>
      </c>
      <c r="C255" t="s">
        <v>566</v>
      </c>
      <c r="D255" t="s">
        <v>36</v>
      </c>
      <c r="E255">
        <v>1142</v>
      </c>
      <c r="F255" t="s">
        <v>3262</v>
      </c>
      <c r="G255">
        <v>100712.98</v>
      </c>
      <c r="H255" t="s">
        <v>556</v>
      </c>
      <c r="J255" t="s">
        <v>3263</v>
      </c>
      <c r="K255">
        <v>88.19</v>
      </c>
      <c r="L255" s="1">
        <v>45194</v>
      </c>
      <c r="M255">
        <f>G255*IF(D255="INR",1,INDEX('rates'!$B$2:$B$522,MATCH(B255,'rates'!$A$2:$A$522,1)))</f>
        <v>8346084.6525999997</v>
      </c>
      <c r="N255">
        <f t="shared" si="3"/>
        <v>45</v>
      </c>
    </row>
    <row r="256" spans="1:14" x14ac:dyDescent="0.3">
      <c r="A256" t="s">
        <v>3497</v>
      </c>
      <c r="B256" s="1">
        <v>45135</v>
      </c>
      <c r="C256" t="s">
        <v>554</v>
      </c>
      <c r="D256" t="s">
        <v>36</v>
      </c>
      <c r="E256">
        <v>232</v>
      </c>
      <c r="F256" t="s">
        <v>3262</v>
      </c>
      <c r="G256">
        <v>20200.240000000002</v>
      </c>
      <c r="H256" t="s">
        <v>556</v>
      </c>
      <c r="J256" t="s">
        <v>3263</v>
      </c>
      <c r="K256">
        <v>87.07</v>
      </c>
      <c r="L256" s="1">
        <v>45195</v>
      </c>
      <c r="M256">
        <f>G256*IF(D256="INR",1,INDEX('rates'!$B$2:$B$522,MATCH(B256,'rates'!$A$2:$A$522,1)))</f>
        <v>1660863.7328000001</v>
      </c>
      <c r="N256">
        <f t="shared" si="3"/>
        <v>60</v>
      </c>
    </row>
    <row r="257" spans="1:14" x14ac:dyDescent="0.3">
      <c r="A257" t="s">
        <v>3498</v>
      </c>
      <c r="B257" s="1">
        <v>45135</v>
      </c>
      <c r="C257" t="s">
        <v>558</v>
      </c>
      <c r="D257" t="s">
        <v>36</v>
      </c>
      <c r="E257">
        <v>1649</v>
      </c>
      <c r="F257" t="s">
        <v>3262</v>
      </c>
      <c r="G257">
        <v>139455.93</v>
      </c>
      <c r="H257" t="s">
        <v>573</v>
      </c>
      <c r="I257">
        <v>82.15</v>
      </c>
      <c r="J257" t="s">
        <v>3263</v>
      </c>
      <c r="K257">
        <v>84.57</v>
      </c>
      <c r="L257" s="1">
        <v>45195</v>
      </c>
      <c r="M257">
        <f>G257*IF(D257="INR",1,INDEX('rates'!$B$2:$B$522,MATCH(B257,'rates'!$A$2:$A$522,1)))</f>
        <v>11466066.5646</v>
      </c>
      <c r="N257">
        <f t="shared" si="3"/>
        <v>60</v>
      </c>
    </row>
    <row r="258" spans="1:14" x14ac:dyDescent="0.3">
      <c r="A258" t="s">
        <v>3539</v>
      </c>
      <c r="B258" s="1">
        <v>45166</v>
      </c>
      <c r="C258" t="s">
        <v>554</v>
      </c>
      <c r="D258" t="s">
        <v>36</v>
      </c>
      <c r="E258">
        <v>2001</v>
      </c>
      <c r="F258" t="s">
        <v>3262</v>
      </c>
      <c r="G258">
        <v>169884.9</v>
      </c>
      <c r="H258" t="s">
        <v>573</v>
      </c>
      <c r="I258">
        <v>74.31</v>
      </c>
      <c r="J258" t="s">
        <v>3263</v>
      </c>
      <c r="K258">
        <v>84.9</v>
      </c>
      <c r="L258" s="1">
        <v>45196</v>
      </c>
      <c r="M258">
        <f>G258*IF(D258="INR",1,INDEX('rates'!$B$2:$B$522,MATCH(B258,'rates'!$A$2:$A$522,1)))</f>
        <v>14032492.739999998</v>
      </c>
      <c r="N258">
        <f t="shared" ref="N258:N321" si="4">IF(L258="","",L258-B258)</f>
        <v>30</v>
      </c>
    </row>
    <row r="259" spans="1:14" x14ac:dyDescent="0.3">
      <c r="A259" t="s">
        <v>3542</v>
      </c>
      <c r="B259" s="1">
        <v>45167</v>
      </c>
      <c r="C259" t="s">
        <v>558</v>
      </c>
      <c r="D259" t="s">
        <v>36</v>
      </c>
      <c r="E259">
        <v>327</v>
      </c>
      <c r="F259" t="s">
        <v>3262</v>
      </c>
      <c r="G259">
        <v>28122</v>
      </c>
      <c r="H259" t="s">
        <v>556</v>
      </c>
      <c r="J259" t="s">
        <v>3263</v>
      </c>
      <c r="K259">
        <v>86</v>
      </c>
      <c r="L259" s="1">
        <v>45197</v>
      </c>
      <c r="M259">
        <f>G259*IF(D259="INR",1,INDEX('rates'!$B$2:$B$522,MATCH(B259,'rates'!$A$2:$A$522,1)))</f>
        <v>2325689.4</v>
      </c>
      <c r="N259">
        <f t="shared" si="4"/>
        <v>30</v>
      </c>
    </row>
    <row r="260" spans="1:14" x14ac:dyDescent="0.3">
      <c r="A260" t="s">
        <v>3543</v>
      </c>
      <c r="B260" s="1">
        <v>45167</v>
      </c>
      <c r="C260" t="s">
        <v>554</v>
      </c>
      <c r="D260" t="s">
        <v>36</v>
      </c>
      <c r="E260">
        <v>807</v>
      </c>
      <c r="F260" t="s">
        <v>3262</v>
      </c>
      <c r="G260">
        <v>67876.77</v>
      </c>
      <c r="H260" t="s">
        <v>573</v>
      </c>
      <c r="I260">
        <v>72.88</v>
      </c>
      <c r="J260" t="s">
        <v>3263</v>
      </c>
      <c r="K260">
        <v>84.11</v>
      </c>
      <c r="L260" s="1">
        <v>45197</v>
      </c>
      <c r="M260">
        <f>G260*IF(D260="INR",1,INDEX('rates'!$B$2:$B$522,MATCH(B260,'rates'!$A$2:$A$522,1)))</f>
        <v>5613408.8790000007</v>
      </c>
      <c r="N260">
        <f t="shared" si="4"/>
        <v>30</v>
      </c>
    </row>
    <row r="261" spans="1:14" x14ac:dyDescent="0.3">
      <c r="A261" t="s">
        <v>3520</v>
      </c>
      <c r="B261" s="1">
        <v>45153</v>
      </c>
      <c r="C261" t="s">
        <v>558</v>
      </c>
      <c r="D261" t="s">
        <v>36</v>
      </c>
      <c r="E261">
        <v>312</v>
      </c>
      <c r="F261" t="s">
        <v>3262</v>
      </c>
      <c r="G261">
        <v>26694.720000000001</v>
      </c>
      <c r="H261" t="s">
        <v>556</v>
      </c>
      <c r="J261" t="s">
        <v>3263</v>
      </c>
      <c r="K261">
        <v>85.56</v>
      </c>
      <c r="L261" s="1">
        <v>45198</v>
      </c>
      <c r="M261">
        <f>G261*IF(D261="INR",1,INDEX('rates'!$B$2:$B$522,MATCH(B261,'rates'!$A$2:$A$522,1)))</f>
        <v>2214060.0767999999</v>
      </c>
      <c r="N261">
        <f t="shared" si="4"/>
        <v>45</v>
      </c>
    </row>
    <row r="262" spans="1:14" x14ac:dyDescent="0.3">
      <c r="A262" t="s">
        <v>3521</v>
      </c>
      <c r="B262" s="1">
        <v>45153</v>
      </c>
      <c r="C262" t="s">
        <v>575</v>
      </c>
      <c r="D262" t="s">
        <v>36</v>
      </c>
      <c r="E262">
        <v>866</v>
      </c>
      <c r="F262" t="s">
        <v>3262</v>
      </c>
      <c r="G262">
        <v>73826.5</v>
      </c>
      <c r="H262" t="s">
        <v>556</v>
      </c>
      <c r="J262" t="s">
        <v>3263</v>
      </c>
      <c r="K262">
        <v>85.25</v>
      </c>
      <c r="L262" s="1">
        <v>45198</v>
      </c>
      <c r="M262">
        <f>G262*IF(D262="INR",1,INDEX('rates'!$B$2:$B$522,MATCH(B262,'rates'!$A$2:$A$522,1)))</f>
        <v>6123169.9100000001</v>
      </c>
      <c r="N262">
        <f t="shared" si="4"/>
        <v>45</v>
      </c>
    </row>
    <row r="263" spans="1:14" x14ac:dyDescent="0.3">
      <c r="A263" t="s">
        <v>3548</v>
      </c>
      <c r="B263" s="1">
        <v>45169</v>
      </c>
      <c r="C263" t="s">
        <v>558</v>
      </c>
      <c r="D263" t="s">
        <v>36</v>
      </c>
      <c r="E263">
        <v>303</v>
      </c>
      <c r="F263" t="s">
        <v>3262</v>
      </c>
      <c r="G263">
        <v>26354.94</v>
      </c>
      <c r="H263" t="s">
        <v>573</v>
      </c>
      <c r="I263">
        <v>76.78</v>
      </c>
      <c r="J263" t="s">
        <v>3263</v>
      </c>
      <c r="K263">
        <v>86.98</v>
      </c>
      <c r="L263" s="1">
        <v>45199</v>
      </c>
      <c r="M263">
        <f>G263*IF(D263="INR",1,INDEX('rates'!$B$2:$B$522,MATCH(B263,'rates'!$A$2:$A$522,1)))</f>
        <v>2181661.9331999999</v>
      </c>
      <c r="N263">
        <f t="shared" si="4"/>
        <v>30</v>
      </c>
    </row>
    <row r="264" spans="1:14" x14ac:dyDescent="0.3">
      <c r="A264" t="s">
        <v>3552</v>
      </c>
      <c r="B264" s="1">
        <v>45170</v>
      </c>
      <c r="C264" t="s">
        <v>554</v>
      </c>
      <c r="D264" t="s">
        <v>13</v>
      </c>
      <c r="E264">
        <v>184557</v>
      </c>
      <c r="F264" t="s">
        <v>3270</v>
      </c>
      <c r="G264">
        <v>15334841.130000001</v>
      </c>
      <c r="H264" t="s">
        <v>556</v>
      </c>
      <c r="J264" t="s">
        <v>3271</v>
      </c>
      <c r="K264">
        <v>83.09</v>
      </c>
      <c r="L264" s="1">
        <v>45200</v>
      </c>
      <c r="M264">
        <f>G264*IF(D264="INR",1,INDEX('rates'!$B$2:$B$522,MATCH(B264,'rates'!$A$2:$A$522,1)))</f>
        <v>15334841.130000001</v>
      </c>
      <c r="N264">
        <f t="shared" si="4"/>
        <v>30</v>
      </c>
    </row>
    <row r="265" spans="1:14" x14ac:dyDescent="0.3">
      <c r="A265" t="s">
        <v>3502</v>
      </c>
      <c r="B265" s="1">
        <v>45141</v>
      </c>
      <c r="C265" t="s">
        <v>560</v>
      </c>
      <c r="D265" t="s">
        <v>13</v>
      </c>
      <c r="E265">
        <v>198937</v>
      </c>
      <c r="F265" t="s">
        <v>3270</v>
      </c>
      <c r="G265">
        <v>16125833.220000001</v>
      </c>
      <c r="H265" t="s">
        <v>556</v>
      </c>
      <c r="J265" t="s">
        <v>3271</v>
      </c>
      <c r="K265">
        <v>81.06</v>
      </c>
      <c r="L265" s="1">
        <v>45201</v>
      </c>
      <c r="M265">
        <f>G265*IF(D265="INR",1,INDEX('rates'!$B$2:$B$522,MATCH(B265,'rates'!$A$2:$A$522,1)))</f>
        <v>16125833.220000001</v>
      </c>
      <c r="N265">
        <f t="shared" si="4"/>
        <v>60</v>
      </c>
    </row>
    <row r="266" spans="1:14" x14ac:dyDescent="0.3">
      <c r="A266" t="s">
        <v>3504</v>
      </c>
      <c r="B266" s="1">
        <v>45142</v>
      </c>
      <c r="C266" t="s">
        <v>554</v>
      </c>
      <c r="D266" t="s">
        <v>36</v>
      </c>
      <c r="E266">
        <v>1657</v>
      </c>
      <c r="F266" t="s">
        <v>3262</v>
      </c>
      <c r="G266">
        <v>143363.64000000001</v>
      </c>
      <c r="H266" t="s">
        <v>573</v>
      </c>
      <c r="I266">
        <v>76.31</v>
      </c>
      <c r="J266" t="s">
        <v>3263</v>
      </c>
      <c r="K266">
        <v>86.52</v>
      </c>
      <c r="L266" s="1">
        <v>45202</v>
      </c>
      <c r="M266">
        <f>G266*IF(D266="INR",1,INDEX('rates'!$B$2:$B$522,MATCH(B266,'rates'!$A$2:$A$522,1)))</f>
        <v>11874810.301200001</v>
      </c>
      <c r="N266">
        <f t="shared" si="4"/>
        <v>60</v>
      </c>
    </row>
    <row r="267" spans="1:14" x14ac:dyDescent="0.3">
      <c r="A267" t="s">
        <v>3554</v>
      </c>
      <c r="B267" s="1">
        <v>45173</v>
      </c>
      <c r="C267" t="s">
        <v>566</v>
      </c>
      <c r="D267" t="s">
        <v>36</v>
      </c>
      <c r="E267">
        <v>517</v>
      </c>
      <c r="F267" t="s">
        <v>3262</v>
      </c>
      <c r="G267">
        <v>46400.75</v>
      </c>
      <c r="H267" t="s">
        <v>573</v>
      </c>
      <c r="I267">
        <v>76.73</v>
      </c>
      <c r="J267" t="s">
        <v>3263</v>
      </c>
      <c r="K267">
        <v>89.75</v>
      </c>
      <c r="L267" s="1">
        <v>45203</v>
      </c>
      <c r="M267">
        <f>G267*IF(D267="INR",1,INDEX('rates'!$B$2:$B$522,MATCH(B267,'rates'!$A$2:$A$522,1)))</f>
        <v>3836878.0175000001</v>
      </c>
      <c r="N267">
        <f t="shared" si="4"/>
        <v>30</v>
      </c>
    </row>
    <row r="268" spans="1:14" x14ac:dyDescent="0.3">
      <c r="A268" t="s">
        <v>3527</v>
      </c>
      <c r="B268" s="1">
        <v>45159</v>
      </c>
      <c r="C268" t="s">
        <v>575</v>
      </c>
      <c r="D268" t="s">
        <v>36</v>
      </c>
      <c r="E268">
        <v>1080</v>
      </c>
      <c r="F268" t="s">
        <v>3262</v>
      </c>
      <c r="G268">
        <v>90320.4</v>
      </c>
      <c r="H268" t="s">
        <v>573</v>
      </c>
      <c r="I268">
        <v>77.97</v>
      </c>
      <c r="J268" t="s">
        <v>3263</v>
      </c>
      <c r="K268">
        <v>83.63</v>
      </c>
      <c r="L268" s="1">
        <v>45204</v>
      </c>
      <c r="M268">
        <f>G268*IF(D268="INR",1,INDEX('rates'!$B$2:$B$522,MATCH(B268,'rates'!$A$2:$A$522,1)))</f>
        <v>7505625.2399999993</v>
      </c>
      <c r="N268">
        <f t="shared" si="4"/>
        <v>45</v>
      </c>
    </row>
    <row r="269" spans="1:14" x14ac:dyDescent="0.3">
      <c r="A269" t="s">
        <v>3559</v>
      </c>
      <c r="B269" s="1">
        <v>45174</v>
      </c>
      <c r="C269" t="s">
        <v>558</v>
      </c>
      <c r="D269" t="s">
        <v>36</v>
      </c>
      <c r="E269">
        <v>485</v>
      </c>
      <c r="F269" t="s">
        <v>3262</v>
      </c>
      <c r="G269">
        <v>44411.45</v>
      </c>
      <c r="H269" t="s">
        <v>556</v>
      </c>
      <c r="J269" t="s">
        <v>3263</v>
      </c>
      <c r="K269">
        <v>91.57</v>
      </c>
      <c r="L269" s="1">
        <v>45204</v>
      </c>
      <c r="M269">
        <f>G269*IF(D269="INR",1,INDEX('rates'!$B$2:$B$522,MATCH(B269,'rates'!$A$2:$A$522,1)))</f>
        <v>3687482.6934999996</v>
      </c>
      <c r="N269">
        <f t="shared" si="4"/>
        <v>30</v>
      </c>
    </row>
    <row r="270" spans="1:14" x14ac:dyDescent="0.3">
      <c r="A270" t="s">
        <v>3506</v>
      </c>
      <c r="B270" s="1">
        <v>45145</v>
      </c>
      <c r="C270" t="s">
        <v>558</v>
      </c>
      <c r="D270" t="s">
        <v>36</v>
      </c>
      <c r="E270">
        <v>2131</v>
      </c>
      <c r="F270" t="s">
        <v>3262</v>
      </c>
      <c r="G270">
        <v>187442.76</v>
      </c>
      <c r="H270" t="s">
        <v>556</v>
      </c>
      <c r="J270" t="s">
        <v>3263</v>
      </c>
      <c r="K270">
        <v>87.96</v>
      </c>
      <c r="L270" s="1">
        <v>45205</v>
      </c>
      <c r="M270">
        <f>G270*IF(D270="INR",1,INDEX('rates'!$B$2:$B$522,MATCH(B270,'rates'!$A$2:$A$522,1)))</f>
        <v>15510888.390000001</v>
      </c>
      <c r="N270">
        <f t="shared" si="4"/>
        <v>60</v>
      </c>
    </row>
    <row r="271" spans="1:14" x14ac:dyDescent="0.3">
      <c r="A271" t="s">
        <v>3530</v>
      </c>
      <c r="B271" s="1">
        <v>45160</v>
      </c>
      <c r="C271" t="s">
        <v>560</v>
      </c>
      <c r="D271" t="s">
        <v>36</v>
      </c>
      <c r="E271">
        <v>373</v>
      </c>
      <c r="F271" t="s">
        <v>3262</v>
      </c>
      <c r="G271">
        <v>31503.58</v>
      </c>
      <c r="H271" t="s">
        <v>573</v>
      </c>
      <c r="I271">
        <v>79.58</v>
      </c>
      <c r="J271" t="s">
        <v>3263</v>
      </c>
      <c r="K271">
        <v>84.46</v>
      </c>
      <c r="L271" s="1">
        <v>45205</v>
      </c>
      <c r="M271">
        <f>G271*IF(D271="INR",1,INDEX('rates'!$B$2:$B$522,MATCH(B271,'rates'!$A$2:$A$522,1)))</f>
        <v>2612906.9251999999</v>
      </c>
      <c r="N271">
        <f t="shared" si="4"/>
        <v>45</v>
      </c>
    </row>
    <row r="272" spans="1:14" x14ac:dyDescent="0.3">
      <c r="A272" t="s">
        <v>3533</v>
      </c>
      <c r="B272" s="1">
        <v>45161</v>
      </c>
      <c r="C272" t="s">
        <v>566</v>
      </c>
      <c r="D272" t="s">
        <v>36</v>
      </c>
      <c r="E272">
        <v>564</v>
      </c>
      <c r="F272" t="s">
        <v>3262</v>
      </c>
      <c r="G272">
        <v>47313.96</v>
      </c>
      <c r="H272" t="s">
        <v>556</v>
      </c>
      <c r="J272" t="s">
        <v>3263</v>
      </c>
      <c r="K272">
        <v>83.89</v>
      </c>
      <c r="L272" s="1">
        <v>45206</v>
      </c>
      <c r="M272">
        <f>G272*IF(D272="INR",1,INDEX('rates'!$B$2:$B$522,MATCH(B272,'rates'!$A$2:$A$522,1)))</f>
        <v>3912391.3523999997</v>
      </c>
      <c r="N272">
        <f t="shared" si="4"/>
        <v>45</v>
      </c>
    </row>
    <row r="273" spans="1:14" x14ac:dyDescent="0.3">
      <c r="A273" t="s">
        <v>3534</v>
      </c>
      <c r="B273" s="1">
        <v>45162</v>
      </c>
      <c r="C273" t="s">
        <v>560</v>
      </c>
      <c r="D273" t="s">
        <v>36</v>
      </c>
      <c r="E273">
        <v>478</v>
      </c>
      <c r="F273" t="s">
        <v>3262</v>
      </c>
      <c r="G273">
        <v>41542.980000000003</v>
      </c>
      <c r="H273" t="s">
        <v>556</v>
      </c>
      <c r="J273" t="s">
        <v>3263</v>
      </c>
      <c r="K273">
        <v>86.91</v>
      </c>
      <c r="L273" s="1">
        <v>45207</v>
      </c>
      <c r="M273">
        <f>G273*IF(D273="INR",1,INDEX('rates'!$B$2:$B$522,MATCH(B273,'rates'!$A$2:$A$522,1)))</f>
        <v>3430203.8585999999</v>
      </c>
      <c r="N273">
        <f t="shared" si="4"/>
        <v>45</v>
      </c>
    </row>
    <row r="274" spans="1:14" x14ac:dyDescent="0.3">
      <c r="A274" t="s">
        <v>3536</v>
      </c>
      <c r="B274" s="1">
        <v>45163</v>
      </c>
      <c r="C274" t="s">
        <v>575</v>
      </c>
      <c r="D274" t="s">
        <v>36</v>
      </c>
      <c r="E274">
        <v>3618</v>
      </c>
      <c r="F274" t="s">
        <v>3262</v>
      </c>
      <c r="G274">
        <v>303803.46000000002</v>
      </c>
      <c r="H274" t="s">
        <v>573</v>
      </c>
      <c r="I274">
        <v>77.41</v>
      </c>
      <c r="J274" t="s">
        <v>3263</v>
      </c>
      <c r="K274">
        <v>83.97</v>
      </c>
      <c r="L274" s="1">
        <v>45208</v>
      </c>
      <c r="M274">
        <f>G274*IF(D274="INR",1,INDEX('rates'!$B$2:$B$522,MATCH(B274,'rates'!$A$2:$A$522,1)))</f>
        <v>25106317.934400003</v>
      </c>
      <c r="N274">
        <f t="shared" si="4"/>
        <v>45</v>
      </c>
    </row>
    <row r="275" spans="1:14" x14ac:dyDescent="0.3">
      <c r="A275" t="s">
        <v>3514</v>
      </c>
      <c r="B275" s="1">
        <v>45149</v>
      </c>
      <c r="C275" t="s">
        <v>554</v>
      </c>
      <c r="D275" t="s">
        <v>36</v>
      </c>
      <c r="E275">
        <v>542</v>
      </c>
      <c r="F275" t="s">
        <v>3262</v>
      </c>
      <c r="G275">
        <v>47826.080000000002</v>
      </c>
      <c r="H275" t="s">
        <v>573</v>
      </c>
      <c r="I275">
        <v>74.92</v>
      </c>
      <c r="J275" t="s">
        <v>3263</v>
      </c>
      <c r="K275">
        <v>88.24</v>
      </c>
      <c r="L275" s="1">
        <v>45209</v>
      </c>
      <c r="M275">
        <f>G275*IF(D275="INR",1,INDEX('rates'!$B$2:$B$522,MATCH(B275,'rates'!$A$2:$A$522,1)))</f>
        <v>3963347.2496000002</v>
      </c>
      <c r="N275">
        <f t="shared" si="4"/>
        <v>60</v>
      </c>
    </row>
    <row r="276" spans="1:14" x14ac:dyDescent="0.3">
      <c r="A276" t="s">
        <v>3538</v>
      </c>
      <c r="B276" s="1">
        <v>45166</v>
      </c>
      <c r="C276" t="s">
        <v>558</v>
      </c>
      <c r="D276" t="s">
        <v>36</v>
      </c>
      <c r="E276">
        <v>501</v>
      </c>
      <c r="F276" t="s">
        <v>3262</v>
      </c>
      <c r="G276">
        <v>43406.64</v>
      </c>
      <c r="H276" t="s">
        <v>573</v>
      </c>
      <c r="I276">
        <v>74.31</v>
      </c>
      <c r="J276" t="s">
        <v>3263</v>
      </c>
      <c r="K276">
        <v>86.64</v>
      </c>
      <c r="L276" s="1">
        <v>45211</v>
      </c>
      <c r="M276">
        <f>G276*IF(D276="INR",1,INDEX('rates'!$B$2:$B$522,MATCH(B276,'rates'!$A$2:$A$522,1)))</f>
        <v>3585388.4639999997</v>
      </c>
      <c r="N276">
        <f t="shared" si="4"/>
        <v>45</v>
      </c>
    </row>
    <row r="277" spans="1:14" x14ac:dyDescent="0.3">
      <c r="A277" t="s">
        <v>3540</v>
      </c>
      <c r="B277" s="1">
        <v>45167</v>
      </c>
      <c r="C277" t="s">
        <v>560</v>
      </c>
      <c r="D277" t="s">
        <v>13</v>
      </c>
      <c r="E277">
        <v>88695</v>
      </c>
      <c r="F277" t="s">
        <v>3270</v>
      </c>
      <c r="G277">
        <v>6330162.1500000004</v>
      </c>
      <c r="H277" t="s">
        <v>556</v>
      </c>
      <c r="J277" t="s">
        <v>3271</v>
      </c>
      <c r="K277">
        <v>71.37</v>
      </c>
      <c r="L277" s="1">
        <v>45212</v>
      </c>
      <c r="M277">
        <f>G277*IF(D277="INR",1,INDEX('rates'!$B$2:$B$522,MATCH(B277,'rates'!$A$2:$A$522,1)))</f>
        <v>6330162.1500000004</v>
      </c>
      <c r="N277">
        <f t="shared" si="4"/>
        <v>45</v>
      </c>
    </row>
    <row r="278" spans="1:14" x14ac:dyDescent="0.3">
      <c r="A278" t="s">
        <v>3541</v>
      </c>
      <c r="B278" s="1">
        <v>45167</v>
      </c>
      <c r="C278" t="s">
        <v>566</v>
      </c>
      <c r="D278" t="s">
        <v>36</v>
      </c>
      <c r="E278">
        <v>642</v>
      </c>
      <c r="F278" t="s">
        <v>3262</v>
      </c>
      <c r="G278">
        <v>55179.9</v>
      </c>
      <c r="H278" t="s">
        <v>556</v>
      </c>
      <c r="J278" t="s">
        <v>3263</v>
      </c>
      <c r="K278">
        <v>85.95</v>
      </c>
      <c r="L278" s="1">
        <v>45212</v>
      </c>
      <c r="M278">
        <f>G278*IF(D278="INR",1,INDEX('rates'!$B$2:$B$522,MATCH(B278,'rates'!$A$2:$A$522,1)))</f>
        <v>4563377.7300000004</v>
      </c>
      <c r="N278">
        <f t="shared" si="4"/>
        <v>45</v>
      </c>
    </row>
    <row r="279" spans="1:14" x14ac:dyDescent="0.3">
      <c r="A279" t="s">
        <v>3519</v>
      </c>
      <c r="B279" s="1">
        <v>45153</v>
      </c>
      <c r="C279" t="s">
        <v>554</v>
      </c>
      <c r="D279" t="s">
        <v>36</v>
      </c>
      <c r="E279">
        <v>356</v>
      </c>
      <c r="F279" t="s">
        <v>3262</v>
      </c>
      <c r="G279">
        <v>30103.360000000001</v>
      </c>
      <c r="H279" t="s">
        <v>573</v>
      </c>
      <c r="I279">
        <v>77.87</v>
      </c>
      <c r="J279" t="s">
        <v>3263</v>
      </c>
      <c r="K279">
        <v>84.56</v>
      </c>
      <c r="L279" s="1">
        <v>45213</v>
      </c>
      <c r="M279">
        <f>G279*IF(D279="INR",1,INDEX('rates'!$B$2:$B$522,MATCH(B279,'rates'!$A$2:$A$522,1)))</f>
        <v>2496772.6784000001</v>
      </c>
      <c r="N279">
        <f t="shared" si="4"/>
        <v>60</v>
      </c>
    </row>
    <row r="280" spans="1:14" x14ac:dyDescent="0.3">
      <c r="A280" t="s">
        <v>3525</v>
      </c>
      <c r="B280" s="1">
        <v>45154</v>
      </c>
      <c r="C280" t="s">
        <v>558</v>
      </c>
      <c r="D280" t="s">
        <v>36</v>
      </c>
      <c r="E280">
        <v>922</v>
      </c>
      <c r="F280" t="s">
        <v>3262</v>
      </c>
      <c r="G280">
        <v>77927.44</v>
      </c>
      <c r="H280" t="s">
        <v>556</v>
      </c>
      <c r="J280" t="s">
        <v>3263</v>
      </c>
      <c r="K280">
        <v>84.52</v>
      </c>
      <c r="L280" s="1">
        <v>45214</v>
      </c>
      <c r="M280">
        <f>G280*IF(D280="INR",1,INDEX('rates'!$B$2:$B$522,MATCH(B280,'rates'!$A$2:$A$522,1)))</f>
        <v>6482783.7335999999</v>
      </c>
      <c r="N280">
        <f t="shared" si="4"/>
        <v>60</v>
      </c>
    </row>
    <row r="281" spans="1:14" x14ac:dyDescent="0.3">
      <c r="A281" t="s">
        <v>3546</v>
      </c>
      <c r="B281" s="1">
        <v>45169</v>
      </c>
      <c r="C281" t="s">
        <v>558</v>
      </c>
      <c r="D281" t="s">
        <v>36</v>
      </c>
      <c r="E281">
        <v>513</v>
      </c>
      <c r="F281" t="s">
        <v>3262</v>
      </c>
      <c r="G281">
        <v>45251.73</v>
      </c>
      <c r="H281" t="s">
        <v>556</v>
      </c>
      <c r="J281" t="s">
        <v>3263</v>
      </c>
      <c r="K281">
        <v>88.21</v>
      </c>
      <c r="L281" s="1">
        <v>45214</v>
      </c>
      <c r="M281">
        <f>G281*IF(D281="INR",1,INDEX('rates'!$B$2:$B$522,MATCH(B281,'rates'!$A$2:$A$522,1)))</f>
        <v>3745938.2094000005</v>
      </c>
      <c r="N281">
        <f t="shared" si="4"/>
        <v>45</v>
      </c>
    </row>
    <row r="282" spans="1:14" x14ac:dyDescent="0.3">
      <c r="A282" t="s">
        <v>3570</v>
      </c>
      <c r="B282" s="1">
        <v>45184</v>
      </c>
      <c r="C282" t="s">
        <v>575</v>
      </c>
      <c r="D282" t="s">
        <v>36</v>
      </c>
      <c r="E282">
        <v>1491</v>
      </c>
      <c r="F282" t="s">
        <v>3262</v>
      </c>
      <c r="G282">
        <v>146028.54</v>
      </c>
      <c r="H282" t="s">
        <v>556</v>
      </c>
      <c r="J282" t="s">
        <v>3263</v>
      </c>
      <c r="K282">
        <v>97.94</v>
      </c>
      <c r="L282" s="1">
        <v>45214</v>
      </c>
      <c r="M282">
        <f>G282*IF(D282="INR",1,INDEX('rates'!$B$2:$B$522,MATCH(B282,'rates'!$A$2:$A$522,1)))</f>
        <v>12142273.101000002</v>
      </c>
      <c r="N282">
        <f t="shared" si="4"/>
        <v>30</v>
      </c>
    </row>
    <row r="283" spans="1:14" x14ac:dyDescent="0.3">
      <c r="A283" t="s">
        <v>3574</v>
      </c>
      <c r="B283" s="1">
        <v>45184</v>
      </c>
      <c r="C283" t="s">
        <v>560</v>
      </c>
      <c r="D283" t="s">
        <v>13</v>
      </c>
      <c r="E283">
        <v>76001</v>
      </c>
      <c r="F283" t="s">
        <v>3270</v>
      </c>
      <c r="G283">
        <v>6793729.3899999997</v>
      </c>
      <c r="H283" t="s">
        <v>556</v>
      </c>
      <c r="J283" t="s">
        <v>3271</v>
      </c>
      <c r="K283">
        <v>89.39</v>
      </c>
      <c r="L283" s="1">
        <v>45214</v>
      </c>
      <c r="M283">
        <f>G283*IF(D283="INR",1,INDEX('rates'!$B$2:$B$522,MATCH(B283,'rates'!$A$2:$A$522,1)))</f>
        <v>6793729.3899999997</v>
      </c>
      <c r="N283">
        <f t="shared" si="4"/>
        <v>30</v>
      </c>
    </row>
    <row r="284" spans="1:14" x14ac:dyDescent="0.3">
      <c r="A284" t="s">
        <v>3575</v>
      </c>
      <c r="B284" s="1">
        <v>45184</v>
      </c>
      <c r="C284" t="s">
        <v>554</v>
      </c>
      <c r="D284" t="s">
        <v>36</v>
      </c>
      <c r="E284">
        <v>789</v>
      </c>
      <c r="F284" t="s">
        <v>3262</v>
      </c>
      <c r="G284">
        <v>75807.12</v>
      </c>
      <c r="H284" t="s">
        <v>573</v>
      </c>
      <c r="I284">
        <v>76.84</v>
      </c>
      <c r="J284" t="s">
        <v>3263</v>
      </c>
      <c r="K284">
        <v>96.08</v>
      </c>
      <c r="L284" s="1">
        <v>45214</v>
      </c>
      <c r="M284">
        <f>G284*IF(D284="INR",1,INDEX('rates'!$B$2:$B$522,MATCH(B284,'rates'!$A$2:$A$522,1)))</f>
        <v>6303362.0279999999</v>
      </c>
      <c r="N284">
        <f t="shared" si="4"/>
        <v>30</v>
      </c>
    </row>
    <row r="285" spans="1:14" x14ac:dyDescent="0.3">
      <c r="A285" t="s">
        <v>3549</v>
      </c>
      <c r="B285" s="1">
        <v>45170</v>
      </c>
      <c r="C285" t="s">
        <v>558</v>
      </c>
      <c r="D285" t="s">
        <v>36</v>
      </c>
      <c r="E285">
        <v>257</v>
      </c>
      <c r="F285" t="s">
        <v>3262</v>
      </c>
      <c r="G285">
        <v>23096.59</v>
      </c>
      <c r="H285" t="s">
        <v>556</v>
      </c>
      <c r="J285" t="s">
        <v>3263</v>
      </c>
      <c r="K285">
        <v>89.87</v>
      </c>
      <c r="L285" s="1">
        <v>45215</v>
      </c>
      <c r="M285">
        <f>G285*IF(D285="INR",1,INDEX('rates'!$B$2:$B$522,MATCH(B285,'rates'!$A$2:$A$522,1)))</f>
        <v>1909857.0271000001</v>
      </c>
      <c r="N285">
        <f t="shared" si="4"/>
        <v>45</v>
      </c>
    </row>
    <row r="286" spans="1:14" x14ac:dyDescent="0.3">
      <c r="A286" t="s">
        <v>3551</v>
      </c>
      <c r="B286" s="1">
        <v>45170</v>
      </c>
      <c r="C286" t="s">
        <v>560</v>
      </c>
      <c r="D286" t="s">
        <v>36</v>
      </c>
      <c r="E286">
        <v>1691</v>
      </c>
      <c r="F286" t="s">
        <v>3262</v>
      </c>
      <c r="G286">
        <v>153897.91</v>
      </c>
      <c r="H286" t="s">
        <v>556</v>
      </c>
      <c r="J286" t="s">
        <v>3263</v>
      </c>
      <c r="K286">
        <v>91.01</v>
      </c>
      <c r="L286" s="1">
        <v>45215</v>
      </c>
      <c r="M286">
        <f>G286*IF(D286="INR",1,INDEX('rates'!$B$2:$B$522,MATCH(B286,'rates'!$A$2:$A$522,1)))</f>
        <v>12725818.1779</v>
      </c>
      <c r="N286">
        <f t="shared" si="4"/>
        <v>45</v>
      </c>
    </row>
    <row r="287" spans="1:14" x14ac:dyDescent="0.3">
      <c r="A287" t="s">
        <v>3576</v>
      </c>
      <c r="B287" s="1">
        <v>45187</v>
      </c>
      <c r="C287" t="s">
        <v>575</v>
      </c>
      <c r="D287" t="s">
        <v>36</v>
      </c>
      <c r="E287">
        <v>1076</v>
      </c>
      <c r="F287" t="s">
        <v>3262</v>
      </c>
      <c r="G287">
        <v>104232.12</v>
      </c>
      <c r="H287" t="s">
        <v>573</v>
      </c>
      <c r="I287">
        <v>75.91</v>
      </c>
      <c r="J287" t="s">
        <v>3263</v>
      </c>
      <c r="K287">
        <v>96.87</v>
      </c>
      <c r="L287" s="1">
        <v>45217</v>
      </c>
      <c r="M287">
        <f>G287*IF(D287="INR",1,INDEX('rates'!$B$2:$B$522,MATCH(B287,'rates'!$A$2:$A$522,1)))</f>
        <v>8679408.6323999986</v>
      </c>
      <c r="N287">
        <f t="shared" si="4"/>
        <v>30</v>
      </c>
    </row>
    <row r="288" spans="1:14" x14ac:dyDescent="0.3">
      <c r="A288" t="s">
        <v>3553</v>
      </c>
      <c r="B288" s="1">
        <v>45173</v>
      </c>
      <c r="C288" t="s">
        <v>566</v>
      </c>
      <c r="D288" t="s">
        <v>36</v>
      </c>
      <c r="E288">
        <v>1029</v>
      </c>
      <c r="F288" t="s">
        <v>3262</v>
      </c>
      <c r="G288">
        <v>93628.71</v>
      </c>
      <c r="H288" t="s">
        <v>573</v>
      </c>
      <c r="I288">
        <v>76.73</v>
      </c>
      <c r="J288" t="s">
        <v>3263</v>
      </c>
      <c r="K288">
        <v>90.99</v>
      </c>
      <c r="L288" s="1">
        <v>45218</v>
      </c>
      <c r="M288">
        <f>G288*IF(D288="INR",1,INDEX('rates'!$B$2:$B$522,MATCH(B288,'rates'!$A$2:$A$522,1)))</f>
        <v>7742158.0299000004</v>
      </c>
      <c r="N288">
        <f t="shared" si="4"/>
        <v>45</v>
      </c>
    </row>
    <row r="289" spans="1:14" x14ac:dyDescent="0.3">
      <c r="A289" t="s">
        <v>3555</v>
      </c>
      <c r="B289" s="1">
        <v>45173</v>
      </c>
      <c r="C289" t="s">
        <v>558</v>
      </c>
      <c r="D289" t="s">
        <v>36</v>
      </c>
      <c r="E289">
        <v>1220</v>
      </c>
      <c r="F289" t="s">
        <v>3262</v>
      </c>
      <c r="G289">
        <v>108909.4</v>
      </c>
      <c r="H289" t="s">
        <v>573</v>
      </c>
      <c r="I289">
        <v>76.73</v>
      </c>
      <c r="J289" t="s">
        <v>3263</v>
      </c>
      <c r="K289">
        <v>89.27</v>
      </c>
      <c r="L289" s="1">
        <v>45218</v>
      </c>
      <c r="M289">
        <f>G289*IF(D289="INR",1,INDEX('rates'!$B$2:$B$522,MATCH(B289,'rates'!$A$2:$A$522,1)))</f>
        <v>9005718.2859999985</v>
      </c>
      <c r="N289">
        <f t="shared" si="4"/>
        <v>45</v>
      </c>
    </row>
    <row r="290" spans="1:14" x14ac:dyDescent="0.3">
      <c r="A290" t="s">
        <v>3556</v>
      </c>
      <c r="B290" s="1">
        <v>45173</v>
      </c>
      <c r="C290" t="s">
        <v>566</v>
      </c>
      <c r="D290" t="s">
        <v>36</v>
      </c>
      <c r="E290">
        <v>515</v>
      </c>
      <c r="F290" t="s">
        <v>3262</v>
      </c>
      <c r="G290">
        <v>46195.5</v>
      </c>
      <c r="H290" t="s">
        <v>573</v>
      </c>
      <c r="I290">
        <v>76.73</v>
      </c>
      <c r="J290" t="s">
        <v>3263</v>
      </c>
      <c r="K290">
        <v>89.7</v>
      </c>
      <c r="L290" s="1">
        <v>45218</v>
      </c>
      <c r="M290">
        <f>G290*IF(D290="INR",1,INDEX('rates'!$B$2:$B$522,MATCH(B290,'rates'!$A$2:$A$522,1)))</f>
        <v>3819905.895</v>
      </c>
      <c r="N290">
        <f t="shared" si="4"/>
        <v>45</v>
      </c>
    </row>
    <row r="291" spans="1:14" x14ac:dyDescent="0.3">
      <c r="A291" t="s">
        <v>3557</v>
      </c>
      <c r="B291" s="1">
        <v>45173</v>
      </c>
      <c r="C291" t="s">
        <v>558</v>
      </c>
      <c r="D291" t="s">
        <v>36</v>
      </c>
      <c r="E291">
        <v>834</v>
      </c>
      <c r="F291" t="s">
        <v>3262</v>
      </c>
      <c r="G291">
        <v>75585.42</v>
      </c>
      <c r="H291" t="s">
        <v>556</v>
      </c>
      <c r="J291" t="s">
        <v>3263</v>
      </c>
      <c r="K291">
        <v>90.63</v>
      </c>
      <c r="L291" s="1">
        <v>45218</v>
      </c>
      <c r="M291">
        <f>G291*IF(D291="INR",1,INDEX('rates'!$B$2:$B$522,MATCH(B291,'rates'!$A$2:$A$522,1)))</f>
        <v>6250158.3797999993</v>
      </c>
      <c r="N291">
        <f t="shared" si="4"/>
        <v>45</v>
      </c>
    </row>
    <row r="292" spans="1:14" x14ac:dyDescent="0.3">
      <c r="A292" t="s">
        <v>3579</v>
      </c>
      <c r="B292" s="1">
        <v>45188</v>
      </c>
      <c r="C292" t="s">
        <v>566</v>
      </c>
      <c r="D292" t="s">
        <v>36</v>
      </c>
      <c r="E292">
        <v>410</v>
      </c>
      <c r="F292" t="s">
        <v>3262</v>
      </c>
      <c r="G292">
        <v>39884.800000000003</v>
      </c>
      <c r="H292" t="s">
        <v>573</v>
      </c>
      <c r="I292">
        <v>77.63</v>
      </c>
      <c r="J292" t="s">
        <v>3263</v>
      </c>
      <c r="K292">
        <v>97.28</v>
      </c>
      <c r="L292" s="1">
        <v>45218</v>
      </c>
      <c r="M292">
        <f>G292*IF(D292="INR",1,INDEX('rates'!$B$2:$B$522,MATCH(B292,'rates'!$A$2:$A$522,1)))</f>
        <v>3321207.2960000001</v>
      </c>
      <c r="N292">
        <f t="shared" si="4"/>
        <v>30</v>
      </c>
    </row>
    <row r="293" spans="1:14" x14ac:dyDescent="0.3">
      <c r="A293" t="s">
        <v>3528</v>
      </c>
      <c r="B293" s="1">
        <v>45159</v>
      </c>
      <c r="C293" t="s">
        <v>560</v>
      </c>
      <c r="D293" t="s">
        <v>36</v>
      </c>
      <c r="E293">
        <v>1669</v>
      </c>
      <c r="F293" t="s">
        <v>3262</v>
      </c>
      <c r="G293">
        <v>141764.85999999999</v>
      </c>
      <c r="H293" t="s">
        <v>573</v>
      </c>
      <c r="I293">
        <v>77.97</v>
      </c>
      <c r="J293" t="s">
        <v>3263</v>
      </c>
      <c r="K293">
        <v>84.94</v>
      </c>
      <c r="L293" s="1">
        <v>45219</v>
      </c>
      <c r="M293">
        <f>G293*IF(D293="INR",1,INDEX('rates'!$B$2:$B$522,MATCH(B293,'rates'!$A$2:$A$522,1)))</f>
        <v>11780659.865999999</v>
      </c>
      <c r="N293">
        <f t="shared" si="4"/>
        <v>60</v>
      </c>
    </row>
    <row r="294" spans="1:14" x14ac:dyDescent="0.3">
      <c r="A294" t="s">
        <v>3582</v>
      </c>
      <c r="B294" s="1">
        <v>45189</v>
      </c>
      <c r="C294" t="s">
        <v>566</v>
      </c>
      <c r="D294" t="s">
        <v>36</v>
      </c>
      <c r="E294">
        <v>888</v>
      </c>
      <c r="F294" t="s">
        <v>3262</v>
      </c>
      <c r="G294">
        <v>83872</v>
      </c>
      <c r="H294" t="s">
        <v>556</v>
      </c>
      <c r="J294" t="s">
        <v>3263</v>
      </c>
      <c r="K294">
        <v>94.45</v>
      </c>
      <c r="L294" s="1">
        <v>45219</v>
      </c>
      <c r="M294">
        <f>G294*IF(D294="INR",1,INDEX('rates'!$B$2:$B$522,MATCH(B294,'rates'!$A$2:$A$522,1)))</f>
        <v>6967247.0399999991</v>
      </c>
      <c r="N294">
        <f t="shared" si="4"/>
        <v>30</v>
      </c>
    </row>
    <row r="295" spans="1:14" x14ac:dyDescent="0.3">
      <c r="A295" t="s">
        <v>3531</v>
      </c>
      <c r="B295" s="1">
        <v>45160</v>
      </c>
      <c r="C295" t="s">
        <v>566</v>
      </c>
      <c r="D295" t="s">
        <v>36</v>
      </c>
      <c r="E295">
        <v>2246</v>
      </c>
      <c r="F295" t="s">
        <v>3262</v>
      </c>
      <c r="G295">
        <v>191516.42</v>
      </c>
      <c r="H295" t="s">
        <v>556</v>
      </c>
      <c r="J295" t="s">
        <v>3263</v>
      </c>
      <c r="K295">
        <v>85.27</v>
      </c>
      <c r="L295" s="1">
        <v>45220</v>
      </c>
      <c r="M295">
        <f>G295*IF(D295="INR",1,INDEX('rates'!$B$2:$B$522,MATCH(B295,'rates'!$A$2:$A$522,1)))</f>
        <v>15884371.8748</v>
      </c>
      <c r="N295">
        <f t="shared" si="4"/>
        <v>60</v>
      </c>
    </row>
    <row r="296" spans="1:14" x14ac:dyDescent="0.3">
      <c r="A296" t="s">
        <v>3560</v>
      </c>
      <c r="B296" s="1">
        <v>45175</v>
      </c>
      <c r="C296" t="s">
        <v>575</v>
      </c>
      <c r="D296" t="s">
        <v>36</v>
      </c>
      <c r="E296">
        <v>811</v>
      </c>
      <c r="F296" t="s">
        <v>3262</v>
      </c>
      <c r="G296">
        <v>73776.67</v>
      </c>
      <c r="H296" t="s">
        <v>556</v>
      </c>
      <c r="J296" t="s">
        <v>3263</v>
      </c>
      <c r="K296">
        <v>90.97</v>
      </c>
      <c r="L296" s="1">
        <v>45220</v>
      </c>
      <c r="M296">
        <f>G296*IF(D296="INR",1,INDEX('rates'!$B$2:$B$522,MATCH(B296,'rates'!$A$2:$A$522,1)))</f>
        <v>6133792.3437999999</v>
      </c>
      <c r="N296">
        <f t="shared" si="4"/>
        <v>45</v>
      </c>
    </row>
    <row r="297" spans="1:14" x14ac:dyDescent="0.3">
      <c r="A297" t="s">
        <v>3562</v>
      </c>
      <c r="B297" s="1">
        <v>45175</v>
      </c>
      <c r="C297" t="s">
        <v>554</v>
      </c>
      <c r="D297" t="s">
        <v>36</v>
      </c>
      <c r="E297">
        <v>1530</v>
      </c>
      <c r="F297" t="s">
        <v>3262</v>
      </c>
      <c r="G297">
        <v>137302.20000000001</v>
      </c>
      <c r="H297" t="s">
        <v>573</v>
      </c>
      <c r="I297">
        <v>76.27</v>
      </c>
      <c r="J297" t="s">
        <v>3263</v>
      </c>
      <c r="K297">
        <v>89.74</v>
      </c>
      <c r="L297" s="1">
        <v>45220</v>
      </c>
      <c r="M297">
        <f>G297*IF(D297="INR",1,INDEX('rates'!$B$2:$B$522,MATCH(B297,'rates'!$A$2:$A$522,1)))</f>
        <v>11415304.908000002</v>
      </c>
      <c r="N297">
        <f t="shared" si="4"/>
        <v>45</v>
      </c>
    </row>
    <row r="298" spans="1:14" x14ac:dyDescent="0.3">
      <c r="A298" t="s">
        <v>3584</v>
      </c>
      <c r="B298" s="1">
        <v>45190</v>
      </c>
      <c r="C298" t="s">
        <v>560</v>
      </c>
      <c r="D298" t="s">
        <v>36</v>
      </c>
      <c r="E298">
        <v>257</v>
      </c>
      <c r="F298" t="s">
        <v>3262</v>
      </c>
      <c r="G298">
        <v>24921.29</v>
      </c>
      <c r="H298" t="s">
        <v>556</v>
      </c>
      <c r="J298" t="s">
        <v>3263</v>
      </c>
      <c r="K298">
        <v>96.97</v>
      </c>
      <c r="L298" s="1">
        <v>45220</v>
      </c>
      <c r="M298">
        <f>G298*IF(D298="INR",1,INDEX('rates'!$B$2:$B$522,MATCH(B298,'rates'!$A$2:$A$522,1)))</f>
        <v>2071208.4118999999</v>
      </c>
      <c r="N298">
        <f t="shared" si="4"/>
        <v>30</v>
      </c>
    </row>
    <row r="299" spans="1:14" x14ac:dyDescent="0.3">
      <c r="A299" t="s">
        <v>3590</v>
      </c>
      <c r="B299" s="1">
        <v>45191</v>
      </c>
      <c r="C299" t="s">
        <v>554</v>
      </c>
      <c r="D299" t="s">
        <v>13</v>
      </c>
      <c r="E299">
        <v>42945</v>
      </c>
      <c r="F299" t="s">
        <v>3270</v>
      </c>
      <c r="G299">
        <v>4158793.8</v>
      </c>
      <c r="H299" t="s">
        <v>556</v>
      </c>
      <c r="J299" t="s">
        <v>3271</v>
      </c>
      <c r="K299">
        <v>96.84</v>
      </c>
      <c r="L299" s="1">
        <v>45221</v>
      </c>
      <c r="M299">
        <f>G299*IF(D299="INR",1,INDEX('rates'!$B$2:$B$522,MATCH(B299,'rates'!$A$2:$A$522,1)))</f>
        <v>4158793.8</v>
      </c>
      <c r="N299">
        <f t="shared" si="4"/>
        <v>30</v>
      </c>
    </row>
    <row r="300" spans="1:14" x14ac:dyDescent="0.3">
      <c r="A300" t="s">
        <v>3535</v>
      </c>
      <c r="B300" s="1">
        <v>45163</v>
      </c>
      <c r="C300" t="s">
        <v>560</v>
      </c>
      <c r="D300" t="s">
        <v>13</v>
      </c>
      <c r="E300">
        <v>48644</v>
      </c>
      <c r="F300" t="s">
        <v>3270</v>
      </c>
      <c r="G300">
        <v>4287482.16</v>
      </c>
      <c r="H300" t="s">
        <v>556</v>
      </c>
      <c r="J300" t="s">
        <v>3271</v>
      </c>
      <c r="K300">
        <v>88.14</v>
      </c>
      <c r="L300" s="1">
        <v>45223</v>
      </c>
      <c r="M300">
        <f>G300*IF(D300="INR",1,INDEX('rates'!$B$2:$B$522,MATCH(B300,'rates'!$A$2:$A$522,1)))</f>
        <v>4287482.16</v>
      </c>
      <c r="N300">
        <f t="shared" si="4"/>
        <v>60</v>
      </c>
    </row>
    <row r="301" spans="1:14" x14ac:dyDescent="0.3">
      <c r="A301" t="s">
        <v>3592</v>
      </c>
      <c r="B301" s="1">
        <v>45194</v>
      </c>
      <c r="C301" t="s">
        <v>558</v>
      </c>
      <c r="D301" t="s">
        <v>36</v>
      </c>
      <c r="E301">
        <v>570</v>
      </c>
      <c r="F301" t="s">
        <v>3262</v>
      </c>
      <c r="G301">
        <v>54885.3</v>
      </c>
      <c r="H301" t="s">
        <v>556</v>
      </c>
      <c r="J301" t="s">
        <v>3263</v>
      </c>
      <c r="K301">
        <v>96.29</v>
      </c>
      <c r="L301" s="1">
        <v>45224</v>
      </c>
      <c r="M301">
        <f>G301*IF(D301="INR",1,INDEX('rates'!$B$2:$B$522,MATCH(B301,'rates'!$A$2:$A$522,1)))</f>
        <v>4561517.2829999998</v>
      </c>
      <c r="N301">
        <f t="shared" si="4"/>
        <v>30</v>
      </c>
    </row>
    <row r="302" spans="1:14" x14ac:dyDescent="0.3">
      <c r="A302" t="s">
        <v>3593</v>
      </c>
      <c r="B302" s="1">
        <v>45194</v>
      </c>
      <c r="C302" t="s">
        <v>560</v>
      </c>
      <c r="D302" t="s">
        <v>36</v>
      </c>
      <c r="E302">
        <v>668</v>
      </c>
      <c r="F302" t="s">
        <v>3262</v>
      </c>
      <c r="G302">
        <v>62758.6</v>
      </c>
      <c r="H302" t="s">
        <v>556</v>
      </c>
      <c r="J302" t="s">
        <v>3263</v>
      </c>
      <c r="K302">
        <v>93.95</v>
      </c>
      <c r="L302" s="1">
        <v>45224</v>
      </c>
      <c r="M302">
        <f>G302*IF(D302="INR",1,INDEX('rates'!$B$2:$B$522,MATCH(B302,'rates'!$A$2:$A$522,1)))</f>
        <v>5215867.2460000003</v>
      </c>
      <c r="N302">
        <f t="shared" si="4"/>
        <v>30</v>
      </c>
    </row>
    <row r="303" spans="1:14" x14ac:dyDescent="0.3">
      <c r="A303" t="s">
        <v>3595</v>
      </c>
      <c r="B303" s="1">
        <v>45195</v>
      </c>
      <c r="C303" t="s">
        <v>566</v>
      </c>
      <c r="D303" t="s">
        <v>36</v>
      </c>
      <c r="E303">
        <v>689</v>
      </c>
      <c r="F303" t="s">
        <v>3262</v>
      </c>
      <c r="G303">
        <v>66922.570000000007</v>
      </c>
      <c r="H303" t="s">
        <v>573</v>
      </c>
      <c r="I303">
        <v>74.41</v>
      </c>
      <c r="J303" t="s">
        <v>3263</v>
      </c>
      <c r="K303">
        <v>97.13</v>
      </c>
      <c r="L303" s="1">
        <v>45225</v>
      </c>
      <c r="M303">
        <f>G303*IF(D303="INR",1,INDEX('rates'!$B$2:$B$522,MATCH(B303,'rates'!$A$2:$A$522,1)))</f>
        <v>5570634.7268000003</v>
      </c>
      <c r="N303">
        <f t="shared" si="4"/>
        <v>30</v>
      </c>
    </row>
    <row r="304" spans="1:14" x14ac:dyDescent="0.3">
      <c r="A304" t="s">
        <v>3566</v>
      </c>
      <c r="B304" s="1">
        <v>45181</v>
      </c>
      <c r="C304" t="s">
        <v>575</v>
      </c>
      <c r="D304" t="s">
        <v>36</v>
      </c>
      <c r="E304">
        <v>1245</v>
      </c>
      <c r="F304" t="s">
        <v>3262</v>
      </c>
      <c r="G304">
        <v>116133.6</v>
      </c>
      <c r="H304" t="s">
        <v>556</v>
      </c>
      <c r="J304" t="s">
        <v>3263</v>
      </c>
      <c r="K304">
        <v>93.28</v>
      </c>
      <c r="L304" s="1">
        <v>45226</v>
      </c>
      <c r="M304">
        <f>G304*IF(D304="INR",1,INDEX('rates'!$B$2:$B$522,MATCH(B304,'rates'!$A$2:$A$522,1)))</f>
        <v>9622830.0960000008</v>
      </c>
      <c r="N304">
        <f t="shared" si="4"/>
        <v>45</v>
      </c>
    </row>
    <row r="305" spans="1:14" x14ac:dyDescent="0.3">
      <c r="A305" t="s">
        <v>3567</v>
      </c>
      <c r="B305" s="1">
        <v>45181</v>
      </c>
      <c r="C305" t="s">
        <v>560</v>
      </c>
      <c r="D305" t="s">
        <v>36</v>
      </c>
      <c r="E305">
        <v>672</v>
      </c>
      <c r="F305" t="s">
        <v>3262</v>
      </c>
      <c r="G305">
        <v>62173.440000000002</v>
      </c>
      <c r="H305" t="s">
        <v>556</v>
      </c>
      <c r="J305" t="s">
        <v>3263</v>
      </c>
      <c r="K305">
        <v>92.52</v>
      </c>
      <c r="L305" s="1">
        <v>45226</v>
      </c>
      <c r="M305">
        <f>G305*IF(D305="INR",1,INDEX('rates'!$B$2:$B$522,MATCH(B305,'rates'!$A$2:$A$522,1)))</f>
        <v>5151691.2384000001</v>
      </c>
      <c r="N305">
        <f t="shared" si="4"/>
        <v>45</v>
      </c>
    </row>
    <row r="306" spans="1:14" x14ac:dyDescent="0.3">
      <c r="A306" t="s">
        <v>3598</v>
      </c>
      <c r="B306" s="1">
        <v>45196</v>
      </c>
      <c r="C306" t="s">
        <v>566</v>
      </c>
      <c r="D306" t="s">
        <v>36</v>
      </c>
      <c r="E306">
        <v>2067</v>
      </c>
      <c r="F306" t="s">
        <v>3262</v>
      </c>
      <c r="G306">
        <v>203558.16</v>
      </c>
      <c r="H306" t="s">
        <v>573</v>
      </c>
      <c r="I306">
        <v>74.739999999999995</v>
      </c>
      <c r="J306" t="s">
        <v>3263</v>
      </c>
      <c r="K306">
        <v>98.48</v>
      </c>
      <c r="L306" s="1">
        <v>45226</v>
      </c>
      <c r="M306">
        <f>G306*IF(D306="INR",1,INDEX('rates'!$B$2:$B$522,MATCH(B306,'rates'!$A$2:$A$522,1)))</f>
        <v>16931967.748800002</v>
      </c>
      <c r="N306">
        <f t="shared" si="4"/>
        <v>30</v>
      </c>
    </row>
    <row r="307" spans="1:14" x14ac:dyDescent="0.3">
      <c r="A307" t="s">
        <v>3600</v>
      </c>
      <c r="B307" s="1">
        <v>45197</v>
      </c>
      <c r="C307" t="s">
        <v>558</v>
      </c>
      <c r="D307" t="s">
        <v>36</v>
      </c>
      <c r="E307">
        <v>949</v>
      </c>
      <c r="F307" t="s">
        <v>3262</v>
      </c>
      <c r="G307">
        <v>92195.35</v>
      </c>
      <c r="H307" t="s">
        <v>573</v>
      </c>
      <c r="I307">
        <v>75.61</v>
      </c>
      <c r="J307" t="s">
        <v>3263</v>
      </c>
      <c r="K307">
        <v>97.15</v>
      </c>
      <c r="L307" s="1">
        <v>45227</v>
      </c>
      <c r="M307">
        <f>G307*IF(D307="INR",1,INDEX('rates'!$B$2:$B$522,MATCH(B307,'rates'!$A$2:$A$522,1)))</f>
        <v>7664199.4455000004</v>
      </c>
      <c r="N307">
        <f t="shared" si="4"/>
        <v>30</v>
      </c>
    </row>
    <row r="308" spans="1:14" x14ac:dyDescent="0.3">
      <c r="A308" t="s">
        <v>3544</v>
      </c>
      <c r="B308" s="1">
        <v>45168</v>
      </c>
      <c r="C308" t="s">
        <v>566</v>
      </c>
      <c r="D308" t="s">
        <v>36</v>
      </c>
      <c r="E308">
        <v>506</v>
      </c>
      <c r="F308" t="s">
        <v>3262</v>
      </c>
      <c r="G308">
        <v>44654.5</v>
      </c>
      <c r="H308" t="s">
        <v>556</v>
      </c>
      <c r="J308" t="s">
        <v>3263</v>
      </c>
      <c r="K308">
        <v>88.25</v>
      </c>
      <c r="L308" s="1">
        <v>45228</v>
      </c>
      <c r="M308">
        <f>G308*IF(D308="INR",1,INDEX('rates'!$B$2:$B$522,MATCH(B308,'rates'!$A$2:$A$522,1)))</f>
        <v>3694266.7850000001</v>
      </c>
      <c r="N308">
        <f t="shared" si="4"/>
        <v>60</v>
      </c>
    </row>
    <row r="309" spans="1:14" x14ac:dyDescent="0.3">
      <c r="A309" t="s">
        <v>3545</v>
      </c>
      <c r="B309" s="1">
        <v>45169</v>
      </c>
      <c r="C309" t="s">
        <v>560</v>
      </c>
      <c r="D309" t="s">
        <v>36</v>
      </c>
      <c r="E309">
        <v>813</v>
      </c>
      <c r="F309" t="s">
        <v>3262</v>
      </c>
      <c r="G309">
        <v>69397.679999999993</v>
      </c>
      <c r="H309" t="s">
        <v>556</v>
      </c>
      <c r="J309" t="s">
        <v>3263</v>
      </c>
      <c r="K309">
        <v>85.36</v>
      </c>
      <c r="L309" s="1">
        <v>45229</v>
      </c>
      <c r="M309">
        <f>G309*IF(D309="INR",1,INDEX('rates'!$B$2:$B$522,MATCH(B309,'rates'!$A$2:$A$522,1)))</f>
        <v>5744739.9503999995</v>
      </c>
      <c r="N309">
        <f t="shared" si="4"/>
        <v>60</v>
      </c>
    </row>
    <row r="310" spans="1:14" x14ac:dyDescent="0.3">
      <c r="A310" t="s">
        <v>3547</v>
      </c>
      <c r="B310" s="1">
        <v>45169</v>
      </c>
      <c r="C310" t="s">
        <v>560</v>
      </c>
      <c r="D310" t="s">
        <v>36</v>
      </c>
      <c r="E310">
        <v>101</v>
      </c>
      <c r="F310" t="s">
        <v>3262</v>
      </c>
      <c r="G310">
        <v>9047.58</v>
      </c>
      <c r="H310" t="s">
        <v>556</v>
      </c>
      <c r="J310" t="s">
        <v>3263</v>
      </c>
      <c r="K310">
        <v>89.58</v>
      </c>
      <c r="L310" s="1">
        <v>45229</v>
      </c>
      <c r="M310">
        <f>G310*IF(D310="INR",1,INDEX('rates'!$B$2:$B$522,MATCH(B310,'rates'!$A$2:$A$522,1)))</f>
        <v>748958.67240000004</v>
      </c>
      <c r="N310">
        <f t="shared" si="4"/>
        <v>60</v>
      </c>
    </row>
    <row r="311" spans="1:14" x14ac:dyDescent="0.3">
      <c r="A311" t="s">
        <v>3572</v>
      </c>
      <c r="B311" s="1">
        <v>45184</v>
      </c>
      <c r="C311" t="s">
        <v>558</v>
      </c>
      <c r="D311" t="s">
        <v>36</v>
      </c>
      <c r="E311">
        <v>295</v>
      </c>
      <c r="F311" t="s">
        <v>3262</v>
      </c>
      <c r="G311">
        <v>28505.85</v>
      </c>
      <c r="H311" t="s">
        <v>573</v>
      </c>
      <c r="I311">
        <v>76.84</v>
      </c>
      <c r="J311" t="s">
        <v>3263</v>
      </c>
      <c r="K311">
        <v>96.63</v>
      </c>
      <c r="L311" s="1">
        <v>45229</v>
      </c>
      <c r="M311">
        <f>G311*IF(D311="INR",1,INDEX('rates'!$B$2:$B$522,MATCH(B311,'rates'!$A$2:$A$522,1)))</f>
        <v>2370261.4275000002</v>
      </c>
      <c r="N311">
        <f t="shared" si="4"/>
        <v>45</v>
      </c>
    </row>
    <row r="312" spans="1:14" x14ac:dyDescent="0.3">
      <c r="A312" t="s">
        <v>3573</v>
      </c>
      <c r="B312" s="1">
        <v>45184</v>
      </c>
      <c r="C312" t="s">
        <v>566</v>
      </c>
      <c r="D312" t="s">
        <v>36</v>
      </c>
      <c r="E312">
        <v>3424</v>
      </c>
      <c r="F312" t="s">
        <v>3262</v>
      </c>
      <c r="G312">
        <v>331408.96000000002</v>
      </c>
      <c r="H312" t="s">
        <v>573</v>
      </c>
      <c r="I312">
        <v>76.84</v>
      </c>
      <c r="J312" t="s">
        <v>3263</v>
      </c>
      <c r="K312">
        <v>96.79</v>
      </c>
      <c r="L312" s="1">
        <v>45229</v>
      </c>
      <c r="M312">
        <f>G312*IF(D312="INR",1,INDEX('rates'!$B$2:$B$522,MATCH(B312,'rates'!$A$2:$A$522,1)))</f>
        <v>27556655.024000004</v>
      </c>
      <c r="N312">
        <f t="shared" si="4"/>
        <v>45</v>
      </c>
    </row>
    <row r="313" spans="1:14" x14ac:dyDescent="0.3">
      <c r="A313" t="s">
        <v>3550</v>
      </c>
      <c r="B313" s="1">
        <v>45170</v>
      </c>
      <c r="C313" t="s">
        <v>566</v>
      </c>
      <c r="D313" t="s">
        <v>36</v>
      </c>
      <c r="E313">
        <v>373</v>
      </c>
      <c r="F313" t="s">
        <v>3262</v>
      </c>
      <c r="G313">
        <v>33417.07</v>
      </c>
      <c r="H313" t="s">
        <v>556</v>
      </c>
      <c r="J313" t="s">
        <v>3263</v>
      </c>
      <c r="K313">
        <v>89.59</v>
      </c>
      <c r="L313" s="1">
        <v>45230</v>
      </c>
      <c r="M313">
        <f>G313*IF(D313="INR",1,INDEX('rates'!$B$2:$B$522,MATCH(B313,'rates'!$A$2:$A$522,1)))</f>
        <v>2763257.5183000001</v>
      </c>
      <c r="N313">
        <f t="shared" si="4"/>
        <v>60</v>
      </c>
    </row>
    <row r="314" spans="1:14" x14ac:dyDescent="0.3">
      <c r="A314" t="s">
        <v>3610</v>
      </c>
      <c r="B314" s="1">
        <v>45202</v>
      </c>
      <c r="C314" t="s">
        <v>566</v>
      </c>
      <c r="D314" t="s">
        <v>36</v>
      </c>
      <c r="E314">
        <v>523</v>
      </c>
      <c r="F314" t="s">
        <v>3262</v>
      </c>
      <c r="G314">
        <v>49977.88</v>
      </c>
      <c r="H314" t="s">
        <v>573</v>
      </c>
      <c r="I314">
        <v>76.8</v>
      </c>
      <c r="J314" t="s">
        <v>3263</v>
      </c>
      <c r="K314">
        <v>95.56</v>
      </c>
      <c r="L314" s="1">
        <v>45232</v>
      </c>
      <c r="M314">
        <f>G314*IF(D314="INR",1,INDEX('rates'!$B$2:$B$522,MATCH(B314,'rates'!$A$2:$A$522,1)))</f>
        <v>4159159.1735999999</v>
      </c>
      <c r="N314">
        <f t="shared" si="4"/>
        <v>30</v>
      </c>
    </row>
    <row r="315" spans="1:14" x14ac:dyDescent="0.3">
      <c r="A315" t="s">
        <v>3558</v>
      </c>
      <c r="B315" s="1">
        <v>45174</v>
      </c>
      <c r="C315" t="s">
        <v>566</v>
      </c>
      <c r="D315" t="s">
        <v>36</v>
      </c>
      <c r="E315">
        <v>1646</v>
      </c>
      <c r="F315" t="s">
        <v>3262</v>
      </c>
      <c r="G315">
        <v>149720.16</v>
      </c>
      <c r="H315" t="s">
        <v>573</v>
      </c>
      <c r="I315">
        <v>77.599999999999994</v>
      </c>
      <c r="J315" t="s">
        <v>3263</v>
      </c>
      <c r="K315">
        <v>90.96</v>
      </c>
      <c r="L315" s="1">
        <v>45234</v>
      </c>
      <c r="M315">
        <f>G315*IF(D315="INR",1,INDEX('rates'!$B$2:$B$522,MATCH(B315,'rates'!$A$2:$A$522,1)))</f>
        <v>12431264.8848</v>
      </c>
      <c r="N315">
        <f t="shared" si="4"/>
        <v>60</v>
      </c>
    </row>
    <row r="316" spans="1:14" x14ac:dyDescent="0.3">
      <c r="A316" t="s">
        <v>3561</v>
      </c>
      <c r="B316" s="1">
        <v>45175</v>
      </c>
      <c r="C316" t="s">
        <v>554</v>
      </c>
      <c r="D316" t="s">
        <v>13</v>
      </c>
      <c r="E316">
        <v>38003</v>
      </c>
      <c r="F316" t="s">
        <v>3270</v>
      </c>
      <c r="G316">
        <v>2699733.12</v>
      </c>
      <c r="H316" t="s">
        <v>556</v>
      </c>
      <c r="J316" t="s">
        <v>3271</v>
      </c>
      <c r="K316">
        <v>71.040000000000006</v>
      </c>
      <c r="L316" s="1">
        <v>45235</v>
      </c>
      <c r="M316">
        <f>G316*IF(D316="INR",1,INDEX('rates'!$B$2:$B$522,MATCH(B316,'rates'!$A$2:$A$522,1)))</f>
        <v>2699733.12</v>
      </c>
      <c r="N316">
        <f t="shared" si="4"/>
        <v>60</v>
      </c>
    </row>
    <row r="317" spans="1:14" x14ac:dyDescent="0.3">
      <c r="A317" t="s">
        <v>3585</v>
      </c>
      <c r="B317" s="1">
        <v>45190</v>
      </c>
      <c r="C317" t="s">
        <v>558</v>
      </c>
      <c r="D317" t="s">
        <v>13</v>
      </c>
      <c r="E317">
        <v>38806</v>
      </c>
      <c r="F317" t="s">
        <v>3270</v>
      </c>
      <c r="G317">
        <v>3770779.02</v>
      </c>
      <c r="H317" t="s">
        <v>556</v>
      </c>
      <c r="J317" t="s">
        <v>3271</v>
      </c>
      <c r="K317">
        <v>97.17</v>
      </c>
      <c r="L317" s="1">
        <v>45235</v>
      </c>
      <c r="M317">
        <f>G317*IF(D317="INR",1,INDEX('rates'!$B$2:$B$522,MATCH(B317,'rates'!$A$2:$A$522,1)))</f>
        <v>3770779.02</v>
      </c>
      <c r="N317">
        <f t="shared" si="4"/>
        <v>45</v>
      </c>
    </row>
    <row r="318" spans="1:14" x14ac:dyDescent="0.3">
      <c r="A318" t="s">
        <v>3617</v>
      </c>
      <c r="B318" s="1">
        <v>45205</v>
      </c>
      <c r="C318" t="s">
        <v>558</v>
      </c>
      <c r="D318" t="s">
        <v>36</v>
      </c>
      <c r="E318">
        <v>6052</v>
      </c>
      <c r="F318" t="s">
        <v>3262</v>
      </c>
      <c r="G318">
        <v>519322.12</v>
      </c>
      <c r="H318" t="s">
        <v>556</v>
      </c>
      <c r="J318" t="s">
        <v>3263</v>
      </c>
      <c r="K318">
        <v>85.81</v>
      </c>
      <c r="L318" s="1">
        <v>45235</v>
      </c>
      <c r="M318">
        <f>G318*IF(D318="INR",1,INDEX('rates'!$B$2:$B$522,MATCH(B318,'rates'!$A$2:$A$522,1)))</f>
        <v>43233566.490000002</v>
      </c>
      <c r="N318">
        <f t="shared" si="4"/>
        <v>30</v>
      </c>
    </row>
    <row r="319" spans="1:14" x14ac:dyDescent="0.3">
      <c r="A319" t="s">
        <v>3587</v>
      </c>
      <c r="B319" s="1">
        <v>45191</v>
      </c>
      <c r="C319" t="s">
        <v>558</v>
      </c>
      <c r="D319" t="s">
        <v>36</v>
      </c>
      <c r="E319">
        <v>687</v>
      </c>
      <c r="F319" t="s">
        <v>3262</v>
      </c>
      <c r="G319">
        <v>66103.14</v>
      </c>
      <c r="H319" t="s">
        <v>556</v>
      </c>
      <c r="J319" t="s">
        <v>3263</v>
      </c>
      <c r="K319">
        <v>96.22</v>
      </c>
      <c r="L319" s="1">
        <v>45236</v>
      </c>
      <c r="M319">
        <f>G319*IF(D319="INR",1,INDEX('rates'!$B$2:$B$522,MATCH(B319,'rates'!$A$2:$A$522,1)))</f>
        <v>5483255.4630000005</v>
      </c>
      <c r="N319">
        <f t="shared" si="4"/>
        <v>45</v>
      </c>
    </row>
    <row r="320" spans="1:14" x14ac:dyDescent="0.3">
      <c r="A320" t="s">
        <v>3591</v>
      </c>
      <c r="B320" s="1">
        <v>45191</v>
      </c>
      <c r="C320" t="s">
        <v>566</v>
      </c>
      <c r="D320" t="s">
        <v>36</v>
      </c>
      <c r="E320">
        <v>755</v>
      </c>
      <c r="F320" t="s">
        <v>3262</v>
      </c>
      <c r="G320">
        <v>71543.8</v>
      </c>
      <c r="H320" t="s">
        <v>573</v>
      </c>
      <c r="I320">
        <v>73.73</v>
      </c>
      <c r="J320" t="s">
        <v>3263</v>
      </c>
      <c r="K320">
        <v>94.76</v>
      </c>
      <c r="L320" s="1">
        <v>45236</v>
      </c>
      <c r="M320">
        <f>G320*IF(D320="INR",1,INDEX('rates'!$B$2:$B$522,MATCH(B320,'rates'!$A$2:$A$522,1)))</f>
        <v>5934558.2100000009</v>
      </c>
      <c r="N320">
        <f t="shared" si="4"/>
        <v>45</v>
      </c>
    </row>
    <row r="321" spans="1:14" x14ac:dyDescent="0.3">
      <c r="A321" t="s">
        <v>3563</v>
      </c>
      <c r="B321" s="1">
        <v>45177</v>
      </c>
      <c r="C321" t="s">
        <v>554</v>
      </c>
      <c r="D321" t="s">
        <v>36</v>
      </c>
      <c r="E321">
        <v>451</v>
      </c>
      <c r="F321" t="s">
        <v>3262</v>
      </c>
      <c r="G321">
        <v>41762.6</v>
      </c>
      <c r="H321" t="s">
        <v>556</v>
      </c>
      <c r="J321" t="s">
        <v>3263</v>
      </c>
      <c r="K321">
        <v>92.6</v>
      </c>
      <c r="L321" s="1">
        <v>45237</v>
      </c>
      <c r="M321">
        <f>G321*IF(D321="INR",1,INDEX('rates'!$B$2:$B$522,MATCH(B321,'rates'!$A$2:$A$522,1)))</f>
        <v>3463372.4180000001</v>
      </c>
      <c r="N321">
        <f t="shared" si="4"/>
        <v>60</v>
      </c>
    </row>
    <row r="322" spans="1:14" x14ac:dyDescent="0.3">
      <c r="A322" t="s">
        <v>3619</v>
      </c>
      <c r="B322" s="1">
        <v>45208</v>
      </c>
      <c r="C322" t="s">
        <v>566</v>
      </c>
      <c r="D322" t="s">
        <v>36</v>
      </c>
      <c r="E322">
        <v>780</v>
      </c>
      <c r="F322" t="s">
        <v>3262</v>
      </c>
      <c r="G322">
        <v>68343.600000000006</v>
      </c>
      <c r="H322" t="s">
        <v>573</v>
      </c>
      <c r="I322">
        <v>80.11</v>
      </c>
      <c r="J322" t="s">
        <v>3263</v>
      </c>
      <c r="K322">
        <v>87.62</v>
      </c>
      <c r="L322" s="1">
        <v>45238</v>
      </c>
      <c r="M322">
        <f>G322*IF(D322="INR",1,INDEX('rates'!$B$2:$B$522,MATCH(B322,'rates'!$A$2:$A$522,1)))</f>
        <v>5689604.7000000002</v>
      </c>
      <c r="N322">
        <f t="shared" ref="N322:N385" si="5">IF(L322="","",L322-B322)</f>
        <v>30</v>
      </c>
    </row>
    <row r="323" spans="1:14" x14ac:dyDescent="0.3">
      <c r="A323" t="s">
        <v>3620</v>
      </c>
      <c r="B323" s="1">
        <v>45208</v>
      </c>
      <c r="C323" t="s">
        <v>560</v>
      </c>
      <c r="D323" t="s">
        <v>36</v>
      </c>
      <c r="E323">
        <v>2236</v>
      </c>
      <c r="F323" t="s">
        <v>3262</v>
      </c>
      <c r="G323">
        <v>200837.52</v>
      </c>
      <c r="H323" t="s">
        <v>556</v>
      </c>
      <c r="J323" t="s">
        <v>3263</v>
      </c>
      <c r="K323">
        <v>89.82</v>
      </c>
      <c r="L323" s="1">
        <v>45238</v>
      </c>
      <c r="M323">
        <f>G323*IF(D323="INR",1,INDEX('rates'!$B$2:$B$522,MATCH(B323,'rates'!$A$2:$A$522,1)))</f>
        <v>16719723.539999999</v>
      </c>
      <c r="N323">
        <f t="shared" si="5"/>
        <v>30</v>
      </c>
    </row>
    <row r="324" spans="1:14" x14ac:dyDescent="0.3">
      <c r="A324" t="s">
        <v>3622</v>
      </c>
      <c r="B324" s="1">
        <v>45208</v>
      </c>
      <c r="C324" t="s">
        <v>554</v>
      </c>
      <c r="D324" t="s">
        <v>36</v>
      </c>
      <c r="E324">
        <v>1735</v>
      </c>
      <c r="F324" t="s">
        <v>3262</v>
      </c>
      <c r="G324">
        <v>153287.25</v>
      </c>
      <c r="H324" t="s">
        <v>556</v>
      </c>
      <c r="J324" t="s">
        <v>3263</v>
      </c>
      <c r="K324">
        <v>88.35</v>
      </c>
      <c r="L324" s="1">
        <v>45238</v>
      </c>
      <c r="M324">
        <f>G324*IF(D324="INR",1,INDEX('rates'!$B$2:$B$522,MATCH(B324,'rates'!$A$2:$A$522,1)))</f>
        <v>12761163.5625</v>
      </c>
      <c r="N324">
        <f t="shared" si="5"/>
        <v>30</v>
      </c>
    </row>
    <row r="325" spans="1:14" x14ac:dyDescent="0.3">
      <c r="A325" t="s">
        <v>3594</v>
      </c>
      <c r="B325" s="1">
        <v>45194</v>
      </c>
      <c r="C325" t="s">
        <v>566</v>
      </c>
      <c r="D325" t="s">
        <v>36</v>
      </c>
      <c r="E325">
        <v>1355</v>
      </c>
      <c r="F325" t="s">
        <v>3262</v>
      </c>
      <c r="G325">
        <v>129456.7</v>
      </c>
      <c r="H325" t="s">
        <v>556</v>
      </c>
      <c r="J325" t="s">
        <v>3263</v>
      </c>
      <c r="K325">
        <v>95.54</v>
      </c>
      <c r="L325" s="1">
        <v>45239</v>
      </c>
      <c r="M325">
        <f>G325*IF(D325="INR",1,INDEX('rates'!$B$2:$B$522,MATCH(B325,'rates'!$A$2:$A$522,1)))</f>
        <v>10759146.336999999</v>
      </c>
      <c r="N325">
        <f t="shared" si="5"/>
        <v>45</v>
      </c>
    </row>
    <row r="326" spans="1:14" x14ac:dyDescent="0.3">
      <c r="A326" t="s">
        <v>3623</v>
      </c>
      <c r="B326" s="1">
        <v>45209</v>
      </c>
      <c r="C326" t="s">
        <v>554</v>
      </c>
      <c r="D326" t="s">
        <v>36</v>
      </c>
      <c r="E326">
        <v>346</v>
      </c>
      <c r="F326" t="s">
        <v>3262</v>
      </c>
      <c r="G326">
        <v>31229.96</v>
      </c>
      <c r="H326" t="s">
        <v>556</v>
      </c>
      <c r="J326" t="s">
        <v>3263</v>
      </c>
      <c r="K326">
        <v>90.26</v>
      </c>
      <c r="L326" s="1">
        <v>45239</v>
      </c>
      <c r="M326">
        <f>G326*IF(D326="INR",1,INDEX('rates'!$B$2:$B$522,MATCH(B326,'rates'!$A$2:$A$522,1)))</f>
        <v>2599894.17</v>
      </c>
      <c r="N326">
        <f t="shared" si="5"/>
        <v>30</v>
      </c>
    </row>
    <row r="327" spans="1:14" x14ac:dyDescent="0.3">
      <c r="A327" t="s">
        <v>3624</v>
      </c>
      <c r="B327" s="1">
        <v>45209</v>
      </c>
      <c r="C327" t="s">
        <v>554</v>
      </c>
      <c r="D327" t="s">
        <v>36</v>
      </c>
      <c r="E327">
        <v>698</v>
      </c>
      <c r="F327" t="s">
        <v>3262</v>
      </c>
      <c r="G327">
        <v>62540.800000000003</v>
      </c>
      <c r="H327" t="s">
        <v>556</v>
      </c>
      <c r="J327" t="s">
        <v>3263</v>
      </c>
      <c r="K327">
        <v>89.6</v>
      </c>
      <c r="L327" s="1">
        <v>45239</v>
      </c>
      <c r="M327">
        <f>G327*IF(D327="INR",1,INDEX('rates'!$B$2:$B$522,MATCH(B327,'rates'!$A$2:$A$522,1)))</f>
        <v>5206521.6000000006</v>
      </c>
      <c r="N327">
        <f t="shared" si="5"/>
        <v>30</v>
      </c>
    </row>
    <row r="328" spans="1:14" x14ac:dyDescent="0.3">
      <c r="A328" t="s">
        <v>3564</v>
      </c>
      <c r="B328" s="1">
        <v>45180</v>
      </c>
      <c r="C328" t="s">
        <v>575</v>
      </c>
      <c r="D328" t="s">
        <v>36</v>
      </c>
      <c r="E328">
        <v>1394</v>
      </c>
      <c r="F328" t="s">
        <v>3262</v>
      </c>
      <c r="G328">
        <v>129000.76</v>
      </c>
      <c r="H328" t="s">
        <v>573</v>
      </c>
      <c r="J328" t="s">
        <v>3263</v>
      </c>
      <c r="K328">
        <v>92.54</v>
      </c>
      <c r="L328" s="1">
        <v>45240</v>
      </c>
      <c r="M328">
        <f>G328*IF(D328="INR",1,INDEX('rates'!$B$2:$B$522,MATCH(B328,'rates'!$A$2:$A$522,1)))</f>
        <v>10710933.1028</v>
      </c>
      <c r="N328">
        <f t="shared" si="5"/>
        <v>60</v>
      </c>
    </row>
    <row r="329" spans="1:14" x14ac:dyDescent="0.3">
      <c r="A329" t="s">
        <v>3565</v>
      </c>
      <c r="B329" s="1">
        <v>45180</v>
      </c>
      <c r="C329" t="s">
        <v>558</v>
      </c>
      <c r="D329" t="s">
        <v>13</v>
      </c>
      <c r="E329">
        <v>77219</v>
      </c>
      <c r="F329" t="s">
        <v>3270</v>
      </c>
      <c r="G329">
        <v>5644708.9000000004</v>
      </c>
      <c r="H329" t="s">
        <v>556</v>
      </c>
      <c r="J329" t="s">
        <v>3271</v>
      </c>
      <c r="K329">
        <v>73.099999999999994</v>
      </c>
      <c r="L329" s="1">
        <v>45240</v>
      </c>
      <c r="M329">
        <f>G329*IF(D329="INR",1,INDEX('rates'!$B$2:$B$522,MATCH(B329,'rates'!$A$2:$A$522,1)))</f>
        <v>5644708.9000000004</v>
      </c>
      <c r="N329">
        <f t="shared" si="5"/>
        <v>60</v>
      </c>
    </row>
    <row r="330" spans="1:14" x14ac:dyDescent="0.3">
      <c r="A330" t="s">
        <v>3596</v>
      </c>
      <c r="B330" s="1">
        <v>45195</v>
      </c>
      <c r="C330" t="s">
        <v>575</v>
      </c>
      <c r="D330" t="s">
        <v>36</v>
      </c>
      <c r="E330">
        <v>257</v>
      </c>
      <c r="F330" t="s">
        <v>3262</v>
      </c>
      <c r="G330">
        <v>24908.44</v>
      </c>
      <c r="H330" t="s">
        <v>556</v>
      </c>
      <c r="J330" t="s">
        <v>3263</v>
      </c>
      <c r="K330">
        <v>96.92</v>
      </c>
      <c r="L330" s="1">
        <v>45240</v>
      </c>
      <c r="M330">
        <f>G330*IF(D330="INR",1,INDEX('rates'!$B$2:$B$522,MATCH(B330,'rates'!$A$2:$A$522,1)))</f>
        <v>2073378.5455999998</v>
      </c>
      <c r="N330">
        <f t="shared" si="5"/>
        <v>45</v>
      </c>
    </row>
    <row r="331" spans="1:14" x14ac:dyDescent="0.3">
      <c r="A331" t="s">
        <v>3599</v>
      </c>
      <c r="B331" s="1">
        <v>45196</v>
      </c>
      <c r="C331" t="s">
        <v>566</v>
      </c>
      <c r="D331" t="s">
        <v>36</v>
      </c>
      <c r="E331">
        <v>1702</v>
      </c>
      <c r="F331" t="s">
        <v>3262</v>
      </c>
      <c r="G331">
        <v>165945</v>
      </c>
      <c r="H331" t="s">
        <v>573</v>
      </c>
      <c r="I331">
        <v>74.739999999999995</v>
      </c>
      <c r="J331" t="s">
        <v>3263</v>
      </c>
      <c r="K331">
        <v>97.5</v>
      </c>
      <c r="L331" s="1">
        <v>45241</v>
      </c>
      <c r="M331">
        <f>G331*IF(D331="INR",1,INDEX('rates'!$B$2:$B$522,MATCH(B331,'rates'!$A$2:$A$522,1)))</f>
        <v>13803305.100000001</v>
      </c>
      <c r="N331">
        <f t="shared" si="5"/>
        <v>45</v>
      </c>
    </row>
    <row r="332" spans="1:14" x14ac:dyDescent="0.3">
      <c r="A332" t="s">
        <v>3568</v>
      </c>
      <c r="B332" s="1">
        <v>45182</v>
      </c>
      <c r="C332" t="s">
        <v>566</v>
      </c>
      <c r="D332" t="s">
        <v>36</v>
      </c>
      <c r="E332">
        <v>431</v>
      </c>
      <c r="F332" t="s">
        <v>3262</v>
      </c>
      <c r="G332">
        <v>40664.85</v>
      </c>
      <c r="H332" t="s">
        <v>573</v>
      </c>
      <c r="I332">
        <v>75.55</v>
      </c>
      <c r="J332" t="s">
        <v>3263</v>
      </c>
      <c r="K332">
        <v>94.35</v>
      </c>
      <c r="L332" s="1">
        <v>45242</v>
      </c>
      <c r="M332">
        <f>G332*IF(D332="INR",1,INDEX('rates'!$B$2:$B$522,MATCH(B332,'rates'!$A$2:$A$522,1)))</f>
        <v>3372336.0105000003</v>
      </c>
      <c r="N332">
        <f t="shared" si="5"/>
        <v>60</v>
      </c>
    </row>
    <row r="333" spans="1:14" x14ac:dyDescent="0.3">
      <c r="A333" t="s">
        <v>3601</v>
      </c>
      <c r="B333" s="1">
        <v>45197</v>
      </c>
      <c r="C333" t="s">
        <v>554</v>
      </c>
      <c r="D333" t="s">
        <v>36</v>
      </c>
      <c r="E333">
        <v>838</v>
      </c>
      <c r="F333" t="s">
        <v>3262</v>
      </c>
      <c r="G333">
        <v>83146.36</v>
      </c>
      <c r="H333" t="s">
        <v>556</v>
      </c>
      <c r="J333" t="s">
        <v>3263</v>
      </c>
      <c r="K333">
        <v>99.22</v>
      </c>
      <c r="L333" s="1">
        <v>45242</v>
      </c>
      <c r="M333">
        <f>G333*IF(D333="INR",1,INDEX('rates'!$B$2:$B$522,MATCH(B333,'rates'!$A$2:$A$522,1)))</f>
        <v>6911956.9068</v>
      </c>
      <c r="N333">
        <f t="shared" si="5"/>
        <v>45</v>
      </c>
    </row>
    <row r="334" spans="1:14" x14ac:dyDescent="0.3">
      <c r="A334" t="s">
        <v>3630</v>
      </c>
      <c r="B334" s="1">
        <v>45212</v>
      </c>
      <c r="C334" t="s">
        <v>560</v>
      </c>
      <c r="D334" t="s">
        <v>36</v>
      </c>
      <c r="E334">
        <v>1207</v>
      </c>
      <c r="F334" t="s">
        <v>3262</v>
      </c>
      <c r="G334">
        <v>114037.36</v>
      </c>
      <c r="H334" t="s">
        <v>573</v>
      </c>
      <c r="I334">
        <v>80.72</v>
      </c>
      <c r="J334" t="s">
        <v>3263</v>
      </c>
      <c r="K334">
        <v>94.48</v>
      </c>
      <c r="L334" s="1">
        <v>45242</v>
      </c>
      <c r="M334">
        <f>G334*IF(D334="INR",1,INDEX('rates'!$B$2:$B$522,MATCH(B334,'rates'!$A$2:$A$522,1)))</f>
        <v>9494750.5936000012</v>
      </c>
      <c r="N334">
        <f t="shared" si="5"/>
        <v>30</v>
      </c>
    </row>
    <row r="335" spans="1:14" x14ac:dyDescent="0.3">
      <c r="A335" t="s">
        <v>3631</v>
      </c>
      <c r="B335" s="1">
        <v>45212</v>
      </c>
      <c r="C335" t="s">
        <v>560</v>
      </c>
      <c r="D335" t="s">
        <v>13</v>
      </c>
      <c r="E335">
        <v>22674</v>
      </c>
      <c r="F335" t="s">
        <v>3270</v>
      </c>
      <c r="G335">
        <v>1929103.92</v>
      </c>
      <c r="H335" t="s">
        <v>556</v>
      </c>
      <c r="J335" t="s">
        <v>3271</v>
      </c>
      <c r="K335">
        <v>85.08</v>
      </c>
      <c r="L335" s="1">
        <v>45242</v>
      </c>
      <c r="M335">
        <f>G335*IF(D335="INR",1,INDEX('rates'!$B$2:$B$522,MATCH(B335,'rates'!$A$2:$A$522,1)))</f>
        <v>1929103.92</v>
      </c>
      <c r="N335">
        <f t="shared" si="5"/>
        <v>30</v>
      </c>
    </row>
    <row r="336" spans="1:14" x14ac:dyDescent="0.3">
      <c r="A336" t="s">
        <v>3569</v>
      </c>
      <c r="B336" s="1">
        <v>45183</v>
      </c>
      <c r="C336" t="s">
        <v>560</v>
      </c>
      <c r="D336" t="s">
        <v>36</v>
      </c>
      <c r="E336">
        <v>421</v>
      </c>
      <c r="F336" t="s">
        <v>3262</v>
      </c>
      <c r="G336">
        <v>40096.04</v>
      </c>
      <c r="H336" t="s">
        <v>556</v>
      </c>
      <c r="J336" t="s">
        <v>3263</v>
      </c>
      <c r="K336">
        <v>95.24</v>
      </c>
      <c r="L336" s="1">
        <v>45243</v>
      </c>
      <c r="M336">
        <f>G336*IF(D336="INR",1,INDEX('rates'!$B$2:$B$522,MATCH(B336,'rates'!$A$2:$A$522,1)))</f>
        <v>3328773.2407999998</v>
      </c>
      <c r="N336">
        <f t="shared" si="5"/>
        <v>60</v>
      </c>
    </row>
    <row r="337" spans="1:14" x14ac:dyDescent="0.3">
      <c r="A337" t="s">
        <v>3602</v>
      </c>
      <c r="B337" s="1">
        <v>45198</v>
      </c>
      <c r="C337" t="s">
        <v>566</v>
      </c>
      <c r="D337" t="s">
        <v>36</v>
      </c>
      <c r="E337">
        <v>356</v>
      </c>
      <c r="F337" t="s">
        <v>3262</v>
      </c>
      <c r="G337">
        <v>34806.120000000003</v>
      </c>
      <c r="H337" t="s">
        <v>556</v>
      </c>
      <c r="J337" t="s">
        <v>3263</v>
      </c>
      <c r="K337">
        <v>97.77</v>
      </c>
      <c r="L337" s="1">
        <v>45243</v>
      </c>
      <c r="M337">
        <f>G337*IF(D337="INR",1,INDEX('rates'!$B$2:$B$522,MATCH(B337,'rates'!$A$2:$A$522,1)))</f>
        <v>2891692.4495999999</v>
      </c>
      <c r="N337">
        <f t="shared" si="5"/>
        <v>45</v>
      </c>
    </row>
    <row r="338" spans="1:14" x14ac:dyDescent="0.3">
      <c r="A338" t="s">
        <v>3605</v>
      </c>
      <c r="B338" s="1">
        <v>45198</v>
      </c>
      <c r="C338" t="s">
        <v>560</v>
      </c>
      <c r="D338" t="s">
        <v>36</v>
      </c>
      <c r="E338">
        <v>292</v>
      </c>
      <c r="F338" t="s">
        <v>3262</v>
      </c>
      <c r="G338">
        <v>27710.799999999999</v>
      </c>
      <c r="H338" t="s">
        <v>556</v>
      </c>
      <c r="J338" t="s">
        <v>3263</v>
      </c>
      <c r="K338">
        <v>94.9</v>
      </c>
      <c r="L338" s="1">
        <v>45243</v>
      </c>
      <c r="M338">
        <f>G338*IF(D338="INR",1,INDEX('rates'!$B$2:$B$522,MATCH(B338,'rates'!$A$2:$A$522,1)))</f>
        <v>2302213.264</v>
      </c>
      <c r="N338">
        <f t="shared" si="5"/>
        <v>45</v>
      </c>
    </row>
    <row r="339" spans="1:14" x14ac:dyDescent="0.3">
      <c r="A339" t="s">
        <v>3571</v>
      </c>
      <c r="B339" s="1">
        <v>45184</v>
      </c>
      <c r="C339" t="s">
        <v>554</v>
      </c>
      <c r="D339" t="s">
        <v>36</v>
      </c>
      <c r="E339">
        <v>825</v>
      </c>
      <c r="F339" t="s">
        <v>3262</v>
      </c>
      <c r="G339">
        <v>79043.25</v>
      </c>
      <c r="H339" t="s">
        <v>556</v>
      </c>
      <c r="J339" t="s">
        <v>3263</v>
      </c>
      <c r="K339">
        <v>95.81</v>
      </c>
      <c r="L339" s="1">
        <v>45244</v>
      </c>
      <c r="M339">
        <f>G339*IF(D339="INR",1,INDEX('rates'!$B$2:$B$522,MATCH(B339,'rates'!$A$2:$A$522,1)))</f>
        <v>6572446.2375000007</v>
      </c>
      <c r="N339">
        <f t="shared" si="5"/>
        <v>60</v>
      </c>
    </row>
    <row r="340" spans="1:14" x14ac:dyDescent="0.3">
      <c r="A340" t="s">
        <v>3607</v>
      </c>
      <c r="B340" s="1">
        <v>45201</v>
      </c>
      <c r="C340" t="s">
        <v>558</v>
      </c>
      <c r="D340" t="s">
        <v>36</v>
      </c>
      <c r="E340">
        <v>1694</v>
      </c>
      <c r="F340" t="s">
        <v>3262</v>
      </c>
      <c r="G340">
        <v>155543.07999999999</v>
      </c>
      <c r="H340" t="s">
        <v>556</v>
      </c>
      <c r="J340" t="s">
        <v>3263</v>
      </c>
      <c r="K340">
        <v>91.82</v>
      </c>
      <c r="L340" s="1">
        <v>45246</v>
      </c>
      <c r="M340">
        <f>G340*IF(D340="INR",1,INDEX('rates'!$B$2:$B$522,MATCH(B340,'rates'!$A$2:$A$522,1)))</f>
        <v>12916297.3632</v>
      </c>
      <c r="N340">
        <f t="shared" si="5"/>
        <v>45</v>
      </c>
    </row>
    <row r="341" spans="1:14" x14ac:dyDescent="0.3">
      <c r="A341" t="s">
        <v>3608</v>
      </c>
      <c r="B341" s="1">
        <v>45201</v>
      </c>
      <c r="C341" t="s">
        <v>566</v>
      </c>
      <c r="D341" t="s">
        <v>36</v>
      </c>
      <c r="E341">
        <v>692</v>
      </c>
      <c r="F341" t="s">
        <v>3262</v>
      </c>
      <c r="G341">
        <v>64272.959999999999</v>
      </c>
      <c r="H341" t="s">
        <v>556</v>
      </c>
      <c r="J341" t="s">
        <v>3263</v>
      </c>
      <c r="K341">
        <v>92.88</v>
      </c>
      <c r="L341" s="1">
        <v>45246</v>
      </c>
      <c r="M341">
        <f>G341*IF(D341="INR",1,INDEX('rates'!$B$2:$B$522,MATCH(B341,'rates'!$A$2:$A$522,1)))</f>
        <v>5337226.5984000005</v>
      </c>
      <c r="N341">
        <f t="shared" si="5"/>
        <v>45</v>
      </c>
    </row>
    <row r="342" spans="1:14" x14ac:dyDescent="0.3">
      <c r="A342" t="s">
        <v>3609</v>
      </c>
      <c r="B342" s="1">
        <v>45201</v>
      </c>
      <c r="C342" t="s">
        <v>558</v>
      </c>
      <c r="D342" t="s">
        <v>36</v>
      </c>
      <c r="E342">
        <v>512</v>
      </c>
      <c r="F342" t="s">
        <v>3262</v>
      </c>
      <c r="G342">
        <v>49397.760000000002</v>
      </c>
      <c r="H342" t="s">
        <v>556</v>
      </c>
      <c r="J342" t="s">
        <v>3263</v>
      </c>
      <c r="K342">
        <v>96.48</v>
      </c>
      <c r="L342" s="1">
        <v>45246</v>
      </c>
      <c r="M342">
        <f>G342*IF(D342="INR",1,INDEX('rates'!$B$2:$B$522,MATCH(B342,'rates'!$A$2:$A$522,1)))</f>
        <v>4101989.9904000005</v>
      </c>
      <c r="N342">
        <f t="shared" si="5"/>
        <v>45</v>
      </c>
    </row>
    <row r="343" spans="1:14" x14ac:dyDescent="0.3">
      <c r="A343" t="s">
        <v>3638</v>
      </c>
      <c r="B343" s="1">
        <v>45216</v>
      </c>
      <c r="C343" t="s">
        <v>558</v>
      </c>
      <c r="D343" t="s">
        <v>36</v>
      </c>
      <c r="E343">
        <v>718</v>
      </c>
      <c r="F343" t="s">
        <v>3262</v>
      </c>
      <c r="G343">
        <v>64864.12</v>
      </c>
      <c r="H343" t="s">
        <v>556</v>
      </c>
      <c r="J343" t="s">
        <v>3263</v>
      </c>
      <c r="K343">
        <v>90.34</v>
      </c>
      <c r="L343" s="1">
        <v>45246</v>
      </c>
      <c r="M343">
        <f>G343*IF(D343="INR",1,INDEX('rates'!$B$2:$B$522,MATCH(B343,'rates'!$A$2:$A$522,1)))</f>
        <v>5397992.0663999999</v>
      </c>
      <c r="N343">
        <f t="shared" si="5"/>
        <v>30</v>
      </c>
    </row>
    <row r="344" spans="1:14" x14ac:dyDescent="0.3">
      <c r="A344" t="s">
        <v>3577</v>
      </c>
      <c r="B344" s="1">
        <v>45187</v>
      </c>
      <c r="C344" t="s">
        <v>554</v>
      </c>
      <c r="D344" t="s">
        <v>36</v>
      </c>
      <c r="E344">
        <v>208</v>
      </c>
      <c r="F344" t="s">
        <v>3262</v>
      </c>
      <c r="G344">
        <v>20217.599999999999</v>
      </c>
      <c r="H344" t="s">
        <v>573</v>
      </c>
      <c r="I344">
        <v>75.91</v>
      </c>
      <c r="J344" t="s">
        <v>3263</v>
      </c>
      <c r="K344">
        <v>97.2</v>
      </c>
      <c r="L344" s="1">
        <v>45247</v>
      </c>
      <c r="M344">
        <f>G344*IF(D344="INR",1,INDEX('rates'!$B$2:$B$522,MATCH(B344,'rates'!$A$2:$A$522,1)))</f>
        <v>1683519.5519999999</v>
      </c>
      <c r="N344">
        <f t="shared" si="5"/>
        <v>60</v>
      </c>
    </row>
    <row r="345" spans="1:14" x14ac:dyDescent="0.3">
      <c r="A345" t="s">
        <v>3578</v>
      </c>
      <c r="B345" s="1">
        <v>45187</v>
      </c>
      <c r="C345" t="s">
        <v>566</v>
      </c>
      <c r="D345" t="s">
        <v>36</v>
      </c>
      <c r="E345">
        <v>1373</v>
      </c>
      <c r="F345" t="s">
        <v>3262</v>
      </c>
      <c r="G345">
        <v>130929.28</v>
      </c>
      <c r="H345" t="s">
        <v>573</v>
      </c>
      <c r="I345">
        <v>75.91</v>
      </c>
      <c r="J345" t="s">
        <v>3263</v>
      </c>
      <c r="K345">
        <v>95.36</v>
      </c>
      <c r="L345" s="1">
        <v>45247</v>
      </c>
      <c r="M345">
        <f>G345*IF(D345="INR",1,INDEX('rates'!$B$2:$B$522,MATCH(B345,'rates'!$A$2:$A$522,1)))</f>
        <v>10902481.145599999</v>
      </c>
      <c r="N345">
        <f t="shared" si="5"/>
        <v>60</v>
      </c>
    </row>
    <row r="346" spans="1:14" x14ac:dyDescent="0.3">
      <c r="A346" t="s">
        <v>3639</v>
      </c>
      <c r="B346" s="1">
        <v>45217</v>
      </c>
      <c r="C346" t="s">
        <v>554</v>
      </c>
      <c r="D346" t="s">
        <v>36</v>
      </c>
      <c r="E346">
        <v>1464</v>
      </c>
      <c r="F346" t="s">
        <v>3262</v>
      </c>
      <c r="G346">
        <v>137777.04</v>
      </c>
      <c r="H346" t="s">
        <v>556</v>
      </c>
      <c r="J346" t="s">
        <v>3263</v>
      </c>
      <c r="K346">
        <v>94.11</v>
      </c>
      <c r="L346" s="1">
        <v>45247</v>
      </c>
      <c r="M346">
        <f>G346*IF(D346="INR",1,INDEX('rates'!$B$2:$B$522,MATCH(B346,'rates'!$A$2:$A$522,1)))</f>
        <v>11469938.58</v>
      </c>
      <c r="N346">
        <f t="shared" si="5"/>
        <v>30</v>
      </c>
    </row>
    <row r="347" spans="1:14" x14ac:dyDescent="0.3">
      <c r="A347" t="s">
        <v>3640</v>
      </c>
      <c r="B347" s="1">
        <v>45217</v>
      </c>
      <c r="C347" t="s">
        <v>554</v>
      </c>
      <c r="D347" t="s">
        <v>36</v>
      </c>
      <c r="E347">
        <v>1097</v>
      </c>
      <c r="F347" t="s">
        <v>3262</v>
      </c>
      <c r="G347">
        <v>101033.7</v>
      </c>
      <c r="H347" t="s">
        <v>573</v>
      </c>
      <c r="I347">
        <v>80.95</v>
      </c>
      <c r="J347" t="s">
        <v>3263</v>
      </c>
      <c r="K347">
        <v>92.1</v>
      </c>
      <c r="L347" s="1">
        <v>45247</v>
      </c>
      <c r="M347">
        <f>G347*IF(D347="INR",1,INDEX('rates'!$B$2:$B$522,MATCH(B347,'rates'!$A$2:$A$522,1)))</f>
        <v>8411055.5250000004</v>
      </c>
      <c r="N347">
        <f t="shared" si="5"/>
        <v>30</v>
      </c>
    </row>
    <row r="348" spans="1:14" x14ac:dyDescent="0.3">
      <c r="A348" t="s">
        <v>3580</v>
      </c>
      <c r="B348" s="1">
        <v>45189</v>
      </c>
      <c r="C348" t="s">
        <v>560</v>
      </c>
      <c r="D348" t="s">
        <v>36</v>
      </c>
      <c r="E348">
        <v>924</v>
      </c>
      <c r="F348" t="s">
        <v>3262</v>
      </c>
      <c r="G348">
        <v>86098.32</v>
      </c>
      <c r="H348" t="s">
        <v>573</v>
      </c>
      <c r="I348">
        <v>74.069999999999993</v>
      </c>
      <c r="J348" t="s">
        <v>3263</v>
      </c>
      <c r="K348">
        <v>93.18</v>
      </c>
      <c r="L348" s="1">
        <v>45249</v>
      </c>
      <c r="M348">
        <f>G348*IF(D348="INR",1,INDEX('rates'!$B$2:$B$522,MATCH(B348,'rates'!$A$2:$A$522,1)))</f>
        <v>7152187.4424000001</v>
      </c>
      <c r="N348">
        <f t="shared" si="5"/>
        <v>60</v>
      </c>
    </row>
    <row r="349" spans="1:14" x14ac:dyDescent="0.3">
      <c r="A349" t="s">
        <v>3581</v>
      </c>
      <c r="B349" s="1">
        <v>45189</v>
      </c>
      <c r="C349" t="s">
        <v>554</v>
      </c>
      <c r="D349" t="s">
        <v>13</v>
      </c>
      <c r="E349">
        <v>170154</v>
      </c>
      <c r="F349" t="s">
        <v>3270</v>
      </c>
      <c r="G349">
        <v>13901581.800000001</v>
      </c>
      <c r="H349" t="s">
        <v>556</v>
      </c>
      <c r="J349" t="s">
        <v>3271</v>
      </c>
      <c r="K349">
        <v>81.7</v>
      </c>
      <c r="L349" s="1">
        <v>45249</v>
      </c>
      <c r="M349">
        <f>G349*IF(D349="INR",1,INDEX('rates'!$B$2:$B$522,MATCH(B349,'rates'!$A$2:$A$522,1)))</f>
        <v>13901581.800000001</v>
      </c>
      <c r="N349">
        <f t="shared" si="5"/>
        <v>60</v>
      </c>
    </row>
    <row r="350" spans="1:14" x14ac:dyDescent="0.3">
      <c r="A350" t="s">
        <v>3642</v>
      </c>
      <c r="B350" s="1">
        <v>45219</v>
      </c>
      <c r="C350" t="s">
        <v>558</v>
      </c>
      <c r="D350" t="s">
        <v>36</v>
      </c>
      <c r="E350">
        <v>857</v>
      </c>
      <c r="F350" t="s">
        <v>3262</v>
      </c>
      <c r="G350">
        <v>82083.460000000006</v>
      </c>
      <c r="H350" t="s">
        <v>556</v>
      </c>
      <c r="J350" t="s">
        <v>3263</v>
      </c>
      <c r="K350">
        <v>95.78</v>
      </c>
      <c r="L350" s="1">
        <v>45249</v>
      </c>
      <c r="M350">
        <f>G350*IF(D350="INR",1,INDEX('rates'!$B$2:$B$522,MATCH(B350,'rates'!$A$2:$A$522,1)))</f>
        <v>6824418.8644000003</v>
      </c>
      <c r="N350">
        <f t="shared" si="5"/>
        <v>30</v>
      </c>
    </row>
    <row r="351" spans="1:14" x14ac:dyDescent="0.3">
      <c r="A351" t="s">
        <v>3643</v>
      </c>
      <c r="B351" s="1">
        <v>45219</v>
      </c>
      <c r="C351" t="s">
        <v>560</v>
      </c>
      <c r="D351" t="s">
        <v>36</v>
      </c>
      <c r="E351">
        <v>1215</v>
      </c>
      <c r="F351" t="s">
        <v>3262</v>
      </c>
      <c r="G351">
        <v>111573.45</v>
      </c>
      <c r="H351" t="s">
        <v>573</v>
      </c>
      <c r="I351">
        <v>82.45</v>
      </c>
      <c r="J351" t="s">
        <v>3263</v>
      </c>
      <c r="K351">
        <v>91.83</v>
      </c>
      <c r="L351" s="1">
        <v>45249</v>
      </c>
      <c r="M351">
        <f>G351*IF(D351="INR",1,INDEX('rates'!$B$2:$B$522,MATCH(B351,'rates'!$A$2:$A$522,1)))</f>
        <v>9276216.6329999994</v>
      </c>
      <c r="N351">
        <f t="shared" si="5"/>
        <v>30</v>
      </c>
    </row>
    <row r="352" spans="1:14" x14ac:dyDescent="0.3">
      <c r="A352" t="s">
        <v>3646</v>
      </c>
      <c r="B352" s="1">
        <v>45219</v>
      </c>
      <c r="C352" t="s">
        <v>566</v>
      </c>
      <c r="D352" t="s">
        <v>36</v>
      </c>
      <c r="E352">
        <v>1680</v>
      </c>
      <c r="F352" t="s">
        <v>3262</v>
      </c>
      <c r="G352">
        <v>159398.39999999999</v>
      </c>
      <c r="H352" t="s">
        <v>556</v>
      </c>
      <c r="J352" t="s">
        <v>3263</v>
      </c>
      <c r="K352">
        <v>94.88</v>
      </c>
      <c r="L352" s="1">
        <v>45249</v>
      </c>
      <c r="M352">
        <f>G352*IF(D352="INR",1,INDEX('rates'!$B$2:$B$522,MATCH(B352,'rates'!$A$2:$A$522,1)))</f>
        <v>13252382.976</v>
      </c>
      <c r="N352">
        <f t="shared" si="5"/>
        <v>30</v>
      </c>
    </row>
    <row r="353" spans="1:14" x14ac:dyDescent="0.3">
      <c r="A353" t="s">
        <v>3583</v>
      </c>
      <c r="B353" s="1">
        <v>45190</v>
      </c>
      <c r="C353" t="s">
        <v>554</v>
      </c>
      <c r="D353" t="s">
        <v>13</v>
      </c>
      <c r="E353">
        <v>166944</v>
      </c>
      <c r="F353" t="s">
        <v>3270</v>
      </c>
      <c r="G353">
        <v>17711088.960000001</v>
      </c>
      <c r="H353" t="s">
        <v>556</v>
      </c>
      <c r="J353" t="s">
        <v>3271</v>
      </c>
      <c r="K353">
        <v>106.09</v>
      </c>
      <c r="L353" s="1">
        <v>45250</v>
      </c>
      <c r="M353">
        <f>G353*IF(D353="INR",1,INDEX('rates'!$B$2:$B$522,MATCH(B353,'rates'!$A$2:$A$522,1)))</f>
        <v>17711088.960000001</v>
      </c>
      <c r="N353">
        <f t="shared" si="5"/>
        <v>60</v>
      </c>
    </row>
    <row r="354" spans="1:14" x14ac:dyDescent="0.3">
      <c r="A354" t="s">
        <v>3615</v>
      </c>
      <c r="B354" s="1">
        <v>45205</v>
      </c>
      <c r="C354" t="s">
        <v>566</v>
      </c>
      <c r="D354" t="s">
        <v>36</v>
      </c>
      <c r="E354">
        <v>574</v>
      </c>
      <c r="F354" t="s">
        <v>3262</v>
      </c>
      <c r="G354">
        <v>50839.18</v>
      </c>
      <c r="H354" t="s">
        <v>556</v>
      </c>
      <c r="J354" t="s">
        <v>3263</v>
      </c>
      <c r="K354">
        <v>88.57</v>
      </c>
      <c r="L354" s="1">
        <v>45250</v>
      </c>
      <c r="M354">
        <f>G354*IF(D354="INR",1,INDEX('rates'!$B$2:$B$522,MATCH(B354,'rates'!$A$2:$A$522,1)))</f>
        <v>4232361.7350000003</v>
      </c>
      <c r="N354">
        <f t="shared" si="5"/>
        <v>45</v>
      </c>
    </row>
    <row r="355" spans="1:14" x14ac:dyDescent="0.3">
      <c r="A355" t="s">
        <v>3586</v>
      </c>
      <c r="B355" s="1">
        <v>45191</v>
      </c>
      <c r="C355" t="s">
        <v>558</v>
      </c>
      <c r="D355" t="s">
        <v>36</v>
      </c>
      <c r="E355">
        <v>882</v>
      </c>
      <c r="F355" t="s">
        <v>3262</v>
      </c>
      <c r="G355">
        <v>84328.02</v>
      </c>
      <c r="H355" t="s">
        <v>556</v>
      </c>
      <c r="J355" t="s">
        <v>3263</v>
      </c>
      <c r="K355">
        <v>95.61</v>
      </c>
      <c r="L355" s="1">
        <v>45251</v>
      </c>
      <c r="M355">
        <f>G355*IF(D355="INR",1,INDEX('rates'!$B$2:$B$522,MATCH(B355,'rates'!$A$2:$A$522,1)))</f>
        <v>6995009.2590000005</v>
      </c>
      <c r="N355">
        <f t="shared" si="5"/>
        <v>60</v>
      </c>
    </row>
    <row r="356" spans="1:14" x14ac:dyDescent="0.3">
      <c r="A356" t="s">
        <v>3588</v>
      </c>
      <c r="B356" s="1">
        <v>45191</v>
      </c>
      <c r="C356" t="s">
        <v>560</v>
      </c>
      <c r="D356" t="s">
        <v>36</v>
      </c>
      <c r="E356">
        <v>732</v>
      </c>
      <c r="F356" t="s">
        <v>3262</v>
      </c>
      <c r="G356">
        <v>69583.92</v>
      </c>
      <c r="H356" t="s">
        <v>573</v>
      </c>
      <c r="I356">
        <v>73.73</v>
      </c>
      <c r="J356" t="s">
        <v>3263</v>
      </c>
      <c r="K356">
        <v>95.06</v>
      </c>
      <c r="L356" s="1">
        <v>45251</v>
      </c>
      <c r="M356">
        <f>G356*IF(D356="INR",1,INDEX('rates'!$B$2:$B$522,MATCH(B356,'rates'!$A$2:$A$522,1)))</f>
        <v>5771986.1639999999</v>
      </c>
      <c r="N356">
        <f t="shared" si="5"/>
        <v>60</v>
      </c>
    </row>
    <row r="357" spans="1:14" x14ac:dyDescent="0.3">
      <c r="A357" t="s">
        <v>3589</v>
      </c>
      <c r="B357" s="1">
        <v>45191</v>
      </c>
      <c r="C357" t="s">
        <v>575</v>
      </c>
      <c r="D357" t="s">
        <v>36</v>
      </c>
      <c r="E357">
        <v>916</v>
      </c>
      <c r="F357" t="s">
        <v>3262</v>
      </c>
      <c r="G357">
        <v>87835.24</v>
      </c>
      <c r="H357" t="s">
        <v>573</v>
      </c>
      <c r="I357">
        <v>73.73</v>
      </c>
      <c r="J357" t="s">
        <v>3263</v>
      </c>
      <c r="K357">
        <v>95.89</v>
      </c>
      <c r="L357" s="1">
        <v>45251</v>
      </c>
      <c r="M357">
        <f>G357*IF(D357="INR",1,INDEX('rates'!$B$2:$B$522,MATCH(B357,'rates'!$A$2:$A$522,1)))</f>
        <v>7285933.1580000008</v>
      </c>
      <c r="N357">
        <f t="shared" si="5"/>
        <v>60</v>
      </c>
    </row>
    <row r="358" spans="1:14" x14ac:dyDescent="0.3">
      <c r="A358" t="s">
        <v>3647</v>
      </c>
      <c r="B358" s="1">
        <v>45222</v>
      </c>
      <c r="C358" t="s">
        <v>560</v>
      </c>
      <c r="D358" t="s">
        <v>36</v>
      </c>
      <c r="E358">
        <v>518</v>
      </c>
      <c r="F358" t="s">
        <v>3262</v>
      </c>
      <c r="G358">
        <v>47220.88</v>
      </c>
      <c r="H358" t="s">
        <v>556</v>
      </c>
      <c r="J358" t="s">
        <v>3263</v>
      </c>
      <c r="K358">
        <v>91.16</v>
      </c>
      <c r="L358" s="1">
        <v>45252</v>
      </c>
      <c r="M358">
        <f>G358*IF(D358="INR",1,INDEX('rates'!$B$2:$B$522,MATCH(B358,'rates'!$A$2:$A$522,1)))</f>
        <v>3928305.0071999999</v>
      </c>
      <c r="N358">
        <f t="shared" si="5"/>
        <v>30</v>
      </c>
    </row>
    <row r="359" spans="1:14" x14ac:dyDescent="0.3">
      <c r="A359" t="s">
        <v>3621</v>
      </c>
      <c r="B359" s="1">
        <v>45208</v>
      </c>
      <c r="C359" t="s">
        <v>566</v>
      </c>
      <c r="D359" t="s">
        <v>36</v>
      </c>
      <c r="E359">
        <v>1468</v>
      </c>
      <c r="F359" t="s">
        <v>3262</v>
      </c>
      <c r="G359">
        <v>129815.24</v>
      </c>
      <c r="H359" t="s">
        <v>573</v>
      </c>
      <c r="I359">
        <v>80.11</v>
      </c>
      <c r="J359" t="s">
        <v>3263</v>
      </c>
      <c r="K359">
        <v>88.43</v>
      </c>
      <c r="L359" s="1">
        <v>45253</v>
      </c>
      <c r="M359">
        <f>G359*IF(D359="INR",1,INDEX('rates'!$B$2:$B$522,MATCH(B359,'rates'!$A$2:$A$522,1)))</f>
        <v>10807118.73</v>
      </c>
      <c r="N359">
        <f t="shared" si="5"/>
        <v>45</v>
      </c>
    </row>
    <row r="360" spans="1:14" x14ac:dyDescent="0.3">
      <c r="A360" t="s">
        <v>3648</v>
      </c>
      <c r="B360" s="1">
        <v>45223</v>
      </c>
      <c r="C360" t="s">
        <v>558</v>
      </c>
      <c r="D360" t="s">
        <v>36</v>
      </c>
      <c r="E360">
        <v>1140</v>
      </c>
      <c r="F360" t="s">
        <v>3262</v>
      </c>
      <c r="G360">
        <v>102406.2</v>
      </c>
      <c r="H360" t="s">
        <v>556</v>
      </c>
      <c r="J360" t="s">
        <v>3263</v>
      </c>
      <c r="K360">
        <v>89.83</v>
      </c>
      <c r="L360" s="1">
        <v>45253</v>
      </c>
      <c r="M360">
        <f>G360*IF(D360="INR",1,INDEX('rates'!$B$2:$B$522,MATCH(B360,'rates'!$A$2:$A$522,1)))</f>
        <v>8519171.777999999</v>
      </c>
      <c r="N360">
        <f t="shared" si="5"/>
        <v>30</v>
      </c>
    </row>
    <row r="361" spans="1:14" x14ac:dyDescent="0.3">
      <c r="A361" t="s">
        <v>3597</v>
      </c>
      <c r="B361" s="1">
        <v>45195</v>
      </c>
      <c r="C361" t="s">
        <v>558</v>
      </c>
      <c r="D361" t="s">
        <v>13</v>
      </c>
      <c r="E361">
        <v>119281</v>
      </c>
      <c r="F361" t="s">
        <v>3270</v>
      </c>
      <c r="G361">
        <v>7493232.4199999999</v>
      </c>
      <c r="H361" t="s">
        <v>556</v>
      </c>
      <c r="J361" t="s">
        <v>3271</v>
      </c>
      <c r="K361">
        <v>62.82</v>
      </c>
      <c r="L361" s="1">
        <v>45255</v>
      </c>
      <c r="M361">
        <f>G361*IF(D361="INR",1,INDEX('rates'!$B$2:$B$522,MATCH(B361,'rates'!$A$2:$A$522,1)))</f>
        <v>7493232.4199999999</v>
      </c>
      <c r="N361">
        <f t="shared" si="5"/>
        <v>60</v>
      </c>
    </row>
    <row r="362" spans="1:14" x14ac:dyDescent="0.3">
      <c r="A362" t="s">
        <v>3625</v>
      </c>
      <c r="B362" s="1">
        <v>45210</v>
      </c>
      <c r="C362" t="s">
        <v>566</v>
      </c>
      <c r="D362" t="s">
        <v>36</v>
      </c>
      <c r="E362">
        <v>2471</v>
      </c>
      <c r="F362" t="s">
        <v>3262</v>
      </c>
      <c r="G362">
        <v>221006.24</v>
      </c>
      <c r="H362" t="s">
        <v>573</v>
      </c>
      <c r="I362">
        <v>82.24</v>
      </c>
      <c r="J362" t="s">
        <v>3263</v>
      </c>
      <c r="K362">
        <v>89.44</v>
      </c>
      <c r="L362" s="1">
        <v>45255</v>
      </c>
      <c r="M362">
        <f>G362*IF(D362="INR",1,INDEX('rates'!$B$2:$B$522,MATCH(B362,'rates'!$A$2:$A$522,1)))</f>
        <v>18383299.043200001</v>
      </c>
      <c r="N362">
        <f t="shared" si="5"/>
        <v>45</v>
      </c>
    </row>
    <row r="363" spans="1:14" x14ac:dyDescent="0.3">
      <c r="A363" t="s">
        <v>3626</v>
      </c>
      <c r="B363" s="1">
        <v>45210</v>
      </c>
      <c r="C363" t="s">
        <v>566</v>
      </c>
      <c r="D363" t="s">
        <v>13</v>
      </c>
      <c r="E363">
        <v>39203</v>
      </c>
      <c r="F363" t="s">
        <v>3270</v>
      </c>
      <c r="G363">
        <v>3125655.19</v>
      </c>
      <c r="H363" t="s">
        <v>556</v>
      </c>
      <c r="J363" t="s">
        <v>3271</v>
      </c>
      <c r="K363">
        <v>79.73</v>
      </c>
      <c r="L363" s="1">
        <v>45255</v>
      </c>
      <c r="M363">
        <f>G363*IF(D363="INR",1,INDEX('rates'!$B$2:$B$522,MATCH(B363,'rates'!$A$2:$A$522,1)))</f>
        <v>3125655.19</v>
      </c>
      <c r="N363">
        <f t="shared" si="5"/>
        <v>45</v>
      </c>
    </row>
    <row r="364" spans="1:14" x14ac:dyDescent="0.3">
      <c r="A364" t="s">
        <v>3656</v>
      </c>
      <c r="B364" s="1">
        <v>45225</v>
      </c>
      <c r="C364" t="s">
        <v>560</v>
      </c>
      <c r="D364" t="s">
        <v>36</v>
      </c>
      <c r="E364">
        <v>864</v>
      </c>
      <c r="F364" t="s">
        <v>3262</v>
      </c>
      <c r="G364">
        <v>78226.559999999998</v>
      </c>
      <c r="H364" t="s">
        <v>556</v>
      </c>
      <c r="J364" t="s">
        <v>3263</v>
      </c>
      <c r="K364">
        <v>90.54</v>
      </c>
      <c r="L364" s="1">
        <v>45255</v>
      </c>
      <c r="M364">
        <f>G364*IF(D364="INR",1,INDEX('rates'!$B$2:$B$522,MATCH(B364,'rates'!$A$2:$A$522,1)))</f>
        <v>6511578.8543999996</v>
      </c>
      <c r="N364">
        <f t="shared" si="5"/>
        <v>30</v>
      </c>
    </row>
    <row r="365" spans="1:14" x14ac:dyDescent="0.3">
      <c r="A365" t="s">
        <v>3658</v>
      </c>
      <c r="B365" s="1">
        <v>45226</v>
      </c>
      <c r="C365" t="s">
        <v>566</v>
      </c>
      <c r="D365" t="s">
        <v>36</v>
      </c>
      <c r="E365">
        <v>1102</v>
      </c>
      <c r="F365" t="s">
        <v>3262</v>
      </c>
      <c r="G365">
        <v>104767.14</v>
      </c>
      <c r="H365" t="s">
        <v>573</v>
      </c>
      <c r="I365">
        <v>86.19</v>
      </c>
      <c r="J365" t="s">
        <v>3263</v>
      </c>
      <c r="K365">
        <v>95.07</v>
      </c>
      <c r="L365" s="1">
        <v>45256</v>
      </c>
      <c r="M365">
        <f>G365*IF(D365="INR",1,INDEX('rates'!$B$2:$B$522,MATCH(B365,'rates'!$A$2:$A$522,1)))</f>
        <v>8723959.7478</v>
      </c>
      <c r="N365">
        <f t="shared" si="5"/>
        <v>30</v>
      </c>
    </row>
    <row r="366" spans="1:14" x14ac:dyDescent="0.3">
      <c r="A366" t="s">
        <v>3659</v>
      </c>
      <c r="B366" s="1">
        <v>45226</v>
      </c>
      <c r="C366" t="s">
        <v>575</v>
      </c>
      <c r="D366" t="s">
        <v>36</v>
      </c>
      <c r="E366">
        <v>382</v>
      </c>
      <c r="F366" t="s">
        <v>3262</v>
      </c>
      <c r="G366">
        <v>35144</v>
      </c>
      <c r="H366" t="s">
        <v>556</v>
      </c>
      <c r="J366" t="s">
        <v>3263</v>
      </c>
      <c r="K366">
        <v>92</v>
      </c>
      <c r="L366" s="1">
        <v>45256</v>
      </c>
      <c r="M366">
        <f>G366*IF(D366="INR",1,INDEX('rates'!$B$2:$B$522,MATCH(B366,'rates'!$A$2:$A$522,1)))</f>
        <v>2926440.88</v>
      </c>
      <c r="N366">
        <f t="shared" si="5"/>
        <v>30</v>
      </c>
    </row>
    <row r="367" spans="1:14" x14ac:dyDescent="0.3">
      <c r="A367" t="s">
        <v>3660</v>
      </c>
      <c r="B367" s="1">
        <v>45226</v>
      </c>
      <c r="C367" t="s">
        <v>558</v>
      </c>
      <c r="D367" t="s">
        <v>36</v>
      </c>
      <c r="E367">
        <v>959</v>
      </c>
      <c r="F367" t="s">
        <v>3262</v>
      </c>
      <c r="G367">
        <v>88199.23</v>
      </c>
      <c r="H367" t="s">
        <v>573</v>
      </c>
      <c r="I367">
        <v>86.19</v>
      </c>
      <c r="J367" t="s">
        <v>3263</v>
      </c>
      <c r="K367">
        <v>91.97</v>
      </c>
      <c r="L367" s="1">
        <v>45256</v>
      </c>
      <c r="M367">
        <f>G367*IF(D367="INR",1,INDEX('rates'!$B$2:$B$522,MATCH(B367,'rates'!$A$2:$A$522,1)))</f>
        <v>7344349.8820999991</v>
      </c>
      <c r="N367">
        <f t="shared" si="5"/>
        <v>30</v>
      </c>
    </row>
    <row r="368" spans="1:14" x14ac:dyDescent="0.3">
      <c r="A368" t="s">
        <v>3661</v>
      </c>
      <c r="B368" s="1">
        <v>45226</v>
      </c>
      <c r="C368" t="s">
        <v>554</v>
      </c>
      <c r="D368" t="s">
        <v>36</v>
      </c>
      <c r="E368">
        <v>373</v>
      </c>
      <c r="F368" t="s">
        <v>3262</v>
      </c>
      <c r="G368">
        <v>33290.25</v>
      </c>
      <c r="H368" t="s">
        <v>573</v>
      </c>
      <c r="I368">
        <v>86.19</v>
      </c>
      <c r="J368" t="s">
        <v>3263</v>
      </c>
      <c r="K368">
        <v>89.25</v>
      </c>
      <c r="L368" s="1">
        <v>45256</v>
      </c>
      <c r="M368">
        <f>G368*IF(D368="INR",1,INDEX('rates'!$B$2:$B$522,MATCH(B368,'rates'!$A$2:$A$522,1)))</f>
        <v>2772079.1174999997</v>
      </c>
      <c r="N368">
        <f t="shared" si="5"/>
        <v>30</v>
      </c>
    </row>
    <row r="369" spans="1:14" x14ac:dyDescent="0.3">
      <c r="A369" t="s">
        <v>3662</v>
      </c>
      <c r="B369" s="1">
        <v>45226</v>
      </c>
      <c r="C369" t="s">
        <v>575</v>
      </c>
      <c r="D369" t="s">
        <v>36</v>
      </c>
      <c r="E369">
        <v>1908</v>
      </c>
      <c r="F369" t="s">
        <v>3262</v>
      </c>
      <c r="G369">
        <v>172445.04</v>
      </c>
      <c r="H369" t="s">
        <v>573</v>
      </c>
      <c r="J369" t="s">
        <v>3263</v>
      </c>
      <c r="K369">
        <v>90.38</v>
      </c>
      <c r="L369" s="1">
        <v>45256</v>
      </c>
      <c r="M369">
        <f>G369*IF(D369="INR",1,INDEX('rates'!$B$2:$B$522,MATCH(B369,'rates'!$A$2:$A$522,1)))</f>
        <v>14359498.480799999</v>
      </c>
      <c r="N369">
        <f t="shared" si="5"/>
        <v>30</v>
      </c>
    </row>
    <row r="370" spans="1:14" x14ac:dyDescent="0.3">
      <c r="A370" t="s">
        <v>3665</v>
      </c>
      <c r="B370" s="1">
        <v>45226</v>
      </c>
      <c r="C370" t="s">
        <v>566</v>
      </c>
      <c r="D370" t="s">
        <v>36</v>
      </c>
      <c r="E370">
        <v>517</v>
      </c>
      <c r="F370" t="s">
        <v>3262</v>
      </c>
      <c r="G370">
        <v>46953.94</v>
      </c>
      <c r="H370" t="s">
        <v>573</v>
      </c>
      <c r="I370">
        <v>86.19</v>
      </c>
      <c r="J370" t="s">
        <v>3263</v>
      </c>
      <c r="K370">
        <v>90.82</v>
      </c>
      <c r="L370" s="1">
        <v>45256</v>
      </c>
      <c r="M370">
        <f>G370*IF(D370="INR",1,INDEX('rates'!$B$2:$B$522,MATCH(B370,'rates'!$A$2:$A$522,1)))</f>
        <v>3909854.5838000001</v>
      </c>
      <c r="N370">
        <f t="shared" si="5"/>
        <v>30</v>
      </c>
    </row>
    <row r="371" spans="1:14" x14ac:dyDescent="0.3">
      <c r="A371" t="s">
        <v>3629</v>
      </c>
      <c r="B371" s="1">
        <v>45212</v>
      </c>
      <c r="C371" t="s">
        <v>558</v>
      </c>
      <c r="D371" t="s">
        <v>36</v>
      </c>
      <c r="E371">
        <v>2569</v>
      </c>
      <c r="F371" t="s">
        <v>3262</v>
      </c>
      <c r="G371">
        <v>245005.53</v>
      </c>
      <c r="H371" t="s">
        <v>556</v>
      </c>
      <c r="J371" t="s">
        <v>3263</v>
      </c>
      <c r="K371">
        <v>95.37</v>
      </c>
      <c r="L371" s="1">
        <v>45257</v>
      </c>
      <c r="M371">
        <f>G371*IF(D371="INR",1,INDEX('rates'!$B$2:$B$522,MATCH(B371,'rates'!$A$2:$A$522,1)))</f>
        <v>20399160.4278</v>
      </c>
      <c r="N371">
        <f t="shared" si="5"/>
        <v>45</v>
      </c>
    </row>
    <row r="372" spans="1:14" x14ac:dyDescent="0.3">
      <c r="A372" t="s">
        <v>3603</v>
      </c>
      <c r="B372" s="1">
        <v>45198</v>
      </c>
      <c r="C372" t="s">
        <v>575</v>
      </c>
      <c r="D372" t="s">
        <v>36</v>
      </c>
      <c r="E372">
        <v>696</v>
      </c>
      <c r="F372" t="s">
        <v>3262</v>
      </c>
      <c r="G372">
        <v>66704.639999999999</v>
      </c>
      <c r="H372" t="s">
        <v>556</v>
      </c>
      <c r="J372" t="s">
        <v>3263</v>
      </c>
      <c r="K372">
        <v>95.84</v>
      </c>
      <c r="L372" s="1">
        <v>45258</v>
      </c>
      <c r="M372">
        <f>G372*IF(D372="INR",1,INDEX('rates'!$B$2:$B$522,MATCH(B372,'rates'!$A$2:$A$522,1)))</f>
        <v>5541821.4912</v>
      </c>
      <c r="N372">
        <f t="shared" si="5"/>
        <v>60</v>
      </c>
    </row>
    <row r="373" spans="1:14" x14ac:dyDescent="0.3">
      <c r="A373" t="s">
        <v>3604</v>
      </c>
      <c r="B373" s="1">
        <v>45198</v>
      </c>
      <c r="C373" t="s">
        <v>560</v>
      </c>
      <c r="D373" t="s">
        <v>36</v>
      </c>
      <c r="E373">
        <v>237</v>
      </c>
      <c r="F373" t="s">
        <v>3262</v>
      </c>
      <c r="G373">
        <v>23105.13</v>
      </c>
      <c r="H373" t="s">
        <v>556</v>
      </c>
      <c r="J373" t="s">
        <v>3263</v>
      </c>
      <c r="K373">
        <v>97.49</v>
      </c>
      <c r="L373" s="1">
        <v>45258</v>
      </c>
      <c r="M373">
        <f>G373*IF(D373="INR",1,INDEX('rates'!$B$2:$B$522,MATCH(B373,'rates'!$A$2:$A$522,1)))</f>
        <v>1919574.2004</v>
      </c>
      <c r="N373">
        <f t="shared" si="5"/>
        <v>60</v>
      </c>
    </row>
    <row r="374" spans="1:14" x14ac:dyDescent="0.3">
      <c r="A374" t="s">
        <v>3668</v>
      </c>
      <c r="B374" s="1">
        <v>45229</v>
      </c>
      <c r="C374" t="s">
        <v>558</v>
      </c>
      <c r="D374" t="s">
        <v>36</v>
      </c>
      <c r="E374">
        <v>442</v>
      </c>
      <c r="F374" t="s">
        <v>3262</v>
      </c>
      <c r="G374">
        <v>39545.74</v>
      </c>
      <c r="H374" t="s">
        <v>556</v>
      </c>
      <c r="J374" t="s">
        <v>3263</v>
      </c>
      <c r="K374">
        <v>89.47</v>
      </c>
      <c r="L374" s="1">
        <v>45259</v>
      </c>
      <c r="M374">
        <f>G374*IF(D374="INR",1,INDEX('rates'!$B$2:$B$522,MATCH(B374,'rates'!$A$2:$A$522,1)))</f>
        <v>3292182.855</v>
      </c>
      <c r="N374">
        <f t="shared" si="5"/>
        <v>30</v>
      </c>
    </row>
    <row r="375" spans="1:14" x14ac:dyDescent="0.3">
      <c r="A375" t="s">
        <v>3669</v>
      </c>
      <c r="B375" s="1">
        <v>45229</v>
      </c>
      <c r="C375" t="s">
        <v>560</v>
      </c>
      <c r="D375" t="s">
        <v>13</v>
      </c>
      <c r="E375">
        <v>85554</v>
      </c>
      <c r="F375" t="s">
        <v>3270</v>
      </c>
      <c r="G375">
        <v>6941851.5599999996</v>
      </c>
      <c r="H375" t="s">
        <v>556</v>
      </c>
      <c r="J375" t="s">
        <v>3271</v>
      </c>
      <c r="K375">
        <v>81.14</v>
      </c>
      <c r="L375" s="1">
        <v>45259</v>
      </c>
      <c r="M375">
        <f>G375*IF(D375="INR",1,INDEX('rates'!$B$2:$B$522,MATCH(B375,'rates'!$A$2:$A$522,1)))</f>
        <v>6941851.5599999996</v>
      </c>
      <c r="N375">
        <f t="shared" si="5"/>
        <v>30</v>
      </c>
    </row>
    <row r="376" spans="1:14" x14ac:dyDescent="0.3">
      <c r="A376" t="s">
        <v>3632</v>
      </c>
      <c r="B376" s="1">
        <v>45215</v>
      </c>
      <c r="C376" t="s">
        <v>560</v>
      </c>
      <c r="D376" t="s">
        <v>13</v>
      </c>
      <c r="E376">
        <v>24701</v>
      </c>
      <c r="F376" t="s">
        <v>3270</v>
      </c>
      <c r="G376">
        <v>2103537.16</v>
      </c>
      <c r="H376" t="s">
        <v>556</v>
      </c>
      <c r="J376" t="s">
        <v>3271</v>
      </c>
      <c r="K376">
        <v>85.16</v>
      </c>
      <c r="L376" s="1">
        <v>45260</v>
      </c>
      <c r="M376">
        <f>G376*IF(D376="INR",1,INDEX('rates'!$B$2:$B$522,MATCH(B376,'rates'!$A$2:$A$522,1)))</f>
        <v>2103537.16</v>
      </c>
      <c r="N376">
        <f t="shared" si="5"/>
        <v>45</v>
      </c>
    </row>
    <row r="377" spans="1:14" x14ac:dyDescent="0.3">
      <c r="A377" t="s">
        <v>3633</v>
      </c>
      <c r="B377" s="1">
        <v>45215</v>
      </c>
      <c r="C377" t="s">
        <v>566</v>
      </c>
      <c r="D377" t="s">
        <v>36</v>
      </c>
      <c r="E377">
        <v>473</v>
      </c>
      <c r="F377" t="s">
        <v>3262</v>
      </c>
      <c r="G377">
        <v>43813.99</v>
      </c>
      <c r="H377" t="s">
        <v>573</v>
      </c>
      <c r="I377">
        <v>81.06</v>
      </c>
      <c r="J377" t="s">
        <v>3263</v>
      </c>
      <c r="K377">
        <v>92.63</v>
      </c>
      <c r="L377" s="1">
        <v>45260</v>
      </c>
      <c r="M377">
        <f>G377*IF(D377="INR",1,INDEX('rates'!$B$2:$B$522,MATCH(B377,'rates'!$A$2:$A$522,1)))</f>
        <v>3648829.0872</v>
      </c>
      <c r="N377">
        <f t="shared" si="5"/>
        <v>45</v>
      </c>
    </row>
    <row r="378" spans="1:14" x14ac:dyDescent="0.3">
      <c r="A378" t="s">
        <v>3606</v>
      </c>
      <c r="B378" s="1">
        <v>45201</v>
      </c>
      <c r="C378" t="s">
        <v>560</v>
      </c>
      <c r="D378" t="s">
        <v>36</v>
      </c>
      <c r="E378">
        <v>247</v>
      </c>
      <c r="F378" t="s">
        <v>3262</v>
      </c>
      <c r="G378">
        <v>23235.29</v>
      </c>
      <c r="H378" t="s">
        <v>573</v>
      </c>
      <c r="I378">
        <v>74.59</v>
      </c>
      <c r="J378" t="s">
        <v>3263</v>
      </c>
      <c r="K378">
        <v>94.07</v>
      </c>
      <c r="L378" s="1">
        <v>45261</v>
      </c>
      <c r="M378">
        <f>G378*IF(D378="INR",1,INDEX('rates'!$B$2:$B$522,MATCH(B378,'rates'!$A$2:$A$522,1)))</f>
        <v>1929458.4816000003</v>
      </c>
      <c r="N378">
        <f t="shared" si="5"/>
        <v>60</v>
      </c>
    </row>
    <row r="379" spans="1:14" x14ac:dyDescent="0.3">
      <c r="A379" t="s">
        <v>3611</v>
      </c>
      <c r="B379" s="1">
        <v>45202</v>
      </c>
      <c r="C379" t="s">
        <v>554</v>
      </c>
      <c r="D379" t="s">
        <v>36</v>
      </c>
      <c r="E379">
        <v>922</v>
      </c>
      <c r="F379" t="s">
        <v>3262</v>
      </c>
      <c r="G379">
        <v>86999.92</v>
      </c>
      <c r="H379" t="s">
        <v>573</v>
      </c>
      <c r="I379">
        <v>76.8</v>
      </c>
      <c r="J379" t="s">
        <v>3263</v>
      </c>
      <c r="K379">
        <v>94.36</v>
      </c>
      <c r="L379" s="1">
        <v>45262</v>
      </c>
      <c r="M379">
        <f>G379*IF(D379="INR",1,INDEX('rates'!$B$2:$B$522,MATCH(B379,'rates'!$A$2:$A$522,1)))</f>
        <v>7240133.3423999995</v>
      </c>
      <c r="N379">
        <f t="shared" si="5"/>
        <v>60</v>
      </c>
    </row>
    <row r="380" spans="1:14" x14ac:dyDescent="0.3">
      <c r="A380" t="s">
        <v>3612</v>
      </c>
      <c r="B380" s="1">
        <v>45203</v>
      </c>
      <c r="C380" t="s">
        <v>554</v>
      </c>
      <c r="D380" t="s">
        <v>36</v>
      </c>
      <c r="E380">
        <v>2633</v>
      </c>
      <c r="F380" t="s">
        <v>3262</v>
      </c>
      <c r="G380">
        <v>234837.27</v>
      </c>
      <c r="H380" t="s">
        <v>556</v>
      </c>
      <c r="J380" t="s">
        <v>3263</v>
      </c>
      <c r="K380">
        <v>89.19</v>
      </c>
      <c r="L380" s="1">
        <v>45263</v>
      </c>
      <c r="M380">
        <f>G380*IF(D380="INR",1,INDEX('rates'!$B$2:$B$522,MATCH(B380,'rates'!$A$2:$A$522,1)))</f>
        <v>19550202.727499999</v>
      </c>
      <c r="N380">
        <f t="shared" si="5"/>
        <v>60</v>
      </c>
    </row>
    <row r="381" spans="1:14" x14ac:dyDescent="0.3">
      <c r="A381" t="s">
        <v>3676</v>
      </c>
      <c r="B381" s="1">
        <v>45233</v>
      </c>
      <c r="C381" t="s">
        <v>575</v>
      </c>
      <c r="D381" t="s">
        <v>13</v>
      </c>
      <c r="E381">
        <v>164153</v>
      </c>
      <c r="F381" t="s">
        <v>3270</v>
      </c>
      <c r="G381">
        <v>19205901</v>
      </c>
      <c r="H381" t="s">
        <v>556</v>
      </c>
      <c r="J381" t="s">
        <v>3271</v>
      </c>
      <c r="K381">
        <v>117</v>
      </c>
      <c r="L381" s="1">
        <v>45263</v>
      </c>
      <c r="M381">
        <f>G381*IF(D381="INR",1,INDEX('rates'!$B$2:$B$522,MATCH(B381,'rates'!$A$2:$A$522,1)))</f>
        <v>19205901</v>
      </c>
      <c r="N381">
        <f t="shared" si="5"/>
        <v>30</v>
      </c>
    </row>
    <row r="382" spans="1:14" x14ac:dyDescent="0.3">
      <c r="A382" t="s">
        <v>3613</v>
      </c>
      <c r="B382" s="1">
        <v>45204</v>
      </c>
      <c r="C382" t="s">
        <v>558</v>
      </c>
      <c r="D382" t="s">
        <v>13</v>
      </c>
      <c r="E382">
        <v>72349</v>
      </c>
      <c r="F382" t="s">
        <v>3270</v>
      </c>
      <c r="G382">
        <v>6290745.5499999998</v>
      </c>
      <c r="H382" t="s">
        <v>556</v>
      </c>
      <c r="J382" t="s">
        <v>3271</v>
      </c>
      <c r="K382">
        <v>86.95</v>
      </c>
      <c r="L382" s="1">
        <v>45264</v>
      </c>
      <c r="M382">
        <f>G382*IF(D382="INR",1,INDEX('rates'!$B$2:$B$522,MATCH(B382,'rates'!$A$2:$A$522,1)))</f>
        <v>6290745.5499999998</v>
      </c>
      <c r="N382">
        <f t="shared" si="5"/>
        <v>60</v>
      </c>
    </row>
    <row r="383" spans="1:14" x14ac:dyDescent="0.3">
      <c r="A383" t="s">
        <v>3644</v>
      </c>
      <c r="B383" s="1">
        <v>45219</v>
      </c>
      <c r="C383" t="s">
        <v>558</v>
      </c>
      <c r="D383" t="s">
        <v>36</v>
      </c>
      <c r="E383">
        <v>956</v>
      </c>
      <c r="F383" t="s">
        <v>3262</v>
      </c>
      <c r="G383">
        <v>90724.4</v>
      </c>
      <c r="H383" t="s">
        <v>573</v>
      </c>
      <c r="I383">
        <v>82.45</v>
      </c>
      <c r="J383" t="s">
        <v>3263</v>
      </c>
      <c r="K383">
        <v>94.9</v>
      </c>
      <c r="L383" s="1">
        <v>45264</v>
      </c>
      <c r="M383">
        <f>G383*IF(D383="INR",1,INDEX('rates'!$B$2:$B$522,MATCH(B383,'rates'!$A$2:$A$522,1)))</f>
        <v>7542826.6159999995</v>
      </c>
      <c r="N383">
        <f t="shared" si="5"/>
        <v>45</v>
      </c>
    </row>
    <row r="384" spans="1:14" x14ac:dyDescent="0.3">
      <c r="A384" t="s">
        <v>3645</v>
      </c>
      <c r="B384" s="1">
        <v>45219</v>
      </c>
      <c r="C384" t="s">
        <v>566</v>
      </c>
      <c r="D384" t="s">
        <v>36</v>
      </c>
      <c r="E384">
        <v>2093</v>
      </c>
      <c r="F384" t="s">
        <v>3262</v>
      </c>
      <c r="G384">
        <v>197223.39</v>
      </c>
      <c r="H384" t="s">
        <v>556</v>
      </c>
      <c r="J384" t="s">
        <v>3263</v>
      </c>
      <c r="K384">
        <v>94.23</v>
      </c>
      <c r="L384" s="1">
        <v>45264</v>
      </c>
      <c r="M384">
        <f>G384*IF(D384="INR",1,INDEX('rates'!$B$2:$B$522,MATCH(B384,'rates'!$A$2:$A$522,1)))</f>
        <v>16397152.644600002</v>
      </c>
      <c r="N384">
        <f t="shared" si="5"/>
        <v>45</v>
      </c>
    </row>
    <row r="385" spans="1:14" x14ac:dyDescent="0.3">
      <c r="A385" t="s">
        <v>3614</v>
      </c>
      <c r="B385" s="1">
        <v>45205</v>
      </c>
      <c r="C385" t="s">
        <v>554</v>
      </c>
      <c r="D385" t="s">
        <v>36</v>
      </c>
      <c r="E385">
        <v>3842</v>
      </c>
      <c r="F385" t="s">
        <v>3262</v>
      </c>
      <c r="G385">
        <v>326762.09999999998</v>
      </c>
      <c r="H385" t="s">
        <v>556</v>
      </c>
      <c r="J385" t="s">
        <v>3263</v>
      </c>
      <c r="K385">
        <v>85.05</v>
      </c>
      <c r="L385" s="1">
        <v>45265</v>
      </c>
      <c r="M385">
        <f>G385*IF(D385="INR",1,INDEX('rates'!$B$2:$B$522,MATCH(B385,'rates'!$A$2:$A$522,1)))</f>
        <v>27202944.824999999</v>
      </c>
      <c r="N385">
        <f t="shared" si="5"/>
        <v>60</v>
      </c>
    </row>
    <row r="386" spans="1:14" x14ac:dyDescent="0.3">
      <c r="A386" t="s">
        <v>3616</v>
      </c>
      <c r="B386" s="1">
        <v>45205</v>
      </c>
      <c r="C386" t="s">
        <v>566</v>
      </c>
      <c r="D386" t="s">
        <v>36</v>
      </c>
      <c r="E386">
        <v>323</v>
      </c>
      <c r="F386" t="s">
        <v>3262</v>
      </c>
      <c r="G386">
        <v>28818.06</v>
      </c>
      <c r="H386" t="s">
        <v>573</v>
      </c>
      <c r="I386">
        <v>79.08</v>
      </c>
      <c r="J386" t="s">
        <v>3263</v>
      </c>
      <c r="K386">
        <v>89.22</v>
      </c>
      <c r="L386" s="1">
        <v>45265</v>
      </c>
      <c r="M386">
        <f>G386*IF(D386="INR",1,INDEX('rates'!$B$2:$B$522,MATCH(B386,'rates'!$A$2:$A$522,1)))</f>
        <v>2399103.4950000001</v>
      </c>
      <c r="N386">
        <f t="shared" ref="N386:N449" si="6">IF(L386="","",L386-B386)</f>
        <v>60</v>
      </c>
    </row>
    <row r="387" spans="1:14" x14ac:dyDescent="0.3">
      <c r="A387" t="s">
        <v>3680</v>
      </c>
      <c r="B387" s="1">
        <v>45237</v>
      </c>
      <c r="C387" t="s">
        <v>554</v>
      </c>
      <c r="D387" t="s">
        <v>36</v>
      </c>
      <c r="E387">
        <v>356</v>
      </c>
      <c r="F387" t="s">
        <v>3262</v>
      </c>
      <c r="G387">
        <v>29209.8</v>
      </c>
      <c r="H387" t="s">
        <v>556</v>
      </c>
      <c r="J387" t="s">
        <v>3263</v>
      </c>
      <c r="K387">
        <v>82.05</v>
      </c>
      <c r="L387" s="1">
        <v>45267</v>
      </c>
      <c r="M387">
        <f>G387*IF(D387="INR",1,INDEX('rates'!$B$2:$B$522,MATCH(B387,'rates'!$A$2:$A$522,1)))</f>
        <v>2430839.5559999999</v>
      </c>
      <c r="N387">
        <f t="shared" si="6"/>
        <v>30</v>
      </c>
    </row>
    <row r="388" spans="1:14" x14ac:dyDescent="0.3">
      <c r="A388" t="s">
        <v>3618</v>
      </c>
      <c r="B388" s="1">
        <v>45208</v>
      </c>
      <c r="C388" t="s">
        <v>560</v>
      </c>
      <c r="D388" t="s">
        <v>36</v>
      </c>
      <c r="E388">
        <v>1166</v>
      </c>
      <c r="F388" t="s">
        <v>3262</v>
      </c>
      <c r="G388">
        <v>102526.38</v>
      </c>
      <c r="H388" t="s">
        <v>573</v>
      </c>
      <c r="I388">
        <v>80.11</v>
      </c>
      <c r="J388" t="s">
        <v>3263</v>
      </c>
      <c r="K388">
        <v>87.93</v>
      </c>
      <c r="L388" s="1">
        <v>45268</v>
      </c>
      <c r="M388">
        <f>G388*IF(D388="INR",1,INDEX('rates'!$B$2:$B$522,MATCH(B388,'rates'!$A$2:$A$522,1)))</f>
        <v>8535321.1349999998</v>
      </c>
      <c r="N388">
        <f t="shared" si="6"/>
        <v>60</v>
      </c>
    </row>
    <row r="389" spans="1:14" x14ac:dyDescent="0.3">
      <c r="A389" t="s">
        <v>3649</v>
      </c>
      <c r="B389" s="1">
        <v>45224</v>
      </c>
      <c r="C389" t="s">
        <v>560</v>
      </c>
      <c r="D389" t="s">
        <v>13</v>
      </c>
      <c r="E389">
        <v>61089</v>
      </c>
      <c r="F389" t="s">
        <v>3270</v>
      </c>
      <c r="G389">
        <v>5268315.3600000003</v>
      </c>
      <c r="H389" t="s">
        <v>556</v>
      </c>
      <c r="J389" t="s">
        <v>3271</v>
      </c>
      <c r="K389">
        <v>86.24</v>
      </c>
      <c r="L389" s="1">
        <v>45269</v>
      </c>
      <c r="M389">
        <f>G389*IF(D389="INR",1,INDEX('rates'!$B$2:$B$522,MATCH(B389,'rates'!$A$2:$A$522,1)))</f>
        <v>5268315.3600000003</v>
      </c>
      <c r="N389">
        <f t="shared" si="6"/>
        <v>45</v>
      </c>
    </row>
    <row r="390" spans="1:14" x14ac:dyDescent="0.3">
      <c r="A390" t="s">
        <v>3650</v>
      </c>
      <c r="B390" s="1">
        <v>45224</v>
      </c>
      <c r="C390" t="s">
        <v>575</v>
      </c>
      <c r="D390" t="s">
        <v>36</v>
      </c>
      <c r="E390">
        <v>619</v>
      </c>
      <c r="F390" t="s">
        <v>3262</v>
      </c>
      <c r="G390">
        <v>57251.31</v>
      </c>
      <c r="H390" t="s">
        <v>556</v>
      </c>
      <c r="J390" t="s">
        <v>3263</v>
      </c>
      <c r="K390">
        <v>92.49</v>
      </c>
      <c r="L390" s="1">
        <v>45269</v>
      </c>
      <c r="M390">
        <f>G390*IF(D390="INR",1,INDEX('rates'!$B$2:$B$522,MATCH(B390,'rates'!$A$2:$A$522,1)))</f>
        <v>4762163.9658000004</v>
      </c>
      <c r="N390">
        <f t="shared" si="6"/>
        <v>45</v>
      </c>
    </row>
    <row r="391" spans="1:14" x14ac:dyDescent="0.3">
      <c r="A391" t="s">
        <v>3651</v>
      </c>
      <c r="B391" s="1">
        <v>45224</v>
      </c>
      <c r="C391" t="s">
        <v>558</v>
      </c>
      <c r="D391" t="s">
        <v>36</v>
      </c>
      <c r="E391">
        <v>200</v>
      </c>
      <c r="F391" t="s">
        <v>3262</v>
      </c>
      <c r="G391">
        <v>18474</v>
      </c>
      <c r="H391" t="s">
        <v>556</v>
      </c>
      <c r="J391" t="s">
        <v>3263</v>
      </c>
      <c r="K391">
        <v>92.37</v>
      </c>
      <c r="L391" s="1">
        <v>45269</v>
      </c>
      <c r="M391">
        <f>G391*IF(D391="INR",1,INDEX('rates'!$B$2:$B$522,MATCH(B391,'rates'!$A$2:$A$522,1)))</f>
        <v>1536667.32</v>
      </c>
      <c r="N391">
        <f t="shared" si="6"/>
        <v>45</v>
      </c>
    </row>
    <row r="392" spans="1:14" x14ac:dyDescent="0.3">
      <c r="A392" t="s">
        <v>3652</v>
      </c>
      <c r="B392" s="1">
        <v>45224</v>
      </c>
      <c r="C392" t="s">
        <v>558</v>
      </c>
      <c r="D392" t="s">
        <v>36</v>
      </c>
      <c r="E392">
        <v>1293</v>
      </c>
      <c r="F392" t="s">
        <v>3262</v>
      </c>
      <c r="G392">
        <v>119033.58</v>
      </c>
      <c r="H392" t="s">
        <v>556</v>
      </c>
      <c r="J392" t="s">
        <v>3263</v>
      </c>
      <c r="K392">
        <v>92.06</v>
      </c>
      <c r="L392" s="1">
        <v>45269</v>
      </c>
      <c r="M392">
        <f>G392*IF(D392="INR",1,INDEX('rates'!$B$2:$B$522,MATCH(B392,'rates'!$A$2:$A$522,1)))</f>
        <v>9901213.1844000015</v>
      </c>
      <c r="N392">
        <f t="shared" si="6"/>
        <v>45</v>
      </c>
    </row>
    <row r="393" spans="1:14" x14ac:dyDescent="0.3">
      <c r="A393" t="s">
        <v>3684</v>
      </c>
      <c r="B393" s="1">
        <v>45239</v>
      </c>
      <c r="C393" t="s">
        <v>566</v>
      </c>
      <c r="D393" t="s">
        <v>36</v>
      </c>
      <c r="E393">
        <v>596</v>
      </c>
      <c r="F393" t="s">
        <v>3262</v>
      </c>
      <c r="G393">
        <v>47691.92</v>
      </c>
      <c r="H393" t="s">
        <v>556</v>
      </c>
      <c r="J393" t="s">
        <v>3263</v>
      </c>
      <c r="K393">
        <v>80.02</v>
      </c>
      <c r="L393" s="1">
        <v>45269</v>
      </c>
      <c r="M393">
        <f>G393*IF(D393="INR",1,INDEX('rates'!$B$2:$B$522,MATCH(B393,'rates'!$A$2:$A$522,1)))</f>
        <v>3970352.34</v>
      </c>
      <c r="N393">
        <f t="shared" si="6"/>
        <v>30</v>
      </c>
    </row>
    <row r="394" spans="1:14" x14ac:dyDescent="0.3">
      <c r="A394" t="s">
        <v>3686</v>
      </c>
      <c r="B394" s="1">
        <v>45239</v>
      </c>
      <c r="C394" t="s">
        <v>566</v>
      </c>
      <c r="D394" t="s">
        <v>36</v>
      </c>
      <c r="E394">
        <v>1581</v>
      </c>
      <c r="F394" t="s">
        <v>3262</v>
      </c>
      <c r="G394">
        <v>126669.72</v>
      </c>
      <c r="H394" t="s">
        <v>573</v>
      </c>
      <c r="I394">
        <v>88.99</v>
      </c>
      <c r="J394" t="s">
        <v>3263</v>
      </c>
      <c r="K394">
        <v>80.12</v>
      </c>
      <c r="L394" s="1">
        <v>45269</v>
      </c>
      <c r="M394">
        <f>G394*IF(D394="INR",1,INDEX('rates'!$B$2:$B$522,MATCH(B394,'rates'!$A$2:$A$522,1)))</f>
        <v>10545254.189999999</v>
      </c>
      <c r="N394">
        <f t="shared" si="6"/>
        <v>30</v>
      </c>
    </row>
    <row r="395" spans="1:14" x14ac:dyDescent="0.3">
      <c r="A395" t="s">
        <v>3687</v>
      </c>
      <c r="B395" s="1">
        <v>45240</v>
      </c>
      <c r="C395" t="s">
        <v>560</v>
      </c>
      <c r="D395" t="s">
        <v>36</v>
      </c>
      <c r="E395">
        <v>950</v>
      </c>
      <c r="F395" t="s">
        <v>3262</v>
      </c>
      <c r="G395">
        <v>77216</v>
      </c>
      <c r="H395" t="s">
        <v>573</v>
      </c>
      <c r="I395">
        <v>88.99</v>
      </c>
      <c r="J395" t="s">
        <v>3263</v>
      </c>
      <c r="K395">
        <v>81.28</v>
      </c>
      <c r="L395" s="1">
        <v>45270</v>
      </c>
      <c r="M395">
        <f>G395*IF(D395="INR",1,INDEX('rates'!$B$2:$B$522,MATCH(B395,'rates'!$A$2:$A$522,1)))</f>
        <v>6428232</v>
      </c>
      <c r="N395">
        <f t="shared" si="6"/>
        <v>30</v>
      </c>
    </row>
    <row r="396" spans="1:14" x14ac:dyDescent="0.3">
      <c r="A396" t="s">
        <v>3688</v>
      </c>
      <c r="B396" s="1">
        <v>45240</v>
      </c>
      <c r="C396" t="s">
        <v>566</v>
      </c>
      <c r="D396" t="s">
        <v>36</v>
      </c>
      <c r="E396">
        <v>351</v>
      </c>
      <c r="F396" t="s">
        <v>3262</v>
      </c>
      <c r="G396">
        <v>28294.11</v>
      </c>
      <c r="H396" t="s">
        <v>573</v>
      </c>
      <c r="I396">
        <v>88.99</v>
      </c>
      <c r="J396" t="s">
        <v>3263</v>
      </c>
      <c r="K396">
        <v>80.61</v>
      </c>
      <c r="L396" s="1">
        <v>45270</v>
      </c>
      <c r="M396">
        <f>G396*IF(D396="INR",1,INDEX('rates'!$B$2:$B$522,MATCH(B396,'rates'!$A$2:$A$522,1)))</f>
        <v>2355484.6575000002</v>
      </c>
      <c r="N396">
        <f t="shared" si="6"/>
        <v>30</v>
      </c>
    </row>
    <row r="397" spans="1:14" x14ac:dyDescent="0.3">
      <c r="A397" t="s">
        <v>3627</v>
      </c>
      <c r="B397" s="1">
        <v>45211</v>
      </c>
      <c r="C397" t="s">
        <v>558</v>
      </c>
      <c r="D397" t="s">
        <v>36</v>
      </c>
      <c r="E397">
        <v>733</v>
      </c>
      <c r="F397" t="s">
        <v>3262</v>
      </c>
      <c r="G397">
        <v>64855.839999999997</v>
      </c>
      <c r="H397" t="s">
        <v>556</v>
      </c>
      <c r="J397" t="s">
        <v>3263</v>
      </c>
      <c r="K397">
        <v>88.48</v>
      </c>
      <c r="L397" s="1">
        <v>45271</v>
      </c>
      <c r="M397">
        <f>G397*IF(D397="INR",1,INDEX('rates'!$B$2:$B$522,MATCH(B397,'rates'!$A$2:$A$522,1)))</f>
        <v>5401194.3552000001</v>
      </c>
      <c r="N397">
        <f t="shared" si="6"/>
        <v>60</v>
      </c>
    </row>
    <row r="398" spans="1:14" x14ac:dyDescent="0.3">
      <c r="A398" t="s">
        <v>3663</v>
      </c>
      <c r="B398" s="1">
        <v>45226</v>
      </c>
      <c r="C398" t="s">
        <v>560</v>
      </c>
      <c r="D398" t="s">
        <v>36</v>
      </c>
      <c r="E398">
        <v>462</v>
      </c>
      <c r="F398" t="s">
        <v>3262</v>
      </c>
      <c r="G398">
        <v>41418.300000000003</v>
      </c>
      <c r="H398" t="s">
        <v>556</v>
      </c>
      <c r="J398" t="s">
        <v>3263</v>
      </c>
      <c r="K398">
        <v>89.65</v>
      </c>
      <c r="L398" s="1">
        <v>45271</v>
      </c>
      <c r="M398">
        <f>G398*IF(D398="INR",1,INDEX('rates'!$B$2:$B$522,MATCH(B398,'rates'!$A$2:$A$522,1)))</f>
        <v>3448901.841</v>
      </c>
      <c r="N398">
        <f t="shared" si="6"/>
        <v>45</v>
      </c>
    </row>
    <row r="399" spans="1:14" x14ac:dyDescent="0.3">
      <c r="A399" t="s">
        <v>3664</v>
      </c>
      <c r="B399" s="1">
        <v>45226</v>
      </c>
      <c r="C399" t="s">
        <v>566</v>
      </c>
      <c r="D399" t="s">
        <v>36</v>
      </c>
      <c r="E399">
        <v>589</v>
      </c>
      <c r="F399" t="s">
        <v>3262</v>
      </c>
      <c r="G399">
        <v>53163.14</v>
      </c>
      <c r="H399" t="s">
        <v>573</v>
      </c>
      <c r="I399">
        <v>86.19</v>
      </c>
      <c r="J399" t="s">
        <v>3263</v>
      </c>
      <c r="K399">
        <v>90.26</v>
      </c>
      <c r="L399" s="1">
        <v>45271</v>
      </c>
      <c r="M399">
        <f>G399*IF(D399="INR",1,INDEX('rates'!$B$2:$B$522,MATCH(B399,'rates'!$A$2:$A$522,1)))</f>
        <v>4426894.6677999999</v>
      </c>
      <c r="N399">
        <f t="shared" si="6"/>
        <v>45</v>
      </c>
    </row>
    <row r="400" spans="1:14" x14ac:dyDescent="0.3">
      <c r="A400" t="s">
        <v>3666</v>
      </c>
      <c r="B400" s="1">
        <v>45226</v>
      </c>
      <c r="C400" t="s">
        <v>566</v>
      </c>
      <c r="D400" t="s">
        <v>36</v>
      </c>
      <c r="E400">
        <v>859</v>
      </c>
      <c r="F400" t="s">
        <v>3262</v>
      </c>
      <c r="G400">
        <v>76313.56</v>
      </c>
      <c r="H400" t="s">
        <v>573</v>
      </c>
      <c r="I400">
        <v>86.19</v>
      </c>
      <c r="J400" t="s">
        <v>3263</v>
      </c>
      <c r="K400">
        <v>88.84</v>
      </c>
      <c r="L400" s="1">
        <v>45271</v>
      </c>
      <c r="M400">
        <f>G400*IF(D400="INR",1,INDEX('rates'!$B$2:$B$522,MATCH(B400,'rates'!$A$2:$A$522,1)))</f>
        <v>6354630.1411999995</v>
      </c>
      <c r="N400">
        <f t="shared" si="6"/>
        <v>45</v>
      </c>
    </row>
    <row r="401" spans="1:14" x14ac:dyDescent="0.3">
      <c r="A401" t="s">
        <v>3628</v>
      </c>
      <c r="B401" s="1">
        <v>45212</v>
      </c>
      <c r="C401" t="s">
        <v>558</v>
      </c>
      <c r="D401" t="s">
        <v>36</v>
      </c>
      <c r="E401">
        <v>544</v>
      </c>
      <c r="F401" t="s">
        <v>3262</v>
      </c>
      <c r="G401">
        <v>50912.959999999999</v>
      </c>
      <c r="H401" t="s">
        <v>556</v>
      </c>
      <c r="J401" t="s">
        <v>3263</v>
      </c>
      <c r="K401">
        <v>93.59</v>
      </c>
      <c r="L401" s="1">
        <v>45272</v>
      </c>
      <c r="M401">
        <f>G401*IF(D401="INR",1,INDEX('rates'!$B$2:$B$522,MATCH(B401,'rates'!$A$2:$A$522,1)))</f>
        <v>4239013.0496000005</v>
      </c>
      <c r="N401">
        <f t="shared" si="6"/>
        <v>60</v>
      </c>
    </row>
    <row r="402" spans="1:14" x14ac:dyDescent="0.3">
      <c r="A402" t="s">
        <v>3689</v>
      </c>
      <c r="B402" s="1">
        <v>45243</v>
      </c>
      <c r="C402" t="s">
        <v>566</v>
      </c>
      <c r="D402" t="s">
        <v>36</v>
      </c>
      <c r="E402">
        <v>7637</v>
      </c>
      <c r="F402" t="s">
        <v>3262</v>
      </c>
      <c r="G402">
        <v>642042.59</v>
      </c>
      <c r="H402" t="s">
        <v>573</v>
      </c>
      <c r="I402">
        <v>86.73</v>
      </c>
      <c r="J402" t="s">
        <v>3263</v>
      </c>
      <c r="K402">
        <v>84.07</v>
      </c>
      <c r="L402" s="1">
        <v>45273</v>
      </c>
      <c r="M402">
        <f>G402*IF(D402="INR",1,INDEX('rates'!$B$2:$B$522,MATCH(B402,'rates'!$A$2:$A$522,1)))</f>
        <v>53494988.598799996</v>
      </c>
      <c r="N402">
        <f t="shared" si="6"/>
        <v>30</v>
      </c>
    </row>
    <row r="403" spans="1:14" x14ac:dyDescent="0.3">
      <c r="A403" t="s">
        <v>3667</v>
      </c>
      <c r="B403" s="1">
        <v>45229</v>
      </c>
      <c r="C403" t="s">
        <v>560</v>
      </c>
      <c r="D403" t="s">
        <v>36</v>
      </c>
      <c r="E403">
        <v>1367</v>
      </c>
      <c r="F403" t="s">
        <v>3262</v>
      </c>
      <c r="G403">
        <v>119366.44</v>
      </c>
      <c r="H403" t="s">
        <v>556</v>
      </c>
      <c r="J403" t="s">
        <v>3263</v>
      </c>
      <c r="K403">
        <v>87.32</v>
      </c>
      <c r="L403" s="1">
        <v>45274</v>
      </c>
      <c r="M403">
        <f>G403*IF(D403="INR",1,INDEX('rates'!$B$2:$B$522,MATCH(B403,'rates'!$A$2:$A$522,1)))</f>
        <v>9937256.1300000008</v>
      </c>
      <c r="N403">
        <f t="shared" si="6"/>
        <v>45</v>
      </c>
    </row>
    <row r="404" spans="1:14" x14ac:dyDescent="0.3">
      <c r="A404" t="s">
        <v>3691</v>
      </c>
      <c r="B404" s="1">
        <v>45244</v>
      </c>
      <c r="C404" t="s">
        <v>554</v>
      </c>
      <c r="D404" t="s">
        <v>36</v>
      </c>
      <c r="E404">
        <v>661</v>
      </c>
      <c r="F404" t="s">
        <v>3262</v>
      </c>
      <c r="G404">
        <v>54909.27</v>
      </c>
      <c r="H404" t="s">
        <v>573</v>
      </c>
      <c r="I404">
        <v>84.96</v>
      </c>
      <c r="J404" t="s">
        <v>3263</v>
      </c>
      <c r="K404">
        <v>83.07</v>
      </c>
      <c r="L404" s="1">
        <v>45274</v>
      </c>
      <c r="M404">
        <f>G404*IF(D404="INR",1,INDEX('rates'!$B$2:$B$522,MATCH(B404,'rates'!$A$2:$A$522,1)))</f>
        <v>4575040.3763999995</v>
      </c>
      <c r="N404">
        <f t="shared" si="6"/>
        <v>30</v>
      </c>
    </row>
    <row r="405" spans="1:14" x14ac:dyDescent="0.3">
      <c r="A405" t="s">
        <v>3634</v>
      </c>
      <c r="B405" s="1">
        <v>45215</v>
      </c>
      <c r="C405" t="s">
        <v>560</v>
      </c>
      <c r="D405" t="s">
        <v>36</v>
      </c>
      <c r="E405">
        <v>1774</v>
      </c>
      <c r="F405" t="s">
        <v>3262</v>
      </c>
      <c r="G405">
        <v>158294.01999999999</v>
      </c>
      <c r="H405" t="s">
        <v>573</v>
      </c>
      <c r="I405">
        <v>81.06</v>
      </c>
      <c r="J405" t="s">
        <v>3263</v>
      </c>
      <c r="K405">
        <v>89.23</v>
      </c>
      <c r="L405" s="1">
        <v>45275</v>
      </c>
      <c r="M405">
        <f>G405*IF(D405="INR",1,INDEX('rates'!$B$2:$B$522,MATCH(B405,'rates'!$A$2:$A$522,1)))</f>
        <v>13182725.985599998</v>
      </c>
      <c r="N405">
        <f t="shared" si="6"/>
        <v>60</v>
      </c>
    </row>
    <row r="406" spans="1:14" x14ac:dyDescent="0.3">
      <c r="A406" t="s">
        <v>3670</v>
      </c>
      <c r="B406" s="1">
        <v>45230</v>
      </c>
      <c r="C406" t="s">
        <v>566</v>
      </c>
      <c r="D406" t="s">
        <v>36</v>
      </c>
      <c r="E406">
        <v>2445</v>
      </c>
      <c r="F406" t="s">
        <v>3262</v>
      </c>
      <c r="G406">
        <v>213986.4</v>
      </c>
      <c r="H406" t="s">
        <v>573</v>
      </c>
      <c r="I406">
        <v>85.07</v>
      </c>
      <c r="J406" t="s">
        <v>3263</v>
      </c>
      <c r="K406">
        <v>87.52</v>
      </c>
      <c r="L406" s="1">
        <v>45275</v>
      </c>
      <c r="M406">
        <f>G406*IF(D406="INR",1,INDEX('rates'!$B$2:$B$522,MATCH(B406,'rates'!$A$2:$A$522,1)))</f>
        <v>17816507.664000001</v>
      </c>
      <c r="N406">
        <f t="shared" si="6"/>
        <v>45</v>
      </c>
    </row>
    <row r="407" spans="1:14" x14ac:dyDescent="0.3">
      <c r="A407" t="s">
        <v>3671</v>
      </c>
      <c r="B407" s="1">
        <v>45230</v>
      </c>
      <c r="C407" t="s">
        <v>566</v>
      </c>
      <c r="D407" t="s">
        <v>36</v>
      </c>
      <c r="E407">
        <v>523</v>
      </c>
      <c r="F407" t="s">
        <v>3262</v>
      </c>
      <c r="G407">
        <v>44779.26</v>
      </c>
      <c r="H407" t="s">
        <v>573</v>
      </c>
      <c r="I407">
        <v>85.07</v>
      </c>
      <c r="J407" t="s">
        <v>3263</v>
      </c>
      <c r="K407">
        <v>85.62</v>
      </c>
      <c r="L407" s="1">
        <v>45275</v>
      </c>
      <c r="M407">
        <f>G407*IF(D407="INR",1,INDEX('rates'!$B$2:$B$522,MATCH(B407,'rates'!$A$2:$A$522,1)))</f>
        <v>3728321.1876000003</v>
      </c>
      <c r="N407">
        <f t="shared" si="6"/>
        <v>45</v>
      </c>
    </row>
    <row r="408" spans="1:14" x14ac:dyDescent="0.3">
      <c r="A408" t="s">
        <v>3635</v>
      </c>
      <c r="B408" s="1">
        <v>45216</v>
      </c>
      <c r="C408" t="s">
        <v>575</v>
      </c>
      <c r="D408" t="s">
        <v>36</v>
      </c>
      <c r="E408">
        <v>845</v>
      </c>
      <c r="F408" t="s">
        <v>3262</v>
      </c>
      <c r="G408">
        <v>78289.25</v>
      </c>
      <c r="H408" t="s">
        <v>573</v>
      </c>
      <c r="I408">
        <v>80.680000000000007</v>
      </c>
      <c r="J408" t="s">
        <v>3263</v>
      </c>
      <c r="K408">
        <v>92.65</v>
      </c>
      <c r="L408" s="1">
        <v>45276</v>
      </c>
      <c r="M408">
        <f>G408*IF(D408="INR",1,INDEX('rates'!$B$2:$B$522,MATCH(B408,'rates'!$A$2:$A$522,1)))</f>
        <v>6515231.3849999998</v>
      </c>
      <c r="N408">
        <f t="shared" si="6"/>
        <v>60</v>
      </c>
    </row>
    <row r="409" spans="1:14" x14ac:dyDescent="0.3">
      <c r="A409" t="s">
        <v>3636</v>
      </c>
      <c r="B409" s="1">
        <v>45216</v>
      </c>
      <c r="C409" t="s">
        <v>566</v>
      </c>
      <c r="D409" t="s">
        <v>13</v>
      </c>
      <c r="E409">
        <v>121783</v>
      </c>
      <c r="F409" t="s">
        <v>3270</v>
      </c>
      <c r="G409">
        <v>9363894.8699999992</v>
      </c>
      <c r="H409" t="s">
        <v>556</v>
      </c>
      <c r="J409" t="s">
        <v>3271</v>
      </c>
      <c r="K409">
        <v>76.89</v>
      </c>
      <c r="L409" s="1">
        <v>45276</v>
      </c>
      <c r="M409">
        <f>G409*IF(D409="INR",1,INDEX('rates'!$B$2:$B$522,MATCH(B409,'rates'!$A$2:$A$522,1)))</f>
        <v>9363894.8699999992</v>
      </c>
      <c r="N409">
        <f t="shared" si="6"/>
        <v>60</v>
      </c>
    </row>
    <row r="410" spans="1:14" x14ac:dyDescent="0.3">
      <c r="A410" t="s">
        <v>3637</v>
      </c>
      <c r="B410" s="1">
        <v>45216</v>
      </c>
      <c r="C410" t="s">
        <v>560</v>
      </c>
      <c r="D410" t="s">
        <v>36</v>
      </c>
      <c r="E410">
        <v>561</v>
      </c>
      <c r="F410" t="s">
        <v>3262</v>
      </c>
      <c r="G410">
        <v>51073.440000000002</v>
      </c>
      <c r="H410" t="s">
        <v>556</v>
      </c>
      <c r="J410" t="s">
        <v>3263</v>
      </c>
      <c r="K410">
        <v>91.04</v>
      </c>
      <c r="L410" s="1">
        <v>45276</v>
      </c>
      <c r="M410">
        <f>G410*IF(D410="INR",1,INDEX('rates'!$B$2:$B$522,MATCH(B410,'rates'!$A$2:$A$522,1)))</f>
        <v>4250331.6768000005</v>
      </c>
      <c r="N410">
        <f t="shared" si="6"/>
        <v>60</v>
      </c>
    </row>
    <row r="411" spans="1:14" x14ac:dyDescent="0.3">
      <c r="A411" t="s">
        <v>3693</v>
      </c>
      <c r="B411" s="1">
        <v>45246</v>
      </c>
      <c r="C411" t="s">
        <v>560</v>
      </c>
      <c r="D411" t="s">
        <v>36</v>
      </c>
      <c r="E411">
        <v>531</v>
      </c>
      <c r="F411" t="s">
        <v>3262</v>
      </c>
      <c r="G411">
        <v>41821.56</v>
      </c>
      <c r="H411" t="s">
        <v>556</v>
      </c>
      <c r="J411" t="s">
        <v>3263</v>
      </c>
      <c r="K411">
        <v>78.760000000000005</v>
      </c>
      <c r="L411" s="1">
        <v>45276</v>
      </c>
      <c r="M411">
        <f>G411*IF(D411="INR",1,INDEX('rates'!$B$2:$B$522,MATCH(B411,'rates'!$A$2:$A$522,1)))</f>
        <v>3480390.2231999999</v>
      </c>
      <c r="N411">
        <f t="shared" si="6"/>
        <v>30</v>
      </c>
    </row>
    <row r="412" spans="1:14" x14ac:dyDescent="0.3">
      <c r="A412" t="s">
        <v>3677</v>
      </c>
      <c r="B412" s="1">
        <v>45233</v>
      </c>
      <c r="C412" t="s">
        <v>558</v>
      </c>
      <c r="D412" t="s">
        <v>36</v>
      </c>
      <c r="E412">
        <v>256</v>
      </c>
      <c r="F412" t="s">
        <v>3262</v>
      </c>
      <c r="G412">
        <v>21992.959999999999</v>
      </c>
      <c r="H412" t="s">
        <v>556</v>
      </c>
      <c r="J412" t="s">
        <v>3263</v>
      </c>
      <c r="K412">
        <v>85.91</v>
      </c>
      <c r="L412" s="1">
        <v>45278</v>
      </c>
      <c r="M412">
        <f>G412*IF(D412="INR",1,INDEX('rates'!$B$2:$B$522,MATCH(B412,'rates'!$A$2:$A$522,1)))</f>
        <v>1828494.6943999999</v>
      </c>
      <c r="N412">
        <f t="shared" si="6"/>
        <v>45</v>
      </c>
    </row>
    <row r="413" spans="1:14" x14ac:dyDescent="0.3">
      <c r="A413" t="s">
        <v>3678</v>
      </c>
      <c r="B413" s="1">
        <v>45233</v>
      </c>
      <c r="C413" t="s">
        <v>575</v>
      </c>
      <c r="D413" t="s">
        <v>36</v>
      </c>
      <c r="E413">
        <v>894</v>
      </c>
      <c r="F413" t="s">
        <v>3262</v>
      </c>
      <c r="G413">
        <v>77080.679999999993</v>
      </c>
      <c r="H413" t="s">
        <v>556</v>
      </c>
      <c r="J413" t="s">
        <v>3263</v>
      </c>
      <c r="K413">
        <v>86.22</v>
      </c>
      <c r="L413" s="1">
        <v>45278</v>
      </c>
      <c r="M413">
        <f>G413*IF(D413="INR",1,INDEX('rates'!$B$2:$B$522,MATCH(B413,'rates'!$A$2:$A$522,1)))</f>
        <v>6408487.7351999991</v>
      </c>
      <c r="N413">
        <f t="shared" si="6"/>
        <v>45</v>
      </c>
    </row>
    <row r="414" spans="1:14" x14ac:dyDescent="0.3">
      <c r="A414" t="s">
        <v>3641</v>
      </c>
      <c r="B414" s="1">
        <v>45219</v>
      </c>
      <c r="C414" t="s">
        <v>560</v>
      </c>
      <c r="D414" t="s">
        <v>36</v>
      </c>
      <c r="E414">
        <v>2679</v>
      </c>
      <c r="F414" t="s">
        <v>3262</v>
      </c>
      <c r="G414">
        <v>248798.73</v>
      </c>
      <c r="H414" t="s">
        <v>556</v>
      </c>
      <c r="J414" t="s">
        <v>3263</v>
      </c>
      <c r="K414">
        <v>92.87</v>
      </c>
      <c r="L414" s="1">
        <v>45279</v>
      </c>
      <c r="M414">
        <f>G414*IF(D414="INR",1,INDEX('rates'!$B$2:$B$522,MATCH(B414,'rates'!$A$2:$A$522,1)))</f>
        <v>20685126.4122</v>
      </c>
      <c r="N414">
        <f t="shared" si="6"/>
        <v>60</v>
      </c>
    </row>
    <row r="415" spans="1:14" x14ac:dyDescent="0.3">
      <c r="A415" t="s">
        <v>3702</v>
      </c>
      <c r="B415" s="1">
        <v>45250</v>
      </c>
      <c r="C415" t="s">
        <v>566</v>
      </c>
      <c r="D415" t="s">
        <v>36</v>
      </c>
      <c r="E415">
        <v>1024</v>
      </c>
      <c r="F415" t="s">
        <v>3262</v>
      </c>
      <c r="G415">
        <v>82984.960000000006</v>
      </c>
      <c r="H415" t="s">
        <v>573</v>
      </c>
      <c r="I415">
        <v>85.87</v>
      </c>
      <c r="J415" t="s">
        <v>3263</v>
      </c>
      <c r="K415">
        <v>81.040000000000006</v>
      </c>
      <c r="L415" s="1">
        <v>45280</v>
      </c>
      <c r="M415">
        <f>G415*IF(D415="INR",1,INDEX('rates'!$B$2:$B$522,MATCH(B415,'rates'!$A$2:$A$522,1)))</f>
        <v>6915136.7168000005</v>
      </c>
      <c r="N415">
        <f t="shared" si="6"/>
        <v>30</v>
      </c>
    </row>
    <row r="416" spans="1:14" x14ac:dyDescent="0.3">
      <c r="A416" t="s">
        <v>3679</v>
      </c>
      <c r="B416" s="1">
        <v>45236</v>
      </c>
      <c r="C416" t="s">
        <v>554</v>
      </c>
      <c r="D416" t="s">
        <v>36</v>
      </c>
      <c r="E416">
        <v>3971</v>
      </c>
      <c r="F416" t="s">
        <v>3262</v>
      </c>
      <c r="G416">
        <v>346946.27</v>
      </c>
      <c r="H416" t="s">
        <v>573</v>
      </c>
      <c r="I416">
        <v>88.75</v>
      </c>
      <c r="J416" t="s">
        <v>3263</v>
      </c>
      <c r="K416">
        <v>87.37</v>
      </c>
      <c r="L416" s="1">
        <v>45281</v>
      </c>
      <c r="M416">
        <f>G416*IF(D416="INR",1,INDEX('rates'!$B$2:$B$522,MATCH(B416,'rates'!$A$2:$A$522,1)))</f>
        <v>28862460.201299999</v>
      </c>
      <c r="N416">
        <f t="shared" si="6"/>
        <v>45</v>
      </c>
    </row>
    <row r="417" spans="1:14" x14ac:dyDescent="0.3">
      <c r="A417" t="s">
        <v>3682</v>
      </c>
      <c r="B417" s="1">
        <v>45237</v>
      </c>
      <c r="C417" t="s">
        <v>575</v>
      </c>
      <c r="D417" t="s">
        <v>36</v>
      </c>
      <c r="E417">
        <v>436</v>
      </c>
      <c r="F417" t="s">
        <v>3262</v>
      </c>
      <c r="G417">
        <v>36968.44</v>
      </c>
      <c r="H417" t="s">
        <v>573</v>
      </c>
      <c r="I417">
        <v>90.25</v>
      </c>
      <c r="J417" t="s">
        <v>3263</v>
      </c>
      <c r="K417">
        <v>84.79</v>
      </c>
      <c r="L417" s="1">
        <v>45282</v>
      </c>
      <c r="M417">
        <f>G417*IF(D417="INR",1,INDEX('rates'!$B$2:$B$522,MATCH(B417,'rates'!$A$2:$A$522,1)))</f>
        <v>3076513.5767999999</v>
      </c>
      <c r="N417">
        <f t="shared" si="6"/>
        <v>45</v>
      </c>
    </row>
    <row r="418" spans="1:14" x14ac:dyDescent="0.3">
      <c r="A418" t="s">
        <v>3706</v>
      </c>
      <c r="B418" s="1">
        <v>45252</v>
      </c>
      <c r="C418" t="s">
        <v>575</v>
      </c>
      <c r="D418" t="s">
        <v>36</v>
      </c>
      <c r="E418">
        <v>1764</v>
      </c>
      <c r="F418" t="s">
        <v>3262</v>
      </c>
      <c r="G418">
        <v>144365.76000000001</v>
      </c>
      <c r="H418" t="s">
        <v>573</v>
      </c>
      <c r="I418">
        <v>85.09</v>
      </c>
      <c r="J418" t="s">
        <v>3263</v>
      </c>
      <c r="K418">
        <v>81.84</v>
      </c>
      <c r="L418" s="1">
        <v>45282</v>
      </c>
      <c r="M418">
        <f>G418*IF(D418="INR",1,INDEX('rates'!$B$2:$B$522,MATCH(B418,'rates'!$A$2:$A$522,1)))</f>
        <v>12024224.150400002</v>
      </c>
      <c r="N418">
        <f t="shared" si="6"/>
        <v>30</v>
      </c>
    </row>
    <row r="419" spans="1:14" x14ac:dyDescent="0.3">
      <c r="A419" t="s">
        <v>3707</v>
      </c>
      <c r="B419" s="1">
        <v>45252</v>
      </c>
      <c r="C419" t="s">
        <v>566</v>
      </c>
      <c r="D419" t="s">
        <v>13</v>
      </c>
      <c r="E419">
        <v>46432</v>
      </c>
      <c r="F419" t="s">
        <v>3270</v>
      </c>
      <c r="G419">
        <v>3426217.28</v>
      </c>
      <c r="H419" t="s">
        <v>556</v>
      </c>
      <c r="J419" t="s">
        <v>3271</v>
      </c>
      <c r="K419">
        <v>73.790000000000006</v>
      </c>
      <c r="L419" s="1">
        <v>45282</v>
      </c>
      <c r="M419">
        <f>G419*IF(D419="INR",1,INDEX('rates'!$B$2:$B$522,MATCH(B419,'rates'!$A$2:$A$522,1)))</f>
        <v>3426217.28</v>
      </c>
      <c r="N419">
        <f t="shared" si="6"/>
        <v>30</v>
      </c>
    </row>
    <row r="420" spans="1:14" x14ac:dyDescent="0.3">
      <c r="A420" t="s">
        <v>3709</v>
      </c>
      <c r="B420" s="1">
        <v>45253</v>
      </c>
      <c r="C420" t="s">
        <v>558</v>
      </c>
      <c r="D420" t="s">
        <v>36</v>
      </c>
      <c r="E420">
        <v>763</v>
      </c>
      <c r="F420" t="s">
        <v>3262</v>
      </c>
      <c r="G420">
        <v>62253.17</v>
      </c>
      <c r="H420" t="s">
        <v>556</v>
      </c>
      <c r="J420" t="s">
        <v>3263</v>
      </c>
      <c r="K420">
        <v>81.59</v>
      </c>
      <c r="L420" s="1">
        <v>45283</v>
      </c>
      <c r="M420">
        <f>G420*IF(D420="INR",1,INDEX('rates'!$B$2:$B$522,MATCH(B420,'rates'!$A$2:$A$522,1)))</f>
        <v>5185066.5293000005</v>
      </c>
      <c r="N420">
        <f t="shared" si="6"/>
        <v>30</v>
      </c>
    </row>
    <row r="421" spans="1:14" x14ac:dyDescent="0.3">
      <c r="A421" t="s">
        <v>3653</v>
      </c>
      <c r="B421" s="1">
        <v>45225</v>
      </c>
      <c r="C421" t="s">
        <v>575</v>
      </c>
      <c r="D421" t="s">
        <v>13</v>
      </c>
      <c r="E421">
        <v>60173</v>
      </c>
      <c r="F421" t="s">
        <v>3270</v>
      </c>
      <c r="G421">
        <v>4038210.03</v>
      </c>
      <c r="H421" t="s">
        <v>556</v>
      </c>
      <c r="J421" t="s">
        <v>3271</v>
      </c>
      <c r="K421">
        <v>67.11</v>
      </c>
      <c r="L421" s="1">
        <v>45285</v>
      </c>
      <c r="M421">
        <f>G421*IF(D421="INR",1,INDEX('rates'!$B$2:$B$522,MATCH(B421,'rates'!$A$2:$A$522,1)))</f>
        <v>4038210.03</v>
      </c>
      <c r="N421">
        <f t="shared" si="6"/>
        <v>60</v>
      </c>
    </row>
    <row r="422" spans="1:14" x14ac:dyDescent="0.3">
      <c r="A422" t="s">
        <v>3654</v>
      </c>
      <c r="B422" s="1">
        <v>45225</v>
      </c>
      <c r="C422" t="s">
        <v>554</v>
      </c>
      <c r="D422" t="s">
        <v>13</v>
      </c>
      <c r="E422">
        <v>27199</v>
      </c>
      <c r="F422" t="s">
        <v>3270</v>
      </c>
      <c r="G422">
        <v>2290427.79</v>
      </c>
      <c r="H422" t="s">
        <v>556</v>
      </c>
      <c r="J422" t="s">
        <v>3271</v>
      </c>
      <c r="K422">
        <v>84.21</v>
      </c>
      <c r="L422" s="1">
        <v>45285</v>
      </c>
      <c r="M422">
        <f>G422*IF(D422="INR",1,INDEX('rates'!$B$2:$B$522,MATCH(B422,'rates'!$A$2:$A$522,1)))</f>
        <v>2290427.79</v>
      </c>
      <c r="N422">
        <f t="shared" si="6"/>
        <v>60</v>
      </c>
    </row>
    <row r="423" spans="1:14" x14ac:dyDescent="0.3">
      <c r="A423" t="s">
        <v>3655</v>
      </c>
      <c r="B423" s="1">
        <v>45225</v>
      </c>
      <c r="C423" t="s">
        <v>554</v>
      </c>
      <c r="D423" t="s">
        <v>36</v>
      </c>
      <c r="E423">
        <v>540</v>
      </c>
      <c r="F423" t="s">
        <v>3262</v>
      </c>
      <c r="G423">
        <v>47331</v>
      </c>
      <c r="H423" t="s">
        <v>573</v>
      </c>
      <c r="I423">
        <v>86.19</v>
      </c>
      <c r="J423" t="s">
        <v>3263</v>
      </c>
      <c r="K423">
        <v>87.65</v>
      </c>
      <c r="L423" s="1">
        <v>45285</v>
      </c>
      <c r="M423">
        <f>G423*IF(D423="INR",1,INDEX('rates'!$B$2:$B$522,MATCH(B423,'rates'!$A$2:$A$522,1)))</f>
        <v>3939832.44</v>
      </c>
      <c r="N423">
        <f t="shared" si="6"/>
        <v>60</v>
      </c>
    </row>
    <row r="424" spans="1:14" x14ac:dyDescent="0.3">
      <c r="A424" t="s">
        <v>3657</v>
      </c>
      <c r="B424" s="1">
        <v>45226</v>
      </c>
      <c r="C424" t="s">
        <v>566</v>
      </c>
      <c r="D424" t="s">
        <v>36</v>
      </c>
      <c r="E424">
        <v>380</v>
      </c>
      <c r="F424" t="s">
        <v>3262</v>
      </c>
      <c r="G424">
        <v>33861.800000000003</v>
      </c>
      <c r="H424" t="s">
        <v>573</v>
      </c>
      <c r="I424">
        <v>86.19</v>
      </c>
      <c r="J424" t="s">
        <v>3263</v>
      </c>
      <c r="K424">
        <v>89.11</v>
      </c>
      <c r="L424" s="1">
        <v>45286</v>
      </c>
      <c r="M424">
        <f>G424*IF(D424="INR",1,INDEX('rates'!$B$2:$B$522,MATCH(B424,'rates'!$A$2:$A$522,1)))</f>
        <v>2819672.0860000001</v>
      </c>
      <c r="N424">
        <f t="shared" si="6"/>
        <v>60</v>
      </c>
    </row>
    <row r="425" spans="1:14" x14ac:dyDescent="0.3">
      <c r="A425" t="s">
        <v>3715</v>
      </c>
      <c r="B425" s="1">
        <v>45258</v>
      </c>
      <c r="C425" t="s">
        <v>560</v>
      </c>
      <c r="D425" t="s">
        <v>36</v>
      </c>
      <c r="E425">
        <v>624</v>
      </c>
      <c r="F425" t="s">
        <v>3262</v>
      </c>
      <c r="G425">
        <v>51130.559999999998</v>
      </c>
      <c r="H425" t="s">
        <v>556</v>
      </c>
      <c r="J425" t="s">
        <v>3263</v>
      </c>
      <c r="K425">
        <v>81.94</v>
      </c>
      <c r="L425" s="1">
        <v>45288</v>
      </c>
      <c r="M425">
        <f>G425*IF(D425="INR",1,INDEX('rates'!$B$2:$B$522,MATCH(B425,'rates'!$A$2:$A$522,1)))</f>
        <v>4260709.5647999998</v>
      </c>
      <c r="N425">
        <f t="shared" si="6"/>
        <v>30</v>
      </c>
    </row>
    <row r="426" spans="1:14" x14ac:dyDescent="0.3">
      <c r="A426" t="s">
        <v>3692</v>
      </c>
      <c r="B426" s="1">
        <v>45245</v>
      </c>
      <c r="C426" t="s">
        <v>575</v>
      </c>
      <c r="D426" t="s">
        <v>36</v>
      </c>
      <c r="E426">
        <v>216</v>
      </c>
      <c r="F426" t="s">
        <v>3262</v>
      </c>
      <c r="G426">
        <v>17707.68</v>
      </c>
      <c r="H426" t="s">
        <v>573</v>
      </c>
      <c r="I426">
        <v>86.06</v>
      </c>
      <c r="J426" t="s">
        <v>3263</v>
      </c>
      <c r="K426">
        <v>81.98</v>
      </c>
      <c r="L426" s="1">
        <v>45290</v>
      </c>
      <c r="M426">
        <f>G426*IF(D426="INR",1,INDEX('rates'!$B$2:$B$522,MATCH(B426,'rates'!$A$2:$A$522,1)))</f>
        <v>1471685.2848</v>
      </c>
      <c r="N426">
        <f t="shared" si="6"/>
        <v>45</v>
      </c>
    </row>
    <row r="427" spans="1:14" x14ac:dyDescent="0.3">
      <c r="A427" t="s">
        <v>3672</v>
      </c>
      <c r="B427" s="1">
        <v>45231</v>
      </c>
      <c r="C427" t="s">
        <v>558</v>
      </c>
      <c r="D427" t="s">
        <v>36</v>
      </c>
      <c r="E427">
        <v>560</v>
      </c>
      <c r="F427" t="s">
        <v>3262</v>
      </c>
      <c r="G427">
        <v>46440.800000000003</v>
      </c>
      <c r="H427" t="s">
        <v>556</v>
      </c>
      <c r="J427" t="s">
        <v>3263</v>
      </c>
      <c r="K427">
        <v>82.93</v>
      </c>
      <c r="L427" s="1">
        <v>45291</v>
      </c>
      <c r="M427">
        <f>G427*IF(D427="INR",1,INDEX('rates'!$B$2:$B$522,MATCH(B427,'rates'!$A$2:$A$522,1)))</f>
        <v>3865732.1919999998</v>
      </c>
      <c r="N427">
        <f t="shared" si="6"/>
        <v>60</v>
      </c>
    </row>
    <row r="428" spans="1:14" x14ac:dyDescent="0.3">
      <c r="A428" t="s">
        <v>3718</v>
      </c>
      <c r="B428" s="1">
        <v>45261</v>
      </c>
      <c r="C428" t="s">
        <v>566</v>
      </c>
      <c r="D428" t="s">
        <v>36</v>
      </c>
      <c r="E428">
        <v>1574</v>
      </c>
      <c r="F428" t="s">
        <v>3262</v>
      </c>
      <c r="G428">
        <v>121135.03999999999</v>
      </c>
      <c r="H428" t="s">
        <v>573</v>
      </c>
      <c r="I428">
        <v>91.51</v>
      </c>
      <c r="J428" t="s">
        <v>3263</v>
      </c>
      <c r="K428">
        <v>76.959999999999994</v>
      </c>
      <c r="L428" s="1">
        <v>45291</v>
      </c>
      <c r="M428">
        <f>G428*IF(D428="INR",1,INDEX('rates'!$B$2:$B$522,MATCH(B428,'rates'!$A$2:$A$522,1)))</f>
        <v>10086914.7808</v>
      </c>
      <c r="N428">
        <f t="shared" si="6"/>
        <v>30</v>
      </c>
    </row>
    <row r="429" spans="1:14" x14ac:dyDescent="0.3">
      <c r="A429" t="s">
        <v>3724</v>
      </c>
      <c r="B429" s="1">
        <v>45261</v>
      </c>
      <c r="C429" t="s">
        <v>560</v>
      </c>
      <c r="D429" t="s">
        <v>36</v>
      </c>
      <c r="E429">
        <v>1824</v>
      </c>
      <c r="F429" t="s">
        <v>3262</v>
      </c>
      <c r="G429">
        <v>139882.56</v>
      </c>
      <c r="H429" t="s">
        <v>573</v>
      </c>
      <c r="I429">
        <v>91.51</v>
      </c>
      <c r="J429" t="s">
        <v>3263</v>
      </c>
      <c r="K429">
        <v>76.69</v>
      </c>
      <c r="L429" s="1">
        <v>45291</v>
      </c>
      <c r="M429">
        <f>G429*IF(D429="INR",1,INDEX('rates'!$B$2:$B$522,MATCH(B429,'rates'!$A$2:$A$522,1)))</f>
        <v>11648020.771199999</v>
      </c>
      <c r="N429">
        <f t="shared" si="6"/>
        <v>30</v>
      </c>
    </row>
    <row r="430" spans="1:14" x14ac:dyDescent="0.3">
      <c r="A430" t="s">
        <v>3725</v>
      </c>
      <c r="B430" s="1">
        <v>45261</v>
      </c>
      <c r="C430" t="s">
        <v>575</v>
      </c>
      <c r="D430" t="s">
        <v>13</v>
      </c>
      <c r="E430">
        <v>99308</v>
      </c>
      <c r="F430" t="s">
        <v>3270</v>
      </c>
      <c r="G430">
        <v>8245543.2400000002</v>
      </c>
      <c r="H430" t="s">
        <v>556</v>
      </c>
      <c r="J430" t="s">
        <v>3271</v>
      </c>
      <c r="K430">
        <v>83.03</v>
      </c>
      <c r="L430" s="1">
        <v>45291</v>
      </c>
      <c r="M430">
        <f>G430*IF(D430="INR",1,INDEX('rates'!$B$2:$B$522,MATCH(B430,'rates'!$A$2:$A$522,1)))</f>
        <v>8245543.2400000002</v>
      </c>
      <c r="N430">
        <f t="shared" si="6"/>
        <v>30</v>
      </c>
    </row>
    <row r="431" spans="1:14" x14ac:dyDescent="0.3">
      <c r="A431" t="s">
        <v>3727</v>
      </c>
      <c r="B431" s="1">
        <v>45261</v>
      </c>
      <c r="C431" t="s">
        <v>554</v>
      </c>
      <c r="D431" t="s">
        <v>13</v>
      </c>
      <c r="E431">
        <v>23809</v>
      </c>
      <c r="F431" t="s">
        <v>3270</v>
      </c>
      <c r="G431">
        <v>1860197.17</v>
      </c>
      <c r="H431" t="s">
        <v>556</v>
      </c>
      <c r="J431" t="s">
        <v>3271</v>
      </c>
      <c r="K431">
        <v>78.13</v>
      </c>
      <c r="L431" s="1">
        <v>45291</v>
      </c>
      <c r="M431">
        <f>G431*IF(D431="INR",1,INDEX('rates'!$B$2:$B$522,MATCH(B431,'rates'!$A$2:$A$522,1)))</f>
        <v>1860197.17</v>
      </c>
      <c r="N431">
        <f t="shared" si="6"/>
        <v>30</v>
      </c>
    </row>
    <row r="432" spans="1:14" x14ac:dyDescent="0.3">
      <c r="A432" t="s">
        <v>3728</v>
      </c>
      <c r="B432" s="1">
        <v>45261</v>
      </c>
      <c r="C432" t="s">
        <v>560</v>
      </c>
      <c r="D432" t="s">
        <v>36</v>
      </c>
      <c r="E432">
        <v>1585</v>
      </c>
      <c r="F432" t="s">
        <v>3262</v>
      </c>
      <c r="G432">
        <v>124184.75</v>
      </c>
      <c r="H432" t="s">
        <v>573</v>
      </c>
      <c r="I432">
        <v>91.51</v>
      </c>
      <c r="J432" t="s">
        <v>3263</v>
      </c>
      <c r="K432">
        <v>78.349999999999994</v>
      </c>
      <c r="L432" s="1">
        <v>45291</v>
      </c>
      <c r="M432">
        <f>G432*IF(D432="INR",1,INDEX('rates'!$B$2:$B$522,MATCH(B432,'rates'!$A$2:$A$522,1)))</f>
        <v>10340864.1325</v>
      </c>
      <c r="N432">
        <f t="shared" si="6"/>
        <v>30</v>
      </c>
    </row>
    <row r="433" spans="1:14" x14ac:dyDescent="0.3">
      <c r="A433" t="s">
        <v>3730</v>
      </c>
      <c r="B433" s="1">
        <v>45261</v>
      </c>
      <c r="C433" t="s">
        <v>560</v>
      </c>
      <c r="D433" t="s">
        <v>36</v>
      </c>
      <c r="E433">
        <v>992</v>
      </c>
      <c r="F433" t="s">
        <v>3262</v>
      </c>
      <c r="G433">
        <v>75669.759999999995</v>
      </c>
      <c r="H433" t="s">
        <v>573</v>
      </c>
      <c r="I433">
        <v>91.51</v>
      </c>
      <c r="J433" t="s">
        <v>3263</v>
      </c>
      <c r="K433">
        <v>76.28</v>
      </c>
      <c r="L433" s="1">
        <v>45291</v>
      </c>
      <c r="M433">
        <f>G433*IF(D433="INR",1,INDEX('rates'!$B$2:$B$522,MATCH(B433,'rates'!$A$2:$A$522,1)))</f>
        <v>6301020.9151999997</v>
      </c>
      <c r="N433">
        <f t="shared" si="6"/>
        <v>30</v>
      </c>
    </row>
    <row r="434" spans="1:14" x14ac:dyDescent="0.3">
      <c r="A434" t="s">
        <v>3673</v>
      </c>
      <c r="B434" s="1">
        <v>45232</v>
      </c>
      <c r="C434" t="s">
        <v>575</v>
      </c>
      <c r="D434" t="s">
        <v>36</v>
      </c>
      <c r="E434">
        <v>1312</v>
      </c>
      <c r="F434" t="s">
        <v>3262</v>
      </c>
      <c r="G434">
        <v>110824.64</v>
      </c>
      <c r="H434" t="s">
        <v>556</v>
      </c>
      <c r="J434" t="s">
        <v>3263</v>
      </c>
      <c r="K434">
        <v>84.47</v>
      </c>
      <c r="L434" s="1">
        <v>45292</v>
      </c>
      <c r="M434">
        <f>G434*IF(D434="INR",1,INDEX('rates'!$B$2:$B$522,MATCH(B434,'rates'!$A$2:$A$522,1)))</f>
        <v>9222826.5407999996</v>
      </c>
      <c r="N434">
        <f t="shared" si="6"/>
        <v>60</v>
      </c>
    </row>
    <row r="435" spans="1:14" x14ac:dyDescent="0.3">
      <c r="A435" t="s">
        <v>3674</v>
      </c>
      <c r="B435" s="1">
        <v>45232</v>
      </c>
      <c r="C435" t="s">
        <v>566</v>
      </c>
      <c r="D435" t="s">
        <v>36</v>
      </c>
      <c r="E435">
        <v>885</v>
      </c>
      <c r="F435" t="s">
        <v>3262</v>
      </c>
      <c r="G435">
        <v>77871.149999999994</v>
      </c>
      <c r="H435" t="s">
        <v>556</v>
      </c>
      <c r="J435" t="s">
        <v>3263</v>
      </c>
      <c r="K435">
        <v>87.99</v>
      </c>
      <c r="L435" s="1">
        <v>45292</v>
      </c>
      <c r="M435">
        <f>G435*IF(D435="INR",1,INDEX('rates'!$B$2:$B$522,MATCH(B435,'rates'!$A$2:$A$522,1)))</f>
        <v>6480437.1029999992</v>
      </c>
      <c r="N435">
        <f t="shared" si="6"/>
        <v>60</v>
      </c>
    </row>
    <row r="436" spans="1:14" x14ac:dyDescent="0.3">
      <c r="A436" t="s">
        <v>3694</v>
      </c>
      <c r="B436" s="1">
        <v>45247</v>
      </c>
      <c r="C436" t="s">
        <v>558</v>
      </c>
      <c r="D436" t="s">
        <v>36</v>
      </c>
      <c r="E436">
        <v>771</v>
      </c>
      <c r="F436" t="s">
        <v>3262</v>
      </c>
      <c r="G436">
        <v>62952.15</v>
      </c>
      <c r="H436" t="s">
        <v>556</v>
      </c>
      <c r="J436" t="s">
        <v>3263</v>
      </c>
      <c r="K436">
        <v>81.650000000000006</v>
      </c>
      <c r="L436" s="1">
        <v>45292</v>
      </c>
      <c r="M436">
        <f>G436*IF(D436="INR",1,INDEX('rates'!$B$2:$B$522,MATCH(B436,'rates'!$A$2:$A$522,1)))</f>
        <v>5240766.4874999998</v>
      </c>
      <c r="N436">
        <f t="shared" si="6"/>
        <v>45</v>
      </c>
    </row>
    <row r="437" spans="1:14" x14ac:dyDescent="0.3">
      <c r="A437" t="s">
        <v>3696</v>
      </c>
      <c r="B437" s="1">
        <v>45247</v>
      </c>
      <c r="C437" t="s">
        <v>566</v>
      </c>
      <c r="D437" t="s">
        <v>36</v>
      </c>
      <c r="E437">
        <v>287</v>
      </c>
      <c r="F437" t="s">
        <v>3262</v>
      </c>
      <c r="G437">
        <v>23183.86</v>
      </c>
      <c r="H437" t="s">
        <v>573</v>
      </c>
      <c r="I437">
        <v>86.94</v>
      </c>
      <c r="J437" t="s">
        <v>3263</v>
      </c>
      <c r="K437">
        <v>80.78</v>
      </c>
      <c r="L437" s="1">
        <v>45292</v>
      </c>
      <c r="M437">
        <f>G437*IF(D437="INR",1,INDEX('rates'!$B$2:$B$522,MATCH(B437,'rates'!$A$2:$A$522,1)))</f>
        <v>1930056.345</v>
      </c>
      <c r="N437">
        <f t="shared" si="6"/>
        <v>45</v>
      </c>
    </row>
    <row r="438" spans="1:14" x14ac:dyDescent="0.3">
      <c r="A438" t="s">
        <v>3698</v>
      </c>
      <c r="B438" s="1">
        <v>45247</v>
      </c>
      <c r="C438" t="s">
        <v>560</v>
      </c>
      <c r="D438" t="s">
        <v>36</v>
      </c>
      <c r="E438">
        <v>597</v>
      </c>
      <c r="F438" t="s">
        <v>3262</v>
      </c>
      <c r="G438">
        <v>48644</v>
      </c>
      <c r="H438" t="s">
        <v>556</v>
      </c>
      <c r="J438" t="s">
        <v>3263</v>
      </c>
      <c r="K438">
        <v>81.48</v>
      </c>
      <c r="L438" s="1">
        <v>45292</v>
      </c>
      <c r="M438">
        <f>G438*IF(D438="INR",1,INDEX('rates'!$B$2:$B$522,MATCH(B438,'rates'!$A$2:$A$522,1)))</f>
        <v>4049613</v>
      </c>
      <c r="N438">
        <f t="shared" si="6"/>
        <v>45</v>
      </c>
    </row>
    <row r="439" spans="1:14" x14ac:dyDescent="0.3">
      <c r="A439" t="s">
        <v>3675</v>
      </c>
      <c r="B439" s="1">
        <v>45233</v>
      </c>
      <c r="C439" t="s">
        <v>575</v>
      </c>
      <c r="D439" t="s">
        <v>36</v>
      </c>
      <c r="E439">
        <v>304</v>
      </c>
      <c r="F439" t="s">
        <v>3262</v>
      </c>
      <c r="G439">
        <v>26494</v>
      </c>
      <c r="H439" t="s">
        <v>556</v>
      </c>
      <c r="J439" t="s">
        <v>3263</v>
      </c>
      <c r="K439">
        <v>87.15</v>
      </c>
      <c r="L439" s="1">
        <v>45293</v>
      </c>
      <c r="M439">
        <f>G439*IF(D439="INR",1,INDEX('rates'!$B$2:$B$522,MATCH(B439,'rates'!$A$2:$A$522,1)))</f>
        <v>2202711.16</v>
      </c>
      <c r="N439">
        <f t="shared" si="6"/>
        <v>60</v>
      </c>
    </row>
    <row r="440" spans="1:14" x14ac:dyDescent="0.3">
      <c r="A440" t="s">
        <v>3732</v>
      </c>
      <c r="B440" s="1">
        <v>45264</v>
      </c>
      <c r="C440" t="s">
        <v>575</v>
      </c>
      <c r="D440" t="s">
        <v>36</v>
      </c>
      <c r="E440">
        <v>1995</v>
      </c>
      <c r="F440" t="s">
        <v>3262</v>
      </c>
      <c r="G440">
        <v>152118.75</v>
      </c>
      <c r="H440" t="s">
        <v>556</v>
      </c>
      <c r="J440" t="s">
        <v>3263</v>
      </c>
      <c r="K440">
        <v>76.25</v>
      </c>
      <c r="L440" s="1">
        <v>45294</v>
      </c>
      <c r="M440">
        <f>G440*IF(D440="INR",1,INDEX('rates'!$B$2:$B$522,MATCH(B440,'rates'!$A$2:$A$522,1)))</f>
        <v>12686703.75</v>
      </c>
      <c r="N440">
        <f t="shared" si="6"/>
        <v>30</v>
      </c>
    </row>
    <row r="441" spans="1:14" x14ac:dyDescent="0.3">
      <c r="A441" t="s">
        <v>3700</v>
      </c>
      <c r="B441" s="1">
        <v>45250</v>
      </c>
      <c r="C441" t="s">
        <v>560</v>
      </c>
      <c r="D441" t="s">
        <v>36</v>
      </c>
      <c r="E441">
        <v>1905</v>
      </c>
      <c r="F441" t="s">
        <v>3262</v>
      </c>
      <c r="G441">
        <v>157448.25</v>
      </c>
      <c r="H441" t="s">
        <v>573</v>
      </c>
      <c r="I441">
        <v>85.87</v>
      </c>
      <c r="J441" t="s">
        <v>3263</v>
      </c>
      <c r="K441">
        <v>82.65</v>
      </c>
      <c r="L441" s="1">
        <v>45295</v>
      </c>
      <c r="M441">
        <f>G441*IF(D441="INR",1,INDEX('rates'!$B$2:$B$522,MATCH(B441,'rates'!$A$2:$A$522,1)))</f>
        <v>13120162.672499999</v>
      </c>
      <c r="N441">
        <f t="shared" si="6"/>
        <v>45</v>
      </c>
    </row>
    <row r="442" spans="1:14" x14ac:dyDescent="0.3">
      <c r="A442" t="s">
        <v>3701</v>
      </c>
      <c r="B442" s="1">
        <v>45250</v>
      </c>
      <c r="C442" t="s">
        <v>575</v>
      </c>
      <c r="D442" t="s">
        <v>13</v>
      </c>
      <c r="E442">
        <v>58014</v>
      </c>
      <c r="F442" t="s">
        <v>3270</v>
      </c>
      <c r="G442">
        <v>4638219.3</v>
      </c>
      <c r="H442" t="s">
        <v>556</v>
      </c>
      <c r="J442" t="s">
        <v>3271</v>
      </c>
      <c r="K442">
        <v>79.95</v>
      </c>
      <c r="L442" s="1">
        <v>45295</v>
      </c>
      <c r="M442">
        <f>G442*IF(D442="INR",1,INDEX('rates'!$B$2:$B$522,MATCH(B442,'rates'!$A$2:$A$522,1)))</f>
        <v>4638219.3</v>
      </c>
      <c r="N442">
        <f t="shared" si="6"/>
        <v>45</v>
      </c>
    </row>
    <row r="443" spans="1:14" x14ac:dyDescent="0.3">
      <c r="A443" t="s">
        <v>3703</v>
      </c>
      <c r="B443" s="1">
        <v>45251</v>
      </c>
      <c r="C443" t="s">
        <v>554</v>
      </c>
      <c r="D443" t="s">
        <v>36</v>
      </c>
      <c r="E443">
        <v>2546</v>
      </c>
      <c r="F443" t="s">
        <v>3262</v>
      </c>
      <c r="G443">
        <v>211292.54</v>
      </c>
      <c r="H443" t="s">
        <v>556</v>
      </c>
      <c r="J443" t="s">
        <v>3263</v>
      </c>
      <c r="K443">
        <v>82.99</v>
      </c>
      <c r="L443" s="1">
        <v>45296</v>
      </c>
      <c r="M443">
        <f>G443*IF(D443="INR",1,INDEX('rates'!$B$2:$B$522,MATCH(B443,'rates'!$A$2:$A$522,1)))</f>
        <v>17592216.880400002</v>
      </c>
      <c r="N443">
        <f t="shared" si="6"/>
        <v>45</v>
      </c>
    </row>
    <row r="444" spans="1:14" x14ac:dyDescent="0.3">
      <c r="A444" t="s">
        <v>3681</v>
      </c>
      <c r="B444" s="1">
        <v>45237</v>
      </c>
      <c r="C444" t="s">
        <v>558</v>
      </c>
      <c r="D444" t="s">
        <v>36</v>
      </c>
      <c r="E444">
        <v>1044</v>
      </c>
      <c r="F444" t="s">
        <v>3262</v>
      </c>
      <c r="G444">
        <v>86505.84</v>
      </c>
      <c r="H444" t="s">
        <v>556</v>
      </c>
      <c r="J444" t="s">
        <v>3263</v>
      </c>
      <c r="K444">
        <v>82.86</v>
      </c>
      <c r="L444" s="1">
        <v>45297</v>
      </c>
      <c r="M444">
        <f>G444*IF(D444="INR",1,INDEX('rates'!$B$2:$B$522,MATCH(B444,'rates'!$A$2:$A$522,1)))</f>
        <v>7199016.0047999993</v>
      </c>
      <c r="N444">
        <f t="shared" si="6"/>
        <v>60</v>
      </c>
    </row>
    <row r="445" spans="1:14" x14ac:dyDescent="0.3">
      <c r="A445" t="s">
        <v>3736</v>
      </c>
      <c r="B445" s="1">
        <v>45267</v>
      </c>
      <c r="C445" t="s">
        <v>566</v>
      </c>
      <c r="D445" t="s">
        <v>13</v>
      </c>
      <c r="E445">
        <v>38888</v>
      </c>
      <c r="F445" t="s">
        <v>3270</v>
      </c>
      <c r="G445">
        <v>2832990.8</v>
      </c>
      <c r="H445" t="s">
        <v>556</v>
      </c>
      <c r="J445" t="s">
        <v>3271</v>
      </c>
      <c r="K445">
        <v>72.849999999999994</v>
      </c>
      <c r="L445" s="1">
        <v>45297</v>
      </c>
      <c r="M445">
        <f>G445*IF(D445="INR",1,INDEX('rates'!$B$2:$B$522,MATCH(B445,'rates'!$A$2:$A$522,1)))</f>
        <v>2832990.8</v>
      </c>
      <c r="N445">
        <f t="shared" si="6"/>
        <v>30</v>
      </c>
    </row>
    <row r="446" spans="1:14" x14ac:dyDescent="0.3">
      <c r="A446" t="s">
        <v>3683</v>
      </c>
      <c r="B446" s="1">
        <v>45238</v>
      </c>
      <c r="C446" t="s">
        <v>566</v>
      </c>
      <c r="D446" t="s">
        <v>36</v>
      </c>
      <c r="E446">
        <v>1272</v>
      </c>
      <c r="F446" t="s">
        <v>3262</v>
      </c>
      <c r="G446">
        <v>102790.32</v>
      </c>
      <c r="H446" t="s">
        <v>573</v>
      </c>
      <c r="I446">
        <v>88.61</v>
      </c>
      <c r="J446" t="s">
        <v>3263</v>
      </c>
      <c r="K446">
        <v>80.81</v>
      </c>
      <c r="L446" s="1">
        <v>45298</v>
      </c>
      <c r="M446">
        <f>G446*IF(D446="INR",1,INDEX('rates'!$B$2:$B$522,MATCH(B446,'rates'!$A$2:$A$522,1)))</f>
        <v>8560377.8496000003</v>
      </c>
      <c r="N446">
        <f t="shared" si="6"/>
        <v>60</v>
      </c>
    </row>
    <row r="447" spans="1:14" x14ac:dyDescent="0.3">
      <c r="A447" t="s">
        <v>3708</v>
      </c>
      <c r="B447" s="1">
        <v>45253</v>
      </c>
      <c r="C447" t="s">
        <v>566</v>
      </c>
      <c r="D447" t="s">
        <v>36</v>
      </c>
      <c r="E447">
        <v>631</v>
      </c>
      <c r="F447" t="s">
        <v>3262</v>
      </c>
      <c r="G447">
        <v>51754.62</v>
      </c>
      <c r="H447" t="s">
        <v>556</v>
      </c>
      <c r="J447" t="s">
        <v>3263</v>
      </c>
      <c r="K447">
        <v>82.02</v>
      </c>
      <c r="L447" s="1">
        <v>45298</v>
      </c>
      <c r="M447">
        <f>G447*IF(D447="INR",1,INDEX('rates'!$B$2:$B$522,MATCH(B447,'rates'!$A$2:$A$522,1)))</f>
        <v>4310642.2998000002</v>
      </c>
      <c r="N447">
        <f t="shared" si="6"/>
        <v>45</v>
      </c>
    </row>
    <row r="448" spans="1:14" x14ac:dyDescent="0.3">
      <c r="A448" t="s">
        <v>3742</v>
      </c>
      <c r="B448" s="1">
        <v>45268</v>
      </c>
      <c r="C448" t="s">
        <v>575</v>
      </c>
      <c r="D448" t="s">
        <v>36</v>
      </c>
      <c r="E448">
        <v>547</v>
      </c>
      <c r="F448" t="s">
        <v>3262</v>
      </c>
      <c r="G448">
        <v>41834.559999999998</v>
      </c>
      <c r="H448" t="s">
        <v>556</v>
      </c>
      <c r="J448" t="s">
        <v>3263</v>
      </c>
      <c r="K448">
        <v>76.48</v>
      </c>
      <c r="L448" s="1">
        <v>45298</v>
      </c>
      <c r="M448">
        <f>G448*IF(D448="INR",1,INDEX('rates'!$B$2:$B$522,MATCH(B448,'rates'!$A$2:$A$522,1)))</f>
        <v>3488165.6127999998</v>
      </c>
      <c r="N448">
        <f t="shared" si="6"/>
        <v>30</v>
      </c>
    </row>
    <row r="449" spans="1:14" x14ac:dyDescent="0.3">
      <c r="A449" t="s">
        <v>3685</v>
      </c>
      <c r="B449" s="1">
        <v>45239</v>
      </c>
      <c r="C449" t="s">
        <v>554</v>
      </c>
      <c r="D449" t="s">
        <v>36</v>
      </c>
      <c r="E449">
        <v>1640</v>
      </c>
      <c r="F449" t="s">
        <v>3262</v>
      </c>
      <c r="G449">
        <v>129510.8</v>
      </c>
      <c r="H449" t="s">
        <v>556</v>
      </c>
      <c r="J449" t="s">
        <v>3263</v>
      </c>
      <c r="K449">
        <v>78.97</v>
      </c>
      <c r="L449" s="1">
        <v>45299</v>
      </c>
      <c r="M449">
        <f>G449*IF(D449="INR",1,INDEX('rates'!$B$2:$B$522,MATCH(B449,'rates'!$A$2:$A$522,1)))</f>
        <v>10781774.1</v>
      </c>
      <c r="N449">
        <f t="shared" si="6"/>
        <v>60</v>
      </c>
    </row>
    <row r="450" spans="1:14" x14ac:dyDescent="0.3">
      <c r="A450" t="s">
        <v>3710</v>
      </c>
      <c r="B450" s="1">
        <v>45254</v>
      </c>
      <c r="C450" t="s">
        <v>558</v>
      </c>
      <c r="D450" t="s">
        <v>36</v>
      </c>
      <c r="E450">
        <v>1250</v>
      </c>
      <c r="F450" t="s">
        <v>3262</v>
      </c>
      <c r="G450">
        <v>100125</v>
      </c>
      <c r="H450" t="s">
        <v>573</v>
      </c>
      <c r="I450">
        <v>86.1</v>
      </c>
      <c r="J450" t="s">
        <v>3263</v>
      </c>
      <c r="K450">
        <v>80.099999999999994</v>
      </c>
      <c r="L450" s="1">
        <v>45299</v>
      </c>
      <c r="M450">
        <f>G450*IF(D450="INR",1,INDEX('rates'!$B$2:$B$522,MATCH(B450,'rates'!$A$2:$A$522,1)))</f>
        <v>8344417.5</v>
      </c>
      <c r="N450">
        <f t="shared" ref="N450:N513" si="7">IF(L450="","",L450-B450)</f>
        <v>45</v>
      </c>
    </row>
    <row r="451" spans="1:14" x14ac:dyDescent="0.3">
      <c r="A451" t="s">
        <v>3713</v>
      </c>
      <c r="B451" s="1">
        <v>45254</v>
      </c>
      <c r="C451" t="s">
        <v>558</v>
      </c>
      <c r="D451" t="s">
        <v>36</v>
      </c>
      <c r="E451">
        <v>360</v>
      </c>
      <c r="F451" t="s">
        <v>3262</v>
      </c>
      <c r="G451">
        <v>28530</v>
      </c>
      <c r="H451" t="s">
        <v>556</v>
      </c>
      <c r="J451" t="s">
        <v>3263</v>
      </c>
      <c r="K451">
        <v>79.25</v>
      </c>
      <c r="L451" s="1">
        <v>45299</v>
      </c>
      <c r="M451">
        <f>G451*IF(D451="INR",1,INDEX('rates'!$B$2:$B$522,MATCH(B451,'rates'!$A$2:$A$522,1)))</f>
        <v>2377690.2000000002</v>
      </c>
      <c r="N451">
        <f t="shared" si="7"/>
        <v>45</v>
      </c>
    </row>
    <row r="452" spans="1:14" x14ac:dyDescent="0.3">
      <c r="A452" t="s">
        <v>3745</v>
      </c>
      <c r="B452" s="1">
        <v>45273</v>
      </c>
      <c r="C452" t="s">
        <v>566</v>
      </c>
      <c r="D452" t="s">
        <v>36</v>
      </c>
      <c r="E452">
        <v>2151</v>
      </c>
      <c r="F452" t="s">
        <v>3262</v>
      </c>
      <c r="G452">
        <v>156721.85999999999</v>
      </c>
      <c r="H452" t="s">
        <v>556</v>
      </c>
      <c r="J452" t="s">
        <v>3263</v>
      </c>
      <c r="K452">
        <v>72.86</v>
      </c>
      <c r="L452" s="1">
        <v>45303</v>
      </c>
      <c r="M452">
        <f>G452*IF(D452="INR",1,INDEX('rates'!$B$2:$B$522,MATCH(B452,'rates'!$A$2:$A$522,1)))</f>
        <v>13070603.124</v>
      </c>
      <c r="N452">
        <f t="shared" si="7"/>
        <v>30</v>
      </c>
    </row>
    <row r="453" spans="1:14" x14ac:dyDescent="0.3">
      <c r="A453" t="s">
        <v>3690</v>
      </c>
      <c r="B453" s="1">
        <v>45244</v>
      </c>
      <c r="C453" t="s">
        <v>566</v>
      </c>
      <c r="D453" t="s">
        <v>36</v>
      </c>
      <c r="E453">
        <v>822</v>
      </c>
      <c r="F453" t="s">
        <v>3262</v>
      </c>
      <c r="G453">
        <v>68949.36</v>
      </c>
      <c r="H453" t="s">
        <v>573</v>
      </c>
      <c r="I453">
        <v>84.96</v>
      </c>
      <c r="J453" t="s">
        <v>3263</v>
      </c>
      <c r="K453">
        <v>83.88</v>
      </c>
      <c r="L453" s="1">
        <v>45304</v>
      </c>
      <c r="M453">
        <f>G453*IF(D453="INR",1,INDEX('rates'!$B$2:$B$522,MATCH(B453,'rates'!$A$2:$A$522,1)))</f>
        <v>5744860.6751999995</v>
      </c>
      <c r="N453">
        <f t="shared" si="7"/>
        <v>60</v>
      </c>
    </row>
    <row r="454" spans="1:14" x14ac:dyDescent="0.3">
      <c r="A454" t="s">
        <v>3746</v>
      </c>
      <c r="B454" s="1">
        <v>45274</v>
      </c>
      <c r="C454" t="s">
        <v>554</v>
      </c>
      <c r="D454" t="s">
        <v>36</v>
      </c>
      <c r="E454">
        <v>337</v>
      </c>
      <c r="F454" t="s">
        <v>3262</v>
      </c>
      <c r="G454">
        <v>25665.919999999998</v>
      </c>
      <c r="H454" t="s">
        <v>556</v>
      </c>
      <c r="J454" t="s">
        <v>3263</v>
      </c>
      <c r="K454">
        <v>76.16</v>
      </c>
      <c r="L454" s="1">
        <v>45304</v>
      </c>
      <c r="M454">
        <f>G454*IF(D454="INR",1,INDEX('rates'!$B$2:$B$522,MATCH(B454,'rates'!$A$2:$A$522,1)))</f>
        <v>2137457.8175999997</v>
      </c>
      <c r="N454">
        <f t="shared" si="7"/>
        <v>30</v>
      </c>
    </row>
    <row r="455" spans="1:14" x14ac:dyDescent="0.3">
      <c r="A455" t="s">
        <v>3747</v>
      </c>
      <c r="B455" s="1">
        <v>45275</v>
      </c>
      <c r="C455" t="s">
        <v>566</v>
      </c>
      <c r="D455" t="s">
        <v>36</v>
      </c>
      <c r="E455">
        <v>4540</v>
      </c>
      <c r="F455" t="s">
        <v>3262</v>
      </c>
      <c r="G455">
        <v>348535.8</v>
      </c>
      <c r="H455" t="s">
        <v>573</v>
      </c>
      <c r="I455">
        <v>97.19</v>
      </c>
      <c r="J455" t="s">
        <v>3263</v>
      </c>
      <c r="K455">
        <v>76.77</v>
      </c>
      <c r="L455" s="1">
        <v>45305</v>
      </c>
      <c r="M455">
        <f>G455*IF(D455="INR",1,INDEX('rates'!$B$2:$B$522,MATCH(B455,'rates'!$A$2:$A$522,1)))</f>
        <v>28935442.115999997</v>
      </c>
      <c r="N455">
        <f t="shared" si="7"/>
        <v>30</v>
      </c>
    </row>
    <row r="456" spans="1:14" x14ac:dyDescent="0.3">
      <c r="A456" t="s">
        <v>3719</v>
      </c>
      <c r="B456" s="1">
        <v>45261</v>
      </c>
      <c r="C456" t="s">
        <v>575</v>
      </c>
      <c r="D456" t="s">
        <v>36</v>
      </c>
      <c r="E456">
        <v>925</v>
      </c>
      <c r="F456" t="s">
        <v>3262</v>
      </c>
      <c r="G456">
        <v>71909.5</v>
      </c>
      <c r="H456" t="s">
        <v>556</v>
      </c>
      <c r="J456" t="s">
        <v>3263</v>
      </c>
      <c r="K456">
        <v>77.739999999999995</v>
      </c>
      <c r="L456" s="1">
        <v>45306</v>
      </c>
      <c r="M456">
        <f>G456*IF(D456="INR",1,INDEX('rates'!$B$2:$B$522,MATCH(B456,'rates'!$A$2:$A$522,1)))</f>
        <v>5987904.0649999995</v>
      </c>
      <c r="N456">
        <f t="shared" si="7"/>
        <v>45</v>
      </c>
    </row>
    <row r="457" spans="1:14" x14ac:dyDescent="0.3">
      <c r="A457" t="s">
        <v>3721</v>
      </c>
      <c r="B457" s="1">
        <v>45261</v>
      </c>
      <c r="C457" t="s">
        <v>560</v>
      </c>
      <c r="D457" t="s">
        <v>36</v>
      </c>
      <c r="E457">
        <v>3284</v>
      </c>
      <c r="F457" t="s">
        <v>3262</v>
      </c>
      <c r="G457">
        <v>259436</v>
      </c>
      <c r="H457" t="s">
        <v>556</v>
      </c>
      <c r="J457" t="s">
        <v>3263</v>
      </c>
      <c r="K457">
        <v>79</v>
      </c>
      <c r="L457" s="1">
        <v>45306</v>
      </c>
      <c r="M457">
        <f>G457*IF(D457="INR",1,INDEX('rates'!$B$2:$B$522,MATCH(B457,'rates'!$A$2:$A$522,1)))</f>
        <v>21603235.719999999</v>
      </c>
      <c r="N457">
        <f t="shared" si="7"/>
        <v>45</v>
      </c>
    </row>
    <row r="458" spans="1:14" x14ac:dyDescent="0.3">
      <c r="A458" t="s">
        <v>3722</v>
      </c>
      <c r="B458" s="1">
        <v>45261</v>
      </c>
      <c r="C458" t="s">
        <v>554</v>
      </c>
      <c r="D458" t="s">
        <v>36</v>
      </c>
      <c r="E458">
        <v>415</v>
      </c>
      <c r="F458" t="s">
        <v>3262</v>
      </c>
      <c r="G458">
        <v>32486.2</v>
      </c>
      <c r="H458" t="s">
        <v>556</v>
      </c>
      <c r="J458" t="s">
        <v>3263</v>
      </c>
      <c r="K458">
        <v>78.28</v>
      </c>
      <c r="L458" s="1">
        <v>45306</v>
      </c>
      <c r="M458">
        <f>G458*IF(D458="INR",1,INDEX('rates'!$B$2:$B$522,MATCH(B458,'rates'!$A$2:$A$522,1)))</f>
        <v>2705125.8739999998</v>
      </c>
      <c r="N458">
        <f t="shared" si="7"/>
        <v>45</v>
      </c>
    </row>
    <row r="459" spans="1:14" x14ac:dyDescent="0.3">
      <c r="A459" t="s">
        <v>3726</v>
      </c>
      <c r="B459" s="1">
        <v>45261</v>
      </c>
      <c r="C459" t="s">
        <v>554</v>
      </c>
      <c r="D459" t="s">
        <v>36</v>
      </c>
      <c r="E459">
        <v>1005</v>
      </c>
      <c r="F459" t="s">
        <v>3262</v>
      </c>
      <c r="G459">
        <v>78048.3</v>
      </c>
      <c r="H459" t="s">
        <v>556</v>
      </c>
      <c r="J459" t="s">
        <v>3263</v>
      </c>
      <c r="K459">
        <v>77.66</v>
      </c>
      <c r="L459" s="1">
        <v>45306</v>
      </c>
      <c r="M459">
        <f>G459*IF(D459="INR",1,INDEX('rates'!$B$2:$B$522,MATCH(B459,'rates'!$A$2:$A$522,1)))</f>
        <v>6499081.9409999996</v>
      </c>
      <c r="N459">
        <f t="shared" si="7"/>
        <v>45</v>
      </c>
    </row>
    <row r="460" spans="1:14" x14ac:dyDescent="0.3">
      <c r="A460" t="s">
        <v>3695</v>
      </c>
      <c r="B460" s="1">
        <v>45247</v>
      </c>
      <c r="C460" t="s">
        <v>566</v>
      </c>
      <c r="D460" t="s">
        <v>36</v>
      </c>
      <c r="E460">
        <v>197</v>
      </c>
      <c r="F460" t="s">
        <v>3262</v>
      </c>
      <c r="G460">
        <v>16152.03</v>
      </c>
      <c r="H460" t="s">
        <v>556</v>
      </c>
      <c r="J460" t="s">
        <v>3263</v>
      </c>
      <c r="K460">
        <v>81.99</v>
      </c>
      <c r="L460" s="1">
        <v>45307</v>
      </c>
      <c r="M460">
        <f>G460*IF(D460="INR",1,INDEX('rates'!$B$2:$B$522,MATCH(B460,'rates'!$A$2:$A$522,1)))</f>
        <v>1344656.4975000001</v>
      </c>
      <c r="N460">
        <f t="shared" si="7"/>
        <v>60</v>
      </c>
    </row>
    <row r="461" spans="1:14" x14ac:dyDescent="0.3">
      <c r="A461" t="s">
        <v>3697</v>
      </c>
      <c r="B461" s="1">
        <v>45247</v>
      </c>
      <c r="C461" t="s">
        <v>566</v>
      </c>
      <c r="D461" t="s">
        <v>36</v>
      </c>
      <c r="E461">
        <v>727</v>
      </c>
      <c r="F461" t="s">
        <v>3262</v>
      </c>
      <c r="G461">
        <v>58748.87</v>
      </c>
      <c r="H461" t="s">
        <v>573</v>
      </c>
      <c r="I461">
        <v>86.94</v>
      </c>
      <c r="J461" t="s">
        <v>3263</v>
      </c>
      <c r="K461">
        <v>80.81</v>
      </c>
      <c r="L461" s="1">
        <v>45307</v>
      </c>
      <c r="M461">
        <f>G461*IF(D461="INR",1,INDEX('rates'!$B$2:$B$522,MATCH(B461,'rates'!$A$2:$A$522,1)))</f>
        <v>4890843.4275000002</v>
      </c>
      <c r="N461">
        <f t="shared" si="7"/>
        <v>60</v>
      </c>
    </row>
    <row r="462" spans="1:14" x14ac:dyDescent="0.3">
      <c r="A462" t="s">
        <v>3699</v>
      </c>
      <c r="B462" s="1">
        <v>45247</v>
      </c>
      <c r="C462" t="s">
        <v>566</v>
      </c>
      <c r="D462" t="s">
        <v>36</v>
      </c>
      <c r="E462">
        <v>1469</v>
      </c>
      <c r="F462" t="s">
        <v>3262</v>
      </c>
      <c r="G462">
        <v>118930.24000000001</v>
      </c>
      <c r="H462" t="s">
        <v>573</v>
      </c>
      <c r="I462">
        <v>86.94</v>
      </c>
      <c r="J462" t="s">
        <v>3263</v>
      </c>
      <c r="K462">
        <v>80.959999999999994</v>
      </c>
      <c r="L462" s="1">
        <v>45307</v>
      </c>
      <c r="M462">
        <f>G462*IF(D462="INR",1,INDEX('rates'!$B$2:$B$522,MATCH(B462,'rates'!$A$2:$A$522,1)))</f>
        <v>9900942.4800000004</v>
      </c>
      <c r="N462">
        <f t="shared" si="7"/>
        <v>60</v>
      </c>
    </row>
    <row r="463" spans="1:14" x14ac:dyDescent="0.3">
      <c r="A463" t="s">
        <v>3750</v>
      </c>
      <c r="B463" s="1">
        <v>45278</v>
      </c>
      <c r="C463" t="s">
        <v>560</v>
      </c>
      <c r="D463" t="s">
        <v>36</v>
      </c>
      <c r="E463">
        <v>1103</v>
      </c>
      <c r="F463" t="s">
        <v>3262</v>
      </c>
      <c r="G463">
        <v>81831.570000000007</v>
      </c>
      <c r="H463" t="s">
        <v>556</v>
      </c>
      <c r="J463" t="s">
        <v>3263</v>
      </c>
      <c r="K463">
        <v>74.19</v>
      </c>
      <c r="L463" s="1">
        <v>45308</v>
      </c>
      <c r="M463">
        <f>G463*IF(D463="INR",1,INDEX('rates'!$B$2:$B$522,MATCH(B463,'rates'!$A$2:$A$522,1)))</f>
        <v>6795293.5728000011</v>
      </c>
      <c r="N463">
        <f t="shared" si="7"/>
        <v>30</v>
      </c>
    </row>
    <row r="464" spans="1:14" x14ac:dyDescent="0.3">
      <c r="A464" t="s">
        <v>3751</v>
      </c>
      <c r="B464" s="1">
        <v>45279</v>
      </c>
      <c r="C464" t="s">
        <v>566</v>
      </c>
      <c r="D464" t="s">
        <v>36</v>
      </c>
      <c r="E464">
        <v>1583</v>
      </c>
      <c r="F464" t="s">
        <v>3262</v>
      </c>
      <c r="G464">
        <v>123315.7</v>
      </c>
      <c r="H464" t="s">
        <v>573</v>
      </c>
      <c r="I464">
        <v>95.44</v>
      </c>
      <c r="J464" t="s">
        <v>3263</v>
      </c>
      <c r="K464">
        <v>77.900000000000006</v>
      </c>
      <c r="L464" s="1">
        <v>45309</v>
      </c>
      <c r="M464">
        <f>G464*IF(D464="INR",1,INDEX('rates'!$B$2:$B$522,MATCH(B464,'rates'!$A$2:$A$522,1)))</f>
        <v>10257399.926000001</v>
      </c>
      <c r="N464">
        <f t="shared" si="7"/>
        <v>30</v>
      </c>
    </row>
    <row r="465" spans="1:14" x14ac:dyDescent="0.3">
      <c r="A465" t="s">
        <v>3753</v>
      </c>
      <c r="B465" s="1">
        <v>45279</v>
      </c>
      <c r="C465" t="s">
        <v>566</v>
      </c>
      <c r="D465" t="s">
        <v>36</v>
      </c>
      <c r="E465">
        <v>1019</v>
      </c>
      <c r="F465" t="s">
        <v>3262</v>
      </c>
      <c r="G465">
        <v>79410.67</v>
      </c>
      <c r="H465" t="s">
        <v>573</v>
      </c>
      <c r="I465">
        <v>95.44</v>
      </c>
      <c r="J465" t="s">
        <v>3263</v>
      </c>
      <c r="K465">
        <v>77.930000000000007</v>
      </c>
      <c r="L465" s="1">
        <v>45309</v>
      </c>
      <c r="M465">
        <f>G465*IF(D465="INR",1,INDEX('rates'!$B$2:$B$522,MATCH(B465,'rates'!$A$2:$A$522,1)))</f>
        <v>6605379.5306000002</v>
      </c>
      <c r="N465">
        <f t="shared" si="7"/>
        <v>30</v>
      </c>
    </row>
    <row r="466" spans="1:14" x14ac:dyDescent="0.3">
      <c r="A466" t="s">
        <v>3754</v>
      </c>
      <c r="B466" s="1">
        <v>45280</v>
      </c>
      <c r="C466" t="s">
        <v>554</v>
      </c>
      <c r="D466" t="s">
        <v>13</v>
      </c>
      <c r="E466">
        <v>67589</v>
      </c>
      <c r="F466" t="s">
        <v>3270</v>
      </c>
      <c r="G466">
        <v>7575375.1200000001</v>
      </c>
      <c r="H466" t="s">
        <v>556</v>
      </c>
      <c r="J466" t="s">
        <v>3271</v>
      </c>
      <c r="K466">
        <v>112.08</v>
      </c>
      <c r="L466" s="1">
        <v>45310</v>
      </c>
      <c r="M466">
        <f>G466*IF(D466="INR",1,INDEX('rates'!$B$2:$B$522,MATCH(B466,'rates'!$A$2:$A$522,1)))</f>
        <v>7575375.1200000001</v>
      </c>
      <c r="N466">
        <f t="shared" si="7"/>
        <v>30</v>
      </c>
    </row>
    <row r="467" spans="1:14" x14ac:dyDescent="0.3">
      <c r="A467" t="s">
        <v>3756</v>
      </c>
      <c r="B467" s="1">
        <v>45280</v>
      </c>
      <c r="C467" t="s">
        <v>575</v>
      </c>
      <c r="D467" t="s">
        <v>36</v>
      </c>
      <c r="E467">
        <v>1619</v>
      </c>
      <c r="F467" t="s">
        <v>3262</v>
      </c>
      <c r="G467">
        <v>127010.55</v>
      </c>
      <c r="H467" t="s">
        <v>556</v>
      </c>
      <c r="J467" t="s">
        <v>3263</v>
      </c>
      <c r="K467">
        <v>78.45</v>
      </c>
      <c r="L467" s="1">
        <v>45310</v>
      </c>
      <c r="M467">
        <f>G467*IF(D467="INR",1,INDEX('rates'!$B$2:$B$522,MATCH(B467,'rates'!$A$2:$A$522,1)))</f>
        <v>10559657.127</v>
      </c>
      <c r="N467">
        <f t="shared" si="7"/>
        <v>30</v>
      </c>
    </row>
    <row r="468" spans="1:14" x14ac:dyDescent="0.3">
      <c r="A468" t="s">
        <v>3704</v>
      </c>
      <c r="B468" s="1">
        <v>45251</v>
      </c>
      <c r="C468" t="s">
        <v>566</v>
      </c>
      <c r="D468" t="s">
        <v>36</v>
      </c>
      <c r="E468">
        <v>1554</v>
      </c>
      <c r="F468" t="s">
        <v>3262</v>
      </c>
      <c r="G468">
        <v>129106.32</v>
      </c>
      <c r="H468" t="s">
        <v>573</v>
      </c>
      <c r="I468">
        <v>84.43</v>
      </c>
      <c r="J468" t="s">
        <v>3263</v>
      </c>
      <c r="K468">
        <v>83.08</v>
      </c>
      <c r="L468" s="1">
        <v>45311</v>
      </c>
      <c r="M468">
        <f>G468*IF(D468="INR",1,INDEX('rates'!$B$2:$B$522,MATCH(B468,'rates'!$A$2:$A$522,1)))</f>
        <v>10749392.203200001</v>
      </c>
      <c r="N468">
        <f t="shared" si="7"/>
        <v>60</v>
      </c>
    </row>
    <row r="469" spans="1:14" x14ac:dyDescent="0.3">
      <c r="A469" t="s">
        <v>3705</v>
      </c>
      <c r="B469" s="1">
        <v>45251</v>
      </c>
      <c r="C469" t="s">
        <v>554</v>
      </c>
      <c r="D469" t="s">
        <v>36</v>
      </c>
      <c r="E469">
        <v>783</v>
      </c>
      <c r="F469" t="s">
        <v>3262</v>
      </c>
      <c r="G469">
        <v>64613.16</v>
      </c>
      <c r="H469" t="s">
        <v>556</v>
      </c>
      <c r="J469" t="s">
        <v>3263</v>
      </c>
      <c r="K469">
        <v>82.52</v>
      </c>
      <c r="L469" s="1">
        <v>45311</v>
      </c>
      <c r="M469">
        <f>G469*IF(D469="INR",1,INDEX('rates'!$B$2:$B$522,MATCH(B469,'rates'!$A$2:$A$522,1)))</f>
        <v>5379691.7016000003</v>
      </c>
      <c r="N469">
        <f t="shared" si="7"/>
        <v>60</v>
      </c>
    </row>
    <row r="470" spans="1:14" x14ac:dyDescent="0.3">
      <c r="A470" t="s">
        <v>3737</v>
      </c>
      <c r="B470" s="1">
        <v>45268</v>
      </c>
      <c r="C470" t="s">
        <v>575</v>
      </c>
      <c r="D470" t="s">
        <v>36</v>
      </c>
      <c r="E470">
        <v>770</v>
      </c>
      <c r="F470" t="s">
        <v>3262</v>
      </c>
      <c r="G470">
        <v>58050.3</v>
      </c>
      <c r="H470" t="s">
        <v>573</v>
      </c>
      <c r="I470">
        <v>93.64</v>
      </c>
      <c r="J470" t="s">
        <v>3263</v>
      </c>
      <c r="K470">
        <v>75.39</v>
      </c>
      <c r="L470" s="1">
        <v>45313</v>
      </c>
      <c r="M470">
        <f>G470*IF(D470="INR",1,INDEX('rates'!$B$2:$B$522,MATCH(B470,'rates'!$A$2:$A$522,1)))</f>
        <v>4840234.0140000004</v>
      </c>
      <c r="N470">
        <f t="shared" si="7"/>
        <v>45</v>
      </c>
    </row>
    <row r="471" spans="1:14" x14ac:dyDescent="0.3">
      <c r="A471" t="s">
        <v>3740</v>
      </c>
      <c r="B471" s="1">
        <v>45268</v>
      </c>
      <c r="C471" t="s">
        <v>566</v>
      </c>
      <c r="D471" t="s">
        <v>36</v>
      </c>
      <c r="E471">
        <v>629</v>
      </c>
      <c r="F471" t="s">
        <v>3262</v>
      </c>
      <c r="G471">
        <v>47590.14</v>
      </c>
      <c r="H471" t="s">
        <v>573</v>
      </c>
      <c r="I471">
        <v>93.64</v>
      </c>
      <c r="J471" t="s">
        <v>3263</v>
      </c>
      <c r="K471">
        <v>75.66</v>
      </c>
      <c r="L471" s="1">
        <v>45313</v>
      </c>
      <c r="M471">
        <f>G471*IF(D471="INR",1,INDEX('rates'!$B$2:$B$522,MATCH(B471,'rates'!$A$2:$A$522,1)))</f>
        <v>3968065.8731999998</v>
      </c>
      <c r="N471">
        <f t="shared" si="7"/>
        <v>45</v>
      </c>
    </row>
    <row r="472" spans="1:14" x14ac:dyDescent="0.3">
      <c r="A472" t="s">
        <v>3741</v>
      </c>
      <c r="B472" s="1">
        <v>45268</v>
      </c>
      <c r="C472" t="s">
        <v>560</v>
      </c>
      <c r="D472" t="s">
        <v>36</v>
      </c>
      <c r="E472">
        <v>265</v>
      </c>
      <c r="F472" t="s">
        <v>3262</v>
      </c>
      <c r="G472">
        <v>19750.45</v>
      </c>
      <c r="H472" t="s">
        <v>556</v>
      </c>
      <c r="J472" t="s">
        <v>3263</v>
      </c>
      <c r="K472">
        <v>74.53</v>
      </c>
      <c r="L472" s="1">
        <v>45313</v>
      </c>
      <c r="M472">
        <f>G472*IF(D472="INR",1,INDEX('rates'!$B$2:$B$522,MATCH(B472,'rates'!$A$2:$A$522,1)))</f>
        <v>1646792.5209999999</v>
      </c>
      <c r="N472">
        <f t="shared" si="7"/>
        <v>45</v>
      </c>
    </row>
    <row r="473" spans="1:14" x14ac:dyDescent="0.3">
      <c r="A473" t="s">
        <v>3711</v>
      </c>
      <c r="B473" s="1">
        <v>45254</v>
      </c>
      <c r="C473" t="s">
        <v>558</v>
      </c>
      <c r="D473" t="s">
        <v>13</v>
      </c>
      <c r="E473">
        <v>132122</v>
      </c>
      <c r="F473" t="s">
        <v>3270</v>
      </c>
      <c r="G473">
        <v>12665214.92</v>
      </c>
      <c r="H473" t="s">
        <v>556</v>
      </c>
      <c r="J473" t="s">
        <v>3271</v>
      </c>
      <c r="K473">
        <v>95.86</v>
      </c>
      <c r="L473" s="1">
        <v>45314</v>
      </c>
      <c r="M473">
        <f>G473*IF(D473="INR",1,INDEX('rates'!$B$2:$B$522,MATCH(B473,'rates'!$A$2:$A$522,1)))</f>
        <v>12665214.92</v>
      </c>
      <c r="N473">
        <f t="shared" si="7"/>
        <v>60</v>
      </c>
    </row>
    <row r="474" spans="1:14" x14ac:dyDescent="0.3">
      <c r="A474" t="s">
        <v>3712</v>
      </c>
      <c r="B474" s="1">
        <v>45254</v>
      </c>
      <c r="C474" t="s">
        <v>560</v>
      </c>
      <c r="D474" t="s">
        <v>36</v>
      </c>
      <c r="E474">
        <v>527</v>
      </c>
      <c r="F474" t="s">
        <v>3262</v>
      </c>
      <c r="G474">
        <v>41137.620000000003</v>
      </c>
      <c r="H474" t="s">
        <v>573</v>
      </c>
      <c r="I474">
        <v>86.1</v>
      </c>
      <c r="J474" t="s">
        <v>3263</v>
      </c>
      <c r="K474">
        <v>78.06</v>
      </c>
      <c r="L474" s="1">
        <v>45314</v>
      </c>
      <c r="M474">
        <f>G474*IF(D474="INR",1,INDEX('rates'!$B$2:$B$522,MATCH(B474,'rates'!$A$2:$A$522,1)))</f>
        <v>3428409.2508000005</v>
      </c>
      <c r="N474">
        <f t="shared" si="7"/>
        <v>60</v>
      </c>
    </row>
    <row r="475" spans="1:14" x14ac:dyDescent="0.3">
      <c r="A475" t="s">
        <v>3770</v>
      </c>
      <c r="B475" s="1">
        <v>45285</v>
      </c>
      <c r="C475" t="s">
        <v>560</v>
      </c>
      <c r="D475" t="s">
        <v>36</v>
      </c>
      <c r="E475">
        <v>811</v>
      </c>
      <c r="F475" t="s">
        <v>3262</v>
      </c>
      <c r="G475">
        <v>63241.78</v>
      </c>
      <c r="H475" t="s">
        <v>573</v>
      </c>
      <c r="I475">
        <v>97.83</v>
      </c>
      <c r="J475" t="s">
        <v>3263</v>
      </c>
      <c r="K475">
        <v>77.98</v>
      </c>
      <c r="L475" s="1">
        <v>45315</v>
      </c>
      <c r="M475">
        <f>G475*IF(D475="INR",1,INDEX('rates'!$B$2:$B$522,MATCH(B475,'rates'!$A$2:$A$522,1)))</f>
        <v>5256656.7536000004</v>
      </c>
      <c r="N475">
        <f t="shared" si="7"/>
        <v>30</v>
      </c>
    </row>
    <row r="476" spans="1:14" x14ac:dyDescent="0.3">
      <c r="A476" t="s">
        <v>3771</v>
      </c>
      <c r="B476" s="1">
        <v>45285</v>
      </c>
      <c r="C476" t="s">
        <v>558</v>
      </c>
      <c r="D476" t="s">
        <v>36</v>
      </c>
      <c r="E476">
        <v>396</v>
      </c>
      <c r="F476" t="s">
        <v>3262</v>
      </c>
      <c r="G476">
        <v>30579.119999999999</v>
      </c>
      <c r="H476" t="s">
        <v>556</v>
      </c>
      <c r="J476" t="s">
        <v>3263</v>
      </c>
      <c r="K476">
        <v>77.22</v>
      </c>
      <c r="L476" s="1">
        <v>45315</v>
      </c>
      <c r="M476">
        <f>G476*IF(D476="INR",1,INDEX('rates'!$B$2:$B$522,MATCH(B476,'rates'!$A$2:$A$522,1)))</f>
        <v>2541736.4544000002</v>
      </c>
      <c r="N476">
        <f t="shared" si="7"/>
        <v>30</v>
      </c>
    </row>
    <row r="477" spans="1:14" x14ac:dyDescent="0.3">
      <c r="A477" t="s">
        <v>3772</v>
      </c>
      <c r="B477" s="1">
        <v>45286</v>
      </c>
      <c r="C477" t="s">
        <v>560</v>
      </c>
      <c r="D477" t="s">
        <v>36</v>
      </c>
      <c r="E477">
        <v>1212</v>
      </c>
      <c r="F477" t="s">
        <v>3262</v>
      </c>
      <c r="G477">
        <v>96354</v>
      </c>
      <c r="H477" t="s">
        <v>573</v>
      </c>
      <c r="I477">
        <v>100.23</v>
      </c>
      <c r="J477" t="s">
        <v>3263</v>
      </c>
      <c r="K477">
        <v>79.5</v>
      </c>
      <c r="L477" s="1">
        <v>45316</v>
      </c>
      <c r="M477">
        <f>G477*IF(D477="INR",1,INDEX('rates'!$B$2:$B$522,MATCH(B477,'rates'!$A$2:$A$522,1)))</f>
        <v>8013762.1799999997</v>
      </c>
      <c r="N477">
        <f t="shared" si="7"/>
        <v>30</v>
      </c>
    </row>
    <row r="478" spans="1:14" x14ac:dyDescent="0.3">
      <c r="A478" t="s">
        <v>3714</v>
      </c>
      <c r="B478" s="1">
        <v>45257</v>
      </c>
      <c r="C478" t="s">
        <v>558</v>
      </c>
      <c r="D478" t="s">
        <v>13</v>
      </c>
      <c r="E478">
        <v>107205</v>
      </c>
      <c r="F478" t="s">
        <v>3270</v>
      </c>
      <c r="G478">
        <v>9394374.1500000004</v>
      </c>
      <c r="H478" t="s">
        <v>556</v>
      </c>
      <c r="J478" t="s">
        <v>3271</v>
      </c>
      <c r="K478">
        <v>87.63</v>
      </c>
      <c r="L478" s="1">
        <v>45317</v>
      </c>
      <c r="M478">
        <f>G478*IF(D478="INR",1,INDEX('rates'!$B$2:$B$522,MATCH(B478,'rates'!$A$2:$A$522,1)))</f>
        <v>9394374.1500000004</v>
      </c>
      <c r="N478">
        <f t="shared" si="7"/>
        <v>60</v>
      </c>
    </row>
    <row r="479" spans="1:14" x14ac:dyDescent="0.3">
      <c r="A479" t="s">
        <v>3716</v>
      </c>
      <c r="B479" s="1">
        <v>45258</v>
      </c>
      <c r="C479" t="s">
        <v>575</v>
      </c>
      <c r="D479" t="s">
        <v>36</v>
      </c>
      <c r="E479">
        <v>604</v>
      </c>
      <c r="F479" t="s">
        <v>3262</v>
      </c>
      <c r="G479">
        <v>47643.519999999997</v>
      </c>
      <c r="H479" t="s">
        <v>573</v>
      </c>
      <c r="I479">
        <v>87.35</v>
      </c>
      <c r="J479" t="s">
        <v>3263</v>
      </c>
      <c r="K479">
        <v>78.88</v>
      </c>
      <c r="L479" s="1">
        <v>45318</v>
      </c>
      <c r="M479">
        <f>G479*IF(D479="INR",1,INDEX('rates'!$B$2:$B$522,MATCH(B479,'rates'!$A$2:$A$522,1)))</f>
        <v>3970134.5215999996</v>
      </c>
      <c r="N479">
        <f t="shared" si="7"/>
        <v>60</v>
      </c>
    </row>
    <row r="480" spans="1:14" x14ac:dyDescent="0.3">
      <c r="A480" t="s">
        <v>3775</v>
      </c>
      <c r="B480" s="1">
        <v>45288</v>
      </c>
      <c r="C480" t="s">
        <v>560</v>
      </c>
      <c r="D480" t="s">
        <v>36</v>
      </c>
      <c r="E480">
        <v>914</v>
      </c>
      <c r="F480" t="s">
        <v>3262</v>
      </c>
      <c r="G480">
        <v>70898.98</v>
      </c>
      <c r="H480" t="s">
        <v>556</v>
      </c>
      <c r="J480" t="s">
        <v>3263</v>
      </c>
      <c r="K480">
        <v>77.569999999999993</v>
      </c>
      <c r="L480" s="1">
        <v>45318</v>
      </c>
      <c r="M480">
        <f>G480*IF(D480="INR",1,INDEX('rates'!$B$2:$B$522,MATCH(B480,'rates'!$A$2:$A$522,1)))</f>
        <v>5895250.1869999999</v>
      </c>
      <c r="N480">
        <f t="shared" si="7"/>
        <v>30</v>
      </c>
    </row>
    <row r="481" spans="1:14" x14ac:dyDescent="0.3">
      <c r="A481" t="s">
        <v>3776</v>
      </c>
      <c r="B481" s="1">
        <v>45288</v>
      </c>
      <c r="C481" t="s">
        <v>554</v>
      </c>
      <c r="D481" t="s">
        <v>36</v>
      </c>
      <c r="E481">
        <v>905</v>
      </c>
      <c r="F481" t="s">
        <v>3262</v>
      </c>
      <c r="G481">
        <v>69250.600000000006</v>
      </c>
      <c r="H481" t="s">
        <v>556</v>
      </c>
      <c r="J481" t="s">
        <v>3263</v>
      </c>
      <c r="K481">
        <v>76.52</v>
      </c>
      <c r="L481" s="1">
        <v>45318</v>
      </c>
      <c r="M481">
        <f>G481*IF(D481="INR",1,INDEX('rates'!$B$2:$B$522,MATCH(B481,'rates'!$A$2:$A$522,1)))</f>
        <v>5758187.3900000006</v>
      </c>
      <c r="N481">
        <f t="shared" si="7"/>
        <v>30</v>
      </c>
    </row>
    <row r="482" spans="1:14" x14ac:dyDescent="0.3">
      <c r="A482" t="s">
        <v>3717</v>
      </c>
      <c r="B482" s="1">
        <v>45259</v>
      </c>
      <c r="C482" t="s">
        <v>560</v>
      </c>
      <c r="D482" t="s">
        <v>36</v>
      </c>
      <c r="E482">
        <v>1105</v>
      </c>
      <c r="F482" t="s">
        <v>3262</v>
      </c>
      <c r="G482">
        <v>89582.35</v>
      </c>
      <c r="H482" t="s">
        <v>573</v>
      </c>
      <c r="I482">
        <v>89.4</v>
      </c>
      <c r="J482" t="s">
        <v>3263</v>
      </c>
      <c r="K482">
        <v>81.069999999999993</v>
      </c>
      <c r="L482" s="1">
        <v>45319</v>
      </c>
      <c r="M482">
        <f>G482*IF(D482="INR",1,INDEX('rates'!$B$2:$B$522,MATCH(B482,'rates'!$A$2:$A$522,1)))</f>
        <v>7463105.5785000008</v>
      </c>
      <c r="N482">
        <f t="shared" si="7"/>
        <v>60</v>
      </c>
    </row>
    <row r="483" spans="1:14" x14ac:dyDescent="0.3">
      <c r="A483" t="s">
        <v>3784</v>
      </c>
      <c r="B483" s="1">
        <v>45289</v>
      </c>
      <c r="C483" t="s">
        <v>560</v>
      </c>
      <c r="D483" t="s">
        <v>36</v>
      </c>
      <c r="E483">
        <v>958</v>
      </c>
      <c r="F483" t="s">
        <v>3262</v>
      </c>
      <c r="G483">
        <v>72951.7</v>
      </c>
      <c r="H483" t="s">
        <v>556</v>
      </c>
      <c r="J483" t="s">
        <v>3263</v>
      </c>
      <c r="K483">
        <v>76.150000000000006</v>
      </c>
      <c r="L483" s="1">
        <v>45319</v>
      </c>
      <c r="M483">
        <f>G483*IF(D483="INR",1,INDEX('rates'!$B$2:$B$522,MATCH(B483,'rates'!$A$2:$A$522,1)))</f>
        <v>6068851.9229999995</v>
      </c>
      <c r="N483">
        <f t="shared" si="7"/>
        <v>30</v>
      </c>
    </row>
    <row r="484" spans="1:14" x14ac:dyDescent="0.3">
      <c r="A484" t="s">
        <v>3787</v>
      </c>
      <c r="B484" s="1">
        <v>45289</v>
      </c>
      <c r="C484" t="s">
        <v>575</v>
      </c>
      <c r="D484" t="s">
        <v>36</v>
      </c>
      <c r="E484">
        <v>1772</v>
      </c>
      <c r="F484" t="s">
        <v>3262</v>
      </c>
      <c r="G484">
        <v>133750.56</v>
      </c>
      <c r="H484" t="s">
        <v>556</v>
      </c>
      <c r="J484" t="s">
        <v>3263</v>
      </c>
      <c r="K484">
        <v>75.48</v>
      </c>
      <c r="L484" s="1">
        <v>45319</v>
      </c>
      <c r="M484">
        <f>G484*IF(D484="INR",1,INDEX('rates'!$B$2:$B$522,MATCH(B484,'rates'!$A$2:$A$522,1)))</f>
        <v>11126709.0864</v>
      </c>
      <c r="N484">
        <f t="shared" si="7"/>
        <v>30</v>
      </c>
    </row>
    <row r="485" spans="1:14" x14ac:dyDescent="0.3">
      <c r="A485" t="s">
        <v>3748</v>
      </c>
      <c r="B485" s="1">
        <v>45275</v>
      </c>
      <c r="C485" t="s">
        <v>558</v>
      </c>
      <c r="D485" t="s">
        <v>36</v>
      </c>
      <c r="E485">
        <v>541</v>
      </c>
      <c r="F485" t="s">
        <v>3262</v>
      </c>
      <c r="G485">
        <v>41965.37</v>
      </c>
      <c r="H485" t="s">
        <v>556</v>
      </c>
      <c r="J485" t="s">
        <v>3263</v>
      </c>
      <c r="K485">
        <v>77.569999999999993</v>
      </c>
      <c r="L485" s="1">
        <v>45320</v>
      </c>
      <c r="M485">
        <f>G485*IF(D485="INR",1,INDEX('rates'!$B$2:$B$522,MATCH(B485,'rates'!$A$2:$A$522,1)))</f>
        <v>3483965.0174000002</v>
      </c>
      <c r="N485">
        <f t="shared" si="7"/>
        <v>45</v>
      </c>
    </row>
    <row r="486" spans="1:14" x14ac:dyDescent="0.3">
      <c r="A486" t="s">
        <v>3720</v>
      </c>
      <c r="B486" s="1">
        <v>45261</v>
      </c>
      <c r="C486" t="s">
        <v>560</v>
      </c>
      <c r="D486" t="s">
        <v>13</v>
      </c>
      <c r="E486">
        <v>18479</v>
      </c>
      <c r="F486" t="s">
        <v>3270</v>
      </c>
      <c r="G486">
        <v>1734438.94</v>
      </c>
      <c r="H486" t="s">
        <v>556</v>
      </c>
      <c r="J486" t="s">
        <v>3271</v>
      </c>
      <c r="K486">
        <v>93.86</v>
      </c>
      <c r="L486" s="1">
        <v>45321</v>
      </c>
      <c r="M486">
        <f>G486*IF(D486="INR",1,INDEX('rates'!$B$2:$B$522,MATCH(B486,'rates'!$A$2:$A$522,1)))</f>
        <v>1734438.94</v>
      </c>
      <c r="N486">
        <f t="shared" si="7"/>
        <v>60</v>
      </c>
    </row>
    <row r="487" spans="1:14" x14ac:dyDescent="0.3">
      <c r="A487" t="s">
        <v>3723</v>
      </c>
      <c r="B487" s="1">
        <v>45261</v>
      </c>
      <c r="C487" t="s">
        <v>566</v>
      </c>
      <c r="D487" t="s">
        <v>36</v>
      </c>
      <c r="E487">
        <v>650</v>
      </c>
      <c r="F487" t="s">
        <v>3262</v>
      </c>
      <c r="G487">
        <v>49562.5</v>
      </c>
      <c r="H487" t="s">
        <v>573</v>
      </c>
      <c r="I487">
        <v>91.51</v>
      </c>
      <c r="J487" t="s">
        <v>3263</v>
      </c>
      <c r="K487">
        <v>76.25</v>
      </c>
      <c r="L487" s="1">
        <v>45321</v>
      </c>
      <c r="M487">
        <f>G487*IF(D487="INR",1,INDEX('rates'!$B$2:$B$522,MATCH(B487,'rates'!$A$2:$A$522,1)))</f>
        <v>4127069.375</v>
      </c>
      <c r="N487">
        <f t="shared" si="7"/>
        <v>60</v>
      </c>
    </row>
    <row r="488" spans="1:14" x14ac:dyDescent="0.3">
      <c r="A488" t="s">
        <v>3729</v>
      </c>
      <c r="B488" s="1">
        <v>45261</v>
      </c>
      <c r="C488" t="s">
        <v>560</v>
      </c>
      <c r="D488" t="s">
        <v>36</v>
      </c>
      <c r="E488">
        <v>2801</v>
      </c>
      <c r="F488" t="s">
        <v>3262</v>
      </c>
      <c r="G488">
        <v>221250.99</v>
      </c>
      <c r="H488" t="s">
        <v>556</v>
      </c>
      <c r="J488" t="s">
        <v>3263</v>
      </c>
      <c r="K488">
        <v>78.989999999999995</v>
      </c>
      <c r="L488" s="1">
        <v>45321</v>
      </c>
      <c r="M488">
        <f>G488*IF(D488="INR",1,INDEX('rates'!$B$2:$B$522,MATCH(B488,'rates'!$A$2:$A$522,1)))</f>
        <v>18423569.937299997</v>
      </c>
      <c r="N488">
        <f t="shared" si="7"/>
        <v>60</v>
      </c>
    </row>
    <row r="489" spans="1:14" x14ac:dyDescent="0.3">
      <c r="A489" t="s">
        <v>3790</v>
      </c>
      <c r="B489" s="1">
        <v>45292</v>
      </c>
      <c r="C489" t="s">
        <v>558</v>
      </c>
      <c r="D489" t="s">
        <v>36</v>
      </c>
      <c r="E489">
        <v>3914</v>
      </c>
      <c r="F489" t="s">
        <v>3262</v>
      </c>
      <c r="G489">
        <v>300242.94</v>
      </c>
      <c r="H489" t="s">
        <v>556</v>
      </c>
      <c r="J489" t="s">
        <v>3263</v>
      </c>
      <c r="K489">
        <v>76.709999999999994</v>
      </c>
      <c r="L489" s="1">
        <v>45322</v>
      </c>
      <c r="M489">
        <f>G489*IF(D489="INR",1,INDEX('rates'!$B$2:$B$522,MATCH(B489,'rates'!$A$2:$A$522,1)))</f>
        <v>24977210.178599998</v>
      </c>
      <c r="N489">
        <f t="shared" si="7"/>
        <v>30</v>
      </c>
    </row>
    <row r="490" spans="1:14" x14ac:dyDescent="0.3">
      <c r="A490" t="s">
        <v>3791</v>
      </c>
      <c r="B490" s="1">
        <v>45292</v>
      </c>
      <c r="C490" t="s">
        <v>560</v>
      </c>
      <c r="D490" t="s">
        <v>36</v>
      </c>
      <c r="E490">
        <v>1699</v>
      </c>
      <c r="F490" t="s">
        <v>3262</v>
      </c>
      <c r="G490">
        <v>130873.97</v>
      </c>
      <c r="H490" t="s">
        <v>556</v>
      </c>
      <c r="J490" t="s">
        <v>3263</v>
      </c>
      <c r="K490">
        <v>77.03</v>
      </c>
      <c r="L490" s="1">
        <v>45322</v>
      </c>
      <c r="M490">
        <f>G490*IF(D490="INR",1,INDEX('rates'!$B$2:$B$522,MATCH(B490,'rates'!$A$2:$A$522,1)))</f>
        <v>10887405.564300001</v>
      </c>
      <c r="N490">
        <f t="shared" si="7"/>
        <v>30</v>
      </c>
    </row>
    <row r="491" spans="1:14" x14ac:dyDescent="0.3">
      <c r="A491" t="s">
        <v>3792</v>
      </c>
      <c r="B491" s="1">
        <v>45293</v>
      </c>
      <c r="C491" t="s">
        <v>560</v>
      </c>
      <c r="D491" t="s">
        <v>36</v>
      </c>
      <c r="E491">
        <v>1702</v>
      </c>
      <c r="F491" t="s">
        <v>3262</v>
      </c>
      <c r="G491">
        <v>128194.64</v>
      </c>
      <c r="H491" t="s">
        <v>573</v>
      </c>
      <c r="I491">
        <v>90.22</v>
      </c>
      <c r="J491" t="s">
        <v>3263</v>
      </c>
      <c r="K491">
        <v>75.319999999999993</v>
      </c>
      <c r="L491" s="1">
        <v>45323</v>
      </c>
      <c r="M491">
        <f>G491*IF(D491="INR",1,INDEX('rates'!$B$2:$B$522,MATCH(B491,'rates'!$A$2:$A$522,1)))</f>
        <v>10679895.4584</v>
      </c>
      <c r="N491">
        <f t="shared" si="7"/>
        <v>30</v>
      </c>
    </row>
    <row r="492" spans="1:14" x14ac:dyDescent="0.3">
      <c r="A492" t="s">
        <v>3794</v>
      </c>
      <c r="B492" s="1">
        <v>45293</v>
      </c>
      <c r="C492" t="s">
        <v>575</v>
      </c>
      <c r="D492" t="s">
        <v>36</v>
      </c>
      <c r="E492">
        <v>436</v>
      </c>
      <c r="F492" t="s">
        <v>3262</v>
      </c>
      <c r="G492">
        <v>32673.84</v>
      </c>
      <c r="H492" t="s">
        <v>573</v>
      </c>
      <c r="I492">
        <v>90.22</v>
      </c>
      <c r="J492" t="s">
        <v>3263</v>
      </c>
      <c r="K492">
        <v>74.94</v>
      </c>
      <c r="L492" s="1">
        <v>45323</v>
      </c>
      <c r="M492">
        <f>G492*IF(D492="INR",1,INDEX('rates'!$B$2:$B$522,MATCH(B492,'rates'!$A$2:$A$522,1)))</f>
        <v>2722057.6104000001</v>
      </c>
      <c r="N492">
        <f t="shared" si="7"/>
        <v>30</v>
      </c>
    </row>
    <row r="493" spans="1:14" x14ac:dyDescent="0.3">
      <c r="A493" t="s">
        <v>3731</v>
      </c>
      <c r="B493" s="1">
        <v>45264</v>
      </c>
      <c r="C493" t="s">
        <v>554</v>
      </c>
      <c r="D493" t="s">
        <v>36</v>
      </c>
      <c r="E493">
        <v>701</v>
      </c>
      <c r="F493" t="s">
        <v>3262</v>
      </c>
      <c r="G493">
        <v>54236.37</v>
      </c>
      <c r="H493" t="s">
        <v>573</v>
      </c>
      <c r="I493">
        <v>92.81</v>
      </c>
      <c r="J493" t="s">
        <v>3263</v>
      </c>
      <c r="K493">
        <v>77.37</v>
      </c>
      <c r="L493" s="1">
        <v>45324</v>
      </c>
      <c r="M493">
        <f>G493*IF(D493="INR",1,INDEX('rates'!$B$2:$B$522,MATCH(B493,'rates'!$A$2:$A$522,1)))</f>
        <v>4523313.2580000004</v>
      </c>
      <c r="N493">
        <f t="shared" si="7"/>
        <v>60</v>
      </c>
    </row>
    <row r="494" spans="1:14" x14ac:dyDescent="0.3">
      <c r="A494" t="s">
        <v>3752</v>
      </c>
      <c r="B494" s="1">
        <v>45279</v>
      </c>
      <c r="C494" t="s">
        <v>566</v>
      </c>
      <c r="D494" t="s">
        <v>13</v>
      </c>
      <c r="E494">
        <v>40402</v>
      </c>
      <c r="F494" t="s">
        <v>3270</v>
      </c>
      <c r="G494">
        <v>3978384.94</v>
      </c>
      <c r="H494" t="s">
        <v>556</v>
      </c>
      <c r="J494" t="s">
        <v>3271</v>
      </c>
      <c r="K494">
        <v>98.47</v>
      </c>
      <c r="L494" s="1">
        <v>45324</v>
      </c>
      <c r="M494">
        <f>G494*IF(D494="INR",1,INDEX('rates'!$B$2:$B$522,MATCH(B494,'rates'!$A$2:$A$522,1)))</f>
        <v>3978384.94</v>
      </c>
      <c r="N494">
        <f t="shared" si="7"/>
        <v>45</v>
      </c>
    </row>
    <row r="495" spans="1:14" x14ac:dyDescent="0.3">
      <c r="A495" t="s">
        <v>3733</v>
      </c>
      <c r="B495" s="1">
        <v>45265</v>
      </c>
      <c r="C495" t="s">
        <v>558</v>
      </c>
      <c r="D495" t="s">
        <v>36</v>
      </c>
      <c r="E495">
        <v>491</v>
      </c>
      <c r="F495" t="s">
        <v>3262</v>
      </c>
      <c r="G495">
        <v>38081.96</v>
      </c>
      <c r="H495" t="s">
        <v>556</v>
      </c>
      <c r="J495" t="s">
        <v>3263</v>
      </c>
      <c r="K495">
        <v>77.56</v>
      </c>
      <c r="L495" s="1">
        <v>45325</v>
      </c>
      <c r="M495">
        <f>G495*IF(D495="INR",1,INDEX('rates'!$B$2:$B$522,MATCH(B495,'rates'!$A$2:$A$522,1)))</f>
        <v>3173369.7267999998</v>
      </c>
      <c r="N495">
        <f t="shared" si="7"/>
        <v>60</v>
      </c>
    </row>
    <row r="496" spans="1:14" x14ac:dyDescent="0.3">
      <c r="A496" t="s">
        <v>3734</v>
      </c>
      <c r="B496" s="1">
        <v>45265</v>
      </c>
      <c r="C496" t="s">
        <v>566</v>
      </c>
      <c r="D496" t="s">
        <v>36</v>
      </c>
      <c r="E496">
        <v>2301</v>
      </c>
      <c r="F496" t="s">
        <v>3262</v>
      </c>
      <c r="G496">
        <v>175543.29</v>
      </c>
      <c r="H496" t="s">
        <v>573</v>
      </c>
      <c r="I496">
        <v>93.68</v>
      </c>
      <c r="J496" t="s">
        <v>3263</v>
      </c>
      <c r="K496">
        <v>76.290000000000006</v>
      </c>
      <c r="L496" s="1">
        <v>45325</v>
      </c>
      <c r="M496">
        <f>G496*IF(D496="INR",1,INDEX('rates'!$B$2:$B$522,MATCH(B496,'rates'!$A$2:$A$522,1)))</f>
        <v>14628022.355700001</v>
      </c>
      <c r="N496">
        <f t="shared" si="7"/>
        <v>60</v>
      </c>
    </row>
    <row r="497" spans="1:14" x14ac:dyDescent="0.3">
      <c r="A497" t="s">
        <v>3755</v>
      </c>
      <c r="B497" s="1">
        <v>45280</v>
      </c>
      <c r="C497" t="s">
        <v>558</v>
      </c>
      <c r="D497" t="s">
        <v>36</v>
      </c>
      <c r="E497">
        <v>462</v>
      </c>
      <c r="F497" t="s">
        <v>3262</v>
      </c>
      <c r="G497">
        <v>35597.1</v>
      </c>
      <c r="H497" t="s">
        <v>556</v>
      </c>
      <c r="J497" t="s">
        <v>3263</v>
      </c>
      <c r="K497">
        <v>77.05</v>
      </c>
      <c r="L497" s="1">
        <v>45325</v>
      </c>
      <c r="M497">
        <f>G497*IF(D497="INR",1,INDEX('rates'!$B$2:$B$522,MATCH(B497,'rates'!$A$2:$A$522,1)))</f>
        <v>2959542.8939999999</v>
      </c>
      <c r="N497">
        <f t="shared" si="7"/>
        <v>45</v>
      </c>
    </row>
    <row r="498" spans="1:14" x14ac:dyDescent="0.3">
      <c r="A498" t="s">
        <v>3757</v>
      </c>
      <c r="B498" s="1">
        <v>45280</v>
      </c>
      <c r="C498" t="s">
        <v>566</v>
      </c>
      <c r="D498" t="s">
        <v>36</v>
      </c>
      <c r="E498">
        <v>597</v>
      </c>
      <c r="F498" t="s">
        <v>3262</v>
      </c>
      <c r="G498">
        <v>47103.3</v>
      </c>
      <c r="H498" t="s">
        <v>573</v>
      </c>
      <c r="I498">
        <v>95.83</v>
      </c>
      <c r="J498" t="s">
        <v>3263</v>
      </c>
      <c r="K498">
        <v>78.900000000000006</v>
      </c>
      <c r="L498" s="1">
        <v>45325</v>
      </c>
      <c r="M498">
        <f>G498*IF(D498="INR",1,INDEX('rates'!$B$2:$B$522,MATCH(B498,'rates'!$A$2:$A$522,1)))</f>
        <v>3916168.3620000002</v>
      </c>
      <c r="N498">
        <f t="shared" si="7"/>
        <v>45</v>
      </c>
    </row>
    <row r="499" spans="1:14" x14ac:dyDescent="0.3">
      <c r="A499" t="s">
        <v>3799</v>
      </c>
      <c r="B499" s="1">
        <v>45295</v>
      </c>
      <c r="C499" t="s">
        <v>566</v>
      </c>
      <c r="D499" t="s">
        <v>36</v>
      </c>
      <c r="E499">
        <v>491</v>
      </c>
      <c r="F499" t="s">
        <v>3262</v>
      </c>
      <c r="G499">
        <v>37463.300000000003</v>
      </c>
      <c r="H499" t="s">
        <v>573</v>
      </c>
      <c r="I499">
        <v>88.63</v>
      </c>
      <c r="J499" t="s">
        <v>3263</v>
      </c>
      <c r="K499">
        <v>76.3</v>
      </c>
      <c r="L499" s="1">
        <v>45325</v>
      </c>
      <c r="M499">
        <f>G499*IF(D499="INR",1,INDEX('rates'!$B$2:$B$522,MATCH(B499,'rates'!$A$2:$A$522,1)))</f>
        <v>3117321.193</v>
      </c>
      <c r="N499">
        <f t="shared" si="7"/>
        <v>30</v>
      </c>
    </row>
    <row r="500" spans="1:14" x14ac:dyDescent="0.3">
      <c r="A500" t="s">
        <v>3759</v>
      </c>
      <c r="B500" s="1">
        <v>45281</v>
      </c>
      <c r="C500" t="s">
        <v>560</v>
      </c>
      <c r="D500" t="s">
        <v>36</v>
      </c>
      <c r="E500">
        <v>598</v>
      </c>
      <c r="F500" t="s">
        <v>3262</v>
      </c>
      <c r="G500">
        <v>46141.68</v>
      </c>
      <c r="H500" t="s">
        <v>556</v>
      </c>
      <c r="J500" t="s">
        <v>3263</v>
      </c>
      <c r="K500">
        <v>77.16</v>
      </c>
      <c r="L500" s="1">
        <v>45326</v>
      </c>
      <c r="M500">
        <f>G500*IF(D500="INR",1,INDEX('rates'!$B$2:$B$522,MATCH(B500,'rates'!$A$2:$A$522,1)))</f>
        <v>3842217.6935999999</v>
      </c>
      <c r="N500">
        <f t="shared" si="7"/>
        <v>45</v>
      </c>
    </row>
    <row r="501" spans="1:14" x14ac:dyDescent="0.3">
      <c r="A501" t="s">
        <v>3761</v>
      </c>
      <c r="B501" s="1">
        <v>45281</v>
      </c>
      <c r="C501" t="s">
        <v>554</v>
      </c>
      <c r="D501" t="s">
        <v>13</v>
      </c>
      <c r="E501">
        <v>90086</v>
      </c>
      <c r="F501" t="s">
        <v>3270</v>
      </c>
      <c r="G501">
        <v>9517585.9000000004</v>
      </c>
      <c r="H501" t="s">
        <v>556</v>
      </c>
      <c r="J501" t="s">
        <v>3271</v>
      </c>
      <c r="K501">
        <v>105.65</v>
      </c>
      <c r="L501" s="1">
        <v>45326</v>
      </c>
      <c r="M501">
        <f>G501*IF(D501="INR",1,INDEX('rates'!$B$2:$B$522,MATCH(B501,'rates'!$A$2:$A$522,1)))</f>
        <v>9517585.9000000004</v>
      </c>
      <c r="N501">
        <f t="shared" si="7"/>
        <v>45</v>
      </c>
    </row>
    <row r="502" spans="1:14" x14ac:dyDescent="0.3">
      <c r="A502" t="s">
        <v>3801</v>
      </c>
      <c r="B502" s="1">
        <v>45296</v>
      </c>
      <c r="C502" t="s">
        <v>566</v>
      </c>
      <c r="D502" t="s">
        <v>36</v>
      </c>
      <c r="E502">
        <v>906</v>
      </c>
      <c r="F502" t="s">
        <v>3262</v>
      </c>
      <c r="G502">
        <v>71872.98</v>
      </c>
      <c r="H502" t="s">
        <v>573</v>
      </c>
      <c r="I502">
        <v>88.63</v>
      </c>
      <c r="J502" t="s">
        <v>3263</v>
      </c>
      <c r="K502">
        <v>79.33</v>
      </c>
      <c r="L502" s="1">
        <v>45326</v>
      </c>
      <c r="M502">
        <f>G502*IF(D502="INR",1,INDEX('rates'!$B$2:$B$522,MATCH(B502,'rates'!$A$2:$A$522,1)))</f>
        <v>5976957.0167999994</v>
      </c>
      <c r="N502">
        <f t="shared" si="7"/>
        <v>30</v>
      </c>
    </row>
    <row r="503" spans="1:14" x14ac:dyDescent="0.3">
      <c r="A503" t="s">
        <v>3802</v>
      </c>
      <c r="B503" s="1">
        <v>45296</v>
      </c>
      <c r="C503" t="s">
        <v>566</v>
      </c>
      <c r="D503" t="s">
        <v>36</v>
      </c>
      <c r="E503">
        <v>2768</v>
      </c>
      <c r="F503" t="s">
        <v>3262</v>
      </c>
      <c r="G503">
        <v>212665.44</v>
      </c>
      <c r="H503" t="s">
        <v>573</v>
      </c>
      <c r="I503">
        <v>88.63</v>
      </c>
      <c r="J503" t="s">
        <v>3263</v>
      </c>
      <c r="K503">
        <v>76.83</v>
      </c>
      <c r="L503" s="1">
        <v>45326</v>
      </c>
      <c r="M503">
        <f>G503*IF(D503="INR",1,INDEX('rates'!$B$2:$B$522,MATCH(B503,'rates'!$A$2:$A$522,1)))</f>
        <v>17685257.990399998</v>
      </c>
      <c r="N503">
        <f t="shared" si="7"/>
        <v>30</v>
      </c>
    </row>
    <row r="504" spans="1:14" x14ac:dyDescent="0.3">
      <c r="A504" t="s">
        <v>3735</v>
      </c>
      <c r="B504" s="1">
        <v>45267</v>
      </c>
      <c r="C504" t="s">
        <v>575</v>
      </c>
      <c r="D504" t="s">
        <v>36</v>
      </c>
      <c r="E504">
        <v>1007</v>
      </c>
      <c r="F504" t="s">
        <v>3262</v>
      </c>
      <c r="G504">
        <v>73863.45</v>
      </c>
      <c r="H504" t="s">
        <v>556</v>
      </c>
      <c r="J504" t="s">
        <v>3263</v>
      </c>
      <c r="K504">
        <v>73.349999999999994</v>
      </c>
      <c r="L504" s="1">
        <v>45327</v>
      </c>
      <c r="M504">
        <f>G504*IF(D504="INR",1,INDEX('rates'!$B$2:$B$522,MATCH(B504,'rates'!$A$2:$A$522,1)))</f>
        <v>6154302.6539999992</v>
      </c>
      <c r="N504">
        <f t="shared" si="7"/>
        <v>60</v>
      </c>
    </row>
    <row r="505" spans="1:14" x14ac:dyDescent="0.3">
      <c r="A505" t="s">
        <v>3766</v>
      </c>
      <c r="B505" s="1">
        <v>45282</v>
      </c>
      <c r="C505" t="s">
        <v>560</v>
      </c>
      <c r="D505" t="s">
        <v>13</v>
      </c>
      <c r="E505">
        <v>63985</v>
      </c>
      <c r="F505" t="s">
        <v>3270</v>
      </c>
      <c r="G505">
        <v>6660838.5</v>
      </c>
      <c r="H505" t="s">
        <v>556</v>
      </c>
      <c r="J505" t="s">
        <v>3271</v>
      </c>
      <c r="K505">
        <v>104.1</v>
      </c>
      <c r="L505" s="1">
        <v>45327</v>
      </c>
      <c r="M505">
        <f>G505*IF(D505="INR",1,INDEX('rates'!$B$2:$B$522,MATCH(B505,'rates'!$A$2:$A$522,1)))</f>
        <v>6660838.5</v>
      </c>
      <c r="N505">
        <f t="shared" si="7"/>
        <v>45</v>
      </c>
    </row>
    <row r="506" spans="1:14" x14ac:dyDescent="0.3">
      <c r="A506" t="s">
        <v>3738</v>
      </c>
      <c r="B506" s="1">
        <v>45268</v>
      </c>
      <c r="C506" t="s">
        <v>566</v>
      </c>
      <c r="D506" t="s">
        <v>13</v>
      </c>
      <c r="E506">
        <v>68766</v>
      </c>
      <c r="F506" t="s">
        <v>3270</v>
      </c>
      <c r="G506">
        <v>6928862.1600000001</v>
      </c>
      <c r="H506" t="s">
        <v>556</v>
      </c>
      <c r="J506" t="s">
        <v>3271</v>
      </c>
      <c r="K506">
        <v>100.76</v>
      </c>
      <c r="L506" s="1">
        <v>45328</v>
      </c>
      <c r="M506">
        <f>G506*IF(D506="INR",1,INDEX('rates'!$B$2:$B$522,MATCH(B506,'rates'!$A$2:$A$522,1)))</f>
        <v>6928862.1600000001</v>
      </c>
      <c r="N506">
        <f t="shared" si="7"/>
        <v>60</v>
      </c>
    </row>
    <row r="507" spans="1:14" x14ac:dyDescent="0.3">
      <c r="A507" t="s">
        <v>3739</v>
      </c>
      <c r="B507" s="1">
        <v>45268</v>
      </c>
      <c r="C507" t="s">
        <v>575</v>
      </c>
      <c r="D507" t="s">
        <v>36</v>
      </c>
      <c r="E507">
        <v>2817</v>
      </c>
      <c r="F507" t="s">
        <v>3262</v>
      </c>
      <c r="G507">
        <v>206683.29</v>
      </c>
      <c r="H507" t="s">
        <v>573</v>
      </c>
      <c r="I507">
        <v>93.64</v>
      </c>
      <c r="J507" t="s">
        <v>3263</v>
      </c>
      <c r="K507">
        <v>73.37</v>
      </c>
      <c r="L507" s="1">
        <v>45328</v>
      </c>
      <c r="M507">
        <f>G507*IF(D507="INR",1,INDEX('rates'!$B$2:$B$522,MATCH(B507,'rates'!$A$2:$A$522,1)))</f>
        <v>17233252.720199998</v>
      </c>
      <c r="N507">
        <f t="shared" si="7"/>
        <v>60</v>
      </c>
    </row>
    <row r="508" spans="1:14" x14ac:dyDescent="0.3">
      <c r="A508" t="s">
        <v>3743</v>
      </c>
      <c r="B508" s="1">
        <v>45268</v>
      </c>
      <c r="C508" t="s">
        <v>554</v>
      </c>
      <c r="D508" t="s">
        <v>36</v>
      </c>
      <c r="E508">
        <v>323</v>
      </c>
      <c r="F508" t="s">
        <v>3262</v>
      </c>
      <c r="G508">
        <v>23998.9</v>
      </c>
      <c r="H508" t="s">
        <v>573</v>
      </c>
      <c r="I508">
        <v>93.64</v>
      </c>
      <c r="J508" t="s">
        <v>3263</v>
      </c>
      <c r="K508">
        <v>74.3</v>
      </c>
      <c r="L508" s="1">
        <v>45328</v>
      </c>
      <c r="M508">
        <f>G508*IF(D508="INR",1,INDEX('rates'!$B$2:$B$522,MATCH(B508,'rates'!$A$2:$A$522,1)))</f>
        <v>2001028.2820000001</v>
      </c>
      <c r="N508">
        <f t="shared" si="7"/>
        <v>60</v>
      </c>
    </row>
    <row r="509" spans="1:14" x14ac:dyDescent="0.3">
      <c r="A509" t="s">
        <v>3744</v>
      </c>
      <c r="B509" s="1">
        <v>45268</v>
      </c>
      <c r="C509" t="s">
        <v>558</v>
      </c>
      <c r="D509" t="s">
        <v>36</v>
      </c>
      <c r="E509">
        <v>434</v>
      </c>
      <c r="F509" t="s">
        <v>3262</v>
      </c>
      <c r="G509">
        <v>32471.88</v>
      </c>
      <c r="H509" t="s">
        <v>556</v>
      </c>
      <c r="J509" t="s">
        <v>3263</v>
      </c>
      <c r="K509">
        <v>74.819999999999993</v>
      </c>
      <c r="L509" s="1">
        <v>45328</v>
      </c>
      <c r="M509">
        <f>G509*IF(D509="INR",1,INDEX('rates'!$B$2:$B$522,MATCH(B509,'rates'!$A$2:$A$522,1)))</f>
        <v>2707505.3544000001</v>
      </c>
      <c r="N509">
        <f t="shared" si="7"/>
        <v>60</v>
      </c>
    </row>
    <row r="510" spans="1:14" x14ac:dyDescent="0.3">
      <c r="A510" t="s">
        <v>3803</v>
      </c>
      <c r="B510" s="1">
        <v>45299</v>
      </c>
      <c r="C510" t="s">
        <v>566</v>
      </c>
      <c r="D510" t="s">
        <v>36</v>
      </c>
      <c r="E510">
        <v>972</v>
      </c>
      <c r="F510" t="s">
        <v>3262</v>
      </c>
      <c r="G510">
        <v>73959.48</v>
      </c>
      <c r="H510" t="s">
        <v>573</v>
      </c>
      <c r="I510">
        <v>91.9</v>
      </c>
      <c r="J510" t="s">
        <v>3263</v>
      </c>
      <c r="K510">
        <v>76.09</v>
      </c>
      <c r="L510" s="1">
        <v>45329</v>
      </c>
      <c r="M510">
        <f>G510*IF(D510="INR",1,INDEX('rates'!$B$2:$B$522,MATCH(B510,'rates'!$A$2:$A$522,1)))</f>
        <v>6148251.572399999</v>
      </c>
      <c r="N510">
        <f t="shared" si="7"/>
        <v>30</v>
      </c>
    </row>
    <row r="511" spans="1:14" x14ac:dyDescent="0.3">
      <c r="A511" t="s">
        <v>3767</v>
      </c>
      <c r="B511" s="1">
        <v>45285</v>
      </c>
      <c r="C511" t="s">
        <v>558</v>
      </c>
      <c r="D511" t="s">
        <v>36</v>
      </c>
      <c r="E511">
        <v>949</v>
      </c>
      <c r="F511" t="s">
        <v>3262</v>
      </c>
      <c r="G511">
        <v>73462.09</v>
      </c>
      <c r="H511" t="s">
        <v>556</v>
      </c>
      <c r="J511" t="s">
        <v>3263</v>
      </c>
      <c r="K511">
        <v>77.41</v>
      </c>
      <c r="L511" s="1">
        <v>45330</v>
      </c>
      <c r="M511">
        <f>G511*IF(D511="INR",1,INDEX('rates'!$B$2:$B$522,MATCH(B511,'rates'!$A$2:$A$522,1)))</f>
        <v>6106168.9208000004</v>
      </c>
      <c r="N511">
        <f t="shared" si="7"/>
        <v>45</v>
      </c>
    </row>
    <row r="512" spans="1:14" x14ac:dyDescent="0.3">
      <c r="A512" t="s">
        <v>3806</v>
      </c>
      <c r="B512" s="1">
        <v>45300</v>
      </c>
      <c r="C512" t="s">
        <v>566</v>
      </c>
      <c r="D512" t="s">
        <v>36</v>
      </c>
      <c r="E512">
        <v>652</v>
      </c>
      <c r="F512" t="s">
        <v>3262</v>
      </c>
      <c r="G512">
        <v>49982.32</v>
      </c>
      <c r="H512" t="s">
        <v>556</v>
      </c>
      <c r="J512" t="s">
        <v>3263</v>
      </c>
      <c r="K512">
        <v>76.66</v>
      </c>
      <c r="L512" s="1">
        <v>45330</v>
      </c>
      <c r="M512">
        <f>G512*IF(D512="INR",1,INDEX('rates'!$B$2:$B$522,MATCH(B512,'rates'!$A$2:$A$522,1)))</f>
        <v>4153030.9687999999</v>
      </c>
      <c r="N512">
        <f t="shared" si="7"/>
        <v>30</v>
      </c>
    </row>
    <row r="513" spans="1:14" x14ac:dyDescent="0.3">
      <c r="A513" t="s">
        <v>3773</v>
      </c>
      <c r="B513" s="1">
        <v>45287</v>
      </c>
      <c r="C513" t="s">
        <v>575</v>
      </c>
      <c r="D513" t="s">
        <v>13</v>
      </c>
      <c r="E513">
        <v>49773</v>
      </c>
      <c r="F513" t="s">
        <v>3270</v>
      </c>
      <c r="G513">
        <v>4256089.2300000004</v>
      </c>
      <c r="H513" t="s">
        <v>556</v>
      </c>
      <c r="J513" t="s">
        <v>3271</v>
      </c>
      <c r="K513">
        <v>85.51</v>
      </c>
      <c r="L513" s="1">
        <v>45332</v>
      </c>
      <c r="M513">
        <f>G513*IF(D513="INR",1,INDEX('rates'!$B$2:$B$522,MATCH(B513,'rates'!$A$2:$A$522,1)))</f>
        <v>4256089.2300000004</v>
      </c>
      <c r="N513">
        <f t="shared" si="7"/>
        <v>45</v>
      </c>
    </row>
    <row r="514" spans="1:14" x14ac:dyDescent="0.3">
      <c r="A514" t="s">
        <v>3774</v>
      </c>
      <c r="B514" s="1">
        <v>45287</v>
      </c>
      <c r="C514" t="s">
        <v>554</v>
      </c>
      <c r="D514" t="s">
        <v>36</v>
      </c>
      <c r="E514">
        <v>929</v>
      </c>
      <c r="F514" t="s">
        <v>3262</v>
      </c>
      <c r="G514">
        <v>72359.81</v>
      </c>
      <c r="H514" t="s">
        <v>573</v>
      </c>
      <c r="I514">
        <v>98.07</v>
      </c>
      <c r="J514" t="s">
        <v>3263</v>
      </c>
      <c r="K514">
        <v>77.89</v>
      </c>
      <c r="L514" s="1">
        <v>45332</v>
      </c>
      <c r="M514">
        <f>G514*IF(D514="INR",1,INDEX('rates'!$B$2:$B$522,MATCH(B514,'rates'!$A$2:$A$522,1)))</f>
        <v>6031190.1634999998</v>
      </c>
      <c r="N514">
        <f t="shared" ref="N514:N577" si="8">IF(L514="","",L514-B514)</f>
        <v>45</v>
      </c>
    </row>
    <row r="515" spans="1:14" x14ac:dyDescent="0.3">
      <c r="A515" t="s">
        <v>3812</v>
      </c>
      <c r="B515" s="1">
        <v>45303</v>
      </c>
      <c r="C515" t="s">
        <v>558</v>
      </c>
      <c r="D515" t="s">
        <v>36</v>
      </c>
      <c r="E515">
        <v>1040</v>
      </c>
      <c r="F515" t="s">
        <v>3262</v>
      </c>
      <c r="G515">
        <v>80246.399999999994</v>
      </c>
      <c r="H515" t="s">
        <v>556</v>
      </c>
      <c r="J515" t="s">
        <v>3263</v>
      </c>
      <c r="K515">
        <v>77.16</v>
      </c>
      <c r="L515" s="1">
        <v>45333</v>
      </c>
      <c r="M515">
        <f>G515*IF(D515="INR",1,INDEX('rates'!$B$2:$B$522,MATCH(B515,'rates'!$A$2:$A$522,1)))</f>
        <v>6654031.4879999999</v>
      </c>
      <c r="N515">
        <f t="shared" si="8"/>
        <v>30</v>
      </c>
    </row>
    <row r="516" spans="1:14" x14ac:dyDescent="0.3">
      <c r="A516" t="s">
        <v>3813</v>
      </c>
      <c r="B516" s="1">
        <v>45303</v>
      </c>
      <c r="C516" t="s">
        <v>558</v>
      </c>
      <c r="D516" t="s">
        <v>36</v>
      </c>
      <c r="E516">
        <v>1482</v>
      </c>
      <c r="F516" t="s">
        <v>3262</v>
      </c>
      <c r="G516">
        <v>115847.94</v>
      </c>
      <c r="H516" t="s">
        <v>556</v>
      </c>
      <c r="J516" t="s">
        <v>3263</v>
      </c>
      <c r="K516">
        <v>78.17</v>
      </c>
      <c r="L516" s="1">
        <v>45333</v>
      </c>
      <c r="M516">
        <f>G516*IF(D516="INR",1,INDEX('rates'!$B$2:$B$522,MATCH(B516,'rates'!$A$2:$A$522,1)))</f>
        <v>9606111.1848000009</v>
      </c>
      <c r="N516">
        <f t="shared" si="8"/>
        <v>30</v>
      </c>
    </row>
    <row r="517" spans="1:14" x14ac:dyDescent="0.3">
      <c r="A517" t="s">
        <v>3816</v>
      </c>
      <c r="B517" s="1">
        <v>45303</v>
      </c>
      <c r="C517" t="s">
        <v>566</v>
      </c>
      <c r="D517" t="s">
        <v>36</v>
      </c>
      <c r="E517">
        <v>220</v>
      </c>
      <c r="F517" t="s">
        <v>3262</v>
      </c>
      <c r="G517">
        <v>16544</v>
      </c>
      <c r="H517" t="s">
        <v>573</v>
      </c>
      <c r="I517">
        <v>93.81</v>
      </c>
      <c r="J517" t="s">
        <v>3263</v>
      </c>
      <c r="K517">
        <v>75.2</v>
      </c>
      <c r="L517" s="1">
        <v>45333</v>
      </c>
      <c r="M517">
        <f>G517*IF(D517="INR",1,INDEX('rates'!$B$2:$B$522,MATCH(B517,'rates'!$A$2:$A$522,1)))</f>
        <v>1371828.48</v>
      </c>
      <c r="N517">
        <f t="shared" si="8"/>
        <v>30</v>
      </c>
    </row>
    <row r="518" spans="1:14" x14ac:dyDescent="0.3">
      <c r="A518" t="s">
        <v>3778</v>
      </c>
      <c r="B518" s="1">
        <v>45289</v>
      </c>
      <c r="C518" t="s">
        <v>558</v>
      </c>
      <c r="D518" t="s">
        <v>36</v>
      </c>
      <c r="E518">
        <v>650</v>
      </c>
      <c r="F518" t="s">
        <v>3262</v>
      </c>
      <c r="G518">
        <v>49861.5</v>
      </c>
      <c r="H518" t="s">
        <v>556</v>
      </c>
      <c r="J518" t="s">
        <v>3263</v>
      </c>
      <c r="K518">
        <v>76.709999999999994</v>
      </c>
      <c r="L518" s="1">
        <v>45334</v>
      </c>
      <c r="M518">
        <f>G518*IF(D518="INR",1,INDEX('rates'!$B$2:$B$522,MATCH(B518,'rates'!$A$2:$A$522,1)))</f>
        <v>4147978.1850000001</v>
      </c>
      <c r="N518">
        <f t="shared" si="8"/>
        <v>45</v>
      </c>
    </row>
    <row r="519" spans="1:14" x14ac:dyDescent="0.3">
      <c r="A519" t="s">
        <v>3779</v>
      </c>
      <c r="B519" s="1">
        <v>45289</v>
      </c>
      <c r="C519" t="s">
        <v>558</v>
      </c>
      <c r="D519" t="s">
        <v>13</v>
      </c>
      <c r="E519">
        <v>105854</v>
      </c>
      <c r="F519" t="s">
        <v>3270</v>
      </c>
      <c r="G519">
        <v>8252377.8399999999</v>
      </c>
      <c r="H519" t="s">
        <v>556</v>
      </c>
      <c r="J519" t="s">
        <v>3271</v>
      </c>
      <c r="K519">
        <v>77.959999999999994</v>
      </c>
      <c r="L519" s="1">
        <v>45334</v>
      </c>
      <c r="M519">
        <f>G519*IF(D519="INR",1,INDEX('rates'!$B$2:$B$522,MATCH(B519,'rates'!$A$2:$A$522,1)))</f>
        <v>8252377.8399999999</v>
      </c>
      <c r="N519">
        <f t="shared" si="8"/>
        <v>45</v>
      </c>
    </row>
    <row r="520" spans="1:14" x14ac:dyDescent="0.3">
      <c r="A520" t="s">
        <v>3780</v>
      </c>
      <c r="B520" s="1">
        <v>45289</v>
      </c>
      <c r="C520" t="s">
        <v>558</v>
      </c>
      <c r="D520" t="s">
        <v>13</v>
      </c>
      <c r="E520">
        <v>77224</v>
      </c>
      <c r="F520" t="s">
        <v>3270</v>
      </c>
      <c r="G520">
        <v>6882975.1200000001</v>
      </c>
      <c r="H520" t="s">
        <v>556</v>
      </c>
      <c r="J520" t="s">
        <v>3271</v>
      </c>
      <c r="K520">
        <v>89.13</v>
      </c>
      <c r="L520" s="1">
        <v>45334</v>
      </c>
      <c r="M520">
        <f>G520*IF(D520="INR",1,INDEX('rates'!$B$2:$B$522,MATCH(B520,'rates'!$A$2:$A$522,1)))</f>
        <v>6882975.1200000001</v>
      </c>
      <c r="N520">
        <f t="shared" si="8"/>
        <v>45</v>
      </c>
    </row>
    <row r="521" spans="1:14" x14ac:dyDescent="0.3">
      <c r="A521" t="s">
        <v>3783</v>
      </c>
      <c r="B521" s="1">
        <v>45289</v>
      </c>
      <c r="C521" t="s">
        <v>554</v>
      </c>
      <c r="D521" t="s">
        <v>36</v>
      </c>
      <c r="E521">
        <v>1543</v>
      </c>
      <c r="F521" t="s">
        <v>3262</v>
      </c>
      <c r="G521">
        <v>117530.31</v>
      </c>
      <c r="H521" t="s">
        <v>556</v>
      </c>
      <c r="J521" t="s">
        <v>3263</v>
      </c>
      <c r="K521">
        <v>76.17</v>
      </c>
      <c r="L521" s="1">
        <v>45334</v>
      </c>
      <c r="M521">
        <f>G521*IF(D521="INR",1,INDEX('rates'!$B$2:$B$522,MATCH(B521,'rates'!$A$2:$A$522,1)))</f>
        <v>9777346.4889000002</v>
      </c>
      <c r="N521">
        <f t="shared" si="8"/>
        <v>45</v>
      </c>
    </row>
    <row r="522" spans="1:14" x14ac:dyDescent="0.3">
      <c r="A522" t="s">
        <v>3786</v>
      </c>
      <c r="B522" s="1">
        <v>45289</v>
      </c>
      <c r="C522" t="s">
        <v>558</v>
      </c>
      <c r="D522" t="s">
        <v>36</v>
      </c>
      <c r="E522">
        <v>549</v>
      </c>
      <c r="F522" t="s">
        <v>3262</v>
      </c>
      <c r="G522">
        <v>40686.39</v>
      </c>
      <c r="H522" t="s">
        <v>556</v>
      </c>
      <c r="J522" t="s">
        <v>3263</v>
      </c>
      <c r="K522">
        <v>74.11</v>
      </c>
      <c r="L522" s="1">
        <v>45334</v>
      </c>
      <c r="M522">
        <f>G522*IF(D522="INR",1,INDEX('rates'!$B$2:$B$522,MATCH(B522,'rates'!$A$2:$A$522,1)))</f>
        <v>3384700.7840999998</v>
      </c>
      <c r="N522">
        <f t="shared" si="8"/>
        <v>45</v>
      </c>
    </row>
    <row r="523" spans="1:14" x14ac:dyDescent="0.3">
      <c r="A523" t="s">
        <v>3749</v>
      </c>
      <c r="B523" s="1">
        <v>45275</v>
      </c>
      <c r="C523" t="s">
        <v>558</v>
      </c>
      <c r="D523" t="s">
        <v>36</v>
      </c>
      <c r="E523">
        <v>2396</v>
      </c>
      <c r="F523" t="s">
        <v>3262</v>
      </c>
      <c r="G523">
        <v>182814.8</v>
      </c>
      <c r="H523" t="s">
        <v>556</v>
      </c>
      <c r="J523" t="s">
        <v>3263</v>
      </c>
      <c r="K523">
        <v>76.3</v>
      </c>
      <c r="L523" s="1">
        <v>45335</v>
      </c>
      <c r="M523">
        <f>G523*IF(D523="INR",1,INDEX('rates'!$B$2:$B$522,MATCH(B523,'rates'!$A$2:$A$522,1)))</f>
        <v>15177284.695999999</v>
      </c>
      <c r="N523">
        <f t="shared" si="8"/>
        <v>60</v>
      </c>
    </row>
    <row r="524" spans="1:14" x14ac:dyDescent="0.3">
      <c r="A524" t="s">
        <v>3817</v>
      </c>
      <c r="B524" s="1">
        <v>45306</v>
      </c>
      <c r="C524" t="s">
        <v>566</v>
      </c>
      <c r="D524" t="s">
        <v>36</v>
      </c>
      <c r="E524">
        <v>1774</v>
      </c>
      <c r="F524" t="s">
        <v>3262</v>
      </c>
      <c r="G524">
        <v>137680.14000000001</v>
      </c>
      <c r="H524" t="s">
        <v>573</v>
      </c>
      <c r="J524" t="s">
        <v>3263</v>
      </c>
      <c r="K524">
        <v>77.61</v>
      </c>
      <c r="L524" s="1">
        <v>45336</v>
      </c>
      <c r="M524">
        <f>G524*IF(D524="INR",1,INDEX('rates'!$B$2:$B$522,MATCH(B524,'rates'!$A$2:$A$522,1)))</f>
        <v>11416437.208800001</v>
      </c>
      <c r="N524">
        <f t="shared" si="8"/>
        <v>30</v>
      </c>
    </row>
    <row r="525" spans="1:14" x14ac:dyDescent="0.3">
      <c r="A525" t="s">
        <v>3793</v>
      </c>
      <c r="B525" s="1">
        <v>45293</v>
      </c>
      <c r="C525" t="s">
        <v>560</v>
      </c>
      <c r="D525" t="s">
        <v>36</v>
      </c>
      <c r="E525">
        <v>1890</v>
      </c>
      <c r="F525" t="s">
        <v>3262</v>
      </c>
      <c r="G525">
        <v>137478.6</v>
      </c>
      <c r="H525" t="s">
        <v>556</v>
      </c>
      <c r="J525" t="s">
        <v>3263</v>
      </c>
      <c r="K525">
        <v>72.739999999999995</v>
      </c>
      <c r="L525" s="1">
        <v>45338</v>
      </c>
      <c r="M525">
        <f>G525*IF(D525="INR",1,INDEX('rates'!$B$2:$B$522,MATCH(B525,'rates'!$A$2:$A$522,1)))</f>
        <v>11453342.166000001</v>
      </c>
      <c r="N525">
        <f t="shared" si="8"/>
        <v>45</v>
      </c>
    </row>
    <row r="526" spans="1:14" x14ac:dyDescent="0.3">
      <c r="A526" t="s">
        <v>3820</v>
      </c>
      <c r="B526" s="1">
        <v>45308</v>
      </c>
      <c r="C526" t="s">
        <v>560</v>
      </c>
      <c r="D526" t="s">
        <v>36</v>
      </c>
      <c r="E526">
        <v>1160</v>
      </c>
      <c r="F526" t="s">
        <v>3262</v>
      </c>
      <c r="G526">
        <v>89865.2</v>
      </c>
      <c r="H526" t="s">
        <v>556</v>
      </c>
      <c r="J526" t="s">
        <v>3263</v>
      </c>
      <c r="K526">
        <v>77.47</v>
      </c>
      <c r="L526" s="1">
        <v>45338</v>
      </c>
      <c r="M526">
        <f>G526*IF(D526="INR",1,INDEX('rates'!$B$2:$B$522,MATCH(B526,'rates'!$A$2:$A$522,1)))</f>
        <v>7471392.7280000001</v>
      </c>
      <c r="N526">
        <f t="shared" si="8"/>
        <v>30</v>
      </c>
    </row>
    <row r="527" spans="1:14" x14ac:dyDescent="0.3">
      <c r="A527" t="s">
        <v>3795</v>
      </c>
      <c r="B527" s="1">
        <v>45294</v>
      </c>
      <c r="C527" t="s">
        <v>566</v>
      </c>
      <c r="D527" t="s">
        <v>13</v>
      </c>
      <c r="E527">
        <v>24233</v>
      </c>
      <c r="F527" t="s">
        <v>3270</v>
      </c>
      <c r="G527">
        <v>2278628.9900000002</v>
      </c>
      <c r="H527" t="s">
        <v>556</v>
      </c>
      <c r="J527" t="s">
        <v>3271</v>
      </c>
      <c r="K527">
        <v>94.03</v>
      </c>
      <c r="L527" s="1">
        <v>45339</v>
      </c>
      <c r="M527">
        <f>G527*IF(D527="INR",1,INDEX('rates'!$B$2:$B$522,MATCH(B527,'rates'!$A$2:$A$522,1)))</f>
        <v>2278628.9900000002</v>
      </c>
      <c r="N527">
        <f t="shared" si="8"/>
        <v>45</v>
      </c>
    </row>
    <row r="528" spans="1:14" x14ac:dyDescent="0.3">
      <c r="A528" t="s">
        <v>3798</v>
      </c>
      <c r="B528" s="1">
        <v>45294</v>
      </c>
      <c r="C528" t="s">
        <v>575</v>
      </c>
      <c r="D528" t="s">
        <v>36</v>
      </c>
      <c r="E528">
        <v>574</v>
      </c>
      <c r="F528" t="s">
        <v>3262</v>
      </c>
      <c r="G528">
        <v>43337</v>
      </c>
      <c r="H528" t="s">
        <v>556</v>
      </c>
      <c r="J528" t="s">
        <v>3263</v>
      </c>
      <c r="K528">
        <v>75.5</v>
      </c>
      <c r="L528" s="1">
        <v>45339</v>
      </c>
      <c r="M528">
        <f>G528*IF(D528="INR",1,INDEX('rates'!$B$2:$B$522,MATCH(B528,'rates'!$A$2:$A$522,1)))</f>
        <v>3609972.1</v>
      </c>
      <c r="N528">
        <f t="shared" si="8"/>
        <v>45</v>
      </c>
    </row>
    <row r="529" spans="1:14" x14ac:dyDescent="0.3">
      <c r="A529" t="s">
        <v>3821</v>
      </c>
      <c r="B529" s="1">
        <v>45309</v>
      </c>
      <c r="C529" t="s">
        <v>560</v>
      </c>
      <c r="D529" t="s">
        <v>36</v>
      </c>
      <c r="E529">
        <v>4530</v>
      </c>
      <c r="F529" t="s">
        <v>3262</v>
      </c>
      <c r="G529">
        <v>351845.1</v>
      </c>
      <c r="H529" t="s">
        <v>556</v>
      </c>
      <c r="J529" t="s">
        <v>3263</v>
      </c>
      <c r="K529">
        <v>77.67</v>
      </c>
      <c r="L529" s="1">
        <v>45339</v>
      </c>
      <c r="M529">
        <f>G529*IF(D529="INR",1,INDEX('rates'!$B$2:$B$522,MATCH(B529,'rates'!$A$2:$A$522,1)))</f>
        <v>29255920.065000001</v>
      </c>
      <c r="N529">
        <f t="shared" si="8"/>
        <v>30</v>
      </c>
    </row>
    <row r="530" spans="1:14" x14ac:dyDescent="0.3">
      <c r="A530" t="s">
        <v>3822</v>
      </c>
      <c r="B530" s="1">
        <v>45309</v>
      </c>
      <c r="C530" t="s">
        <v>554</v>
      </c>
      <c r="D530" t="s">
        <v>36</v>
      </c>
      <c r="E530">
        <v>842</v>
      </c>
      <c r="F530" t="s">
        <v>3262</v>
      </c>
      <c r="G530">
        <v>64034.1</v>
      </c>
      <c r="H530" t="s">
        <v>573</v>
      </c>
      <c r="I530">
        <v>95.36</v>
      </c>
      <c r="J530" t="s">
        <v>3263</v>
      </c>
      <c r="K530">
        <v>76.05</v>
      </c>
      <c r="L530" s="1">
        <v>45339</v>
      </c>
      <c r="M530">
        <f>G530*IF(D530="INR",1,INDEX('rates'!$B$2:$B$522,MATCH(B530,'rates'!$A$2:$A$522,1)))</f>
        <v>5324435.415</v>
      </c>
      <c r="N530">
        <f t="shared" si="8"/>
        <v>30</v>
      </c>
    </row>
    <row r="531" spans="1:14" x14ac:dyDescent="0.3">
      <c r="A531" t="s">
        <v>3823</v>
      </c>
      <c r="B531" s="1">
        <v>45309</v>
      </c>
      <c r="C531" t="s">
        <v>560</v>
      </c>
      <c r="D531" t="s">
        <v>36</v>
      </c>
      <c r="E531">
        <v>587</v>
      </c>
      <c r="F531" t="s">
        <v>3262</v>
      </c>
      <c r="G531">
        <v>46519.75</v>
      </c>
      <c r="H531" t="s">
        <v>556</v>
      </c>
      <c r="J531" t="s">
        <v>3263</v>
      </c>
      <c r="K531">
        <v>79.25</v>
      </c>
      <c r="L531" s="1">
        <v>45339</v>
      </c>
      <c r="M531">
        <f>G531*IF(D531="INR",1,INDEX('rates'!$B$2:$B$522,MATCH(B531,'rates'!$A$2:$A$522,1)))</f>
        <v>3868117.2125000004</v>
      </c>
      <c r="N531">
        <f t="shared" si="8"/>
        <v>30</v>
      </c>
    </row>
    <row r="532" spans="1:14" x14ac:dyDescent="0.3">
      <c r="A532" t="s">
        <v>3824</v>
      </c>
      <c r="B532" s="1">
        <v>45309</v>
      </c>
      <c r="C532" t="s">
        <v>575</v>
      </c>
      <c r="D532" t="s">
        <v>13</v>
      </c>
      <c r="E532">
        <v>186774</v>
      </c>
      <c r="F532" t="s">
        <v>3270</v>
      </c>
      <c r="G532">
        <v>15690883.74</v>
      </c>
      <c r="H532" t="s">
        <v>556</v>
      </c>
      <c r="J532" t="s">
        <v>3271</v>
      </c>
      <c r="K532">
        <v>84.01</v>
      </c>
      <c r="L532" s="1">
        <v>45339</v>
      </c>
      <c r="M532">
        <f>G532*IF(D532="INR",1,INDEX('rates'!$B$2:$B$522,MATCH(B532,'rates'!$A$2:$A$522,1)))</f>
        <v>15690883.74</v>
      </c>
      <c r="N532">
        <f t="shared" si="8"/>
        <v>30</v>
      </c>
    </row>
    <row r="533" spans="1:14" x14ac:dyDescent="0.3">
      <c r="A533" t="s">
        <v>3758</v>
      </c>
      <c r="B533" s="1">
        <v>45281</v>
      </c>
      <c r="C533" t="s">
        <v>575</v>
      </c>
      <c r="D533" t="s">
        <v>13</v>
      </c>
      <c r="E533">
        <v>72994</v>
      </c>
      <c r="F533" t="s">
        <v>3270</v>
      </c>
      <c r="G533">
        <v>6156313.96</v>
      </c>
      <c r="H533" t="s">
        <v>556</v>
      </c>
      <c r="J533" t="s">
        <v>3271</v>
      </c>
      <c r="K533">
        <v>84.34</v>
      </c>
      <c r="L533" s="1">
        <v>45341</v>
      </c>
      <c r="M533">
        <f>G533*IF(D533="INR",1,INDEX('rates'!$B$2:$B$522,MATCH(B533,'rates'!$A$2:$A$522,1)))</f>
        <v>6156313.96</v>
      </c>
      <c r="N533">
        <f t="shared" si="8"/>
        <v>60</v>
      </c>
    </row>
    <row r="534" spans="1:14" x14ac:dyDescent="0.3">
      <c r="A534" t="s">
        <v>3760</v>
      </c>
      <c r="B534" s="1">
        <v>45281</v>
      </c>
      <c r="C534" t="s">
        <v>566</v>
      </c>
      <c r="D534" t="s">
        <v>36</v>
      </c>
      <c r="E534">
        <v>3567</v>
      </c>
      <c r="F534" t="s">
        <v>3262</v>
      </c>
      <c r="G534">
        <v>277227.24</v>
      </c>
      <c r="H534" t="s">
        <v>573</v>
      </c>
      <c r="I534">
        <v>96.3</v>
      </c>
      <c r="J534" t="s">
        <v>3263</v>
      </c>
      <c r="K534">
        <v>77.72</v>
      </c>
      <c r="L534" s="1">
        <v>45341</v>
      </c>
      <c r="M534">
        <f>G534*IF(D534="INR",1,INDEX('rates'!$B$2:$B$522,MATCH(B534,'rates'!$A$2:$A$522,1)))</f>
        <v>23084712.274799999</v>
      </c>
      <c r="N534">
        <f t="shared" si="8"/>
        <v>60</v>
      </c>
    </row>
    <row r="535" spans="1:14" x14ac:dyDescent="0.3">
      <c r="A535" t="s">
        <v>3762</v>
      </c>
      <c r="B535" s="1">
        <v>45282</v>
      </c>
      <c r="C535" t="s">
        <v>560</v>
      </c>
      <c r="D535" t="s">
        <v>13</v>
      </c>
      <c r="E535">
        <v>57111</v>
      </c>
      <c r="F535" t="s">
        <v>3270</v>
      </c>
      <c r="G535">
        <v>5574605</v>
      </c>
      <c r="H535" t="s">
        <v>556</v>
      </c>
      <c r="J535" t="s">
        <v>3271</v>
      </c>
      <c r="K535">
        <v>97.61</v>
      </c>
      <c r="L535" s="1">
        <v>45342</v>
      </c>
      <c r="M535">
        <f>G535*IF(D535="INR",1,INDEX('rates'!$B$2:$B$522,MATCH(B535,'rates'!$A$2:$A$522,1)))</f>
        <v>5574605</v>
      </c>
      <c r="N535">
        <f t="shared" si="8"/>
        <v>60</v>
      </c>
    </row>
    <row r="536" spans="1:14" x14ac:dyDescent="0.3">
      <c r="A536" t="s">
        <v>3763</v>
      </c>
      <c r="B536" s="1">
        <v>45282</v>
      </c>
      <c r="C536" t="s">
        <v>566</v>
      </c>
      <c r="D536" t="s">
        <v>36</v>
      </c>
      <c r="E536">
        <v>261</v>
      </c>
      <c r="F536" t="s">
        <v>3262</v>
      </c>
      <c r="G536">
        <v>20671.2</v>
      </c>
      <c r="H536" t="s">
        <v>556</v>
      </c>
      <c r="J536" t="s">
        <v>3263</v>
      </c>
      <c r="K536">
        <v>79.2</v>
      </c>
      <c r="L536" s="1">
        <v>45342</v>
      </c>
      <c r="M536">
        <f>G536*IF(D536="INR",1,INDEX('rates'!$B$2:$B$522,MATCH(B536,'rates'!$A$2:$A$522,1)))</f>
        <v>1718190.1440000001</v>
      </c>
      <c r="N536">
        <f t="shared" si="8"/>
        <v>60</v>
      </c>
    </row>
    <row r="537" spans="1:14" x14ac:dyDescent="0.3">
      <c r="A537" t="s">
        <v>3764</v>
      </c>
      <c r="B537" s="1">
        <v>45282</v>
      </c>
      <c r="C537" t="s">
        <v>558</v>
      </c>
      <c r="D537" t="s">
        <v>13</v>
      </c>
      <c r="E537">
        <v>139540</v>
      </c>
      <c r="F537" t="s">
        <v>3270</v>
      </c>
      <c r="G537">
        <v>12575344.800000001</v>
      </c>
      <c r="H537" t="s">
        <v>556</v>
      </c>
      <c r="J537" t="s">
        <v>3271</v>
      </c>
      <c r="K537">
        <v>90.12</v>
      </c>
      <c r="L537" s="1">
        <v>45342</v>
      </c>
      <c r="M537">
        <f>G537*IF(D537="INR",1,INDEX('rates'!$B$2:$B$522,MATCH(B537,'rates'!$A$2:$A$522,1)))</f>
        <v>12575344.800000001</v>
      </c>
      <c r="N537">
        <f t="shared" si="8"/>
        <v>60</v>
      </c>
    </row>
    <row r="538" spans="1:14" x14ac:dyDescent="0.3">
      <c r="A538" t="s">
        <v>3765</v>
      </c>
      <c r="B538" s="1">
        <v>45282</v>
      </c>
      <c r="C538" t="s">
        <v>558</v>
      </c>
      <c r="D538" t="s">
        <v>36</v>
      </c>
      <c r="E538">
        <v>728</v>
      </c>
      <c r="F538" t="s">
        <v>3262</v>
      </c>
      <c r="G538">
        <v>56820.4</v>
      </c>
      <c r="H538" t="s">
        <v>556</v>
      </c>
      <c r="J538" t="s">
        <v>3263</v>
      </c>
      <c r="K538">
        <v>78.05</v>
      </c>
      <c r="L538" s="1">
        <v>45342</v>
      </c>
      <c r="M538">
        <f>G538*IF(D538="INR",1,INDEX('rates'!$B$2:$B$522,MATCH(B538,'rates'!$A$2:$A$522,1)))</f>
        <v>4722911.648</v>
      </c>
      <c r="N538">
        <f t="shared" si="8"/>
        <v>60</v>
      </c>
    </row>
    <row r="539" spans="1:14" x14ac:dyDescent="0.3">
      <c r="A539" t="s">
        <v>3768</v>
      </c>
      <c r="B539" s="1">
        <v>45285</v>
      </c>
      <c r="C539" t="s">
        <v>575</v>
      </c>
      <c r="D539" t="s">
        <v>36</v>
      </c>
      <c r="E539">
        <v>629</v>
      </c>
      <c r="F539" t="s">
        <v>3262</v>
      </c>
      <c r="G539">
        <v>48269.46</v>
      </c>
      <c r="H539" t="s">
        <v>573</v>
      </c>
      <c r="J539" t="s">
        <v>3263</v>
      </c>
      <c r="K539">
        <v>76.739999999999995</v>
      </c>
      <c r="L539" s="1">
        <v>45345</v>
      </c>
      <c r="M539">
        <f>G539*IF(D539="INR",1,INDEX('rates'!$B$2:$B$522,MATCH(B539,'rates'!$A$2:$A$522,1)))</f>
        <v>4012157.5152000003</v>
      </c>
      <c r="N539">
        <f t="shared" si="8"/>
        <v>60</v>
      </c>
    </row>
    <row r="540" spans="1:14" x14ac:dyDescent="0.3">
      <c r="A540" t="s">
        <v>3769</v>
      </c>
      <c r="B540" s="1">
        <v>45285</v>
      </c>
      <c r="C540" t="s">
        <v>566</v>
      </c>
      <c r="D540" t="s">
        <v>36</v>
      </c>
      <c r="E540">
        <v>1937</v>
      </c>
      <c r="F540" t="s">
        <v>3262</v>
      </c>
      <c r="G540">
        <v>149226</v>
      </c>
      <c r="H540" t="s">
        <v>556</v>
      </c>
      <c r="J540" t="s">
        <v>3263</v>
      </c>
      <c r="K540">
        <v>77.040000000000006</v>
      </c>
      <c r="L540" s="1">
        <v>45345</v>
      </c>
      <c r="M540">
        <f>G540*IF(D540="INR",1,INDEX('rates'!$B$2:$B$522,MATCH(B540,'rates'!$A$2:$A$522,1)))</f>
        <v>12403665.120000001</v>
      </c>
      <c r="N540">
        <f t="shared" si="8"/>
        <v>60</v>
      </c>
    </row>
    <row r="541" spans="1:14" x14ac:dyDescent="0.3">
      <c r="A541" t="s">
        <v>3834</v>
      </c>
      <c r="B541" s="1">
        <v>45315</v>
      </c>
      <c r="C541" t="s">
        <v>575</v>
      </c>
      <c r="D541" t="s">
        <v>13</v>
      </c>
      <c r="E541">
        <v>46579</v>
      </c>
      <c r="F541" t="s">
        <v>3270</v>
      </c>
      <c r="G541">
        <v>4095225.68</v>
      </c>
      <c r="H541" t="s">
        <v>556</v>
      </c>
      <c r="J541" t="s">
        <v>3271</v>
      </c>
      <c r="K541">
        <v>87.92</v>
      </c>
      <c r="L541" s="1">
        <v>45345</v>
      </c>
      <c r="M541">
        <f>G541*IF(D541="INR",1,INDEX('rates'!$B$2:$B$522,MATCH(B541,'rates'!$A$2:$A$522,1)))</f>
        <v>4095225.68</v>
      </c>
      <c r="N541">
        <f t="shared" si="8"/>
        <v>30</v>
      </c>
    </row>
    <row r="542" spans="1:14" x14ac:dyDescent="0.3">
      <c r="A542" t="s">
        <v>3835</v>
      </c>
      <c r="B542" s="1">
        <v>45315</v>
      </c>
      <c r="C542" t="s">
        <v>554</v>
      </c>
      <c r="D542" t="s">
        <v>13</v>
      </c>
      <c r="E542">
        <v>66136</v>
      </c>
      <c r="F542" t="s">
        <v>3270</v>
      </c>
      <c r="G542">
        <v>5243923.4400000004</v>
      </c>
      <c r="H542" t="s">
        <v>556</v>
      </c>
      <c r="J542" t="s">
        <v>3271</v>
      </c>
      <c r="K542">
        <v>79.290000000000006</v>
      </c>
      <c r="L542" s="1">
        <v>45345</v>
      </c>
      <c r="M542">
        <f>G542*IF(D542="INR",1,INDEX('rates'!$B$2:$B$522,MATCH(B542,'rates'!$A$2:$A$522,1)))</f>
        <v>5243923.4400000004</v>
      </c>
      <c r="N542">
        <f t="shared" si="8"/>
        <v>30</v>
      </c>
    </row>
    <row r="543" spans="1:14" x14ac:dyDescent="0.3">
      <c r="A543" t="s">
        <v>3839</v>
      </c>
      <c r="B543" s="1">
        <v>45315</v>
      </c>
      <c r="C543" t="s">
        <v>566</v>
      </c>
      <c r="D543" t="s">
        <v>36</v>
      </c>
      <c r="E543">
        <v>972</v>
      </c>
      <c r="F543" t="s">
        <v>3262</v>
      </c>
      <c r="G543">
        <v>75825.72</v>
      </c>
      <c r="H543" t="s">
        <v>573</v>
      </c>
      <c r="I543">
        <v>89.67</v>
      </c>
      <c r="J543" t="s">
        <v>3263</v>
      </c>
      <c r="K543">
        <v>78.010000000000005</v>
      </c>
      <c r="L543" s="1">
        <v>45345</v>
      </c>
      <c r="M543">
        <f>G543*IF(D543="INR",1,INDEX('rates'!$B$2:$B$522,MATCH(B543,'rates'!$A$2:$A$522,1)))</f>
        <v>6300359.0748000005</v>
      </c>
      <c r="N543">
        <f t="shared" si="8"/>
        <v>30</v>
      </c>
    </row>
    <row r="544" spans="1:14" x14ac:dyDescent="0.3">
      <c r="A544" t="s">
        <v>3808</v>
      </c>
      <c r="B544" s="1">
        <v>45301</v>
      </c>
      <c r="C544" t="s">
        <v>554</v>
      </c>
      <c r="D544" t="s">
        <v>36</v>
      </c>
      <c r="E544">
        <v>811</v>
      </c>
      <c r="F544" t="s">
        <v>3262</v>
      </c>
      <c r="G544">
        <v>60143.76</v>
      </c>
      <c r="H544" t="s">
        <v>556</v>
      </c>
      <c r="J544" t="s">
        <v>3263</v>
      </c>
      <c r="K544">
        <v>74.16</v>
      </c>
      <c r="L544" s="1">
        <v>45346</v>
      </c>
      <c r="M544">
        <f>G544*IF(D544="INR",1,INDEX('rates'!$B$2:$B$522,MATCH(B544,'rates'!$A$2:$A$522,1)))</f>
        <v>4992533.5176000008</v>
      </c>
      <c r="N544">
        <f t="shared" si="8"/>
        <v>45</v>
      </c>
    </row>
    <row r="545" spans="1:14" x14ac:dyDescent="0.3">
      <c r="A545" t="s">
        <v>3840</v>
      </c>
      <c r="B545" s="1">
        <v>45316</v>
      </c>
      <c r="C545" t="s">
        <v>566</v>
      </c>
      <c r="D545" t="s">
        <v>13</v>
      </c>
      <c r="E545">
        <v>66820</v>
      </c>
      <c r="F545" t="s">
        <v>3270</v>
      </c>
      <c r="G545">
        <v>2991531.4</v>
      </c>
      <c r="H545" t="s">
        <v>556</v>
      </c>
      <c r="J545" t="s">
        <v>3271</v>
      </c>
      <c r="K545">
        <v>44.77</v>
      </c>
      <c r="L545" s="1">
        <v>45346</v>
      </c>
      <c r="M545">
        <f>G545*IF(D545="INR",1,INDEX('rates'!$B$2:$B$522,MATCH(B545,'rates'!$A$2:$A$522,1)))</f>
        <v>2991531.4</v>
      </c>
      <c r="N545">
        <f t="shared" si="8"/>
        <v>30</v>
      </c>
    </row>
    <row r="546" spans="1:14" x14ac:dyDescent="0.3">
      <c r="A546" t="s">
        <v>3809</v>
      </c>
      <c r="B546" s="1">
        <v>45302</v>
      </c>
      <c r="C546" t="s">
        <v>558</v>
      </c>
      <c r="D546" t="s">
        <v>36</v>
      </c>
      <c r="E546">
        <v>826</v>
      </c>
      <c r="F546" t="s">
        <v>3262</v>
      </c>
      <c r="G546">
        <v>64419.74</v>
      </c>
      <c r="H546" t="s">
        <v>573</v>
      </c>
      <c r="I546">
        <v>93.81</v>
      </c>
      <c r="J546" t="s">
        <v>3263</v>
      </c>
      <c r="K546">
        <v>77.989999999999995</v>
      </c>
      <c r="L546" s="1">
        <v>45347</v>
      </c>
      <c r="M546">
        <f>G546*IF(D546="INR",1,INDEX('rates'!$B$2:$B$522,MATCH(B546,'rates'!$A$2:$A$522,1)))</f>
        <v>5348771.0121999998</v>
      </c>
      <c r="N546">
        <f t="shared" si="8"/>
        <v>45</v>
      </c>
    </row>
    <row r="547" spans="1:14" x14ac:dyDescent="0.3">
      <c r="A547" t="s">
        <v>3777</v>
      </c>
      <c r="B547" s="1">
        <v>45288</v>
      </c>
      <c r="C547" t="s">
        <v>558</v>
      </c>
      <c r="D547" t="s">
        <v>36</v>
      </c>
      <c r="E547">
        <v>1769</v>
      </c>
      <c r="F547" t="s">
        <v>3262</v>
      </c>
      <c r="G547">
        <v>135452.32999999999</v>
      </c>
      <c r="H547" t="s">
        <v>573</v>
      </c>
      <c r="I547">
        <v>97.12</v>
      </c>
      <c r="J547" t="s">
        <v>3263</v>
      </c>
      <c r="K547">
        <v>76.569999999999993</v>
      </c>
      <c r="L547" s="1">
        <v>45348</v>
      </c>
      <c r="M547">
        <f>G547*IF(D547="INR",1,INDEX('rates'!$B$2:$B$522,MATCH(B547,'rates'!$A$2:$A$522,1)))</f>
        <v>11262861.239499999</v>
      </c>
      <c r="N547">
        <f t="shared" si="8"/>
        <v>60</v>
      </c>
    </row>
    <row r="548" spans="1:14" x14ac:dyDescent="0.3">
      <c r="A548" t="s">
        <v>3810</v>
      </c>
      <c r="B548" s="1">
        <v>45303</v>
      </c>
      <c r="C548" t="s">
        <v>560</v>
      </c>
      <c r="D548" t="s">
        <v>36</v>
      </c>
      <c r="E548">
        <v>1417</v>
      </c>
      <c r="F548" t="s">
        <v>3262</v>
      </c>
      <c r="G548">
        <v>107847.87</v>
      </c>
      <c r="H548" t="s">
        <v>556</v>
      </c>
      <c r="J548" t="s">
        <v>3263</v>
      </c>
      <c r="K548">
        <v>76.11</v>
      </c>
      <c r="L548" s="1">
        <v>45348</v>
      </c>
      <c r="M548">
        <f>G548*IF(D548="INR",1,INDEX('rates'!$B$2:$B$522,MATCH(B548,'rates'!$A$2:$A$522,1)))</f>
        <v>8942745.3804000001</v>
      </c>
      <c r="N548">
        <f t="shared" si="8"/>
        <v>45</v>
      </c>
    </row>
    <row r="549" spans="1:14" x14ac:dyDescent="0.3">
      <c r="A549" t="s">
        <v>3811</v>
      </c>
      <c r="B549" s="1">
        <v>45303</v>
      </c>
      <c r="C549" t="s">
        <v>566</v>
      </c>
      <c r="D549" t="s">
        <v>13</v>
      </c>
      <c r="E549">
        <v>72245</v>
      </c>
      <c r="F549" t="s">
        <v>3270</v>
      </c>
      <c r="G549">
        <v>6228963.9000000004</v>
      </c>
      <c r="H549" t="s">
        <v>556</v>
      </c>
      <c r="J549" t="s">
        <v>3271</v>
      </c>
      <c r="K549">
        <v>86.22</v>
      </c>
      <c r="L549" s="1">
        <v>45348</v>
      </c>
      <c r="M549">
        <f>G549*IF(D549="INR",1,INDEX('rates'!$B$2:$B$522,MATCH(B549,'rates'!$A$2:$A$522,1)))</f>
        <v>6228963.9000000004</v>
      </c>
      <c r="N549">
        <f t="shared" si="8"/>
        <v>45</v>
      </c>
    </row>
    <row r="550" spans="1:14" x14ac:dyDescent="0.3">
      <c r="A550" t="s">
        <v>3814</v>
      </c>
      <c r="B550" s="1">
        <v>45303</v>
      </c>
      <c r="C550" t="s">
        <v>554</v>
      </c>
      <c r="D550" t="s">
        <v>36</v>
      </c>
      <c r="E550">
        <v>735</v>
      </c>
      <c r="F550" t="s">
        <v>3262</v>
      </c>
      <c r="G550">
        <v>56293.65</v>
      </c>
      <c r="H550" t="s">
        <v>556</v>
      </c>
      <c r="J550" t="s">
        <v>3263</v>
      </c>
      <c r="K550">
        <v>76.59</v>
      </c>
      <c r="L550" s="1">
        <v>45348</v>
      </c>
      <c r="M550">
        <f>G550*IF(D550="INR",1,INDEX('rates'!$B$2:$B$522,MATCH(B550,'rates'!$A$2:$A$522,1)))</f>
        <v>4667869.4580000006</v>
      </c>
      <c r="N550">
        <f t="shared" si="8"/>
        <v>45</v>
      </c>
    </row>
    <row r="551" spans="1:14" x14ac:dyDescent="0.3">
      <c r="A551" t="s">
        <v>3815</v>
      </c>
      <c r="B551" s="1">
        <v>45303</v>
      </c>
      <c r="C551" t="s">
        <v>558</v>
      </c>
      <c r="D551" t="s">
        <v>36</v>
      </c>
      <c r="E551">
        <v>441</v>
      </c>
      <c r="F551" t="s">
        <v>3262</v>
      </c>
      <c r="G551">
        <v>34177.5</v>
      </c>
      <c r="H551" t="s">
        <v>556</v>
      </c>
      <c r="J551" t="s">
        <v>3263</v>
      </c>
      <c r="K551">
        <v>77.5</v>
      </c>
      <c r="L551" s="1">
        <v>45348</v>
      </c>
      <c r="M551">
        <f>G551*IF(D551="INR",1,INDEX('rates'!$B$2:$B$522,MATCH(B551,'rates'!$A$2:$A$522,1)))</f>
        <v>2833998.3000000003</v>
      </c>
      <c r="N551">
        <f t="shared" si="8"/>
        <v>45</v>
      </c>
    </row>
    <row r="552" spans="1:14" x14ac:dyDescent="0.3">
      <c r="A552" t="s">
        <v>3781</v>
      </c>
      <c r="B552" s="1">
        <v>45289</v>
      </c>
      <c r="C552" t="s">
        <v>554</v>
      </c>
      <c r="D552" t="s">
        <v>36</v>
      </c>
      <c r="E552">
        <v>686</v>
      </c>
      <c r="F552" t="s">
        <v>3262</v>
      </c>
      <c r="G552">
        <v>52074.26</v>
      </c>
      <c r="H552" t="s">
        <v>573</v>
      </c>
      <c r="I552">
        <v>97.12</v>
      </c>
      <c r="J552" t="s">
        <v>3263</v>
      </c>
      <c r="K552">
        <v>75.91</v>
      </c>
      <c r="L552" s="1">
        <v>45349</v>
      </c>
      <c r="M552">
        <f>G552*IF(D552="INR",1,INDEX('rates'!$B$2:$B$522,MATCH(B552,'rates'!$A$2:$A$522,1)))</f>
        <v>4332057.6894000005</v>
      </c>
      <c r="N552">
        <f t="shared" si="8"/>
        <v>60</v>
      </c>
    </row>
    <row r="553" spans="1:14" x14ac:dyDescent="0.3">
      <c r="A553" t="s">
        <v>3782</v>
      </c>
      <c r="B553" s="1">
        <v>45289</v>
      </c>
      <c r="C553" t="s">
        <v>566</v>
      </c>
      <c r="D553" t="s">
        <v>13</v>
      </c>
      <c r="E553">
        <v>49577</v>
      </c>
      <c r="F553" t="s">
        <v>3270</v>
      </c>
      <c r="G553">
        <v>4268083.93</v>
      </c>
      <c r="H553" t="s">
        <v>556</v>
      </c>
      <c r="J553" t="s">
        <v>3271</v>
      </c>
      <c r="K553">
        <v>86.09</v>
      </c>
      <c r="L553" s="1">
        <v>45349</v>
      </c>
      <c r="M553">
        <f>G553*IF(D553="INR",1,INDEX('rates'!$B$2:$B$522,MATCH(B553,'rates'!$A$2:$A$522,1)))</f>
        <v>4268083.93</v>
      </c>
      <c r="N553">
        <f t="shared" si="8"/>
        <v>60</v>
      </c>
    </row>
    <row r="554" spans="1:14" x14ac:dyDescent="0.3">
      <c r="A554" t="s">
        <v>3785</v>
      </c>
      <c r="B554" s="1">
        <v>45289</v>
      </c>
      <c r="C554" t="s">
        <v>560</v>
      </c>
      <c r="D554" t="s">
        <v>13</v>
      </c>
      <c r="E554">
        <v>66211</v>
      </c>
      <c r="F554" t="s">
        <v>3270</v>
      </c>
      <c r="G554">
        <v>5232655.33</v>
      </c>
      <c r="H554" t="s">
        <v>556</v>
      </c>
      <c r="J554" t="s">
        <v>3271</v>
      </c>
      <c r="K554">
        <v>79.03</v>
      </c>
      <c r="L554" s="1">
        <v>45349</v>
      </c>
      <c r="M554">
        <f>G554*IF(D554="INR",1,INDEX('rates'!$B$2:$B$522,MATCH(B554,'rates'!$A$2:$A$522,1)))</f>
        <v>5232655.33</v>
      </c>
      <c r="N554">
        <f t="shared" si="8"/>
        <v>60</v>
      </c>
    </row>
    <row r="555" spans="1:14" x14ac:dyDescent="0.3">
      <c r="A555" t="s">
        <v>3845</v>
      </c>
      <c r="B555" s="1">
        <v>45320</v>
      </c>
      <c r="C555" t="s">
        <v>566</v>
      </c>
      <c r="D555" t="s">
        <v>36</v>
      </c>
      <c r="E555">
        <v>2723</v>
      </c>
      <c r="F555" t="s">
        <v>3262</v>
      </c>
      <c r="G555">
        <v>221134.83</v>
      </c>
      <c r="H555" t="s">
        <v>573</v>
      </c>
      <c r="I555">
        <v>87.35</v>
      </c>
      <c r="J555" t="s">
        <v>3263</v>
      </c>
      <c r="K555">
        <v>81.209999999999994</v>
      </c>
      <c r="L555" s="1">
        <v>45350</v>
      </c>
      <c r="M555">
        <f>G555*IF(D555="INR",1,INDEX('rates'!$B$2:$B$522,MATCH(B555,'rates'!$A$2:$A$522,1)))</f>
        <v>18380727.069600001</v>
      </c>
      <c r="N555">
        <f t="shared" si="8"/>
        <v>30</v>
      </c>
    </row>
    <row r="556" spans="1:14" x14ac:dyDescent="0.3">
      <c r="A556" t="s">
        <v>3818</v>
      </c>
      <c r="B556" s="1">
        <v>45306</v>
      </c>
      <c r="C556" t="s">
        <v>560</v>
      </c>
      <c r="D556" t="s">
        <v>36</v>
      </c>
      <c r="E556">
        <v>860</v>
      </c>
      <c r="F556" t="s">
        <v>3262</v>
      </c>
      <c r="G556">
        <v>69040.800000000003</v>
      </c>
      <c r="H556" t="s">
        <v>556</v>
      </c>
      <c r="J556" t="s">
        <v>3263</v>
      </c>
      <c r="K556">
        <v>80.28</v>
      </c>
      <c r="L556" s="1">
        <v>45351</v>
      </c>
      <c r="M556">
        <f>G556*IF(D556="INR",1,INDEX('rates'!$B$2:$B$522,MATCH(B556,'rates'!$A$2:$A$522,1)))</f>
        <v>5724863.1359999999</v>
      </c>
      <c r="N556">
        <f t="shared" si="8"/>
        <v>45</v>
      </c>
    </row>
    <row r="557" spans="1:14" x14ac:dyDescent="0.3">
      <c r="A557" t="s">
        <v>3789</v>
      </c>
      <c r="B557" s="1">
        <v>45292</v>
      </c>
      <c r="C557" t="s">
        <v>558</v>
      </c>
      <c r="D557" t="s">
        <v>36</v>
      </c>
      <c r="E557">
        <v>1303</v>
      </c>
      <c r="F557" t="s">
        <v>3262</v>
      </c>
      <c r="G557">
        <v>98819.520000000004</v>
      </c>
      <c r="H557" t="s">
        <v>573</v>
      </c>
      <c r="I557">
        <v>95.51</v>
      </c>
      <c r="J557" t="s">
        <v>3263</v>
      </c>
      <c r="K557">
        <v>75.84</v>
      </c>
      <c r="L557" s="1">
        <v>45352</v>
      </c>
      <c r="M557">
        <f>G557*IF(D557="INR",1,INDEX('rates'!$B$2:$B$522,MATCH(B557,'rates'!$A$2:$A$522,1)))</f>
        <v>8220795.8688000003</v>
      </c>
      <c r="N557">
        <f t="shared" si="8"/>
        <v>60</v>
      </c>
    </row>
    <row r="558" spans="1:14" x14ac:dyDescent="0.3">
      <c r="A558" t="s">
        <v>3819</v>
      </c>
      <c r="B558" s="1">
        <v>45307</v>
      </c>
      <c r="C558" t="s">
        <v>566</v>
      </c>
      <c r="D558" t="s">
        <v>36</v>
      </c>
      <c r="E558">
        <v>394</v>
      </c>
      <c r="F558" t="s">
        <v>3262</v>
      </c>
      <c r="G558">
        <v>30223.74</v>
      </c>
      <c r="H558" t="s">
        <v>573</v>
      </c>
      <c r="I558">
        <v>94.53</v>
      </c>
      <c r="J558" t="s">
        <v>3263</v>
      </c>
      <c r="K558">
        <v>76.709999999999994</v>
      </c>
      <c r="L558" s="1">
        <v>45352</v>
      </c>
      <c r="M558">
        <f>G558*IF(D558="INR",1,INDEX('rates'!$B$2:$B$522,MATCH(B558,'rates'!$A$2:$A$522,1)))</f>
        <v>2510081.6069999998</v>
      </c>
      <c r="N558">
        <f t="shared" si="8"/>
        <v>45</v>
      </c>
    </row>
    <row r="559" spans="1:14" x14ac:dyDescent="0.3">
      <c r="A559" t="s">
        <v>3848</v>
      </c>
      <c r="B559" s="1">
        <v>45323</v>
      </c>
      <c r="C559" t="s">
        <v>558</v>
      </c>
      <c r="D559" t="s">
        <v>13</v>
      </c>
      <c r="E559">
        <v>24272</v>
      </c>
      <c r="F559" t="s">
        <v>3270</v>
      </c>
      <c r="G559">
        <v>2058022.88</v>
      </c>
      <c r="H559" t="s">
        <v>556</v>
      </c>
      <c r="J559" t="s">
        <v>3271</v>
      </c>
      <c r="K559">
        <v>84.79</v>
      </c>
      <c r="L559" s="1">
        <v>45353</v>
      </c>
      <c r="M559">
        <f>G559*IF(D559="INR",1,INDEX('rates'!$B$2:$B$522,MATCH(B559,'rates'!$A$2:$A$522,1)))</f>
        <v>2058022.88</v>
      </c>
      <c r="N559">
        <f t="shared" si="8"/>
        <v>30</v>
      </c>
    </row>
    <row r="560" spans="1:14" x14ac:dyDescent="0.3">
      <c r="A560" t="s">
        <v>3849</v>
      </c>
      <c r="B560" s="1">
        <v>45323</v>
      </c>
      <c r="C560" t="s">
        <v>575</v>
      </c>
      <c r="D560" t="s">
        <v>13</v>
      </c>
      <c r="E560">
        <v>45588</v>
      </c>
      <c r="F560" t="s">
        <v>3270</v>
      </c>
      <c r="G560">
        <v>4003994.04</v>
      </c>
      <c r="H560" t="s">
        <v>556</v>
      </c>
      <c r="J560" t="s">
        <v>3271</v>
      </c>
      <c r="K560">
        <v>87.83</v>
      </c>
      <c r="L560" s="1">
        <v>45353</v>
      </c>
      <c r="M560">
        <f>G560*IF(D560="INR",1,INDEX('rates'!$B$2:$B$522,MATCH(B560,'rates'!$A$2:$A$522,1)))</f>
        <v>4003994.04</v>
      </c>
      <c r="N560">
        <f t="shared" si="8"/>
        <v>30</v>
      </c>
    </row>
    <row r="561" spans="1:14" x14ac:dyDescent="0.3">
      <c r="A561" t="s">
        <v>3796</v>
      </c>
      <c r="B561" s="1">
        <v>45294</v>
      </c>
      <c r="C561" t="s">
        <v>566</v>
      </c>
      <c r="D561" t="s">
        <v>36</v>
      </c>
      <c r="E561">
        <v>2256</v>
      </c>
      <c r="F561" t="s">
        <v>3262</v>
      </c>
      <c r="G561">
        <v>176374.08</v>
      </c>
      <c r="H561" t="s">
        <v>573</v>
      </c>
      <c r="I561">
        <v>88.06</v>
      </c>
      <c r="J561" t="s">
        <v>3263</v>
      </c>
      <c r="K561">
        <v>78.180000000000007</v>
      </c>
      <c r="L561" s="1">
        <v>45354</v>
      </c>
      <c r="M561">
        <f>G561*IF(D561="INR",1,INDEX('rates'!$B$2:$B$522,MATCH(B561,'rates'!$A$2:$A$522,1)))</f>
        <v>14691960.863999998</v>
      </c>
      <c r="N561">
        <f t="shared" si="8"/>
        <v>60</v>
      </c>
    </row>
    <row r="562" spans="1:14" x14ac:dyDescent="0.3">
      <c r="A562" t="s">
        <v>3797</v>
      </c>
      <c r="B562" s="1">
        <v>45294</v>
      </c>
      <c r="C562" t="s">
        <v>575</v>
      </c>
      <c r="D562" t="s">
        <v>36</v>
      </c>
      <c r="E562">
        <v>1541</v>
      </c>
      <c r="F562" t="s">
        <v>3262</v>
      </c>
      <c r="G562">
        <v>120768.17</v>
      </c>
      <c r="H562" t="s">
        <v>573</v>
      </c>
      <c r="I562">
        <v>88.06</v>
      </c>
      <c r="J562" t="s">
        <v>3263</v>
      </c>
      <c r="K562">
        <v>78.37</v>
      </c>
      <c r="L562" s="1">
        <v>45354</v>
      </c>
      <c r="M562">
        <f>G562*IF(D562="INR",1,INDEX('rates'!$B$2:$B$522,MATCH(B562,'rates'!$A$2:$A$522,1)))</f>
        <v>10059988.560999999</v>
      </c>
      <c r="N562">
        <f t="shared" si="8"/>
        <v>60</v>
      </c>
    </row>
    <row r="563" spans="1:14" x14ac:dyDescent="0.3">
      <c r="A563" t="s">
        <v>3852</v>
      </c>
      <c r="B563" s="1">
        <v>45324</v>
      </c>
      <c r="C563" t="s">
        <v>554</v>
      </c>
      <c r="D563" t="s">
        <v>36</v>
      </c>
      <c r="E563">
        <v>484</v>
      </c>
      <c r="F563" t="s">
        <v>3262</v>
      </c>
      <c r="G563">
        <v>37524.519999999997</v>
      </c>
      <c r="H563" t="s">
        <v>556</v>
      </c>
      <c r="J563" t="s">
        <v>3263</v>
      </c>
      <c r="K563">
        <v>77.53</v>
      </c>
      <c r="L563" s="1">
        <v>45354</v>
      </c>
      <c r="M563">
        <f>G563*IF(D563="INR",1,INDEX('rates'!$B$2:$B$522,MATCH(B563,'rates'!$A$2:$A$522,1)))</f>
        <v>3111533.1983999996</v>
      </c>
      <c r="N563">
        <f t="shared" si="8"/>
        <v>30</v>
      </c>
    </row>
    <row r="564" spans="1:14" x14ac:dyDescent="0.3">
      <c r="A564" t="s">
        <v>3853</v>
      </c>
      <c r="B564" s="1">
        <v>45324</v>
      </c>
      <c r="C564" t="s">
        <v>560</v>
      </c>
      <c r="D564" t="s">
        <v>36</v>
      </c>
      <c r="E564">
        <v>2731</v>
      </c>
      <c r="F564" t="s">
        <v>3262</v>
      </c>
      <c r="G564">
        <v>209795.42</v>
      </c>
      <c r="H564" t="s">
        <v>573</v>
      </c>
      <c r="I564">
        <v>86.87</v>
      </c>
      <c r="J564" t="s">
        <v>3263</v>
      </c>
      <c r="K564">
        <v>76.819999999999993</v>
      </c>
      <c r="L564" s="1">
        <v>45354</v>
      </c>
      <c r="M564">
        <f>G564*IF(D564="INR",1,INDEX('rates'!$B$2:$B$522,MATCH(B564,'rates'!$A$2:$A$522,1)))</f>
        <v>17396236.226400003</v>
      </c>
      <c r="N564">
        <f t="shared" si="8"/>
        <v>30</v>
      </c>
    </row>
    <row r="565" spans="1:14" x14ac:dyDescent="0.3">
      <c r="A565" t="s">
        <v>3800</v>
      </c>
      <c r="B565" s="1">
        <v>45295</v>
      </c>
      <c r="C565" t="s">
        <v>558</v>
      </c>
      <c r="D565" t="s">
        <v>36</v>
      </c>
      <c r="E565">
        <v>1558</v>
      </c>
      <c r="F565" t="s">
        <v>3262</v>
      </c>
      <c r="G565">
        <v>119701.14</v>
      </c>
      <c r="H565" t="s">
        <v>556</v>
      </c>
      <c r="J565" t="s">
        <v>3263</v>
      </c>
      <c r="K565">
        <v>76.83</v>
      </c>
      <c r="L565" s="1">
        <v>45355</v>
      </c>
      <c r="M565">
        <f>G565*IF(D565="INR",1,INDEX('rates'!$B$2:$B$522,MATCH(B565,'rates'!$A$2:$A$522,1)))</f>
        <v>9960331.8593999986</v>
      </c>
      <c r="N565">
        <f t="shared" si="8"/>
        <v>60</v>
      </c>
    </row>
    <row r="566" spans="1:14" x14ac:dyDescent="0.3">
      <c r="A566" t="s">
        <v>3827</v>
      </c>
      <c r="B566" s="1">
        <v>45310</v>
      </c>
      <c r="C566" t="s">
        <v>566</v>
      </c>
      <c r="D566" t="s">
        <v>36</v>
      </c>
      <c r="E566">
        <v>786</v>
      </c>
      <c r="F566" t="s">
        <v>3262</v>
      </c>
      <c r="G566">
        <v>60977.88</v>
      </c>
      <c r="H566" t="s">
        <v>556</v>
      </c>
      <c r="J566" t="s">
        <v>3263</v>
      </c>
      <c r="K566">
        <v>77.58</v>
      </c>
      <c r="L566" s="1">
        <v>45355</v>
      </c>
      <c r="M566">
        <f>G566*IF(D566="INR",1,INDEX('rates'!$B$2:$B$522,MATCH(B566,'rates'!$A$2:$A$522,1)))</f>
        <v>5066652.0492000002</v>
      </c>
      <c r="N566">
        <f t="shared" si="8"/>
        <v>45</v>
      </c>
    </row>
    <row r="567" spans="1:14" x14ac:dyDescent="0.3">
      <c r="A567" t="s">
        <v>3828</v>
      </c>
      <c r="B567" s="1">
        <v>45310</v>
      </c>
      <c r="C567" t="s">
        <v>554</v>
      </c>
      <c r="D567" t="s">
        <v>36</v>
      </c>
      <c r="E567">
        <v>1091</v>
      </c>
      <c r="F567" t="s">
        <v>3262</v>
      </c>
      <c r="G567">
        <v>86625.4</v>
      </c>
      <c r="H567" t="s">
        <v>573</v>
      </c>
      <c r="I567">
        <v>95.36</v>
      </c>
      <c r="J567" t="s">
        <v>3263</v>
      </c>
      <c r="K567">
        <v>79.400000000000006</v>
      </c>
      <c r="L567" s="1">
        <v>45355</v>
      </c>
      <c r="M567">
        <f>G567*IF(D567="INR",1,INDEX('rates'!$B$2:$B$522,MATCH(B567,'rates'!$A$2:$A$522,1)))</f>
        <v>7197704.4859999996</v>
      </c>
      <c r="N567">
        <f t="shared" si="8"/>
        <v>45</v>
      </c>
    </row>
    <row r="568" spans="1:14" x14ac:dyDescent="0.3">
      <c r="A568" t="s">
        <v>3855</v>
      </c>
      <c r="B568" s="1">
        <v>45327</v>
      </c>
      <c r="C568" t="s">
        <v>566</v>
      </c>
      <c r="D568" t="s">
        <v>36</v>
      </c>
      <c r="E568">
        <v>1144</v>
      </c>
      <c r="F568" t="s">
        <v>3262</v>
      </c>
      <c r="G568">
        <v>89083.28</v>
      </c>
      <c r="H568" t="s">
        <v>556</v>
      </c>
      <c r="J568" t="s">
        <v>3263</v>
      </c>
      <c r="K568">
        <v>77.87</v>
      </c>
      <c r="L568" s="1">
        <v>45357</v>
      </c>
      <c r="M568">
        <f>G568*IF(D568="INR",1,INDEX('rates'!$B$2:$B$522,MATCH(B568,'rates'!$A$2:$A$522,1)))</f>
        <v>7397475.5712000001</v>
      </c>
      <c r="N568">
        <f t="shared" si="8"/>
        <v>30</v>
      </c>
    </row>
    <row r="569" spans="1:14" x14ac:dyDescent="0.3">
      <c r="A569" t="s">
        <v>3804</v>
      </c>
      <c r="B569" s="1">
        <v>45299</v>
      </c>
      <c r="C569" t="s">
        <v>566</v>
      </c>
      <c r="D569" t="s">
        <v>36</v>
      </c>
      <c r="E569">
        <v>258</v>
      </c>
      <c r="F569" t="s">
        <v>3262</v>
      </c>
      <c r="G569">
        <v>18970.740000000002</v>
      </c>
      <c r="H569" t="s">
        <v>573</v>
      </c>
      <c r="I569">
        <v>91.9</v>
      </c>
      <c r="J569" t="s">
        <v>3263</v>
      </c>
      <c r="K569">
        <v>73.53</v>
      </c>
      <c r="L569" s="1">
        <v>45359</v>
      </c>
      <c r="M569">
        <f>G569*IF(D569="INR",1,INDEX('rates'!$B$2:$B$522,MATCH(B569,'rates'!$A$2:$A$522,1)))</f>
        <v>1577037.6162</v>
      </c>
      <c r="N569">
        <f t="shared" si="8"/>
        <v>60</v>
      </c>
    </row>
    <row r="570" spans="1:14" x14ac:dyDescent="0.3">
      <c r="A570" t="s">
        <v>3832</v>
      </c>
      <c r="B570" s="1">
        <v>45314</v>
      </c>
      <c r="C570" t="s">
        <v>560</v>
      </c>
      <c r="D570" t="s">
        <v>36</v>
      </c>
      <c r="E570">
        <v>1211</v>
      </c>
      <c r="F570" t="s">
        <v>3262</v>
      </c>
      <c r="G570">
        <v>94458</v>
      </c>
      <c r="H570" t="s">
        <v>556</v>
      </c>
      <c r="J570" t="s">
        <v>3263</v>
      </c>
      <c r="K570">
        <v>78</v>
      </c>
      <c r="L570" s="1">
        <v>45359</v>
      </c>
      <c r="M570">
        <f>G570*IF(D570="INR",1,INDEX('rates'!$B$2:$B$522,MATCH(B570,'rates'!$A$2:$A$522,1)))</f>
        <v>7854182.7000000002</v>
      </c>
      <c r="N570">
        <f t="shared" si="8"/>
        <v>45</v>
      </c>
    </row>
    <row r="571" spans="1:14" x14ac:dyDescent="0.3">
      <c r="A571" t="s">
        <v>3859</v>
      </c>
      <c r="B571" s="1">
        <v>45329</v>
      </c>
      <c r="C571" t="s">
        <v>566</v>
      </c>
      <c r="D571" t="s">
        <v>36</v>
      </c>
      <c r="E571">
        <v>475</v>
      </c>
      <c r="F571" t="s">
        <v>3262</v>
      </c>
      <c r="G571">
        <v>37886</v>
      </c>
      <c r="H571" t="s">
        <v>573</v>
      </c>
      <c r="I571">
        <v>81.680000000000007</v>
      </c>
      <c r="J571" t="s">
        <v>3263</v>
      </c>
      <c r="K571">
        <v>79.760000000000005</v>
      </c>
      <c r="L571" s="1">
        <v>45359</v>
      </c>
      <c r="M571">
        <f>G571*IF(D571="INR",1,INDEX('rates'!$B$2:$B$522,MATCH(B571,'rates'!$A$2:$A$522,1)))</f>
        <v>3143401.42</v>
      </c>
      <c r="N571">
        <f t="shared" si="8"/>
        <v>30</v>
      </c>
    </row>
    <row r="572" spans="1:14" x14ac:dyDescent="0.3">
      <c r="A572" t="s">
        <v>3805</v>
      </c>
      <c r="B572" s="1">
        <v>45300</v>
      </c>
      <c r="C572" t="s">
        <v>558</v>
      </c>
      <c r="D572" t="s">
        <v>36</v>
      </c>
      <c r="E572">
        <v>201</v>
      </c>
      <c r="F572" t="s">
        <v>3262</v>
      </c>
      <c r="G572">
        <v>15919.2</v>
      </c>
      <c r="H572" t="s">
        <v>556</v>
      </c>
      <c r="J572" t="s">
        <v>3263</v>
      </c>
      <c r="K572">
        <v>79.2</v>
      </c>
      <c r="L572" s="1">
        <v>45360</v>
      </c>
      <c r="M572">
        <f>G572*IF(D572="INR",1,INDEX('rates'!$B$2:$B$522,MATCH(B572,'rates'!$A$2:$A$522,1)))</f>
        <v>1322726.3280000002</v>
      </c>
      <c r="N572">
        <f t="shared" si="8"/>
        <v>60</v>
      </c>
    </row>
    <row r="573" spans="1:14" x14ac:dyDescent="0.3">
      <c r="A573" t="s">
        <v>3807</v>
      </c>
      <c r="B573" s="1">
        <v>45300</v>
      </c>
      <c r="C573" t="s">
        <v>566</v>
      </c>
      <c r="D573" t="s">
        <v>36</v>
      </c>
      <c r="E573">
        <v>1273</v>
      </c>
      <c r="F573" t="s">
        <v>3262</v>
      </c>
      <c r="G573">
        <v>96607.97</v>
      </c>
      <c r="H573" t="s">
        <v>573</v>
      </c>
      <c r="I573">
        <v>89.56</v>
      </c>
      <c r="J573" t="s">
        <v>3263</v>
      </c>
      <c r="K573">
        <v>75.89</v>
      </c>
      <c r="L573" s="1">
        <v>45360</v>
      </c>
      <c r="M573">
        <f>G573*IF(D573="INR",1,INDEX('rates'!$B$2:$B$522,MATCH(B573,'rates'!$A$2:$A$522,1)))</f>
        <v>8027156.2273000004</v>
      </c>
      <c r="N573">
        <f t="shared" si="8"/>
        <v>60</v>
      </c>
    </row>
    <row r="574" spans="1:14" x14ac:dyDescent="0.3">
      <c r="A574" t="s">
        <v>3833</v>
      </c>
      <c r="B574" s="1">
        <v>45315</v>
      </c>
      <c r="C574" t="s">
        <v>554</v>
      </c>
      <c r="D574" t="s">
        <v>36</v>
      </c>
      <c r="E574">
        <v>1217</v>
      </c>
      <c r="F574" t="s">
        <v>3262</v>
      </c>
      <c r="G574">
        <v>98297.09</v>
      </c>
      <c r="H574" t="s">
        <v>573</v>
      </c>
      <c r="I574">
        <v>89.67</v>
      </c>
      <c r="J574" t="s">
        <v>3263</v>
      </c>
      <c r="K574">
        <v>80.77</v>
      </c>
      <c r="L574" s="1">
        <v>45360</v>
      </c>
      <c r="M574">
        <f>G574*IF(D574="INR",1,INDEX('rates'!$B$2:$B$522,MATCH(B574,'rates'!$A$2:$A$522,1)))</f>
        <v>8167505.2081000004</v>
      </c>
      <c r="N574">
        <f t="shared" si="8"/>
        <v>45</v>
      </c>
    </row>
    <row r="575" spans="1:14" x14ac:dyDescent="0.3">
      <c r="A575" t="s">
        <v>3836</v>
      </c>
      <c r="B575" s="1">
        <v>45315</v>
      </c>
      <c r="C575" t="s">
        <v>558</v>
      </c>
      <c r="D575" t="s">
        <v>36</v>
      </c>
      <c r="E575">
        <v>1483</v>
      </c>
      <c r="F575" t="s">
        <v>3262</v>
      </c>
      <c r="G575">
        <v>118432.38</v>
      </c>
      <c r="H575" t="s">
        <v>556</v>
      </c>
      <c r="J575" t="s">
        <v>3263</v>
      </c>
      <c r="K575">
        <v>79.86</v>
      </c>
      <c r="L575" s="1">
        <v>45360</v>
      </c>
      <c r="M575">
        <f>G575*IF(D575="INR",1,INDEX('rates'!$B$2:$B$522,MATCH(B575,'rates'!$A$2:$A$522,1)))</f>
        <v>9840546.4542000014</v>
      </c>
      <c r="N575">
        <f t="shared" si="8"/>
        <v>45</v>
      </c>
    </row>
    <row r="576" spans="1:14" x14ac:dyDescent="0.3">
      <c r="A576" t="s">
        <v>3838</v>
      </c>
      <c r="B576" s="1">
        <v>45315</v>
      </c>
      <c r="C576" t="s">
        <v>566</v>
      </c>
      <c r="D576" t="s">
        <v>36</v>
      </c>
      <c r="E576">
        <v>2540</v>
      </c>
      <c r="F576" t="s">
        <v>3262</v>
      </c>
      <c r="G576">
        <v>203835</v>
      </c>
      <c r="H576" t="s">
        <v>573</v>
      </c>
      <c r="I576">
        <v>89.67</v>
      </c>
      <c r="J576" t="s">
        <v>3263</v>
      </c>
      <c r="K576">
        <v>80.25</v>
      </c>
      <c r="L576" s="1">
        <v>45360</v>
      </c>
      <c r="M576">
        <f>G576*IF(D576="INR",1,INDEX('rates'!$B$2:$B$522,MATCH(B576,'rates'!$A$2:$A$522,1)))</f>
        <v>16936650.150000002</v>
      </c>
      <c r="N576">
        <f t="shared" si="8"/>
        <v>45</v>
      </c>
    </row>
    <row r="577" spans="1:14" x14ac:dyDescent="0.3">
      <c r="A577" t="s">
        <v>3862</v>
      </c>
      <c r="B577" s="1">
        <v>45331</v>
      </c>
      <c r="C577" t="s">
        <v>558</v>
      </c>
      <c r="D577" t="s">
        <v>36</v>
      </c>
      <c r="E577">
        <v>345</v>
      </c>
      <c r="F577" t="s">
        <v>3262</v>
      </c>
      <c r="G577">
        <v>27703.5</v>
      </c>
      <c r="H577" t="s">
        <v>556</v>
      </c>
      <c r="J577" t="s">
        <v>3263</v>
      </c>
      <c r="K577">
        <v>80.3</v>
      </c>
      <c r="L577" s="1">
        <v>45361</v>
      </c>
      <c r="M577">
        <f>G577*IF(D577="INR",1,INDEX('rates'!$B$2:$B$522,MATCH(B577,'rates'!$A$2:$A$522,1)))</f>
        <v>2299390.5</v>
      </c>
      <c r="N577">
        <f t="shared" si="8"/>
        <v>30</v>
      </c>
    </row>
    <row r="578" spans="1:14" x14ac:dyDescent="0.3">
      <c r="A578" t="s">
        <v>3842</v>
      </c>
      <c r="B578" s="1">
        <v>45317</v>
      </c>
      <c r="C578" t="s">
        <v>560</v>
      </c>
      <c r="D578" t="s">
        <v>13</v>
      </c>
      <c r="E578">
        <v>29627</v>
      </c>
      <c r="F578" t="s">
        <v>3270</v>
      </c>
      <c r="G578">
        <v>2147957.5</v>
      </c>
      <c r="H578" t="s">
        <v>556</v>
      </c>
      <c r="J578" t="s">
        <v>3271</v>
      </c>
      <c r="K578">
        <v>72.5</v>
      </c>
      <c r="L578" s="1">
        <v>45362</v>
      </c>
      <c r="M578">
        <f>G578*IF(D578="INR",1,INDEX('rates'!$B$2:$B$522,MATCH(B578,'rates'!$A$2:$A$522,1)))</f>
        <v>2147957.5</v>
      </c>
      <c r="N578">
        <f t="shared" ref="N578:N641" si="9">IF(L578="","",L578-B578)</f>
        <v>45</v>
      </c>
    </row>
    <row r="579" spans="1:14" x14ac:dyDescent="0.3">
      <c r="A579" t="s">
        <v>3843</v>
      </c>
      <c r="B579" s="1">
        <v>45317</v>
      </c>
      <c r="C579" t="s">
        <v>558</v>
      </c>
      <c r="D579" t="s">
        <v>36</v>
      </c>
      <c r="E579">
        <v>277</v>
      </c>
      <c r="F579" t="s">
        <v>3262</v>
      </c>
      <c r="G579">
        <v>22885.74</v>
      </c>
      <c r="H579" t="s">
        <v>556</v>
      </c>
      <c r="J579" t="s">
        <v>3263</v>
      </c>
      <c r="K579">
        <v>82.62</v>
      </c>
      <c r="L579" s="1">
        <v>45362</v>
      </c>
      <c r="M579">
        <f>G579*IF(D579="INR",1,INDEX('rates'!$B$2:$B$522,MATCH(B579,'rates'!$A$2:$A$522,1)))</f>
        <v>1902033.8514</v>
      </c>
      <c r="N579">
        <f t="shared" si="9"/>
        <v>45</v>
      </c>
    </row>
    <row r="580" spans="1:14" x14ac:dyDescent="0.3">
      <c r="A580" t="s">
        <v>3866</v>
      </c>
      <c r="B580" s="1">
        <v>45334</v>
      </c>
      <c r="C580" t="s">
        <v>558</v>
      </c>
      <c r="D580" t="s">
        <v>36</v>
      </c>
      <c r="E580">
        <v>762</v>
      </c>
      <c r="F580" t="s">
        <v>3262</v>
      </c>
      <c r="G580">
        <v>62293.5</v>
      </c>
      <c r="H580" t="s">
        <v>573</v>
      </c>
      <c r="I580">
        <v>84.42</v>
      </c>
      <c r="J580" t="s">
        <v>3263</v>
      </c>
      <c r="K580">
        <v>81.75</v>
      </c>
      <c r="L580" s="1">
        <v>45364</v>
      </c>
      <c r="M580">
        <f>G580*IF(D580="INR",1,INDEX('rates'!$B$2:$B$522,MATCH(B580,'rates'!$A$2:$A$522,1)))</f>
        <v>5167245.8250000002</v>
      </c>
      <c r="N580">
        <f t="shared" si="9"/>
        <v>30</v>
      </c>
    </row>
    <row r="581" spans="1:14" x14ac:dyDescent="0.3">
      <c r="A581" t="s">
        <v>3844</v>
      </c>
      <c r="B581" s="1">
        <v>45320</v>
      </c>
      <c r="C581" t="s">
        <v>566</v>
      </c>
      <c r="D581" t="s">
        <v>36</v>
      </c>
      <c r="E581">
        <v>392</v>
      </c>
      <c r="F581" t="s">
        <v>3262</v>
      </c>
      <c r="G581">
        <v>32645.759999999998</v>
      </c>
      <c r="H581" t="s">
        <v>573</v>
      </c>
      <c r="I581">
        <v>87.35</v>
      </c>
      <c r="J581" t="s">
        <v>3263</v>
      </c>
      <c r="K581">
        <v>83.28</v>
      </c>
      <c r="L581" s="1">
        <v>45365</v>
      </c>
      <c r="M581">
        <f>G581*IF(D581="INR",1,INDEX('rates'!$B$2:$B$522,MATCH(B581,'rates'!$A$2:$A$522,1)))</f>
        <v>2713515.5712000001</v>
      </c>
      <c r="N581">
        <f t="shared" si="9"/>
        <v>45</v>
      </c>
    </row>
    <row r="582" spans="1:14" x14ac:dyDescent="0.3">
      <c r="A582" t="s">
        <v>3846</v>
      </c>
      <c r="B582" s="1">
        <v>45321</v>
      </c>
      <c r="C582" t="s">
        <v>560</v>
      </c>
      <c r="D582" t="s">
        <v>36</v>
      </c>
      <c r="E582">
        <v>238</v>
      </c>
      <c r="F582" t="s">
        <v>3262</v>
      </c>
      <c r="G582">
        <v>20080.060000000001</v>
      </c>
      <c r="H582" t="s">
        <v>573</v>
      </c>
      <c r="I582">
        <v>86.72</v>
      </c>
      <c r="J582" t="s">
        <v>3263</v>
      </c>
      <c r="K582">
        <v>84.37</v>
      </c>
      <c r="L582" s="1">
        <v>45366</v>
      </c>
      <c r="M582">
        <f>G582*IF(D582="INR",1,INDEX('rates'!$B$2:$B$522,MATCH(B582,'rates'!$A$2:$A$522,1)))</f>
        <v>1668853.7866</v>
      </c>
      <c r="N582">
        <f t="shared" si="9"/>
        <v>45</v>
      </c>
    </row>
    <row r="583" spans="1:14" x14ac:dyDescent="0.3">
      <c r="A583" t="s">
        <v>3872</v>
      </c>
      <c r="B583" s="1">
        <v>45336</v>
      </c>
      <c r="C583" t="s">
        <v>566</v>
      </c>
      <c r="D583" t="s">
        <v>13</v>
      </c>
      <c r="E583">
        <v>255125</v>
      </c>
      <c r="F583" t="s">
        <v>3270</v>
      </c>
      <c r="G583">
        <v>24833867.5</v>
      </c>
      <c r="H583" t="s">
        <v>556</v>
      </c>
      <c r="J583" t="s">
        <v>3271</v>
      </c>
      <c r="K583">
        <v>97.34</v>
      </c>
      <c r="L583" s="1">
        <v>45366</v>
      </c>
      <c r="M583">
        <f>G583*IF(D583="INR",1,INDEX('rates'!$B$2:$B$522,MATCH(B583,'rates'!$A$2:$A$522,1)))</f>
        <v>24833867.5</v>
      </c>
      <c r="N583">
        <f t="shared" si="9"/>
        <v>30</v>
      </c>
    </row>
    <row r="584" spans="1:14" x14ac:dyDescent="0.3">
      <c r="A584" t="s">
        <v>3850</v>
      </c>
      <c r="B584" s="1">
        <v>45324</v>
      </c>
      <c r="C584" t="s">
        <v>566</v>
      </c>
      <c r="D584" t="s">
        <v>36</v>
      </c>
      <c r="E584">
        <v>357</v>
      </c>
      <c r="F584" t="s">
        <v>3262</v>
      </c>
      <c r="G584">
        <v>27067.74</v>
      </c>
      <c r="H584" t="s">
        <v>573</v>
      </c>
      <c r="I584">
        <v>86.87</v>
      </c>
      <c r="J584" t="s">
        <v>3263</v>
      </c>
      <c r="K584">
        <v>75.819999999999993</v>
      </c>
      <c r="L584" s="1">
        <v>45369</v>
      </c>
      <c r="M584">
        <f>G584*IF(D584="INR",1,INDEX('rates'!$B$2:$B$522,MATCH(B584,'rates'!$A$2:$A$522,1)))</f>
        <v>2244457.0008</v>
      </c>
      <c r="N584">
        <f t="shared" si="9"/>
        <v>45</v>
      </c>
    </row>
    <row r="585" spans="1:14" x14ac:dyDescent="0.3">
      <c r="A585" t="s">
        <v>3854</v>
      </c>
      <c r="B585" s="1">
        <v>45324</v>
      </c>
      <c r="C585" t="s">
        <v>558</v>
      </c>
      <c r="D585" t="s">
        <v>36</v>
      </c>
      <c r="E585">
        <v>564</v>
      </c>
      <c r="F585" t="s">
        <v>3262</v>
      </c>
      <c r="G585">
        <v>43783.32</v>
      </c>
      <c r="H585" t="s">
        <v>556</v>
      </c>
      <c r="J585" t="s">
        <v>3263</v>
      </c>
      <c r="K585">
        <v>77.63</v>
      </c>
      <c r="L585" s="1">
        <v>45369</v>
      </c>
      <c r="M585">
        <f>G585*IF(D585="INR",1,INDEX('rates'!$B$2:$B$522,MATCH(B585,'rates'!$A$2:$A$522,1)))</f>
        <v>3630512.8944000001</v>
      </c>
      <c r="N585">
        <f t="shared" si="9"/>
        <v>45</v>
      </c>
    </row>
    <row r="586" spans="1:14" x14ac:dyDescent="0.3">
      <c r="A586" t="s">
        <v>3825</v>
      </c>
      <c r="B586" s="1">
        <v>45310</v>
      </c>
      <c r="C586" t="s">
        <v>566</v>
      </c>
      <c r="D586" t="s">
        <v>36</v>
      </c>
      <c r="E586">
        <v>536</v>
      </c>
      <c r="F586" t="s">
        <v>3262</v>
      </c>
      <c r="G586">
        <v>42311.839999999997</v>
      </c>
      <c r="H586" t="s">
        <v>556</v>
      </c>
      <c r="J586" t="s">
        <v>3263</v>
      </c>
      <c r="K586">
        <v>78.94</v>
      </c>
      <c r="L586" s="1">
        <v>45370</v>
      </c>
      <c r="M586">
        <f>G586*IF(D586="INR",1,INDEX('rates'!$B$2:$B$522,MATCH(B586,'rates'!$A$2:$A$522,1)))</f>
        <v>3515690.7856000001</v>
      </c>
      <c r="N586">
        <f t="shared" si="9"/>
        <v>60</v>
      </c>
    </row>
    <row r="587" spans="1:14" x14ac:dyDescent="0.3">
      <c r="A587" t="s">
        <v>3826</v>
      </c>
      <c r="B587" s="1">
        <v>45310</v>
      </c>
      <c r="C587" t="s">
        <v>558</v>
      </c>
      <c r="D587" t="s">
        <v>36</v>
      </c>
      <c r="E587">
        <v>821</v>
      </c>
      <c r="F587" t="s">
        <v>3262</v>
      </c>
      <c r="G587">
        <v>64005.16</v>
      </c>
      <c r="H587" t="s">
        <v>573</v>
      </c>
      <c r="I587">
        <v>95.36</v>
      </c>
      <c r="J587" t="s">
        <v>3263</v>
      </c>
      <c r="K587">
        <v>77.959999999999994</v>
      </c>
      <c r="L587" s="1">
        <v>45370</v>
      </c>
      <c r="M587">
        <f>G587*IF(D587="INR",1,INDEX('rates'!$B$2:$B$522,MATCH(B587,'rates'!$A$2:$A$522,1)))</f>
        <v>5318188.7444000002</v>
      </c>
      <c r="N587">
        <f t="shared" si="9"/>
        <v>60</v>
      </c>
    </row>
    <row r="588" spans="1:14" x14ac:dyDescent="0.3">
      <c r="A588" t="s">
        <v>3829</v>
      </c>
      <c r="B588" s="1">
        <v>45310</v>
      </c>
      <c r="C588" t="s">
        <v>566</v>
      </c>
      <c r="D588" t="s">
        <v>36</v>
      </c>
      <c r="E588">
        <v>1141</v>
      </c>
      <c r="F588" t="s">
        <v>3262</v>
      </c>
      <c r="G588">
        <v>88370.45</v>
      </c>
      <c r="H588" t="s">
        <v>573</v>
      </c>
      <c r="I588">
        <v>95.36</v>
      </c>
      <c r="J588" t="s">
        <v>3263</v>
      </c>
      <c r="K588">
        <v>77.45</v>
      </c>
      <c r="L588" s="1">
        <v>45370</v>
      </c>
      <c r="M588">
        <f>G588*IF(D588="INR",1,INDEX('rates'!$B$2:$B$522,MATCH(B588,'rates'!$A$2:$A$522,1)))</f>
        <v>7342700.6905000005</v>
      </c>
      <c r="N588">
        <f t="shared" si="9"/>
        <v>60</v>
      </c>
    </row>
    <row r="589" spans="1:14" x14ac:dyDescent="0.3">
      <c r="A589" t="s">
        <v>3856</v>
      </c>
      <c r="B589" s="1">
        <v>45327</v>
      </c>
      <c r="C589" t="s">
        <v>558</v>
      </c>
      <c r="D589" t="s">
        <v>13</v>
      </c>
      <c r="E589">
        <v>111450</v>
      </c>
      <c r="F589" t="s">
        <v>3270</v>
      </c>
      <c r="G589">
        <v>10197675</v>
      </c>
      <c r="H589" t="s">
        <v>556</v>
      </c>
      <c r="J589" t="s">
        <v>3271</v>
      </c>
      <c r="K589">
        <v>91.5</v>
      </c>
      <c r="L589" s="1">
        <v>45372</v>
      </c>
      <c r="M589">
        <f>G589*IF(D589="INR",1,INDEX('rates'!$B$2:$B$522,MATCH(B589,'rates'!$A$2:$A$522,1)))</f>
        <v>10197675</v>
      </c>
      <c r="N589">
        <f t="shared" si="9"/>
        <v>45</v>
      </c>
    </row>
    <row r="590" spans="1:14" x14ac:dyDescent="0.3">
      <c r="A590" t="s">
        <v>3883</v>
      </c>
      <c r="B590" s="1">
        <v>45342</v>
      </c>
      <c r="C590" t="s">
        <v>554</v>
      </c>
      <c r="D590" t="s">
        <v>36</v>
      </c>
      <c r="E590">
        <v>1593</v>
      </c>
      <c r="F590" t="s">
        <v>3262</v>
      </c>
      <c r="G590">
        <v>132394.23000000001</v>
      </c>
      <c r="H590" t="s">
        <v>556</v>
      </c>
      <c r="J590" t="s">
        <v>3263</v>
      </c>
      <c r="K590">
        <v>83.11</v>
      </c>
      <c r="L590" s="1">
        <v>45372</v>
      </c>
      <c r="M590">
        <f>G590*IF(D590="INR",1,INDEX('rates'!$B$2:$B$522,MATCH(B590,'rates'!$A$2:$A$522,1)))</f>
        <v>10972833.782400001</v>
      </c>
      <c r="N590">
        <f t="shared" si="9"/>
        <v>30</v>
      </c>
    </row>
    <row r="591" spans="1:14" x14ac:dyDescent="0.3">
      <c r="A591" t="s">
        <v>3884</v>
      </c>
      <c r="B591" s="1">
        <v>45342</v>
      </c>
      <c r="C591" t="s">
        <v>558</v>
      </c>
      <c r="D591" t="s">
        <v>13</v>
      </c>
      <c r="E591">
        <v>64415</v>
      </c>
      <c r="F591" t="s">
        <v>3270</v>
      </c>
      <c r="G591">
        <v>3982135.3</v>
      </c>
      <c r="H591" t="s">
        <v>556</v>
      </c>
      <c r="J591" t="s">
        <v>3271</v>
      </c>
      <c r="K591">
        <v>61.82</v>
      </c>
      <c r="L591" s="1">
        <v>45372</v>
      </c>
      <c r="M591">
        <f>G591*IF(D591="INR",1,INDEX('rates'!$B$2:$B$522,MATCH(B591,'rates'!$A$2:$A$522,1)))</f>
        <v>3982135.3</v>
      </c>
      <c r="N591">
        <f t="shared" si="9"/>
        <v>30</v>
      </c>
    </row>
    <row r="592" spans="1:14" x14ac:dyDescent="0.3">
      <c r="A592" t="s">
        <v>3885</v>
      </c>
      <c r="B592" s="1">
        <v>45342</v>
      </c>
      <c r="C592" t="s">
        <v>560</v>
      </c>
      <c r="D592" t="s">
        <v>36</v>
      </c>
      <c r="E592">
        <v>1383</v>
      </c>
      <c r="F592" t="s">
        <v>3262</v>
      </c>
      <c r="G592">
        <v>114927.3</v>
      </c>
      <c r="H592" t="s">
        <v>573</v>
      </c>
      <c r="I592">
        <v>82.18</v>
      </c>
      <c r="J592" t="s">
        <v>3263</v>
      </c>
      <c r="K592">
        <v>83.1</v>
      </c>
      <c r="L592" s="1">
        <v>45372</v>
      </c>
      <c r="M592">
        <f>G592*IF(D592="INR",1,INDEX('rates'!$B$2:$B$522,MATCH(B592,'rates'!$A$2:$A$522,1)))</f>
        <v>9525174.6239999998</v>
      </c>
      <c r="N592">
        <f t="shared" si="9"/>
        <v>30</v>
      </c>
    </row>
    <row r="593" spans="1:14" x14ac:dyDescent="0.3">
      <c r="A593" t="s">
        <v>3830</v>
      </c>
      <c r="B593" s="1">
        <v>45313</v>
      </c>
      <c r="C593" t="s">
        <v>560</v>
      </c>
      <c r="D593" t="s">
        <v>36</v>
      </c>
      <c r="E593">
        <v>1648</v>
      </c>
      <c r="F593" t="s">
        <v>3262</v>
      </c>
      <c r="G593">
        <v>133801.12</v>
      </c>
      <c r="H593" t="s">
        <v>556</v>
      </c>
      <c r="J593" t="s">
        <v>3263</v>
      </c>
      <c r="K593">
        <v>81.19</v>
      </c>
      <c r="L593" s="1">
        <v>45373</v>
      </c>
      <c r="M593">
        <f>G593*IF(D593="INR",1,INDEX('rates'!$B$2:$B$522,MATCH(B593,'rates'!$A$2:$A$522,1)))</f>
        <v>11116197.0496</v>
      </c>
      <c r="N593">
        <f t="shared" si="9"/>
        <v>60</v>
      </c>
    </row>
    <row r="594" spans="1:14" x14ac:dyDescent="0.3">
      <c r="A594" t="s">
        <v>3831</v>
      </c>
      <c r="B594" s="1">
        <v>45313</v>
      </c>
      <c r="C594" t="s">
        <v>558</v>
      </c>
      <c r="D594" t="s">
        <v>36</v>
      </c>
      <c r="E594">
        <v>663</v>
      </c>
      <c r="F594" t="s">
        <v>3262</v>
      </c>
      <c r="G594">
        <v>52834.47</v>
      </c>
      <c r="H594" t="s">
        <v>573</v>
      </c>
      <c r="I594">
        <v>90.5</v>
      </c>
      <c r="J594" t="s">
        <v>3263</v>
      </c>
      <c r="K594">
        <v>79.69</v>
      </c>
      <c r="L594" s="1">
        <v>45373</v>
      </c>
      <c r="M594">
        <f>G594*IF(D594="INR",1,INDEX('rates'!$B$2:$B$522,MATCH(B594,'rates'!$A$2:$A$522,1)))</f>
        <v>4389487.7675999999</v>
      </c>
      <c r="N594">
        <f t="shared" si="9"/>
        <v>60</v>
      </c>
    </row>
    <row r="595" spans="1:14" x14ac:dyDescent="0.3">
      <c r="A595" t="s">
        <v>3857</v>
      </c>
      <c r="B595" s="1">
        <v>45328</v>
      </c>
      <c r="C595" t="s">
        <v>566</v>
      </c>
      <c r="D595" t="s">
        <v>36</v>
      </c>
      <c r="E595">
        <v>842</v>
      </c>
      <c r="F595" t="s">
        <v>3262</v>
      </c>
      <c r="G595">
        <v>65044.5</v>
      </c>
      <c r="H595" t="s">
        <v>573</v>
      </c>
      <c r="I595">
        <v>81.16</v>
      </c>
      <c r="J595" t="s">
        <v>3263</v>
      </c>
      <c r="K595">
        <v>77.25</v>
      </c>
      <c r="L595" s="1">
        <v>45373</v>
      </c>
      <c r="M595">
        <f>G595*IF(D595="INR",1,INDEX('rates'!$B$2:$B$522,MATCH(B595,'rates'!$A$2:$A$522,1)))</f>
        <v>5400644.835</v>
      </c>
      <c r="N595">
        <f t="shared" si="9"/>
        <v>45</v>
      </c>
    </row>
    <row r="596" spans="1:14" x14ac:dyDescent="0.3">
      <c r="A596" t="s">
        <v>3858</v>
      </c>
      <c r="B596" s="1">
        <v>45328</v>
      </c>
      <c r="C596" t="s">
        <v>558</v>
      </c>
      <c r="D596" t="s">
        <v>36</v>
      </c>
      <c r="E596">
        <v>941</v>
      </c>
      <c r="F596" t="s">
        <v>3262</v>
      </c>
      <c r="G596">
        <v>73435.64</v>
      </c>
      <c r="H596" t="s">
        <v>556</v>
      </c>
      <c r="J596" t="s">
        <v>3263</v>
      </c>
      <c r="K596">
        <v>78.040000000000006</v>
      </c>
      <c r="L596" s="1">
        <v>45373</v>
      </c>
      <c r="M596">
        <f>G596*IF(D596="INR",1,INDEX('rates'!$B$2:$B$522,MATCH(B596,'rates'!$A$2:$A$522,1)))</f>
        <v>6097361.1891999999</v>
      </c>
      <c r="N596">
        <f t="shared" si="9"/>
        <v>45</v>
      </c>
    </row>
    <row r="597" spans="1:14" x14ac:dyDescent="0.3">
      <c r="A597" t="s">
        <v>3837</v>
      </c>
      <c r="B597" s="1">
        <v>45315</v>
      </c>
      <c r="C597" t="s">
        <v>560</v>
      </c>
      <c r="D597" t="s">
        <v>36</v>
      </c>
      <c r="E597">
        <v>522</v>
      </c>
      <c r="F597" t="s">
        <v>3262</v>
      </c>
      <c r="G597">
        <v>41321.519999999997</v>
      </c>
      <c r="H597" t="s">
        <v>556</v>
      </c>
      <c r="J597" t="s">
        <v>3263</v>
      </c>
      <c r="K597">
        <v>79.16</v>
      </c>
      <c r="L597" s="1">
        <v>45375</v>
      </c>
      <c r="M597">
        <f>G597*IF(D597="INR",1,INDEX('rates'!$B$2:$B$522,MATCH(B597,'rates'!$A$2:$A$522,1)))</f>
        <v>3433405.0967999999</v>
      </c>
      <c r="N597">
        <f t="shared" si="9"/>
        <v>60</v>
      </c>
    </row>
    <row r="598" spans="1:14" x14ac:dyDescent="0.3">
      <c r="A598" t="s">
        <v>3892</v>
      </c>
      <c r="B598" s="1">
        <v>45345</v>
      </c>
      <c r="C598" t="s">
        <v>558</v>
      </c>
      <c r="D598" t="s">
        <v>13</v>
      </c>
      <c r="E598">
        <v>83184</v>
      </c>
      <c r="F598" t="s">
        <v>3270</v>
      </c>
      <c r="G598">
        <v>6671356.7999999998</v>
      </c>
      <c r="H598" t="s">
        <v>556</v>
      </c>
      <c r="J598" t="s">
        <v>3271</v>
      </c>
      <c r="K598">
        <v>80.2</v>
      </c>
      <c r="L598" s="1">
        <v>45375</v>
      </c>
      <c r="M598">
        <f>G598*IF(D598="INR",1,INDEX('rates'!$B$2:$B$522,MATCH(B598,'rates'!$A$2:$A$522,1)))</f>
        <v>6671356.7999999998</v>
      </c>
      <c r="N598">
        <f t="shared" si="9"/>
        <v>30</v>
      </c>
    </row>
    <row r="599" spans="1:14" x14ac:dyDescent="0.3">
      <c r="A599" t="s">
        <v>3893</v>
      </c>
      <c r="B599" s="1">
        <v>45345</v>
      </c>
      <c r="C599" t="s">
        <v>566</v>
      </c>
      <c r="D599" t="s">
        <v>36</v>
      </c>
      <c r="E599">
        <v>854</v>
      </c>
      <c r="F599" t="s">
        <v>3262</v>
      </c>
      <c r="G599">
        <v>70139.02</v>
      </c>
      <c r="H599" t="s">
        <v>573</v>
      </c>
      <c r="I599">
        <v>80.069999999999993</v>
      </c>
      <c r="J599" t="s">
        <v>3263</v>
      </c>
      <c r="K599">
        <v>82.13</v>
      </c>
      <c r="L599" s="1">
        <v>45375</v>
      </c>
      <c r="M599">
        <f>G599*IF(D599="INR",1,INDEX('rates'!$B$2:$B$522,MATCH(B599,'rates'!$A$2:$A$522,1)))</f>
        <v>5811719.1972000003</v>
      </c>
      <c r="N599">
        <f t="shared" si="9"/>
        <v>30</v>
      </c>
    </row>
    <row r="600" spans="1:14" x14ac:dyDescent="0.3">
      <c r="A600" t="s">
        <v>3894</v>
      </c>
      <c r="B600" s="1">
        <v>45345</v>
      </c>
      <c r="C600" t="s">
        <v>566</v>
      </c>
      <c r="D600" t="s">
        <v>36</v>
      </c>
      <c r="E600">
        <v>1018</v>
      </c>
      <c r="F600" t="s">
        <v>3262</v>
      </c>
      <c r="G600">
        <v>83638.880000000005</v>
      </c>
      <c r="H600" t="s">
        <v>556</v>
      </c>
      <c r="J600" t="s">
        <v>3263</v>
      </c>
      <c r="K600">
        <v>82.16</v>
      </c>
      <c r="L600" s="1">
        <v>45375</v>
      </c>
      <c r="M600">
        <f>G600*IF(D600="INR",1,INDEX('rates'!$B$2:$B$522,MATCH(B600,'rates'!$A$2:$A$522,1)))</f>
        <v>6930317.5968000004</v>
      </c>
      <c r="N600">
        <f t="shared" si="9"/>
        <v>30</v>
      </c>
    </row>
    <row r="601" spans="1:14" x14ac:dyDescent="0.3">
      <c r="A601" t="s">
        <v>3898</v>
      </c>
      <c r="B601" s="1">
        <v>45345</v>
      </c>
      <c r="C601" t="s">
        <v>575</v>
      </c>
      <c r="D601" t="s">
        <v>36</v>
      </c>
      <c r="E601">
        <v>1373</v>
      </c>
      <c r="F601" t="s">
        <v>3262</v>
      </c>
      <c r="G601">
        <v>111858.31</v>
      </c>
      <c r="H601" t="s">
        <v>556</v>
      </c>
      <c r="J601" t="s">
        <v>3263</v>
      </c>
      <c r="K601">
        <v>81.47</v>
      </c>
      <c r="L601" s="1">
        <v>45375</v>
      </c>
      <c r="M601">
        <f>G601*IF(D601="INR",1,INDEX('rates'!$B$2:$B$522,MATCH(B601,'rates'!$A$2:$A$522,1)))</f>
        <v>9268579.5666000005</v>
      </c>
      <c r="N601">
        <f t="shared" si="9"/>
        <v>30</v>
      </c>
    </row>
    <row r="602" spans="1:14" x14ac:dyDescent="0.3">
      <c r="A602" t="s">
        <v>3899</v>
      </c>
      <c r="B602" s="1">
        <v>45345</v>
      </c>
      <c r="C602" t="s">
        <v>554</v>
      </c>
      <c r="D602" t="s">
        <v>36</v>
      </c>
      <c r="E602">
        <v>1353</v>
      </c>
      <c r="F602" t="s">
        <v>3262</v>
      </c>
      <c r="G602">
        <v>111000.12</v>
      </c>
      <c r="H602" t="s">
        <v>573</v>
      </c>
      <c r="I602">
        <v>80.069999999999993</v>
      </c>
      <c r="J602" t="s">
        <v>3263</v>
      </c>
      <c r="K602">
        <v>82.04</v>
      </c>
      <c r="L602" s="1">
        <v>45375</v>
      </c>
      <c r="M602">
        <f>G602*IF(D602="INR",1,INDEX('rates'!$B$2:$B$522,MATCH(B602,'rates'!$A$2:$A$522,1)))</f>
        <v>9197469.9431999996</v>
      </c>
      <c r="N602">
        <f t="shared" si="9"/>
        <v>30</v>
      </c>
    </row>
    <row r="603" spans="1:14" x14ac:dyDescent="0.3">
      <c r="A603" t="s">
        <v>3841</v>
      </c>
      <c r="B603" s="1">
        <v>45316</v>
      </c>
      <c r="C603" t="s">
        <v>560</v>
      </c>
      <c r="D603" t="s">
        <v>36</v>
      </c>
      <c r="E603">
        <v>730</v>
      </c>
      <c r="F603" t="s">
        <v>3262</v>
      </c>
      <c r="G603">
        <v>61013.4</v>
      </c>
      <c r="H603" t="s">
        <v>573</v>
      </c>
      <c r="I603">
        <v>92.06</v>
      </c>
      <c r="J603" t="s">
        <v>3263</v>
      </c>
      <c r="K603">
        <v>83.58</v>
      </c>
      <c r="L603" s="1">
        <v>45376</v>
      </c>
      <c r="M603">
        <f>G603*IF(D603="INR",1,INDEX('rates'!$B$2:$B$522,MATCH(B603,'rates'!$A$2:$A$522,1)))</f>
        <v>5068993.2719999999</v>
      </c>
      <c r="N603">
        <f t="shared" si="9"/>
        <v>60</v>
      </c>
    </row>
    <row r="604" spans="1:14" x14ac:dyDescent="0.3">
      <c r="A604" t="s">
        <v>3861</v>
      </c>
      <c r="B604" s="1">
        <v>45331</v>
      </c>
      <c r="C604" t="s">
        <v>558</v>
      </c>
      <c r="D604" t="s">
        <v>36</v>
      </c>
      <c r="E604">
        <v>1957</v>
      </c>
      <c r="F604" t="s">
        <v>3262</v>
      </c>
      <c r="G604">
        <v>160239.16</v>
      </c>
      <c r="H604" t="s">
        <v>556</v>
      </c>
      <c r="J604" t="s">
        <v>3263</v>
      </c>
      <c r="K604">
        <v>81.88</v>
      </c>
      <c r="L604" s="1">
        <v>45376</v>
      </c>
      <c r="M604">
        <f>G604*IF(D604="INR",1,INDEX('rates'!$B$2:$B$522,MATCH(B604,'rates'!$A$2:$A$522,1)))</f>
        <v>13299850.280000001</v>
      </c>
      <c r="N604">
        <f t="shared" si="9"/>
        <v>45</v>
      </c>
    </row>
    <row r="605" spans="1:14" x14ac:dyDescent="0.3">
      <c r="A605" t="s">
        <v>3863</v>
      </c>
      <c r="B605" s="1">
        <v>45331</v>
      </c>
      <c r="C605" t="s">
        <v>558</v>
      </c>
      <c r="D605" t="s">
        <v>36</v>
      </c>
      <c r="E605">
        <v>328</v>
      </c>
      <c r="F605" t="s">
        <v>3262</v>
      </c>
      <c r="G605">
        <v>27410.959999999999</v>
      </c>
      <c r="H605" t="s">
        <v>556</v>
      </c>
      <c r="J605" t="s">
        <v>3263</v>
      </c>
      <c r="K605">
        <v>83.57</v>
      </c>
      <c r="L605" s="1">
        <v>45376</v>
      </c>
      <c r="M605">
        <f>G605*IF(D605="INR",1,INDEX('rates'!$B$2:$B$522,MATCH(B605,'rates'!$A$2:$A$522,1)))</f>
        <v>2275109.6799999997</v>
      </c>
      <c r="N605">
        <f t="shared" si="9"/>
        <v>45</v>
      </c>
    </row>
    <row r="606" spans="1:14" x14ac:dyDescent="0.3">
      <c r="A606" t="s">
        <v>3864</v>
      </c>
      <c r="B606" s="1">
        <v>45331</v>
      </c>
      <c r="C606" t="s">
        <v>575</v>
      </c>
      <c r="D606" t="s">
        <v>36</v>
      </c>
      <c r="E606">
        <v>635</v>
      </c>
      <c r="F606" t="s">
        <v>3262</v>
      </c>
      <c r="G606">
        <v>51422.3</v>
      </c>
      <c r="H606" t="s">
        <v>556</v>
      </c>
      <c r="J606" t="s">
        <v>3263</v>
      </c>
      <c r="K606">
        <v>80.98</v>
      </c>
      <c r="L606" s="1">
        <v>45376</v>
      </c>
      <c r="M606">
        <f>G606*IF(D606="INR",1,INDEX('rates'!$B$2:$B$522,MATCH(B606,'rates'!$A$2:$A$522,1)))</f>
        <v>4268050.9000000004</v>
      </c>
      <c r="N606">
        <f t="shared" si="9"/>
        <v>45</v>
      </c>
    </row>
    <row r="607" spans="1:14" x14ac:dyDescent="0.3">
      <c r="A607" t="s">
        <v>3901</v>
      </c>
      <c r="B607" s="1">
        <v>45349</v>
      </c>
      <c r="C607" t="s">
        <v>560</v>
      </c>
      <c r="D607" t="s">
        <v>36</v>
      </c>
      <c r="E607">
        <v>888</v>
      </c>
      <c r="F607" t="s">
        <v>3262</v>
      </c>
      <c r="G607">
        <v>74254.559999999998</v>
      </c>
      <c r="H607" t="s">
        <v>573</v>
      </c>
      <c r="I607">
        <v>82.99</v>
      </c>
      <c r="J607" t="s">
        <v>3263</v>
      </c>
      <c r="K607">
        <v>83.62</v>
      </c>
      <c r="L607" s="1">
        <v>45379</v>
      </c>
      <c r="M607">
        <f>G607*IF(D607="INR",1,INDEX('rates'!$B$2:$B$522,MATCH(B607,'rates'!$A$2:$A$522,1)))</f>
        <v>6154217.9327999996</v>
      </c>
      <c r="N607">
        <f t="shared" si="9"/>
        <v>30</v>
      </c>
    </row>
    <row r="608" spans="1:14" x14ac:dyDescent="0.3">
      <c r="A608" t="s">
        <v>3870</v>
      </c>
      <c r="B608" s="1">
        <v>45335</v>
      </c>
      <c r="C608" t="s">
        <v>558</v>
      </c>
      <c r="D608" t="s">
        <v>36</v>
      </c>
      <c r="E608">
        <v>309</v>
      </c>
      <c r="F608" t="s">
        <v>3262</v>
      </c>
      <c r="G608">
        <v>26051.79</v>
      </c>
      <c r="H608" t="s">
        <v>556</v>
      </c>
      <c r="J608" t="s">
        <v>3263</v>
      </c>
      <c r="K608">
        <v>84.31</v>
      </c>
      <c r="L608" s="1">
        <v>45380</v>
      </c>
      <c r="M608">
        <f>G608*IF(D608="INR",1,INDEX('rates'!$B$2:$B$522,MATCH(B608,'rates'!$A$2:$A$522,1)))</f>
        <v>2163861.6773999999</v>
      </c>
      <c r="N608">
        <f t="shared" si="9"/>
        <v>45</v>
      </c>
    </row>
    <row r="609" spans="1:14" x14ac:dyDescent="0.3">
      <c r="A609" t="s">
        <v>3847</v>
      </c>
      <c r="B609" s="1">
        <v>45322</v>
      </c>
      <c r="C609" t="s">
        <v>558</v>
      </c>
      <c r="D609" t="s">
        <v>36</v>
      </c>
      <c r="E609">
        <v>944</v>
      </c>
      <c r="F609" t="s">
        <v>3262</v>
      </c>
      <c r="G609">
        <v>76983.199999999997</v>
      </c>
      <c r="H609" t="s">
        <v>556</v>
      </c>
      <c r="J609" t="s">
        <v>3263</v>
      </c>
      <c r="K609">
        <v>81.55</v>
      </c>
      <c r="L609" s="1">
        <v>45382</v>
      </c>
      <c r="M609">
        <f>G609*IF(D609="INR",1,INDEX('rates'!$B$2:$B$522,MATCH(B609,'rates'!$A$2:$A$522,1)))</f>
        <v>6391145.2639999995</v>
      </c>
      <c r="N609">
        <f t="shared" si="9"/>
        <v>60</v>
      </c>
    </row>
    <row r="610" spans="1:14" x14ac:dyDescent="0.3">
      <c r="A610" t="s">
        <v>3874</v>
      </c>
      <c r="B610" s="1">
        <v>45337</v>
      </c>
      <c r="C610" t="s">
        <v>566</v>
      </c>
      <c r="D610" t="s">
        <v>36</v>
      </c>
      <c r="E610">
        <v>426</v>
      </c>
      <c r="F610" t="s">
        <v>3262</v>
      </c>
      <c r="G610">
        <v>34770.120000000003</v>
      </c>
      <c r="H610" t="s">
        <v>573</v>
      </c>
      <c r="I610">
        <v>81.819999999999993</v>
      </c>
      <c r="J610" t="s">
        <v>3263</v>
      </c>
      <c r="K610">
        <v>81.62</v>
      </c>
      <c r="L610" s="1">
        <v>45382</v>
      </c>
      <c r="M610">
        <f>G610*IF(D610="INR",1,INDEX('rates'!$B$2:$B$522,MATCH(B610,'rates'!$A$2:$A$522,1)))</f>
        <v>2885919.9600000004</v>
      </c>
      <c r="N610">
        <f t="shared" si="9"/>
        <v>45</v>
      </c>
    </row>
    <row r="611" spans="1:14" x14ac:dyDescent="0.3">
      <c r="A611" t="s">
        <v>3875</v>
      </c>
      <c r="B611" s="1">
        <v>45337</v>
      </c>
      <c r="C611" t="s">
        <v>575</v>
      </c>
      <c r="D611" t="s">
        <v>36</v>
      </c>
      <c r="E611">
        <v>242</v>
      </c>
      <c r="F611" t="s">
        <v>3262</v>
      </c>
      <c r="G611">
        <v>19887.560000000001</v>
      </c>
      <c r="H611" t="s">
        <v>573</v>
      </c>
      <c r="I611">
        <v>81.819999999999993</v>
      </c>
      <c r="J611" t="s">
        <v>3263</v>
      </c>
      <c r="K611">
        <v>82.18</v>
      </c>
      <c r="L611" s="1">
        <v>45382</v>
      </c>
      <c r="M611">
        <f>G611*IF(D611="INR",1,INDEX('rates'!$B$2:$B$522,MATCH(B611,'rates'!$A$2:$A$522,1)))</f>
        <v>1650667.4800000002</v>
      </c>
      <c r="N611">
        <f t="shared" si="9"/>
        <v>45</v>
      </c>
    </row>
    <row r="612" spans="1:14" x14ac:dyDescent="0.3">
      <c r="A612" t="s">
        <v>3907</v>
      </c>
      <c r="B612" s="1">
        <v>45352</v>
      </c>
      <c r="C612" t="s">
        <v>566</v>
      </c>
      <c r="D612" t="s">
        <v>13</v>
      </c>
      <c r="E612">
        <v>43641</v>
      </c>
      <c r="F612" t="s">
        <v>3270</v>
      </c>
      <c r="G612">
        <v>2978498.25</v>
      </c>
      <c r="H612" t="s">
        <v>556</v>
      </c>
      <c r="J612" t="s">
        <v>3271</v>
      </c>
      <c r="K612">
        <v>68.25</v>
      </c>
      <c r="L612" s="1">
        <v>45382</v>
      </c>
      <c r="M612">
        <f>G612*IF(D612="INR",1,INDEX('rates'!$B$2:$B$522,MATCH(B612,'rates'!$A$2:$A$522,1)))</f>
        <v>2978498.25</v>
      </c>
      <c r="N612">
        <f t="shared" si="9"/>
        <v>30</v>
      </c>
    </row>
    <row r="613" spans="1:14" x14ac:dyDescent="0.3">
      <c r="A613" t="s">
        <v>3909</v>
      </c>
      <c r="B613" s="1">
        <v>45352</v>
      </c>
      <c r="C613" t="s">
        <v>558</v>
      </c>
      <c r="D613" t="s">
        <v>36</v>
      </c>
      <c r="E613">
        <v>1156</v>
      </c>
      <c r="F613" t="s">
        <v>3262</v>
      </c>
      <c r="G613">
        <v>98364.04</v>
      </c>
      <c r="H613" t="s">
        <v>556</v>
      </c>
      <c r="J613" t="s">
        <v>3263</v>
      </c>
      <c r="K613">
        <v>85.09</v>
      </c>
      <c r="L613" s="1">
        <v>45382</v>
      </c>
      <c r="M613">
        <f>G613*IF(D613="INR",1,INDEX('rates'!$B$2:$B$522,MATCH(B613,'rates'!$A$2:$A$522,1)))</f>
        <v>8155362.5563999992</v>
      </c>
      <c r="N613">
        <f t="shared" si="9"/>
        <v>30</v>
      </c>
    </row>
    <row r="614" spans="1:14" x14ac:dyDescent="0.3">
      <c r="A614" t="s">
        <v>3911</v>
      </c>
      <c r="B614" s="1">
        <v>45352</v>
      </c>
      <c r="C614" t="s">
        <v>566</v>
      </c>
      <c r="D614" t="s">
        <v>36</v>
      </c>
      <c r="E614">
        <v>290</v>
      </c>
      <c r="F614" t="s">
        <v>3262</v>
      </c>
      <c r="G614">
        <v>25369.200000000001</v>
      </c>
      <c r="H614" t="s">
        <v>573</v>
      </c>
      <c r="I614">
        <v>78.86</v>
      </c>
      <c r="J614" t="s">
        <v>3263</v>
      </c>
      <c r="K614">
        <v>87.48</v>
      </c>
      <c r="L614" s="1">
        <v>45382</v>
      </c>
      <c r="M614">
        <f>G614*IF(D614="INR",1,INDEX('rates'!$B$2:$B$522,MATCH(B614,'rates'!$A$2:$A$522,1)))</f>
        <v>2103360.372</v>
      </c>
      <c r="N614">
        <f t="shared" si="9"/>
        <v>30</v>
      </c>
    </row>
    <row r="615" spans="1:14" x14ac:dyDescent="0.3">
      <c r="A615" t="s">
        <v>3912</v>
      </c>
      <c r="B615" s="1">
        <v>45352</v>
      </c>
      <c r="C615" t="s">
        <v>566</v>
      </c>
      <c r="D615" t="s">
        <v>36</v>
      </c>
      <c r="E615">
        <v>239</v>
      </c>
      <c r="F615" t="s">
        <v>3262</v>
      </c>
      <c r="G615">
        <v>20200.28</v>
      </c>
      <c r="H615" t="s">
        <v>556</v>
      </c>
      <c r="J615" t="s">
        <v>3263</v>
      </c>
      <c r="K615">
        <v>84.52</v>
      </c>
      <c r="L615" s="1">
        <v>45382</v>
      </c>
      <c r="M615">
        <f>G615*IF(D615="INR",1,INDEX('rates'!$B$2:$B$522,MATCH(B615,'rates'!$A$2:$A$522,1)))</f>
        <v>1674805.2147999997</v>
      </c>
      <c r="N615">
        <f t="shared" si="9"/>
        <v>30</v>
      </c>
    </row>
    <row r="616" spans="1:14" x14ac:dyDescent="0.3">
      <c r="A616" t="s">
        <v>3913</v>
      </c>
      <c r="B616" s="1">
        <v>45352</v>
      </c>
      <c r="C616" t="s">
        <v>560</v>
      </c>
      <c r="D616" t="s">
        <v>13</v>
      </c>
      <c r="E616">
        <v>89962</v>
      </c>
      <c r="F616" t="s">
        <v>3270</v>
      </c>
      <c r="G616">
        <v>9529674.6600000001</v>
      </c>
      <c r="H616" t="s">
        <v>556</v>
      </c>
      <c r="J616" t="s">
        <v>3271</v>
      </c>
      <c r="K616">
        <v>105.93</v>
      </c>
      <c r="L616" s="1">
        <v>45382</v>
      </c>
      <c r="M616">
        <f>G616*IF(D616="INR",1,INDEX('rates'!$B$2:$B$522,MATCH(B616,'rates'!$A$2:$A$522,1)))</f>
        <v>9529674.6600000001</v>
      </c>
      <c r="N616">
        <f t="shared" si="9"/>
        <v>30</v>
      </c>
    </row>
    <row r="617" spans="1:14" x14ac:dyDescent="0.3">
      <c r="A617" t="s">
        <v>3877</v>
      </c>
      <c r="B617" s="1">
        <v>45338</v>
      </c>
      <c r="C617" t="s">
        <v>575</v>
      </c>
      <c r="D617" t="s">
        <v>13</v>
      </c>
      <c r="E617">
        <v>79323</v>
      </c>
      <c r="F617" t="s">
        <v>3270</v>
      </c>
      <c r="G617">
        <v>7112893.4100000001</v>
      </c>
      <c r="H617" t="s">
        <v>556</v>
      </c>
      <c r="J617" t="s">
        <v>3271</v>
      </c>
      <c r="K617">
        <v>89.67</v>
      </c>
      <c r="L617" s="1">
        <v>45383</v>
      </c>
      <c r="M617">
        <f>G617*IF(D617="INR",1,INDEX('rates'!$B$2:$B$522,MATCH(B617,'rates'!$A$2:$A$522,1)))</f>
        <v>7112893.4100000001</v>
      </c>
      <c r="N617">
        <f t="shared" si="9"/>
        <v>45</v>
      </c>
    </row>
    <row r="618" spans="1:14" x14ac:dyDescent="0.3">
      <c r="A618" t="s">
        <v>3880</v>
      </c>
      <c r="B618" s="1">
        <v>45338</v>
      </c>
      <c r="C618" t="s">
        <v>554</v>
      </c>
      <c r="D618" t="s">
        <v>36</v>
      </c>
      <c r="E618">
        <v>208</v>
      </c>
      <c r="F618" t="s">
        <v>3262</v>
      </c>
      <c r="G618">
        <v>17582.240000000002</v>
      </c>
      <c r="H618" t="s">
        <v>573</v>
      </c>
      <c r="I618">
        <v>81.819999999999993</v>
      </c>
      <c r="J618" t="s">
        <v>3263</v>
      </c>
      <c r="K618">
        <v>84.53</v>
      </c>
      <c r="L618" s="1">
        <v>45383</v>
      </c>
      <c r="M618">
        <f>G618*IF(D618="INR",1,INDEX('rates'!$B$2:$B$522,MATCH(B618,'rates'!$A$2:$A$522,1)))</f>
        <v>1459677.5648000001</v>
      </c>
      <c r="N618">
        <f t="shared" si="9"/>
        <v>45</v>
      </c>
    </row>
    <row r="619" spans="1:14" x14ac:dyDescent="0.3">
      <c r="A619" t="s">
        <v>3851</v>
      </c>
      <c r="B619" s="1">
        <v>45324</v>
      </c>
      <c r="C619" t="s">
        <v>560</v>
      </c>
      <c r="D619" t="s">
        <v>36</v>
      </c>
      <c r="E619">
        <v>412</v>
      </c>
      <c r="F619" t="s">
        <v>3262</v>
      </c>
      <c r="G619">
        <v>31897.040000000001</v>
      </c>
      <c r="H619" t="s">
        <v>556</v>
      </c>
      <c r="J619" t="s">
        <v>3263</v>
      </c>
      <c r="K619">
        <v>77.42</v>
      </c>
      <c r="L619" s="1">
        <v>45384</v>
      </c>
      <c r="M619">
        <f>G619*IF(D619="INR",1,INDEX('rates'!$B$2:$B$522,MATCH(B619,'rates'!$A$2:$A$522,1)))</f>
        <v>2644902.5567999999</v>
      </c>
      <c r="N619">
        <f t="shared" si="9"/>
        <v>60</v>
      </c>
    </row>
    <row r="620" spans="1:14" x14ac:dyDescent="0.3">
      <c r="A620" t="s">
        <v>3917</v>
      </c>
      <c r="B620" s="1">
        <v>45355</v>
      </c>
      <c r="C620" t="s">
        <v>566</v>
      </c>
      <c r="D620" t="s">
        <v>13</v>
      </c>
      <c r="E620">
        <v>128013</v>
      </c>
      <c r="F620" t="s">
        <v>3270</v>
      </c>
      <c r="G620">
        <v>10157831.550000001</v>
      </c>
      <c r="H620" t="s">
        <v>556</v>
      </c>
      <c r="J620" t="s">
        <v>3271</v>
      </c>
      <c r="K620">
        <v>79.349999999999994</v>
      </c>
      <c r="L620" s="1">
        <v>45385</v>
      </c>
      <c r="M620">
        <f>G620*IF(D620="INR",1,INDEX('rates'!$B$2:$B$522,MATCH(B620,'rates'!$A$2:$A$522,1)))</f>
        <v>10157831.550000001</v>
      </c>
      <c r="N620">
        <f t="shared" si="9"/>
        <v>30</v>
      </c>
    </row>
    <row r="621" spans="1:14" x14ac:dyDescent="0.3">
      <c r="A621" t="s">
        <v>3918</v>
      </c>
      <c r="B621" s="1">
        <v>45355</v>
      </c>
      <c r="C621" t="s">
        <v>560</v>
      </c>
      <c r="D621" t="s">
        <v>13</v>
      </c>
      <c r="E621">
        <v>62947</v>
      </c>
      <c r="F621" t="s">
        <v>3270</v>
      </c>
      <c r="G621">
        <v>4923084.87</v>
      </c>
      <c r="H621" t="s">
        <v>556</v>
      </c>
      <c r="J621" t="s">
        <v>3271</v>
      </c>
      <c r="K621">
        <v>78.209999999999994</v>
      </c>
      <c r="L621" s="1">
        <v>45385</v>
      </c>
      <c r="M621">
        <f>G621*IF(D621="INR",1,INDEX('rates'!$B$2:$B$522,MATCH(B621,'rates'!$A$2:$A$522,1)))</f>
        <v>4923084.87</v>
      </c>
      <c r="N621">
        <f t="shared" si="9"/>
        <v>30</v>
      </c>
    </row>
    <row r="622" spans="1:14" x14ac:dyDescent="0.3">
      <c r="A622" t="s">
        <v>3881</v>
      </c>
      <c r="B622" s="1">
        <v>45341</v>
      </c>
      <c r="C622" t="s">
        <v>560</v>
      </c>
      <c r="D622" t="s">
        <v>13</v>
      </c>
      <c r="E622">
        <v>20546</v>
      </c>
      <c r="F622" t="s">
        <v>3270</v>
      </c>
      <c r="G622">
        <v>1330353.5</v>
      </c>
      <c r="H622" t="s">
        <v>556</v>
      </c>
      <c r="J622" t="s">
        <v>3271</v>
      </c>
      <c r="K622">
        <v>64.75</v>
      </c>
      <c r="L622" s="1">
        <v>45386</v>
      </c>
      <c r="M622">
        <f>G622*IF(D622="INR",1,INDEX('rates'!$B$2:$B$522,MATCH(B622,'rates'!$A$2:$A$522,1)))</f>
        <v>1330353.5</v>
      </c>
      <c r="N622">
        <f t="shared" si="9"/>
        <v>45</v>
      </c>
    </row>
    <row r="623" spans="1:14" x14ac:dyDescent="0.3">
      <c r="A623" t="s">
        <v>3882</v>
      </c>
      <c r="B623" s="1">
        <v>45341</v>
      </c>
      <c r="C623" t="s">
        <v>566</v>
      </c>
      <c r="D623" t="s">
        <v>36</v>
      </c>
      <c r="E623">
        <v>535</v>
      </c>
      <c r="F623" t="s">
        <v>3262</v>
      </c>
      <c r="G623">
        <v>44560</v>
      </c>
      <c r="H623" t="s">
        <v>573</v>
      </c>
      <c r="I623">
        <v>83.83</v>
      </c>
      <c r="J623" t="s">
        <v>3263</v>
      </c>
      <c r="K623">
        <v>83.29</v>
      </c>
      <c r="L623" s="1">
        <v>45386</v>
      </c>
      <c r="M623">
        <f>G623*IF(D623="INR",1,INDEX('rates'!$B$2:$B$522,MATCH(B623,'rates'!$A$2:$A$522,1)))</f>
        <v>3699371.1999999997</v>
      </c>
      <c r="N623">
        <f t="shared" si="9"/>
        <v>45</v>
      </c>
    </row>
    <row r="624" spans="1:14" x14ac:dyDescent="0.3">
      <c r="A624" t="s">
        <v>3919</v>
      </c>
      <c r="B624" s="1">
        <v>45356</v>
      </c>
      <c r="C624" t="s">
        <v>560</v>
      </c>
      <c r="D624" t="s">
        <v>36</v>
      </c>
      <c r="E624">
        <v>1488</v>
      </c>
      <c r="F624" t="s">
        <v>3262</v>
      </c>
      <c r="G624">
        <v>123727.2</v>
      </c>
      <c r="H624" t="s">
        <v>556</v>
      </c>
      <c r="J624" t="s">
        <v>3263</v>
      </c>
      <c r="K624">
        <v>83.15</v>
      </c>
      <c r="L624" s="1">
        <v>45386</v>
      </c>
      <c r="M624">
        <f>G624*IF(D624="INR",1,INDEX('rates'!$B$2:$B$522,MATCH(B624,'rates'!$A$2:$A$522,1)))</f>
        <v>10252035.791999999</v>
      </c>
      <c r="N624">
        <f t="shared" si="9"/>
        <v>30</v>
      </c>
    </row>
    <row r="625" spans="1:14" x14ac:dyDescent="0.3">
      <c r="A625" t="s">
        <v>3920</v>
      </c>
      <c r="B625" s="1">
        <v>45356</v>
      </c>
      <c r="C625" t="s">
        <v>566</v>
      </c>
      <c r="D625" t="s">
        <v>36</v>
      </c>
      <c r="E625">
        <v>2137</v>
      </c>
      <c r="F625" t="s">
        <v>3262</v>
      </c>
      <c r="G625">
        <v>177712.92</v>
      </c>
      <c r="H625" t="s">
        <v>573</v>
      </c>
      <c r="I625">
        <v>73.81</v>
      </c>
      <c r="J625" t="s">
        <v>3263</v>
      </c>
      <c r="K625">
        <v>83.16</v>
      </c>
      <c r="L625" s="1">
        <v>45386</v>
      </c>
      <c r="M625">
        <f>G625*IF(D625="INR",1,INDEX('rates'!$B$2:$B$522,MATCH(B625,'rates'!$A$2:$A$522,1)))</f>
        <v>14725292.551200001</v>
      </c>
      <c r="N625">
        <f t="shared" si="9"/>
        <v>30</v>
      </c>
    </row>
    <row r="626" spans="1:14" x14ac:dyDescent="0.3">
      <c r="A626" t="s">
        <v>3886</v>
      </c>
      <c r="B626" s="1">
        <v>45342</v>
      </c>
      <c r="C626" t="s">
        <v>575</v>
      </c>
      <c r="D626" t="s">
        <v>36</v>
      </c>
      <c r="E626">
        <v>507</v>
      </c>
      <c r="F626" t="s">
        <v>3262</v>
      </c>
      <c r="G626">
        <v>42729.96</v>
      </c>
      <c r="H626" t="s">
        <v>573</v>
      </c>
      <c r="J626" t="s">
        <v>3263</v>
      </c>
      <c r="K626">
        <v>84.28</v>
      </c>
      <c r="L626" s="1">
        <v>45387</v>
      </c>
      <c r="M626">
        <f>G626*IF(D626="INR",1,INDEX('rates'!$B$2:$B$522,MATCH(B626,'rates'!$A$2:$A$522,1)))</f>
        <v>3541459.0847999998</v>
      </c>
      <c r="N626">
        <f t="shared" si="9"/>
        <v>45</v>
      </c>
    </row>
    <row r="627" spans="1:14" x14ac:dyDescent="0.3">
      <c r="A627" t="s">
        <v>3887</v>
      </c>
      <c r="B627" s="1">
        <v>45343</v>
      </c>
      <c r="C627" t="s">
        <v>560</v>
      </c>
      <c r="D627" t="s">
        <v>36</v>
      </c>
      <c r="E627">
        <v>543</v>
      </c>
      <c r="F627" t="s">
        <v>3262</v>
      </c>
      <c r="G627">
        <v>45030.99</v>
      </c>
      <c r="H627" t="s">
        <v>556</v>
      </c>
      <c r="J627" t="s">
        <v>3263</v>
      </c>
      <c r="K627">
        <v>82.93</v>
      </c>
      <c r="L627" s="1">
        <v>45388</v>
      </c>
      <c r="M627">
        <f>G627*IF(D627="INR",1,INDEX('rates'!$B$2:$B$522,MATCH(B627,'rates'!$A$2:$A$522,1)))</f>
        <v>3735770.9303999995</v>
      </c>
      <c r="N627">
        <f t="shared" si="9"/>
        <v>45</v>
      </c>
    </row>
    <row r="628" spans="1:14" x14ac:dyDescent="0.3">
      <c r="A628" t="s">
        <v>3888</v>
      </c>
      <c r="B628" s="1">
        <v>45343</v>
      </c>
      <c r="C628" t="s">
        <v>554</v>
      </c>
      <c r="D628" t="s">
        <v>36</v>
      </c>
      <c r="E628">
        <v>1725</v>
      </c>
      <c r="F628" t="s">
        <v>3262</v>
      </c>
      <c r="G628">
        <v>144641.25</v>
      </c>
      <c r="H628" t="s">
        <v>573</v>
      </c>
      <c r="I628">
        <v>82.18</v>
      </c>
      <c r="J628" t="s">
        <v>3263</v>
      </c>
      <c r="K628">
        <v>83.85</v>
      </c>
      <c r="L628" s="1">
        <v>45388</v>
      </c>
      <c r="M628">
        <f>G628*IF(D628="INR",1,INDEX('rates'!$B$2:$B$522,MATCH(B628,'rates'!$A$2:$A$522,1)))</f>
        <v>11999438.1</v>
      </c>
      <c r="N628">
        <f t="shared" si="9"/>
        <v>45</v>
      </c>
    </row>
    <row r="629" spans="1:14" x14ac:dyDescent="0.3">
      <c r="A629" t="s">
        <v>3890</v>
      </c>
      <c r="B629" s="1">
        <v>45343</v>
      </c>
      <c r="C629" t="s">
        <v>554</v>
      </c>
      <c r="D629" t="s">
        <v>36</v>
      </c>
      <c r="E629">
        <v>674</v>
      </c>
      <c r="F629" t="s">
        <v>3262</v>
      </c>
      <c r="G629">
        <v>55645.440000000002</v>
      </c>
      <c r="H629" t="s">
        <v>556</v>
      </c>
      <c r="J629" t="s">
        <v>3263</v>
      </c>
      <c r="K629">
        <v>82.56</v>
      </c>
      <c r="L629" s="1">
        <v>45388</v>
      </c>
      <c r="M629">
        <f>G629*IF(D629="INR",1,INDEX('rates'!$B$2:$B$522,MATCH(B629,'rates'!$A$2:$A$522,1)))</f>
        <v>4616345.7023999998</v>
      </c>
      <c r="N629">
        <f t="shared" si="9"/>
        <v>45</v>
      </c>
    </row>
    <row r="630" spans="1:14" x14ac:dyDescent="0.3">
      <c r="A630" t="s">
        <v>3921</v>
      </c>
      <c r="B630" s="1">
        <v>45358</v>
      </c>
      <c r="C630" t="s">
        <v>558</v>
      </c>
      <c r="D630" t="s">
        <v>36</v>
      </c>
      <c r="E630">
        <v>1075</v>
      </c>
      <c r="F630" t="s">
        <v>3262</v>
      </c>
      <c r="G630">
        <v>90687</v>
      </c>
      <c r="H630" t="s">
        <v>556</v>
      </c>
      <c r="J630" t="s">
        <v>3263</v>
      </c>
      <c r="K630">
        <v>84.36</v>
      </c>
      <c r="L630" s="1">
        <v>45388</v>
      </c>
      <c r="M630">
        <f>G630*IF(D630="INR",1,INDEX('rates'!$B$2:$B$522,MATCH(B630,'rates'!$A$2:$A$522,1)))</f>
        <v>7507069.8600000003</v>
      </c>
      <c r="N630">
        <f t="shared" si="9"/>
        <v>30</v>
      </c>
    </row>
    <row r="631" spans="1:14" x14ac:dyDescent="0.3">
      <c r="A631" t="s">
        <v>3925</v>
      </c>
      <c r="B631" s="1">
        <v>45359</v>
      </c>
      <c r="C631" t="s">
        <v>560</v>
      </c>
      <c r="D631" t="s">
        <v>36</v>
      </c>
      <c r="E631">
        <v>407</v>
      </c>
      <c r="F631" t="s">
        <v>3262</v>
      </c>
      <c r="G631">
        <v>33972.29</v>
      </c>
      <c r="H631" t="s">
        <v>556</v>
      </c>
      <c r="J631" t="s">
        <v>3263</v>
      </c>
      <c r="K631">
        <v>83.47</v>
      </c>
      <c r="L631" s="1">
        <v>45389</v>
      </c>
      <c r="M631">
        <f>G631*IF(D631="INR",1,INDEX('rates'!$B$2:$B$522,MATCH(B631,'rates'!$A$2:$A$522,1)))</f>
        <v>2810527.5517000002</v>
      </c>
      <c r="N631">
        <f t="shared" si="9"/>
        <v>30</v>
      </c>
    </row>
    <row r="632" spans="1:14" x14ac:dyDescent="0.3">
      <c r="A632" t="s">
        <v>3926</v>
      </c>
      <c r="B632" s="1">
        <v>45359</v>
      </c>
      <c r="C632" t="s">
        <v>566</v>
      </c>
      <c r="D632" t="s">
        <v>13</v>
      </c>
      <c r="E632">
        <v>13081</v>
      </c>
      <c r="F632" t="s">
        <v>3270</v>
      </c>
      <c r="G632">
        <v>1044387.04</v>
      </c>
      <c r="H632" t="s">
        <v>556</v>
      </c>
      <c r="J632" t="s">
        <v>3271</v>
      </c>
      <c r="K632">
        <v>79.84</v>
      </c>
      <c r="L632" s="1">
        <v>45389</v>
      </c>
      <c r="M632">
        <f>G632*IF(D632="INR",1,INDEX('rates'!$B$2:$B$522,MATCH(B632,'rates'!$A$2:$A$522,1)))</f>
        <v>1044387.04</v>
      </c>
      <c r="N632">
        <f t="shared" si="9"/>
        <v>30</v>
      </c>
    </row>
    <row r="633" spans="1:14" x14ac:dyDescent="0.3">
      <c r="A633" t="s">
        <v>3860</v>
      </c>
      <c r="B633" s="1">
        <v>45330</v>
      </c>
      <c r="C633" t="s">
        <v>558</v>
      </c>
      <c r="D633" t="s">
        <v>36</v>
      </c>
      <c r="E633">
        <v>678</v>
      </c>
      <c r="F633" t="s">
        <v>3262</v>
      </c>
      <c r="G633">
        <v>54545.1</v>
      </c>
      <c r="H633" t="s">
        <v>573</v>
      </c>
      <c r="I633">
        <v>81.680000000000007</v>
      </c>
      <c r="J633" t="s">
        <v>3263</v>
      </c>
      <c r="K633">
        <v>80.45</v>
      </c>
      <c r="L633" s="1">
        <v>45390</v>
      </c>
      <c r="M633">
        <f>G633*IF(D633="INR",1,INDEX('rates'!$B$2:$B$522,MATCH(B633,'rates'!$A$2:$A$522,1)))</f>
        <v>4525606.9469999997</v>
      </c>
      <c r="N633">
        <f t="shared" si="9"/>
        <v>60</v>
      </c>
    </row>
    <row r="634" spans="1:14" x14ac:dyDescent="0.3">
      <c r="A634" t="s">
        <v>3895</v>
      </c>
      <c r="B634" s="1">
        <v>45345</v>
      </c>
      <c r="C634" t="s">
        <v>566</v>
      </c>
      <c r="D634" t="s">
        <v>13</v>
      </c>
      <c r="E634">
        <v>140844</v>
      </c>
      <c r="F634" t="s">
        <v>3270</v>
      </c>
      <c r="G634">
        <v>13240744.439999999</v>
      </c>
      <c r="H634" t="s">
        <v>556</v>
      </c>
      <c r="J634" t="s">
        <v>3271</v>
      </c>
      <c r="K634">
        <v>94.01</v>
      </c>
      <c r="L634" s="1">
        <v>45390</v>
      </c>
      <c r="M634">
        <f>G634*IF(D634="INR",1,INDEX('rates'!$B$2:$B$522,MATCH(B634,'rates'!$A$2:$A$522,1)))</f>
        <v>13240744.439999999</v>
      </c>
      <c r="N634">
        <f t="shared" si="9"/>
        <v>45</v>
      </c>
    </row>
    <row r="635" spans="1:14" x14ac:dyDescent="0.3">
      <c r="A635" t="s">
        <v>3896</v>
      </c>
      <c r="B635" s="1">
        <v>45345</v>
      </c>
      <c r="C635" t="s">
        <v>554</v>
      </c>
      <c r="D635" t="s">
        <v>36</v>
      </c>
      <c r="E635">
        <v>518</v>
      </c>
      <c r="F635" t="s">
        <v>3262</v>
      </c>
      <c r="G635">
        <v>42962.92</v>
      </c>
      <c r="H635" t="s">
        <v>573</v>
      </c>
      <c r="I635">
        <v>80.069999999999993</v>
      </c>
      <c r="J635" t="s">
        <v>3263</v>
      </c>
      <c r="K635">
        <v>82.94</v>
      </c>
      <c r="L635" s="1">
        <v>45390</v>
      </c>
      <c r="M635">
        <f>G635*IF(D635="INR",1,INDEX('rates'!$B$2:$B$522,MATCH(B635,'rates'!$A$2:$A$522,1)))</f>
        <v>3559907.5511999996</v>
      </c>
      <c r="N635">
        <f t="shared" si="9"/>
        <v>45</v>
      </c>
    </row>
    <row r="636" spans="1:14" x14ac:dyDescent="0.3">
      <c r="A636" t="s">
        <v>3897</v>
      </c>
      <c r="B636" s="1">
        <v>45345</v>
      </c>
      <c r="C636" t="s">
        <v>558</v>
      </c>
      <c r="D636" t="s">
        <v>36</v>
      </c>
      <c r="E636">
        <v>1150</v>
      </c>
      <c r="F636" t="s">
        <v>3262</v>
      </c>
      <c r="G636">
        <v>95760.5</v>
      </c>
      <c r="H636" t="s">
        <v>556</v>
      </c>
      <c r="J636" t="s">
        <v>3263</v>
      </c>
      <c r="K636">
        <v>83.27</v>
      </c>
      <c r="L636" s="1">
        <v>45390</v>
      </c>
      <c r="M636">
        <f>G636*IF(D636="INR",1,INDEX('rates'!$B$2:$B$522,MATCH(B636,'rates'!$A$2:$A$522,1)))</f>
        <v>7934715.0300000003</v>
      </c>
      <c r="N636">
        <f t="shared" si="9"/>
        <v>45</v>
      </c>
    </row>
    <row r="637" spans="1:14" x14ac:dyDescent="0.3">
      <c r="A637" t="s">
        <v>3865</v>
      </c>
      <c r="B637" s="1">
        <v>45331</v>
      </c>
      <c r="C637" t="s">
        <v>558</v>
      </c>
      <c r="D637" t="s">
        <v>36</v>
      </c>
      <c r="E637">
        <v>660</v>
      </c>
      <c r="F637" t="s">
        <v>3262</v>
      </c>
      <c r="G637">
        <v>54245.4</v>
      </c>
      <c r="H637" t="s">
        <v>556</v>
      </c>
      <c r="J637" t="s">
        <v>3263</v>
      </c>
      <c r="K637">
        <v>82.19</v>
      </c>
      <c r="L637" s="1">
        <v>45391</v>
      </c>
      <c r="M637">
        <f>G637*IF(D637="INR",1,INDEX('rates'!$B$2:$B$522,MATCH(B637,'rates'!$A$2:$A$522,1)))</f>
        <v>4502368.2</v>
      </c>
      <c r="N637">
        <f t="shared" si="9"/>
        <v>60</v>
      </c>
    </row>
    <row r="638" spans="1:14" x14ac:dyDescent="0.3">
      <c r="A638" t="s">
        <v>3929</v>
      </c>
      <c r="B638" s="1">
        <v>45362</v>
      </c>
      <c r="C638" t="s">
        <v>554</v>
      </c>
      <c r="D638" t="s">
        <v>36</v>
      </c>
      <c r="E638">
        <v>805</v>
      </c>
      <c r="F638" t="s">
        <v>3262</v>
      </c>
      <c r="G638">
        <v>67298</v>
      </c>
      <c r="H638" t="s">
        <v>573</v>
      </c>
      <c r="I638">
        <v>73.05</v>
      </c>
      <c r="J638" t="s">
        <v>3263</v>
      </c>
      <c r="K638">
        <v>83.6</v>
      </c>
      <c r="L638" s="1">
        <v>45392</v>
      </c>
      <c r="M638">
        <f>G638*IF(D638="INR",1,INDEX('rates'!$B$2:$B$522,MATCH(B638,'rates'!$A$2:$A$522,1)))</f>
        <v>5566890.5599999996</v>
      </c>
      <c r="N638">
        <f t="shared" si="9"/>
        <v>30</v>
      </c>
    </row>
    <row r="639" spans="1:14" x14ac:dyDescent="0.3">
      <c r="A639" t="s">
        <v>3931</v>
      </c>
      <c r="B639" s="1">
        <v>45363</v>
      </c>
      <c r="C639" t="s">
        <v>575</v>
      </c>
      <c r="D639" t="s">
        <v>36</v>
      </c>
      <c r="E639">
        <v>719</v>
      </c>
      <c r="F639" t="s">
        <v>3262</v>
      </c>
      <c r="G639">
        <v>62064.08</v>
      </c>
      <c r="H639" t="s">
        <v>573</v>
      </c>
      <c r="I639">
        <v>73.930000000000007</v>
      </c>
      <c r="J639" t="s">
        <v>3263</v>
      </c>
      <c r="K639">
        <v>86.32</v>
      </c>
      <c r="L639" s="1">
        <v>45393</v>
      </c>
      <c r="M639">
        <f>G639*IF(D639="INR",1,INDEX('rates'!$B$2:$B$522,MATCH(B639,'rates'!$A$2:$A$522,1)))</f>
        <v>5137043.9015999995</v>
      </c>
      <c r="N639">
        <f t="shared" si="9"/>
        <v>30</v>
      </c>
    </row>
    <row r="640" spans="1:14" x14ac:dyDescent="0.3">
      <c r="A640" t="s">
        <v>3932</v>
      </c>
      <c r="B640" s="1">
        <v>45363</v>
      </c>
      <c r="C640" t="s">
        <v>554</v>
      </c>
      <c r="D640" t="s">
        <v>36</v>
      </c>
      <c r="E640">
        <v>914</v>
      </c>
      <c r="F640" t="s">
        <v>3262</v>
      </c>
      <c r="G640">
        <v>76145.34</v>
      </c>
      <c r="H640" t="s">
        <v>556</v>
      </c>
      <c r="J640" t="s">
        <v>3263</v>
      </c>
      <c r="K640">
        <v>83.31</v>
      </c>
      <c r="L640" s="1">
        <v>45393</v>
      </c>
      <c r="M640">
        <f>G640*IF(D640="INR",1,INDEX('rates'!$B$2:$B$522,MATCH(B640,'rates'!$A$2:$A$522,1)))</f>
        <v>6302549.7917999998</v>
      </c>
      <c r="N640">
        <f t="shared" si="9"/>
        <v>30</v>
      </c>
    </row>
    <row r="641" spans="1:14" x14ac:dyDescent="0.3">
      <c r="A641" t="s">
        <v>3867</v>
      </c>
      <c r="B641" s="1">
        <v>45334</v>
      </c>
      <c r="C641" t="s">
        <v>554</v>
      </c>
      <c r="D641" t="s">
        <v>13</v>
      </c>
      <c r="E641">
        <v>89517</v>
      </c>
      <c r="F641" t="s">
        <v>3270</v>
      </c>
      <c r="G641">
        <v>6468498.4199999999</v>
      </c>
      <c r="H641" t="s">
        <v>556</v>
      </c>
      <c r="J641" t="s">
        <v>3271</v>
      </c>
      <c r="K641">
        <v>72.260000000000005</v>
      </c>
      <c r="L641" s="1">
        <v>45394</v>
      </c>
      <c r="M641">
        <f>G641*IF(D641="INR",1,INDEX('rates'!$B$2:$B$522,MATCH(B641,'rates'!$A$2:$A$522,1)))</f>
        <v>6468498.4199999999</v>
      </c>
      <c r="N641">
        <f t="shared" si="9"/>
        <v>60</v>
      </c>
    </row>
    <row r="642" spans="1:14" x14ac:dyDescent="0.3">
      <c r="A642" t="s">
        <v>3868</v>
      </c>
      <c r="B642" s="1">
        <v>45334</v>
      </c>
      <c r="C642" t="s">
        <v>566</v>
      </c>
      <c r="D642" t="s">
        <v>36</v>
      </c>
      <c r="E642">
        <v>948</v>
      </c>
      <c r="F642" t="s">
        <v>3262</v>
      </c>
      <c r="G642">
        <v>79110.600000000006</v>
      </c>
      <c r="H642" t="s">
        <v>556</v>
      </c>
      <c r="J642" t="s">
        <v>3263</v>
      </c>
      <c r="K642">
        <v>83.45</v>
      </c>
      <c r="L642" s="1">
        <v>45394</v>
      </c>
      <c r="M642">
        <f>G642*IF(D642="INR",1,INDEX('rates'!$B$2:$B$522,MATCH(B642,'rates'!$A$2:$A$522,1)))</f>
        <v>6562224.2700000005</v>
      </c>
      <c r="N642">
        <f t="shared" ref="N642:N705" si="10">IF(L642="","",L642-B642)</f>
        <v>60</v>
      </c>
    </row>
    <row r="643" spans="1:14" x14ac:dyDescent="0.3">
      <c r="A643" t="s">
        <v>3869</v>
      </c>
      <c r="B643" s="1">
        <v>45334</v>
      </c>
      <c r="C643" t="s">
        <v>554</v>
      </c>
      <c r="D643" t="s">
        <v>36</v>
      </c>
      <c r="E643">
        <v>626</v>
      </c>
      <c r="F643" t="s">
        <v>3262</v>
      </c>
      <c r="G643">
        <v>51663.78</v>
      </c>
      <c r="H643" t="s">
        <v>573</v>
      </c>
      <c r="I643">
        <v>84.42</v>
      </c>
      <c r="J643" t="s">
        <v>3263</v>
      </c>
      <c r="K643">
        <v>82.53</v>
      </c>
      <c r="L643" s="1">
        <v>45394</v>
      </c>
      <c r="M643">
        <f>G643*IF(D643="INR",1,INDEX('rates'!$B$2:$B$522,MATCH(B643,'rates'!$A$2:$A$522,1)))</f>
        <v>4285510.551</v>
      </c>
      <c r="N643">
        <f t="shared" si="10"/>
        <v>60</v>
      </c>
    </row>
    <row r="644" spans="1:14" x14ac:dyDescent="0.3">
      <c r="A644" t="s">
        <v>3900</v>
      </c>
      <c r="B644" s="1">
        <v>45349</v>
      </c>
      <c r="C644" t="s">
        <v>560</v>
      </c>
      <c r="D644" t="s">
        <v>36</v>
      </c>
      <c r="E644">
        <v>411</v>
      </c>
      <c r="F644" t="s">
        <v>3262</v>
      </c>
      <c r="G644">
        <v>35193.93</v>
      </c>
      <c r="H644" t="s">
        <v>573</v>
      </c>
      <c r="I644">
        <v>82.99</v>
      </c>
      <c r="J644" t="s">
        <v>3263</v>
      </c>
      <c r="K644">
        <v>85.63</v>
      </c>
      <c r="L644" s="1">
        <v>45394</v>
      </c>
      <c r="M644">
        <f>G644*IF(D644="INR",1,INDEX('rates'!$B$2:$B$522,MATCH(B644,'rates'!$A$2:$A$522,1)))</f>
        <v>2916872.9183999998</v>
      </c>
      <c r="N644">
        <f t="shared" si="10"/>
        <v>45</v>
      </c>
    </row>
    <row r="645" spans="1:14" x14ac:dyDescent="0.3">
      <c r="A645" t="s">
        <v>3871</v>
      </c>
      <c r="B645" s="1">
        <v>45335</v>
      </c>
      <c r="C645" t="s">
        <v>560</v>
      </c>
      <c r="D645" t="s">
        <v>36</v>
      </c>
      <c r="E645">
        <v>1045</v>
      </c>
      <c r="F645" t="s">
        <v>3262</v>
      </c>
      <c r="G645">
        <v>86181.15</v>
      </c>
      <c r="H645" t="s">
        <v>556</v>
      </c>
      <c r="J645" t="s">
        <v>3263</v>
      </c>
      <c r="K645">
        <v>82.47</v>
      </c>
      <c r="L645" s="1">
        <v>45395</v>
      </c>
      <c r="M645">
        <f>G645*IF(D645="INR",1,INDEX('rates'!$B$2:$B$522,MATCH(B645,'rates'!$A$2:$A$522,1)))</f>
        <v>7158206.3190000001</v>
      </c>
      <c r="N645">
        <f t="shared" si="10"/>
        <v>60</v>
      </c>
    </row>
    <row r="646" spans="1:14" x14ac:dyDescent="0.3">
      <c r="A646" t="s">
        <v>3903</v>
      </c>
      <c r="B646" s="1">
        <v>45350</v>
      </c>
      <c r="C646" t="s">
        <v>560</v>
      </c>
      <c r="D646" t="s">
        <v>36</v>
      </c>
      <c r="E646">
        <v>512</v>
      </c>
      <c r="F646" t="s">
        <v>3262</v>
      </c>
      <c r="G646">
        <v>43397</v>
      </c>
      <c r="H646" t="s">
        <v>556</v>
      </c>
      <c r="J646" t="s">
        <v>3263</v>
      </c>
      <c r="K646">
        <v>84.76</v>
      </c>
      <c r="L646" s="1">
        <v>45395</v>
      </c>
      <c r="M646">
        <f>G646*IF(D646="INR",1,INDEX('rates'!$B$2:$B$522,MATCH(B646,'rates'!$A$2:$A$522,1)))</f>
        <v>3596743.36</v>
      </c>
      <c r="N646">
        <f t="shared" si="10"/>
        <v>45</v>
      </c>
    </row>
    <row r="647" spans="1:14" x14ac:dyDescent="0.3">
      <c r="A647" t="s">
        <v>3934</v>
      </c>
      <c r="B647" s="1">
        <v>45365</v>
      </c>
      <c r="C647" t="s">
        <v>566</v>
      </c>
      <c r="D647" t="s">
        <v>36</v>
      </c>
      <c r="E647">
        <v>269</v>
      </c>
      <c r="F647" t="s">
        <v>3262</v>
      </c>
      <c r="G647">
        <v>23265.81</v>
      </c>
      <c r="H647" t="s">
        <v>573</v>
      </c>
      <c r="I647">
        <v>76.02</v>
      </c>
      <c r="J647" t="s">
        <v>3263</v>
      </c>
      <c r="K647">
        <v>86.49</v>
      </c>
      <c r="L647" s="1">
        <v>45395</v>
      </c>
      <c r="M647">
        <f>G647*IF(D647="INR",1,INDEX('rates'!$B$2:$B$522,MATCH(B647,'rates'!$A$2:$A$522,1)))</f>
        <v>1926874.3842</v>
      </c>
      <c r="N647">
        <f t="shared" si="10"/>
        <v>30</v>
      </c>
    </row>
    <row r="648" spans="1:14" x14ac:dyDescent="0.3">
      <c r="A648" t="s">
        <v>3936</v>
      </c>
      <c r="B648" s="1">
        <v>45365</v>
      </c>
      <c r="C648" t="s">
        <v>575</v>
      </c>
      <c r="D648" t="s">
        <v>36</v>
      </c>
      <c r="E648">
        <v>638</v>
      </c>
      <c r="F648" t="s">
        <v>3262</v>
      </c>
      <c r="G648">
        <v>54459.68</v>
      </c>
      <c r="H648" t="s">
        <v>556</v>
      </c>
      <c r="J648" t="s">
        <v>3263</v>
      </c>
      <c r="K648">
        <v>85.36</v>
      </c>
      <c r="L648" s="1">
        <v>45395</v>
      </c>
      <c r="M648">
        <f>G648*IF(D648="INR",1,INDEX('rates'!$B$2:$B$522,MATCH(B648,'rates'!$A$2:$A$522,1)))</f>
        <v>4510350.6975999996</v>
      </c>
      <c r="N648">
        <f t="shared" si="10"/>
        <v>30</v>
      </c>
    </row>
    <row r="649" spans="1:14" x14ac:dyDescent="0.3">
      <c r="A649" t="s">
        <v>3873</v>
      </c>
      <c r="B649" s="1">
        <v>45336</v>
      </c>
      <c r="C649" t="s">
        <v>566</v>
      </c>
      <c r="D649" t="s">
        <v>36</v>
      </c>
      <c r="E649">
        <v>536</v>
      </c>
      <c r="F649" t="s">
        <v>3262</v>
      </c>
      <c r="G649">
        <v>42553.04</v>
      </c>
      <c r="H649" t="s">
        <v>573</v>
      </c>
      <c r="I649">
        <v>78.650000000000006</v>
      </c>
      <c r="J649" t="s">
        <v>3263</v>
      </c>
      <c r="K649">
        <v>79.39</v>
      </c>
      <c r="L649" s="1">
        <v>45396</v>
      </c>
      <c r="M649">
        <f>G649*IF(D649="INR",1,INDEX('rates'!$B$2:$B$522,MATCH(B649,'rates'!$A$2:$A$522,1)))</f>
        <v>3532753.3807999999</v>
      </c>
      <c r="N649">
        <f t="shared" si="10"/>
        <v>60</v>
      </c>
    </row>
    <row r="650" spans="1:14" x14ac:dyDescent="0.3">
      <c r="A650" t="s">
        <v>3938</v>
      </c>
      <c r="B650" s="1">
        <v>45366</v>
      </c>
      <c r="C650" t="s">
        <v>575</v>
      </c>
      <c r="D650" t="s">
        <v>36</v>
      </c>
      <c r="E650">
        <v>281</v>
      </c>
      <c r="F650" t="s">
        <v>3262</v>
      </c>
      <c r="G650">
        <v>23722.02</v>
      </c>
      <c r="H650" t="s">
        <v>573</v>
      </c>
      <c r="I650">
        <v>76.02</v>
      </c>
      <c r="J650" t="s">
        <v>3263</v>
      </c>
      <c r="K650">
        <v>84.42</v>
      </c>
      <c r="L650" s="1">
        <v>45396</v>
      </c>
      <c r="M650">
        <f>G650*IF(D650="INR",1,INDEX('rates'!$B$2:$B$522,MATCH(B650,'rates'!$A$2:$A$522,1)))</f>
        <v>1965606.5771999999</v>
      </c>
      <c r="N650">
        <f t="shared" si="10"/>
        <v>30</v>
      </c>
    </row>
    <row r="651" spans="1:14" x14ac:dyDescent="0.3">
      <c r="A651" t="s">
        <v>3910</v>
      </c>
      <c r="B651" s="1">
        <v>45352</v>
      </c>
      <c r="C651" t="s">
        <v>566</v>
      </c>
      <c r="D651" t="s">
        <v>36</v>
      </c>
      <c r="E651">
        <v>274</v>
      </c>
      <c r="F651" t="s">
        <v>3262</v>
      </c>
      <c r="G651">
        <v>22928.32</v>
      </c>
      <c r="H651" t="s">
        <v>556</v>
      </c>
      <c r="J651" t="s">
        <v>3263</v>
      </c>
      <c r="K651">
        <v>83.68</v>
      </c>
      <c r="L651" s="1">
        <v>45397</v>
      </c>
      <c r="M651">
        <f>G651*IF(D651="INR",1,INDEX('rates'!$B$2:$B$522,MATCH(B651,'rates'!$A$2:$A$522,1)))</f>
        <v>1900987.0111999998</v>
      </c>
      <c r="N651">
        <f t="shared" si="10"/>
        <v>45</v>
      </c>
    </row>
    <row r="652" spans="1:14" x14ac:dyDescent="0.3">
      <c r="A652" t="s">
        <v>3914</v>
      </c>
      <c r="B652" s="1">
        <v>45352</v>
      </c>
      <c r="C652" t="s">
        <v>554</v>
      </c>
      <c r="D652" t="s">
        <v>36</v>
      </c>
      <c r="E652">
        <v>1028</v>
      </c>
      <c r="F652" t="s">
        <v>3262</v>
      </c>
      <c r="G652">
        <v>85406.24</v>
      </c>
      <c r="H652" t="s">
        <v>556</v>
      </c>
      <c r="J652" t="s">
        <v>3263</v>
      </c>
      <c r="K652">
        <v>83.08</v>
      </c>
      <c r="L652" s="1">
        <v>45397</v>
      </c>
      <c r="M652">
        <f>G652*IF(D652="INR",1,INDEX('rates'!$B$2:$B$522,MATCH(B652,'rates'!$A$2:$A$522,1)))</f>
        <v>7081031.3584000003</v>
      </c>
      <c r="N652">
        <f t="shared" si="10"/>
        <v>45</v>
      </c>
    </row>
    <row r="653" spans="1:14" x14ac:dyDescent="0.3">
      <c r="A653" t="s">
        <v>3876</v>
      </c>
      <c r="B653" s="1">
        <v>45338</v>
      </c>
      <c r="C653" t="s">
        <v>554</v>
      </c>
      <c r="D653" t="s">
        <v>36</v>
      </c>
      <c r="E653">
        <v>1044</v>
      </c>
      <c r="F653" t="s">
        <v>3262</v>
      </c>
      <c r="G653">
        <v>86923.44</v>
      </c>
      <c r="H653" t="s">
        <v>556</v>
      </c>
      <c r="J653" t="s">
        <v>3263</v>
      </c>
      <c r="K653">
        <v>83.26</v>
      </c>
      <c r="L653" s="1">
        <v>45398</v>
      </c>
      <c r="M653">
        <f>G653*IF(D653="INR",1,INDEX('rates'!$B$2:$B$522,MATCH(B653,'rates'!$A$2:$A$522,1)))</f>
        <v>7216383.9887999995</v>
      </c>
      <c r="N653">
        <f t="shared" si="10"/>
        <v>60</v>
      </c>
    </row>
    <row r="654" spans="1:14" x14ac:dyDescent="0.3">
      <c r="A654" t="s">
        <v>3878</v>
      </c>
      <c r="B654" s="1">
        <v>45338</v>
      </c>
      <c r="C654" t="s">
        <v>566</v>
      </c>
      <c r="D654" t="s">
        <v>36</v>
      </c>
      <c r="E654">
        <v>1046</v>
      </c>
      <c r="F654" t="s">
        <v>3262</v>
      </c>
      <c r="G654">
        <v>90008.3</v>
      </c>
      <c r="H654" t="s">
        <v>556</v>
      </c>
      <c r="J654" t="s">
        <v>3263</v>
      </c>
      <c r="K654">
        <v>86.05</v>
      </c>
      <c r="L654" s="1">
        <v>45398</v>
      </c>
      <c r="M654">
        <f>G654*IF(D654="INR",1,INDEX('rates'!$B$2:$B$522,MATCH(B654,'rates'!$A$2:$A$522,1)))</f>
        <v>7472489.0659999996</v>
      </c>
      <c r="N654">
        <f t="shared" si="10"/>
        <v>60</v>
      </c>
    </row>
    <row r="655" spans="1:14" x14ac:dyDescent="0.3">
      <c r="A655" t="s">
        <v>3879</v>
      </c>
      <c r="B655" s="1">
        <v>45338</v>
      </c>
      <c r="C655" t="s">
        <v>575</v>
      </c>
      <c r="D655" t="s">
        <v>36</v>
      </c>
      <c r="E655">
        <v>1798</v>
      </c>
      <c r="F655" t="s">
        <v>3262</v>
      </c>
      <c r="G655">
        <v>149126.12</v>
      </c>
      <c r="H655" t="s">
        <v>573</v>
      </c>
      <c r="I655">
        <v>81.819999999999993</v>
      </c>
      <c r="J655" t="s">
        <v>3263</v>
      </c>
      <c r="K655">
        <v>82.94</v>
      </c>
      <c r="L655" s="1">
        <v>45398</v>
      </c>
      <c r="M655">
        <f>G655*IF(D655="INR",1,INDEX('rates'!$B$2:$B$522,MATCH(B655,'rates'!$A$2:$A$522,1)))</f>
        <v>12380450.482399998</v>
      </c>
      <c r="N655">
        <f t="shared" si="10"/>
        <v>60</v>
      </c>
    </row>
    <row r="656" spans="1:14" x14ac:dyDescent="0.3">
      <c r="A656" t="s">
        <v>3941</v>
      </c>
      <c r="B656" s="1">
        <v>45369</v>
      </c>
      <c r="C656" t="s">
        <v>560</v>
      </c>
      <c r="D656" t="s">
        <v>36</v>
      </c>
      <c r="E656">
        <v>301</v>
      </c>
      <c r="F656" t="s">
        <v>3262</v>
      </c>
      <c r="G656">
        <v>26090.68</v>
      </c>
      <c r="H656" t="s">
        <v>556</v>
      </c>
      <c r="J656" t="s">
        <v>3263</v>
      </c>
      <c r="K656">
        <v>86.68</v>
      </c>
      <c r="L656" s="1">
        <v>45399</v>
      </c>
      <c r="M656">
        <f>G656*IF(D656="INR",1,INDEX('rates'!$B$2:$B$522,MATCH(B656,'rates'!$A$2:$A$522,1)))</f>
        <v>2162656.4652</v>
      </c>
      <c r="N656">
        <f t="shared" si="10"/>
        <v>30</v>
      </c>
    </row>
    <row r="657" spans="1:14" x14ac:dyDescent="0.3">
      <c r="A657" t="s">
        <v>3915</v>
      </c>
      <c r="B657" s="1">
        <v>45355</v>
      </c>
      <c r="C657" t="s">
        <v>575</v>
      </c>
      <c r="D657" t="s">
        <v>36</v>
      </c>
      <c r="E657">
        <v>2362</v>
      </c>
      <c r="F657" t="s">
        <v>3262</v>
      </c>
      <c r="G657">
        <v>205871.92</v>
      </c>
      <c r="H657" t="s">
        <v>573</v>
      </c>
      <c r="I657">
        <v>76.989999999999995</v>
      </c>
      <c r="J657" t="s">
        <v>3263</v>
      </c>
      <c r="K657">
        <v>87.16</v>
      </c>
      <c r="L657" s="1">
        <v>45400</v>
      </c>
      <c r="M657">
        <f>G657*IF(D657="INR",1,INDEX('rates'!$B$2:$B$522,MATCH(B657,'rates'!$A$2:$A$522,1)))</f>
        <v>17062664.729600001</v>
      </c>
      <c r="N657">
        <f t="shared" si="10"/>
        <v>45</v>
      </c>
    </row>
    <row r="658" spans="1:14" x14ac:dyDescent="0.3">
      <c r="A658" t="s">
        <v>3916</v>
      </c>
      <c r="B658" s="1">
        <v>45355</v>
      </c>
      <c r="C658" t="s">
        <v>560</v>
      </c>
      <c r="D658" t="s">
        <v>36</v>
      </c>
      <c r="E658">
        <v>414</v>
      </c>
      <c r="F658" t="s">
        <v>3262</v>
      </c>
      <c r="G658">
        <v>35086.5</v>
      </c>
      <c r="H658" t="s">
        <v>556</v>
      </c>
      <c r="J658" t="s">
        <v>3263</v>
      </c>
      <c r="K658">
        <v>84.75</v>
      </c>
      <c r="L658" s="1">
        <v>45400</v>
      </c>
      <c r="M658">
        <f>G658*IF(D658="INR",1,INDEX('rates'!$B$2:$B$522,MATCH(B658,'rates'!$A$2:$A$522,1)))</f>
        <v>2907969.1199999996</v>
      </c>
      <c r="N658">
        <f t="shared" si="10"/>
        <v>45</v>
      </c>
    </row>
    <row r="659" spans="1:14" x14ac:dyDescent="0.3">
      <c r="A659" t="s">
        <v>3944</v>
      </c>
      <c r="B659" s="1">
        <v>45370</v>
      </c>
      <c r="C659" t="s">
        <v>554</v>
      </c>
      <c r="D659" t="s">
        <v>36</v>
      </c>
      <c r="E659">
        <v>809</v>
      </c>
      <c r="F659" t="s">
        <v>3262</v>
      </c>
      <c r="G659">
        <v>74759.69</v>
      </c>
      <c r="H659" t="s">
        <v>573</v>
      </c>
      <c r="I659">
        <v>79.040000000000006</v>
      </c>
      <c r="J659" t="s">
        <v>3263</v>
      </c>
      <c r="K659">
        <v>92.41</v>
      </c>
      <c r="L659" s="1">
        <v>45400</v>
      </c>
      <c r="M659">
        <f>G659*IF(D659="INR",1,INDEX('rates'!$B$2:$B$522,MATCH(B659,'rates'!$A$2:$A$522,1)))</f>
        <v>6205801.8669000007</v>
      </c>
      <c r="N659">
        <f t="shared" si="10"/>
        <v>30</v>
      </c>
    </row>
    <row r="660" spans="1:14" x14ac:dyDescent="0.3">
      <c r="A660" t="s">
        <v>3945</v>
      </c>
      <c r="B660" s="1">
        <v>45370</v>
      </c>
      <c r="C660" t="s">
        <v>558</v>
      </c>
      <c r="D660" t="s">
        <v>36</v>
      </c>
      <c r="E660">
        <v>524</v>
      </c>
      <c r="F660" t="s">
        <v>3262</v>
      </c>
      <c r="G660">
        <v>46117.24</v>
      </c>
      <c r="H660" t="s">
        <v>556</v>
      </c>
      <c r="J660" t="s">
        <v>3263</v>
      </c>
      <c r="K660">
        <v>88.01</v>
      </c>
      <c r="L660" s="1">
        <v>45400</v>
      </c>
      <c r="M660">
        <f>G660*IF(D660="INR",1,INDEX('rates'!$B$2:$B$522,MATCH(B660,'rates'!$A$2:$A$522,1)))</f>
        <v>3828192.0924</v>
      </c>
      <c r="N660">
        <f t="shared" si="10"/>
        <v>30</v>
      </c>
    </row>
    <row r="661" spans="1:14" x14ac:dyDescent="0.3">
      <c r="A661" t="s">
        <v>3949</v>
      </c>
      <c r="B661" s="1">
        <v>45372</v>
      </c>
      <c r="C661" t="s">
        <v>566</v>
      </c>
      <c r="D661" t="s">
        <v>36</v>
      </c>
      <c r="E661">
        <v>4034</v>
      </c>
      <c r="F661" t="s">
        <v>3262</v>
      </c>
      <c r="G661">
        <v>349304.06</v>
      </c>
      <c r="H661" t="s">
        <v>556</v>
      </c>
      <c r="J661" t="s">
        <v>3263</v>
      </c>
      <c r="K661">
        <v>86.59</v>
      </c>
      <c r="L661" s="1">
        <v>45402</v>
      </c>
      <c r="M661">
        <f>G661*IF(D661="INR",1,INDEX('rates'!$B$2:$B$522,MATCH(B661,'rates'!$A$2:$A$522,1)))</f>
        <v>29044632.589000002</v>
      </c>
      <c r="N661">
        <f t="shared" si="10"/>
        <v>30</v>
      </c>
    </row>
    <row r="662" spans="1:14" x14ac:dyDescent="0.3">
      <c r="A662" t="s">
        <v>3889</v>
      </c>
      <c r="B662" s="1">
        <v>45343</v>
      </c>
      <c r="C662" t="s">
        <v>575</v>
      </c>
      <c r="D662" t="s">
        <v>36</v>
      </c>
      <c r="E662">
        <v>1876</v>
      </c>
      <c r="F662" t="s">
        <v>3262</v>
      </c>
      <c r="G662">
        <v>157321.35999999999</v>
      </c>
      <c r="H662" t="s">
        <v>556</v>
      </c>
      <c r="J662" t="s">
        <v>3263</v>
      </c>
      <c r="K662">
        <v>83.86</v>
      </c>
      <c r="L662" s="1">
        <v>45403</v>
      </c>
      <c r="M662">
        <f>G662*IF(D662="INR",1,INDEX('rates'!$B$2:$B$522,MATCH(B662,'rates'!$A$2:$A$522,1)))</f>
        <v>13051380.025599997</v>
      </c>
      <c r="N662">
        <f t="shared" si="10"/>
        <v>60</v>
      </c>
    </row>
    <row r="663" spans="1:14" x14ac:dyDescent="0.3">
      <c r="A663" t="s">
        <v>3922</v>
      </c>
      <c r="B663" s="1">
        <v>45358</v>
      </c>
      <c r="C663" t="s">
        <v>558</v>
      </c>
      <c r="D663" t="s">
        <v>36</v>
      </c>
      <c r="E663">
        <v>1079</v>
      </c>
      <c r="F663" t="s">
        <v>3262</v>
      </c>
      <c r="G663">
        <v>91132.34</v>
      </c>
      <c r="H663" t="s">
        <v>556</v>
      </c>
      <c r="J663" t="s">
        <v>3263</v>
      </c>
      <c r="K663">
        <v>84.46</v>
      </c>
      <c r="L663" s="1">
        <v>45403</v>
      </c>
      <c r="M663">
        <f>G663*IF(D663="INR",1,INDEX('rates'!$B$2:$B$522,MATCH(B663,'rates'!$A$2:$A$522,1)))</f>
        <v>7543935.1052000001</v>
      </c>
      <c r="N663">
        <f t="shared" si="10"/>
        <v>45</v>
      </c>
    </row>
    <row r="664" spans="1:14" x14ac:dyDescent="0.3">
      <c r="A664" t="s">
        <v>3952</v>
      </c>
      <c r="B664" s="1">
        <v>45373</v>
      </c>
      <c r="C664" t="s">
        <v>554</v>
      </c>
      <c r="D664" t="s">
        <v>36</v>
      </c>
      <c r="E664">
        <v>468</v>
      </c>
      <c r="F664" t="s">
        <v>3262</v>
      </c>
      <c r="G664">
        <v>39419.64</v>
      </c>
      <c r="H664" t="s">
        <v>556</v>
      </c>
      <c r="J664" t="s">
        <v>3263</v>
      </c>
      <c r="K664">
        <v>84.23</v>
      </c>
      <c r="L664" s="1">
        <v>45403</v>
      </c>
      <c r="M664">
        <f>G664*IF(D664="INR",1,INDEX('rates'!$B$2:$B$522,MATCH(B664,'rates'!$A$2:$A$522,1)))</f>
        <v>3292722.5292000002</v>
      </c>
      <c r="N664">
        <f t="shared" si="10"/>
        <v>30</v>
      </c>
    </row>
    <row r="665" spans="1:14" x14ac:dyDescent="0.3">
      <c r="A665" t="s">
        <v>3955</v>
      </c>
      <c r="B665" s="1">
        <v>45373</v>
      </c>
      <c r="C665" t="s">
        <v>554</v>
      </c>
      <c r="D665" t="s">
        <v>36</v>
      </c>
      <c r="E665">
        <v>908</v>
      </c>
      <c r="F665" t="s">
        <v>3262</v>
      </c>
      <c r="G665">
        <v>78088</v>
      </c>
      <c r="H665" t="s">
        <v>573</v>
      </c>
      <c r="I665">
        <v>78.42</v>
      </c>
      <c r="J665" t="s">
        <v>3263</v>
      </c>
      <c r="K665">
        <v>86</v>
      </c>
      <c r="L665" s="1">
        <v>45403</v>
      </c>
      <c r="M665">
        <f>G665*IF(D665="INR",1,INDEX('rates'!$B$2:$B$522,MATCH(B665,'rates'!$A$2:$A$522,1)))</f>
        <v>6522690.6399999997</v>
      </c>
      <c r="N665">
        <f t="shared" si="10"/>
        <v>30</v>
      </c>
    </row>
    <row r="666" spans="1:14" x14ac:dyDescent="0.3">
      <c r="A666" t="s">
        <v>3924</v>
      </c>
      <c r="B666" s="1">
        <v>45359</v>
      </c>
      <c r="C666" t="s">
        <v>566</v>
      </c>
      <c r="D666" t="s">
        <v>36</v>
      </c>
      <c r="E666">
        <v>1307</v>
      </c>
      <c r="F666" t="s">
        <v>3262</v>
      </c>
      <c r="G666">
        <v>110559.13</v>
      </c>
      <c r="H666" t="s">
        <v>573</v>
      </c>
      <c r="I666">
        <v>75.83</v>
      </c>
      <c r="J666" t="s">
        <v>3263</v>
      </c>
      <c r="K666">
        <v>84.59</v>
      </c>
      <c r="L666" s="1">
        <v>45404</v>
      </c>
      <c r="M666">
        <f>G666*IF(D666="INR",1,INDEX('rates'!$B$2:$B$522,MATCH(B666,'rates'!$A$2:$A$522,1)))</f>
        <v>9146556.8249000013</v>
      </c>
      <c r="N666">
        <f t="shared" si="10"/>
        <v>45</v>
      </c>
    </row>
    <row r="667" spans="1:14" x14ac:dyDescent="0.3">
      <c r="A667" t="s">
        <v>3891</v>
      </c>
      <c r="B667" s="1">
        <v>45345</v>
      </c>
      <c r="C667" t="s">
        <v>575</v>
      </c>
      <c r="D667" t="s">
        <v>36</v>
      </c>
      <c r="E667">
        <v>841</v>
      </c>
      <c r="F667" t="s">
        <v>3262</v>
      </c>
      <c r="G667">
        <v>67078.16</v>
      </c>
      <c r="H667" t="s">
        <v>573</v>
      </c>
      <c r="I667">
        <v>80.069999999999993</v>
      </c>
      <c r="J667" t="s">
        <v>3263</v>
      </c>
      <c r="K667">
        <v>79.760000000000005</v>
      </c>
      <c r="L667" s="1">
        <v>45405</v>
      </c>
      <c r="M667">
        <f>G667*IF(D667="INR",1,INDEX('rates'!$B$2:$B$522,MATCH(B667,'rates'!$A$2:$A$522,1)))</f>
        <v>5558096.3376000002</v>
      </c>
      <c r="N667">
        <f t="shared" si="10"/>
        <v>60</v>
      </c>
    </row>
    <row r="668" spans="1:14" x14ac:dyDescent="0.3">
      <c r="A668" t="s">
        <v>3960</v>
      </c>
      <c r="B668" s="1">
        <v>45376</v>
      </c>
      <c r="C668" t="s">
        <v>560</v>
      </c>
      <c r="D668" t="s">
        <v>13</v>
      </c>
      <c r="E668">
        <v>157274</v>
      </c>
      <c r="F668" t="s">
        <v>3270</v>
      </c>
      <c r="G668">
        <v>14013113.4</v>
      </c>
      <c r="H668" t="s">
        <v>556</v>
      </c>
      <c r="J668" t="s">
        <v>3271</v>
      </c>
      <c r="K668">
        <v>89.1</v>
      </c>
      <c r="L668" s="1">
        <v>45406</v>
      </c>
      <c r="M668">
        <f>G668*IF(D668="INR",1,INDEX('rates'!$B$2:$B$522,MATCH(B668,'rates'!$A$2:$A$522,1)))</f>
        <v>14013113.4</v>
      </c>
      <c r="N668">
        <f t="shared" si="10"/>
        <v>30</v>
      </c>
    </row>
    <row r="669" spans="1:14" x14ac:dyDescent="0.3">
      <c r="A669" t="s">
        <v>3927</v>
      </c>
      <c r="B669" s="1">
        <v>45362</v>
      </c>
      <c r="C669" t="s">
        <v>558</v>
      </c>
      <c r="D669" t="s">
        <v>36</v>
      </c>
      <c r="E669">
        <v>457</v>
      </c>
      <c r="F669" t="s">
        <v>3262</v>
      </c>
      <c r="G669">
        <v>38520.53</v>
      </c>
      <c r="H669" t="s">
        <v>556</v>
      </c>
      <c r="J669" t="s">
        <v>3263</v>
      </c>
      <c r="K669">
        <v>84.29</v>
      </c>
      <c r="L669" s="1">
        <v>45407</v>
      </c>
      <c r="M669">
        <f>G669*IF(D669="INR",1,INDEX('rates'!$B$2:$B$522,MATCH(B669,'rates'!$A$2:$A$522,1)))</f>
        <v>3186418.2415999998</v>
      </c>
      <c r="N669">
        <f t="shared" si="10"/>
        <v>45</v>
      </c>
    </row>
    <row r="670" spans="1:14" x14ac:dyDescent="0.3">
      <c r="A670" t="s">
        <v>3902</v>
      </c>
      <c r="B670" s="1">
        <v>45349</v>
      </c>
      <c r="C670" t="s">
        <v>558</v>
      </c>
      <c r="D670" t="s">
        <v>36</v>
      </c>
      <c r="E670">
        <v>543</v>
      </c>
      <c r="F670" t="s">
        <v>3262</v>
      </c>
      <c r="G670">
        <v>46171.29</v>
      </c>
      <c r="H670" t="s">
        <v>556</v>
      </c>
      <c r="J670" t="s">
        <v>3263</v>
      </c>
      <c r="K670">
        <v>85.03</v>
      </c>
      <c r="L670" s="1">
        <v>45409</v>
      </c>
      <c r="M670">
        <f>G670*IF(D670="INR",1,INDEX('rates'!$B$2:$B$522,MATCH(B670,'rates'!$A$2:$A$522,1)))</f>
        <v>3826676.5151999998</v>
      </c>
      <c r="N670">
        <f t="shared" si="10"/>
        <v>60</v>
      </c>
    </row>
    <row r="671" spans="1:14" x14ac:dyDescent="0.3">
      <c r="A671" t="s">
        <v>3904</v>
      </c>
      <c r="B671" s="1">
        <v>45350</v>
      </c>
      <c r="C671" t="s">
        <v>566</v>
      </c>
      <c r="D671" t="s">
        <v>36</v>
      </c>
      <c r="E671">
        <v>2500</v>
      </c>
      <c r="F671" t="s">
        <v>3262</v>
      </c>
      <c r="G671">
        <v>207075</v>
      </c>
      <c r="H671" t="s">
        <v>573</v>
      </c>
      <c r="I671">
        <v>80.959999999999994</v>
      </c>
      <c r="J671" t="s">
        <v>3263</v>
      </c>
      <c r="K671">
        <v>82.83</v>
      </c>
      <c r="L671" s="1">
        <v>45410</v>
      </c>
      <c r="M671">
        <f>G671*IF(D671="INR",1,INDEX('rates'!$B$2:$B$522,MATCH(B671,'rates'!$A$2:$A$522,1)))</f>
        <v>17162376</v>
      </c>
      <c r="N671">
        <f t="shared" si="10"/>
        <v>60</v>
      </c>
    </row>
    <row r="672" spans="1:14" x14ac:dyDescent="0.3">
      <c r="A672" t="s">
        <v>3933</v>
      </c>
      <c r="B672" s="1">
        <v>45365</v>
      </c>
      <c r="C672" t="s">
        <v>560</v>
      </c>
      <c r="D672" t="s">
        <v>36</v>
      </c>
      <c r="E672">
        <v>457</v>
      </c>
      <c r="F672" t="s">
        <v>3262</v>
      </c>
      <c r="G672">
        <v>40814.67</v>
      </c>
      <c r="H672" t="s">
        <v>556</v>
      </c>
      <c r="J672" t="s">
        <v>3263</v>
      </c>
      <c r="K672">
        <v>89.31</v>
      </c>
      <c r="L672" s="1">
        <v>45410</v>
      </c>
      <c r="M672">
        <f>G672*IF(D672="INR",1,INDEX('rates'!$B$2:$B$522,MATCH(B672,'rates'!$A$2:$A$522,1)))</f>
        <v>3380270.9693999994</v>
      </c>
      <c r="N672">
        <f t="shared" si="10"/>
        <v>45</v>
      </c>
    </row>
    <row r="673" spans="1:14" x14ac:dyDescent="0.3">
      <c r="A673" t="s">
        <v>3935</v>
      </c>
      <c r="B673" s="1">
        <v>45365</v>
      </c>
      <c r="C673" t="s">
        <v>558</v>
      </c>
      <c r="D673" t="s">
        <v>36</v>
      </c>
      <c r="E673">
        <v>1222</v>
      </c>
      <c r="F673" t="s">
        <v>3262</v>
      </c>
      <c r="G673">
        <v>106472.86</v>
      </c>
      <c r="H673" t="s">
        <v>556</v>
      </c>
      <c r="J673" t="s">
        <v>3263</v>
      </c>
      <c r="K673">
        <v>87.13</v>
      </c>
      <c r="L673" s="1">
        <v>45410</v>
      </c>
      <c r="M673">
        <f>G673*IF(D673="INR",1,INDEX('rates'!$B$2:$B$522,MATCH(B673,'rates'!$A$2:$A$522,1)))</f>
        <v>8818082.2651999984</v>
      </c>
      <c r="N673">
        <f t="shared" si="10"/>
        <v>45</v>
      </c>
    </row>
    <row r="674" spans="1:14" x14ac:dyDescent="0.3">
      <c r="A674" t="s">
        <v>3974</v>
      </c>
      <c r="B674" s="1">
        <v>45380</v>
      </c>
      <c r="C674" t="s">
        <v>566</v>
      </c>
      <c r="D674" t="s">
        <v>36</v>
      </c>
      <c r="E674">
        <v>1710</v>
      </c>
      <c r="F674" t="s">
        <v>3262</v>
      </c>
      <c r="G674">
        <v>150685.20000000001</v>
      </c>
      <c r="H674" t="s">
        <v>573</v>
      </c>
      <c r="I674">
        <v>76.92</v>
      </c>
      <c r="J674" t="s">
        <v>3263</v>
      </c>
      <c r="K674">
        <v>88.12</v>
      </c>
      <c r="L674" s="1">
        <v>45410</v>
      </c>
      <c r="M674">
        <f>G674*IF(D674="INR",1,INDEX('rates'!$B$2:$B$522,MATCH(B674,'rates'!$A$2:$A$522,1)))</f>
        <v>12558104.568000002</v>
      </c>
      <c r="N674">
        <f t="shared" si="10"/>
        <v>30</v>
      </c>
    </row>
    <row r="675" spans="1:14" x14ac:dyDescent="0.3">
      <c r="A675" t="s">
        <v>3905</v>
      </c>
      <c r="B675" s="1">
        <v>45351</v>
      </c>
      <c r="C675" t="s">
        <v>554</v>
      </c>
      <c r="D675" t="s">
        <v>36</v>
      </c>
      <c r="E675">
        <v>171</v>
      </c>
      <c r="F675" t="s">
        <v>3262</v>
      </c>
      <c r="G675">
        <v>14362.29</v>
      </c>
      <c r="H675" t="s">
        <v>556</v>
      </c>
      <c r="J675" t="s">
        <v>3263</v>
      </c>
      <c r="K675">
        <v>83.99</v>
      </c>
      <c r="L675" s="1">
        <v>45411</v>
      </c>
      <c r="M675">
        <f>G675*IF(D675="INR",1,INDEX('rates'!$B$2:$B$522,MATCH(B675,'rates'!$A$2:$A$522,1)))</f>
        <v>1190202.9723</v>
      </c>
      <c r="N675">
        <f t="shared" si="10"/>
        <v>60</v>
      </c>
    </row>
    <row r="676" spans="1:14" x14ac:dyDescent="0.3">
      <c r="A676" t="s">
        <v>3937</v>
      </c>
      <c r="B676" s="1">
        <v>45366</v>
      </c>
      <c r="C676" t="s">
        <v>558</v>
      </c>
      <c r="D676" t="s">
        <v>36</v>
      </c>
      <c r="E676">
        <v>1226</v>
      </c>
      <c r="F676" t="s">
        <v>3262</v>
      </c>
      <c r="G676">
        <v>106833.64</v>
      </c>
      <c r="H676" t="s">
        <v>556</v>
      </c>
      <c r="J676" t="s">
        <v>3263</v>
      </c>
      <c r="K676">
        <v>87.14</v>
      </c>
      <c r="L676" s="1">
        <v>45411</v>
      </c>
      <c r="M676">
        <f>G676*IF(D676="INR",1,INDEX('rates'!$B$2:$B$522,MATCH(B676,'rates'!$A$2:$A$522,1)))</f>
        <v>8852235.4103999995</v>
      </c>
      <c r="N676">
        <f t="shared" si="10"/>
        <v>45</v>
      </c>
    </row>
    <row r="677" spans="1:14" x14ac:dyDescent="0.3">
      <c r="A677" t="s">
        <v>3906</v>
      </c>
      <c r="B677" s="1">
        <v>45352</v>
      </c>
      <c r="C677" t="s">
        <v>560</v>
      </c>
      <c r="D677" t="s">
        <v>36</v>
      </c>
      <c r="E677">
        <v>2577</v>
      </c>
      <c r="F677" t="s">
        <v>3262</v>
      </c>
      <c r="G677">
        <v>225229.8</v>
      </c>
      <c r="H677" t="s">
        <v>556</v>
      </c>
      <c r="J677" t="s">
        <v>3263</v>
      </c>
      <c r="K677">
        <v>87.4</v>
      </c>
      <c r="L677" s="1">
        <v>45412</v>
      </c>
      <c r="M677">
        <f>G677*IF(D677="INR",1,INDEX('rates'!$B$2:$B$522,MATCH(B677,'rates'!$A$2:$A$522,1)))</f>
        <v>18673802.717999998</v>
      </c>
      <c r="N677">
        <f t="shared" si="10"/>
        <v>60</v>
      </c>
    </row>
    <row r="678" spans="1:14" x14ac:dyDescent="0.3">
      <c r="A678" t="s">
        <v>3908</v>
      </c>
      <c r="B678" s="1">
        <v>45352</v>
      </c>
      <c r="C678" t="s">
        <v>566</v>
      </c>
      <c r="D678" t="s">
        <v>36</v>
      </c>
      <c r="E678">
        <v>238</v>
      </c>
      <c r="F678" t="s">
        <v>3262</v>
      </c>
      <c r="G678">
        <v>20670.3</v>
      </c>
      <c r="H678" t="s">
        <v>573</v>
      </c>
      <c r="I678">
        <v>78.86</v>
      </c>
      <c r="J678" t="s">
        <v>3263</v>
      </c>
      <c r="K678">
        <v>86.85</v>
      </c>
      <c r="L678" s="1">
        <v>45412</v>
      </c>
      <c r="M678">
        <f>G678*IF(D678="INR",1,INDEX('rates'!$B$2:$B$522,MATCH(B678,'rates'!$A$2:$A$522,1)))</f>
        <v>1713774.5729999999</v>
      </c>
      <c r="N678">
        <f t="shared" si="10"/>
        <v>60</v>
      </c>
    </row>
    <row r="679" spans="1:14" x14ac:dyDescent="0.3">
      <c r="A679" t="s">
        <v>3981</v>
      </c>
      <c r="B679" s="1">
        <v>45383</v>
      </c>
      <c r="C679" t="s">
        <v>554</v>
      </c>
      <c r="D679" t="s">
        <v>36</v>
      </c>
      <c r="E679">
        <v>395</v>
      </c>
      <c r="F679" t="s">
        <v>3262</v>
      </c>
      <c r="G679">
        <v>35190.550000000003</v>
      </c>
      <c r="H679" t="s">
        <v>556</v>
      </c>
      <c r="J679" t="s">
        <v>3263</v>
      </c>
      <c r="K679">
        <v>89.09</v>
      </c>
      <c r="L679" s="1">
        <v>45413</v>
      </c>
      <c r="M679">
        <f>G679*IF(D679="INR",1,INDEX('rates'!$B$2:$B$522,MATCH(B679,'rates'!$A$2:$A$522,1)))</f>
        <v>2933484.2480000001</v>
      </c>
      <c r="N679">
        <f t="shared" si="10"/>
        <v>30</v>
      </c>
    </row>
    <row r="680" spans="1:14" x14ac:dyDescent="0.3">
      <c r="A680" t="s">
        <v>3942</v>
      </c>
      <c r="B680" s="1">
        <v>45369</v>
      </c>
      <c r="C680" t="s">
        <v>560</v>
      </c>
      <c r="D680" t="s">
        <v>36</v>
      </c>
      <c r="E680">
        <v>694</v>
      </c>
      <c r="F680" t="s">
        <v>3262</v>
      </c>
      <c r="G680">
        <v>62827.82</v>
      </c>
      <c r="H680" t="s">
        <v>556</v>
      </c>
      <c r="J680" t="s">
        <v>3263</v>
      </c>
      <c r="K680">
        <v>90.53</v>
      </c>
      <c r="L680" s="1">
        <v>45414</v>
      </c>
      <c r="M680">
        <f>G680*IF(D680="INR",1,INDEX('rates'!$B$2:$B$522,MATCH(B680,'rates'!$A$2:$A$522,1)))</f>
        <v>5207797.9998000003</v>
      </c>
      <c r="N680">
        <f t="shared" si="10"/>
        <v>45</v>
      </c>
    </row>
    <row r="681" spans="1:14" x14ac:dyDescent="0.3">
      <c r="A681" t="s">
        <v>3943</v>
      </c>
      <c r="B681" s="1">
        <v>45369</v>
      </c>
      <c r="C681" t="s">
        <v>560</v>
      </c>
      <c r="D681" t="s">
        <v>13</v>
      </c>
      <c r="E681">
        <v>212733</v>
      </c>
      <c r="F681" t="s">
        <v>3270</v>
      </c>
      <c r="G681">
        <v>18122724.27</v>
      </c>
      <c r="H681" t="s">
        <v>556</v>
      </c>
      <c r="J681" t="s">
        <v>3271</v>
      </c>
      <c r="K681">
        <v>85.19</v>
      </c>
      <c r="L681" s="1">
        <v>45414</v>
      </c>
      <c r="M681">
        <f>G681*IF(D681="INR",1,INDEX('rates'!$B$2:$B$522,MATCH(B681,'rates'!$A$2:$A$522,1)))</f>
        <v>18122724.27</v>
      </c>
      <c r="N681">
        <f t="shared" si="10"/>
        <v>45</v>
      </c>
    </row>
    <row r="682" spans="1:14" x14ac:dyDescent="0.3">
      <c r="A682" t="s">
        <v>3946</v>
      </c>
      <c r="B682" s="1">
        <v>45370</v>
      </c>
      <c r="C682" t="s">
        <v>575</v>
      </c>
      <c r="D682" t="s">
        <v>36</v>
      </c>
      <c r="E682">
        <v>666</v>
      </c>
      <c r="F682" t="s">
        <v>3262</v>
      </c>
      <c r="G682">
        <v>59793.48</v>
      </c>
      <c r="H682" t="s">
        <v>556</v>
      </c>
      <c r="J682" t="s">
        <v>3263</v>
      </c>
      <c r="K682">
        <v>89.78</v>
      </c>
      <c r="L682" s="1">
        <v>45415</v>
      </c>
      <c r="M682">
        <f>G682*IF(D682="INR",1,INDEX('rates'!$B$2:$B$522,MATCH(B682,'rates'!$A$2:$A$522,1)))</f>
        <v>4963456.7748000007</v>
      </c>
      <c r="N682">
        <f t="shared" si="10"/>
        <v>45</v>
      </c>
    </row>
    <row r="683" spans="1:14" x14ac:dyDescent="0.3">
      <c r="A683" t="s">
        <v>3947</v>
      </c>
      <c r="B683" s="1">
        <v>45370</v>
      </c>
      <c r="C683" t="s">
        <v>566</v>
      </c>
      <c r="D683" t="s">
        <v>36</v>
      </c>
      <c r="E683">
        <v>213</v>
      </c>
      <c r="F683" t="s">
        <v>3262</v>
      </c>
      <c r="G683">
        <v>18876.060000000001</v>
      </c>
      <c r="H683" t="s">
        <v>573</v>
      </c>
      <c r="I683">
        <v>79.040000000000006</v>
      </c>
      <c r="J683" t="s">
        <v>3263</v>
      </c>
      <c r="K683">
        <v>88.62</v>
      </c>
      <c r="L683" s="1">
        <v>45415</v>
      </c>
      <c r="M683">
        <f>G683*IF(D683="INR",1,INDEX('rates'!$B$2:$B$522,MATCH(B683,'rates'!$A$2:$A$522,1)))</f>
        <v>1566901.7406000001</v>
      </c>
      <c r="N683">
        <f t="shared" si="10"/>
        <v>45</v>
      </c>
    </row>
    <row r="684" spans="1:14" x14ac:dyDescent="0.3">
      <c r="A684" t="s">
        <v>3948</v>
      </c>
      <c r="B684" s="1">
        <v>45372</v>
      </c>
      <c r="C684" t="s">
        <v>575</v>
      </c>
      <c r="D684" t="s">
        <v>36</v>
      </c>
      <c r="E684">
        <v>1065</v>
      </c>
      <c r="F684" t="s">
        <v>3262</v>
      </c>
      <c r="G684">
        <v>92367.45</v>
      </c>
      <c r="H684" t="s">
        <v>556</v>
      </c>
      <c r="J684" t="s">
        <v>3263</v>
      </c>
      <c r="K684">
        <v>86.73</v>
      </c>
      <c r="L684" s="1">
        <v>45417</v>
      </c>
      <c r="M684">
        <f>G684*IF(D684="INR",1,INDEX('rates'!$B$2:$B$522,MATCH(B684,'rates'!$A$2:$A$522,1)))</f>
        <v>7680353.4675000003</v>
      </c>
      <c r="N684">
        <f t="shared" si="10"/>
        <v>45</v>
      </c>
    </row>
    <row r="685" spans="1:14" x14ac:dyDescent="0.3">
      <c r="A685" t="s">
        <v>3991</v>
      </c>
      <c r="B685" s="1">
        <v>45387</v>
      </c>
      <c r="C685" t="s">
        <v>558</v>
      </c>
      <c r="D685" t="s">
        <v>36</v>
      </c>
      <c r="E685">
        <v>1690</v>
      </c>
      <c r="F685" t="s">
        <v>3262</v>
      </c>
      <c r="G685">
        <v>154736.4</v>
      </c>
      <c r="H685" t="s">
        <v>556</v>
      </c>
      <c r="J685" t="s">
        <v>3263</v>
      </c>
      <c r="K685">
        <v>91.56</v>
      </c>
      <c r="L685" s="1">
        <v>45417</v>
      </c>
      <c r="M685">
        <f>G685*IF(D685="INR",1,INDEX('rates'!$B$2:$B$522,MATCH(B685,'rates'!$A$2:$A$522,1)))</f>
        <v>12887994.756000001</v>
      </c>
      <c r="N685">
        <f t="shared" si="10"/>
        <v>30</v>
      </c>
    </row>
    <row r="686" spans="1:14" x14ac:dyDescent="0.3">
      <c r="A686" t="s">
        <v>3950</v>
      </c>
      <c r="B686" s="1">
        <v>45373</v>
      </c>
      <c r="C686" t="s">
        <v>575</v>
      </c>
      <c r="D686" t="s">
        <v>36</v>
      </c>
      <c r="E686">
        <v>1100</v>
      </c>
      <c r="F686" t="s">
        <v>3262</v>
      </c>
      <c r="G686">
        <v>93995</v>
      </c>
      <c r="H686" t="s">
        <v>573</v>
      </c>
      <c r="I686">
        <v>78.42</v>
      </c>
      <c r="J686" t="s">
        <v>3263</v>
      </c>
      <c r="K686">
        <v>85.45</v>
      </c>
      <c r="L686" s="1">
        <v>45418</v>
      </c>
      <c r="M686">
        <f>G686*IF(D686="INR",1,INDEX('rates'!$B$2:$B$522,MATCH(B686,'rates'!$A$2:$A$522,1)))</f>
        <v>7851402.3500000006</v>
      </c>
      <c r="N686">
        <f t="shared" si="10"/>
        <v>45</v>
      </c>
    </row>
    <row r="687" spans="1:14" x14ac:dyDescent="0.3">
      <c r="A687" t="s">
        <v>3951</v>
      </c>
      <c r="B687" s="1">
        <v>45373</v>
      </c>
      <c r="C687" t="s">
        <v>558</v>
      </c>
      <c r="D687" t="s">
        <v>36</v>
      </c>
      <c r="E687">
        <v>738</v>
      </c>
      <c r="F687" t="s">
        <v>3262</v>
      </c>
      <c r="G687">
        <v>62988.3</v>
      </c>
      <c r="H687" t="s">
        <v>556</v>
      </c>
      <c r="J687" t="s">
        <v>3263</v>
      </c>
      <c r="K687">
        <v>85.35</v>
      </c>
      <c r="L687" s="1">
        <v>45418</v>
      </c>
      <c r="M687">
        <f>G687*IF(D687="INR",1,INDEX('rates'!$B$2:$B$522,MATCH(B687,'rates'!$A$2:$A$522,1)))</f>
        <v>5261412.699</v>
      </c>
      <c r="N687">
        <f t="shared" si="10"/>
        <v>45</v>
      </c>
    </row>
    <row r="688" spans="1:14" x14ac:dyDescent="0.3">
      <c r="A688" t="s">
        <v>3956</v>
      </c>
      <c r="B688" s="1">
        <v>45373</v>
      </c>
      <c r="C688" t="s">
        <v>554</v>
      </c>
      <c r="D688" t="s">
        <v>13</v>
      </c>
      <c r="E688">
        <v>193978</v>
      </c>
      <c r="F688" t="s">
        <v>3270</v>
      </c>
      <c r="G688">
        <v>17851795.34</v>
      </c>
      <c r="H688" t="s">
        <v>556</v>
      </c>
      <c r="J688" t="s">
        <v>3271</v>
      </c>
      <c r="K688">
        <v>92.03</v>
      </c>
      <c r="L688" s="1">
        <v>45418</v>
      </c>
      <c r="M688">
        <f>G688*IF(D688="INR",1,INDEX('rates'!$B$2:$B$522,MATCH(B688,'rates'!$A$2:$A$522,1)))</f>
        <v>17851795.34</v>
      </c>
      <c r="N688">
        <f t="shared" si="10"/>
        <v>45</v>
      </c>
    </row>
    <row r="689" spans="1:14" x14ac:dyDescent="0.3">
      <c r="A689" t="s">
        <v>3957</v>
      </c>
      <c r="B689" s="1">
        <v>45373</v>
      </c>
      <c r="C689" t="s">
        <v>554</v>
      </c>
      <c r="D689" t="s">
        <v>36</v>
      </c>
      <c r="E689">
        <v>232</v>
      </c>
      <c r="F689" t="s">
        <v>3262</v>
      </c>
      <c r="G689">
        <v>19991.439999999999</v>
      </c>
      <c r="H689" t="s">
        <v>573</v>
      </c>
      <c r="I689">
        <v>78.42</v>
      </c>
      <c r="J689" t="s">
        <v>3263</v>
      </c>
      <c r="K689">
        <v>86.17</v>
      </c>
      <c r="L689" s="1">
        <v>45418</v>
      </c>
      <c r="M689">
        <f>G689*IF(D689="INR",1,INDEX('rates'!$B$2:$B$522,MATCH(B689,'rates'!$A$2:$A$522,1)))</f>
        <v>1669884.9831999999</v>
      </c>
      <c r="N689">
        <f t="shared" si="10"/>
        <v>45</v>
      </c>
    </row>
    <row r="690" spans="1:14" x14ac:dyDescent="0.3">
      <c r="A690" t="s">
        <v>3958</v>
      </c>
      <c r="B690" s="1">
        <v>45373</v>
      </c>
      <c r="C690" t="s">
        <v>560</v>
      </c>
      <c r="D690" t="s">
        <v>36</v>
      </c>
      <c r="E690">
        <v>876</v>
      </c>
      <c r="F690" t="s">
        <v>3262</v>
      </c>
      <c r="G690">
        <v>76439.759999999995</v>
      </c>
      <c r="H690" t="s">
        <v>556</v>
      </c>
      <c r="J690" t="s">
        <v>3263</v>
      </c>
      <c r="K690">
        <v>87.26</v>
      </c>
      <c r="L690" s="1">
        <v>45418</v>
      </c>
      <c r="M690">
        <f>G690*IF(D690="INR",1,INDEX('rates'!$B$2:$B$522,MATCH(B690,'rates'!$A$2:$A$522,1)))</f>
        <v>6385013.1527999993</v>
      </c>
      <c r="N690">
        <f t="shared" si="10"/>
        <v>45</v>
      </c>
    </row>
    <row r="691" spans="1:14" x14ac:dyDescent="0.3">
      <c r="A691" t="s">
        <v>3923</v>
      </c>
      <c r="B691" s="1">
        <v>45359</v>
      </c>
      <c r="C691" t="s">
        <v>560</v>
      </c>
      <c r="D691" t="s">
        <v>13</v>
      </c>
      <c r="E691">
        <v>33378</v>
      </c>
      <c r="F691" t="s">
        <v>3270</v>
      </c>
      <c r="G691">
        <v>2313429.1800000002</v>
      </c>
      <c r="H691" t="s">
        <v>556</v>
      </c>
      <c r="J691" t="s">
        <v>3271</v>
      </c>
      <c r="K691">
        <v>69.31</v>
      </c>
      <c r="L691" s="1">
        <v>45419</v>
      </c>
      <c r="M691">
        <f>G691*IF(D691="INR",1,INDEX('rates'!$B$2:$B$522,MATCH(B691,'rates'!$A$2:$A$522,1)))</f>
        <v>2313429.1800000002</v>
      </c>
      <c r="N691">
        <f t="shared" si="10"/>
        <v>60</v>
      </c>
    </row>
    <row r="692" spans="1:14" x14ac:dyDescent="0.3">
      <c r="A692" t="s">
        <v>3959</v>
      </c>
      <c r="B692" s="1">
        <v>45376</v>
      </c>
      <c r="C692" t="s">
        <v>560</v>
      </c>
      <c r="D692" t="s">
        <v>36</v>
      </c>
      <c r="E692">
        <v>794</v>
      </c>
      <c r="F692" t="s">
        <v>3262</v>
      </c>
      <c r="G692">
        <v>68617.48</v>
      </c>
      <c r="H692" t="s">
        <v>556</v>
      </c>
      <c r="J692" t="s">
        <v>3263</v>
      </c>
      <c r="K692">
        <v>86.42</v>
      </c>
      <c r="L692" s="1">
        <v>45421</v>
      </c>
      <c r="M692">
        <f>G692*IF(D692="INR",1,INDEX('rates'!$B$2:$B$522,MATCH(B692,'rates'!$A$2:$A$522,1)))</f>
        <v>5724070.1815999998</v>
      </c>
      <c r="N692">
        <f t="shared" si="10"/>
        <v>45</v>
      </c>
    </row>
    <row r="693" spans="1:14" x14ac:dyDescent="0.3">
      <c r="A693" t="s">
        <v>3961</v>
      </c>
      <c r="B693" s="1">
        <v>45376</v>
      </c>
      <c r="C693" t="s">
        <v>566</v>
      </c>
      <c r="D693" t="s">
        <v>36</v>
      </c>
      <c r="E693">
        <v>474</v>
      </c>
      <c r="F693" t="s">
        <v>3262</v>
      </c>
      <c r="G693">
        <v>41839.980000000003</v>
      </c>
      <c r="H693" t="s">
        <v>573</v>
      </c>
      <c r="J693" t="s">
        <v>3263</v>
      </c>
      <c r="K693">
        <v>88.27</v>
      </c>
      <c r="L693" s="1">
        <v>45421</v>
      </c>
      <c r="M693">
        <f>G693*IF(D693="INR",1,INDEX('rates'!$B$2:$B$522,MATCH(B693,'rates'!$A$2:$A$522,1)))</f>
        <v>3490291.1316000004</v>
      </c>
      <c r="N693">
        <f t="shared" si="10"/>
        <v>45</v>
      </c>
    </row>
    <row r="694" spans="1:14" x14ac:dyDescent="0.3">
      <c r="A694" t="s">
        <v>3993</v>
      </c>
      <c r="B694" s="1">
        <v>45391</v>
      </c>
      <c r="C694" t="s">
        <v>558</v>
      </c>
      <c r="D694" t="s">
        <v>36</v>
      </c>
      <c r="E694">
        <v>751</v>
      </c>
      <c r="F694" t="s">
        <v>3262</v>
      </c>
      <c r="G694">
        <v>67665.100000000006</v>
      </c>
      <c r="H694" t="s">
        <v>556</v>
      </c>
      <c r="J694" t="s">
        <v>3263</v>
      </c>
      <c r="K694">
        <v>90.1</v>
      </c>
      <c r="L694" s="1">
        <v>45421</v>
      </c>
      <c r="M694">
        <f>G694*IF(D694="INR",1,INDEX('rates'!$B$2:$B$522,MATCH(B694,'rates'!$A$2:$A$522,1)))</f>
        <v>5628383.0180000011</v>
      </c>
      <c r="N694">
        <f t="shared" si="10"/>
        <v>30</v>
      </c>
    </row>
    <row r="695" spans="1:14" x14ac:dyDescent="0.3">
      <c r="A695" t="s">
        <v>3994</v>
      </c>
      <c r="B695" s="1">
        <v>45391</v>
      </c>
      <c r="C695" t="s">
        <v>566</v>
      </c>
      <c r="D695" t="s">
        <v>13</v>
      </c>
      <c r="E695">
        <v>149479</v>
      </c>
      <c r="F695" t="s">
        <v>3270</v>
      </c>
      <c r="G695">
        <v>14082416.59</v>
      </c>
      <c r="H695" t="s">
        <v>556</v>
      </c>
      <c r="J695" t="s">
        <v>3271</v>
      </c>
      <c r="K695">
        <v>94.21</v>
      </c>
      <c r="L695" s="1">
        <v>45421</v>
      </c>
      <c r="M695">
        <f>G695*IF(D695="INR",1,INDEX('rates'!$B$2:$B$522,MATCH(B695,'rates'!$A$2:$A$522,1)))</f>
        <v>14082416.59</v>
      </c>
      <c r="N695">
        <f t="shared" si="10"/>
        <v>30</v>
      </c>
    </row>
    <row r="696" spans="1:14" x14ac:dyDescent="0.3">
      <c r="A696" t="s">
        <v>3928</v>
      </c>
      <c r="B696" s="1">
        <v>45362</v>
      </c>
      <c r="C696" t="s">
        <v>566</v>
      </c>
      <c r="D696" t="s">
        <v>36</v>
      </c>
      <c r="E696">
        <v>965</v>
      </c>
      <c r="F696" t="s">
        <v>3262</v>
      </c>
      <c r="G696">
        <v>80259.05</v>
      </c>
      <c r="H696" t="s">
        <v>573</v>
      </c>
      <c r="I696">
        <v>73.05</v>
      </c>
      <c r="J696" t="s">
        <v>3263</v>
      </c>
      <c r="K696">
        <v>83.17</v>
      </c>
      <c r="L696" s="1">
        <v>45422</v>
      </c>
      <c r="M696">
        <f>G696*IF(D696="INR",1,INDEX('rates'!$B$2:$B$522,MATCH(B696,'rates'!$A$2:$A$522,1)))</f>
        <v>6639028.6160000004</v>
      </c>
      <c r="N696">
        <f t="shared" si="10"/>
        <v>60</v>
      </c>
    </row>
    <row r="697" spans="1:14" x14ac:dyDescent="0.3">
      <c r="A697" t="s">
        <v>3963</v>
      </c>
      <c r="B697" s="1">
        <v>45377</v>
      </c>
      <c r="C697" t="s">
        <v>566</v>
      </c>
      <c r="D697" t="s">
        <v>36</v>
      </c>
      <c r="E697">
        <v>935</v>
      </c>
      <c r="F697" t="s">
        <v>3262</v>
      </c>
      <c r="G697">
        <v>80634.399999999994</v>
      </c>
      <c r="H697" t="s">
        <v>573</v>
      </c>
      <c r="I697">
        <v>79.510000000000005</v>
      </c>
      <c r="J697" t="s">
        <v>3263</v>
      </c>
      <c r="K697">
        <v>86.24</v>
      </c>
      <c r="L697" s="1">
        <v>45422</v>
      </c>
      <c r="M697">
        <f>G697*IF(D697="INR",1,INDEX('rates'!$B$2:$B$522,MATCH(B697,'rates'!$A$2:$A$522,1)))</f>
        <v>6718458.2079999987</v>
      </c>
      <c r="N697">
        <f t="shared" si="10"/>
        <v>45</v>
      </c>
    </row>
    <row r="698" spans="1:14" x14ac:dyDescent="0.3">
      <c r="A698" t="s">
        <v>3965</v>
      </c>
      <c r="B698" s="1">
        <v>45377</v>
      </c>
      <c r="C698" t="s">
        <v>575</v>
      </c>
      <c r="D698" t="s">
        <v>36</v>
      </c>
      <c r="E698">
        <v>646</v>
      </c>
      <c r="F698" t="s">
        <v>3262</v>
      </c>
      <c r="G698">
        <v>56382.879999999997</v>
      </c>
      <c r="H698" t="s">
        <v>573</v>
      </c>
      <c r="I698">
        <v>79.510000000000005</v>
      </c>
      <c r="J698" t="s">
        <v>3263</v>
      </c>
      <c r="K698">
        <v>87.28</v>
      </c>
      <c r="L698" s="1">
        <v>45422</v>
      </c>
      <c r="M698">
        <f>G698*IF(D698="INR",1,INDEX('rates'!$B$2:$B$522,MATCH(B698,'rates'!$A$2:$A$522,1)))</f>
        <v>4697821.5615999997</v>
      </c>
      <c r="N698">
        <f t="shared" si="10"/>
        <v>45</v>
      </c>
    </row>
    <row r="699" spans="1:14" x14ac:dyDescent="0.3">
      <c r="A699" t="s">
        <v>3930</v>
      </c>
      <c r="B699" s="1">
        <v>45363</v>
      </c>
      <c r="C699" t="s">
        <v>575</v>
      </c>
      <c r="D699" t="s">
        <v>36</v>
      </c>
      <c r="E699">
        <v>1330</v>
      </c>
      <c r="F699" t="s">
        <v>3262</v>
      </c>
      <c r="G699">
        <v>112438.2</v>
      </c>
      <c r="H699" t="s">
        <v>573</v>
      </c>
      <c r="I699">
        <v>73.930000000000007</v>
      </c>
      <c r="J699" t="s">
        <v>3263</v>
      </c>
      <c r="K699">
        <v>84.54</v>
      </c>
      <c r="L699" s="1">
        <v>45423</v>
      </c>
      <c r="M699">
        <f>G699*IF(D699="INR",1,INDEX('rates'!$B$2:$B$522,MATCH(B699,'rates'!$A$2:$A$522,1)))</f>
        <v>9306509.8139999993</v>
      </c>
      <c r="N699">
        <f t="shared" si="10"/>
        <v>60</v>
      </c>
    </row>
    <row r="700" spans="1:14" x14ac:dyDescent="0.3">
      <c r="A700" t="s">
        <v>3967</v>
      </c>
      <c r="B700" s="1">
        <v>45378</v>
      </c>
      <c r="C700" t="s">
        <v>560</v>
      </c>
      <c r="D700" t="s">
        <v>36</v>
      </c>
      <c r="E700">
        <v>1773</v>
      </c>
      <c r="F700" t="s">
        <v>3262</v>
      </c>
      <c r="G700">
        <v>155137.5</v>
      </c>
      <c r="H700" t="s">
        <v>556</v>
      </c>
      <c r="J700" t="s">
        <v>3263</v>
      </c>
      <c r="K700">
        <v>87.5</v>
      </c>
      <c r="L700" s="1">
        <v>45423</v>
      </c>
      <c r="M700">
        <f>G700*IF(D700="INR",1,INDEX('rates'!$B$2:$B$522,MATCH(B700,'rates'!$A$2:$A$522,1)))</f>
        <v>12929159.25</v>
      </c>
      <c r="N700">
        <f t="shared" si="10"/>
        <v>45</v>
      </c>
    </row>
    <row r="701" spans="1:14" x14ac:dyDescent="0.3">
      <c r="A701" t="s">
        <v>3997</v>
      </c>
      <c r="B701" s="1">
        <v>45393</v>
      </c>
      <c r="C701" t="s">
        <v>575</v>
      </c>
      <c r="D701" t="s">
        <v>13</v>
      </c>
      <c r="E701">
        <v>79319</v>
      </c>
      <c r="F701" t="s">
        <v>3270</v>
      </c>
      <c r="G701">
        <v>5392105.6200000001</v>
      </c>
      <c r="H701" t="s">
        <v>556</v>
      </c>
      <c r="J701" t="s">
        <v>3271</v>
      </c>
      <c r="K701">
        <v>67.98</v>
      </c>
      <c r="L701" s="1">
        <v>45423</v>
      </c>
      <c r="M701">
        <f>G701*IF(D701="INR",1,INDEX('rates'!$B$2:$B$522,MATCH(B701,'rates'!$A$2:$A$522,1)))</f>
        <v>5392105.6200000001</v>
      </c>
      <c r="N701">
        <f t="shared" si="10"/>
        <v>30</v>
      </c>
    </row>
    <row r="702" spans="1:14" x14ac:dyDescent="0.3">
      <c r="A702" t="s">
        <v>3968</v>
      </c>
      <c r="B702" s="1">
        <v>45379</v>
      </c>
      <c r="C702" t="s">
        <v>558</v>
      </c>
      <c r="D702" t="s">
        <v>36</v>
      </c>
      <c r="E702">
        <v>2000</v>
      </c>
      <c r="F702" t="s">
        <v>3262</v>
      </c>
      <c r="G702">
        <v>175820</v>
      </c>
      <c r="H702" t="s">
        <v>556</v>
      </c>
      <c r="J702" t="s">
        <v>3263</v>
      </c>
      <c r="K702">
        <v>87.91</v>
      </c>
      <c r="L702" s="1">
        <v>45424</v>
      </c>
      <c r="M702">
        <f>G702*IF(D702="INR",1,INDEX('rates'!$B$2:$B$522,MATCH(B702,'rates'!$A$2:$A$522,1)))</f>
        <v>14654596.999999998</v>
      </c>
      <c r="N702">
        <f t="shared" si="10"/>
        <v>45</v>
      </c>
    </row>
    <row r="703" spans="1:14" x14ac:dyDescent="0.3">
      <c r="A703" t="s">
        <v>4000</v>
      </c>
      <c r="B703" s="1">
        <v>45394</v>
      </c>
      <c r="C703" t="s">
        <v>558</v>
      </c>
      <c r="D703" t="s">
        <v>36</v>
      </c>
      <c r="E703">
        <v>1185</v>
      </c>
      <c r="F703" t="s">
        <v>3262</v>
      </c>
      <c r="G703">
        <v>109174.05</v>
      </c>
      <c r="H703" t="s">
        <v>556</v>
      </c>
      <c r="J703" t="s">
        <v>3263</v>
      </c>
      <c r="K703">
        <v>92.13</v>
      </c>
      <c r="L703" s="1">
        <v>45424</v>
      </c>
      <c r="M703">
        <f>G703*IF(D703="INR",1,INDEX('rates'!$B$2:$B$522,MATCH(B703,'rates'!$A$2:$A$522,1)))</f>
        <v>9125858.8395000007</v>
      </c>
      <c r="N703">
        <f t="shared" si="10"/>
        <v>30</v>
      </c>
    </row>
    <row r="704" spans="1:14" x14ac:dyDescent="0.3">
      <c r="A704" t="s">
        <v>4002</v>
      </c>
      <c r="B704" s="1">
        <v>45394</v>
      </c>
      <c r="C704" t="s">
        <v>558</v>
      </c>
      <c r="D704" t="s">
        <v>36</v>
      </c>
      <c r="E704">
        <v>465</v>
      </c>
      <c r="F704" t="s">
        <v>3262</v>
      </c>
      <c r="G704">
        <v>43207.8</v>
      </c>
      <c r="H704" t="s">
        <v>556</v>
      </c>
      <c r="J704" t="s">
        <v>3263</v>
      </c>
      <c r="K704">
        <v>92.92</v>
      </c>
      <c r="L704" s="1">
        <v>45424</v>
      </c>
      <c r="M704">
        <f>G704*IF(D704="INR",1,INDEX('rates'!$B$2:$B$522,MATCH(B704,'rates'!$A$2:$A$522,1)))</f>
        <v>3611740.0020000003</v>
      </c>
      <c r="N704">
        <f t="shared" si="10"/>
        <v>30</v>
      </c>
    </row>
    <row r="705" spans="1:14" x14ac:dyDescent="0.3">
      <c r="A705" t="s">
        <v>4004</v>
      </c>
      <c r="B705" s="1">
        <v>45394</v>
      </c>
      <c r="C705" t="s">
        <v>560</v>
      </c>
      <c r="D705" t="s">
        <v>13</v>
      </c>
      <c r="E705">
        <v>142740</v>
      </c>
      <c r="F705" t="s">
        <v>3270</v>
      </c>
      <c r="G705">
        <v>14005648.800000001</v>
      </c>
      <c r="H705" t="s">
        <v>556</v>
      </c>
      <c r="J705" t="s">
        <v>3271</v>
      </c>
      <c r="K705">
        <v>98.12</v>
      </c>
      <c r="L705" s="1">
        <v>45424</v>
      </c>
      <c r="M705">
        <f>G705*IF(D705="INR",1,INDEX('rates'!$B$2:$B$522,MATCH(B705,'rates'!$A$2:$A$522,1)))</f>
        <v>14005648.800000001</v>
      </c>
      <c r="N705">
        <f t="shared" si="10"/>
        <v>30</v>
      </c>
    </row>
    <row r="706" spans="1:14" x14ac:dyDescent="0.3">
      <c r="A706" t="s">
        <v>3972</v>
      </c>
      <c r="B706" s="1">
        <v>45380</v>
      </c>
      <c r="C706" t="s">
        <v>560</v>
      </c>
      <c r="D706" t="s">
        <v>36</v>
      </c>
      <c r="E706">
        <v>1453</v>
      </c>
      <c r="F706" t="s">
        <v>3262</v>
      </c>
      <c r="G706">
        <v>130305.04</v>
      </c>
      <c r="H706" t="s">
        <v>556</v>
      </c>
      <c r="J706" t="s">
        <v>3263</v>
      </c>
      <c r="K706">
        <v>89.68</v>
      </c>
      <c r="L706" s="1">
        <v>45425</v>
      </c>
      <c r="M706">
        <f>G706*IF(D706="INR",1,INDEX('rates'!$B$2:$B$522,MATCH(B706,'rates'!$A$2:$A$522,1)))</f>
        <v>10859622.033600001</v>
      </c>
      <c r="N706">
        <f t="shared" ref="N706:N769" si="11">IF(L706="","",L706-B706)</f>
        <v>45</v>
      </c>
    </row>
    <row r="707" spans="1:14" x14ac:dyDescent="0.3">
      <c r="A707" t="s">
        <v>3975</v>
      </c>
      <c r="B707" s="1">
        <v>45380</v>
      </c>
      <c r="C707" t="s">
        <v>558</v>
      </c>
      <c r="D707" t="s">
        <v>36</v>
      </c>
      <c r="E707">
        <v>1420</v>
      </c>
      <c r="F707" t="s">
        <v>3262</v>
      </c>
      <c r="G707">
        <v>127303</v>
      </c>
      <c r="H707" t="s">
        <v>556</v>
      </c>
      <c r="J707" t="s">
        <v>3263</v>
      </c>
      <c r="K707">
        <v>89.65</v>
      </c>
      <c r="L707" s="1">
        <v>45425</v>
      </c>
      <c r="M707">
        <f>G707*IF(D707="INR",1,INDEX('rates'!$B$2:$B$522,MATCH(B707,'rates'!$A$2:$A$522,1)))</f>
        <v>10609432.02</v>
      </c>
      <c r="N707">
        <f t="shared" si="11"/>
        <v>45</v>
      </c>
    </row>
    <row r="708" spans="1:14" x14ac:dyDescent="0.3">
      <c r="A708" t="s">
        <v>3939</v>
      </c>
      <c r="B708" s="1">
        <v>45366</v>
      </c>
      <c r="C708" t="s">
        <v>560</v>
      </c>
      <c r="D708" t="s">
        <v>36</v>
      </c>
      <c r="E708">
        <v>572</v>
      </c>
      <c r="F708" t="s">
        <v>3262</v>
      </c>
      <c r="G708">
        <v>49483.72</v>
      </c>
      <c r="H708" t="s">
        <v>556</v>
      </c>
      <c r="J708" t="s">
        <v>3263</v>
      </c>
      <c r="K708">
        <v>86.51</v>
      </c>
      <c r="L708" s="1">
        <v>45426</v>
      </c>
      <c r="M708">
        <f>G708*IF(D708="INR",1,INDEX('rates'!$B$2:$B$522,MATCH(B708,'rates'!$A$2:$A$522,1)))</f>
        <v>4100221.0392</v>
      </c>
      <c r="N708">
        <f t="shared" si="11"/>
        <v>60</v>
      </c>
    </row>
    <row r="709" spans="1:14" x14ac:dyDescent="0.3">
      <c r="A709" t="s">
        <v>3978</v>
      </c>
      <c r="B709" s="1">
        <v>45383</v>
      </c>
      <c r="C709" t="s">
        <v>560</v>
      </c>
      <c r="D709" t="s">
        <v>36</v>
      </c>
      <c r="E709">
        <v>592</v>
      </c>
      <c r="F709" t="s">
        <v>3262</v>
      </c>
      <c r="G709">
        <v>53327.360000000001</v>
      </c>
      <c r="H709" t="s">
        <v>556</v>
      </c>
      <c r="J709" t="s">
        <v>3263</v>
      </c>
      <c r="K709">
        <v>90.08</v>
      </c>
      <c r="L709" s="1">
        <v>45428</v>
      </c>
      <c r="M709">
        <f>G709*IF(D709="INR",1,INDEX('rates'!$B$2:$B$522,MATCH(B709,'rates'!$A$2:$A$522,1)))</f>
        <v>4445368.7296000002</v>
      </c>
      <c r="N709">
        <f t="shared" si="11"/>
        <v>45</v>
      </c>
    </row>
    <row r="710" spans="1:14" x14ac:dyDescent="0.3">
      <c r="A710" t="s">
        <v>3979</v>
      </c>
      <c r="B710" s="1">
        <v>45383</v>
      </c>
      <c r="C710" t="s">
        <v>566</v>
      </c>
      <c r="D710" t="s">
        <v>13</v>
      </c>
      <c r="E710">
        <v>73963</v>
      </c>
      <c r="F710" t="s">
        <v>3270</v>
      </c>
      <c r="G710">
        <v>7023526.4800000004</v>
      </c>
      <c r="H710" t="s">
        <v>556</v>
      </c>
      <c r="J710" t="s">
        <v>3271</v>
      </c>
      <c r="K710">
        <v>94.96</v>
      </c>
      <c r="L710" s="1">
        <v>45428</v>
      </c>
      <c r="M710">
        <f>G710*IF(D710="INR",1,INDEX('rates'!$B$2:$B$522,MATCH(B710,'rates'!$A$2:$A$522,1)))</f>
        <v>7023526.4800000004</v>
      </c>
      <c r="N710">
        <f t="shared" si="11"/>
        <v>45</v>
      </c>
    </row>
    <row r="711" spans="1:14" x14ac:dyDescent="0.3">
      <c r="A711" t="s">
        <v>3980</v>
      </c>
      <c r="B711" s="1">
        <v>45383</v>
      </c>
      <c r="C711" t="s">
        <v>566</v>
      </c>
      <c r="D711" t="s">
        <v>13</v>
      </c>
      <c r="E711">
        <v>404493</v>
      </c>
      <c r="F711" t="s">
        <v>3270</v>
      </c>
      <c r="G711">
        <v>33835839.450000003</v>
      </c>
      <c r="H711" t="s">
        <v>556</v>
      </c>
      <c r="J711" t="s">
        <v>3271</v>
      </c>
      <c r="K711">
        <v>83.65</v>
      </c>
      <c r="L711" s="1">
        <v>45428</v>
      </c>
      <c r="M711">
        <f>G711*IF(D711="INR",1,INDEX('rates'!$B$2:$B$522,MATCH(B711,'rates'!$A$2:$A$522,1)))</f>
        <v>33835839.450000003</v>
      </c>
      <c r="N711">
        <f t="shared" si="11"/>
        <v>45</v>
      </c>
    </row>
    <row r="712" spans="1:14" x14ac:dyDescent="0.3">
      <c r="A712" t="s">
        <v>3940</v>
      </c>
      <c r="B712" s="1">
        <v>45369</v>
      </c>
      <c r="C712" t="s">
        <v>554</v>
      </c>
      <c r="D712" t="s">
        <v>36</v>
      </c>
      <c r="E712">
        <v>1066</v>
      </c>
      <c r="F712" t="s">
        <v>3262</v>
      </c>
      <c r="G712">
        <v>94842.02</v>
      </c>
      <c r="H712" t="s">
        <v>573</v>
      </c>
      <c r="I712">
        <v>78.36</v>
      </c>
      <c r="J712" t="s">
        <v>3263</v>
      </c>
      <c r="K712">
        <v>88.97</v>
      </c>
      <c r="L712" s="1">
        <v>45429</v>
      </c>
      <c r="M712">
        <f>G712*IF(D712="INR",1,INDEX('rates'!$B$2:$B$522,MATCH(B712,'rates'!$A$2:$A$522,1)))</f>
        <v>7861455.0378</v>
      </c>
      <c r="N712">
        <f t="shared" si="11"/>
        <v>60</v>
      </c>
    </row>
    <row r="713" spans="1:14" x14ac:dyDescent="0.3">
      <c r="A713" t="s">
        <v>4009</v>
      </c>
      <c r="B713" s="1">
        <v>45399</v>
      </c>
      <c r="C713" t="s">
        <v>560</v>
      </c>
      <c r="D713" t="s">
        <v>36</v>
      </c>
      <c r="E713">
        <v>824</v>
      </c>
      <c r="F713" t="s">
        <v>3262</v>
      </c>
      <c r="G713">
        <v>72750.960000000006</v>
      </c>
      <c r="H713" t="s">
        <v>556</v>
      </c>
      <c r="J713" t="s">
        <v>3263</v>
      </c>
      <c r="K713">
        <v>88.29</v>
      </c>
      <c r="L713" s="1">
        <v>45429</v>
      </c>
      <c r="M713">
        <f>G713*IF(D713="INR",1,INDEX('rates'!$B$2:$B$522,MATCH(B713,'rates'!$A$2:$A$522,1)))</f>
        <v>6077615.198400001</v>
      </c>
      <c r="N713">
        <f t="shared" si="11"/>
        <v>30</v>
      </c>
    </row>
    <row r="714" spans="1:14" x14ac:dyDescent="0.3">
      <c r="A714" t="s">
        <v>4010</v>
      </c>
      <c r="B714" s="1">
        <v>45399</v>
      </c>
      <c r="C714" t="s">
        <v>560</v>
      </c>
      <c r="D714" t="s">
        <v>13</v>
      </c>
      <c r="E714">
        <v>84550</v>
      </c>
      <c r="F714" t="s">
        <v>3270</v>
      </c>
      <c r="G714">
        <v>6035179</v>
      </c>
      <c r="H714" t="s">
        <v>556</v>
      </c>
      <c r="J714" t="s">
        <v>3271</v>
      </c>
      <c r="K714">
        <v>71.38</v>
      </c>
      <c r="L714" s="1">
        <v>45429</v>
      </c>
      <c r="M714">
        <f>G714*IF(D714="INR",1,INDEX('rates'!$B$2:$B$522,MATCH(B714,'rates'!$A$2:$A$522,1)))</f>
        <v>6035179</v>
      </c>
      <c r="N714">
        <f t="shared" si="11"/>
        <v>30</v>
      </c>
    </row>
    <row r="715" spans="1:14" x14ac:dyDescent="0.3">
      <c r="A715" t="s">
        <v>3985</v>
      </c>
      <c r="B715" s="1">
        <v>45385</v>
      </c>
      <c r="C715" t="s">
        <v>575</v>
      </c>
      <c r="D715" t="s">
        <v>36</v>
      </c>
      <c r="E715">
        <v>1047</v>
      </c>
      <c r="F715" t="s">
        <v>3262</v>
      </c>
      <c r="G715">
        <v>94104.36</v>
      </c>
      <c r="H715" t="s">
        <v>556</v>
      </c>
      <c r="J715" t="s">
        <v>3263</v>
      </c>
      <c r="K715">
        <v>89.88</v>
      </c>
      <c r="L715" s="1">
        <v>45430</v>
      </c>
      <c r="M715">
        <f>G715*IF(D715="INR",1,INDEX('rates'!$B$2:$B$522,MATCH(B715,'rates'!$A$2:$A$522,1)))</f>
        <v>7851126.7548000002</v>
      </c>
      <c r="N715">
        <f t="shared" si="11"/>
        <v>45</v>
      </c>
    </row>
    <row r="716" spans="1:14" x14ac:dyDescent="0.3">
      <c r="A716" t="s">
        <v>3986</v>
      </c>
      <c r="B716" s="1">
        <v>45385</v>
      </c>
      <c r="C716" t="s">
        <v>558</v>
      </c>
      <c r="D716" t="s">
        <v>36</v>
      </c>
      <c r="E716">
        <v>507</v>
      </c>
      <c r="F716" t="s">
        <v>3262</v>
      </c>
      <c r="G716">
        <v>45097.65</v>
      </c>
      <c r="H716" t="s">
        <v>573</v>
      </c>
      <c r="I716">
        <v>77.45</v>
      </c>
      <c r="J716" t="s">
        <v>3263</v>
      </c>
      <c r="K716">
        <v>88.95</v>
      </c>
      <c r="L716" s="1">
        <v>45430</v>
      </c>
      <c r="M716">
        <f>G716*IF(D716="INR",1,INDEX('rates'!$B$2:$B$522,MATCH(B716,'rates'!$A$2:$A$522,1)))</f>
        <v>3762496.9395000003</v>
      </c>
      <c r="N716">
        <f t="shared" si="11"/>
        <v>45</v>
      </c>
    </row>
    <row r="717" spans="1:14" x14ac:dyDescent="0.3">
      <c r="A717" t="s">
        <v>3988</v>
      </c>
      <c r="B717" s="1">
        <v>45386</v>
      </c>
      <c r="C717" t="s">
        <v>554</v>
      </c>
      <c r="D717" t="s">
        <v>36</v>
      </c>
      <c r="E717">
        <v>704</v>
      </c>
      <c r="F717" t="s">
        <v>3262</v>
      </c>
      <c r="G717">
        <v>63655.68</v>
      </c>
      <c r="H717" t="s">
        <v>556</v>
      </c>
      <c r="J717" t="s">
        <v>3263</v>
      </c>
      <c r="K717">
        <v>90.42</v>
      </c>
      <c r="L717" s="1">
        <v>45431</v>
      </c>
      <c r="M717">
        <f>G717*IF(D717="INR",1,INDEX('rates'!$B$2:$B$522,MATCH(B717,'rates'!$A$2:$A$522,1)))</f>
        <v>5311429.9391999999</v>
      </c>
      <c r="N717">
        <f t="shared" si="11"/>
        <v>45</v>
      </c>
    </row>
    <row r="718" spans="1:14" x14ac:dyDescent="0.3">
      <c r="A718" t="s">
        <v>4021</v>
      </c>
      <c r="B718" s="1">
        <v>45401</v>
      </c>
      <c r="C718" t="s">
        <v>558</v>
      </c>
      <c r="D718" t="s">
        <v>36</v>
      </c>
      <c r="E718">
        <v>260</v>
      </c>
      <c r="F718" t="s">
        <v>3262</v>
      </c>
      <c r="G718">
        <v>22893</v>
      </c>
      <c r="H718" t="s">
        <v>573</v>
      </c>
      <c r="I718">
        <v>78.849999999999994</v>
      </c>
      <c r="J718" t="s">
        <v>3263</v>
      </c>
      <c r="K718">
        <v>88.05</v>
      </c>
      <c r="L718" s="1">
        <v>45431</v>
      </c>
      <c r="M718">
        <f>G718*IF(D718="INR",1,INDEX('rates'!$B$2:$B$522,MATCH(B718,'rates'!$A$2:$A$522,1)))</f>
        <v>1910649.7799999998</v>
      </c>
      <c r="N718">
        <f t="shared" si="11"/>
        <v>30</v>
      </c>
    </row>
    <row r="719" spans="1:14" x14ac:dyDescent="0.3">
      <c r="A719" t="s">
        <v>3989</v>
      </c>
      <c r="B719" s="1">
        <v>45387</v>
      </c>
      <c r="C719" t="s">
        <v>566</v>
      </c>
      <c r="D719" t="s">
        <v>36</v>
      </c>
      <c r="E719">
        <v>680</v>
      </c>
      <c r="F719" t="s">
        <v>3262</v>
      </c>
      <c r="G719">
        <v>64552.4</v>
      </c>
      <c r="H719" t="s">
        <v>573</v>
      </c>
      <c r="I719">
        <v>79.180000000000007</v>
      </c>
      <c r="J719" t="s">
        <v>3263</v>
      </c>
      <c r="K719">
        <v>94.93</v>
      </c>
      <c r="L719" s="1">
        <v>45432</v>
      </c>
      <c r="M719">
        <f>G719*IF(D719="INR",1,INDEX('rates'!$B$2:$B$522,MATCH(B719,'rates'!$A$2:$A$522,1)))</f>
        <v>5376569.3960000006</v>
      </c>
      <c r="N719">
        <f t="shared" si="11"/>
        <v>45</v>
      </c>
    </row>
    <row r="720" spans="1:14" x14ac:dyDescent="0.3">
      <c r="A720" t="s">
        <v>3953</v>
      </c>
      <c r="B720" s="1">
        <v>45373</v>
      </c>
      <c r="C720" t="s">
        <v>558</v>
      </c>
      <c r="D720" t="s">
        <v>13</v>
      </c>
      <c r="E720">
        <v>33316</v>
      </c>
      <c r="F720" t="s">
        <v>3270</v>
      </c>
      <c r="G720">
        <v>2647622.52</v>
      </c>
      <c r="H720" t="s">
        <v>556</v>
      </c>
      <c r="J720" t="s">
        <v>3271</v>
      </c>
      <c r="K720">
        <v>79.47</v>
      </c>
      <c r="L720" s="1">
        <v>45433</v>
      </c>
      <c r="M720">
        <f>G720*IF(D720="INR",1,INDEX('rates'!$B$2:$B$522,MATCH(B720,'rates'!$A$2:$A$522,1)))</f>
        <v>2647622.52</v>
      </c>
      <c r="N720">
        <f t="shared" si="11"/>
        <v>60</v>
      </c>
    </row>
    <row r="721" spans="1:14" x14ac:dyDescent="0.3">
      <c r="A721" t="s">
        <v>3954</v>
      </c>
      <c r="B721" s="1">
        <v>45373</v>
      </c>
      <c r="C721" t="s">
        <v>558</v>
      </c>
      <c r="D721" t="s">
        <v>36</v>
      </c>
      <c r="E721">
        <v>664</v>
      </c>
      <c r="F721" t="s">
        <v>3262</v>
      </c>
      <c r="G721">
        <v>56951.28</v>
      </c>
      <c r="H721" t="s">
        <v>573</v>
      </c>
      <c r="I721">
        <v>78.42</v>
      </c>
      <c r="J721" t="s">
        <v>3263</v>
      </c>
      <c r="K721">
        <v>85.77</v>
      </c>
      <c r="L721" s="1">
        <v>45433</v>
      </c>
      <c r="M721">
        <f>G721*IF(D721="INR",1,INDEX('rates'!$B$2:$B$522,MATCH(B721,'rates'!$A$2:$A$522,1)))</f>
        <v>4757140.4183999998</v>
      </c>
      <c r="N721">
        <f t="shared" si="11"/>
        <v>60</v>
      </c>
    </row>
    <row r="722" spans="1:14" x14ac:dyDescent="0.3">
      <c r="A722" t="s">
        <v>3962</v>
      </c>
      <c r="B722" s="1">
        <v>45376</v>
      </c>
      <c r="C722" t="s">
        <v>566</v>
      </c>
      <c r="D722" t="s">
        <v>36</v>
      </c>
      <c r="E722">
        <v>263</v>
      </c>
      <c r="F722" t="s">
        <v>3262</v>
      </c>
      <c r="G722">
        <v>23609.51</v>
      </c>
      <c r="H722" t="s">
        <v>573</v>
      </c>
      <c r="I722">
        <v>81.150000000000006</v>
      </c>
      <c r="J722" t="s">
        <v>3263</v>
      </c>
      <c r="K722">
        <v>89.77</v>
      </c>
      <c r="L722" s="1">
        <v>45436</v>
      </c>
      <c r="M722">
        <f>G722*IF(D722="INR",1,INDEX('rates'!$B$2:$B$522,MATCH(B722,'rates'!$A$2:$A$522,1)))</f>
        <v>1969505.3241999999</v>
      </c>
      <c r="N722">
        <f t="shared" si="11"/>
        <v>60</v>
      </c>
    </row>
    <row r="723" spans="1:14" x14ac:dyDescent="0.3">
      <c r="A723" t="s">
        <v>3992</v>
      </c>
      <c r="B723" s="1">
        <v>45391</v>
      </c>
      <c r="C723" t="s">
        <v>558</v>
      </c>
      <c r="D723" t="s">
        <v>36</v>
      </c>
      <c r="E723">
        <v>362</v>
      </c>
      <c r="F723" t="s">
        <v>3262</v>
      </c>
      <c r="G723">
        <v>32735.66</v>
      </c>
      <c r="H723" t="s">
        <v>556</v>
      </c>
      <c r="J723" t="s">
        <v>3263</v>
      </c>
      <c r="K723">
        <v>90.43</v>
      </c>
      <c r="L723" s="1">
        <v>45436</v>
      </c>
      <c r="M723">
        <f>G723*IF(D723="INR",1,INDEX('rates'!$B$2:$B$522,MATCH(B723,'rates'!$A$2:$A$522,1)))</f>
        <v>2722952.1988000004</v>
      </c>
      <c r="N723">
        <f t="shared" si="11"/>
        <v>45</v>
      </c>
    </row>
    <row r="724" spans="1:14" x14ac:dyDescent="0.3">
      <c r="A724" t="s">
        <v>3995</v>
      </c>
      <c r="B724" s="1">
        <v>45391</v>
      </c>
      <c r="C724" t="s">
        <v>558</v>
      </c>
      <c r="D724" t="s">
        <v>36</v>
      </c>
      <c r="E724">
        <v>982</v>
      </c>
      <c r="F724" t="s">
        <v>3262</v>
      </c>
      <c r="G724">
        <v>90294.9</v>
      </c>
      <c r="H724" t="s">
        <v>556</v>
      </c>
      <c r="J724" t="s">
        <v>3263</v>
      </c>
      <c r="K724">
        <v>91.95</v>
      </c>
      <c r="L724" s="1">
        <v>45436</v>
      </c>
      <c r="M724">
        <f>G724*IF(D724="INR",1,INDEX('rates'!$B$2:$B$522,MATCH(B724,'rates'!$A$2:$A$522,1)))</f>
        <v>7510729.7820000006</v>
      </c>
      <c r="N724">
        <f t="shared" si="11"/>
        <v>45</v>
      </c>
    </row>
    <row r="725" spans="1:14" x14ac:dyDescent="0.3">
      <c r="A725" t="s">
        <v>4027</v>
      </c>
      <c r="B725" s="1">
        <v>45406</v>
      </c>
      <c r="C725" t="s">
        <v>575</v>
      </c>
      <c r="D725" t="s">
        <v>36</v>
      </c>
      <c r="E725">
        <v>965</v>
      </c>
      <c r="F725" t="s">
        <v>3262</v>
      </c>
      <c r="G725">
        <v>87930.8</v>
      </c>
      <c r="H725" t="s">
        <v>573</v>
      </c>
      <c r="I725">
        <v>83.36</v>
      </c>
      <c r="J725" t="s">
        <v>3263</v>
      </c>
      <c r="K725">
        <v>91.12</v>
      </c>
      <c r="L725" s="1">
        <v>45436</v>
      </c>
      <c r="M725">
        <f>G725*IF(D725="INR",1,INDEX('rates'!$B$2:$B$522,MATCH(B725,'rates'!$A$2:$A$522,1)))</f>
        <v>7328152.8720000004</v>
      </c>
      <c r="N725">
        <f t="shared" si="11"/>
        <v>30</v>
      </c>
    </row>
    <row r="726" spans="1:14" x14ac:dyDescent="0.3">
      <c r="A726" t="s">
        <v>4029</v>
      </c>
      <c r="B726" s="1">
        <v>45406</v>
      </c>
      <c r="C726" t="s">
        <v>558</v>
      </c>
      <c r="D726" t="s">
        <v>13</v>
      </c>
      <c r="E726">
        <v>74305</v>
      </c>
      <c r="F726" t="s">
        <v>3270</v>
      </c>
      <c r="G726">
        <v>6973524.25</v>
      </c>
      <c r="H726" t="s">
        <v>556</v>
      </c>
      <c r="J726" t="s">
        <v>3271</v>
      </c>
      <c r="K726">
        <v>93.85</v>
      </c>
      <c r="L726" s="1">
        <v>45436</v>
      </c>
      <c r="M726">
        <f>G726*IF(D726="INR",1,INDEX('rates'!$B$2:$B$522,MATCH(B726,'rates'!$A$2:$A$522,1)))</f>
        <v>6973524.25</v>
      </c>
      <c r="N726">
        <f t="shared" si="11"/>
        <v>30</v>
      </c>
    </row>
    <row r="727" spans="1:14" x14ac:dyDescent="0.3">
      <c r="A727" t="s">
        <v>3964</v>
      </c>
      <c r="B727" s="1">
        <v>45377</v>
      </c>
      <c r="C727" t="s">
        <v>566</v>
      </c>
      <c r="D727" t="s">
        <v>36</v>
      </c>
      <c r="E727">
        <v>1772</v>
      </c>
      <c r="F727" t="s">
        <v>3262</v>
      </c>
      <c r="G727">
        <v>147855.67999999999</v>
      </c>
      <c r="H727" t="s">
        <v>573</v>
      </c>
      <c r="I727">
        <v>79.510000000000005</v>
      </c>
      <c r="J727" t="s">
        <v>3263</v>
      </c>
      <c r="K727">
        <v>83.44</v>
      </c>
      <c r="L727" s="1">
        <v>45437</v>
      </c>
      <c r="M727">
        <f>G727*IF(D727="INR",1,INDEX('rates'!$B$2:$B$522,MATCH(B727,'rates'!$A$2:$A$522,1)))</f>
        <v>12319335.257599998</v>
      </c>
      <c r="N727">
        <f t="shared" si="11"/>
        <v>60</v>
      </c>
    </row>
    <row r="728" spans="1:14" x14ac:dyDescent="0.3">
      <c r="A728" t="s">
        <v>4030</v>
      </c>
      <c r="B728" s="1">
        <v>45407</v>
      </c>
      <c r="C728" t="s">
        <v>575</v>
      </c>
      <c r="D728" t="s">
        <v>36</v>
      </c>
      <c r="E728">
        <v>258</v>
      </c>
      <c r="F728" t="s">
        <v>3262</v>
      </c>
      <c r="G728">
        <v>22951.68</v>
      </c>
      <c r="H728" t="s">
        <v>573</v>
      </c>
      <c r="I728">
        <v>83.94</v>
      </c>
      <c r="J728" t="s">
        <v>3263</v>
      </c>
      <c r="K728">
        <v>88.96</v>
      </c>
      <c r="L728" s="1">
        <v>45437</v>
      </c>
      <c r="M728">
        <f>G728*IF(D728="INR",1,INDEX('rates'!$B$2:$B$522,MATCH(B728,'rates'!$A$2:$A$522,1)))</f>
        <v>1912104.4608</v>
      </c>
      <c r="N728">
        <f t="shared" si="11"/>
        <v>30</v>
      </c>
    </row>
    <row r="729" spans="1:14" x14ac:dyDescent="0.3">
      <c r="A729" t="s">
        <v>4036</v>
      </c>
      <c r="B729" s="1">
        <v>45408</v>
      </c>
      <c r="C729" t="s">
        <v>560</v>
      </c>
      <c r="D729" t="s">
        <v>13</v>
      </c>
      <c r="E729">
        <v>52160</v>
      </c>
      <c r="F729" t="s">
        <v>3270</v>
      </c>
      <c r="G729">
        <v>3183325</v>
      </c>
      <c r="H729" t="s">
        <v>556</v>
      </c>
      <c r="J729" t="s">
        <v>3271</v>
      </c>
      <c r="K729">
        <v>61.03</v>
      </c>
      <c r="L729" s="1">
        <v>45438</v>
      </c>
      <c r="M729">
        <f>G729*IF(D729="INR",1,INDEX('rates'!$B$2:$B$522,MATCH(B729,'rates'!$A$2:$A$522,1)))</f>
        <v>3183325</v>
      </c>
      <c r="N729">
        <f t="shared" si="11"/>
        <v>30</v>
      </c>
    </row>
    <row r="730" spans="1:14" x14ac:dyDescent="0.3">
      <c r="A730" t="s">
        <v>4039</v>
      </c>
      <c r="B730" s="1">
        <v>45408</v>
      </c>
      <c r="C730" t="s">
        <v>554</v>
      </c>
      <c r="D730" t="s">
        <v>13</v>
      </c>
      <c r="E730">
        <v>41827</v>
      </c>
      <c r="F730" t="s">
        <v>3270</v>
      </c>
      <c r="G730">
        <v>3351179.24</v>
      </c>
      <c r="H730" t="s">
        <v>556</v>
      </c>
      <c r="J730" t="s">
        <v>3271</v>
      </c>
      <c r="K730">
        <v>80.12</v>
      </c>
      <c r="L730" s="1">
        <v>45438</v>
      </c>
      <c r="M730">
        <f>G730*IF(D730="INR",1,INDEX('rates'!$B$2:$B$522,MATCH(B730,'rates'!$A$2:$A$522,1)))</f>
        <v>3351179.24</v>
      </c>
      <c r="N730">
        <f t="shared" si="11"/>
        <v>30</v>
      </c>
    </row>
    <row r="731" spans="1:14" x14ac:dyDescent="0.3">
      <c r="A731" t="s">
        <v>3969</v>
      </c>
      <c r="B731" s="1">
        <v>45379</v>
      </c>
      <c r="C731" t="s">
        <v>575</v>
      </c>
      <c r="D731" t="s">
        <v>36</v>
      </c>
      <c r="E731">
        <v>1066</v>
      </c>
      <c r="F731" t="s">
        <v>3262</v>
      </c>
      <c r="G731">
        <v>94714.1</v>
      </c>
      <c r="H731" t="s">
        <v>573</v>
      </c>
      <c r="I731">
        <v>76.92</v>
      </c>
      <c r="J731" t="s">
        <v>3263</v>
      </c>
      <c r="K731">
        <v>88.85</v>
      </c>
      <c r="L731" s="1">
        <v>45439</v>
      </c>
      <c r="M731">
        <f>G731*IF(D731="INR",1,INDEX('rates'!$B$2:$B$522,MATCH(B731,'rates'!$A$2:$A$522,1)))</f>
        <v>7894420.2350000003</v>
      </c>
      <c r="N731">
        <f t="shared" si="11"/>
        <v>60</v>
      </c>
    </row>
    <row r="732" spans="1:14" x14ac:dyDescent="0.3">
      <c r="A732" t="s">
        <v>3999</v>
      </c>
      <c r="B732" s="1">
        <v>45394</v>
      </c>
      <c r="C732" t="s">
        <v>575</v>
      </c>
      <c r="D732" t="s">
        <v>13</v>
      </c>
      <c r="E732">
        <v>48912</v>
      </c>
      <c r="F732" t="s">
        <v>3270</v>
      </c>
      <c r="G732">
        <v>4152139.68</v>
      </c>
      <c r="H732" t="s">
        <v>556</v>
      </c>
      <c r="J732" t="s">
        <v>3271</v>
      </c>
      <c r="K732">
        <v>84.89</v>
      </c>
      <c r="L732" s="1">
        <v>45439</v>
      </c>
      <c r="M732">
        <f>G732*IF(D732="INR",1,INDEX('rates'!$B$2:$B$522,MATCH(B732,'rates'!$A$2:$A$522,1)))</f>
        <v>4152139.68</v>
      </c>
      <c r="N732">
        <f t="shared" si="11"/>
        <v>45</v>
      </c>
    </row>
    <row r="733" spans="1:14" x14ac:dyDescent="0.3">
      <c r="A733" t="s">
        <v>3970</v>
      </c>
      <c r="B733" s="1">
        <v>45380</v>
      </c>
      <c r="C733" t="s">
        <v>566</v>
      </c>
      <c r="D733" t="s">
        <v>36</v>
      </c>
      <c r="E733">
        <v>1316</v>
      </c>
      <c r="F733" t="s">
        <v>3262</v>
      </c>
      <c r="G733">
        <v>118874.28</v>
      </c>
      <c r="H733" t="s">
        <v>573</v>
      </c>
      <c r="I733">
        <v>76.92</v>
      </c>
      <c r="J733" t="s">
        <v>3263</v>
      </c>
      <c r="K733">
        <v>90.33</v>
      </c>
      <c r="L733" s="1">
        <v>45440</v>
      </c>
      <c r="M733">
        <f>G733*IF(D733="INR",1,INDEX('rates'!$B$2:$B$522,MATCH(B733,'rates'!$A$2:$A$522,1)))</f>
        <v>9906982.4952000007</v>
      </c>
      <c r="N733">
        <f t="shared" si="11"/>
        <v>60</v>
      </c>
    </row>
    <row r="734" spans="1:14" x14ac:dyDescent="0.3">
      <c r="A734" t="s">
        <v>3971</v>
      </c>
      <c r="B734" s="1">
        <v>45380</v>
      </c>
      <c r="C734" t="s">
        <v>558</v>
      </c>
      <c r="D734" t="s">
        <v>36</v>
      </c>
      <c r="E734">
        <v>1808</v>
      </c>
      <c r="F734" t="s">
        <v>3262</v>
      </c>
      <c r="G734">
        <v>163678.24</v>
      </c>
      <c r="H734" t="s">
        <v>556</v>
      </c>
      <c r="J734" t="s">
        <v>3263</v>
      </c>
      <c r="K734">
        <v>90.53</v>
      </c>
      <c r="L734" s="1">
        <v>45440</v>
      </c>
      <c r="M734">
        <f>G734*IF(D734="INR",1,INDEX('rates'!$B$2:$B$522,MATCH(B734,'rates'!$A$2:$A$522,1)))</f>
        <v>13640944.521600001</v>
      </c>
      <c r="N734">
        <f t="shared" si="11"/>
        <v>60</v>
      </c>
    </row>
    <row r="735" spans="1:14" x14ac:dyDescent="0.3">
      <c r="A735" t="s">
        <v>3973</v>
      </c>
      <c r="B735" s="1">
        <v>45380</v>
      </c>
      <c r="C735" t="s">
        <v>566</v>
      </c>
      <c r="D735" t="s">
        <v>36</v>
      </c>
      <c r="E735">
        <v>1850</v>
      </c>
      <c r="F735" t="s">
        <v>3262</v>
      </c>
      <c r="G735">
        <v>167147.5</v>
      </c>
      <c r="H735" t="s">
        <v>573</v>
      </c>
      <c r="I735">
        <v>76.92</v>
      </c>
      <c r="J735" t="s">
        <v>3263</v>
      </c>
      <c r="K735">
        <v>90.35</v>
      </c>
      <c r="L735" s="1">
        <v>45440</v>
      </c>
      <c r="M735">
        <f>G735*IF(D735="INR",1,INDEX('rates'!$B$2:$B$522,MATCH(B735,'rates'!$A$2:$A$522,1)))</f>
        <v>13930072.65</v>
      </c>
      <c r="N735">
        <f t="shared" si="11"/>
        <v>60</v>
      </c>
    </row>
    <row r="736" spans="1:14" x14ac:dyDescent="0.3">
      <c r="A736" t="s">
        <v>3976</v>
      </c>
      <c r="B736" s="1">
        <v>45380</v>
      </c>
      <c r="C736" t="s">
        <v>560</v>
      </c>
      <c r="D736" t="s">
        <v>36</v>
      </c>
      <c r="E736">
        <v>795</v>
      </c>
      <c r="F736" t="s">
        <v>3262</v>
      </c>
      <c r="G736">
        <v>71327.399999999994</v>
      </c>
      <c r="H736" t="s">
        <v>573</v>
      </c>
      <c r="I736">
        <v>76.92</v>
      </c>
      <c r="J736" t="s">
        <v>3263</v>
      </c>
      <c r="K736">
        <v>89.72</v>
      </c>
      <c r="L736" s="1">
        <v>45440</v>
      </c>
      <c r="M736">
        <f>G736*IF(D736="INR",1,INDEX('rates'!$B$2:$B$522,MATCH(B736,'rates'!$A$2:$A$522,1)))</f>
        <v>5944425.5159999998</v>
      </c>
      <c r="N736">
        <f t="shared" si="11"/>
        <v>60</v>
      </c>
    </row>
    <row r="737" spans="1:14" x14ac:dyDescent="0.3">
      <c r="A737" t="s">
        <v>3977</v>
      </c>
      <c r="B737" s="1">
        <v>45380</v>
      </c>
      <c r="C737" t="s">
        <v>558</v>
      </c>
      <c r="D737" t="s">
        <v>36</v>
      </c>
      <c r="E737">
        <v>952</v>
      </c>
      <c r="F737" t="s">
        <v>3262</v>
      </c>
      <c r="G737">
        <v>84927.92</v>
      </c>
      <c r="H737" t="s">
        <v>556</v>
      </c>
      <c r="J737" t="s">
        <v>3263</v>
      </c>
      <c r="K737">
        <v>89.21</v>
      </c>
      <c r="L737" s="1">
        <v>45440</v>
      </c>
      <c r="M737">
        <f>G737*IF(D737="INR",1,INDEX('rates'!$B$2:$B$522,MATCH(B737,'rates'!$A$2:$A$522,1)))</f>
        <v>7077892.8528000005</v>
      </c>
      <c r="N737">
        <f t="shared" si="11"/>
        <v>60</v>
      </c>
    </row>
    <row r="738" spans="1:14" x14ac:dyDescent="0.3">
      <c r="A738" t="s">
        <v>4005</v>
      </c>
      <c r="B738" s="1">
        <v>45397</v>
      </c>
      <c r="C738" t="s">
        <v>554</v>
      </c>
      <c r="D738" t="s">
        <v>36</v>
      </c>
      <c r="E738">
        <v>998</v>
      </c>
      <c r="F738" t="s">
        <v>3262</v>
      </c>
      <c r="G738">
        <v>89929.78</v>
      </c>
      <c r="H738" t="s">
        <v>556</v>
      </c>
      <c r="J738" t="s">
        <v>3263</v>
      </c>
      <c r="K738">
        <v>90.11</v>
      </c>
      <c r="L738" s="1">
        <v>45442</v>
      </c>
      <c r="M738">
        <f>G738*IF(D738="INR",1,INDEX('rates'!$B$2:$B$522,MATCH(B738,'rates'!$A$2:$A$522,1)))</f>
        <v>7507338.0344000002</v>
      </c>
      <c r="N738">
        <f t="shared" si="11"/>
        <v>45</v>
      </c>
    </row>
    <row r="739" spans="1:14" x14ac:dyDescent="0.3">
      <c r="A739" t="s">
        <v>4006</v>
      </c>
      <c r="B739" s="1">
        <v>45398</v>
      </c>
      <c r="C739" t="s">
        <v>560</v>
      </c>
      <c r="D739" t="s">
        <v>13</v>
      </c>
      <c r="E739">
        <v>49486</v>
      </c>
      <c r="F739" t="s">
        <v>3270</v>
      </c>
      <c r="G739">
        <v>3620890.62</v>
      </c>
      <c r="H739" t="s">
        <v>556</v>
      </c>
      <c r="J739" t="s">
        <v>3271</v>
      </c>
      <c r="K739">
        <v>73.17</v>
      </c>
      <c r="L739" s="1">
        <v>45443</v>
      </c>
      <c r="M739">
        <f>G739*IF(D739="INR",1,INDEX('rates'!$B$2:$B$522,MATCH(B739,'rates'!$A$2:$A$522,1)))</f>
        <v>3620890.62</v>
      </c>
      <c r="N739">
        <f t="shared" si="11"/>
        <v>45</v>
      </c>
    </row>
    <row r="740" spans="1:14" x14ac:dyDescent="0.3">
      <c r="A740" t="s">
        <v>4048</v>
      </c>
      <c r="B740" s="1">
        <v>45413</v>
      </c>
      <c r="C740" t="s">
        <v>560</v>
      </c>
      <c r="D740" t="s">
        <v>36</v>
      </c>
      <c r="E740">
        <v>241</v>
      </c>
      <c r="F740" t="s">
        <v>3262</v>
      </c>
      <c r="G740">
        <v>20431.98</v>
      </c>
      <c r="H740" t="s">
        <v>573</v>
      </c>
      <c r="I740">
        <v>79.569999999999993</v>
      </c>
      <c r="J740" t="s">
        <v>3263</v>
      </c>
      <c r="K740">
        <v>84.78</v>
      </c>
      <c r="L740" s="1">
        <v>45443</v>
      </c>
      <c r="M740">
        <f>G740*IF(D740="INR",1,INDEX('rates'!$B$2:$B$522,MATCH(B740,'rates'!$A$2:$A$522,1)))</f>
        <v>1705048.7309999999</v>
      </c>
      <c r="N740">
        <f t="shared" si="11"/>
        <v>30</v>
      </c>
    </row>
    <row r="741" spans="1:14" x14ac:dyDescent="0.3">
      <c r="A741" t="s">
        <v>3982</v>
      </c>
      <c r="B741" s="1">
        <v>45384</v>
      </c>
      <c r="C741" t="s">
        <v>554</v>
      </c>
      <c r="D741" t="s">
        <v>36</v>
      </c>
      <c r="E741">
        <v>1085</v>
      </c>
      <c r="F741" t="s">
        <v>3262</v>
      </c>
      <c r="G741">
        <v>99364.3</v>
      </c>
      <c r="H741" t="s">
        <v>573</v>
      </c>
      <c r="I741">
        <v>78.08</v>
      </c>
      <c r="J741" t="s">
        <v>3263</v>
      </c>
      <c r="K741">
        <v>91.58</v>
      </c>
      <c r="L741" s="1">
        <v>45444</v>
      </c>
      <c r="M741">
        <f>G741*IF(D741="INR",1,INDEX('rates'!$B$2:$B$522,MATCH(B741,'rates'!$A$2:$A$522,1)))</f>
        <v>8279033.4759999998</v>
      </c>
      <c r="N741">
        <f t="shared" si="11"/>
        <v>60</v>
      </c>
    </row>
    <row r="742" spans="1:14" x14ac:dyDescent="0.3">
      <c r="A742" t="s">
        <v>3983</v>
      </c>
      <c r="B742" s="1">
        <v>45384</v>
      </c>
      <c r="C742" t="s">
        <v>558</v>
      </c>
      <c r="D742" t="s">
        <v>36</v>
      </c>
      <c r="E742">
        <v>354</v>
      </c>
      <c r="F742" t="s">
        <v>3262</v>
      </c>
      <c r="G742">
        <v>33350.339999999997</v>
      </c>
      <c r="H742" t="s">
        <v>573</v>
      </c>
      <c r="I742">
        <v>78.08</v>
      </c>
      <c r="J742" t="s">
        <v>3263</v>
      </c>
      <c r="K742">
        <v>94.21</v>
      </c>
      <c r="L742" s="1">
        <v>45444</v>
      </c>
      <c r="M742">
        <f>G742*IF(D742="INR",1,INDEX('rates'!$B$2:$B$522,MATCH(B742,'rates'!$A$2:$A$522,1)))</f>
        <v>2778750.3287999993</v>
      </c>
      <c r="N742">
        <f t="shared" si="11"/>
        <v>60</v>
      </c>
    </row>
    <row r="743" spans="1:14" x14ac:dyDescent="0.3">
      <c r="A743" t="s">
        <v>3984</v>
      </c>
      <c r="B743" s="1">
        <v>45384</v>
      </c>
      <c r="C743" t="s">
        <v>558</v>
      </c>
      <c r="D743" t="s">
        <v>36</v>
      </c>
      <c r="E743">
        <v>1204</v>
      </c>
      <c r="F743" t="s">
        <v>3262</v>
      </c>
      <c r="G743">
        <v>108323.88</v>
      </c>
      <c r="H743" t="s">
        <v>573</v>
      </c>
      <c r="I743">
        <v>78.08</v>
      </c>
      <c r="J743" t="s">
        <v>3263</v>
      </c>
      <c r="K743">
        <v>89.97</v>
      </c>
      <c r="L743" s="1">
        <v>45444</v>
      </c>
      <c r="M743">
        <f>G743*IF(D743="INR",1,INDEX('rates'!$B$2:$B$522,MATCH(B743,'rates'!$A$2:$A$522,1)))</f>
        <v>9025545.6815999988</v>
      </c>
      <c r="N743">
        <f t="shared" si="11"/>
        <v>60</v>
      </c>
    </row>
    <row r="744" spans="1:14" x14ac:dyDescent="0.3">
      <c r="A744" t="s">
        <v>4008</v>
      </c>
      <c r="B744" s="1">
        <v>45399</v>
      </c>
      <c r="C744" t="s">
        <v>558</v>
      </c>
      <c r="D744" t="s">
        <v>13</v>
      </c>
      <c r="E744">
        <v>63223</v>
      </c>
      <c r="F744" t="s">
        <v>3270</v>
      </c>
      <c r="G744">
        <v>5180492.62</v>
      </c>
      <c r="H744" t="s">
        <v>556</v>
      </c>
      <c r="J744" t="s">
        <v>3271</v>
      </c>
      <c r="K744">
        <v>81.94</v>
      </c>
      <c r="L744" s="1">
        <v>45444</v>
      </c>
      <c r="M744">
        <f>G744*IF(D744="INR",1,INDEX('rates'!$B$2:$B$522,MATCH(B744,'rates'!$A$2:$A$522,1)))</f>
        <v>5180492.62</v>
      </c>
      <c r="N744">
        <f t="shared" si="11"/>
        <v>45</v>
      </c>
    </row>
    <row r="745" spans="1:14" x14ac:dyDescent="0.3">
      <c r="A745" t="s">
        <v>4051</v>
      </c>
      <c r="B745" s="1">
        <v>45414</v>
      </c>
      <c r="C745" t="s">
        <v>560</v>
      </c>
      <c r="D745" t="s">
        <v>13</v>
      </c>
      <c r="E745">
        <v>66790</v>
      </c>
      <c r="F745" t="s">
        <v>3270</v>
      </c>
      <c r="G745">
        <v>6741115</v>
      </c>
      <c r="H745" t="s">
        <v>556</v>
      </c>
      <c r="J745" t="s">
        <v>3271</v>
      </c>
      <c r="K745">
        <v>100.93</v>
      </c>
      <c r="L745" s="1">
        <v>45444</v>
      </c>
      <c r="M745">
        <f>G745*IF(D745="INR",1,INDEX('rates'!$B$2:$B$522,MATCH(B745,'rates'!$A$2:$A$522,1)))</f>
        <v>6741115</v>
      </c>
      <c r="N745">
        <f t="shared" si="11"/>
        <v>30</v>
      </c>
    </row>
    <row r="746" spans="1:14" x14ac:dyDescent="0.3">
      <c r="A746" t="s">
        <v>3987</v>
      </c>
      <c r="B746" s="1">
        <v>45385</v>
      </c>
      <c r="C746" t="s">
        <v>558</v>
      </c>
      <c r="D746" t="s">
        <v>13</v>
      </c>
      <c r="E746">
        <v>58121</v>
      </c>
      <c r="F746" t="s">
        <v>3270</v>
      </c>
      <c r="G746">
        <v>4750810.54</v>
      </c>
      <c r="H746" t="s">
        <v>556</v>
      </c>
      <c r="J746" t="s">
        <v>3271</v>
      </c>
      <c r="K746">
        <v>81.739999999999995</v>
      </c>
      <c r="L746" s="1">
        <v>45445</v>
      </c>
      <c r="M746">
        <f>G746*IF(D746="INR",1,INDEX('rates'!$B$2:$B$522,MATCH(B746,'rates'!$A$2:$A$522,1)))</f>
        <v>4750810.54</v>
      </c>
      <c r="N746">
        <f t="shared" si="11"/>
        <v>60</v>
      </c>
    </row>
    <row r="747" spans="1:14" x14ac:dyDescent="0.3">
      <c r="A747" t="s">
        <v>4012</v>
      </c>
      <c r="B747" s="1">
        <v>45400</v>
      </c>
      <c r="C747" t="s">
        <v>560</v>
      </c>
      <c r="D747" t="s">
        <v>36</v>
      </c>
      <c r="E747">
        <v>895</v>
      </c>
      <c r="F747" t="s">
        <v>3262</v>
      </c>
      <c r="G747">
        <v>79834</v>
      </c>
      <c r="H747" t="s">
        <v>556</v>
      </c>
      <c r="J747" t="s">
        <v>3263</v>
      </c>
      <c r="K747">
        <v>89.2</v>
      </c>
      <c r="L747" s="1">
        <v>45445</v>
      </c>
      <c r="M747">
        <f>G747*IF(D747="INR",1,INDEX('rates'!$B$2:$B$522,MATCH(B747,'rates'!$A$2:$A$522,1)))</f>
        <v>6668534.0200000005</v>
      </c>
      <c r="N747">
        <f t="shared" si="11"/>
        <v>45</v>
      </c>
    </row>
    <row r="748" spans="1:14" x14ac:dyDescent="0.3">
      <c r="A748" t="s">
        <v>4014</v>
      </c>
      <c r="B748" s="1">
        <v>45400</v>
      </c>
      <c r="C748" t="s">
        <v>558</v>
      </c>
      <c r="D748" t="s">
        <v>36</v>
      </c>
      <c r="E748">
        <v>2539</v>
      </c>
      <c r="F748" t="s">
        <v>3262</v>
      </c>
      <c r="G748">
        <v>222137</v>
      </c>
      <c r="H748" t="s">
        <v>556</v>
      </c>
      <c r="J748" t="s">
        <v>3263</v>
      </c>
      <c r="K748">
        <v>87.49</v>
      </c>
      <c r="L748" s="1">
        <v>45445</v>
      </c>
      <c r="M748">
        <f>G748*IF(D748="INR",1,INDEX('rates'!$B$2:$B$522,MATCH(B748,'rates'!$A$2:$A$522,1)))</f>
        <v>18555103.609999999</v>
      </c>
      <c r="N748">
        <f t="shared" si="11"/>
        <v>45</v>
      </c>
    </row>
    <row r="749" spans="1:14" x14ac:dyDescent="0.3">
      <c r="A749" t="s">
        <v>4052</v>
      </c>
      <c r="B749" s="1">
        <v>45415</v>
      </c>
      <c r="C749" t="s">
        <v>558</v>
      </c>
      <c r="D749" t="s">
        <v>36</v>
      </c>
      <c r="E749">
        <v>584</v>
      </c>
      <c r="F749" t="s">
        <v>3262</v>
      </c>
      <c r="G749">
        <v>49295.44</v>
      </c>
      <c r="H749" t="s">
        <v>556</v>
      </c>
      <c r="J749" t="s">
        <v>3263</v>
      </c>
      <c r="K749">
        <v>84.41</v>
      </c>
      <c r="L749" s="1">
        <v>45445</v>
      </c>
      <c r="M749">
        <f>G749*IF(D749="INR",1,INDEX('rates'!$B$2:$B$522,MATCH(B749,'rates'!$A$2:$A$522,1)))</f>
        <v>4112718.5592000005</v>
      </c>
      <c r="N749">
        <f t="shared" si="11"/>
        <v>30</v>
      </c>
    </row>
    <row r="750" spans="1:14" x14ac:dyDescent="0.3">
      <c r="A750" t="s">
        <v>4056</v>
      </c>
      <c r="B750" s="1">
        <v>45415</v>
      </c>
      <c r="C750" t="s">
        <v>560</v>
      </c>
      <c r="D750" t="s">
        <v>36</v>
      </c>
      <c r="E750">
        <v>523</v>
      </c>
      <c r="F750" t="s">
        <v>3262</v>
      </c>
      <c r="G750">
        <v>44517.760000000002</v>
      </c>
      <c r="H750" t="s">
        <v>556</v>
      </c>
      <c r="J750" t="s">
        <v>3263</v>
      </c>
      <c r="K750">
        <v>85.12</v>
      </c>
      <c r="L750" s="1">
        <v>45445</v>
      </c>
      <c r="M750">
        <f>G750*IF(D750="INR",1,INDEX('rates'!$B$2:$B$522,MATCH(B750,'rates'!$A$2:$A$522,1)))</f>
        <v>3714116.7168000005</v>
      </c>
      <c r="N750">
        <f t="shared" si="11"/>
        <v>30</v>
      </c>
    </row>
    <row r="751" spans="1:14" x14ac:dyDescent="0.3">
      <c r="A751" t="s">
        <v>4058</v>
      </c>
      <c r="B751" s="1">
        <v>45415</v>
      </c>
      <c r="C751" t="s">
        <v>560</v>
      </c>
      <c r="D751" t="s">
        <v>36</v>
      </c>
      <c r="E751">
        <v>1084</v>
      </c>
      <c r="F751" t="s">
        <v>3262</v>
      </c>
      <c r="G751">
        <v>91261.96</v>
      </c>
      <c r="H751" t="s">
        <v>573</v>
      </c>
      <c r="I751">
        <v>77.81</v>
      </c>
      <c r="J751" t="s">
        <v>3263</v>
      </c>
      <c r="K751">
        <v>84.19</v>
      </c>
      <c r="L751" s="1">
        <v>45445</v>
      </c>
      <c r="M751">
        <f>G751*IF(D751="INR",1,INDEX('rates'!$B$2:$B$522,MATCH(B751,'rates'!$A$2:$A$522,1)))</f>
        <v>7613985.3228000011</v>
      </c>
      <c r="N751">
        <f t="shared" si="11"/>
        <v>30</v>
      </c>
    </row>
    <row r="752" spans="1:14" x14ac:dyDescent="0.3">
      <c r="A752" t="s">
        <v>4019</v>
      </c>
      <c r="B752" s="1">
        <v>45401</v>
      </c>
      <c r="C752" t="s">
        <v>566</v>
      </c>
      <c r="D752" t="s">
        <v>36</v>
      </c>
      <c r="E752">
        <v>789</v>
      </c>
      <c r="F752" t="s">
        <v>3262</v>
      </c>
      <c r="G752">
        <v>71333.490000000005</v>
      </c>
      <c r="H752" t="s">
        <v>556</v>
      </c>
      <c r="J752" t="s">
        <v>3263</v>
      </c>
      <c r="K752">
        <v>90.41</v>
      </c>
      <c r="L752" s="1">
        <v>45446</v>
      </c>
      <c r="M752">
        <f>G752*IF(D752="INR",1,INDEX('rates'!$B$2:$B$522,MATCH(B752,'rates'!$A$2:$A$522,1)))</f>
        <v>5953493.0754000004</v>
      </c>
      <c r="N752">
        <f t="shared" si="11"/>
        <v>45</v>
      </c>
    </row>
    <row r="753" spans="1:14" x14ac:dyDescent="0.3">
      <c r="A753" t="s">
        <v>4020</v>
      </c>
      <c r="B753" s="1">
        <v>45401</v>
      </c>
      <c r="C753" t="s">
        <v>566</v>
      </c>
      <c r="D753" t="s">
        <v>13</v>
      </c>
      <c r="E753">
        <v>99243</v>
      </c>
      <c r="F753" t="s">
        <v>3270</v>
      </c>
      <c r="G753">
        <v>8247093.2999999998</v>
      </c>
      <c r="H753" t="s">
        <v>556</v>
      </c>
      <c r="J753" t="s">
        <v>3271</v>
      </c>
      <c r="K753">
        <v>83.1</v>
      </c>
      <c r="L753" s="1">
        <v>45446</v>
      </c>
      <c r="M753">
        <f>G753*IF(D753="INR",1,INDEX('rates'!$B$2:$B$522,MATCH(B753,'rates'!$A$2:$A$522,1)))</f>
        <v>8247093.2999999998</v>
      </c>
      <c r="N753">
        <f t="shared" si="11"/>
        <v>45</v>
      </c>
    </row>
    <row r="754" spans="1:14" x14ac:dyDescent="0.3">
      <c r="A754" t="s">
        <v>3990</v>
      </c>
      <c r="B754" s="1">
        <v>45387</v>
      </c>
      <c r="C754" t="s">
        <v>566</v>
      </c>
      <c r="D754" t="s">
        <v>36</v>
      </c>
      <c r="E754">
        <v>374</v>
      </c>
      <c r="F754" t="s">
        <v>3262</v>
      </c>
      <c r="G754">
        <v>35776.839999999997</v>
      </c>
      <c r="H754" t="s">
        <v>573</v>
      </c>
      <c r="I754">
        <v>79.180000000000007</v>
      </c>
      <c r="J754" t="s">
        <v>3263</v>
      </c>
      <c r="K754">
        <v>95.66</v>
      </c>
      <c r="L754" s="1">
        <v>45447</v>
      </c>
      <c r="M754">
        <f>G754*IF(D754="INR",1,INDEX('rates'!$B$2:$B$522,MATCH(B754,'rates'!$A$2:$A$522,1)))</f>
        <v>2979853.0035999999</v>
      </c>
      <c r="N754">
        <f t="shared" si="11"/>
        <v>60</v>
      </c>
    </row>
    <row r="755" spans="1:14" x14ac:dyDescent="0.3">
      <c r="A755" t="s">
        <v>4022</v>
      </c>
      <c r="B755" s="1">
        <v>45404</v>
      </c>
      <c r="C755" t="s">
        <v>566</v>
      </c>
      <c r="D755" t="s">
        <v>13</v>
      </c>
      <c r="E755">
        <v>110103</v>
      </c>
      <c r="F755" t="s">
        <v>3270</v>
      </c>
      <c r="G755">
        <v>9836602.0199999996</v>
      </c>
      <c r="H755" t="s">
        <v>556</v>
      </c>
      <c r="J755" t="s">
        <v>3271</v>
      </c>
      <c r="K755">
        <v>89.34</v>
      </c>
      <c r="L755" s="1">
        <v>45449</v>
      </c>
      <c r="M755">
        <f>G755*IF(D755="INR",1,INDEX('rates'!$B$2:$B$522,MATCH(B755,'rates'!$A$2:$A$522,1)))</f>
        <v>9836602.0199999996</v>
      </c>
      <c r="N755">
        <f t="shared" si="11"/>
        <v>45</v>
      </c>
    </row>
    <row r="756" spans="1:14" x14ac:dyDescent="0.3">
      <c r="A756" t="s">
        <v>4023</v>
      </c>
      <c r="B756" s="1">
        <v>45404</v>
      </c>
      <c r="C756" t="s">
        <v>560</v>
      </c>
      <c r="D756" t="s">
        <v>36</v>
      </c>
      <c r="E756">
        <v>1293</v>
      </c>
      <c r="F756" t="s">
        <v>3262</v>
      </c>
      <c r="G756">
        <v>114727.89</v>
      </c>
      <c r="H756" t="s">
        <v>556</v>
      </c>
      <c r="J756" t="s">
        <v>3263</v>
      </c>
      <c r="K756">
        <v>88.73</v>
      </c>
      <c r="L756" s="1">
        <v>45449</v>
      </c>
      <c r="M756">
        <f>G756*IF(D756="INR",1,INDEX('rates'!$B$2:$B$522,MATCH(B756,'rates'!$A$2:$A$522,1)))</f>
        <v>9576336.9782999996</v>
      </c>
      <c r="N756">
        <f t="shared" si="11"/>
        <v>45</v>
      </c>
    </row>
    <row r="757" spans="1:14" x14ac:dyDescent="0.3">
      <c r="A757" t="s">
        <v>4024</v>
      </c>
      <c r="B757" s="1">
        <v>45405</v>
      </c>
      <c r="C757" t="s">
        <v>566</v>
      </c>
      <c r="D757" t="s">
        <v>36</v>
      </c>
      <c r="E757">
        <v>1934</v>
      </c>
      <c r="F757" t="s">
        <v>3262</v>
      </c>
      <c r="G757">
        <v>171120.32</v>
      </c>
      <c r="H757" t="s">
        <v>556</v>
      </c>
      <c r="J757" t="s">
        <v>3263</v>
      </c>
      <c r="K757">
        <v>88.48</v>
      </c>
      <c r="L757" s="1">
        <v>45450</v>
      </c>
      <c r="M757">
        <f>G757*IF(D757="INR",1,INDEX('rates'!$B$2:$B$522,MATCH(B757,'rates'!$A$2:$A$522,1)))</f>
        <v>14264589.8752</v>
      </c>
      <c r="N757">
        <f t="shared" si="11"/>
        <v>45</v>
      </c>
    </row>
    <row r="758" spans="1:14" x14ac:dyDescent="0.3">
      <c r="A758" t="s">
        <v>4026</v>
      </c>
      <c r="B758" s="1">
        <v>45405</v>
      </c>
      <c r="C758" t="s">
        <v>560</v>
      </c>
      <c r="D758" t="s">
        <v>36</v>
      </c>
      <c r="E758">
        <v>2497</v>
      </c>
      <c r="F758" t="s">
        <v>3262</v>
      </c>
      <c r="G758">
        <v>221209.23</v>
      </c>
      <c r="H758" t="s">
        <v>573</v>
      </c>
      <c r="I758">
        <v>80.760000000000005</v>
      </c>
      <c r="J758" t="s">
        <v>3263</v>
      </c>
      <c r="K758">
        <v>88.59</v>
      </c>
      <c r="L758" s="1">
        <v>45450</v>
      </c>
      <c r="M758">
        <f>G758*IF(D758="INR",1,INDEX('rates'!$B$2:$B$522,MATCH(B758,'rates'!$A$2:$A$522,1)))</f>
        <v>18440001.412799999</v>
      </c>
      <c r="N758">
        <f t="shared" si="11"/>
        <v>45</v>
      </c>
    </row>
    <row r="759" spans="1:14" x14ac:dyDescent="0.3">
      <c r="A759" t="s">
        <v>4061</v>
      </c>
      <c r="B759" s="1">
        <v>45420</v>
      </c>
      <c r="C759" t="s">
        <v>560</v>
      </c>
      <c r="D759" t="s">
        <v>36</v>
      </c>
      <c r="E759">
        <v>1809</v>
      </c>
      <c r="F759" t="s">
        <v>3262</v>
      </c>
      <c r="G759">
        <v>152679.6</v>
      </c>
      <c r="H759" t="s">
        <v>556</v>
      </c>
      <c r="J759" t="s">
        <v>3263</v>
      </c>
      <c r="K759">
        <v>84.4</v>
      </c>
      <c r="L759" s="1">
        <v>45450</v>
      </c>
      <c r="M759">
        <f>G759*IF(D759="INR",1,INDEX('rates'!$B$2:$B$522,MATCH(B759,'rates'!$A$2:$A$522,1)))</f>
        <v>12741112.620000001</v>
      </c>
      <c r="N759">
        <f t="shared" si="11"/>
        <v>30</v>
      </c>
    </row>
    <row r="760" spans="1:14" x14ac:dyDescent="0.3">
      <c r="A760" t="s">
        <v>4064</v>
      </c>
      <c r="B760" s="1">
        <v>45421</v>
      </c>
      <c r="C760" t="s">
        <v>558</v>
      </c>
      <c r="D760" t="s">
        <v>36</v>
      </c>
      <c r="E760">
        <v>1594</v>
      </c>
      <c r="F760" t="s">
        <v>3262</v>
      </c>
      <c r="G760">
        <v>135968.20000000001</v>
      </c>
      <c r="H760" t="s">
        <v>556</v>
      </c>
      <c r="J760" t="s">
        <v>3263</v>
      </c>
      <c r="K760">
        <v>85.3</v>
      </c>
      <c r="L760" s="1">
        <v>45451</v>
      </c>
      <c r="M760">
        <f>G760*IF(D760="INR",1,INDEX('rates'!$B$2:$B$522,MATCH(B760,'rates'!$A$2:$A$522,1)))</f>
        <v>11354704.382000001</v>
      </c>
      <c r="N760">
        <f t="shared" si="11"/>
        <v>30</v>
      </c>
    </row>
    <row r="761" spans="1:14" x14ac:dyDescent="0.3">
      <c r="A761" t="s">
        <v>3996</v>
      </c>
      <c r="B761" s="1">
        <v>45392</v>
      </c>
      <c r="C761" t="s">
        <v>575</v>
      </c>
      <c r="D761" t="s">
        <v>36</v>
      </c>
      <c r="E761">
        <v>2884</v>
      </c>
      <c r="F761" t="s">
        <v>3262</v>
      </c>
      <c r="G761">
        <v>267404.48</v>
      </c>
      <c r="H761" t="s">
        <v>556</v>
      </c>
      <c r="J761" t="s">
        <v>3263</v>
      </c>
      <c r="K761">
        <v>92.72</v>
      </c>
      <c r="L761" s="1">
        <v>45452</v>
      </c>
      <c r="M761">
        <f>G761*IF(D761="INR",1,INDEX('rates'!$B$2:$B$522,MATCH(B761,'rates'!$A$2:$A$522,1)))</f>
        <v>22293511.4976</v>
      </c>
      <c r="N761">
        <f t="shared" si="11"/>
        <v>60</v>
      </c>
    </row>
    <row r="762" spans="1:14" x14ac:dyDescent="0.3">
      <c r="A762" t="s">
        <v>4069</v>
      </c>
      <c r="B762" s="1">
        <v>45422</v>
      </c>
      <c r="C762" t="s">
        <v>560</v>
      </c>
      <c r="D762" t="s">
        <v>36</v>
      </c>
      <c r="E762">
        <v>690</v>
      </c>
      <c r="F762" t="s">
        <v>3262</v>
      </c>
      <c r="G762">
        <v>59622.9</v>
      </c>
      <c r="H762" t="s">
        <v>573</v>
      </c>
      <c r="I762">
        <v>82.67</v>
      </c>
      <c r="J762" t="s">
        <v>3263</v>
      </c>
      <c r="K762">
        <v>86.41</v>
      </c>
      <c r="L762" s="1">
        <v>45452</v>
      </c>
      <c r="M762">
        <f>G762*IF(D762="INR",1,INDEX('rates'!$B$2:$B$522,MATCH(B762,'rates'!$A$2:$A$522,1)))</f>
        <v>4980897.0660000006</v>
      </c>
      <c r="N762">
        <f t="shared" si="11"/>
        <v>30</v>
      </c>
    </row>
    <row r="763" spans="1:14" x14ac:dyDescent="0.3">
      <c r="A763" t="s">
        <v>4070</v>
      </c>
      <c r="B763" s="1">
        <v>45422</v>
      </c>
      <c r="C763" t="s">
        <v>558</v>
      </c>
      <c r="D763" t="s">
        <v>36</v>
      </c>
      <c r="E763">
        <v>177</v>
      </c>
      <c r="F763" t="s">
        <v>3262</v>
      </c>
      <c r="G763">
        <v>15144.12</v>
      </c>
      <c r="H763" t="s">
        <v>556</v>
      </c>
      <c r="J763" t="s">
        <v>3263</v>
      </c>
      <c r="K763">
        <v>85.56</v>
      </c>
      <c r="L763" s="1">
        <v>45452</v>
      </c>
      <c r="M763">
        <f>G763*IF(D763="INR",1,INDEX('rates'!$B$2:$B$522,MATCH(B763,'rates'!$A$2:$A$522,1)))</f>
        <v>1265139.7848000003</v>
      </c>
      <c r="N763">
        <f t="shared" si="11"/>
        <v>30</v>
      </c>
    </row>
    <row r="764" spans="1:14" x14ac:dyDescent="0.3">
      <c r="A764" t="s">
        <v>3998</v>
      </c>
      <c r="B764" s="1">
        <v>45393</v>
      </c>
      <c r="C764" t="s">
        <v>560</v>
      </c>
      <c r="D764" t="s">
        <v>36</v>
      </c>
      <c r="E764">
        <v>673</v>
      </c>
      <c r="F764" t="s">
        <v>3262</v>
      </c>
      <c r="G764">
        <v>59688.37</v>
      </c>
      <c r="H764" t="s">
        <v>556</v>
      </c>
      <c r="J764" t="s">
        <v>3263</v>
      </c>
      <c r="K764">
        <v>88.69</v>
      </c>
      <c r="L764" s="1">
        <v>45453</v>
      </c>
      <c r="M764">
        <f>G764*IF(D764="INR",1,INDEX('rates'!$B$2:$B$522,MATCH(B764,'rates'!$A$2:$A$522,1)))</f>
        <v>4965475.5003000004</v>
      </c>
      <c r="N764">
        <f t="shared" si="11"/>
        <v>60</v>
      </c>
    </row>
    <row r="765" spans="1:14" x14ac:dyDescent="0.3">
      <c r="A765" t="s">
        <v>4032</v>
      </c>
      <c r="B765" s="1">
        <v>45408</v>
      </c>
      <c r="C765" t="s">
        <v>554</v>
      </c>
      <c r="D765" t="s">
        <v>36</v>
      </c>
      <c r="E765">
        <v>300</v>
      </c>
      <c r="F765" t="s">
        <v>3262</v>
      </c>
      <c r="G765">
        <v>26664</v>
      </c>
      <c r="H765" t="s">
        <v>556</v>
      </c>
      <c r="J765" t="s">
        <v>3263</v>
      </c>
      <c r="K765">
        <v>88.88</v>
      </c>
      <c r="L765" s="1">
        <v>45453</v>
      </c>
      <c r="M765">
        <f>G765*IF(D765="INR",1,INDEX('rates'!$B$2:$B$522,MATCH(B765,'rates'!$A$2:$A$522,1)))</f>
        <v>2223244.3199999998</v>
      </c>
      <c r="N765">
        <f t="shared" si="11"/>
        <v>45</v>
      </c>
    </row>
    <row r="766" spans="1:14" x14ac:dyDescent="0.3">
      <c r="A766" t="s">
        <v>4033</v>
      </c>
      <c r="B766" s="1">
        <v>45408</v>
      </c>
      <c r="C766" t="s">
        <v>558</v>
      </c>
      <c r="D766" t="s">
        <v>13</v>
      </c>
      <c r="E766">
        <v>61062</v>
      </c>
      <c r="F766" t="s">
        <v>3270</v>
      </c>
      <c r="G766">
        <v>4661473.08</v>
      </c>
      <c r="H766" t="s">
        <v>556</v>
      </c>
      <c r="J766" t="s">
        <v>3271</v>
      </c>
      <c r="K766">
        <v>76.34</v>
      </c>
      <c r="L766" s="1">
        <v>45453</v>
      </c>
      <c r="M766">
        <f>G766*IF(D766="INR",1,INDEX('rates'!$B$2:$B$522,MATCH(B766,'rates'!$A$2:$A$522,1)))</f>
        <v>4661473.08</v>
      </c>
      <c r="N766">
        <f t="shared" si="11"/>
        <v>45</v>
      </c>
    </row>
    <row r="767" spans="1:14" x14ac:dyDescent="0.3">
      <c r="A767" t="s">
        <v>4034</v>
      </c>
      <c r="B767" s="1">
        <v>45408</v>
      </c>
      <c r="C767" t="s">
        <v>558</v>
      </c>
      <c r="D767" t="s">
        <v>13</v>
      </c>
      <c r="E767">
        <v>76743</v>
      </c>
      <c r="F767" t="s">
        <v>3270</v>
      </c>
      <c r="G767">
        <v>7696555.4699999997</v>
      </c>
      <c r="H767" t="s">
        <v>556</v>
      </c>
      <c r="J767" t="s">
        <v>3271</v>
      </c>
      <c r="K767">
        <v>100.29</v>
      </c>
      <c r="L767" s="1">
        <v>45453</v>
      </c>
      <c r="M767">
        <f>G767*IF(D767="INR",1,INDEX('rates'!$B$2:$B$522,MATCH(B767,'rates'!$A$2:$A$522,1)))</f>
        <v>7696555.4699999997</v>
      </c>
      <c r="N767">
        <f t="shared" si="11"/>
        <v>45</v>
      </c>
    </row>
    <row r="768" spans="1:14" x14ac:dyDescent="0.3">
      <c r="A768" t="s">
        <v>4037</v>
      </c>
      <c r="B768" s="1">
        <v>45408</v>
      </c>
      <c r="C768" t="s">
        <v>554</v>
      </c>
      <c r="D768" t="s">
        <v>36</v>
      </c>
      <c r="E768">
        <v>761</v>
      </c>
      <c r="F768" t="s">
        <v>3262</v>
      </c>
      <c r="G768">
        <v>67089.759999999995</v>
      </c>
      <c r="H768" t="s">
        <v>573</v>
      </c>
      <c r="I768">
        <v>83.94</v>
      </c>
      <c r="J768" t="s">
        <v>3263</v>
      </c>
      <c r="K768">
        <v>88.16</v>
      </c>
      <c r="L768" s="1">
        <v>45453</v>
      </c>
      <c r="M768">
        <f>G768*IF(D768="INR",1,INDEX('rates'!$B$2:$B$522,MATCH(B768,'rates'!$A$2:$A$522,1)))</f>
        <v>5593944.1887999997</v>
      </c>
      <c r="N768">
        <f t="shared" si="11"/>
        <v>45</v>
      </c>
    </row>
    <row r="769" spans="1:14" x14ac:dyDescent="0.3">
      <c r="A769" t="s">
        <v>4001</v>
      </c>
      <c r="B769" s="1">
        <v>45394</v>
      </c>
      <c r="C769" t="s">
        <v>566</v>
      </c>
      <c r="D769" t="s">
        <v>36</v>
      </c>
      <c r="E769">
        <v>1603</v>
      </c>
      <c r="F769" t="s">
        <v>3262</v>
      </c>
      <c r="G769">
        <v>148437.79999999999</v>
      </c>
      <c r="H769" t="s">
        <v>573</v>
      </c>
      <c r="I769">
        <v>78.05</v>
      </c>
      <c r="J769" t="s">
        <v>3263</v>
      </c>
      <c r="K769">
        <v>92.6</v>
      </c>
      <c r="L769" s="1">
        <v>45454</v>
      </c>
      <c r="M769">
        <f>G769*IF(D769="INR",1,INDEX('rates'!$B$2:$B$522,MATCH(B769,'rates'!$A$2:$A$522,1)))</f>
        <v>12407915.702</v>
      </c>
      <c r="N769">
        <f t="shared" si="11"/>
        <v>60</v>
      </c>
    </row>
    <row r="770" spans="1:14" x14ac:dyDescent="0.3">
      <c r="A770" t="s">
        <v>4003</v>
      </c>
      <c r="B770" s="1">
        <v>45394</v>
      </c>
      <c r="C770" t="s">
        <v>566</v>
      </c>
      <c r="D770" t="s">
        <v>36</v>
      </c>
      <c r="E770">
        <v>1976</v>
      </c>
      <c r="F770" t="s">
        <v>3262</v>
      </c>
      <c r="G770">
        <v>181772.24</v>
      </c>
      <c r="H770" t="s">
        <v>573</v>
      </c>
      <c r="I770">
        <v>78.05</v>
      </c>
      <c r="J770" t="s">
        <v>3263</v>
      </c>
      <c r="K770">
        <v>91.99</v>
      </c>
      <c r="L770" s="1">
        <v>45454</v>
      </c>
      <c r="M770">
        <f>G770*IF(D770="INR",1,INDEX('rates'!$B$2:$B$522,MATCH(B770,'rates'!$A$2:$A$522,1)))</f>
        <v>15194341.5416</v>
      </c>
      <c r="N770">
        <f t="shared" ref="N770:N833" si="12">IF(L770="","",L770-B770)</f>
        <v>60</v>
      </c>
    </row>
    <row r="771" spans="1:14" x14ac:dyDescent="0.3">
      <c r="A771" t="s">
        <v>4071</v>
      </c>
      <c r="B771" s="1">
        <v>45425</v>
      </c>
      <c r="C771" t="s">
        <v>566</v>
      </c>
      <c r="D771" t="s">
        <v>36</v>
      </c>
      <c r="E771">
        <v>1774</v>
      </c>
      <c r="F771" t="s">
        <v>3262</v>
      </c>
      <c r="G771">
        <v>151109.32</v>
      </c>
      <c r="H771" t="s">
        <v>556</v>
      </c>
      <c r="J771" t="s">
        <v>3263</v>
      </c>
      <c r="K771">
        <v>85.18</v>
      </c>
      <c r="L771" s="1">
        <v>45455</v>
      </c>
      <c r="M771">
        <f>G771*IF(D771="INR",1,INDEX('rates'!$B$2:$B$522,MATCH(B771,'rates'!$A$2:$A$522,1)))</f>
        <v>12614606.033600001</v>
      </c>
      <c r="N771">
        <f t="shared" si="12"/>
        <v>30</v>
      </c>
    </row>
    <row r="772" spans="1:14" x14ac:dyDescent="0.3">
      <c r="A772" t="s">
        <v>4072</v>
      </c>
      <c r="B772" s="1">
        <v>45425</v>
      </c>
      <c r="C772" t="s">
        <v>558</v>
      </c>
      <c r="D772" t="s">
        <v>36</v>
      </c>
      <c r="E772">
        <v>395</v>
      </c>
      <c r="F772" t="s">
        <v>3262</v>
      </c>
      <c r="G772">
        <v>33823.85</v>
      </c>
      <c r="H772" t="s">
        <v>556</v>
      </c>
      <c r="J772" t="s">
        <v>3263</v>
      </c>
      <c r="K772">
        <v>85.63</v>
      </c>
      <c r="L772" s="1">
        <v>45455</v>
      </c>
      <c r="M772">
        <f>G772*IF(D772="INR",1,INDEX('rates'!$B$2:$B$522,MATCH(B772,'rates'!$A$2:$A$522,1)))</f>
        <v>2823614.9980000001</v>
      </c>
      <c r="N772">
        <f t="shared" si="12"/>
        <v>30</v>
      </c>
    </row>
    <row r="773" spans="1:14" x14ac:dyDescent="0.3">
      <c r="A773" t="s">
        <v>4044</v>
      </c>
      <c r="B773" s="1">
        <v>45411</v>
      </c>
      <c r="C773" t="s">
        <v>560</v>
      </c>
      <c r="D773" t="s">
        <v>36</v>
      </c>
      <c r="E773">
        <v>962</v>
      </c>
      <c r="F773" t="s">
        <v>3262</v>
      </c>
      <c r="G773">
        <v>86406.84</v>
      </c>
      <c r="H773" t="s">
        <v>573</v>
      </c>
      <c r="I773">
        <v>83.78</v>
      </c>
      <c r="J773" t="s">
        <v>3263</v>
      </c>
      <c r="K773">
        <v>89.82</v>
      </c>
      <c r="L773" s="1">
        <v>45456</v>
      </c>
      <c r="M773">
        <f>G773*IF(D773="INR",1,INDEX('rates'!$B$2:$B$522,MATCH(B773,'rates'!$A$2:$A$522,1)))</f>
        <v>7211514.8663999988</v>
      </c>
      <c r="N773">
        <f t="shared" si="12"/>
        <v>45</v>
      </c>
    </row>
    <row r="774" spans="1:14" x14ac:dyDescent="0.3">
      <c r="A774" t="s">
        <v>4045</v>
      </c>
      <c r="B774" s="1">
        <v>45411</v>
      </c>
      <c r="C774" t="s">
        <v>575</v>
      </c>
      <c r="D774" t="s">
        <v>36</v>
      </c>
      <c r="E774">
        <v>356</v>
      </c>
      <c r="F774" t="s">
        <v>3262</v>
      </c>
      <c r="G774">
        <v>32627.4</v>
      </c>
      <c r="H774" t="s">
        <v>556</v>
      </c>
      <c r="J774" t="s">
        <v>3263</v>
      </c>
      <c r="K774">
        <v>91.65</v>
      </c>
      <c r="L774" s="1">
        <v>45456</v>
      </c>
      <c r="M774">
        <f>G774*IF(D774="INR",1,INDEX('rates'!$B$2:$B$522,MATCH(B774,'rates'!$A$2:$A$522,1)))</f>
        <v>2723082.804</v>
      </c>
      <c r="N774">
        <f t="shared" si="12"/>
        <v>45</v>
      </c>
    </row>
    <row r="775" spans="1:14" x14ac:dyDescent="0.3">
      <c r="A775" t="s">
        <v>4075</v>
      </c>
      <c r="B775" s="1">
        <v>45426</v>
      </c>
      <c r="C775" t="s">
        <v>566</v>
      </c>
      <c r="D775" t="s">
        <v>36</v>
      </c>
      <c r="E775">
        <v>383</v>
      </c>
      <c r="F775" t="s">
        <v>3262</v>
      </c>
      <c r="G775">
        <v>31639.63</v>
      </c>
      <c r="H775" t="s">
        <v>556</v>
      </c>
      <c r="J775" t="s">
        <v>3263</v>
      </c>
      <c r="K775">
        <v>82.61</v>
      </c>
      <c r="L775" s="1">
        <v>45456</v>
      </c>
      <c r="M775">
        <f>G775*IF(D775="INR",1,INDEX('rates'!$B$2:$B$522,MATCH(B775,'rates'!$A$2:$A$522,1)))</f>
        <v>2641909.105</v>
      </c>
      <c r="N775">
        <f t="shared" si="12"/>
        <v>30</v>
      </c>
    </row>
    <row r="776" spans="1:14" x14ac:dyDescent="0.3">
      <c r="A776" t="s">
        <v>4077</v>
      </c>
      <c r="B776" s="1">
        <v>45426</v>
      </c>
      <c r="C776" t="s">
        <v>566</v>
      </c>
      <c r="D776" t="s">
        <v>13</v>
      </c>
      <c r="E776">
        <v>139643</v>
      </c>
      <c r="F776" t="s">
        <v>3270</v>
      </c>
      <c r="G776">
        <v>7311707.4800000004</v>
      </c>
      <c r="H776" t="s">
        <v>556</v>
      </c>
      <c r="J776" t="s">
        <v>3271</v>
      </c>
      <c r="K776">
        <v>52.36</v>
      </c>
      <c r="L776" s="1">
        <v>45456</v>
      </c>
      <c r="M776">
        <f>G776*IF(D776="INR",1,INDEX('rates'!$B$2:$B$522,MATCH(B776,'rates'!$A$2:$A$522,1)))</f>
        <v>7311707.4800000004</v>
      </c>
      <c r="N776">
        <f t="shared" si="12"/>
        <v>30</v>
      </c>
    </row>
    <row r="777" spans="1:14" x14ac:dyDescent="0.3">
      <c r="A777" t="s">
        <v>4046</v>
      </c>
      <c r="B777" s="1">
        <v>45412</v>
      </c>
      <c r="C777" t="s">
        <v>558</v>
      </c>
      <c r="D777" t="s">
        <v>36</v>
      </c>
      <c r="E777">
        <v>345</v>
      </c>
      <c r="F777" t="s">
        <v>3262</v>
      </c>
      <c r="G777">
        <v>30749.85</v>
      </c>
      <c r="H777" t="s">
        <v>556</v>
      </c>
      <c r="J777" t="s">
        <v>3263</v>
      </c>
      <c r="K777">
        <v>89.13</v>
      </c>
      <c r="L777" s="1">
        <v>45457</v>
      </c>
      <c r="M777">
        <f>G777*IF(D777="INR",1,INDEX('rates'!$B$2:$B$522,MATCH(B777,'rates'!$A$2:$A$522,1)))</f>
        <v>2565767.4839999997</v>
      </c>
      <c r="N777">
        <f t="shared" si="12"/>
        <v>45</v>
      </c>
    </row>
    <row r="778" spans="1:14" x14ac:dyDescent="0.3">
      <c r="A778" t="s">
        <v>4079</v>
      </c>
      <c r="B778" s="1">
        <v>45427</v>
      </c>
      <c r="C778" t="s">
        <v>558</v>
      </c>
      <c r="D778" t="s">
        <v>36</v>
      </c>
      <c r="E778">
        <v>381</v>
      </c>
      <c r="F778" t="s">
        <v>3262</v>
      </c>
      <c r="G778">
        <v>32232.6</v>
      </c>
      <c r="H778" t="s">
        <v>556</v>
      </c>
      <c r="J778" t="s">
        <v>3263</v>
      </c>
      <c r="K778">
        <v>84.6</v>
      </c>
      <c r="L778" s="1">
        <v>45457</v>
      </c>
      <c r="M778">
        <f>G778*IF(D778="INR",1,INDEX('rates'!$B$2:$B$522,MATCH(B778,'rates'!$A$2:$A$522,1)))</f>
        <v>2690132.7959999996</v>
      </c>
      <c r="N778">
        <f t="shared" si="12"/>
        <v>30</v>
      </c>
    </row>
    <row r="779" spans="1:14" x14ac:dyDescent="0.3">
      <c r="A779" t="s">
        <v>4007</v>
      </c>
      <c r="B779" s="1">
        <v>45398</v>
      </c>
      <c r="C779" t="s">
        <v>558</v>
      </c>
      <c r="D779" t="s">
        <v>13</v>
      </c>
      <c r="E779">
        <v>76500</v>
      </c>
      <c r="F779" t="s">
        <v>3270</v>
      </c>
      <c r="G779">
        <v>6623370</v>
      </c>
      <c r="H779" t="s">
        <v>556</v>
      </c>
      <c r="J779" t="s">
        <v>3271</v>
      </c>
      <c r="K779">
        <v>86.58</v>
      </c>
      <c r="L779" s="1">
        <v>45458</v>
      </c>
      <c r="M779">
        <f>G779*IF(D779="INR",1,INDEX('rates'!$B$2:$B$522,MATCH(B779,'rates'!$A$2:$A$522,1)))</f>
        <v>6623370</v>
      </c>
      <c r="N779">
        <f t="shared" si="12"/>
        <v>60</v>
      </c>
    </row>
    <row r="780" spans="1:14" x14ac:dyDescent="0.3">
      <c r="A780" t="s">
        <v>4049</v>
      </c>
      <c r="B780" s="1">
        <v>45413</v>
      </c>
      <c r="C780" t="s">
        <v>558</v>
      </c>
      <c r="D780" t="s">
        <v>36</v>
      </c>
      <c r="E780">
        <v>818</v>
      </c>
      <c r="F780" t="s">
        <v>3262</v>
      </c>
      <c r="G780">
        <v>68990.12</v>
      </c>
      <c r="H780" t="s">
        <v>573</v>
      </c>
      <c r="I780">
        <v>79.569999999999993</v>
      </c>
      <c r="J780" t="s">
        <v>3263</v>
      </c>
      <c r="K780">
        <v>84.34</v>
      </c>
      <c r="L780" s="1">
        <v>45458</v>
      </c>
      <c r="M780">
        <f>G780*IF(D780="INR",1,INDEX('rates'!$B$2:$B$522,MATCH(B780,'rates'!$A$2:$A$522,1)))</f>
        <v>5757225.5139999995</v>
      </c>
      <c r="N780">
        <f t="shared" si="12"/>
        <v>45</v>
      </c>
    </row>
    <row r="781" spans="1:14" x14ac:dyDescent="0.3">
      <c r="A781" t="s">
        <v>4081</v>
      </c>
      <c r="B781" s="1">
        <v>45428</v>
      </c>
      <c r="C781" t="s">
        <v>558</v>
      </c>
      <c r="D781" t="s">
        <v>13</v>
      </c>
      <c r="E781">
        <v>100473</v>
      </c>
      <c r="F781" t="s">
        <v>3270</v>
      </c>
      <c r="G781">
        <v>9264615.3300000001</v>
      </c>
      <c r="H781" t="s">
        <v>556</v>
      </c>
      <c r="J781" t="s">
        <v>3271</v>
      </c>
      <c r="K781">
        <v>92.21</v>
      </c>
      <c r="L781" s="1">
        <v>45458</v>
      </c>
      <c r="M781">
        <f>G781*IF(D781="INR",1,INDEX('rates'!$B$2:$B$522,MATCH(B781,'rates'!$A$2:$A$522,1)))</f>
        <v>9264615.3300000001</v>
      </c>
      <c r="N781">
        <f t="shared" si="12"/>
        <v>30</v>
      </c>
    </row>
    <row r="782" spans="1:14" x14ac:dyDescent="0.3">
      <c r="A782" t="s">
        <v>4085</v>
      </c>
      <c r="B782" s="1">
        <v>45428</v>
      </c>
      <c r="C782" t="s">
        <v>554</v>
      </c>
      <c r="D782" t="s">
        <v>36</v>
      </c>
      <c r="E782">
        <v>2569</v>
      </c>
      <c r="F782" t="s">
        <v>3262</v>
      </c>
      <c r="G782">
        <v>222167.12</v>
      </c>
      <c r="H782" t="s">
        <v>556</v>
      </c>
      <c r="J782" t="s">
        <v>3263</v>
      </c>
      <c r="K782">
        <v>86.48</v>
      </c>
      <c r="L782" s="1">
        <v>45458</v>
      </c>
      <c r="M782">
        <f>G782*IF(D782="INR",1,INDEX('rates'!$B$2:$B$522,MATCH(B782,'rates'!$A$2:$A$522,1)))</f>
        <v>18542067.835199997</v>
      </c>
      <c r="N782">
        <f t="shared" si="12"/>
        <v>30</v>
      </c>
    </row>
    <row r="783" spans="1:14" x14ac:dyDescent="0.3">
      <c r="A783" t="s">
        <v>4011</v>
      </c>
      <c r="B783" s="1">
        <v>45399</v>
      </c>
      <c r="C783" t="s">
        <v>554</v>
      </c>
      <c r="D783" t="s">
        <v>36</v>
      </c>
      <c r="E783">
        <v>1165</v>
      </c>
      <c r="F783" t="s">
        <v>3262</v>
      </c>
      <c r="G783">
        <v>102415.15</v>
      </c>
      <c r="H783" t="s">
        <v>573</v>
      </c>
      <c r="I783">
        <v>79.52</v>
      </c>
      <c r="J783" t="s">
        <v>3263</v>
      </c>
      <c r="K783">
        <v>87.91</v>
      </c>
      <c r="L783" s="1">
        <v>45459</v>
      </c>
      <c r="M783">
        <f>G783*IF(D783="INR",1,INDEX('rates'!$B$2:$B$522,MATCH(B783,'rates'!$A$2:$A$522,1)))</f>
        <v>8555761.631000001</v>
      </c>
      <c r="N783">
        <f t="shared" si="12"/>
        <v>60</v>
      </c>
    </row>
    <row r="784" spans="1:14" x14ac:dyDescent="0.3">
      <c r="A784" t="s">
        <v>4088</v>
      </c>
      <c r="B784" s="1">
        <v>45429</v>
      </c>
      <c r="C784" t="s">
        <v>566</v>
      </c>
      <c r="D784" t="s">
        <v>36</v>
      </c>
      <c r="E784">
        <v>1033</v>
      </c>
      <c r="F784" t="s">
        <v>3262</v>
      </c>
      <c r="G784">
        <v>88621.07</v>
      </c>
      <c r="H784" t="s">
        <v>556</v>
      </c>
      <c r="J784" t="s">
        <v>3263</v>
      </c>
      <c r="K784">
        <v>85.79</v>
      </c>
      <c r="L784" s="1">
        <v>45459</v>
      </c>
      <c r="M784">
        <f>G784*IF(D784="INR",1,INDEX('rates'!$B$2:$B$522,MATCH(B784,'rates'!$A$2:$A$522,1)))</f>
        <v>7385679.9738000007</v>
      </c>
      <c r="N784">
        <f t="shared" si="12"/>
        <v>30</v>
      </c>
    </row>
    <row r="785" spans="1:14" x14ac:dyDescent="0.3">
      <c r="A785" t="s">
        <v>4090</v>
      </c>
      <c r="B785" s="1">
        <v>45429</v>
      </c>
      <c r="C785" t="s">
        <v>558</v>
      </c>
      <c r="D785" t="s">
        <v>13</v>
      </c>
      <c r="E785">
        <v>72197</v>
      </c>
      <c r="F785" t="s">
        <v>3270</v>
      </c>
      <c r="G785">
        <v>5952642.6500000004</v>
      </c>
      <c r="H785" t="s">
        <v>556</v>
      </c>
      <c r="J785" t="s">
        <v>3271</v>
      </c>
      <c r="K785">
        <v>82.45</v>
      </c>
      <c r="L785" s="1">
        <v>45459</v>
      </c>
      <c r="M785">
        <f>G785*IF(D785="INR",1,INDEX('rates'!$B$2:$B$522,MATCH(B785,'rates'!$A$2:$A$522,1)))</f>
        <v>5952642.6500000004</v>
      </c>
      <c r="N785">
        <f t="shared" si="12"/>
        <v>30</v>
      </c>
    </row>
    <row r="786" spans="1:14" x14ac:dyDescent="0.3">
      <c r="A786" t="s">
        <v>4094</v>
      </c>
      <c r="B786" s="1">
        <v>45429</v>
      </c>
      <c r="C786" t="s">
        <v>560</v>
      </c>
      <c r="D786" t="s">
        <v>36</v>
      </c>
      <c r="E786">
        <v>1177</v>
      </c>
      <c r="F786" t="s">
        <v>3262</v>
      </c>
      <c r="G786">
        <v>100904.21</v>
      </c>
      <c r="H786" t="s">
        <v>556</v>
      </c>
      <c r="J786" t="s">
        <v>3263</v>
      </c>
      <c r="K786">
        <v>85.73</v>
      </c>
      <c r="L786" s="1">
        <v>45459</v>
      </c>
      <c r="M786">
        <f>G786*IF(D786="INR",1,INDEX('rates'!$B$2:$B$522,MATCH(B786,'rates'!$A$2:$A$522,1)))</f>
        <v>8409356.8614000008</v>
      </c>
      <c r="N786">
        <f t="shared" si="12"/>
        <v>30</v>
      </c>
    </row>
    <row r="787" spans="1:14" x14ac:dyDescent="0.3">
      <c r="A787" t="s">
        <v>4013</v>
      </c>
      <c r="B787" s="1">
        <v>45400</v>
      </c>
      <c r="C787" t="s">
        <v>560</v>
      </c>
      <c r="D787" t="s">
        <v>36</v>
      </c>
      <c r="E787">
        <v>519</v>
      </c>
      <c r="F787" t="s">
        <v>3262</v>
      </c>
      <c r="G787">
        <v>47353.56</v>
      </c>
      <c r="H787" t="s">
        <v>556</v>
      </c>
      <c r="J787" t="s">
        <v>3263</v>
      </c>
      <c r="K787">
        <v>91.24</v>
      </c>
      <c r="L787" s="1">
        <v>45460</v>
      </c>
      <c r="M787">
        <f>G787*IF(D787="INR",1,INDEX('rates'!$B$2:$B$522,MATCH(B787,'rates'!$A$2:$A$522,1)))</f>
        <v>3955442.8668</v>
      </c>
      <c r="N787">
        <f t="shared" si="12"/>
        <v>60</v>
      </c>
    </row>
    <row r="788" spans="1:14" x14ac:dyDescent="0.3">
      <c r="A788" t="s">
        <v>4059</v>
      </c>
      <c r="B788" s="1">
        <v>45415</v>
      </c>
      <c r="C788" t="s">
        <v>558</v>
      </c>
      <c r="D788" t="s">
        <v>13</v>
      </c>
      <c r="E788">
        <v>54896</v>
      </c>
      <c r="F788" t="s">
        <v>3270</v>
      </c>
      <c r="G788">
        <v>4419676.96</v>
      </c>
      <c r="H788" t="s">
        <v>556</v>
      </c>
      <c r="J788" t="s">
        <v>3271</v>
      </c>
      <c r="K788">
        <v>80.510000000000005</v>
      </c>
      <c r="L788" s="1">
        <v>45460</v>
      </c>
      <c r="M788">
        <f>G788*IF(D788="INR",1,INDEX('rates'!$B$2:$B$522,MATCH(B788,'rates'!$A$2:$A$522,1)))</f>
        <v>4419676.96</v>
      </c>
      <c r="N788">
        <f t="shared" si="12"/>
        <v>45</v>
      </c>
    </row>
    <row r="789" spans="1:14" x14ac:dyDescent="0.3">
      <c r="A789" t="s">
        <v>4015</v>
      </c>
      <c r="B789" s="1">
        <v>45401</v>
      </c>
      <c r="C789" t="s">
        <v>566</v>
      </c>
      <c r="D789" t="s">
        <v>36</v>
      </c>
      <c r="E789">
        <v>383</v>
      </c>
      <c r="F789" t="s">
        <v>3262</v>
      </c>
      <c r="G789">
        <v>34672.99</v>
      </c>
      <c r="H789" t="s">
        <v>573</v>
      </c>
      <c r="I789">
        <v>78.849999999999994</v>
      </c>
      <c r="J789" t="s">
        <v>3263</v>
      </c>
      <c r="K789">
        <v>90.53</v>
      </c>
      <c r="L789" s="1">
        <v>45461</v>
      </c>
      <c r="M789">
        <f>G789*IF(D789="INR",1,INDEX('rates'!$B$2:$B$522,MATCH(B789,'rates'!$A$2:$A$522,1)))</f>
        <v>2893807.7453999994</v>
      </c>
      <c r="N789">
        <f t="shared" si="12"/>
        <v>60</v>
      </c>
    </row>
    <row r="790" spans="1:14" x14ac:dyDescent="0.3">
      <c r="A790" t="s">
        <v>4016</v>
      </c>
      <c r="B790" s="1">
        <v>45401</v>
      </c>
      <c r="C790" t="s">
        <v>566</v>
      </c>
      <c r="D790" t="s">
        <v>36</v>
      </c>
      <c r="E790">
        <v>1055</v>
      </c>
      <c r="F790" t="s">
        <v>3262</v>
      </c>
      <c r="G790">
        <v>93177.600000000006</v>
      </c>
      <c r="H790" t="s">
        <v>573</v>
      </c>
      <c r="I790">
        <v>78.849999999999994</v>
      </c>
      <c r="J790" t="s">
        <v>3263</v>
      </c>
      <c r="K790">
        <v>88.32</v>
      </c>
      <c r="L790" s="1">
        <v>45461</v>
      </c>
      <c r="M790">
        <f>G790*IF(D790="INR",1,INDEX('rates'!$B$2:$B$522,MATCH(B790,'rates'!$A$2:$A$522,1)))</f>
        <v>7776602.4960000003</v>
      </c>
      <c r="N790">
        <f t="shared" si="12"/>
        <v>60</v>
      </c>
    </row>
    <row r="791" spans="1:14" x14ac:dyDescent="0.3">
      <c r="A791" t="s">
        <v>4017</v>
      </c>
      <c r="B791" s="1">
        <v>45401</v>
      </c>
      <c r="C791" t="s">
        <v>560</v>
      </c>
      <c r="D791" t="s">
        <v>36</v>
      </c>
      <c r="E791">
        <v>939</v>
      </c>
      <c r="F791" t="s">
        <v>3262</v>
      </c>
      <c r="G791">
        <v>84350.37</v>
      </c>
      <c r="H791" t="s">
        <v>556</v>
      </c>
      <c r="J791" t="s">
        <v>3263</v>
      </c>
      <c r="K791">
        <v>89.83</v>
      </c>
      <c r="L791" s="1">
        <v>45461</v>
      </c>
      <c r="M791">
        <f>G791*IF(D791="INR",1,INDEX('rates'!$B$2:$B$522,MATCH(B791,'rates'!$A$2:$A$522,1)))</f>
        <v>7039881.8801999995</v>
      </c>
      <c r="N791">
        <f t="shared" si="12"/>
        <v>60</v>
      </c>
    </row>
    <row r="792" spans="1:14" x14ac:dyDescent="0.3">
      <c r="A792" t="s">
        <v>4018</v>
      </c>
      <c r="B792" s="1">
        <v>45401</v>
      </c>
      <c r="C792" t="s">
        <v>560</v>
      </c>
      <c r="D792" t="s">
        <v>36</v>
      </c>
      <c r="E792">
        <v>1571</v>
      </c>
      <c r="F792" t="s">
        <v>3262</v>
      </c>
      <c r="G792">
        <v>141751.32999999999</v>
      </c>
      <c r="H792" t="s">
        <v>556</v>
      </c>
      <c r="J792" t="s">
        <v>3263</v>
      </c>
      <c r="K792">
        <v>90.23</v>
      </c>
      <c r="L792" s="1">
        <v>45461</v>
      </c>
      <c r="M792">
        <f>G792*IF(D792="INR",1,INDEX('rates'!$B$2:$B$522,MATCH(B792,'rates'!$A$2:$A$522,1)))</f>
        <v>11830566.001799999</v>
      </c>
      <c r="N792">
        <f t="shared" si="12"/>
        <v>60</v>
      </c>
    </row>
    <row r="793" spans="1:14" x14ac:dyDescent="0.3">
      <c r="A793" t="s">
        <v>4100</v>
      </c>
      <c r="B793" s="1">
        <v>45433</v>
      </c>
      <c r="C793" t="s">
        <v>566</v>
      </c>
      <c r="D793" t="s">
        <v>36</v>
      </c>
      <c r="E793">
        <v>526</v>
      </c>
      <c r="F793" t="s">
        <v>3262</v>
      </c>
      <c r="G793">
        <v>45104.5</v>
      </c>
      <c r="H793" t="s">
        <v>573</v>
      </c>
      <c r="I793">
        <v>84.41</v>
      </c>
      <c r="J793" t="s">
        <v>3263</v>
      </c>
      <c r="K793">
        <v>85.75</v>
      </c>
      <c r="L793" s="1">
        <v>45463</v>
      </c>
      <c r="M793">
        <f>G793*IF(D793="INR",1,INDEX('rates'!$B$2:$B$522,MATCH(B793,'rates'!$A$2:$A$522,1)))</f>
        <v>3757655.895</v>
      </c>
      <c r="N793">
        <f t="shared" si="12"/>
        <v>30</v>
      </c>
    </row>
    <row r="794" spans="1:14" x14ac:dyDescent="0.3">
      <c r="A794" t="s">
        <v>4101</v>
      </c>
      <c r="B794" s="1">
        <v>45434</v>
      </c>
      <c r="C794" t="s">
        <v>575</v>
      </c>
      <c r="D794" t="s">
        <v>36</v>
      </c>
      <c r="E794">
        <v>392</v>
      </c>
      <c r="F794" t="s">
        <v>3262</v>
      </c>
      <c r="G794">
        <v>32786.879999999997</v>
      </c>
      <c r="H794" t="s">
        <v>556</v>
      </c>
      <c r="J794" t="s">
        <v>3263</v>
      </c>
      <c r="K794">
        <v>83.64</v>
      </c>
      <c r="L794" s="1">
        <v>45464</v>
      </c>
      <c r="M794">
        <f>G794*IF(D794="INR",1,INDEX('rates'!$B$2:$B$522,MATCH(B794,'rates'!$A$2:$A$522,1)))</f>
        <v>2729835.6288000001</v>
      </c>
      <c r="N794">
        <f t="shared" si="12"/>
        <v>30</v>
      </c>
    </row>
    <row r="795" spans="1:14" x14ac:dyDescent="0.3">
      <c r="A795" t="s">
        <v>4025</v>
      </c>
      <c r="B795" s="1">
        <v>45405</v>
      </c>
      <c r="C795" t="s">
        <v>575</v>
      </c>
      <c r="D795" t="s">
        <v>36</v>
      </c>
      <c r="E795">
        <v>339</v>
      </c>
      <c r="F795" t="s">
        <v>3262</v>
      </c>
      <c r="G795">
        <v>30496.44</v>
      </c>
      <c r="H795" t="s">
        <v>556</v>
      </c>
      <c r="J795" t="s">
        <v>3263</v>
      </c>
      <c r="K795">
        <v>89.96</v>
      </c>
      <c r="L795" s="1">
        <v>45465</v>
      </c>
      <c r="M795">
        <f>G795*IF(D795="INR",1,INDEX('rates'!$B$2:$B$522,MATCH(B795,'rates'!$A$2:$A$522,1)))</f>
        <v>2542183.2383999997</v>
      </c>
      <c r="N795">
        <f t="shared" si="12"/>
        <v>60</v>
      </c>
    </row>
    <row r="796" spans="1:14" x14ac:dyDescent="0.3">
      <c r="A796" t="s">
        <v>4060</v>
      </c>
      <c r="B796" s="1">
        <v>45420</v>
      </c>
      <c r="C796" t="s">
        <v>558</v>
      </c>
      <c r="D796" t="s">
        <v>13</v>
      </c>
      <c r="E796">
        <v>71808</v>
      </c>
      <c r="F796" t="s">
        <v>3270</v>
      </c>
      <c r="G796">
        <v>5031586.5599999996</v>
      </c>
      <c r="H796" t="s">
        <v>556</v>
      </c>
      <c r="J796" t="s">
        <v>3271</v>
      </c>
      <c r="K796">
        <v>70.069999999999993</v>
      </c>
      <c r="L796" s="1">
        <v>45465</v>
      </c>
      <c r="M796">
        <f>G796*IF(D796="INR",1,INDEX('rates'!$B$2:$B$522,MATCH(B796,'rates'!$A$2:$A$522,1)))</f>
        <v>5031586.5599999996</v>
      </c>
      <c r="N796">
        <f t="shared" si="12"/>
        <v>45</v>
      </c>
    </row>
    <row r="797" spans="1:14" x14ac:dyDescent="0.3">
      <c r="A797" t="s">
        <v>4103</v>
      </c>
      <c r="B797" s="1">
        <v>45435</v>
      </c>
      <c r="C797" t="s">
        <v>554</v>
      </c>
      <c r="D797" t="s">
        <v>13</v>
      </c>
      <c r="E797">
        <v>81397</v>
      </c>
      <c r="F797" t="s">
        <v>3270</v>
      </c>
      <c r="G797">
        <v>7714807.6600000001</v>
      </c>
      <c r="H797" t="s">
        <v>556</v>
      </c>
      <c r="J797" t="s">
        <v>3271</v>
      </c>
      <c r="K797">
        <v>94.78</v>
      </c>
      <c r="L797" s="1">
        <v>45465</v>
      </c>
      <c r="M797">
        <f>G797*IF(D797="INR",1,INDEX('rates'!$B$2:$B$522,MATCH(B797,'rates'!$A$2:$A$522,1)))</f>
        <v>7714807.6600000001</v>
      </c>
      <c r="N797">
        <f t="shared" si="12"/>
        <v>30</v>
      </c>
    </row>
    <row r="798" spans="1:14" x14ac:dyDescent="0.3">
      <c r="A798" t="s">
        <v>4104</v>
      </c>
      <c r="B798" s="1">
        <v>45435</v>
      </c>
      <c r="C798" t="s">
        <v>560</v>
      </c>
      <c r="D798" t="s">
        <v>36</v>
      </c>
      <c r="E798">
        <v>689</v>
      </c>
      <c r="F798" t="s">
        <v>3262</v>
      </c>
      <c r="G798">
        <v>57745.09</v>
      </c>
      <c r="H798" t="s">
        <v>573</v>
      </c>
      <c r="I798">
        <v>83.03</v>
      </c>
      <c r="J798" t="s">
        <v>3263</v>
      </c>
      <c r="K798">
        <v>83.81</v>
      </c>
      <c r="L798" s="1">
        <v>45465</v>
      </c>
      <c r="M798">
        <f>G798*IF(D798="INR",1,INDEX('rates'!$B$2:$B$522,MATCH(B798,'rates'!$A$2:$A$522,1)))</f>
        <v>4808433.6442999998</v>
      </c>
      <c r="N798">
        <f t="shared" si="12"/>
        <v>30</v>
      </c>
    </row>
    <row r="799" spans="1:14" x14ac:dyDescent="0.3">
      <c r="A799" t="s">
        <v>4028</v>
      </c>
      <c r="B799" s="1">
        <v>45406</v>
      </c>
      <c r="C799" t="s">
        <v>560</v>
      </c>
      <c r="D799" t="s">
        <v>36</v>
      </c>
      <c r="E799">
        <v>1940</v>
      </c>
      <c r="F799" t="s">
        <v>3262</v>
      </c>
      <c r="G799">
        <v>175841.6</v>
      </c>
      <c r="H799" t="s">
        <v>556</v>
      </c>
      <c r="J799" t="s">
        <v>3263</v>
      </c>
      <c r="K799">
        <v>90.64</v>
      </c>
      <c r="L799" s="1">
        <v>45466</v>
      </c>
      <c r="M799">
        <f>G799*IF(D799="INR",1,INDEX('rates'!$B$2:$B$522,MATCH(B799,'rates'!$A$2:$A$522,1)))</f>
        <v>14654638.944000002</v>
      </c>
      <c r="N799">
        <f t="shared" si="12"/>
        <v>60</v>
      </c>
    </row>
    <row r="800" spans="1:14" x14ac:dyDescent="0.3">
      <c r="A800" t="s">
        <v>4110</v>
      </c>
      <c r="B800" s="1">
        <v>45436</v>
      </c>
      <c r="C800" t="s">
        <v>554</v>
      </c>
      <c r="D800" t="s">
        <v>36</v>
      </c>
      <c r="E800">
        <v>672</v>
      </c>
      <c r="F800" t="s">
        <v>3262</v>
      </c>
      <c r="G800">
        <v>56051.519999999997</v>
      </c>
      <c r="H800" t="s">
        <v>556</v>
      </c>
      <c r="J800" t="s">
        <v>3263</v>
      </c>
      <c r="K800">
        <v>83.41</v>
      </c>
      <c r="L800" s="1">
        <v>45466</v>
      </c>
      <c r="M800">
        <f>G800*IF(D800="INR",1,INDEX('rates'!$B$2:$B$522,MATCH(B800,'rates'!$A$2:$A$522,1)))</f>
        <v>4657320.7967999997</v>
      </c>
      <c r="N800">
        <f t="shared" si="12"/>
        <v>30</v>
      </c>
    </row>
    <row r="801" spans="1:14" x14ac:dyDescent="0.3">
      <c r="A801" t="s">
        <v>4067</v>
      </c>
      <c r="B801" s="1">
        <v>45422</v>
      </c>
      <c r="C801" t="s">
        <v>560</v>
      </c>
      <c r="D801" t="s">
        <v>36</v>
      </c>
      <c r="E801">
        <v>299</v>
      </c>
      <c r="F801" t="s">
        <v>3262</v>
      </c>
      <c r="G801">
        <v>24700.39</v>
      </c>
      <c r="H801" t="s">
        <v>573</v>
      </c>
      <c r="I801">
        <v>82.67</v>
      </c>
      <c r="J801" t="s">
        <v>3263</v>
      </c>
      <c r="K801">
        <v>82.61</v>
      </c>
      <c r="L801" s="1">
        <v>45467</v>
      </c>
      <c r="M801">
        <f>G801*IF(D801="INR",1,INDEX('rates'!$B$2:$B$522,MATCH(B801,'rates'!$A$2:$A$522,1)))</f>
        <v>2063470.5806000002</v>
      </c>
      <c r="N801">
        <f t="shared" si="12"/>
        <v>45</v>
      </c>
    </row>
    <row r="802" spans="1:14" x14ac:dyDescent="0.3">
      <c r="A802" t="s">
        <v>4031</v>
      </c>
      <c r="B802" s="1">
        <v>45408</v>
      </c>
      <c r="C802" t="s">
        <v>566</v>
      </c>
      <c r="D802" t="s">
        <v>13</v>
      </c>
      <c r="E802">
        <v>168409</v>
      </c>
      <c r="F802" t="s">
        <v>3270</v>
      </c>
      <c r="G802">
        <v>16963838.57</v>
      </c>
      <c r="H802" t="s">
        <v>556</v>
      </c>
      <c r="J802" t="s">
        <v>3271</v>
      </c>
      <c r="K802">
        <v>100.73</v>
      </c>
      <c r="L802" s="1">
        <v>45468</v>
      </c>
      <c r="M802">
        <f>G802*IF(D802="INR",1,INDEX('rates'!$B$2:$B$522,MATCH(B802,'rates'!$A$2:$A$522,1)))</f>
        <v>16963838.57</v>
      </c>
      <c r="N802">
        <f t="shared" si="12"/>
        <v>60</v>
      </c>
    </row>
    <row r="803" spans="1:14" x14ac:dyDescent="0.3">
      <c r="A803" t="s">
        <v>4035</v>
      </c>
      <c r="B803" s="1">
        <v>45408</v>
      </c>
      <c r="C803" t="s">
        <v>566</v>
      </c>
      <c r="D803" t="s">
        <v>36</v>
      </c>
      <c r="E803">
        <v>508</v>
      </c>
      <c r="F803" t="s">
        <v>3262</v>
      </c>
      <c r="G803">
        <v>44907.199999999997</v>
      </c>
      <c r="H803" t="s">
        <v>573</v>
      </c>
      <c r="I803">
        <v>83.94</v>
      </c>
      <c r="J803" t="s">
        <v>3263</v>
      </c>
      <c r="K803">
        <v>88.4</v>
      </c>
      <c r="L803" s="1">
        <v>45468</v>
      </c>
      <c r="M803">
        <f>G803*IF(D803="INR",1,INDEX('rates'!$B$2:$B$522,MATCH(B803,'rates'!$A$2:$A$522,1)))</f>
        <v>3744362.3359999997</v>
      </c>
      <c r="N803">
        <f t="shared" si="12"/>
        <v>60</v>
      </c>
    </row>
    <row r="804" spans="1:14" x14ac:dyDescent="0.3">
      <c r="A804" t="s">
        <v>4038</v>
      </c>
      <c r="B804" s="1">
        <v>45408</v>
      </c>
      <c r="C804" t="s">
        <v>566</v>
      </c>
      <c r="D804" t="s">
        <v>36</v>
      </c>
      <c r="E804">
        <v>1735</v>
      </c>
      <c r="F804" t="s">
        <v>3262</v>
      </c>
      <c r="G804">
        <v>153252.54999999999</v>
      </c>
      <c r="H804" t="s">
        <v>573</v>
      </c>
      <c r="I804">
        <v>83.94</v>
      </c>
      <c r="J804" t="s">
        <v>3263</v>
      </c>
      <c r="K804">
        <v>88.33</v>
      </c>
      <c r="L804" s="1">
        <v>45468</v>
      </c>
      <c r="M804">
        <f>G804*IF(D804="INR",1,INDEX('rates'!$B$2:$B$522,MATCH(B804,'rates'!$A$2:$A$522,1)))</f>
        <v>12778197.618999999</v>
      </c>
      <c r="N804">
        <f t="shared" si="12"/>
        <v>60</v>
      </c>
    </row>
    <row r="805" spans="1:14" x14ac:dyDescent="0.3">
      <c r="A805" t="s">
        <v>4073</v>
      </c>
      <c r="B805" s="1">
        <v>45425</v>
      </c>
      <c r="C805" t="s">
        <v>566</v>
      </c>
      <c r="D805" t="s">
        <v>36</v>
      </c>
      <c r="E805">
        <v>784</v>
      </c>
      <c r="F805" t="s">
        <v>3262</v>
      </c>
      <c r="G805">
        <v>66067.679999999993</v>
      </c>
      <c r="H805" t="s">
        <v>573</v>
      </c>
      <c r="I805">
        <v>83.76</v>
      </c>
      <c r="J805" t="s">
        <v>3263</v>
      </c>
      <c r="K805">
        <v>84.27</v>
      </c>
      <c r="L805" s="1">
        <v>45470</v>
      </c>
      <c r="M805">
        <f>G805*IF(D805="INR",1,INDEX('rates'!$B$2:$B$522,MATCH(B805,'rates'!$A$2:$A$522,1)))</f>
        <v>5515329.9263999993</v>
      </c>
      <c r="N805">
        <f t="shared" si="12"/>
        <v>45</v>
      </c>
    </row>
    <row r="806" spans="1:14" x14ac:dyDescent="0.3">
      <c r="A806" t="s">
        <v>4040</v>
      </c>
      <c r="B806" s="1">
        <v>45411</v>
      </c>
      <c r="C806" t="s">
        <v>554</v>
      </c>
      <c r="D806" t="s">
        <v>36</v>
      </c>
      <c r="E806">
        <v>639</v>
      </c>
      <c r="F806" t="s">
        <v>3262</v>
      </c>
      <c r="G806">
        <v>57075.48</v>
      </c>
      <c r="H806" t="s">
        <v>556</v>
      </c>
      <c r="J806" t="s">
        <v>3263</v>
      </c>
      <c r="K806">
        <v>89.32</v>
      </c>
      <c r="L806" s="1">
        <v>45471</v>
      </c>
      <c r="M806">
        <f>G806*IF(D806="INR",1,INDEX('rates'!$B$2:$B$522,MATCH(B806,'rates'!$A$2:$A$522,1)))</f>
        <v>4763519.5608000001</v>
      </c>
      <c r="N806">
        <f t="shared" si="12"/>
        <v>60</v>
      </c>
    </row>
    <row r="807" spans="1:14" x14ac:dyDescent="0.3">
      <c r="A807" t="s">
        <v>4041</v>
      </c>
      <c r="B807" s="1">
        <v>45411</v>
      </c>
      <c r="C807" t="s">
        <v>560</v>
      </c>
      <c r="D807" t="s">
        <v>36</v>
      </c>
      <c r="E807">
        <v>852</v>
      </c>
      <c r="F807" t="s">
        <v>3262</v>
      </c>
      <c r="G807">
        <v>76577.759999999995</v>
      </c>
      <c r="H807" t="s">
        <v>556</v>
      </c>
      <c r="J807" t="s">
        <v>3263</v>
      </c>
      <c r="K807">
        <v>89.88</v>
      </c>
      <c r="L807" s="1">
        <v>45471</v>
      </c>
      <c r="M807">
        <f>G807*IF(D807="INR",1,INDEX('rates'!$B$2:$B$522,MATCH(B807,'rates'!$A$2:$A$522,1)))</f>
        <v>6391179.8495999994</v>
      </c>
      <c r="N807">
        <f t="shared" si="12"/>
        <v>60</v>
      </c>
    </row>
    <row r="808" spans="1:14" x14ac:dyDescent="0.3">
      <c r="A808" t="s">
        <v>4042</v>
      </c>
      <c r="B808" s="1">
        <v>45411</v>
      </c>
      <c r="C808" t="s">
        <v>566</v>
      </c>
      <c r="D808" t="s">
        <v>13</v>
      </c>
      <c r="E808">
        <v>48051</v>
      </c>
      <c r="F808" t="s">
        <v>3270</v>
      </c>
      <c r="G808">
        <v>4239539.7300000004</v>
      </c>
      <c r="H808" t="s">
        <v>556</v>
      </c>
      <c r="J808" t="s">
        <v>3271</v>
      </c>
      <c r="K808">
        <v>88.23</v>
      </c>
      <c r="L808" s="1">
        <v>45471</v>
      </c>
      <c r="M808">
        <f>G808*IF(D808="INR",1,INDEX('rates'!$B$2:$B$522,MATCH(B808,'rates'!$A$2:$A$522,1)))</f>
        <v>4239539.7300000004</v>
      </c>
      <c r="N808">
        <f t="shared" si="12"/>
        <v>60</v>
      </c>
    </row>
    <row r="809" spans="1:14" x14ac:dyDescent="0.3">
      <c r="A809" t="s">
        <v>4043</v>
      </c>
      <c r="B809" s="1">
        <v>45411</v>
      </c>
      <c r="C809" t="s">
        <v>558</v>
      </c>
      <c r="D809" t="s">
        <v>36</v>
      </c>
      <c r="E809">
        <v>1543</v>
      </c>
      <c r="F809" t="s">
        <v>3262</v>
      </c>
      <c r="G809">
        <v>134842.76999999999</v>
      </c>
      <c r="H809" t="s">
        <v>556</v>
      </c>
      <c r="J809" t="s">
        <v>3263</v>
      </c>
      <c r="K809">
        <v>87.39</v>
      </c>
      <c r="L809" s="1">
        <v>45471</v>
      </c>
      <c r="M809">
        <f>G809*IF(D809="INR",1,INDEX('rates'!$B$2:$B$522,MATCH(B809,'rates'!$A$2:$A$522,1)))</f>
        <v>11253977.584199999</v>
      </c>
      <c r="N809">
        <f t="shared" si="12"/>
        <v>60</v>
      </c>
    </row>
    <row r="810" spans="1:14" x14ac:dyDescent="0.3">
      <c r="A810" t="s">
        <v>4115</v>
      </c>
      <c r="B810" s="1">
        <v>45441</v>
      </c>
      <c r="C810" t="s">
        <v>575</v>
      </c>
      <c r="D810" t="s">
        <v>36</v>
      </c>
      <c r="E810">
        <v>787</v>
      </c>
      <c r="F810" t="s">
        <v>3262</v>
      </c>
      <c r="G810">
        <v>67516.73</v>
      </c>
      <c r="H810" t="s">
        <v>556</v>
      </c>
      <c r="J810" t="s">
        <v>3263</v>
      </c>
      <c r="K810">
        <v>85.79</v>
      </c>
      <c r="L810" s="1">
        <v>45471</v>
      </c>
      <c r="M810">
        <f>G810*IF(D810="INR",1,INDEX('rates'!$B$2:$B$522,MATCH(B810,'rates'!$A$2:$A$522,1)))</f>
        <v>5626169.1108999997</v>
      </c>
      <c r="N810">
        <f t="shared" si="12"/>
        <v>30</v>
      </c>
    </row>
    <row r="811" spans="1:14" x14ac:dyDescent="0.3">
      <c r="A811" t="s">
        <v>4047</v>
      </c>
      <c r="B811" s="1">
        <v>45412</v>
      </c>
      <c r="C811" t="s">
        <v>566</v>
      </c>
      <c r="D811" t="s">
        <v>36</v>
      </c>
      <c r="E811">
        <v>317</v>
      </c>
      <c r="F811" t="s">
        <v>3262</v>
      </c>
      <c r="G811">
        <v>28279.57</v>
      </c>
      <c r="H811" t="s">
        <v>573</v>
      </c>
      <c r="I811">
        <v>81.62</v>
      </c>
      <c r="J811" t="s">
        <v>3263</v>
      </c>
      <c r="K811">
        <v>89.21</v>
      </c>
      <c r="L811" s="1">
        <v>45472</v>
      </c>
      <c r="M811">
        <f>G811*IF(D811="INR",1,INDEX('rates'!$B$2:$B$522,MATCH(B811,'rates'!$A$2:$A$522,1)))</f>
        <v>2359647.3207999999</v>
      </c>
      <c r="N811">
        <f t="shared" si="12"/>
        <v>60</v>
      </c>
    </row>
    <row r="812" spans="1:14" x14ac:dyDescent="0.3">
      <c r="A812" t="s">
        <v>4082</v>
      </c>
      <c r="B812" s="1">
        <v>45428</v>
      </c>
      <c r="C812" t="s">
        <v>554</v>
      </c>
      <c r="D812" t="s">
        <v>36</v>
      </c>
      <c r="E812">
        <v>1237</v>
      </c>
      <c r="F812" t="s">
        <v>3262</v>
      </c>
      <c r="G812">
        <v>105441.88</v>
      </c>
      <c r="H812" t="s">
        <v>573</v>
      </c>
      <c r="I812">
        <v>85.23</v>
      </c>
      <c r="J812" t="s">
        <v>3263</v>
      </c>
      <c r="K812">
        <v>85.24</v>
      </c>
      <c r="L812" s="1">
        <v>45473</v>
      </c>
      <c r="M812">
        <f>G812*IF(D812="INR",1,INDEX('rates'!$B$2:$B$522,MATCH(B812,'rates'!$A$2:$A$522,1)))</f>
        <v>8800179.3048</v>
      </c>
      <c r="N812">
        <f t="shared" si="12"/>
        <v>45</v>
      </c>
    </row>
    <row r="813" spans="1:14" x14ac:dyDescent="0.3">
      <c r="A813" t="s">
        <v>4084</v>
      </c>
      <c r="B813" s="1">
        <v>45428</v>
      </c>
      <c r="C813" t="s">
        <v>558</v>
      </c>
      <c r="D813" t="s">
        <v>36</v>
      </c>
      <c r="E813">
        <v>925</v>
      </c>
      <c r="F813" t="s">
        <v>3262</v>
      </c>
      <c r="G813">
        <v>78403</v>
      </c>
      <c r="H813" t="s">
        <v>573</v>
      </c>
      <c r="I813">
        <v>85.23</v>
      </c>
      <c r="J813" t="s">
        <v>3263</v>
      </c>
      <c r="K813">
        <v>84.76</v>
      </c>
      <c r="L813" s="1">
        <v>45473</v>
      </c>
      <c r="M813">
        <f>G813*IF(D813="INR",1,INDEX('rates'!$B$2:$B$522,MATCH(B813,'rates'!$A$2:$A$522,1)))</f>
        <v>6543514.3799999999</v>
      </c>
      <c r="N813">
        <f t="shared" si="12"/>
        <v>45</v>
      </c>
    </row>
    <row r="814" spans="1:14" x14ac:dyDescent="0.3">
      <c r="A814" t="s">
        <v>4118</v>
      </c>
      <c r="B814" s="1">
        <v>45443</v>
      </c>
      <c r="C814" t="s">
        <v>554</v>
      </c>
      <c r="D814" t="s">
        <v>36</v>
      </c>
      <c r="E814">
        <v>622</v>
      </c>
      <c r="F814" t="s">
        <v>3262</v>
      </c>
      <c r="G814">
        <v>50481.52</v>
      </c>
      <c r="H814" t="s">
        <v>556</v>
      </c>
      <c r="J814" t="s">
        <v>3263</v>
      </c>
      <c r="K814">
        <v>81.16</v>
      </c>
      <c r="L814" s="1">
        <v>45473</v>
      </c>
      <c r="M814">
        <f>G814*IF(D814="INR",1,INDEX('rates'!$B$2:$B$522,MATCH(B814,'rates'!$A$2:$A$522,1)))</f>
        <v>4211673.2136000004</v>
      </c>
      <c r="N814">
        <f t="shared" si="12"/>
        <v>30</v>
      </c>
    </row>
    <row r="815" spans="1:14" x14ac:dyDescent="0.3">
      <c r="A815" t="s">
        <v>4119</v>
      </c>
      <c r="B815" s="1">
        <v>45443</v>
      </c>
      <c r="C815" t="s">
        <v>566</v>
      </c>
      <c r="D815" t="s">
        <v>13</v>
      </c>
      <c r="E815">
        <v>51236</v>
      </c>
      <c r="F815" t="s">
        <v>3270</v>
      </c>
      <c r="G815">
        <v>3718708.88</v>
      </c>
      <c r="H815" t="s">
        <v>556</v>
      </c>
      <c r="J815" t="s">
        <v>3271</v>
      </c>
      <c r="K815">
        <v>72.58</v>
      </c>
      <c r="L815" s="1">
        <v>45473</v>
      </c>
      <c r="M815">
        <f>G815*IF(D815="INR",1,INDEX('rates'!$B$2:$B$522,MATCH(B815,'rates'!$A$2:$A$522,1)))</f>
        <v>3718708.88</v>
      </c>
      <c r="N815">
        <f t="shared" si="12"/>
        <v>30</v>
      </c>
    </row>
    <row r="816" spans="1:14" x14ac:dyDescent="0.3">
      <c r="A816" t="s">
        <v>4120</v>
      </c>
      <c r="B816" s="1">
        <v>45443</v>
      </c>
      <c r="C816" t="s">
        <v>554</v>
      </c>
      <c r="D816" t="s">
        <v>36</v>
      </c>
      <c r="E816">
        <v>942</v>
      </c>
      <c r="F816" t="s">
        <v>3262</v>
      </c>
      <c r="G816">
        <v>77545.440000000002</v>
      </c>
      <c r="H816" t="s">
        <v>556</v>
      </c>
      <c r="J816" t="s">
        <v>3263</v>
      </c>
      <c r="K816">
        <v>82.32</v>
      </c>
      <c r="L816" s="1">
        <v>45473</v>
      </c>
      <c r="M816">
        <f>G816*IF(D816="INR",1,INDEX('rates'!$B$2:$B$522,MATCH(B816,'rates'!$A$2:$A$522,1)))</f>
        <v>6469616.0592000009</v>
      </c>
      <c r="N816">
        <f t="shared" si="12"/>
        <v>30</v>
      </c>
    </row>
    <row r="817" spans="1:14" x14ac:dyDescent="0.3">
      <c r="A817" t="s">
        <v>4050</v>
      </c>
      <c r="B817" s="1">
        <v>45414</v>
      </c>
      <c r="C817" t="s">
        <v>575</v>
      </c>
      <c r="D817" t="s">
        <v>36</v>
      </c>
      <c r="E817">
        <v>790</v>
      </c>
      <c r="F817" t="s">
        <v>3262</v>
      </c>
      <c r="G817">
        <v>66225.7</v>
      </c>
      <c r="H817" t="s">
        <v>573</v>
      </c>
      <c r="I817">
        <v>77.81</v>
      </c>
      <c r="J817" t="s">
        <v>3263</v>
      </c>
      <c r="K817">
        <v>83.83</v>
      </c>
      <c r="L817" s="1">
        <v>45474</v>
      </c>
      <c r="M817">
        <f>G817*IF(D817="INR",1,INDEX('rates'!$B$2:$B$522,MATCH(B817,'rates'!$A$2:$A$522,1)))</f>
        <v>5525872.4079999998</v>
      </c>
      <c r="N817">
        <f t="shared" si="12"/>
        <v>60</v>
      </c>
    </row>
    <row r="818" spans="1:14" x14ac:dyDescent="0.3">
      <c r="A818" t="s">
        <v>4092</v>
      </c>
      <c r="B818" s="1">
        <v>45429</v>
      </c>
      <c r="C818" t="s">
        <v>554</v>
      </c>
      <c r="D818" t="s">
        <v>13</v>
      </c>
      <c r="E818">
        <v>71667</v>
      </c>
      <c r="F818" t="s">
        <v>3270</v>
      </c>
      <c r="G818">
        <v>6073061.5800000001</v>
      </c>
      <c r="H818" t="s">
        <v>556</v>
      </c>
      <c r="J818" t="s">
        <v>3271</v>
      </c>
      <c r="K818">
        <v>84.74</v>
      </c>
      <c r="L818" s="1">
        <v>45474</v>
      </c>
      <c r="M818">
        <f>G818*IF(D818="INR",1,INDEX('rates'!$B$2:$B$522,MATCH(B818,'rates'!$A$2:$A$522,1)))</f>
        <v>6073061.5800000001</v>
      </c>
      <c r="N818">
        <f t="shared" si="12"/>
        <v>45</v>
      </c>
    </row>
    <row r="819" spans="1:14" x14ac:dyDescent="0.3">
      <c r="A819" t="s">
        <v>4095</v>
      </c>
      <c r="B819" s="1">
        <v>45429</v>
      </c>
      <c r="C819" t="s">
        <v>566</v>
      </c>
      <c r="D819" t="s">
        <v>13</v>
      </c>
      <c r="E819">
        <v>13480</v>
      </c>
      <c r="F819" t="s">
        <v>3270</v>
      </c>
      <c r="G819">
        <v>1107247.2</v>
      </c>
      <c r="H819" t="s">
        <v>556</v>
      </c>
      <c r="J819" t="s">
        <v>3271</v>
      </c>
      <c r="K819">
        <v>82.14</v>
      </c>
      <c r="L819" s="1">
        <v>45474</v>
      </c>
      <c r="M819">
        <f>G819*IF(D819="INR",1,INDEX('rates'!$B$2:$B$522,MATCH(B819,'rates'!$A$2:$A$522,1)))</f>
        <v>1107247.2</v>
      </c>
      <c r="N819">
        <f t="shared" si="12"/>
        <v>45</v>
      </c>
    </row>
    <row r="820" spans="1:14" x14ac:dyDescent="0.3">
      <c r="A820" t="s">
        <v>4053</v>
      </c>
      <c r="B820" s="1">
        <v>45415</v>
      </c>
      <c r="C820" t="s">
        <v>575</v>
      </c>
      <c r="D820" t="s">
        <v>36</v>
      </c>
      <c r="E820">
        <v>508</v>
      </c>
      <c r="F820" t="s">
        <v>3262</v>
      </c>
      <c r="G820">
        <v>42351.96</v>
      </c>
      <c r="H820" t="s">
        <v>556</v>
      </c>
      <c r="J820" t="s">
        <v>3263</v>
      </c>
      <c r="K820">
        <v>83.37</v>
      </c>
      <c r="L820" s="1">
        <v>45475</v>
      </c>
      <c r="M820">
        <f>G820*IF(D820="INR",1,INDEX('rates'!$B$2:$B$522,MATCH(B820,'rates'!$A$2:$A$522,1)))</f>
        <v>3533424.0228000004</v>
      </c>
      <c r="N820">
        <f t="shared" si="12"/>
        <v>60</v>
      </c>
    </row>
    <row r="821" spans="1:14" x14ac:dyDescent="0.3">
      <c r="A821" t="s">
        <v>4054</v>
      </c>
      <c r="B821" s="1">
        <v>45415</v>
      </c>
      <c r="C821" t="s">
        <v>566</v>
      </c>
      <c r="D821" t="s">
        <v>36</v>
      </c>
      <c r="E821">
        <v>1611</v>
      </c>
      <c r="F821" t="s">
        <v>3262</v>
      </c>
      <c r="G821">
        <v>137369.97</v>
      </c>
      <c r="H821" t="s">
        <v>573</v>
      </c>
      <c r="I821">
        <v>77.81</v>
      </c>
      <c r="J821" t="s">
        <v>3263</v>
      </c>
      <c r="K821">
        <v>85.27</v>
      </c>
      <c r="L821" s="1">
        <v>45475</v>
      </c>
      <c r="M821">
        <f>G821*IF(D821="INR",1,INDEX('rates'!$B$2:$B$522,MATCH(B821,'rates'!$A$2:$A$522,1)))</f>
        <v>11460776.597100001</v>
      </c>
      <c r="N821">
        <f t="shared" si="12"/>
        <v>60</v>
      </c>
    </row>
    <row r="822" spans="1:14" x14ac:dyDescent="0.3">
      <c r="A822" t="s">
        <v>4055</v>
      </c>
      <c r="B822" s="1">
        <v>45415</v>
      </c>
      <c r="C822" t="s">
        <v>558</v>
      </c>
      <c r="D822" t="s">
        <v>36</v>
      </c>
      <c r="E822">
        <v>1499</v>
      </c>
      <c r="F822" t="s">
        <v>3262</v>
      </c>
      <c r="G822">
        <v>126485.62</v>
      </c>
      <c r="H822" t="s">
        <v>573</v>
      </c>
      <c r="I822">
        <v>77.81</v>
      </c>
      <c r="J822" t="s">
        <v>3263</v>
      </c>
      <c r="K822">
        <v>84.38</v>
      </c>
      <c r="L822" s="1">
        <v>45475</v>
      </c>
      <c r="M822">
        <f>G822*IF(D822="INR",1,INDEX('rates'!$B$2:$B$522,MATCH(B822,'rates'!$A$2:$A$522,1)))</f>
        <v>10552695.276600001</v>
      </c>
      <c r="N822">
        <f t="shared" si="12"/>
        <v>60</v>
      </c>
    </row>
    <row r="823" spans="1:14" x14ac:dyDescent="0.3">
      <c r="A823" t="s">
        <v>4057</v>
      </c>
      <c r="B823" s="1">
        <v>45415</v>
      </c>
      <c r="C823" t="s">
        <v>575</v>
      </c>
      <c r="D823" t="s">
        <v>36</v>
      </c>
      <c r="E823">
        <v>1466</v>
      </c>
      <c r="F823" t="s">
        <v>3262</v>
      </c>
      <c r="G823">
        <v>121883.24</v>
      </c>
      <c r="H823" t="s">
        <v>556</v>
      </c>
      <c r="J823" t="s">
        <v>3263</v>
      </c>
      <c r="K823">
        <v>83.14</v>
      </c>
      <c r="L823" s="1">
        <v>45475</v>
      </c>
      <c r="M823">
        <f>G823*IF(D823="INR",1,INDEX('rates'!$B$2:$B$522,MATCH(B823,'rates'!$A$2:$A$522,1)))</f>
        <v>10168718.713200001</v>
      </c>
      <c r="N823">
        <f t="shared" si="12"/>
        <v>60</v>
      </c>
    </row>
    <row r="824" spans="1:14" x14ac:dyDescent="0.3">
      <c r="A824" t="s">
        <v>4096</v>
      </c>
      <c r="B824" s="1">
        <v>45432</v>
      </c>
      <c r="C824" t="s">
        <v>558</v>
      </c>
      <c r="D824" t="s">
        <v>36</v>
      </c>
      <c r="E824">
        <v>3055</v>
      </c>
      <c r="F824" t="s">
        <v>3262</v>
      </c>
      <c r="G824">
        <v>261569.1</v>
      </c>
      <c r="H824" t="s">
        <v>556</v>
      </c>
      <c r="J824" t="s">
        <v>3263</v>
      </c>
      <c r="K824">
        <v>85.62</v>
      </c>
      <c r="L824" s="1">
        <v>45477</v>
      </c>
      <c r="M824">
        <f>G824*IF(D824="INR",1,INDEX('rates'!$B$2:$B$522,MATCH(B824,'rates'!$A$2:$A$522,1)))</f>
        <v>21799168.794</v>
      </c>
      <c r="N824">
        <f t="shared" si="12"/>
        <v>45</v>
      </c>
    </row>
    <row r="825" spans="1:14" x14ac:dyDescent="0.3">
      <c r="A825" t="s">
        <v>4097</v>
      </c>
      <c r="B825" s="1">
        <v>45432</v>
      </c>
      <c r="C825" t="s">
        <v>566</v>
      </c>
      <c r="D825" t="s">
        <v>13</v>
      </c>
      <c r="E825">
        <v>142902</v>
      </c>
      <c r="F825" t="s">
        <v>3270</v>
      </c>
      <c r="G825">
        <v>10207489.859999999</v>
      </c>
      <c r="H825" t="s">
        <v>556</v>
      </c>
      <c r="J825" t="s">
        <v>3271</v>
      </c>
      <c r="K825">
        <v>71.430000000000007</v>
      </c>
      <c r="L825" s="1">
        <v>45477</v>
      </c>
      <c r="M825">
        <f>G825*IF(D825="INR",1,INDEX('rates'!$B$2:$B$522,MATCH(B825,'rates'!$A$2:$A$522,1)))</f>
        <v>10207489.859999999</v>
      </c>
      <c r="N825">
        <f t="shared" si="12"/>
        <v>45</v>
      </c>
    </row>
    <row r="826" spans="1:14" x14ac:dyDescent="0.3">
      <c r="A826" t="s">
        <v>4098</v>
      </c>
      <c r="B826" s="1">
        <v>45432</v>
      </c>
      <c r="C826" t="s">
        <v>558</v>
      </c>
      <c r="D826" t="s">
        <v>36</v>
      </c>
      <c r="E826">
        <v>545</v>
      </c>
      <c r="F826" t="s">
        <v>3262</v>
      </c>
      <c r="G826">
        <v>46057.95</v>
      </c>
      <c r="H826" t="s">
        <v>556</v>
      </c>
      <c r="J826" t="s">
        <v>3263</v>
      </c>
      <c r="K826">
        <v>84.51</v>
      </c>
      <c r="L826" s="1">
        <v>45477</v>
      </c>
      <c r="M826">
        <f>G826*IF(D826="INR",1,INDEX('rates'!$B$2:$B$522,MATCH(B826,'rates'!$A$2:$A$522,1)))</f>
        <v>3838469.5529999998</v>
      </c>
      <c r="N826">
        <f t="shared" si="12"/>
        <v>45</v>
      </c>
    </row>
    <row r="827" spans="1:14" x14ac:dyDescent="0.3">
      <c r="A827" t="s">
        <v>4099</v>
      </c>
      <c r="B827" s="1">
        <v>45433</v>
      </c>
      <c r="C827" t="s">
        <v>566</v>
      </c>
      <c r="D827" t="s">
        <v>36</v>
      </c>
      <c r="E827">
        <v>701</v>
      </c>
      <c r="F827" t="s">
        <v>3262</v>
      </c>
      <c r="G827">
        <v>60124.77</v>
      </c>
      <c r="H827" t="s">
        <v>556</v>
      </c>
      <c r="J827" t="s">
        <v>3263</v>
      </c>
      <c r="K827">
        <v>85.77</v>
      </c>
      <c r="L827" s="1">
        <v>45478</v>
      </c>
      <c r="M827">
        <f>G827*IF(D827="INR",1,INDEX('rates'!$B$2:$B$522,MATCH(B827,'rates'!$A$2:$A$522,1)))</f>
        <v>5008994.5887000002</v>
      </c>
      <c r="N827">
        <f t="shared" si="12"/>
        <v>45</v>
      </c>
    </row>
    <row r="828" spans="1:14" x14ac:dyDescent="0.3">
      <c r="A828" t="s">
        <v>4123</v>
      </c>
      <c r="B828" s="1">
        <v>45448</v>
      </c>
      <c r="C828" t="s">
        <v>560</v>
      </c>
      <c r="D828" t="s">
        <v>36</v>
      </c>
      <c r="E828">
        <v>992</v>
      </c>
      <c r="F828" t="s">
        <v>3262</v>
      </c>
      <c r="G828">
        <v>79131.839999999997</v>
      </c>
      <c r="H828" t="s">
        <v>573</v>
      </c>
      <c r="I828">
        <v>85.4</v>
      </c>
      <c r="J828" t="s">
        <v>3263</v>
      </c>
      <c r="K828">
        <v>79.77</v>
      </c>
      <c r="L828" s="1">
        <v>45478</v>
      </c>
      <c r="M828">
        <f>G828*IF(D828="INR",1,INDEX('rates'!$B$2:$B$522,MATCH(B828,'rates'!$A$2:$A$522,1)))</f>
        <v>6597221.5008000005</v>
      </c>
      <c r="N828">
        <f t="shared" si="12"/>
        <v>30</v>
      </c>
    </row>
    <row r="829" spans="1:14" x14ac:dyDescent="0.3">
      <c r="A829" t="s">
        <v>4125</v>
      </c>
      <c r="B829" s="1">
        <v>45448</v>
      </c>
      <c r="C829" t="s">
        <v>558</v>
      </c>
      <c r="D829" t="s">
        <v>36</v>
      </c>
      <c r="E829">
        <v>939</v>
      </c>
      <c r="F829" t="s">
        <v>3262</v>
      </c>
      <c r="G829">
        <v>73899.3</v>
      </c>
      <c r="H829" t="s">
        <v>556</v>
      </c>
      <c r="J829" t="s">
        <v>3263</v>
      </c>
      <c r="K829">
        <v>78.7</v>
      </c>
      <c r="L829" s="1">
        <v>45478</v>
      </c>
      <c r="M829">
        <f>G829*IF(D829="INR",1,INDEX('rates'!$B$2:$B$522,MATCH(B829,'rates'!$A$2:$A$522,1)))</f>
        <v>6160984.6410000008</v>
      </c>
      <c r="N829">
        <f t="shared" si="12"/>
        <v>30</v>
      </c>
    </row>
    <row r="830" spans="1:14" x14ac:dyDescent="0.3">
      <c r="A830" t="s">
        <v>4126</v>
      </c>
      <c r="B830" s="1">
        <v>45449</v>
      </c>
      <c r="C830" t="s">
        <v>560</v>
      </c>
      <c r="D830" t="s">
        <v>36</v>
      </c>
      <c r="E830">
        <v>566</v>
      </c>
      <c r="F830" t="s">
        <v>3262</v>
      </c>
      <c r="G830">
        <v>46513.88</v>
      </c>
      <c r="H830" t="s">
        <v>556</v>
      </c>
      <c r="J830" t="s">
        <v>3263</v>
      </c>
      <c r="K830">
        <v>82.18</v>
      </c>
      <c r="L830" s="1">
        <v>45479</v>
      </c>
      <c r="M830">
        <f>G830*IF(D830="INR",1,INDEX('rates'!$B$2:$B$522,MATCH(B830,'rates'!$A$2:$A$522,1)))</f>
        <v>3882513.5635999995</v>
      </c>
      <c r="N830">
        <f t="shared" si="12"/>
        <v>30</v>
      </c>
    </row>
    <row r="831" spans="1:14" x14ac:dyDescent="0.3">
      <c r="A831" t="s">
        <v>4128</v>
      </c>
      <c r="B831" s="1">
        <v>45449</v>
      </c>
      <c r="C831" t="s">
        <v>558</v>
      </c>
      <c r="D831" t="s">
        <v>36</v>
      </c>
      <c r="E831">
        <v>4422</v>
      </c>
      <c r="F831" t="s">
        <v>3262</v>
      </c>
      <c r="G831">
        <v>364682.34</v>
      </c>
      <c r="H831" t="s">
        <v>573</v>
      </c>
      <c r="I831">
        <v>84.49</v>
      </c>
      <c r="J831" t="s">
        <v>3263</v>
      </c>
      <c r="K831">
        <v>82.47</v>
      </c>
      <c r="L831" s="1">
        <v>45479</v>
      </c>
      <c r="M831">
        <f>G831*IF(D831="INR",1,INDEX('rates'!$B$2:$B$522,MATCH(B831,'rates'!$A$2:$A$522,1)))</f>
        <v>30440034.919800002</v>
      </c>
      <c r="N831">
        <f t="shared" si="12"/>
        <v>30</v>
      </c>
    </row>
    <row r="832" spans="1:14" x14ac:dyDescent="0.3">
      <c r="A832" t="s">
        <v>4130</v>
      </c>
      <c r="B832" s="1">
        <v>45449</v>
      </c>
      <c r="C832" t="s">
        <v>566</v>
      </c>
      <c r="D832" t="s">
        <v>13</v>
      </c>
      <c r="E832">
        <v>28519</v>
      </c>
      <c r="F832" t="s">
        <v>3270</v>
      </c>
      <c r="G832">
        <v>2003174.56</v>
      </c>
      <c r="H832" t="s">
        <v>556</v>
      </c>
      <c r="J832" t="s">
        <v>3271</v>
      </c>
      <c r="K832">
        <v>70.239999999999995</v>
      </c>
      <c r="L832" s="1">
        <v>45479</v>
      </c>
      <c r="M832">
        <f>G832*IF(D832="INR",1,INDEX('rates'!$B$2:$B$522,MATCH(B832,'rates'!$A$2:$A$522,1)))</f>
        <v>2003174.56</v>
      </c>
      <c r="N832">
        <f t="shared" si="12"/>
        <v>30</v>
      </c>
    </row>
    <row r="833" spans="1:14" x14ac:dyDescent="0.3">
      <c r="A833" t="s">
        <v>4132</v>
      </c>
      <c r="B833" s="1">
        <v>45450</v>
      </c>
      <c r="C833" t="s">
        <v>560</v>
      </c>
      <c r="D833" t="s">
        <v>36</v>
      </c>
      <c r="E833">
        <v>601</v>
      </c>
      <c r="F833" t="s">
        <v>3262</v>
      </c>
      <c r="G833">
        <v>49101.7</v>
      </c>
      <c r="H833" t="s">
        <v>556</v>
      </c>
      <c r="J833" t="s">
        <v>3263</v>
      </c>
      <c r="K833">
        <v>81.7</v>
      </c>
      <c r="L833" s="1">
        <v>45480</v>
      </c>
      <c r="M833">
        <f>G833*IF(D833="INR",1,INDEX('rates'!$B$2:$B$522,MATCH(B833,'rates'!$A$2:$A$522,1)))</f>
        <v>4094099.7459999993</v>
      </c>
      <c r="N833">
        <f t="shared" si="12"/>
        <v>30</v>
      </c>
    </row>
    <row r="834" spans="1:14" x14ac:dyDescent="0.3">
      <c r="A834" t="s">
        <v>4063</v>
      </c>
      <c r="B834" s="1">
        <v>45421</v>
      </c>
      <c r="C834" t="s">
        <v>575</v>
      </c>
      <c r="D834" t="s">
        <v>13</v>
      </c>
      <c r="E834">
        <v>137247</v>
      </c>
      <c r="F834" t="s">
        <v>3270</v>
      </c>
      <c r="G834">
        <v>11078577.84</v>
      </c>
      <c r="H834" t="s">
        <v>556</v>
      </c>
      <c r="J834" t="s">
        <v>3271</v>
      </c>
      <c r="K834">
        <v>80.72</v>
      </c>
      <c r="L834" s="1">
        <v>45481</v>
      </c>
      <c r="M834">
        <f>G834*IF(D834="INR",1,INDEX('rates'!$B$2:$B$522,MATCH(B834,'rates'!$A$2:$A$522,1)))</f>
        <v>11078577.84</v>
      </c>
      <c r="N834">
        <f t="shared" ref="N834:N897" si="13">IF(L834="","",L834-B834)</f>
        <v>60</v>
      </c>
    </row>
    <row r="835" spans="1:14" x14ac:dyDescent="0.3">
      <c r="A835" t="s">
        <v>4065</v>
      </c>
      <c r="B835" s="1">
        <v>45421</v>
      </c>
      <c r="C835" t="s">
        <v>566</v>
      </c>
      <c r="D835" t="s">
        <v>36</v>
      </c>
      <c r="E835">
        <v>1917</v>
      </c>
      <c r="F835" t="s">
        <v>3262</v>
      </c>
      <c r="G835">
        <v>164823.66</v>
      </c>
      <c r="H835" t="s">
        <v>573</v>
      </c>
      <c r="I835">
        <v>82.67</v>
      </c>
      <c r="J835" t="s">
        <v>3263</v>
      </c>
      <c r="K835">
        <v>85.98</v>
      </c>
      <c r="L835" s="1">
        <v>45481</v>
      </c>
      <c r="M835">
        <f>G835*IF(D835="INR",1,INDEX('rates'!$B$2:$B$522,MATCH(B835,'rates'!$A$2:$A$522,1)))</f>
        <v>13764423.846600002</v>
      </c>
      <c r="N835">
        <f t="shared" si="13"/>
        <v>60</v>
      </c>
    </row>
    <row r="836" spans="1:14" x14ac:dyDescent="0.3">
      <c r="A836" t="s">
        <v>4106</v>
      </c>
      <c r="B836" s="1">
        <v>45436</v>
      </c>
      <c r="C836" t="s">
        <v>566</v>
      </c>
      <c r="D836" t="s">
        <v>36</v>
      </c>
      <c r="E836">
        <v>703</v>
      </c>
      <c r="F836" t="s">
        <v>3262</v>
      </c>
      <c r="G836">
        <v>58763.77</v>
      </c>
      <c r="H836" t="s">
        <v>556</v>
      </c>
      <c r="J836" t="s">
        <v>3263</v>
      </c>
      <c r="K836">
        <v>83.59</v>
      </c>
      <c r="L836" s="1">
        <v>45481</v>
      </c>
      <c r="M836">
        <f>G836*IF(D836="INR",1,INDEX('rates'!$B$2:$B$522,MATCH(B836,'rates'!$A$2:$A$522,1)))</f>
        <v>4882681.6492999997</v>
      </c>
      <c r="N836">
        <f t="shared" si="13"/>
        <v>45</v>
      </c>
    </row>
    <row r="837" spans="1:14" x14ac:dyDescent="0.3">
      <c r="A837" t="s">
        <v>4107</v>
      </c>
      <c r="B837" s="1">
        <v>45436</v>
      </c>
      <c r="C837" t="s">
        <v>566</v>
      </c>
      <c r="D837" t="s">
        <v>36</v>
      </c>
      <c r="E837">
        <v>679</v>
      </c>
      <c r="F837" t="s">
        <v>3262</v>
      </c>
      <c r="G837">
        <v>57212.54</v>
      </c>
      <c r="H837" t="s">
        <v>573</v>
      </c>
      <c r="I837">
        <v>83.03</v>
      </c>
      <c r="J837" t="s">
        <v>3263</v>
      </c>
      <c r="K837">
        <v>84.26</v>
      </c>
      <c r="L837" s="1">
        <v>45481</v>
      </c>
      <c r="M837">
        <f>G837*IF(D837="INR",1,INDEX('rates'!$B$2:$B$522,MATCH(B837,'rates'!$A$2:$A$522,1)))</f>
        <v>4753789.9486000007</v>
      </c>
      <c r="N837">
        <f t="shared" si="13"/>
        <v>45</v>
      </c>
    </row>
    <row r="838" spans="1:14" x14ac:dyDescent="0.3">
      <c r="A838" t="s">
        <v>4108</v>
      </c>
      <c r="B838" s="1">
        <v>45436</v>
      </c>
      <c r="C838" t="s">
        <v>554</v>
      </c>
      <c r="D838" t="s">
        <v>36</v>
      </c>
      <c r="E838">
        <v>592</v>
      </c>
      <c r="F838" t="s">
        <v>3262</v>
      </c>
      <c r="G838">
        <v>49059.040000000001</v>
      </c>
      <c r="H838" t="s">
        <v>573</v>
      </c>
      <c r="I838">
        <v>83.03</v>
      </c>
      <c r="J838" t="s">
        <v>3263</v>
      </c>
      <c r="K838">
        <v>82.87</v>
      </c>
      <c r="L838" s="1">
        <v>45481</v>
      </c>
      <c r="M838">
        <f>G838*IF(D838="INR",1,INDEX('rates'!$B$2:$B$522,MATCH(B838,'rates'!$A$2:$A$522,1)))</f>
        <v>4076315.6336000003</v>
      </c>
      <c r="N838">
        <f t="shared" si="13"/>
        <v>45</v>
      </c>
    </row>
    <row r="839" spans="1:14" x14ac:dyDescent="0.3">
      <c r="A839" t="s">
        <v>4109</v>
      </c>
      <c r="B839" s="1">
        <v>45436</v>
      </c>
      <c r="C839" t="s">
        <v>560</v>
      </c>
      <c r="D839" t="s">
        <v>13</v>
      </c>
      <c r="E839">
        <v>148390</v>
      </c>
      <c r="F839" t="s">
        <v>3270</v>
      </c>
      <c r="G839">
        <v>12095268.9</v>
      </c>
      <c r="H839" t="s">
        <v>556</v>
      </c>
      <c r="J839" t="s">
        <v>3271</v>
      </c>
      <c r="K839">
        <v>81.510000000000005</v>
      </c>
      <c r="L839" s="1">
        <v>45481</v>
      </c>
      <c r="M839">
        <f>G839*IF(D839="INR",1,INDEX('rates'!$B$2:$B$522,MATCH(B839,'rates'!$A$2:$A$522,1)))</f>
        <v>12095268.9</v>
      </c>
      <c r="N839">
        <f t="shared" si="13"/>
        <v>45</v>
      </c>
    </row>
    <row r="840" spans="1:14" x14ac:dyDescent="0.3">
      <c r="A840" t="s">
        <v>4066</v>
      </c>
      <c r="B840" s="1">
        <v>45422</v>
      </c>
      <c r="C840" t="s">
        <v>558</v>
      </c>
      <c r="D840" t="s">
        <v>36</v>
      </c>
      <c r="E840">
        <v>820</v>
      </c>
      <c r="F840" t="s">
        <v>3262</v>
      </c>
      <c r="G840">
        <v>69175.199999999997</v>
      </c>
      <c r="H840" t="s">
        <v>556</v>
      </c>
      <c r="J840" t="s">
        <v>3263</v>
      </c>
      <c r="K840">
        <v>84.36</v>
      </c>
      <c r="L840" s="1">
        <v>45482</v>
      </c>
      <c r="M840">
        <f>G840*IF(D840="INR",1,INDEX('rates'!$B$2:$B$522,MATCH(B840,'rates'!$A$2:$A$522,1)))</f>
        <v>5778896.2080000006</v>
      </c>
      <c r="N840">
        <f t="shared" si="13"/>
        <v>60</v>
      </c>
    </row>
    <row r="841" spans="1:14" x14ac:dyDescent="0.3">
      <c r="A841" t="s">
        <v>4068</v>
      </c>
      <c r="B841" s="1">
        <v>45422</v>
      </c>
      <c r="C841" t="s">
        <v>566</v>
      </c>
      <c r="D841" t="s">
        <v>36</v>
      </c>
      <c r="E841">
        <v>467</v>
      </c>
      <c r="F841" t="s">
        <v>3262</v>
      </c>
      <c r="G841">
        <v>39624.949999999997</v>
      </c>
      <c r="H841" t="s">
        <v>573</v>
      </c>
      <c r="I841">
        <v>82.67</v>
      </c>
      <c r="J841" t="s">
        <v>3263</v>
      </c>
      <c r="K841">
        <v>84.85</v>
      </c>
      <c r="L841" s="1">
        <v>45482</v>
      </c>
      <c r="M841">
        <f>G841*IF(D841="INR",1,INDEX('rates'!$B$2:$B$522,MATCH(B841,'rates'!$A$2:$A$522,1)))</f>
        <v>3310268.3229999999</v>
      </c>
      <c r="N841">
        <f t="shared" si="13"/>
        <v>60</v>
      </c>
    </row>
    <row r="842" spans="1:14" x14ac:dyDescent="0.3">
      <c r="A842" t="s">
        <v>4111</v>
      </c>
      <c r="B842" s="1">
        <v>45439</v>
      </c>
      <c r="C842" t="s">
        <v>558</v>
      </c>
      <c r="D842" t="s">
        <v>36</v>
      </c>
      <c r="E842">
        <v>498</v>
      </c>
      <c r="F842" t="s">
        <v>3262</v>
      </c>
      <c r="G842">
        <v>41573.040000000001</v>
      </c>
      <c r="H842" t="s">
        <v>556</v>
      </c>
      <c r="J842" t="s">
        <v>3263</v>
      </c>
      <c r="K842">
        <v>83.48</v>
      </c>
      <c r="L842" s="1">
        <v>45484</v>
      </c>
      <c r="M842">
        <f>G842*IF(D842="INR",1,INDEX('rates'!$B$2:$B$522,MATCH(B842,'rates'!$A$2:$A$522,1)))</f>
        <v>3454303.8936000001</v>
      </c>
      <c r="N842">
        <f t="shared" si="13"/>
        <v>45</v>
      </c>
    </row>
    <row r="843" spans="1:14" x14ac:dyDescent="0.3">
      <c r="A843" t="s">
        <v>4112</v>
      </c>
      <c r="B843" s="1">
        <v>45439</v>
      </c>
      <c r="C843" t="s">
        <v>558</v>
      </c>
      <c r="D843" t="s">
        <v>36</v>
      </c>
      <c r="E843">
        <v>625</v>
      </c>
      <c r="F843" t="s">
        <v>3262</v>
      </c>
      <c r="G843">
        <v>52281.25</v>
      </c>
      <c r="H843" t="s">
        <v>556</v>
      </c>
      <c r="J843" t="s">
        <v>3263</v>
      </c>
      <c r="K843">
        <v>83.65</v>
      </c>
      <c r="L843" s="1">
        <v>45484</v>
      </c>
      <c r="M843">
        <f>G843*IF(D843="INR",1,INDEX('rates'!$B$2:$B$522,MATCH(B843,'rates'!$A$2:$A$522,1)))</f>
        <v>4344049.0625</v>
      </c>
      <c r="N843">
        <f t="shared" si="13"/>
        <v>45</v>
      </c>
    </row>
    <row r="844" spans="1:14" x14ac:dyDescent="0.3">
      <c r="A844" t="s">
        <v>4113</v>
      </c>
      <c r="B844" s="1">
        <v>45440</v>
      </c>
      <c r="C844" t="s">
        <v>558</v>
      </c>
      <c r="D844" t="s">
        <v>36</v>
      </c>
      <c r="E844">
        <v>817</v>
      </c>
      <c r="F844" t="s">
        <v>3262</v>
      </c>
      <c r="G844">
        <v>69085.52</v>
      </c>
      <c r="H844" t="s">
        <v>556</v>
      </c>
      <c r="J844" t="s">
        <v>3263</v>
      </c>
      <c r="K844">
        <v>84.56</v>
      </c>
      <c r="L844" s="1">
        <v>45485</v>
      </c>
      <c r="M844">
        <f>G844*IF(D844="INR",1,INDEX('rates'!$B$2:$B$522,MATCH(B844,'rates'!$A$2:$A$522,1)))</f>
        <v>5745151.8432</v>
      </c>
      <c r="N844">
        <f t="shared" si="13"/>
        <v>45</v>
      </c>
    </row>
    <row r="845" spans="1:14" x14ac:dyDescent="0.3">
      <c r="A845" t="s">
        <v>4114</v>
      </c>
      <c r="B845" s="1">
        <v>45440</v>
      </c>
      <c r="C845" t="s">
        <v>575</v>
      </c>
      <c r="D845" t="s">
        <v>36</v>
      </c>
      <c r="E845">
        <v>483</v>
      </c>
      <c r="F845" t="s">
        <v>3262</v>
      </c>
      <c r="G845">
        <v>41441.4</v>
      </c>
      <c r="H845" t="s">
        <v>573</v>
      </c>
      <c r="I845">
        <v>85</v>
      </c>
      <c r="J845" t="s">
        <v>3263</v>
      </c>
      <c r="K845">
        <v>85.8</v>
      </c>
      <c r="L845" s="1">
        <v>45485</v>
      </c>
      <c r="M845">
        <f>G845*IF(D845="INR",1,INDEX('rates'!$B$2:$B$522,MATCH(B845,'rates'!$A$2:$A$522,1)))</f>
        <v>3446266.824</v>
      </c>
      <c r="N845">
        <f t="shared" si="13"/>
        <v>45</v>
      </c>
    </row>
    <row r="846" spans="1:14" x14ac:dyDescent="0.3">
      <c r="A846" t="s">
        <v>4135</v>
      </c>
      <c r="B846" s="1">
        <v>45455</v>
      </c>
      <c r="C846" t="s">
        <v>560</v>
      </c>
      <c r="D846" t="s">
        <v>36</v>
      </c>
      <c r="E846">
        <v>592</v>
      </c>
      <c r="F846" t="s">
        <v>3262</v>
      </c>
      <c r="G846">
        <v>50278.559999999998</v>
      </c>
      <c r="H846" t="s">
        <v>556</v>
      </c>
      <c r="J846" t="s">
        <v>3263</v>
      </c>
      <c r="K846">
        <v>84.93</v>
      </c>
      <c r="L846" s="1">
        <v>45485</v>
      </c>
      <c r="M846">
        <f>G846*IF(D846="INR",1,INDEX('rates'!$B$2:$B$522,MATCH(B846,'rates'!$A$2:$A$522,1)))</f>
        <v>4201779.2591999993</v>
      </c>
      <c r="N846">
        <f t="shared" si="13"/>
        <v>30</v>
      </c>
    </row>
    <row r="847" spans="1:14" x14ac:dyDescent="0.3">
      <c r="A847" t="s">
        <v>4074</v>
      </c>
      <c r="B847" s="1">
        <v>45426</v>
      </c>
      <c r="C847" t="s">
        <v>566</v>
      </c>
      <c r="D847" t="s">
        <v>36</v>
      </c>
      <c r="E847">
        <v>355</v>
      </c>
      <c r="F847" t="s">
        <v>3262</v>
      </c>
      <c r="G847">
        <v>30135.95</v>
      </c>
      <c r="H847" t="s">
        <v>573</v>
      </c>
      <c r="I847">
        <v>82.49</v>
      </c>
      <c r="J847" t="s">
        <v>3263</v>
      </c>
      <c r="K847">
        <v>84.89</v>
      </c>
      <c r="L847" s="1">
        <v>45486</v>
      </c>
      <c r="M847">
        <f>G847*IF(D847="INR",1,INDEX('rates'!$B$2:$B$522,MATCH(B847,'rates'!$A$2:$A$522,1)))</f>
        <v>2516351.8250000002</v>
      </c>
      <c r="N847">
        <f t="shared" si="13"/>
        <v>60</v>
      </c>
    </row>
    <row r="848" spans="1:14" x14ac:dyDescent="0.3">
      <c r="A848" t="s">
        <v>4076</v>
      </c>
      <c r="B848" s="1">
        <v>45426</v>
      </c>
      <c r="C848" t="s">
        <v>575</v>
      </c>
      <c r="D848" t="s">
        <v>13</v>
      </c>
      <c r="E848">
        <v>35431</v>
      </c>
      <c r="F848" t="s">
        <v>3270</v>
      </c>
      <c r="G848">
        <v>2180778.0499999998</v>
      </c>
      <c r="H848" t="s">
        <v>556</v>
      </c>
      <c r="J848" t="s">
        <v>3271</v>
      </c>
      <c r="K848">
        <v>61.55</v>
      </c>
      <c r="L848" s="1">
        <v>45486</v>
      </c>
      <c r="M848">
        <f>G848*IF(D848="INR",1,INDEX('rates'!$B$2:$B$522,MATCH(B848,'rates'!$A$2:$A$522,1)))</f>
        <v>2180778.0499999998</v>
      </c>
      <c r="N848">
        <f t="shared" si="13"/>
        <v>60</v>
      </c>
    </row>
    <row r="849" spans="1:14" x14ac:dyDescent="0.3">
      <c r="A849" t="s">
        <v>4078</v>
      </c>
      <c r="B849" s="1">
        <v>45427</v>
      </c>
      <c r="C849" t="s">
        <v>554</v>
      </c>
      <c r="D849" t="s">
        <v>13</v>
      </c>
      <c r="E849">
        <v>56543</v>
      </c>
      <c r="F849" t="s">
        <v>3270</v>
      </c>
      <c r="G849">
        <v>4583375.58</v>
      </c>
      <c r="H849" t="s">
        <v>556</v>
      </c>
      <c r="J849" t="s">
        <v>3271</v>
      </c>
      <c r="K849">
        <v>81.06</v>
      </c>
      <c r="L849" s="1">
        <v>45487</v>
      </c>
      <c r="M849">
        <f>G849*IF(D849="INR",1,INDEX('rates'!$B$2:$B$522,MATCH(B849,'rates'!$A$2:$A$522,1)))</f>
        <v>4583375.58</v>
      </c>
      <c r="N849">
        <f t="shared" si="13"/>
        <v>60</v>
      </c>
    </row>
    <row r="850" spans="1:14" x14ac:dyDescent="0.3">
      <c r="A850" t="s">
        <v>4080</v>
      </c>
      <c r="B850" s="1">
        <v>45427</v>
      </c>
      <c r="C850" t="s">
        <v>566</v>
      </c>
      <c r="D850" t="s">
        <v>36</v>
      </c>
      <c r="E850">
        <v>670</v>
      </c>
      <c r="F850" t="s">
        <v>3262</v>
      </c>
      <c r="G850">
        <v>56568.1</v>
      </c>
      <c r="H850" t="s">
        <v>573</v>
      </c>
      <c r="I850">
        <v>83.96</v>
      </c>
      <c r="J850" t="s">
        <v>3263</v>
      </c>
      <c r="K850">
        <v>84.43</v>
      </c>
      <c r="L850" s="1">
        <v>45487</v>
      </c>
      <c r="M850">
        <f>G850*IF(D850="INR",1,INDEX('rates'!$B$2:$B$522,MATCH(B850,'rates'!$A$2:$A$522,1)))</f>
        <v>4721173.6259999992</v>
      </c>
      <c r="N850">
        <f t="shared" si="13"/>
        <v>60</v>
      </c>
    </row>
    <row r="851" spans="1:14" x14ac:dyDescent="0.3">
      <c r="A851" t="s">
        <v>4117</v>
      </c>
      <c r="B851" s="1">
        <v>45442</v>
      </c>
      <c r="C851" t="s">
        <v>558</v>
      </c>
      <c r="D851" t="s">
        <v>36</v>
      </c>
      <c r="E851">
        <v>941</v>
      </c>
      <c r="F851" t="s">
        <v>3262</v>
      </c>
      <c r="G851">
        <v>78432.350000000006</v>
      </c>
      <c r="H851" t="s">
        <v>556</v>
      </c>
      <c r="J851" t="s">
        <v>3263</v>
      </c>
      <c r="K851">
        <v>83.35</v>
      </c>
      <c r="L851" s="1">
        <v>45487</v>
      </c>
      <c r="M851">
        <f>G851*IF(D851="INR",1,INDEX('rates'!$B$2:$B$522,MATCH(B851,'rates'!$A$2:$A$522,1)))</f>
        <v>6531846.1080000009</v>
      </c>
      <c r="N851">
        <f t="shared" si="13"/>
        <v>45</v>
      </c>
    </row>
    <row r="852" spans="1:14" x14ac:dyDescent="0.3">
      <c r="A852" t="s">
        <v>4136</v>
      </c>
      <c r="B852" s="1">
        <v>45457</v>
      </c>
      <c r="C852" t="s">
        <v>566</v>
      </c>
      <c r="D852" t="s">
        <v>13</v>
      </c>
      <c r="E852">
        <v>43610</v>
      </c>
      <c r="F852" t="s">
        <v>3270</v>
      </c>
      <c r="G852">
        <v>3323082</v>
      </c>
      <c r="H852" t="s">
        <v>556</v>
      </c>
      <c r="J852" t="s">
        <v>3271</v>
      </c>
      <c r="K852">
        <v>76.2</v>
      </c>
      <c r="L852" s="1">
        <v>45487</v>
      </c>
      <c r="M852">
        <f>G852*IF(D852="INR",1,INDEX('rates'!$B$2:$B$522,MATCH(B852,'rates'!$A$2:$A$522,1)))</f>
        <v>3323082</v>
      </c>
      <c r="N852">
        <f t="shared" si="13"/>
        <v>30</v>
      </c>
    </row>
    <row r="853" spans="1:14" x14ac:dyDescent="0.3">
      <c r="A853" t="s">
        <v>4138</v>
      </c>
      <c r="B853" s="1">
        <v>45457</v>
      </c>
      <c r="C853" t="s">
        <v>558</v>
      </c>
      <c r="D853" t="s">
        <v>36</v>
      </c>
      <c r="E853">
        <v>1902</v>
      </c>
      <c r="F853" t="s">
        <v>3262</v>
      </c>
      <c r="G853">
        <v>162506.88</v>
      </c>
      <c r="H853" t="s">
        <v>556</v>
      </c>
      <c r="J853" t="s">
        <v>3263</v>
      </c>
      <c r="K853">
        <v>85.44</v>
      </c>
      <c r="L853" s="1">
        <v>45487</v>
      </c>
      <c r="M853">
        <f>G853*IF(D853="INR",1,INDEX('rates'!$B$2:$B$522,MATCH(B853,'rates'!$A$2:$A$522,1)))</f>
        <v>13575824.7552</v>
      </c>
      <c r="N853">
        <f t="shared" si="13"/>
        <v>30</v>
      </c>
    </row>
    <row r="854" spans="1:14" x14ac:dyDescent="0.3">
      <c r="A854" t="s">
        <v>4083</v>
      </c>
      <c r="B854" s="1">
        <v>45428</v>
      </c>
      <c r="C854" t="s">
        <v>566</v>
      </c>
      <c r="D854" t="s">
        <v>36</v>
      </c>
      <c r="E854">
        <v>2454</v>
      </c>
      <c r="F854" t="s">
        <v>3262</v>
      </c>
      <c r="G854">
        <v>210283.26</v>
      </c>
      <c r="H854" t="s">
        <v>573</v>
      </c>
      <c r="I854">
        <v>85.23</v>
      </c>
      <c r="J854" t="s">
        <v>3263</v>
      </c>
      <c r="K854">
        <v>85.69</v>
      </c>
      <c r="L854" s="1">
        <v>45488</v>
      </c>
      <c r="M854">
        <f>G854*IF(D854="INR",1,INDEX('rates'!$B$2:$B$522,MATCH(B854,'rates'!$A$2:$A$522,1)))</f>
        <v>17550240.8796</v>
      </c>
      <c r="N854">
        <f t="shared" si="13"/>
        <v>60</v>
      </c>
    </row>
    <row r="855" spans="1:14" x14ac:dyDescent="0.3">
      <c r="A855" t="s">
        <v>4086</v>
      </c>
      <c r="B855" s="1">
        <v>45428</v>
      </c>
      <c r="C855" t="s">
        <v>566</v>
      </c>
      <c r="D855" t="s">
        <v>36</v>
      </c>
      <c r="E855">
        <v>1629</v>
      </c>
      <c r="F855" t="s">
        <v>3262</v>
      </c>
      <c r="G855">
        <v>139735.62</v>
      </c>
      <c r="H855" t="s">
        <v>573</v>
      </c>
      <c r="I855">
        <v>85.23</v>
      </c>
      <c r="J855" t="s">
        <v>3263</v>
      </c>
      <c r="K855">
        <v>85.78</v>
      </c>
      <c r="L855" s="1">
        <v>45488</v>
      </c>
      <c r="M855">
        <f>G855*IF(D855="INR",1,INDEX('rates'!$B$2:$B$522,MATCH(B855,'rates'!$A$2:$A$522,1)))</f>
        <v>11662334.845199998</v>
      </c>
      <c r="N855">
        <f t="shared" si="13"/>
        <v>60</v>
      </c>
    </row>
    <row r="856" spans="1:14" x14ac:dyDescent="0.3">
      <c r="A856" t="s">
        <v>4121</v>
      </c>
      <c r="B856" s="1">
        <v>45443</v>
      </c>
      <c r="C856" t="s">
        <v>566</v>
      </c>
      <c r="D856" t="s">
        <v>36</v>
      </c>
      <c r="E856">
        <v>480</v>
      </c>
      <c r="F856" t="s">
        <v>3262</v>
      </c>
      <c r="G856">
        <v>40795.199999999997</v>
      </c>
      <c r="H856" t="s">
        <v>556</v>
      </c>
      <c r="J856" t="s">
        <v>3263</v>
      </c>
      <c r="K856">
        <v>84.99</v>
      </c>
      <c r="L856" s="1">
        <v>45488</v>
      </c>
      <c r="M856">
        <f>G856*IF(D856="INR",1,INDEX('rates'!$B$2:$B$522,MATCH(B856,'rates'!$A$2:$A$522,1)))</f>
        <v>3403543.5359999998</v>
      </c>
      <c r="N856">
        <f t="shared" si="13"/>
        <v>45</v>
      </c>
    </row>
    <row r="857" spans="1:14" x14ac:dyDescent="0.3">
      <c r="A857" t="s">
        <v>4087</v>
      </c>
      <c r="B857" s="1">
        <v>45429</v>
      </c>
      <c r="C857" t="s">
        <v>566</v>
      </c>
      <c r="D857" t="s">
        <v>36</v>
      </c>
      <c r="E857">
        <v>244</v>
      </c>
      <c r="F857" t="s">
        <v>3262</v>
      </c>
      <c r="G857">
        <v>20974.240000000002</v>
      </c>
      <c r="H857" t="s">
        <v>573</v>
      </c>
      <c r="I857">
        <v>85.23</v>
      </c>
      <c r="J857" t="s">
        <v>3263</v>
      </c>
      <c r="K857">
        <v>85.96</v>
      </c>
      <c r="L857" s="1">
        <v>45489</v>
      </c>
      <c r="M857">
        <f>G857*IF(D857="INR",1,INDEX('rates'!$B$2:$B$522,MATCH(B857,'rates'!$A$2:$A$522,1)))</f>
        <v>1747993.1616000002</v>
      </c>
      <c r="N857">
        <f t="shared" si="13"/>
        <v>60</v>
      </c>
    </row>
    <row r="858" spans="1:14" x14ac:dyDescent="0.3">
      <c r="A858" t="s">
        <v>4089</v>
      </c>
      <c r="B858" s="1">
        <v>45429</v>
      </c>
      <c r="C858" t="s">
        <v>554</v>
      </c>
      <c r="D858" t="s">
        <v>36</v>
      </c>
      <c r="E858">
        <v>374</v>
      </c>
      <c r="F858" t="s">
        <v>3262</v>
      </c>
      <c r="G858">
        <v>32414.58</v>
      </c>
      <c r="H858" t="s">
        <v>573</v>
      </c>
      <c r="I858">
        <v>85.23</v>
      </c>
      <c r="J858" t="s">
        <v>3263</v>
      </c>
      <c r="K858">
        <v>86.67</v>
      </c>
      <c r="L858" s="1">
        <v>45489</v>
      </c>
      <c r="M858">
        <f>G858*IF(D858="INR",1,INDEX('rates'!$B$2:$B$522,MATCH(B858,'rates'!$A$2:$A$522,1)))</f>
        <v>2701431.0972000002</v>
      </c>
      <c r="N858">
        <f t="shared" si="13"/>
        <v>60</v>
      </c>
    </row>
    <row r="859" spans="1:14" x14ac:dyDescent="0.3">
      <c r="A859" t="s">
        <v>4091</v>
      </c>
      <c r="B859" s="1">
        <v>45429</v>
      </c>
      <c r="C859" t="s">
        <v>560</v>
      </c>
      <c r="D859" t="s">
        <v>36</v>
      </c>
      <c r="E859">
        <v>674</v>
      </c>
      <c r="F859" t="s">
        <v>3262</v>
      </c>
      <c r="G859">
        <v>57215.86</v>
      </c>
      <c r="H859" t="s">
        <v>573</v>
      </c>
      <c r="I859">
        <v>85.23</v>
      </c>
      <c r="J859" t="s">
        <v>3263</v>
      </c>
      <c r="K859">
        <v>84.89</v>
      </c>
      <c r="L859" s="1">
        <v>45489</v>
      </c>
      <c r="M859">
        <f>G859*IF(D859="INR",1,INDEX('rates'!$B$2:$B$522,MATCH(B859,'rates'!$A$2:$A$522,1)))</f>
        <v>4768369.7724000001</v>
      </c>
      <c r="N859">
        <f t="shared" si="13"/>
        <v>60</v>
      </c>
    </row>
    <row r="860" spans="1:14" x14ac:dyDescent="0.3">
      <c r="A860" t="s">
        <v>4093</v>
      </c>
      <c r="B860" s="1">
        <v>45429</v>
      </c>
      <c r="C860" t="s">
        <v>554</v>
      </c>
      <c r="D860" t="s">
        <v>36</v>
      </c>
      <c r="E860">
        <v>580</v>
      </c>
      <c r="F860" t="s">
        <v>3262</v>
      </c>
      <c r="G860">
        <v>51214</v>
      </c>
      <c r="H860" t="s">
        <v>573</v>
      </c>
      <c r="I860">
        <v>85.23</v>
      </c>
      <c r="J860" t="s">
        <v>3263</v>
      </c>
      <c r="K860">
        <v>88.3</v>
      </c>
      <c r="L860" s="1">
        <v>45489</v>
      </c>
      <c r="M860">
        <f>G860*IF(D860="INR",1,INDEX('rates'!$B$2:$B$522,MATCH(B860,'rates'!$A$2:$A$522,1)))</f>
        <v>4268174.76</v>
      </c>
      <c r="N860">
        <f t="shared" si="13"/>
        <v>60</v>
      </c>
    </row>
    <row r="861" spans="1:14" x14ac:dyDescent="0.3">
      <c r="A861" t="s">
        <v>4144</v>
      </c>
      <c r="B861" s="1">
        <v>45460</v>
      </c>
      <c r="C861" t="s">
        <v>560</v>
      </c>
      <c r="D861" t="s">
        <v>36</v>
      </c>
      <c r="E861">
        <v>478</v>
      </c>
      <c r="F861" t="s">
        <v>3262</v>
      </c>
      <c r="G861">
        <v>40749.5</v>
      </c>
      <c r="H861" t="s">
        <v>556</v>
      </c>
      <c r="J861" t="s">
        <v>3263</v>
      </c>
      <c r="K861">
        <v>85.25</v>
      </c>
      <c r="L861" s="1">
        <v>45490</v>
      </c>
      <c r="M861">
        <f>G861*IF(D861="INR",1,INDEX('rates'!$B$2:$B$522,MATCH(B861,'rates'!$A$2:$A$522,1)))</f>
        <v>3403398.2399999998</v>
      </c>
      <c r="N861">
        <f t="shared" si="13"/>
        <v>30</v>
      </c>
    </row>
    <row r="862" spans="1:14" x14ac:dyDescent="0.3">
      <c r="A862" t="s">
        <v>4145</v>
      </c>
      <c r="B862" s="1">
        <v>45460</v>
      </c>
      <c r="C862" t="s">
        <v>558</v>
      </c>
      <c r="D862" t="s">
        <v>13</v>
      </c>
      <c r="E862">
        <v>49891</v>
      </c>
      <c r="F862" t="s">
        <v>3270</v>
      </c>
      <c r="G862">
        <v>4248219</v>
      </c>
      <c r="H862" t="s">
        <v>556</v>
      </c>
      <c r="J862" t="s">
        <v>3271</v>
      </c>
      <c r="K862">
        <v>85.15</v>
      </c>
      <c r="L862" s="1">
        <v>45490</v>
      </c>
      <c r="M862">
        <f>G862*IF(D862="INR",1,INDEX('rates'!$B$2:$B$522,MATCH(B862,'rates'!$A$2:$A$522,1)))</f>
        <v>4248219</v>
      </c>
      <c r="N862">
        <f t="shared" si="13"/>
        <v>30</v>
      </c>
    </row>
    <row r="863" spans="1:14" x14ac:dyDescent="0.3">
      <c r="A863" t="s">
        <v>4124</v>
      </c>
      <c r="B863" s="1">
        <v>45448</v>
      </c>
      <c r="C863" t="s">
        <v>560</v>
      </c>
      <c r="D863" t="s">
        <v>13</v>
      </c>
      <c r="E863">
        <v>69979</v>
      </c>
      <c r="F863" t="s">
        <v>3270</v>
      </c>
      <c r="G863">
        <v>6588522.8499999996</v>
      </c>
      <c r="H863" t="s">
        <v>556</v>
      </c>
      <c r="J863" t="s">
        <v>3271</v>
      </c>
      <c r="K863">
        <v>94.15</v>
      </c>
      <c r="L863" s="1">
        <v>45493</v>
      </c>
      <c r="M863">
        <f>G863*IF(D863="INR",1,INDEX('rates'!$B$2:$B$522,MATCH(B863,'rates'!$A$2:$A$522,1)))</f>
        <v>6588522.8499999996</v>
      </c>
      <c r="N863">
        <f t="shared" si="13"/>
        <v>45</v>
      </c>
    </row>
    <row r="864" spans="1:14" x14ac:dyDescent="0.3">
      <c r="A864" t="s">
        <v>4129</v>
      </c>
      <c r="B864" s="1">
        <v>45449</v>
      </c>
      <c r="C864" t="s">
        <v>558</v>
      </c>
      <c r="D864" t="s">
        <v>36</v>
      </c>
      <c r="E864">
        <v>1392</v>
      </c>
      <c r="F864" t="s">
        <v>3262</v>
      </c>
      <c r="G864">
        <v>113072.16</v>
      </c>
      <c r="H864" t="s">
        <v>573</v>
      </c>
      <c r="I864">
        <v>84.49</v>
      </c>
      <c r="J864" t="s">
        <v>3263</v>
      </c>
      <c r="K864">
        <v>81.23</v>
      </c>
      <c r="L864" s="1">
        <v>45494</v>
      </c>
      <c r="M864">
        <f>G864*IF(D864="INR",1,INDEX('rates'!$B$2:$B$522,MATCH(B864,'rates'!$A$2:$A$522,1)))</f>
        <v>9438133.1952</v>
      </c>
      <c r="N864">
        <f t="shared" si="13"/>
        <v>45</v>
      </c>
    </row>
    <row r="865" spans="1:14" x14ac:dyDescent="0.3">
      <c r="A865" t="s">
        <v>4131</v>
      </c>
      <c r="B865" s="1">
        <v>45449</v>
      </c>
      <c r="C865" t="s">
        <v>554</v>
      </c>
      <c r="D865" t="s">
        <v>36</v>
      </c>
      <c r="E865">
        <v>886</v>
      </c>
      <c r="F865" t="s">
        <v>3262</v>
      </c>
      <c r="G865">
        <v>72386.2</v>
      </c>
      <c r="H865" t="s">
        <v>573</v>
      </c>
      <c r="I865">
        <v>84.49</v>
      </c>
      <c r="J865" t="s">
        <v>3263</v>
      </c>
      <c r="K865">
        <v>81.7</v>
      </c>
      <c r="L865" s="1">
        <v>45494</v>
      </c>
      <c r="M865">
        <f>G865*IF(D865="INR",1,INDEX('rates'!$B$2:$B$522,MATCH(B865,'rates'!$A$2:$A$522,1)))</f>
        <v>6042076.1140000001</v>
      </c>
      <c r="N865">
        <f t="shared" si="13"/>
        <v>45</v>
      </c>
    </row>
    <row r="866" spans="1:14" x14ac:dyDescent="0.3">
      <c r="A866" t="s">
        <v>4148</v>
      </c>
      <c r="B866" s="1">
        <v>45464</v>
      </c>
      <c r="C866" t="s">
        <v>558</v>
      </c>
      <c r="D866" t="s">
        <v>36</v>
      </c>
      <c r="E866">
        <v>552</v>
      </c>
      <c r="F866" t="s">
        <v>3262</v>
      </c>
      <c r="G866">
        <v>46964.160000000003</v>
      </c>
      <c r="H866" t="s">
        <v>556</v>
      </c>
      <c r="J866" t="s">
        <v>3263</v>
      </c>
      <c r="K866">
        <v>85.08</v>
      </c>
      <c r="L866" s="1">
        <v>45494</v>
      </c>
      <c r="M866">
        <f>G866*IF(D866="INR",1,INDEX('rates'!$B$2:$B$522,MATCH(B866,'rates'!$A$2:$A$522,1)))</f>
        <v>3922916.2848000005</v>
      </c>
      <c r="N866">
        <f t="shared" si="13"/>
        <v>30</v>
      </c>
    </row>
    <row r="867" spans="1:14" x14ac:dyDescent="0.3">
      <c r="A867" t="s">
        <v>4150</v>
      </c>
      <c r="B867" s="1">
        <v>45464</v>
      </c>
      <c r="C867" t="s">
        <v>560</v>
      </c>
      <c r="D867" t="s">
        <v>13</v>
      </c>
      <c r="E867">
        <v>43595</v>
      </c>
      <c r="F867" t="s">
        <v>3270</v>
      </c>
      <c r="G867">
        <v>3237800.65</v>
      </c>
      <c r="H867" t="s">
        <v>556</v>
      </c>
      <c r="J867" t="s">
        <v>3271</v>
      </c>
      <c r="K867">
        <v>74.27</v>
      </c>
      <c r="L867" s="1">
        <v>45494</v>
      </c>
      <c r="M867">
        <f>G867*IF(D867="INR",1,INDEX('rates'!$B$2:$B$522,MATCH(B867,'rates'!$A$2:$A$522,1)))</f>
        <v>3237800.65</v>
      </c>
      <c r="N867">
        <f t="shared" si="13"/>
        <v>30</v>
      </c>
    </row>
    <row r="868" spans="1:14" x14ac:dyDescent="0.3">
      <c r="A868" t="s">
        <v>4102</v>
      </c>
      <c r="B868" s="1">
        <v>45435</v>
      </c>
      <c r="C868" t="s">
        <v>554</v>
      </c>
      <c r="D868" t="s">
        <v>36</v>
      </c>
      <c r="E868">
        <v>380</v>
      </c>
      <c r="F868" t="s">
        <v>3262</v>
      </c>
      <c r="G868">
        <v>31160</v>
      </c>
      <c r="H868" t="s">
        <v>556</v>
      </c>
      <c r="J868" t="s">
        <v>3263</v>
      </c>
      <c r="K868">
        <v>82</v>
      </c>
      <c r="L868" s="1">
        <v>45495</v>
      </c>
      <c r="M868">
        <f>G868*IF(D868="INR",1,INDEX('rates'!$B$2:$B$522,MATCH(B868,'rates'!$A$2:$A$522,1)))</f>
        <v>2594693.1999999997</v>
      </c>
      <c r="N868">
        <f t="shared" si="13"/>
        <v>60</v>
      </c>
    </row>
    <row r="869" spans="1:14" x14ac:dyDescent="0.3">
      <c r="A869" t="s">
        <v>4105</v>
      </c>
      <c r="B869" s="1">
        <v>45436</v>
      </c>
      <c r="C869" t="s">
        <v>558</v>
      </c>
      <c r="D869" t="s">
        <v>36</v>
      </c>
      <c r="E869">
        <v>1399</v>
      </c>
      <c r="F869" t="s">
        <v>3262</v>
      </c>
      <c r="G869">
        <v>116802.51</v>
      </c>
      <c r="H869" t="s">
        <v>573</v>
      </c>
      <c r="I869">
        <v>83.03</v>
      </c>
      <c r="J869" t="s">
        <v>3263</v>
      </c>
      <c r="K869">
        <v>83.49</v>
      </c>
      <c r="L869" s="1">
        <v>45496</v>
      </c>
      <c r="M869">
        <f>G869*IF(D869="INR",1,INDEX('rates'!$B$2:$B$522,MATCH(B869,'rates'!$A$2:$A$522,1)))</f>
        <v>9705120.5559</v>
      </c>
      <c r="N869">
        <f t="shared" si="13"/>
        <v>60</v>
      </c>
    </row>
    <row r="870" spans="1:14" x14ac:dyDescent="0.3">
      <c r="A870" t="s">
        <v>4156</v>
      </c>
      <c r="B870" s="1">
        <v>45468</v>
      </c>
      <c r="C870" t="s">
        <v>554</v>
      </c>
      <c r="D870" t="s">
        <v>36</v>
      </c>
      <c r="E870">
        <v>1112</v>
      </c>
      <c r="F870" t="s">
        <v>3262</v>
      </c>
      <c r="G870">
        <v>97177.68</v>
      </c>
      <c r="H870" t="s">
        <v>573</v>
      </c>
      <c r="I870">
        <v>87.9</v>
      </c>
      <c r="J870" t="s">
        <v>3263</v>
      </c>
      <c r="K870">
        <v>87.39</v>
      </c>
      <c r="L870" s="1">
        <v>45498</v>
      </c>
      <c r="M870">
        <f>G870*IF(D870="INR",1,INDEX('rates'!$B$2:$B$522,MATCH(B870,'rates'!$A$2:$A$522,1)))</f>
        <v>8104618.5120000001</v>
      </c>
      <c r="N870">
        <f t="shared" si="13"/>
        <v>30</v>
      </c>
    </row>
    <row r="871" spans="1:14" x14ac:dyDescent="0.3">
      <c r="A871" t="s">
        <v>4157</v>
      </c>
      <c r="B871" s="1">
        <v>45468</v>
      </c>
      <c r="C871" t="s">
        <v>560</v>
      </c>
      <c r="D871" t="s">
        <v>36</v>
      </c>
      <c r="E871">
        <v>830</v>
      </c>
      <c r="F871" t="s">
        <v>3262</v>
      </c>
      <c r="G871">
        <v>70483.600000000006</v>
      </c>
      <c r="H871" t="s">
        <v>573</v>
      </c>
      <c r="I871">
        <v>87.9</v>
      </c>
      <c r="J871" t="s">
        <v>3263</v>
      </c>
      <c r="K871">
        <v>84.92</v>
      </c>
      <c r="L871" s="1">
        <v>45498</v>
      </c>
      <c r="M871">
        <f>G871*IF(D871="INR",1,INDEX('rates'!$B$2:$B$522,MATCH(B871,'rates'!$A$2:$A$522,1)))</f>
        <v>5878332.2400000012</v>
      </c>
      <c r="N871">
        <f t="shared" si="13"/>
        <v>30</v>
      </c>
    </row>
    <row r="872" spans="1:14" x14ac:dyDescent="0.3">
      <c r="A872" t="s">
        <v>4158</v>
      </c>
      <c r="B872" s="1">
        <v>45468</v>
      </c>
      <c r="C872" t="s">
        <v>575</v>
      </c>
      <c r="D872" t="s">
        <v>36</v>
      </c>
      <c r="E872">
        <v>932</v>
      </c>
      <c r="F872" t="s">
        <v>3262</v>
      </c>
      <c r="G872">
        <v>81876.2</v>
      </c>
      <c r="H872" t="s">
        <v>556</v>
      </c>
      <c r="J872" t="s">
        <v>3263</v>
      </c>
      <c r="K872">
        <v>87.85</v>
      </c>
      <c r="L872" s="1">
        <v>45498</v>
      </c>
      <c r="M872">
        <f>G872*IF(D872="INR",1,INDEX('rates'!$B$2:$B$522,MATCH(B872,'rates'!$A$2:$A$522,1)))</f>
        <v>6828475.0800000001</v>
      </c>
      <c r="N872">
        <f t="shared" si="13"/>
        <v>30</v>
      </c>
    </row>
    <row r="873" spans="1:14" x14ac:dyDescent="0.3">
      <c r="A873" t="s">
        <v>4133</v>
      </c>
      <c r="B873" s="1">
        <v>45454</v>
      </c>
      <c r="C873" t="s">
        <v>575</v>
      </c>
      <c r="D873" t="s">
        <v>36</v>
      </c>
      <c r="E873">
        <v>772</v>
      </c>
      <c r="F873" t="s">
        <v>3262</v>
      </c>
      <c r="G873">
        <v>64701.32</v>
      </c>
      <c r="H873" t="s">
        <v>573</v>
      </c>
      <c r="I873">
        <v>86.32</v>
      </c>
      <c r="J873" t="s">
        <v>3263</v>
      </c>
      <c r="K873">
        <v>83.81</v>
      </c>
      <c r="L873" s="1">
        <v>45499</v>
      </c>
      <c r="M873">
        <f>G873*IF(D873="INR",1,INDEX('rates'!$B$2:$B$522,MATCH(B873,'rates'!$A$2:$A$522,1)))</f>
        <v>5402560.2199999997</v>
      </c>
      <c r="N873">
        <f t="shared" si="13"/>
        <v>45</v>
      </c>
    </row>
    <row r="874" spans="1:14" x14ac:dyDescent="0.3">
      <c r="A874" t="s">
        <v>4164</v>
      </c>
      <c r="B874" s="1">
        <v>45470</v>
      </c>
      <c r="C874" t="s">
        <v>558</v>
      </c>
      <c r="D874" t="s">
        <v>36</v>
      </c>
      <c r="E874">
        <v>861</v>
      </c>
      <c r="F874" t="s">
        <v>3262</v>
      </c>
      <c r="G874">
        <v>75974.64</v>
      </c>
      <c r="H874" t="s">
        <v>556</v>
      </c>
      <c r="J874" t="s">
        <v>3263</v>
      </c>
      <c r="K874">
        <v>88.24</v>
      </c>
      <c r="L874" s="1">
        <v>45500</v>
      </c>
      <c r="M874">
        <f>G874*IF(D874="INR",1,INDEX('rates'!$B$2:$B$522,MATCH(B874,'rates'!$A$2:$A$522,1)))</f>
        <v>6339323.9616</v>
      </c>
      <c r="N874">
        <f t="shared" si="13"/>
        <v>30</v>
      </c>
    </row>
    <row r="875" spans="1:14" x14ac:dyDescent="0.3">
      <c r="A875" t="s">
        <v>4116</v>
      </c>
      <c r="B875" s="1">
        <v>45441</v>
      </c>
      <c r="C875" t="s">
        <v>560</v>
      </c>
      <c r="D875" t="s">
        <v>36</v>
      </c>
      <c r="E875">
        <v>510</v>
      </c>
      <c r="F875" t="s">
        <v>3262</v>
      </c>
      <c r="G875">
        <v>43191.9</v>
      </c>
      <c r="H875" t="s">
        <v>573</v>
      </c>
      <c r="I875">
        <v>84.77</v>
      </c>
      <c r="J875" t="s">
        <v>3263</v>
      </c>
      <c r="K875">
        <v>84.69</v>
      </c>
      <c r="L875" s="1">
        <v>45501</v>
      </c>
      <c r="M875">
        <f>G875*IF(D875="INR",1,INDEX('rates'!$B$2:$B$522,MATCH(B875,'rates'!$A$2:$A$522,1)))</f>
        <v>3599181.0270000002</v>
      </c>
      <c r="N875">
        <f t="shared" si="13"/>
        <v>60</v>
      </c>
    </row>
    <row r="876" spans="1:14" x14ac:dyDescent="0.3">
      <c r="A876" t="s">
        <v>4166</v>
      </c>
      <c r="B876" s="1">
        <v>45471</v>
      </c>
      <c r="C876" t="s">
        <v>575</v>
      </c>
      <c r="D876" t="s">
        <v>36</v>
      </c>
      <c r="E876">
        <v>758</v>
      </c>
      <c r="F876" t="s">
        <v>3262</v>
      </c>
      <c r="G876">
        <v>65513.94</v>
      </c>
      <c r="H876" t="s">
        <v>556</v>
      </c>
      <c r="J876" t="s">
        <v>3263</v>
      </c>
      <c r="K876">
        <v>86.43</v>
      </c>
      <c r="L876" s="1">
        <v>45501</v>
      </c>
      <c r="M876">
        <f>G876*IF(D876="INR",1,INDEX('rates'!$B$2:$B$522,MATCH(B876,'rates'!$A$2:$A$522,1)))</f>
        <v>5459276.6201999998</v>
      </c>
      <c r="N876">
        <f t="shared" si="13"/>
        <v>30</v>
      </c>
    </row>
    <row r="877" spans="1:14" x14ac:dyDescent="0.3">
      <c r="A877" t="s">
        <v>4172</v>
      </c>
      <c r="B877" s="1">
        <v>45471</v>
      </c>
      <c r="C877" t="s">
        <v>554</v>
      </c>
      <c r="D877" t="s">
        <v>36</v>
      </c>
      <c r="E877">
        <v>1552</v>
      </c>
      <c r="F877" t="s">
        <v>3262</v>
      </c>
      <c r="G877">
        <v>136063.84</v>
      </c>
      <c r="H877" t="s">
        <v>573</v>
      </c>
      <c r="I877">
        <v>89.84</v>
      </c>
      <c r="J877" t="s">
        <v>3263</v>
      </c>
      <c r="K877">
        <v>87.67</v>
      </c>
      <c r="L877" s="1">
        <v>45501</v>
      </c>
      <c r="M877">
        <f>G877*IF(D877="INR",1,INDEX('rates'!$B$2:$B$522,MATCH(B877,'rates'!$A$2:$A$522,1)))</f>
        <v>11338199.7872</v>
      </c>
      <c r="N877">
        <f t="shared" si="13"/>
        <v>30</v>
      </c>
    </row>
    <row r="878" spans="1:14" x14ac:dyDescent="0.3">
      <c r="A878" t="s">
        <v>4139</v>
      </c>
      <c r="B878" s="1">
        <v>45457</v>
      </c>
      <c r="C878" t="s">
        <v>554</v>
      </c>
      <c r="D878" t="s">
        <v>13</v>
      </c>
      <c r="E878">
        <v>63287</v>
      </c>
      <c r="F878" t="s">
        <v>3270</v>
      </c>
      <c r="G878">
        <v>5510399.0899999999</v>
      </c>
      <c r="H878" t="s">
        <v>556</v>
      </c>
      <c r="J878" t="s">
        <v>3271</v>
      </c>
      <c r="K878">
        <v>87.07</v>
      </c>
      <c r="L878" s="1">
        <v>45502</v>
      </c>
      <c r="M878">
        <f>G878*IF(D878="INR",1,INDEX('rates'!$B$2:$B$522,MATCH(B878,'rates'!$A$2:$A$522,1)))</f>
        <v>5510399.0899999999</v>
      </c>
      <c r="N878">
        <f t="shared" si="13"/>
        <v>45</v>
      </c>
    </row>
    <row r="879" spans="1:14" x14ac:dyDescent="0.3">
      <c r="A879" t="s">
        <v>4177</v>
      </c>
      <c r="B879" s="1">
        <v>45474</v>
      </c>
      <c r="C879" t="s">
        <v>566</v>
      </c>
      <c r="D879" t="s">
        <v>36</v>
      </c>
      <c r="E879">
        <v>802</v>
      </c>
      <c r="F879" t="s">
        <v>3262</v>
      </c>
      <c r="G879">
        <v>73198.539999999994</v>
      </c>
      <c r="H879" t="s">
        <v>573</v>
      </c>
      <c r="I879">
        <v>91.97</v>
      </c>
      <c r="J879" t="s">
        <v>3263</v>
      </c>
      <c r="K879">
        <v>91.27</v>
      </c>
      <c r="L879" s="1">
        <v>45504</v>
      </c>
      <c r="M879">
        <f>G879*IF(D879="INR",1,INDEX('rates'!$B$2:$B$522,MATCH(B879,'rates'!$A$2:$A$522,1)))</f>
        <v>6107686.1775999991</v>
      </c>
      <c r="N879">
        <f t="shared" si="13"/>
        <v>30</v>
      </c>
    </row>
    <row r="880" spans="1:14" x14ac:dyDescent="0.3">
      <c r="A880" t="s">
        <v>4143</v>
      </c>
      <c r="B880" s="1">
        <v>45460</v>
      </c>
      <c r="C880" t="s">
        <v>560</v>
      </c>
      <c r="D880" t="s">
        <v>36</v>
      </c>
      <c r="E880">
        <v>568</v>
      </c>
      <c r="F880" t="s">
        <v>3262</v>
      </c>
      <c r="G880">
        <v>48177.760000000002</v>
      </c>
      <c r="H880" t="s">
        <v>556</v>
      </c>
      <c r="J880" t="s">
        <v>3263</v>
      </c>
      <c r="K880">
        <v>84.82</v>
      </c>
      <c r="L880" s="1">
        <v>45505</v>
      </c>
      <c r="M880">
        <f>G880*IF(D880="INR",1,INDEX('rates'!$B$2:$B$522,MATCH(B880,'rates'!$A$2:$A$522,1)))</f>
        <v>4023806.5151999998</v>
      </c>
      <c r="N880">
        <f t="shared" si="13"/>
        <v>45</v>
      </c>
    </row>
    <row r="881" spans="1:14" x14ac:dyDescent="0.3">
      <c r="A881" t="s">
        <v>4178</v>
      </c>
      <c r="B881" s="1">
        <v>45475</v>
      </c>
      <c r="C881" t="s">
        <v>566</v>
      </c>
      <c r="D881" t="s">
        <v>36</v>
      </c>
      <c r="E881">
        <v>1475</v>
      </c>
      <c r="F881" t="s">
        <v>3262</v>
      </c>
      <c r="G881">
        <v>130419.5</v>
      </c>
      <c r="H881" t="s">
        <v>573</v>
      </c>
      <c r="I881">
        <v>92.26</v>
      </c>
      <c r="J881" t="s">
        <v>3263</v>
      </c>
      <c r="K881">
        <v>88.42</v>
      </c>
      <c r="L881" s="1">
        <v>45505</v>
      </c>
      <c r="M881">
        <f>G881*IF(D881="INR",1,INDEX('rates'!$B$2:$B$522,MATCH(B881,'rates'!$A$2:$A$522,1)))</f>
        <v>10890028.25</v>
      </c>
      <c r="N881">
        <f t="shared" si="13"/>
        <v>30</v>
      </c>
    </row>
    <row r="882" spans="1:14" x14ac:dyDescent="0.3">
      <c r="A882" t="s">
        <v>4188</v>
      </c>
      <c r="B882" s="1">
        <v>45476</v>
      </c>
      <c r="C882" t="s">
        <v>566</v>
      </c>
      <c r="D882" t="s">
        <v>36</v>
      </c>
      <c r="E882">
        <v>2078</v>
      </c>
      <c r="F882" t="s">
        <v>3262</v>
      </c>
      <c r="G882">
        <v>185544.62</v>
      </c>
      <c r="H882" t="s">
        <v>573</v>
      </c>
      <c r="I882">
        <v>93.49</v>
      </c>
      <c r="J882" t="s">
        <v>3263</v>
      </c>
      <c r="K882">
        <v>89.29</v>
      </c>
      <c r="L882" s="1">
        <v>45506</v>
      </c>
      <c r="M882">
        <f>G882*IF(D882="INR",1,INDEX('rates'!$B$2:$B$522,MATCH(B882,'rates'!$A$2:$A$522,1)))</f>
        <v>15489264.877600001</v>
      </c>
      <c r="N882">
        <f t="shared" si="13"/>
        <v>30</v>
      </c>
    </row>
    <row r="883" spans="1:14" x14ac:dyDescent="0.3">
      <c r="A883" t="s">
        <v>4122</v>
      </c>
      <c r="B883" s="1">
        <v>45447</v>
      </c>
      <c r="C883" t="s">
        <v>566</v>
      </c>
      <c r="D883" t="s">
        <v>36</v>
      </c>
      <c r="E883">
        <v>621</v>
      </c>
      <c r="F883" t="s">
        <v>3262</v>
      </c>
      <c r="G883">
        <v>48481.47</v>
      </c>
      <c r="H883" t="s">
        <v>573</v>
      </c>
      <c r="I883">
        <v>85.69</v>
      </c>
      <c r="J883" t="s">
        <v>3263</v>
      </c>
      <c r="K883">
        <v>78.069999999999993</v>
      </c>
      <c r="L883" s="1">
        <v>45507</v>
      </c>
      <c r="M883">
        <f>G883*IF(D883="INR",1,INDEX('rates'!$B$2:$B$522,MATCH(B883,'rates'!$A$2:$A$522,1)))</f>
        <v>4049172.3744000001</v>
      </c>
      <c r="N883">
        <f t="shared" si="13"/>
        <v>60</v>
      </c>
    </row>
    <row r="884" spans="1:14" x14ac:dyDescent="0.3">
      <c r="A884" t="s">
        <v>4146</v>
      </c>
      <c r="B884" s="1">
        <v>45462</v>
      </c>
      <c r="C884" t="s">
        <v>560</v>
      </c>
      <c r="D884" t="s">
        <v>36</v>
      </c>
      <c r="E884">
        <v>928</v>
      </c>
      <c r="F884" t="s">
        <v>3262</v>
      </c>
      <c r="G884">
        <v>81320.639999999999</v>
      </c>
      <c r="H884" t="s">
        <v>573</v>
      </c>
      <c r="I884">
        <v>87.73</v>
      </c>
      <c r="J884" t="s">
        <v>3263</v>
      </c>
      <c r="K884">
        <v>87.63</v>
      </c>
      <c r="L884" s="1">
        <v>45507</v>
      </c>
      <c r="M884">
        <f>G884*IF(D884="INR",1,INDEX('rates'!$B$2:$B$522,MATCH(B884,'rates'!$A$2:$A$522,1)))</f>
        <v>6783767.7888000002</v>
      </c>
      <c r="N884">
        <f t="shared" si="13"/>
        <v>45</v>
      </c>
    </row>
    <row r="885" spans="1:14" x14ac:dyDescent="0.3">
      <c r="A885" t="s">
        <v>4189</v>
      </c>
      <c r="B885" s="1">
        <v>45477</v>
      </c>
      <c r="C885" t="s">
        <v>566</v>
      </c>
      <c r="D885" t="s">
        <v>36</v>
      </c>
      <c r="E885">
        <v>1159</v>
      </c>
      <c r="F885" t="s">
        <v>3262</v>
      </c>
      <c r="G885">
        <v>105411.05</v>
      </c>
      <c r="H885" t="s">
        <v>573</v>
      </c>
      <c r="I885">
        <v>93.83</v>
      </c>
      <c r="J885" t="s">
        <v>3263</v>
      </c>
      <c r="K885">
        <v>90.95</v>
      </c>
      <c r="L885" s="1">
        <v>45507</v>
      </c>
      <c r="M885">
        <f>G885*IF(D885="INR",1,INDEX('rates'!$B$2:$B$522,MATCH(B885,'rates'!$A$2:$A$522,1)))</f>
        <v>8799714.4539999999</v>
      </c>
      <c r="N885">
        <f t="shared" si="13"/>
        <v>30</v>
      </c>
    </row>
    <row r="886" spans="1:14" x14ac:dyDescent="0.3">
      <c r="A886" t="s">
        <v>4191</v>
      </c>
      <c r="B886" s="1">
        <v>45478</v>
      </c>
      <c r="C886" t="s">
        <v>558</v>
      </c>
      <c r="D886" t="s">
        <v>36</v>
      </c>
      <c r="E886">
        <v>1448</v>
      </c>
      <c r="F886" t="s">
        <v>3262</v>
      </c>
      <c r="G886">
        <v>129871.12</v>
      </c>
      <c r="H886" t="s">
        <v>556</v>
      </c>
      <c r="J886" t="s">
        <v>3263</v>
      </c>
      <c r="K886">
        <v>89.69</v>
      </c>
      <c r="L886" s="1">
        <v>45508</v>
      </c>
      <c r="M886">
        <f>G886*IF(D886="INR",1,INDEX('rates'!$B$2:$B$522,MATCH(B886,'rates'!$A$2:$A$522,1)))</f>
        <v>10840342.386399999</v>
      </c>
      <c r="N886">
        <f t="shared" si="13"/>
        <v>30</v>
      </c>
    </row>
    <row r="887" spans="1:14" x14ac:dyDescent="0.3">
      <c r="A887" t="s">
        <v>4193</v>
      </c>
      <c r="B887" s="1">
        <v>45478</v>
      </c>
      <c r="C887" t="s">
        <v>558</v>
      </c>
      <c r="D887" t="s">
        <v>13</v>
      </c>
      <c r="E887">
        <v>143158</v>
      </c>
      <c r="F887" t="s">
        <v>3270</v>
      </c>
      <c r="G887">
        <v>9143501.4600000009</v>
      </c>
      <c r="H887" t="s">
        <v>556</v>
      </c>
      <c r="J887" t="s">
        <v>3271</v>
      </c>
      <c r="K887">
        <v>63.87</v>
      </c>
      <c r="L887" s="1">
        <v>45508</v>
      </c>
      <c r="M887">
        <f>G887*IF(D887="INR",1,INDEX('rates'!$B$2:$B$522,MATCH(B887,'rates'!$A$2:$A$522,1)))</f>
        <v>9143501.4600000009</v>
      </c>
      <c r="N887">
        <f t="shared" si="13"/>
        <v>30</v>
      </c>
    </row>
    <row r="888" spans="1:14" x14ac:dyDescent="0.3">
      <c r="A888" t="s">
        <v>4194</v>
      </c>
      <c r="B888" s="1">
        <v>45478</v>
      </c>
      <c r="C888" t="s">
        <v>575</v>
      </c>
      <c r="D888" t="s">
        <v>36</v>
      </c>
      <c r="E888">
        <v>4217</v>
      </c>
      <c r="F888" t="s">
        <v>3262</v>
      </c>
      <c r="G888">
        <v>378728.77</v>
      </c>
      <c r="H888" t="s">
        <v>556</v>
      </c>
      <c r="J888" t="s">
        <v>3263</v>
      </c>
      <c r="K888">
        <v>89.81</v>
      </c>
      <c r="L888" s="1">
        <v>45508</v>
      </c>
      <c r="M888">
        <f>G888*IF(D888="INR",1,INDEX('rates'!$B$2:$B$522,MATCH(B888,'rates'!$A$2:$A$522,1)))</f>
        <v>31612490.431900002</v>
      </c>
      <c r="N888">
        <f t="shared" si="13"/>
        <v>30</v>
      </c>
    </row>
    <row r="889" spans="1:14" x14ac:dyDescent="0.3">
      <c r="A889" t="s">
        <v>4127</v>
      </c>
      <c r="B889" s="1">
        <v>45449</v>
      </c>
      <c r="C889" t="s">
        <v>560</v>
      </c>
      <c r="D889" t="s">
        <v>36</v>
      </c>
      <c r="E889">
        <v>265</v>
      </c>
      <c r="F889" t="s">
        <v>3262</v>
      </c>
      <c r="G889">
        <v>21841.3</v>
      </c>
      <c r="H889" t="s">
        <v>556</v>
      </c>
      <c r="J889" t="s">
        <v>3263</v>
      </c>
      <c r="K889">
        <v>82.42</v>
      </c>
      <c r="L889" s="1">
        <v>45509</v>
      </c>
      <c r="M889">
        <f>G889*IF(D889="INR",1,INDEX('rates'!$B$2:$B$522,MATCH(B889,'rates'!$A$2:$A$522,1)))</f>
        <v>1823093.311</v>
      </c>
      <c r="N889">
        <f t="shared" si="13"/>
        <v>60</v>
      </c>
    </row>
    <row r="890" spans="1:14" x14ac:dyDescent="0.3">
      <c r="A890" t="s">
        <v>4147</v>
      </c>
      <c r="B890" s="1">
        <v>45464</v>
      </c>
      <c r="C890" t="s">
        <v>575</v>
      </c>
      <c r="D890" t="s">
        <v>36</v>
      </c>
      <c r="E890">
        <v>422</v>
      </c>
      <c r="F890" t="s">
        <v>3262</v>
      </c>
      <c r="G890">
        <v>35490.199999999997</v>
      </c>
      <c r="H890" t="s">
        <v>556</v>
      </c>
      <c r="J890" t="s">
        <v>3263</v>
      </c>
      <c r="K890">
        <v>84.1</v>
      </c>
      <c r="L890" s="1">
        <v>45509</v>
      </c>
      <c r="M890">
        <f>G890*IF(D890="INR",1,INDEX('rates'!$B$2:$B$522,MATCH(B890,'rates'!$A$2:$A$522,1)))</f>
        <v>2964496.406</v>
      </c>
      <c r="N890">
        <f t="shared" si="13"/>
        <v>45</v>
      </c>
    </row>
    <row r="891" spans="1:14" x14ac:dyDescent="0.3">
      <c r="A891" t="s">
        <v>4151</v>
      </c>
      <c r="B891" s="1">
        <v>45464</v>
      </c>
      <c r="C891" t="s">
        <v>566</v>
      </c>
      <c r="D891" t="s">
        <v>36</v>
      </c>
      <c r="E891">
        <v>716</v>
      </c>
      <c r="F891" t="s">
        <v>3262</v>
      </c>
      <c r="G891">
        <v>62599.88</v>
      </c>
      <c r="H891" t="s">
        <v>573</v>
      </c>
      <c r="I891">
        <v>86.78</v>
      </c>
      <c r="J891" t="s">
        <v>3263</v>
      </c>
      <c r="K891">
        <v>87.43</v>
      </c>
      <c r="L891" s="1">
        <v>45509</v>
      </c>
      <c r="M891">
        <f>G891*IF(D891="INR",1,INDEX('rates'!$B$2:$B$522,MATCH(B891,'rates'!$A$2:$A$522,1)))</f>
        <v>5228967.9764</v>
      </c>
      <c r="N891">
        <f t="shared" si="13"/>
        <v>45</v>
      </c>
    </row>
    <row r="892" spans="1:14" x14ac:dyDescent="0.3">
      <c r="A892" t="s">
        <v>4153</v>
      </c>
      <c r="B892" s="1">
        <v>45467</v>
      </c>
      <c r="C892" t="s">
        <v>575</v>
      </c>
      <c r="D892" t="s">
        <v>36</v>
      </c>
      <c r="E892">
        <v>433</v>
      </c>
      <c r="F892" t="s">
        <v>3262</v>
      </c>
      <c r="G892">
        <v>38264.21</v>
      </c>
      <c r="H892" t="s">
        <v>556</v>
      </c>
      <c r="J892" t="s">
        <v>3263</v>
      </c>
      <c r="K892">
        <v>88.37</v>
      </c>
      <c r="L892" s="1">
        <v>45512</v>
      </c>
      <c r="M892">
        <f>G892*IF(D892="INR",1,INDEX('rates'!$B$2:$B$522,MATCH(B892,'rates'!$A$2:$A$522,1)))</f>
        <v>3192000.3982000002</v>
      </c>
      <c r="N892">
        <f t="shared" si="13"/>
        <v>45</v>
      </c>
    </row>
    <row r="893" spans="1:14" x14ac:dyDescent="0.3">
      <c r="A893" t="s">
        <v>4154</v>
      </c>
      <c r="B893" s="1">
        <v>45467</v>
      </c>
      <c r="C893" t="s">
        <v>575</v>
      </c>
      <c r="D893" t="s">
        <v>13</v>
      </c>
      <c r="E893">
        <v>66528</v>
      </c>
      <c r="F893" t="s">
        <v>3270</v>
      </c>
      <c r="G893">
        <v>6332800.3200000003</v>
      </c>
      <c r="H893" t="s">
        <v>556</v>
      </c>
      <c r="J893" t="s">
        <v>3271</v>
      </c>
      <c r="K893">
        <v>95.19</v>
      </c>
      <c r="L893" s="1">
        <v>45512</v>
      </c>
      <c r="M893">
        <f>G893*IF(D893="INR",1,INDEX('rates'!$B$2:$B$522,MATCH(B893,'rates'!$A$2:$A$522,1)))</f>
        <v>6332800.3200000003</v>
      </c>
      <c r="N893">
        <f t="shared" si="13"/>
        <v>45</v>
      </c>
    </row>
    <row r="894" spans="1:14" x14ac:dyDescent="0.3">
      <c r="A894" t="s">
        <v>4155</v>
      </c>
      <c r="B894" s="1">
        <v>45468</v>
      </c>
      <c r="C894" t="s">
        <v>566</v>
      </c>
      <c r="D894" t="s">
        <v>36</v>
      </c>
      <c r="E894">
        <v>719</v>
      </c>
      <c r="F894" t="s">
        <v>3262</v>
      </c>
      <c r="G894">
        <v>63379.85</v>
      </c>
      <c r="H894" t="s">
        <v>573</v>
      </c>
      <c r="I894">
        <v>87.9</v>
      </c>
      <c r="J894" t="s">
        <v>3263</v>
      </c>
      <c r="K894">
        <v>88.15</v>
      </c>
      <c r="L894" s="1">
        <v>45513</v>
      </c>
      <c r="M894">
        <f>G894*IF(D894="INR",1,INDEX('rates'!$B$2:$B$522,MATCH(B894,'rates'!$A$2:$A$522,1)))</f>
        <v>5285879.49</v>
      </c>
      <c r="N894">
        <f t="shared" si="13"/>
        <v>45</v>
      </c>
    </row>
    <row r="895" spans="1:14" x14ac:dyDescent="0.3">
      <c r="A895" t="s">
        <v>4205</v>
      </c>
      <c r="B895" s="1">
        <v>45483</v>
      </c>
      <c r="C895" t="s">
        <v>558</v>
      </c>
      <c r="D895" t="s">
        <v>36</v>
      </c>
      <c r="E895">
        <v>774</v>
      </c>
      <c r="F895" t="s">
        <v>3262</v>
      </c>
      <c r="G895">
        <v>68607.360000000001</v>
      </c>
      <c r="H895" t="s">
        <v>556</v>
      </c>
      <c r="J895" t="s">
        <v>3263</v>
      </c>
      <c r="K895">
        <v>88.64</v>
      </c>
      <c r="L895" s="1">
        <v>45513</v>
      </c>
      <c r="M895">
        <f>G895*IF(D895="INR",1,INDEX('rates'!$B$2:$B$522,MATCH(B895,'rates'!$A$2:$A$522,1)))</f>
        <v>5728714.5599999996</v>
      </c>
      <c r="N895">
        <f t="shared" si="13"/>
        <v>30</v>
      </c>
    </row>
    <row r="896" spans="1:14" x14ac:dyDescent="0.3">
      <c r="A896" t="s">
        <v>4159</v>
      </c>
      <c r="B896" s="1">
        <v>45469</v>
      </c>
      <c r="C896" t="s">
        <v>558</v>
      </c>
      <c r="D896" t="s">
        <v>36</v>
      </c>
      <c r="E896">
        <v>717</v>
      </c>
      <c r="F896" t="s">
        <v>3262</v>
      </c>
      <c r="G896">
        <v>62414.85</v>
      </c>
      <c r="H896" t="s">
        <v>556</v>
      </c>
      <c r="J896" t="s">
        <v>3263</v>
      </c>
      <c r="K896">
        <v>87.05</v>
      </c>
      <c r="L896" s="1">
        <v>45514</v>
      </c>
      <c r="M896">
        <f>G896*IF(D896="INR",1,INDEX('rates'!$B$2:$B$522,MATCH(B896,'rates'!$A$2:$A$522,1)))</f>
        <v>5214760.7174999993</v>
      </c>
      <c r="N896">
        <f t="shared" si="13"/>
        <v>45</v>
      </c>
    </row>
    <row r="897" spans="1:14" x14ac:dyDescent="0.3">
      <c r="A897" t="s">
        <v>4160</v>
      </c>
      <c r="B897" s="1">
        <v>45469</v>
      </c>
      <c r="C897" t="s">
        <v>558</v>
      </c>
      <c r="D897" t="s">
        <v>36</v>
      </c>
      <c r="E897">
        <v>1847</v>
      </c>
      <c r="F897" t="s">
        <v>3262</v>
      </c>
      <c r="G897">
        <v>160043</v>
      </c>
      <c r="H897" t="s">
        <v>573</v>
      </c>
      <c r="I897">
        <v>89.84</v>
      </c>
      <c r="J897" t="s">
        <v>3263</v>
      </c>
      <c r="K897">
        <v>86.65</v>
      </c>
      <c r="L897" s="1">
        <v>45514</v>
      </c>
      <c r="M897">
        <f>G897*IF(D897="INR",1,INDEX('rates'!$B$2:$B$522,MATCH(B897,'rates'!$A$2:$A$522,1)))</f>
        <v>13371592.65</v>
      </c>
      <c r="N897">
        <f t="shared" si="13"/>
        <v>45</v>
      </c>
    </row>
    <row r="898" spans="1:14" x14ac:dyDescent="0.3">
      <c r="A898" t="s">
        <v>4161</v>
      </c>
      <c r="B898" s="1">
        <v>45469</v>
      </c>
      <c r="C898" t="s">
        <v>554</v>
      </c>
      <c r="D898" t="s">
        <v>36</v>
      </c>
      <c r="E898">
        <v>905</v>
      </c>
      <c r="F898" t="s">
        <v>3262</v>
      </c>
      <c r="G898">
        <v>77585.649999999994</v>
      </c>
      <c r="H898" t="s">
        <v>556</v>
      </c>
      <c r="J898" t="s">
        <v>3263</v>
      </c>
      <c r="K898">
        <v>85.73</v>
      </c>
      <c r="L898" s="1">
        <v>45514</v>
      </c>
      <c r="M898">
        <f>G898*IF(D898="INR",1,INDEX('rates'!$B$2:$B$522,MATCH(B898,'rates'!$A$2:$A$522,1)))</f>
        <v>6482281.0574999992</v>
      </c>
      <c r="N898">
        <f t="shared" ref="N898:N961" si="14">IF(L898="","",L898-B898)</f>
        <v>45</v>
      </c>
    </row>
    <row r="899" spans="1:14" x14ac:dyDescent="0.3">
      <c r="A899" t="s">
        <v>4163</v>
      </c>
      <c r="B899" s="1">
        <v>45469</v>
      </c>
      <c r="C899" t="s">
        <v>558</v>
      </c>
      <c r="D899" t="s">
        <v>36</v>
      </c>
      <c r="E899">
        <v>343</v>
      </c>
      <c r="F899" t="s">
        <v>3262</v>
      </c>
      <c r="G899">
        <v>29642.06</v>
      </c>
      <c r="H899" t="s">
        <v>573</v>
      </c>
      <c r="I899">
        <v>89.84</v>
      </c>
      <c r="J899" t="s">
        <v>3263</v>
      </c>
      <c r="K899">
        <v>86.42</v>
      </c>
      <c r="L899" s="1">
        <v>45514</v>
      </c>
      <c r="M899">
        <f>G899*IF(D899="INR",1,INDEX('rates'!$B$2:$B$522,MATCH(B899,'rates'!$A$2:$A$522,1)))</f>
        <v>2476594.1129999999</v>
      </c>
      <c r="N899">
        <f t="shared" si="14"/>
        <v>45</v>
      </c>
    </row>
    <row r="900" spans="1:14" x14ac:dyDescent="0.3">
      <c r="A900" t="s">
        <v>4207</v>
      </c>
      <c r="B900" s="1">
        <v>45484</v>
      </c>
      <c r="C900" t="s">
        <v>566</v>
      </c>
      <c r="D900" t="s">
        <v>36</v>
      </c>
      <c r="E900">
        <v>867</v>
      </c>
      <c r="F900" t="s">
        <v>3262</v>
      </c>
      <c r="G900">
        <v>79668.63</v>
      </c>
      <c r="H900" t="s">
        <v>573</v>
      </c>
      <c r="I900">
        <v>92.51</v>
      </c>
      <c r="J900" t="s">
        <v>3263</v>
      </c>
      <c r="K900">
        <v>91.89</v>
      </c>
      <c r="L900" s="1">
        <v>45514</v>
      </c>
      <c r="M900">
        <f>G900*IF(D900="INR",1,INDEX('rates'!$B$2:$B$522,MATCH(B900,'rates'!$A$2:$A$522,1)))</f>
        <v>6657907.4090999998</v>
      </c>
      <c r="N900">
        <f t="shared" si="14"/>
        <v>30</v>
      </c>
    </row>
    <row r="901" spans="1:14" x14ac:dyDescent="0.3">
      <c r="A901" t="s">
        <v>4134</v>
      </c>
      <c r="B901" s="1">
        <v>45455</v>
      </c>
      <c r="C901" t="s">
        <v>566</v>
      </c>
      <c r="D901" t="s">
        <v>36</v>
      </c>
      <c r="E901">
        <v>734</v>
      </c>
      <c r="F901" t="s">
        <v>3262</v>
      </c>
      <c r="G901">
        <v>62566.16</v>
      </c>
      <c r="H901" t="s">
        <v>573</v>
      </c>
      <c r="I901">
        <v>87.91</v>
      </c>
      <c r="J901" t="s">
        <v>3263</v>
      </c>
      <c r="K901">
        <v>85.24</v>
      </c>
      <c r="L901" s="1">
        <v>45515</v>
      </c>
      <c r="M901">
        <f>G901*IF(D901="INR",1,INDEX('rates'!$B$2:$B$522,MATCH(B901,'rates'!$A$2:$A$522,1)))</f>
        <v>5228653.9912</v>
      </c>
      <c r="N901">
        <f t="shared" si="14"/>
        <v>60</v>
      </c>
    </row>
    <row r="902" spans="1:14" x14ac:dyDescent="0.3">
      <c r="A902" t="s">
        <v>4165</v>
      </c>
      <c r="B902" s="1">
        <v>45470</v>
      </c>
      <c r="C902" t="s">
        <v>558</v>
      </c>
      <c r="D902" t="s">
        <v>36</v>
      </c>
      <c r="E902">
        <v>1020</v>
      </c>
      <c r="F902" t="s">
        <v>3262</v>
      </c>
      <c r="G902">
        <v>87240.6</v>
      </c>
      <c r="H902" t="s">
        <v>556</v>
      </c>
      <c r="J902" t="s">
        <v>3263</v>
      </c>
      <c r="K902">
        <v>85.53</v>
      </c>
      <c r="L902" s="1">
        <v>45515</v>
      </c>
      <c r="M902">
        <f>G902*IF(D902="INR",1,INDEX('rates'!$B$2:$B$522,MATCH(B902,'rates'!$A$2:$A$522,1)))</f>
        <v>7279355.6639999999</v>
      </c>
      <c r="N902">
        <f t="shared" si="14"/>
        <v>45</v>
      </c>
    </row>
    <row r="903" spans="1:14" x14ac:dyDescent="0.3">
      <c r="A903" t="s">
        <v>4167</v>
      </c>
      <c r="B903" s="1">
        <v>45471</v>
      </c>
      <c r="C903" t="s">
        <v>560</v>
      </c>
      <c r="D903" t="s">
        <v>36</v>
      </c>
      <c r="E903">
        <v>352</v>
      </c>
      <c r="F903" t="s">
        <v>3262</v>
      </c>
      <c r="G903">
        <v>30747.200000000001</v>
      </c>
      <c r="H903" t="s">
        <v>556</v>
      </c>
      <c r="J903" t="s">
        <v>3263</v>
      </c>
      <c r="K903">
        <v>87.35</v>
      </c>
      <c r="L903" s="1">
        <v>45516</v>
      </c>
      <c r="M903">
        <f>G903*IF(D903="INR",1,INDEX('rates'!$B$2:$B$522,MATCH(B903,'rates'!$A$2:$A$522,1)))</f>
        <v>2562164.176</v>
      </c>
      <c r="N903">
        <f t="shared" si="14"/>
        <v>45</v>
      </c>
    </row>
    <row r="904" spans="1:14" x14ac:dyDescent="0.3">
      <c r="A904" t="s">
        <v>4168</v>
      </c>
      <c r="B904" s="1">
        <v>45471</v>
      </c>
      <c r="C904" t="s">
        <v>566</v>
      </c>
      <c r="D904" t="s">
        <v>36</v>
      </c>
      <c r="E904">
        <v>894</v>
      </c>
      <c r="F904" t="s">
        <v>3262</v>
      </c>
      <c r="G904">
        <v>78216.06</v>
      </c>
      <c r="H904" t="s">
        <v>573</v>
      </c>
      <c r="I904">
        <v>89.84</v>
      </c>
      <c r="J904" t="s">
        <v>3263</v>
      </c>
      <c r="K904">
        <v>87.49</v>
      </c>
      <c r="L904" s="1">
        <v>45516</v>
      </c>
      <c r="M904">
        <f>G904*IF(D904="INR",1,INDEX('rates'!$B$2:$B$522,MATCH(B904,'rates'!$A$2:$A$522,1)))</f>
        <v>6517744.2797999997</v>
      </c>
      <c r="N904">
        <f t="shared" si="14"/>
        <v>45</v>
      </c>
    </row>
    <row r="905" spans="1:14" x14ac:dyDescent="0.3">
      <c r="A905" t="s">
        <v>4169</v>
      </c>
      <c r="B905" s="1">
        <v>45471</v>
      </c>
      <c r="C905" t="s">
        <v>566</v>
      </c>
      <c r="D905" t="s">
        <v>36</v>
      </c>
      <c r="E905">
        <v>708</v>
      </c>
      <c r="F905" t="s">
        <v>3262</v>
      </c>
      <c r="G905">
        <v>60434.879999999997</v>
      </c>
      <c r="H905" t="s">
        <v>573</v>
      </c>
      <c r="I905">
        <v>89.84</v>
      </c>
      <c r="J905" t="s">
        <v>3263</v>
      </c>
      <c r="K905">
        <v>85.36</v>
      </c>
      <c r="L905" s="1">
        <v>45516</v>
      </c>
      <c r="M905">
        <f>G905*IF(D905="INR",1,INDEX('rates'!$B$2:$B$522,MATCH(B905,'rates'!$A$2:$A$522,1)))</f>
        <v>5036038.5504000001</v>
      </c>
      <c r="N905">
        <f t="shared" si="14"/>
        <v>45</v>
      </c>
    </row>
    <row r="906" spans="1:14" x14ac:dyDescent="0.3">
      <c r="A906" t="s">
        <v>4171</v>
      </c>
      <c r="B906" s="1">
        <v>45471</v>
      </c>
      <c r="C906" t="s">
        <v>560</v>
      </c>
      <c r="D906" t="s">
        <v>36</v>
      </c>
      <c r="E906">
        <v>419</v>
      </c>
      <c r="F906" t="s">
        <v>3262</v>
      </c>
      <c r="G906">
        <v>36268.639999999999</v>
      </c>
      <c r="H906" t="s">
        <v>573</v>
      </c>
      <c r="I906">
        <v>89.84</v>
      </c>
      <c r="J906" t="s">
        <v>3263</v>
      </c>
      <c r="K906">
        <v>86.56</v>
      </c>
      <c r="L906" s="1">
        <v>45516</v>
      </c>
      <c r="M906">
        <f>G906*IF(D906="INR",1,INDEX('rates'!$B$2:$B$522,MATCH(B906,'rates'!$A$2:$A$522,1)))</f>
        <v>3022265.7711999998</v>
      </c>
      <c r="N906">
        <f t="shared" si="14"/>
        <v>45</v>
      </c>
    </row>
    <row r="907" spans="1:14" x14ac:dyDescent="0.3">
      <c r="A907" t="s">
        <v>4173</v>
      </c>
      <c r="B907" s="1">
        <v>45471</v>
      </c>
      <c r="C907" t="s">
        <v>560</v>
      </c>
      <c r="D907" t="s">
        <v>36</v>
      </c>
      <c r="E907">
        <v>369</v>
      </c>
      <c r="F907" t="s">
        <v>3262</v>
      </c>
      <c r="G907">
        <v>31848.39</v>
      </c>
      <c r="H907" t="s">
        <v>556</v>
      </c>
      <c r="J907" t="s">
        <v>3263</v>
      </c>
      <c r="K907">
        <v>86.31</v>
      </c>
      <c r="L907" s="1">
        <v>45516</v>
      </c>
      <c r="M907">
        <f>G907*IF(D907="INR",1,INDEX('rates'!$B$2:$B$522,MATCH(B907,'rates'!$A$2:$A$522,1)))</f>
        <v>2653926.3386999997</v>
      </c>
      <c r="N907">
        <f t="shared" si="14"/>
        <v>45</v>
      </c>
    </row>
    <row r="908" spans="1:14" x14ac:dyDescent="0.3">
      <c r="A908" t="s">
        <v>4174</v>
      </c>
      <c r="B908" s="1">
        <v>45471</v>
      </c>
      <c r="C908" t="s">
        <v>560</v>
      </c>
      <c r="D908" t="s">
        <v>36</v>
      </c>
      <c r="E908">
        <v>1757</v>
      </c>
      <c r="F908" t="s">
        <v>3262</v>
      </c>
      <c r="G908">
        <v>155125.53</v>
      </c>
      <c r="H908" t="s">
        <v>573</v>
      </c>
      <c r="I908">
        <v>89.84</v>
      </c>
      <c r="J908" t="s">
        <v>3263</v>
      </c>
      <c r="K908">
        <v>88.29</v>
      </c>
      <c r="L908" s="1">
        <v>45516</v>
      </c>
      <c r="M908">
        <f>G908*IF(D908="INR",1,INDEX('rates'!$B$2:$B$522,MATCH(B908,'rates'!$A$2:$A$522,1)))</f>
        <v>12926610.414899999</v>
      </c>
      <c r="N908">
        <f t="shared" si="14"/>
        <v>45</v>
      </c>
    </row>
    <row r="909" spans="1:14" x14ac:dyDescent="0.3">
      <c r="A909" t="s">
        <v>4176</v>
      </c>
      <c r="B909" s="1">
        <v>45471</v>
      </c>
      <c r="C909" t="s">
        <v>554</v>
      </c>
      <c r="D909" t="s">
        <v>36</v>
      </c>
      <c r="E909">
        <v>556</v>
      </c>
      <c r="F909" t="s">
        <v>3262</v>
      </c>
      <c r="G909">
        <v>49361.68</v>
      </c>
      <c r="H909" t="s">
        <v>573</v>
      </c>
      <c r="I909">
        <v>89.84</v>
      </c>
      <c r="J909" t="s">
        <v>3263</v>
      </c>
      <c r="K909">
        <v>88.78</v>
      </c>
      <c r="L909" s="1">
        <v>45516</v>
      </c>
      <c r="M909">
        <f>G909*IF(D909="INR",1,INDEX('rates'!$B$2:$B$522,MATCH(B909,'rates'!$A$2:$A$522,1)))</f>
        <v>4113308.7944</v>
      </c>
      <c r="N909">
        <f t="shared" si="14"/>
        <v>45</v>
      </c>
    </row>
    <row r="910" spans="1:14" x14ac:dyDescent="0.3">
      <c r="A910" t="s">
        <v>4137</v>
      </c>
      <c r="B910" s="1">
        <v>45457</v>
      </c>
      <c r="C910" t="s">
        <v>558</v>
      </c>
      <c r="D910" t="s">
        <v>36</v>
      </c>
      <c r="E910">
        <v>326</v>
      </c>
      <c r="F910" t="s">
        <v>3262</v>
      </c>
      <c r="G910">
        <v>27820.84</v>
      </c>
      <c r="H910" t="s">
        <v>573</v>
      </c>
      <c r="I910">
        <v>87.68</v>
      </c>
      <c r="J910" t="s">
        <v>3263</v>
      </c>
      <c r="K910">
        <v>85.34</v>
      </c>
      <c r="L910" s="1">
        <v>45517</v>
      </c>
      <c r="M910">
        <f>G910*IF(D910="INR",1,INDEX('rates'!$B$2:$B$522,MATCH(B910,'rates'!$A$2:$A$522,1)))</f>
        <v>2324152.9736000001</v>
      </c>
      <c r="N910">
        <f t="shared" si="14"/>
        <v>60</v>
      </c>
    </row>
    <row r="911" spans="1:14" x14ac:dyDescent="0.3">
      <c r="A911" t="s">
        <v>4140</v>
      </c>
      <c r="B911" s="1">
        <v>45457</v>
      </c>
      <c r="C911" t="s">
        <v>558</v>
      </c>
      <c r="D911" t="s">
        <v>36</v>
      </c>
      <c r="E911">
        <v>1163</v>
      </c>
      <c r="F911" t="s">
        <v>3262</v>
      </c>
      <c r="G911">
        <v>99459.76</v>
      </c>
      <c r="H911" t="s">
        <v>556</v>
      </c>
      <c r="J911" t="s">
        <v>3263</v>
      </c>
      <c r="K911">
        <v>85.52</v>
      </c>
      <c r="L911" s="1">
        <v>45517</v>
      </c>
      <c r="M911">
        <f>G911*IF(D911="INR",1,INDEX('rates'!$B$2:$B$522,MATCH(B911,'rates'!$A$2:$A$522,1)))</f>
        <v>8308868.3503999999</v>
      </c>
      <c r="N911">
        <f t="shared" si="14"/>
        <v>60</v>
      </c>
    </row>
    <row r="912" spans="1:14" x14ac:dyDescent="0.3">
      <c r="A912" t="s">
        <v>4141</v>
      </c>
      <c r="B912" s="1">
        <v>45457</v>
      </c>
      <c r="C912" t="s">
        <v>558</v>
      </c>
      <c r="D912" t="s">
        <v>36</v>
      </c>
      <c r="E912">
        <v>1079</v>
      </c>
      <c r="F912" t="s">
        <v>3262</v>
      </c>
      <c r="G912">
        <v>90258.35</v>
      </c>
      <c r="H912" t="s">
        <v>556</v>
      </c>
      <c r="J912" t="s">
        <v>3263</v>
      </c>
      <c r="K912">
        <v>83.65</v>
      </c>
      <c r="L912" s="1">
        <v>45517</v>
      </c>
      <c r="M912">
        <f>G912*IF(D912="INR",1,INDEX('rates'!$B$2:$B$522,MATCH(B912,'rates'!$A$2:$A$522,1)))</f>
        <v>7540182.5590000013</v>
      </c>
      <c r="N912">
        <f t="shared" si="14"/>
        <v>60</v>
      </c>
    </row>
    <row r="913" spans="1:14" x14ac:dyDescent="0.3">
      <c r="A913" t="s">
        <v>4214</v>
      </c>
      <c r="B913" s="1">
        <v>45489</v>
      </c>
      <c r="C913" t="s">
        <v>566</v>
      </c>
      <c r="D913" t="s">
        <v>36</v>
      </c>
      <c r="E913">
        <v>507</v>
      </c>
      <c r="F913" t="s">
        <v>3262</v>
      </c>
      <c r="G913">
        <v>43774.38</v>
      </c>
      <c r="H913" t="s">
        <v>573</v>
      </c>
      <c r="I913">
        <v>89.43</v>
      </c>
      <c r="J913" t="s">
        <v>3263</v>
      </c>
      <c r="K913">
        <v>86.34</v>
      </c>
      <c r="L913" s="1">
        <v>45519</v>
      </c>
      <c r="M913">
        <f>G913*IF(D913="INR",1,INDEX('rates'!$B$2:$B$522,MATCH(B913,'rates'!$A$2:$A$522,1)))</f>
        <v>3659538.1679999996</v>
      </c>
      <c r="N913">
        <f t="shared" si="14"/>
        <v>30</v>
      </c>
    </row>
    <row r="914" spans="1:14" x14ac:dyDescent="0.3">
      <c r="A914" t="s">
        <v>4142</v>
      </c>
      <c r="B914" s="1">
        <v>45460</v>
      </c>
      <c r="C914" t="s">
        <v>554</v>
      </c>
      <c r="D914" t="s">
        <v>36</v>
      </c>
      <c r="E914">
        <v>2154</v>
      </c>
      <c r="F914" t="s">
        <v>3262</v>
      </c>
      <c r="G914">
        <v>187462.62</v>
      </c>
      <c r="H914" t="s">
        <v>556</v>
      </c>
      <c r="J914" t="s">
        <v>3263</v>
      </c>
      <c r="K914">
        <v>87.03</v>
      </c>
      <c r="L914" s="1">
        <v>45520</v>
      </c>
      <c r="M914">
        <f>G914*IF(D914="INR",1,INDEX('rates'!$B$2:$B$522,MATCH(B914,'rates'!$A$2:$A$522,1)))</f>
        <v>15656878.022399999</v>
      </c>
      <c r="N914">
        <f t="shared" si="14"/>
        <v>60</v>
      </c>
    </row>
    <row r="915" spans="1:14" x14ac:dyDescent="0.3">
      <c r="A915" t="s">
        <v>4179</v>
      </c>
      <c r="B915" s="1">
        <v>45475</v>
      </c>
      <c r="C915" t="s">
        <v>566</v>
      </c>
      <c r="D915" t="s">
        <v>36</v>
      </c>
      <c r="E915">
        <v>600</v>
      </c>
      <c r="F915" t="s">
        <v>3262</v>
      </c>
      <c r="G915">
        <v>52410</v>
      </c>
      <c r="H915" t="s">
        <v>556</v>
      </c>
      <c r="J915" t="s">
        <v>3263</v>
      </c>
      <c r="K915">
        <v>87.35</v>
      </c>
      <c r="L915" s="1">
        <v>45520</v>
      </c>
      <c r="M915">
        <f>G915*IF(D915="INR",1,INDEX('rates'!$B$2:$B$522,MATCH(B915,'rates'!$A$2:$A$522,1)))</f>
        <v>4376235</v>
      </c>
      <c r="N915">
        <f t="shared" si="14"/>
        <v>45</v>
      </c>
    </row>
    <row r="916" spans="1:14" x14ac:dyDescent="0.3">
      <c r="A916" t="s">
        <v>4185</v>
      </c>
      <c r="B916" s="1">
        <v>45476</v>
      </c>
      <c r="C916" t="s">
        <v>566</v>
      </c>
      <c r="D916" t="s">
        <v>36</v>
      </c>
      <c r="E916">
        <v>816</v>
      </c>
      <c r="F916" t="s">
        <v>3262</v>
      </c>
      <c r="G916">
        <v>74084.639999999999</v>
      </c>
      <c r="H916" t="s">
        <v>556</v>
      </c>
      <c r="J916" t="s">
        <v>3263</v>
      </c>
      <c r="K916">
        <v>90.79</v>
      </c>
      <c r="L916" s="1">
        <v>45521</v>
      </c>
      <c r="M916">
        <f>G916*IF(D916="INR",1,INDEX('rates'!$B$2:$B$522,MATCH(B916,'rates'!$A$2:$A$522,1)))</f>
        <v>6184585.7472000001</v>
      </c>
      <c r="N916">
        <f t="shared" si="14"/>
        <v>45</v>
      </c>
    </row>
    <row r="917" spans="1:14" x14ac:dyDescent="0.3">
      <c r="A917" t="s">
        <v>4186</v>
      </c>
      <c r="B917" s="1">
        <v>45476</v>
      </c>
      <c r="C917" t="s">
        <v>566</v>
      </c>
      <c r="D917" t="s">
        <v>36</v>
      </c>
      <c r="E917">
        <v>1824</v>
      </c>
      <c r="F917" t="s">
        <v>3262</v>
      </c>
      <c r="G917">
        <v>164123.51999999999</v>
      </c>
      <c r="H917" t="s">
        <v>556</v>
      </c>
      <c r="J917" t="s">
        <v>3263</v>
      </c>
      <c r="K917">
        <v>89.98</v>
      </c>
      <c r="L917" s="1">
        <v>45521</v>
      </c>
      <c r="M917">
        <f>G917*IF(D917="INR",1,INDEX('rates'!$B$2:$B$522,MATCH(B917,'rates'!$A$2:$A$522,1)))</f>
        <v>13701031.4496</v>
      </c>
      <c r="N917">
        <f t="shared" si="14"/>
        <v>45</v>
      </c>
    </row>
    <row r="918" spans="1:14" x14ac:dyDescent="0.3">
      <c r="A918" t="s">
        <v>4220</v>
      </c>
      <c r="B918" s="1">
        <v>45491</v>
      </c>
      <c r="C918" t="s">
        <v>566</v>
      </c>
      <c r="D918" t="s">
        <v>36</v>
      </c>
      <c r="E918">
        <v>1299</v>
      </c>
      <c r="F918" t="s">
        <v>3262</v>
      </c>
      <c r="G918">
        <v>116728.14</v>
      </c>
      <c r="H918" t="s">
        <v>573</v>
      </c>
      <c r="I918">
        <v>89.66</v>
      </c>
      <c r="J918" t="s">
        <v>3263</v>
      </c>
      <c r="K918">
        <v>89.86</v>
      </c>
      <c r="L918" s="1">
        <v>45521</v>
      </c>
      <c r="M918">
        <f>G918*IF(D918="INR",1,INDEX('rates'!$B$2:$B$522,MATCH(B918,'rates'!$A$2:$A$522,1)))</f>
        <v>9756137.9411999993</v>
      </c>
      <c r="N918">
        <f t="shared" si="14"/>
        <v>30</v>
      </c>
    </row>
    <row r="919" spans="1:14" x14ac:dyDescent="0.3">
      <c r="A919" t="s">
        <v>4190</v>
      </c>
      <c r="B919" s="1">
        <v>45477</v>
      </c>
      <c r="C919" t="s">
        <v>575</v>
      </c>
      <c r="D919" t="s">
        <v>36</v>
      </c>
      <c r="E919">
        <v>1022</v>
      </c>
      <c r="F919" t="s">
        <v>3262</v>
      </c>
      <c r="G919">
        <v>91152.18</v>
      </c>
      <c r="H919" t="s">
        <v>556</v>
      </c>
      <c r="J919" t="s">
        <v>3263</v>
      </c>
      <c r="K919">
        <v>89.19</v>
      </c>
      <c r="L919" s="1">
        <v>45522</v>
      </c>
      <c r="M919">
        <f>G919*IF(D919="INR",1,INDEX('rates'!$B$2:$B$522,MATCH(B919,'rates'!$A$2:$A$522,1)))</f>
        <v>7609383.9863999998</v>
      </c>
      <c r="N919">
        <f t="shared" si="14"/>
        <v>45</v>
      </c>
    </row>
    <row r="920" spans="1:14" x14ac:dyDescent="0.3">
      <c r="A920" t="s">
        <v>4149</v>
      </c>
      <c r="B920" s="1">
        <v>45464</v>
      </c>
      <c r="C920" t="s">
        <v>566</v>
      </c>
      <c r="D920" t="s">
        <v>36</v>
      </c>
      <c r="E920">
        <v>1105</v>
      </c>
      <c r="F920" t="s">
        <v>3262</v>
      </c>
      <c r="G920">
        <v>95262.05</v>
      </c>
      <c r="H920" t="s">
        <v>556</v>
      </c>
      <c r="J920" t="s">
        <v>3263</v>
      </c>
      <c r="K920">
        <v>86.21</v>
      </c>
      <c r="L920" s="1">
        <v>45524</v>
      </c>
      <c r="M920">
        <f>G920*IF(D920="INR",1,INDEX('rates'!$B$2:$B$522,MATCH(B920,'rates'!$A$2:$A$522,1)))</f>
        <v>7957239.0365000004</v>
      </c>
      <c r="N920">
        <f t="shared" si="14"/>
        <v>60</v>
      </c>
    </row>
    <row r="921" spans="1:14" x14ac:dyDescent="0.3">
      <c r="A921" t="s">
        <v>4152</v>
      </c>
      <c r="B921" s="1">
        <v>45464</v>
      </c>
      <c r="C921" t="s">
        <v>558</v>
      </c>
      <c r="D921" t="s">
        <v>36</v>
      </c>
      <c r="E921">
        <v>1833</v>
      </c>
      <c r="F921" t="s">
        <v>3262</v>
      </c>
      <c r="G921">
        <v>155896.65</v>
      </c>
      <c r="H921" t="s">
        <v>556</v>
      </c>
      <c r="J921" t="s">
        <v>3263</v>
      </c>
      <c r="K921">
        <v>85.05</v>
      </c>
      <c r="L921" s="1">
        <v>45524</v>
      </c>
      <c r="M921">
        <f>G921*IF(D921="INR",1,INDEX('rates'!$B$2:$B$522,MATCH(B921,'rates'!$A$2:$A$522,1)))</f>
        <v>13022047.1745</v>
      </c>
      <c r="N921">
        <f t="shared" si="14"/>
        <v>60</v>
      </c>
    </row>
    <row r="922" spans="1:14" x14ac:dyDescent="0.3">
      <c r="A922" t="s">
        <v>4197</v>
      </c>
      <c r="B922" s="1">
        <v>45481</v>
      </c>
      <c r="C922" t="s">
        <v>554</v>
      </c>
      <c r="D922" t="s">
        <v>36</v>
      </c>
      <c r="E922">
        <v>1284</v>
      </c>
      <c r="F922" t="s">
        <v>3262</v>
      </c>
      <c r="G922">
        <v>117986.76</v>
      </c>
      <c r="H922" t="s">
        <v>556</v>
      </c>
      <c r="J922" t="s">
        <v>3263</v>
      </c>
      <c r="K922">
        <v>91.89</v>
      </c>
      <c r="L922" s="1">
        <v>45526</v>
      </c>
      <c r="M922">
        <f>G922*IF(D922="INR",1,INDEX('rates'!$B$2:$B$522,MATCH(B922,'rates'!$A$2:$A$522,1)))</f>
        <v>9845995.1219999995</v>
      </c>
      <c r="N922">
        <f t="shared" si="14"/>
        <v>45</v>
      </c>
    </row>
    <row r="923" spans="1:14" x14ac:dyDescent="0.3">
      <c r="A923" t="s">
        <v>4200</v>
      </c>
      <c r="B923" s="1">
        <v>45482</v>
      </c>
      <c r="C923" t="s">
        <v>560</v>
      </c>
      <c r="D923" t="s">
        <v>36</v>
      </c>
      <c r="E923">
        <v>691</v>
      </c>
      <c r="F923" t="s">
        <v>3262</v>
      </c>
      <c r="G923">
        <v>62079.44</v>
      </c>
      <c r="H923" t="s">
        <v>556</v>
      </c>
      <c r="J923" t="s">
        <v>3263</v>
      </c>
      <c r="K923">
        <v>89.84</v>
      </c>
      <c r="L923" s="1">
        <v>45527</v>
      </c>
      <c r="M923">
        <f>G923*IF(D923="INR",1,INDEX('rates'!$B$2:$B$522,MATCH(B923,'rates'!$A$2:$A$522,1)))</f>
        <v>5181770.8568000002</v>
      </c>
      <c r="N923">
        <f t="shared" si="14"/>
        <v>45</v>
      </c>
    </row>
    <row r="924" spans="1:14" x14ac:dyDescent="0.3">
      <c r="A924" t="s">
        <v>4202</v>
      </c>
      <c r="B924" s="1">
        <v>45482</v>
      </c>
      <c r="C924" t="s">
        <v>558</v>
      </c>
      <c r="D924" t="s">
        <v>36</v>
      </c>
      <c r="E924">
        <v>606</v>
      </c>
      <c r="F924" t="s">
        <v>3262</v>
      </c>
      <c r="G924">
        <v>53073.48</v>
      </c>
      <c r="H924" t="s">
        <v>556</v>
      </c>
      <c r="J924" t="s">
        <v>3263</v>
      </c>
      <c r="K924">
        <v>87.58</v>
      </c>
      <c r="L924" s="1">
        <v>45527</v>
      </c>
      <c r="M924">
        <f>G924*IF(D924="INR",1,INDEX('rates'!$B$2:$B$522,MATCH(B924,'rates'!$A$2:$A$522,1)))</f>
        <v>4430043.3755999999</v>
      </c>
      <c r="N924">
        <f t="shared" si="14"/>
        <v>45</v>
      </c>
    </row>
    <row r="925" spans="1:14" x14ac:dyDescent="0.3">
      <c r="A925" t="s">
        <v>4204</v>
      </c>
      <c r="B925" s="1">
        <v>45483</v>
      </c>
      <c r="C925" t="s">
        <v>560</v>
      </c>
      <c r="D925" t="s">
        <v>36</v>
      </c>
      <c r="E925">
        <v>1061</v>
      </c>
      <c r="F925" t="s">
        <v>3262</v>
      </c>
      <c r="G925">
        <v>92307</v>
      </c>
      <c r="H925" t="s">
        <v>556</v>
      </c>
      <c r="J925" t="s">
        <v>3263</v>
      </c>
      <c r="K925">
        <v>87</v>
      </c>
      <c r="L925" s="1">
        <v>45528</v>
      </c>
      <c r="M925">
        <f>G925*IF(D925="INR",1,INDEX('rates'!$B$2:$B$522,MATCH(B925,'rates'!$A$2:$A$522,1)))</f>
        <v>7707634.5</v>
      </c>
      <c r="N925">
        <f t="shared" si="14"/>
        <v>45</v>
      </c>
    </row>
    <row r="926" spans="1:14" x14ac:dyDescent="0.3">
      <c r="A926" t="s">
        <v>4235</v>
      </c>
      <c r="B926" s="1">
        <v>45498</v>
      </c>
      <c r="C926" t="s">
        <v>558</v>
      </c>
      <c r="D926" t="s">
        <v>36</v>
      </c>
      <c r="E926">
        <v>643</v>
      </c>
      <c r="F926" t="s">
        <v>3262</v>
      </c>
      <c r="G926">
        <v>54050.58</v>
      </c>
      <c r="H926" t="s">
        <v>573</v>
      </c>
      <c r="I926">
        <v>91.36</v>
      </c>
      <c r="J926" t="s">
        <v>3263</v>
      </c>
      <c r="K926">
        <v>84.06</v>
      </c>
      <c r="L926" s="1">
        <v>45528</v>
      </c>
      <c r="M926">
        <f>G926*IF(D926="INR",1,INDEX('rates'!$B$2:$B$522,MATCH(B926,'rates'!$A$2:$A$522,1)))</f>
        <v>4524033.5460000001</v>
      </c>
      <c r="N926">
        <f t="shared" si="14"/>
        <v>30</v>
      </c>
    </row>
    <row r="927" spans="1:14" x14ac:dyDescent="0.3">
      <c r="A927" t="s">
        <v>4162</v>
      </c>
      <c r="B927" s="1">
        <v>45469</v>
      </c>
      <c r="C927" t="s">
        <v>575</v>
      </c>
      <c r="D927" t="s">
        <v>36</v>
      </c>
      <c r="E927">
        <v>736</v>
      </c>
      <c r="F927" t="s">
        <v>3262</v>
      </c>
      <c r="G927">
        <v>64775.360000000001</v>
      </c>
      <c r="H927" t="s">
        <v>556</v>
      </c>
      <c r="J927" t="s">
        <v>3263</v>
      </c>
      <c r="K927">
        <v>88.01</v>
      </c>
      <c r="L927" s="1">
        <v>45529</v>
      </c>
      <c r="M927">
        <f>G927*IF(D927="INR",1,INDEX('rates'!$B$2:$B$522,MATCH(B927,'rates'!$A$2:$A$522,1)))</f>
        <v>5411981.3279999997</v>
      </c>
      <c r="N927">
        <f t="shared" si="14"/>
        <v>60</v>
      </c>
    </row>
    <row r="928" spans="1:14" x14ac:dyDescent="0.3">
      <c r="A928" t="s">
        <v>4206</v>
      </c>
      <c r="B928" s="1">
        <v>45484</v>
      </c>
      <c r="C928" t="s">
        <v>558</v>
      </c>
      <c r="D928" t="s">
        <v>13</v>
      </c>
      <c r="E928">
        <v>58161</v>
      </c>
      <c r="F928" t="s">
        <v>3270</v>
      </c>
      <c r="G928">
        <v>5154809.43</v>
      </c>
      <c r="H928" t="s">
        <v>556</v>
      </c>
      <c r="J928" t="s">
        <v>3271</v>
      </c>
      <c r="K928">
        <v>88.63</v>
      </c>
      <c r="L928" s="1">
        <v>45529</v>
      </c>
      <c r="M928">
        <f>G928*IF(D928="INR",1,INDEX('rates'!$B$2:$B$522,MATCH(B928,'rates'!$A$2:$A$522,1)))</f>
        <v>5154809.43</v>
      </c>
      <c r="N928">
        <f t="shared" si="14"/>
        <v>45</v>
      </c>
    </row>
    <row r="929" spans="1:14" x14ac:dyDescent="0.3">
      <c r="A929" t="s">
        <v>4238</v>
      </c>
      <c r="B929" s="1">
        <v>45499</v>
      </c>
      <c r="C929" t="s">
        <v>558</v>
      </c>
      <c r="D929" t="s">
        <v>36</v>
      </c>
      <c r="E929">
        <v>1259</v>
      </c>
      <c r="F929" t="s">
        <v>3262</v>
      </c>
      <c r="G929">
        <v>106763.2</v>
      </c>
      <c r="H929" t="s">
        <v>556</v>
      </c>
      <c r="J929" t="s">
        <v>3263</v>
      </c>
      <c r="K929">
        <v>84.8</v>
      </c>
      <c r="L929" s="1">
        <v>45529</v>
      </c>
      <c r="M929">
        <f>G929*IF(D929="INR",1,INDEX('rates'!$B$2:$B$522,MATCH(B929,'rates'!$A$2:$A$522,1)))</f>
        <v>8936079.8399999999</v>
      </c>
      <c r="N929">
        <f t="shared" si="14"/>
        <v>30</v>
      </c>
    </row>
    <row r="930" spans="1:14" x14ac:dyDescent="0.3">
      <c r="A930" t="s">
        <v>4239</v>
      </c>
      <c r="B930" s="1">
        <v>45499</v>
      </c>
      <c r="C930" t="s">
        <v>554</v>
      </c>
      <c r="D930" t="s">
        <v>36</v>
      </c>
      <c r="E930">
        <v>1380</v>
      </c>
      <c r="F930" t="s">
        <v>3262</v>
      </c>
      <c r="G930">
        <v>114898.8</v>
      </c>
      <c r="H930" t="s">
        <v>556</v>
      </c>
      <c r="J930" t="s">
        <v>3263</v>
      </c>
      <c r="K930">
        <v>83.26</v>
      </c>
      <c r="L930" s="1">
        <v>45529</v>
      </c>
      <c r="M930">
        <f>G930*IF(D930="INR",1,INDEX('rates'!$B$2:$B$522,MATCH(B930,'rates'!$A$2:$A$522,1)))</f>
        <v>9617029.5600000005</v>
      </c>
      <c r="N930">
        <f t="shared" si="14"/>
        <v>30</v>
      </c>
    </row>
    <row r="931" spans="1:14" x14ac:dyDescent="0.3">
      <c r="A931" t="s">
        <v>4240</v>
      </c>
      <c r="B931" s="1">
        <v>45499</v>
      </c>
      <c r="C931" t="s">
        <v>558</v>
      </c>
      <c r="D931" t="s">
        <v>36</v>
      </c>
      <c r="E931">
        <v>1427</v>
      </c>
      <c r="F931" t="s">
        <v>3262</v>
      </c>
      <c r="G931">
        <v>117927.28</v>
      </c>
      <c r="H931" t="s">
        <v>573</v>
      </c>
      <c r="I931">
        <v>91.36</v>
      </c>
      <c r="J931" t="s">
        <v>3263</v>
      </c>
      <c r="K931">
        <v>82.64</v>
      </c>
      <c r="L931" s="1">
        <v>45529</v>
      </c>
      <c r="M931">
        <f>G931*IF(D931="INR",1,INDEX('rates'!$B$2:$B$522,MATCH(B931,'rates'!$A$2:$A$522,1)))</f>
        <v>9870513.3360000011</v>
      </c>
      <c r="N931">
        <f t="shared" si="14"/>
        <v>30</v>
      </c>
    </row>
    <row r="932" spans="1:14" x14ac:dyDescent="0.3">
      <c r="A932" t="s">
        <v>4209</v>
      </c>
      <c r="B932" s="1">
        <v>45485</v>
      </c>
      <c r="C932" t="s">
        <v>560</v>
      </c>
      <c r="D932" t="s">
        <v>36</v>
      </c>
      <c r="E932">
        <v>401</v>
      </c>
      <c r="F932" t="s">
        <v>3262</v>
      </c>
      <c r="G932">
        <v>35877.47</v>
      </c>
      <c r="H932" t="s">
        <v>556</v>
      </c>
      <c r="J932" t="s">
        <v>3263</v>
      </c>
      <c r="K932">
        <v>89.47</v>
      </c>
      <c r="L932" s="1">
        <v>45530</v>
      </c>
      <c r="M932">
        <f>G932*IF(D932="INR",1,INDEX('rates'!$B$2:$B$522,MATCH(B932,'rates'!$A$2:$A$522,1)))</f>
        <v>2995051.1956000002</v>
      </c>
      <c r="N932">
        <f t="shared" si="14"/>
        <v>45</v>
      </c>
    </row>
    <row r="933" spans="1:14" x14ac:dyDescent="0.3">
      <c r="A933" t="s">
        <v>4211</v>
      </c>
      <c r="B933" s="1">
        <v>45485</v>
      </c>
      <c r="C933" t="s">
        <v>566</v>
      </c>
      <c r="D933" t="s">
        <v>13</v>
      </c>
      <c r="E933">
        <v>246781</v>
      </c>
      <c r="F933" t="s">
        <v>3270</v>
      </c>
      <c r="G933">
        <v>22965439.859999999</v>
      </c>
      <c r="H933" t="s">
        <v>556</v>
      </c>
      <c r="J933" t="s">
        <v>3271</v>
      </c>
      <c r="K933">
        <v>93.06</v>
      </c>
      <c r="L933" s="1">
        <v>45530</v>
      </c>
      <c r="M933">
        <f>G933*IF(D933="INR",1,INDEX('rates'!$B$2:$B$522,MATCH(B933,'rates'!$A$2:$A$522,1)))</f>
        <v>22965439.859999999</v>
      </c>
      <c r="N933">
        <f t="shared" si="14"/>
        <v>45</v>
      </c>
    </row>
    <row r="934" spans="1:14" x14ac:dyDescent="0.3">
      <c r="A934" t="s">
        <v>4212</v>
      </c>
      <c r="B934" s="1">
        <v>45485</v>
      </c>
      <c r="C934" t="s">
        <v>558</v>
      </c>
      <c r="D934" t="s">
        <v>36</v>
      </c>
      <c r="E934">
        <v>348</v>
      </c>
      <c r="F934" t="s">
        <v>3262</v>
      </c>
      <c r="G934">
        <v>31146</v>
      </c>
      <c r="H934" t="s">
        <v>556</v>
      </c>
      <c r="J934" t="s">
        <v>3263</v>
      </c>
      <c r="K934">
        <v>89.5</v>
      </c>
      <c r="L934" s="1">
        <v>45530</v>
      </c>
      <c r="M934">
        <f>G934*IF(D934="INR",1,INDEX('rates'!$B$2:$B$522,MATCH(B934,'rates'!$A$2:$A$522,1)))</f>
        <v>2600068.08</v>
      </c>
      <c r="N934">
        <f t="shared" si="14"/>
        <v>45</v>
      </c>
    </row>
    <row r="935" spans="1:14" x14ac:dyDescent="0.3">
      <c r="A935" t="s">
        <v>4175</v>
      </c>
      <c r="B935" s="1">
        <v>45471</v>
      </c>
      <c r="C935" t="s">
        <v>558</v>
      </c>
      <c r="D935" t="s">
        <v>36</v>
      </c>
      <c r="E935">
        <v>698</v>
      </c>
      <c r="F935" t="s">
        <v>3262</v>
      </c>
      <c r="G935">
        <v>62010.32</v>
      </c>
      <c r="H935" t="s">
        <v>556</v>
      </c>
      <c r="J935" t="s">
        <v>3263</v>
      </c>
      <c r="K935">
        <v>88.84</v>
      </c>
      <c r="L935" s="1">
        <v>45531</v>
      </c>
      <c r="M935">
        <f>G935*IF(D935="INR",1,INDEX('rates'!$B$2:$B$522,MATCH(B935,'rates'!$A$2:$A$522,1)))</f>
        <v>5167319.9655999998</v>
      </c>
      <c r="N935">
        <f t="shared" si="14"/>
        <v>60</v>
      </c>
    </row>
    <row r="936" spans="1:14" x14ac:dyDescent="0.3">
      <c r="A936" t="s">
        <v>4247</v>
      </c>
      <c r="B936" s="1">
        <v>45502</v>
      </c>
      <c r="C936" t="s">
        <v>575</v>
      </c>
      <c r="D936" t="s">
        <v>36</v>
      </c>
      <c r="E936">
        <v>612</v>
      </c>
      <c r="F936" t="s">
        <v>3262</v>
      </c>
      <c r="G936">
        <v>49743.360000000001</v>
      </c>
      <c r="H936" t="s">
        <v>573</v>
      </c>
      <c r="I936">
        <v>89.33</v>
      </c>
      <c r="J936" t="s">
        <v>3263</v>
      </c>
      <c r="K936">
        <v>81.28</v>
      </c>
      <c r="L936" s="1">
        <v>45532</v>
      </c>
      <c r="M936">
        <f>G936*IF(D936="INR",1,INDEX('rates'!$B$2:$B$522,MATCH(B936,'rates'!$A$2:$A$522,1)))</f>
        <v>4166006.4</v>
      </c>
      <c r="N936">
        <f t="shared" si="14"/>
        <v>30</v>
      </c>
    </row>
    <row r="937" spans="1:14" x14ac:dyDescent="0.3">
      <c r="A937" t="s">
        <v>4250</v>
      </c>
      <c r="B937" s="1">
        <v>45503</v>
      </c>
      <c r="C937" t="s">
        <v>566</v>
      </c>
      <c r="D937" t="s">
        <v>36</v>
      </c>
      <c r="E937">
        <v>876</v>
      </c>
      <c r="F937" t="s">
        <v>3262</v>
      </c>
      <c r="G937">
        <v>71490.36</v>
      </c>
      <c r="H937" t="s">
        <v>573</v>
      </c>
      <c r="I937">
        <v>86.35</v>
      </c>
      <c r="J937" t="s">
        <v>3263</v>
      </c>
      <c r="K937">
        <v>81.61</v>
      </c>
      <c r="L937" s="1">
        <v>45533</v>
      </c>
      <c r="M937">
        <f>G937*IF(D937="INR",1,INDEX('rates'!$B$2:$B$522,MATCH(B937,'rates'!$A$2:$A$522,1)))</f>
        <v>5983743.1320000002</v>
      </c>
      <c r="N937">
        <f t="shared" si="14"/>
        <v>30</v>
      </c>
    </row>
    <row r="938" spans="1:14" x14ac:dyDescent="0.3">
      <c r="A938" t="s">
        <v>4215</v>
      </c>
      <c r="B938" s="1">
        <v>45489</v>
      </c>
      <c r="C938" t="s">
        <v>566</v>
      </c>
      <c r="D938" t="s">
        <v>36</v>
      </c>
      <c r="E938">
        <v>252</v>
      </c>
      <c r="F938" t="s">
        <v>3262</v>
      </c>
      <c r="G938">
        <v>22274.28</v>
      </c>
      <c r="H938" t="s">
        <v>573</v>
      </c>
      <c r="I938">
        <v>89.43</v>
      </c>
      <c r="J938" t="s">
        <v>3263</v>
      </c>
      <c r="K938">
        <v>88.39</v>
      </c>
      <c r="L938" s="1">
        <v>45534</v>
      </c>
      <c r="M938">
        <f>G938*IF(D938="INR",1,INDEX('rates'!$B$2:$B$522,MATCH(B938,'rates'!$A$2:$A$522,1)))</f>
        <v>1862129.8079999997</v>
      </c>
      <c r="N938">
        <f t="shared" si="14"/>
        <v>45</v>
      </c>
    </row>
    <row r="939" spans="1:14" x14ac:dyDescent="0.3">
      <c r="A939" t="s">
        <v>4216</v>
      </c>
      <c r="B939" s="1">
        <v>45489</v>
      </c>
      <c r="C939" t="s">
        <v>558</v>
      </c>
      <c r="D939" t="s">
        <v>36</v>
      </c>
      <c r="E939">
        <v>1559</v>
      </c>
      <c r="F939" t="s">
        <v>3262</v>
      </c>
      <c r="G939">
        <v>137410.26</v>
      </c>
      <c r="H939" t="s">
        <v>556</v>
      </c>
      <c r="J939" t="s">
        <v>3263</v>
      </c>
      <c r="K939">
        <v>88.14</v>
      </c>
      <c r="L939" s="1">
        <v>45534</v>
      </c>
      <c r="M939">
        <f>G939*IF(D939="INR",1,INDEX('rates'!$B$2:$B$522,MATCH(B939,'rates'!$A$2:$A$522,1)))</f>
        <v>11487497.736</v>
      </c>
      <c r="N939">
        <f t="shared" si="14"/>
        <v>45</v>
      </c>
    </row>
    <row r="940" spans="1:14" x14ac:dyDescent="0.3">
      <c r="A940" t="s">
        <v>4180</v>
      </c>
      <c r="B940" s="1">
        <v>45475</v>
      </c>
      <c r="C940" t="s">
        <v>566</v>
      </c>
      <c r="D940" t="s">
        <v>36</v>
      </c>
      <c r="E940">
        <v>708</v>
      </c>
      <c r="F940" t="s">
        <v>3262</v>
      </c>
      <c r="G940">
        <v>62629.68</v>
      </c>
      <c r="H940" t="s">
        <v>573</v>
      </c>
      <c r="I940">
        <v>92.26</v>
      </c>
      <c r="J940" t="s">
        <v>3263</v>
      </c>
      <c r="K940">
        <v>88.46</v>
      </c>
      <c r="L940" s="1">
        <v>45535</v>
      </c>
      <c r="M940">
        <f>G940*IF(D940="INR",1,INDEX('rates'!$B$2:$B$522,MATCH(B940,'rates'!$A$2:$A$522,1)))</f>
        <v>5229578.28</v>
      </c>
      <c r="N940">
        <f t="shared" si="14"/>
        <v>60</v>
      </c>
    </row>
    <row r="941" spans="1:14" x14ac:dyDescent="0.3">
      <c r="A941" t="s">
        <v>4181</v>
      </c>
      <c r="B941" s="1">
        <v>45475</v>
      </c>
      <c r="C941" t="s">
        <v>554</v>
      </c>
      <c r="D941" t="s">
        <v>36</v>
      </c>
      <c r="E941">
        <v>1859</v>
      </c>
      <c r="F941" t="s">
        <v>3262</v>
      </c>
      <c r="G941">
        <v>166733.71</v>
      </c>
      <c r="H941" t="s">
        <v>573</v>
      </c>
      <c r="I941">
        <v>92.26</v>
      </c>
      <c r="J941" t="s">
        <v>3263</v>
      </c>
      <c r="K941">
        <v>89.69</v>
      </c>
      <c r="L941" s="1">
        <v>45535</v>
      </c>
      <c r="M941">
        <f>G941*IF(D941="INR",1,INDEX('rates'!$B$2:$B$522,MATCH(B941,'rates'!$A$2:$A$522,1)))</f>
        <v>13922264.785</v>
      </c>
      <c r="N941">
        <f t="shared" si="14"/>
        <v>60</v>
      </c>
    </row>
    <row r="942" spans="1:14" x14ac:dyDescent="0.3">
      <c r="A942" t="s">
        <v>4182</v>
      </c>
      <c r="B942" s="1">
        <v>45475</v>
      </c>
      <c r="C942" t="s">
        <v>566</v>
      </c>
      <c r="D942" t="s">
        <v>36</v>
      </c>
      <c r="E942">
        <v>1046</v>
      </c>
      <c r="F942" t="s">
        <v>3262</v>
      </c>
      <c r="G942">
        <v>92602.38</v>
      </c>
      <c r="H942" t="s">
        <v>573</v>
      </c>
      <c r="I942">
        <v>92.26</v>
      </c>
      <c r="J942" t="s">
        <v>3263</v>
      </c>
      <c r="K942">
        <v>88.53</v>
      </c>
      <c r="L942" s="1">
        <v>45535</v>
      </c>
      <c r="M942">
        <f>G942*IF(D942="INR",1,INDEX('rates'!$B$2:$B$522,MATCH(B942,'rates'!$A$2:$A$522,1)))</f>
        <v>7732298.7300000004</v>
      </c>
      <c r="N942">
        <f t="shared" si="14"/>
        <v>60</v>
      </c>
    </row>
    <row r="943" spans="1:14" x14ac:dyDescent="0.3">
      <c r="A943" t="s">
        <v>4183</v>
      </c>
      <c r="B943" s="1">
        <v>45475</v>
      </c>
      <c r="C943" t="s">
        <v>554</v>
      </c>
      <c r="D943" t="s">
        <v>36</v>
      </c>
      <c r="E943">
        <v>390</v>
      </c>
      <c r="F943" t="s">
        <v>3262</v>
      </c>
      <c r="G943">
        <v>34366.800000000003</v>
      </c>
      <c r="H943" t="s">
        <v>556</v>
      </c>
      <c r="J943" t="s">
        <v>3263</v>
      </c>
      <c r="K943">
        <v>88.12</v>
      </c>
      <c r="L943" s="1">
        <v>45535</v>
      </c>
      <c r="M943">
        <f>G943*IF(D943="INR",1,INDEX('rates'!$B$2:$B$522,MATCH(B943,'rates'!$A$2:$A$522,1)))</f>
        <v>2869627.8000000003</v>
      </c>
      <c r="N943">
        <f t="shared" si="14"/>
        <v>60</v>
      </c>
    </row>
    <row r="944" spans="1:14" x14ac:dyDescent="0.3">
      <c r="A944" t="s">
        <v>4184</v>
      </c>
      <c r="B944" s="1">
        <v>45476</v>
      </c>
      <c r="C944" t="s">
        <v>566</v>
      </c>
      <c r="D944" t="s">
        <v>36</v>
      </c>
      <c r="E944">
        <v>1860</v>
      </c>
      <c r="F944" t="s">
        <v>3262</v>
      </c>
      <c r="G944">
        <v>164907.6</v>
      </c>
      <c r="H944" t="s">
        <v>573</v>
      </c>
      <c r="I944">
        <v>93.49</v>
      </c>
      <c r="J944" t="s">
        <v>3263</v>
      </c>
      <c r="K944">
        <v>88.66</v>
      </c>
      <c r="L944" s="1">
        <v>45536</v>
      </c>
      <c r="M944">
        <f>G944*IF(D944="INR",1,INDEX('rates'!$B$2:$B$522,MATCH(B944,'rates'!$A$2:$A$522,1)))</f>
        <v>13766486.448000001</v>
      </c>
      <c r="N944">
        <f t="shared" si="14"/>
        <v>60</v>
      </c>
    </row>
    <row r="945" spans="1:14" x14ac:dyDescent="0.3">
      <c r="A945" t="s">
        <v>4187</v>
      </c>
      <c r="B945" s="1">
        <v>45476</v>
      </c>
      <c r="C945" t="s">
        <v>554</v>
      </c>
      <c r="D945" t="s">
        <v>36</v>
      </c>
      <c r="E945">
        <v>293</v>
      </c>
      <c r="F945" t="s">
        <v>3262</v>
      </c>
      <c r="G945">
        <v>26747.97</v>
      </c>
      <c r="H945" t="s">
        <v>556</v>
      </c>
      <c r="J945" t="s">
        <v>3263</v>
      </c>
      <c r="K945">
        <v>91.29</v>
      </c>
      <c r="L945" s="1">
        <v>45536</v>
      </c>
      <c r="M945">
        <f>G945*IF(D945="INR",1,INDEX('rates'!$B$2:$B$522,MATCH(B945,'rates'!$A$2:$A$522,1)))</f>
        <v>2232920.5356000001</v>
      </c>
      <c r="N945">
        <f t="shared" si="14"/>
        <v>60</v>
      </c>
    </row>
    <row r="946" spans="1:14" x14ac:dyDescent="0.3">
      <c r="A946" t="s">
        <v>4219</v>
      </c>
      <c r="B946" s="1">
        <v>45491</v>
      </c>
      <c r="C946" t="s">
        <v>558</v>
      </c>
      <c r="D946" t="s">
        <v>36</v>
      </c>
      <c r="E946">
        <v>705</v>
      </c>
      <c r="F946" t="s">
        <v>3262</v>
      </c>
      <c r="G946">
        <v>62688.6</v>
      </c>
      <c r="H946" t="s">
        <v>556</v>
      </c>
      <c r="J946" t="s">
        <v>3263</v>
      </c>
      <c r="K946">
        <v>88.92</v>
      </c>
      <c r="L946" s="1">
        <v>45536</v>
      </c>
      <c r="M946">
        <f>G946*IF(D946="INR",1,INDEX('rates'!$B$2:$B$522,MATCH(B946,'rates'!$A$2:$A$522,1)))</f>
        <v>5239513.1880000001</v>
      </c>
      <c r="N946">
        <f t="shared" si="14"/>
        <v>45</v>
      </c>
    </row>
    <row r="947" spans="1:14" x14ac:dyDescent="0.3">
      <c r="A947" t="s">
        <v>4254</v>
      </c>
      <c r="B947" s="1">
        <v>45506</v>
      </c>
      <c r="C947" t="s">
        <v>554</v>
      </c>
      <c r="D947" t="s">
        <v>36</v>
      </c>
      <c r="E947">
        <v>710</v>
      </c>
      <c r="F947" t="s">
        <v>3262</v>
      </c>
      <c r="G947">
        <v>56168</v>
      </c>
      <c r="H947" t="s">
        <v>556</v>
      </c>
      <c r="J947" t="s">
        <v>3263</v>
      </c>
      <c r="K947">
        <v>79.11</v>
      </c>
      <c r="L947" s="1">
        <v>45536</v>
      </c>
      <c r="M947">
        <f>G947*IF(D947="INR",1,INDEX('rates'!$B$2:$B$522,MATCH(B947,'rates'!$A$2:$A$522,1)))</f>
        <v>4706316.7200000007</v>
      </c>
      <c r="N947">
        <f t="shared" si="14"/>
        <v>30</v>
      </c>
    </row>
    <row r="948" spans="1:14" x14ac:dyDescent="0.3">
      <c r="A948" t="s">
        <v>4255</v>
      </c>
      <c r="B948" s="1">
        <v>45506</v>
      </c>
      <c r="C948" t="s">
        <v>575</v>
      </c>
      <c r="D948" t="s">
        <v>36</v>
      </c>
      <c r="E948">
        <v>437</v>
      </c>
      <c r="F948" t="s">
        <v>3262</v>
      </c>
      <c r="G948">
        <v>34470.559999999998</v>
      </c>
      <c r="H948" t="s">
        <v>556</v>
      </c>
      <c r="J948" t="s">
        <v>3263</v>
      </c>
      <c r="K948">
        <v>78.88</v>
      </c>
      <c r="L948" s="1">
        <v>45536</v>
      </c>
      <c r="M948">
        <f>G948*IF(D948="INR",1,INDEX('rates'!$B$2:$B$522,MATCH(B948,'rates'!$A$2:$A$522,1)))</f>
        <v>2888288.2223999999</v>
      </c>
      <c r="N948">
        <f t="shared" si="14"/>
        <v>30</v>
      </c>
    </row>
    <row r="949" spans="1:14" x14ac:dyDescent="0.3">
      <c r="A949" t="s">
        <v>4259</v>
      </c>
      <c r="B949" s="1">
        <v>45506</v>
      </c>
      <c r="C949" t="s">
        <v>558</v>
      </c>
      <c r="D949" t="s">
        <v>36</v>
      </c>
      <c r="E949">
        <v>2039</v>
      </c>
      <c r="F949" t="s">
        <v>3262</v>
      </c>
      <c r="G949">
        <v>161346.07</v>
      </c>
      <c r="H949" t="s">
        <v>556</v>
      </c>
      <c r="J949" t="s">
        <v>3263</v>
      </c>
      <c r="K949">
        <v>79.13</v>
      </c>
      <c r="L949" s="1">
        <v>45536</v>
      </c>
      <c r="M949">
        <f>G949*IF(D949="INR",1,INDEX('rates'!$B$2:$B$522,MATCH(B949,'rates'!$A$2:$A$522,1)))</f>
        <v>13519187.205300001</v>
      </c>
      <c r="N949">
        <f t="shared" si="14"/>
        <v>30</v>
      </c>
    </row>
    <row r="950" spans="1:14" x14ac:dyDescent="0.3">
      <c r="A950" t="s">
        <v>4261</v>
      </c>
      <c r="B950" s="1">
        <v>45506</v>
      </c>
      <c r="C950" t="s">
        <v>560</v>
      </c>
      <c r="D950" t="s">
        <v>36</v>
      </c>
      <c r="E950">
        <v>1058</v>
      </c>
      <c r="F950" t="s">
        <v>3262</v>
      </c>
      <c r="G950">
        <v>85856.7</v>
      </c>
      <c r="H950" t="s">
        <v>556</v>
      </c>
      <c r="J950" t="s">
        <v>3263</v>
      </c>
      <c r="K950">
        <v>81.150000000000006</v>
      </c>
      <c r="L950" s="1">
        <v>45536</v>
      </c>
      <c r="M950">
        <f>G950*IF(D950="INR",1,INDEX('rates'!$B$2:$B$522,MATCH(B950,'rates'!$A$2:$A$522,1)))</f>
        <v>7193932.8930000002</v>
      </c>
      <c r="N950">
        <f t="shared" si="14"/>
        <v>30</v>
      </c>
    </row>
    <row r="951" spans="1:14" x14ac:dyDescent="0.3">
      <c r="A951" t="s">
        <v>4221</v>
      </c>
      <c r="B951" s="1">
        <v>45492</v>
      </c>
      <c r="C951" t="s">
        <v>575</v>
      </c>
      <c r="D951" t="s">
        <v>13</v>
      </c>
      <c r="E951">
        <v>91538</v>
      </c>
      <c r="F951" t="s">
        <v>3270</v>
      </c>
      <c r="G951">
        <v>6456175.1399999997</v>
      </c>
      <c r="H951" t="s">
        <v>556</v>
      </c>
      <c r="J951" t="s">
        <v>3271</v>
      </c>
      <c r="K951">
        <v>70.53</v>
      </c>
      <c r="L951" s="1">
        <v>45537</v>
      </c>
      <c r="M951">
        <f>G951*IF(D951="INR",1,INDEX('rates'!$B$2:$B$522,MATCH(B951,'rates'!$A$2:$A$522,1)))</f>
        <v>6456175.1399999997</v>
      </c>
      <c r="N951">
        <f t="shared" si="14"/>
        <v>45</v>
      </c>
    </row>
    <row r="952" spans="1:14" x14ac:dyDescent="0.3">
      <c r="A952" t="s">
        <v>4224</v>
      </c>
      <c r="B952" s="1">
        <v>45492</v>
      </c>
      <c r="C952" t="s">
        <v>575</v>
      </c>
      <c r="D952" t="s">
        <v>13</v>
      </c>
      <c r="E952">
        <v>44337</v>
      </c>
      <c r="F952" t="s">
        <v>3270</v>
      </c>
      <c r="G952">
        <v>3726524.85</v>
      </c>
      <c r="H952" t="s">
        <v>556</v>
      </c>
      <c r="J952" t="s">
        <v>3271</v>
      </c>
      <c r="K952">
        <v>84.05</v>
      </c>
      <c r="L952" s="1">
        <v>45537</v>
      </c>
      <c r="M952">
        <f>G952*IF(D952="INR",1,INDEX('rates'!$B$2:$B$522,MATCH(B952,'rates'!$A$2:$A$522,1)))</f>
        <v>3726524.85</v>
      </c>
      <c r="N952">
        <f t="shared" si="14"/>
        <v>45</v>
      </c>
    </row>
    <row r="953" spans="1:14" x14ac:dyDescent="0.3">
      <c r="A953" t="s">
        <v>4226</v>
      </c>
      <c r="B953" s="1">
        <v>45492</v>
      </c>
      <c r="C953" t="s">
        <v>558</v>
      </c>
      <c r="D953" t="s">
        <v>36</v>
      </c>
      <c r="E953">
        <v>206</v>
      </c>
      <c r="F953" t="s">
        <v>3262</v>
      </c>
      <c r="G953">
        <v>17800.46</v>
      </c>
      <c r="H953" t="s">
        <v>556</v>
      </c>
      <c r="J953" t="s">
        <v>3263</v>
      </c>
      <c r="K953">
        <v>86.41</v>
      </c>
      <c r="L953" s="1">
        <v>45537</v>
      </c>
      <c r="M953">
        <f>G953*IF(D953="INR",1,INDEX('rates'!$B$2:$B$522,MATCH(B953,'rates'!$A$2:$A$522,1)))</f>
        <v>1489898.5019999999</v>
      </c>
      <c r="N953">
        <f t="shared" si="14"/>
        <v>45</v>
      </c>
    </row>
    <row r="954" spans="1:14" x14ac:dyDescent="0.3">
      <c r="A954" t="s">
        <v>4227</v>
      </c>
      <c r="B954" s="1">
        <v>45492</v>
      </c>
      <c r="C954" t="s">
        <v>566</v>
      </c>
      <c r="D954" t="s">
        <v>36</v>
      </c>
      <c r="E954">
        <v>427</v>
      </c>
      <c r="F954" t="s">
        <v>3262</v>
      </c>
      <c r="G954">
        <v>37025.17</v>
      </c>
      <c r="H954" t="s">
        <v>573</v>
      </c>
      <c r="I954">
        <v>89.66</v>
      </c>
      <c r="J954" t="s">
        <v>3263</v>
      </c>
      <c r="K954">
        <v>86.71</v>
      </c>
      <c r="L954" s="1">
        <v>45537</v>
      </c>
      <c r="M954">
        <f>G954*IF(D954="INR",1,INDEX('rates'!$B$2:$B$522,MATCH(B954,'rates'!$A$2:$A$522,1)))</f>
        <v>3099006.7289999998</v>
      </c>
      <c r="N954">
        <f t="shared" si="14"/>
        <v>45</v>
      </c>
    </row>
    <row r="955" spans="1:14" x14ac:dyDescent="0.3">
      <c r="A955" t="s">
        <v>4229</v>
      </c>
      <c r="B955" s="1">
        <v>45492</v>
      </c>
      <c r="C955" t="s">
        <v>560</v>
      </c>
      <c r="D955" t="s">
        <v>36</v>
      </c>
      <c r="E955">
        <v>874</v>
      </c>
      <c r="F955" t="s">
        <v>3262</v>
      </c>
      <c r="G955">
        <v>76850.820000000007</v>
      </c>
      <c r="H955" t="s">
        <v>573</v>
      </c>
      <c r="I955">
        <v>89.66</v>
      </c>
      <c r="J955" t="s">
        <v>3263</v>
      </c>
      <c r="K955">
        <v>87.93</v>
      </c>
      <c r="L955" s="1">
        <v>45537</v>
      </c>
      <c r="M955">
        <f>G955*IF(D955="INR",1,INDEX('rates'!$B$2:$B$522,MATCH(B955,'rates'!$A$2:$A$522,1)))</f>
        <v>6432413.6340000005</v>
      </c>
      <c r="N955">
        <f t="shared" si="14"/>
        <v>45</v>
      </c>
    </row>
    <row r="956" spans="1:14" x14ac:dyDescent="0.3">
      <c r="A956" t="s">
        <v>4192</v>
      </c>
      <c r="B956" s="1">
        <v>45478</v>
      </c>
      <c r="C956" t="s">
        <v>554</v>
      </c>
      <c r="D956" t="s">
        <v>36</v>
      </c>
      <c r="E956">
        <v>287</v>
      </c>
      <c r="F956" t="s">
        <v>3262</v>
      </c>
      <c r="G956">
        <v>25069.45</v>
      </c>
      <c r="H956" t="s">
        <v>573</v>
      </c>
      <c r="I956">
        <v>93.83</v>
      </c>
      <c r="J956" t="s">
        <v>3263</v>
      </c>
      <c r="K956">
        <v>87.35</v>
      </c>
      <c r="L956" s="1">
        <v>45538</v>
      </c>
      <c r="M956">
        <f>G956*IF(D956="INR",1,INDEX('rates'!$B$2:$B$522,MATCH(B956,'rates'!$A$2:$A$522,1)))</f>
        <v>2092546.9915</v>
      </c>
      <c r="N956">
        <f t="shared" si="14"/>
        <v>60</v>
      </c>
    </row>
    <row r="957" spans="1:14" x14ac:dyDescent="0.3">
      <c r="A957" t="s">
        <v>4195</v>
      </c>
      <c r="B957" s="1">
        <v>45478</v>
      </c>
      <c r="C957" t="s">
        <v>560</v>
      </c>
      <c r="D957" t="s">
        <v>36</v>
      </c>
      <c r="E957">
        <v>2933</v>
      </c>
      <c r="F957" t="s">
        <v>3262</v>
      </c>
      <c r="G957">
        <v>264204.64</v>
      </c>
      <c r="H957" t="s">
        <v>556</v>
      </c>
      <c r="J957" t="s">
        <v>3263</v>
      </c>
      <c r="K957">
        <v>90.08</v>
      </c>
      <c r="L957" s="1">
        <v>45538</v>
      </c>
      <c r="M957">
        <f>G957*IF(D957="INR",1,INDEX('rates'!$B$2:$B$522,MATCH(B957,'rates'!$A$2:$A$522,1)))</f>
        <v>22053161.300799999</v>
      </c>
      <c r="N957">
        <f t="shared" si="14"/>
        <v>60</v>
      </c>
    </row>
    <row r="958" spans="1:14" x14ac:dyDescent="0.3">
      <c r="A958" t="s">
        <v>4230</v>
      </c>
      <c r="B958" s="1">
        <v>45495</v>
      </c>
      <c r="C958" t="s">
        <v>558</v>
      </c>
      <c r="D958" t="s">
        <v>36</v>
      </c>
      <c r="E958">
        <v>646</v>
      </c>
      <c r="F958" t="s">
        <v>3262</v>
      </c>
      <c r="G958">
        <v>54742.04</v>
      </c>
      <c r="H958" t="s">
        <v>556</v>
      </c>
      <c r="J958" t="s">
        <v>3263</v>
      </c>
      <c r="K958">
        <v>84.74</v>
      </c>
      <c r="L958" s="1">
        <v>45540</v>
      </c>
      <c r="M958">
        <f>G958*IF(D958="INR",1,INDEX('rates'!$B$2:$B$522,MATCH(B958,'rates'!$A$2:$A$522,1)))</f>
        <v>4579171.6460000006</v>
      </c>
      <c r="N958">
        <f t="shared" si="14"/>
        <v>45</v>
      </c>
    </row>
    <row r="959" spans="1:14" x14ac:dyDescent="0.3">
      <c r="A959" t="s">
        <v>4196</v>
      </c>
      <c r="B959" s="1">
        <v>45481</v>
      </c>
      <c r="C959" t="s">
        <v>554</v>
      </c>
      <c r="D959" t="s">
        <v>36</v>
      </c>
      <c r="E959">
        <v>874</v>
      </c>
      <c r="F959" t="s">
        <v>3262</v>
      </c>
      <c r="G959">
        <v>78729.919999999998</v>
      </c>
      <c r="H959" t="s">
        <v>556</v>
      </c>
      <c r="J959" t="s">
        <v>3263</v>
      </c>
      <c r="K959">
        <v>90.08</v>
      </c>
      <c r="L959" s="1">
        <v>45541</v>
      </c>
      <c r="M959">
        <f>G959*IF(D959="INR",1,INDEX('rates'!$B$2:$B$522,MATCH(B959,'rates'!$A$2:$A$522,1)))</f>
        <v>6570011.824</v>
      </c>
      <c r="N959">
        <f t="shared" si="14"/>
        <v>60</v>
      </c>
    </row>
    <row r="960" spans="1:14" x14ac:dyDescent="0.3">
      <c r="A960" t="s">
        <v>4198</v>
      </c>
      <c r="B960" s="1">
        <v>45481</v>
      </c>
      <c r="C960" t="s">
        <v>575</v>
      </c>
      <c r="D960" t="s">
        <v>36</v>
      </c>
      <c r="E960">
        <v>2060</v>
      </c>
      <c r="F960" t="s">
        <v>3262</v>
      </c>
      <c r="G960">
        <v>184555.4</v>
      </c>
      <c r="H960" t="s">
        <v>556</v>
      </c>
      <c r="J960" t="s">
        <v>3263</v>
      </c>
      <c r="K960">
        <v>89.59</v>
      </c>
      <c r="L960" s="1">
        <v>45541</v>
      </c>
      <c r="M960">
        <f>G960*IF(D960="INR",1,INDEX('rates'!$B$2:$B$522,MATCH(B960,'rates'!$A$2:$A$522,1)))</f>
        <v>15401148.130000001</v>
      </c>
      <c r="N960">
        <f t="shared" si="14"/>
        <v>60</v>
      </c>
    </row>
    <row r="961" spans="1:14" x14ac:dyDescent="0.3">
      <c r="A961" t="s">
        <v>4231</v>
      </c>
      <c r="B961" s="1">
        <v>45496</v>
      </c>
      <c r="C961" t="s">
        <v>560</v>
      </c>
      <c r="D961" t="s">
        <v>36</v>
      </c>
      <c r="E961">
        <v>1007</v>
      </c>
      <c r="F961" t="s">
        <v>3262</v>
      </c>
      <c r="G961">
        <v>81869.100000000006</v>
      </c>
      <c r="H961" t="s">
        <v>556</v>
      </c>
      <c r="J961" t="s">
        <v>3263</v>
      </c>
      <c r="K961">
        <v>81.3</v>
      </c>
      <c r="L961" s="1">
        <v>45541</v>
      </c>
      <c r="M961">
        <f>G961*IF(D961="INR",1,INDEX('rates'!$B$2:$B$522,MATCH(B961,'rates'!$A$2:$A$522,1)))</f>
        <v>6850806.2880000006</v>
      </c>
      <c r="N961">
        <f t="shared" si="14"/>
        <v>45</v>
      </c>
    </row>
    <row r="962" spans="1:14" x14ac:dyDescent="0.3">
      <c r="A962" t="s">
        <v>4199</v>
      </c>
      <c r="B962" s="1">
        <v>45482</v>
      </c>
      <c r="C962" t="s">
        <v>558</v>
      </c>
      <c r="D962" t="s">
        <v>36</v>
      </c>
      <c r="E962">
        <v>998</v>
      </c>
      <c r="F962" t="s">
        <v>3262</v>
      </c>
      <c r="G962">
        <v>86396.86</v>
      </c>
      <c r="H962" t="s">
        <v>573</v>
      </c>
      <c r="I962">
        <v>93.07</v>
      </c>
      <c r="J962" t="s">
        <v>3263</v>
      </c>
      <c r="K962">
        <v>86.57</v>
      </c>
      <c r="L962" s="1">
        <v>45542</v>
      </c>
      <c r="M962">
        <f>G962*IF(D962="INR",1,INDEX('rates'!$B$2:$B$522,MATCH(B962,'rates'!$A$2:$A$522,1)))</f>
        <v>7211545.9041999998</v>
      </c>
      <c r="N962">
        <f t="shared" ref="N962:N1025" si="15">IF(L962="","",L962-B962)</f>
        <v>60</v>
      </c>
    </row>
    <row r="963" spans="1:14" x14ac:dyDescent="0.3">
      <c r="A963" t="s">
        <v>4201</v>
      </c>
      <c r="B963" s="1">
        <v>45482</v>
      </c>
      <c r="C963" t="s">
        <v>558</v>
      </c>
      <c r="D963" t="s">
        <v>36</v>
      </c>
      <c r="E963">
        <v>945</v>
      </c>
      <c r="F963" t="s">
        <v>3262</v>
      </c>
      <c r="G963">
        <v>85333.5</v>
      </c>
      <c r="H963" t="s">
        <v>556</v>
      </c>
      <c r="J963" t="s">
        <v>3263</v>
      </c>
      <c r="K963">
        <v>90.3</v>
      </c>
      <c r="L963" s="1">
        <v>45542</v>
      </c>
      <c r="M963">
        <f>G963*IF(D963="INR",1,INDEX('rates'!$B$2:$B$522,MATCH(B963,'rates'!$A$2:$A$522,1)))</f>
        <v>7122787.2450000001</v>
      </c>
      <c r="N963">
        <f t="shared" si="15"/>
        <v>60</v>
      </c>
    </row>
    <row r="964" spans="1:14" x14ac:dyDescent="0.3">
      <c r="A964" t="s">
        <v>4203</v>
      </c>
      <c r="B964" s="1">
        <v>45482</v>
      </c>
      <c r="C964" t="s">
        <v>566</v>
      </c>
      <c r="D964" t="s">
        <v>36</v>
      </c>
      <c r="E964">
        <v>249</v>
      </c>
      <c r="F964" t="s">
        <v>3262</v>
      </c>
      <c r="G964">
        <v>22051.439999999999</v>
      </c>
      <c r="H964" t="s">
        <v>573</v>
      </c>
      <c r="I964">
        <v>93.07</v>
      </c>
      <c r="J964" t="s">
        <v>3263</v>
      </c>
      <c r="K964">
        <v>88.56</v>
      </c>
      <c r="L964" s="1">
        <v>45542</v>
      </c>
      <c r="M964">
        <f>G964*IF(D964="INR",1,INDEX('rates'!$B$2:$B$522,MATCH(B964,'rates'!$A$2:$A$522,1)))</f>
        <v>1840633.6967999998</v>
      </c>
      <c r="N964">
        <f t="shared" si="15"/>
        <v>60</v>
      </c>
    </row>
    <row r="965" spans="1:14" x14ac:dyDescent="0.3">
      <c r="A965" t="s">
        <v>4270</v>
      </c>
      <c r="B965" s="1">
        <v>45512</v>
      </c>
      <c r="C965" t="s">
        <v>575</v>
      </c>
      <c r="D965" t="s">
        <v>36</v>
      </c>
      <c r="E965">
        <v>844</v>
      </c>
      <c r="F965" t="s">
        <v>3262</v>
      </c>
      <c r="G965">
        <v>70870.679999999993</v>
      </c>
      <c r="H965" t="s">
        <v>573</v>
      </c>
      <c r="I965">
        <v>85.4</v>
      </c>
      <c r="J965" t="s">
        <v>3263</v>
      </c>
      <c r="K965">
        <v>83.97</v>
      </c>
      <c r="L965" s="1">
        <v>45542</v>
      </c>
      <c r="M965">
        <f>G965*IF(D965="INR",1,INDEX('rates'!$B$2:$B$522,MATCH(B965,'rates'!$A$2:$A$522,1)))</f>
        <v>5949593.5859999992</v>
      </c>
      <c r="N965">
        <f t="shared" si="15"/>
        <v>30</v>
      </c>
    </row>
    <row r="966" spans="1:14" x14ac:dyDescent="0.3">
      <c r="A966" t="s">
        <v>4271</v>
      </c>
      <c r="B966" s="1">
        <v>45512</v>
      </c>
      <c r="C966" t="s">
        <v>566</v>
      </c>
      <c r="D966" t="s">
        <v>36</v>
      </c>
      <c r="E966">
        <v>403</v>
      </c>
      <c r="F966" t="s">
        <v>3262</v>
      </c>
      <c r="G966">
        <v>32953.31</v>
      </c>
      <c r="H966" t="s">
        <v>573</v>
      </c>
      <c r="I966">
        <v>85.4</v>
      </c>
      <c r="J966" t="s">
        <v>3263</v>
      </c>
      <c r="K966">
        <v>81.77</v>
      </c>
      <c r="L966" s="1">
        <v>45542</v>
      </c>
      <c r="M966">
        <f>G966*IF(D966="INR",1,INDEX('rates'!$B$2:$B$522,MATCH(B966,'rates'!$A$2:$A$522,1)))</f>
        <v>2766430.3744999999</v>
      </c>
      <c r="N966">
        <f t="shared" si="15"/>
        <v>30</v>
      </c>
    </row>
    <row r="967" spans="1:14" x14ac:dyDescent="0.3">
      <c r="A967" t="s">
        <v>4234</v>
      </c>
      <c r="B967" s="1">
        <v>45498</v>
      </c>
      <c r="C967" t="s">
        <v>558</v>
      </c>
      <c r="D967" t="s">
        <v>36</v>
      </c>
      <c r="E967">
        <v>1967</v>
      </c>
      <c r="F967" t="s">
        <v>3262</v>
      </c>
      <c r="G967">
        <v>164618.23000000001</v>
      </c>
      <c r="H967" t="s">
        <v>556</v>
      </c>
      <c r="J967" t="s">
        <v>3263</v>
      </c>
      <c r="K967">
        <v>83.69</v>
      </c>
      <c r="L967" s="1">
        <v>45543</v>
      </c>
      <c r="M967">
        <f>G967*IF(D967="INR",1,INDEX('rates'!$B$2:$B$522,MATCH(B967,'rates'!$A$2:$A$522,1)))</f>
        <v>13778545.851000002</v>
      </c>
      <c r="N967">
        <f t="shared" si="15"/>
        <v>45</v>
      </c>
    </row>
    <row r="968" spans="1:14" x14ac:dyDescent="0.3">
      <c r="A968" t="s">
        <v>4274</v>
      </c>
      <c r="B968" s="1">
        <v>45513</v>
      </c>
      <c r="C968" t="s">
        <v>566</v>
      </c>
      <c r="D968" t="s">
        <v>13</v>
      </c>
      <c r="E968">
        <v>94171</v>
      </c>
      <c r="F968" t="s">
        <v>3270</v>
      </c>
      <c r="G968">
        <v>8934002.7699999996</v>
      </c>
      <c r="H968" t="s">
        <v>556</v>
      </c>
      <c r="J968" t="s">
        <v>3271</v>
      </c>
      <c r="K968">
        <v>94.87</v>
      </c>
      <c r="L968" s="1">
        <v>45543</v>
      </c>
      <c r="M968">
        <f>G968*IF(D968="INR",1,INDEX('rates'!$B$2:$B$522,MATCH(B968,'rates'!$A$2:$A$522,1)))</f>
        <v>8934002.7699999996</v>
      </c>
      <c r="N968">
        <f t="shared" si="15"/>
        <v>30</v>
      </c>
    </row>
    <row r="969" spans="1:14" x14ac:dyDescent="0.3">
      <c r="A969" t="s">
        <v>4241</v>
      </c>
      <c r="B969" s="1">
        <v>45499</v>
      </c>
      <c r="C969" t="s">
        <v>566</v>
      </c>
      <c r="D969" t="s">
        <v>36</v>
      </c>
      <c r="E969">
        <v>1446</v>
      </c>
      <c r="F969" t="s">
        <v>3262</v>
      </c>
      <c r="G969">
        <v>124096</v>
      </c>
      <c r="H969" t="s">
        <v>573</v>
      </c>
      <c r="I969">
        <v>91.36</v>
      </c>
      <c r="J969" t="s">
        <v>3263</v>
      </c>
      <c r="K969">
        <v>85.82</v>
      </c>
      <c r="L969" s="1">
        <v>45544</v>
      </c>
      <c r="M969">
        <f>G969*IF(D969="INR",1,INDEX('rates'!$B$2:$B$522,MATCH(B969,'rates'!$A$2:$A$522,1)))</f>
        <v>10386835.200000001</v>
      </c>
      <c r="N969">
        <f t="shared" si="15"/>
        <v>45</v>
      </c>
    </row>
    <row r="970" spans="1:14" x14ac:dyDescent="0.3">
      <c r="A970" t="s">
        <v>4243</v>
      </c>
      <c r="B970" s="1">
        <v>45499</v>
      </c>
      <c r="C970" t="s">
        <v>558</v>
      </c>
      <c r="D970" t="s">
        <v>36</v>
      </c>
      <c r="E970">
        <v>823</v>
      </c>
      <c r="F970" t="s">
        <v>3262</v>
      </c>
      <c r="G970">
        <v>67806.97</v>
      </c>
      <c r="H970" t="s">
        <v>556</v>
      </c>
      <c r="J970" t="s">
        <v>3263</v>
      </c>
      <c r="K970">
        <v>82.39</v>
      </c>
      <c r="L970" s="1">
        <v>45544</v>
      </c>
      <c r="M970">
        <f>G970*IF(D970="INR",1,INDEX('rates'!$B$2:$B$522,MATCH(B970,'rates'!$A$2:$A$522,1)))</f>
        <v>5675443.3890000004</v>
      </c>
      <c r="N970">
        <f t="shared" si="15"/>
        <v>45</v>
      </c>
    </row>
    <row r="971" spans="1:14" x14ac:dyDescent="0.3">
      <c r="A971" t="s">
        <v>4245</v>
      </c>
      <c r="B971" s="1">
        <v>45499</v>
      </c>
      <c r="C971" t="s">
        <v>566</v>
      </c>
      <c r="D971" t="s">
        <v>36</v>
      </c>
      <c r="E971">
        <v>1448</v>
      </c>
      <c r="F971" t="s">
        <v>3262</v>
      </c>
      <c r="G971">
        <v>123702.64</v>
      </c>
      <c r="H971" t="s">
        <v>573</v>
      </c>
      <c r="I971">
        <v>91.36</v>
      </c>
      <c r="J971" t="s">
        <v>3263</v>
      </c>
      <c r="K971">
        <v>85.43</v>
      </c>
      <c r="L971" s="1">
        <v>45544</v>
      </c>
      <c r="M971">
        <f>G971*IF(D971="INR",1,INDEX('rates'!$B$2:$B$522,MATCH(B971,'rates'!$A$2:$A$522,1)))</f>
        <v>10353910.968</v>
      </c>
      <c r="N971">
        <f t="shared" si="15"/>
        <v>45</v>
      </c>
    </row>
    <row r="972" spans="1:14" x14ac:dyDescent="0.3">
      <c r="A972" t="s">
        <v>4208</v>
      </c>
      <c r="B972" s="1">
        <v>45485</v>
      </c>
      <c r="C972" t="s">
        <v>566</v>
      </c>
      <c r="D972" t="s">
        <v>36</v>
      </c>
      <c r="E972">
        <v>1534</v>
      </c>
      <c r="F972" t="s">
        <v>3262</v>
      </c>
      <c r="G972">
        <v>136771.44</v>
      </c>
      <c r="H972" t="s">
        <v>573</v>
      </c>
      <c r="I972">
        <v>92.51</v>
      </c>
      <c r="J972" t="s">
        <v>3263</v>
      </c>
      <c r="K972">
        <v>89.16</v>
      </c>
      <c r="L972" s="1">
        <v>45545</v>
      </c>
      <c r="M972">
        <f>G972*IF(D972="INR",1,INDEX('rates'!$B$2:$B$522,MATCH(B972,'rates'!$A$2:$A$522,1)))</f>
        <v>11417679.8112</v>
      </c>
      <c r="N972">
        <f t="shared" si="15"/>
        <v>60</v>
      </c>
    </row>
    <row r="973" spans="1:14" x14ac:dyDescent="0.3">
      <c r="A973" t="s">
        <v>4210</v>
      </c>
      <c r="B973" s="1">
        <v>45485</v>
      </c>
      <c r="C973" t="s">
        <v>558</v>
      </c>
      <c r="D973" t="s">
        <v>36</v>
      </c>
      <c r="E973">
        <v>399</v>
      </c>
      <c r="F973" t="s">
        <v>3262</v>
      </c>
      <c r="G973">
        <v>35514.99</v>
      </c>
      <c r="H973" t="s">
        <v>556</v>
      </c>
      <c r="J973" t="s">
        <v>3263</v>
      </c>
      <c r="K973">
        <v>89.01</v>
      </c>
      <c r="L973" s="1">
        <v>45545</v>
      </c>
      <c r="M973">
        <f>G973*IF(D973="INR",1,INDEX('rates'!$B$2:$B$522,MATCH(B973,'rates'!$A$2:$A$522,1)))</f>
        <v>2964791.3651999999</v>
      </c>
      <c r="N973">
        <f t="shared" si="15"/>
        <v>60</v>
      </c>
    </row>
    <row r="974" spans="1:14" x14ac:dyDescent="0.3">
      <c r="A974" t="s">
        <v>4213</v>
      </c>
      <c r="B974" s="1">
        <v>45485</v>
      </c>
      <c r="C974" t="s">
        <v>558</v>
      </c>
      <c r="D974" t="s">
        <v>36</v>
      </c>
      <c r="E974">
        <v>368</v>
      </c>
      <c r="F974" t="s">
        <v>3262</v>
      </c>
      <c r="G974">
        <v>32273.599999999999</v>
      </c>
      <c r="H974" t="s">
        <v>556</v>
      </c>
      <c r="J974" t="s">
        <v>3263</v>
      </c>
      <c r="K974">
        <v>87.7</v>
      </c>
      <c r="L974" s="1">
        <v>45545</v>
      </c>
      <c r="M974">
        <f>G974*IF(D974="INR",1,INDEX('rates'!$B$2:$B$522,MATCH(B974,'rates'!$A$2:$A$522,1)))</f>
        <v>2694200.128</v>
      </c>
      <c r="N974">
        <f t="shared" si="15"/>
        <v>60</v>
      </c>
    </row>
    <row r="975" spans="1:14" x14ac:dyDescent="0.3">
      <c r="A975" t="s">
        <v>4275</v>
      </c>
      <c r="B975" s="1">
        <v>45516</v>
      </c>
      <c r="C975" t="s">
        <v>558</v>
      </c>
      <c r="D975" t="s">
        <v>36</v>
      </c>
      <c r="E975">
        <v>830</v>
      </c>
      <c r="F975" t="s">
        <v>3262</v>
      </c>
      <c r="G975">
        <v>70085.2</v>
      </c>
      <c r="H975" t="s">
        <v>573</v>
      </c>
      <c r="I975">
        <v>85.19</v>
      </c>
      <c r="J975" t="s">
        <v>3263</v>
      </c>
      <c r="K975">
        <v>84.44</v>
      </c>
      <c r="L975" s="1">
        <v>45546</v>
      </c>
      <c r="M975">
        <f>G975*IF(D975="INR",1,INDEX('rates'!$B$2:$B$522,MATCH(B975,'rates'!$A$2:$A$522,1)))</f>
        <v>5881549.9840000002</v>
      </c>
      <c r="N975">
        <f t="shared" si="15"/>
        <v>30</v>
      </c>
    </row>
    <row r="976" spans="1:14" x14ac:dyDescent="0.3">
      <c r="A976" t="s">
        <v>4246</v>
      </c>
      <c r="B976" s="1">
        <v>45502</v>
      </c>
      <c r="C976" t="s">
        <v>566</v>
      </c>
      <c r="D976" t="s">
        <v>36</v>
      </c>
      <c r="E976">
        <v>412</v>
      </c>
      <c r="F976" t="s">
        <v>3262</v>
      </c>
      <c r="G976">
        <v>33977.64</v>
      </c>
      <c r="H976" t="s">
        <v>573</v>
      </c>
      <c r="I976">
        <v>89.33</v>
      </c>
      <c r="J976" t="s">
        <v>3263</v>
      </c>
      <c r="K976">
        <v>82.47</v>
      </c>
      <c r="L976" s="1">
        <v>45547</v>
      </c>
      <c r="M976">
        <f>G976*IF(D976="INR",1,INDEX('rates'!$B$2:$B$522,MATCH(B976,'rates'!$A$2:$A$522,1)))</f>
        <v>2845627.35</v>
      </c>
      <c r="N976">
        <f t="shared" si="15"/>
        <v>45</v>
      </c>
    </row>
    <row r="977" spans="1:14" x14ac:dyDescent="0.3">
      <c r="A977" t="s">
        <v>4248</v>
      </c>
      <c r="B977" s="1">
        <v>45502</v>
      </c>
      <c r="C977" t="s">
        <v>558</v>
      </c>
      <c r="D977" t="s">
        <v>13</v>
      </c>
      <c r="E977">
        <v>30507</v>
      </c>
      <c r="F977" t="s">
        <v>3270</v>
      </c>
      <c r="G977">
        <v>2599501.4700000002</v>
      </c>
      <c r="H977" t="s">
        <v>556</v>
      </c>
      <c r="J977" t="s">
        <v>3271</v>
      </c>
      <c r="K977">
        <v>85.21</v>
      </c>
      <c r="L977" s="1">
        <v>45547</v>
      </c>
      <c r="M977">
        <f>G977*IF(D977="INR",1,INDEX('rates'!$B$2:$B$522,MATCH(B977,'rates'!$A$2:$A$522,1)))</f>
        <v>2599501.4700000002</v>
      </c>
      <c r="N977">
        <f t="shared" si="15"/>
        <v>45</v>
      </c>
    </row>
    <row r="978" spans="1:14" x14ac:dyDescent="0.3">
      <c r="A978" t="s">
        <v>4278</v>
      </c>
      <c r="B978" s="1">
        <v>45517</v>
      </c>
      <c r="C978" t="s">
        <v>566</v>
      </c>
      <c r="D978" t="s">
        <v>13</v>
      </c>
      <c r="E978">
        <v>69405</v>
      </c>
      <c r="F978" t="s">
        <v>3270</v>
      </c>
      <c r="G978">
        <v>6135402</v>
      </c>
      <c r="H978" t="s">
        <v>556</v>
      </c>
      <c r="J978" t="s">
        <v>3271</v>
      </c>
      <c r="K978">
        <v>88.4</v>
      </c>
      <c r="L978" s="1">
        <v>45547</v>
      </c>
      <c r="M978">
        <f>G978*IF(D978="INR",1,INDEX('rates'!$B$2:$B$522,MATCH(B978,'rates'!$A$2:$A$522,1)))</f>
        <v>6135402</v>
      </c>
      <c r="N978">
        <f t="shared" si="15"/>
        <v>30</v>
      </c>
    </row>
    <row r="979" spans="1:14" x14ac:dyDescent="0.3">
      <c r="A979" t="s">
        <v>4280</v>
      </c>
      <c r="B979" s="1">
        <v>45517</v>
      </c>
      <c r="C979" t="s">
        <v>558</v>
      </c>
      <c r="D979" t="s">
        <v>36</v>
      </c>
      <c r="E979">
        <v>466</v>
      </c>
      <c r="F979" t="s">
        <v>3262</v>
      </c>
      <c r="G979">
        <v>38431.019999999997</v>
      </c>
      <c r="H979" t="s">
        <v>556</v>
      </c>
      <c r="J979" t="s">
        <v>3263</v>
      </c>
      <c r="K979">
        <v>82.47</v>
      </c>
      <c r="L979" s="1">
        <v>45547</v>
      </c>
      <c r="M979">
        <f>G979*IF(D979="INR",1,INDEX('rates'!$B$2:$B$522,MATCH(B979,'rates'!$A$2:$A$522,1)))</f>
        <v>3227052.7493999996</v>
      </c>
      <c r="N979">
        <f t="shared" si="15"/>
        <v>30</v>
      </c>
    </row>
    <row r="980" spans="1:14" x14ac:dyDescent="0.3">
      <c r="A980" t="s">
        <v>4281</v>
      </c>
      <c r="B980" s="1">
        <v>45517</v>
      </c>
      <c r="C980" t="s">
        <v>560</v>
      </c>
      <c r="D980" t="s">
        <v>13</v>
      </c>
      <c r="E980">
        <v>54444</v>
      </c>
      <c r="F980" t="s">
        <v>3270</v>
      </c>
      <c r="G980">
        <v>4999048.08</v>
      </c>
      <c r="H980" t="s">
        <v>556</v>
      </c>
      <c r="J980" t="s">
        <v>3271</v>
      </c>
      <c r="K980">
        <v>91.82</v>
      </c>
      <c r="L980" s="1">
        <v>45547</v>
      </c>
      <c r="M980">
        <f>G980*IF(D980="INR",1,INDEX('rates'!$B$2:$B$522,MATCH(B980,'rates'!$A$2:$A$522,1)))</f>
        <v>4999048.08</v>
      </c>
      <c r="N980">
        <f t="shared" si="15"/>
        <v>30</v>
      </c>
    </row>
    <row r="981" spans="1:14" x14ac:dyDescent="0.3">
      <c r="A981" t="s">
        <v>4249</v>
      </c>
      <c r="B981" s="1">
        <v>45503</v>
      </c>
      <c r="C981" t="s">
        <v>560</v>
      </c>
      <c r="D981" t="s">
        <v>36</v>
      </c>
      <c r="E981">
        <v>763</v>
      </c>
      <c r="F981" t="s">
        <v>3262</v>
      </c>
      <c r="G981">
        <v>60200.7</v>
      </c>
      <c r="H981" t="s">
        <v>556</v>
      </c>
      <c r="J981" t="s">
        <v>3263</v>
      </c>
      <c r="K981">
        <v>78.900000000000006</v>
      </c>
      <c r="L981" s="1">
        <v>45548</v>
      </c>
      <c r="M981">
        <f>G981*IF(D981="INR",1,INDEX('rates'!$B$2:$B$522,MATCH(B981,'rates'!$A$2:$A$522,1)))</f>
        <v>5038798.59</v>
      </c>
      <c r="N981">
        <f t="shared" si="15"/>
        <v>45</v>
      </c>
    </row>
    <row r="982" spans="1:14" x14ac:dyDescent="0.3">
      <c r="A982" t="s">
        <v>4282</v>
      </c>
      <c r="B982" s="1">
        <v>45518</v>
      </c>
      <c r="C982" t="s">
        <v>554</v>
      </c>
      <c r="D982" t="s">
        <v>36</v>
      </c>
      <c r="E982">
        <v>1631</v>
      </c>
      <c r="F982" t="s">
        <v>3262</v>
      </c>
      <c r="G982">
        <v>140200.76</v>
      </c>
      <c r="H982" t="s">
        <v>573</v>
      </c>
      <c r="I982">
        <v>86.51</v>
      </c>
      <c r="J982" t="s">
        <v>3263</v>
      </c>
      <c r="K982">
        <v>85.96</v>
      </c>
      <c r="L982" s="1">
        <v>45548</v>
      </c>
      <c r="M982">
        <f>G982*IF(D982="INR",1,INDEX('rates'!$B$2:$B$522,MATCH(B982,'rates'!$A$2:$A$522,1)))</f>
        <v>11764245.771600001</v>
      </c>
      <c r="N982">
        <f t="shared" si="15"/>
        <v>30</v>
      </c>
    </row>
    <row r="983" spans="1:14" x14ac:dyDescent="0.3">
      <c r="A983" t="s">
        <v>4217</v>
      </c>
      <c r="B983" s="1">
        <v>45490</v>
      </c>
      <c r="C983" t="s">
        <v>558</v>
      </c>
      <c r="D983" t="s">
        <v>13</v>
      </c>
      <c r="E983">
        <v>43351</v>
      </c>
      <c r="F983" t="s">
        <v>3270</v>
      </c>
      <c r="G983">
        <v>3788010.38</v>
      </c>
      <c r="H983" t="s">
        <v>556</v>
      </c>
      <c r="J983" t="s">
        <v>3271</v>
      </c>
      <c r="K983">
        <v>87.38</v>
      </c>
      <c r="L983" s="1">
        <v>45550</v>
      </c>
      <c r="M983">
        <f>G983*IF(D983="INR",1,INDEX('rates'!$B$2:$B$522,MATCH(B983,'rates'!$A$2:$A$522,1)))</f>
        <v>3788010.38</v>
      </c>
      <c r="N983">
        <f t="shared" si="15"/>
        <v>60</v>
      </c>
    </row>
    <row r="984" spans="1:14" x14ac:dyDescent="0.3">
      <c r="A984" t="s">
        <v>4218</v>
      </c>
      <c r="B984" s="1">
        <v>45491</v>
      </c>
      <c r="C984" t="s">
        <v>558</v>
      </c>
      <c r="D984" t="s">
        <v>36</v>
      </c>
      <c r="E984">
        <v>486</v>
      </c>
      <c r="F984" t="s">
        <v>3262</v>
      </c>
      <c r="G984">
        <v>43467.839999999997</v>
      </c>
      <c r="H984" t="s">
        <v>556</v>
      </c>
      <c r="J984" t="s">
        <v>3263</v>
      </c>
      <c r="K984">
        <v>89.44</v>
      </c>
      <c r="L984" s="1">
        <v>45551</v>
      </c>
      <c r="M984">
        <f>G984*IF(D984="INR",1,INDEX('rates'!$B$2:$B$522,MATCH(B984,'rates'!$A$2:$A$522,1)))</f>
        <v>3633042.0671999995</v>
      </c>
      <c r="N984">
        <f t="shared" si="15"/>
        <v>60</v>
      </c>
    </row>
    <row r="985" spans="1:14" x14ac:dyDescent="0.3">
      <c r="A985" t="s">
        <v>4258</v>
      </c>
      <c r="B985" s="1">
        <v>45506</v>
      </c>
      <c r="C985" t="s">
        <v>554</v>
      </c>
      <c r="D985" t="s">
        <v>36</v>
      </c>
      <c r="E985">
        <v>238</v>
      </c>
      <c r="F985" t="s">
        <v>3262</v>
      </c>
      <c r="G985">
        <v>18763.919999999998</v>
      </c>
      <c r="H985" t="s">
        <v>556</v>
      </c>
      <c r="J985" t="s">
        <v>3263</v>
      </c>
      <c r="K985">
        <v>78.84</v>
      </c>
      <c r="L985" s="1">
        <v>45551</v>
      </c>
      <c r="M985">
        <f>G985*IF(D985="INR",1,INDEX('rates'!$B$2:$B$522,MATCH(B985,'rates'!$A$2:$A$522,1)))</f>
        <v>1572228.8568</v>
      </c>
      <c r="N985">
        <f t="shared" si="15"/>
        <v>45</v>
      </c>
    </row>
    <row r="986" spans="1:14" x14ac:dyDescent="0.3">
      <c r="A986" t="s">
        <v>4222</v>
      </c>
      <c r="B986" s="1">
        <v>45492</v>
      </c>
      <c r="C986" t="s">
        <v>560</v>
      </c>
      <c r="D986" t="s">
        <v>13</v>
      </c>
      <c r="E986">
        <v>107945</v>
      </c>
      <c r="F986" t="s">
        <v>3270</v>
      </c>
      <c r="G986">
        <v>10011898.75</v>
      </c>
      <c r="H986" t="s">
        <v>556</v>
      </c>
      <c r="J986" t="s">
        <v>3271</v>
      </c>
      <c r="K986">
        <v>92.75</v>
      </c>
      <c r="L986" s="1">
        <v>45552</v>
      </c>
      <c r="M986">
        <f>G986*IF(D986="INR",1,INDEX('rates'!$B$2:$B$522,MATCH(B986,'rates'!$A$2:$A$522,1)))</f>
        <v>10011898.75</v>
      </c>
      <c r="N986">
        <f t="shared" si="15"/>
        <v>60</v>
      </c>
    </row>
    <row r="987" spans="1:14" x14ac:dyDescent="0.3">
      <c r="A987" t="s">
        <v>4223</v>
      </c>
      <c r="B987" s="1">
        <v>45492</v>
      </c>
      <c r="C987" t="s">
        <v>554</v>
      </c>
      <c r="D987" t="s">
        <v>13</v>
      </c>
      <c r="E987">
        <v>82200</v>
      </c>
      <c r="F987" t="s">
        <v>3270</v>
      </c>
      <c r="G987">
        <v>7991484</v>
      </c>
      <c r="H987" t="s">
        <v>556</v>
      </c>
      <c r="J987" t="s">
        <v>3271</v>
      </c>
      <c r="K987">
        <v>97.22</v>
      </c>
      <c r="L987" s="1">
        <v>45552</v>
      </c>
      <c r="M987">
        <f>G987*IF(D987="INR",1,INDEX('rates'!$B$2:$B$522,MATCH(B987,'rates'!$A$2:$A$522,1)))</f>
        <v>7991484</v>
      </c>
      <c r="N987">
        <f t="shared" si="15"/>
        <v>60</v>
      </c>
    </row>
    <row r="988" spans="1:14" x14ac:dyDescent="0.3">
      <c r="A988" t="s">
        <v>4225</v>
      </c>
      <c r="B988" s="1">
        <v>45492</v>
      </c>
      <c r="C988" t="s">
        <v>575</v>
      </c>
      <c r="D988" t="s">
        <v>13</v>
      </c>
      <c r="E988">
        <v>64819</v>
      </c>
      <c r="F988" t="s">
        <v>3270</v>
      </c>
      <c r="G988">
        <v>4932725.9000000004</v>
      </c>
      <c r="H988" t="s">
        <v>556</v>
      </c>
      <c r="J988" t="s">
        <v>3271</v>
      </c>
      <c r="K988">
        <v>76.099999999999994</v>
      </c>
      <c r="L988" s="1">
        <v>45552</v>
      </c>
      <c r="M988">
        <f>G988*IF(D988="INR",1,INDEX('rates'!$B$2:$B$522,MATCH(B988,'rates'!$A$2:$A$522,1)))</f>
        <v>4932725.9000000004</v>
      </c>
      <c r="N988">
        <f t="shared" si="15"/>
        <v>60</v>
      </c>
    </row>
    <row r="989" spans="1:14" x14ac:dyDescent="0.3">
      <c r="A989" t="s">
        <v>4228</v>
      </c>
      <c r="B989" s="1">
        <v>45492</v>
      </c>
      <c r="C989" t="s">
        <v>558</v>
      </c>
      <c r="D989" t="s">
        <v>36</v>
      </c>
      <c r="E989">
        <v>686</v>
      </c>
      <c r="F989" t="s">
        <v>3262</v>
      </c>
      <c r="G989">
        <v>59201.8</v>
      </c>
      <c r="H989" t="s">
        <v>556</v>
      </c>
      <c r="J989" t="s">
        <v>3263</v>
      </c>
      <c r="K989">
        <v>86.3</v>
      </c>
      <c r="L989" s="1">
        <v>45552</v>
      </c>
      <c r="M989">
        <f>G989*IF(D989="INR",1,INDEX('rates'!$B$2:$B$522,MATCH(B989,'rates'!$A$2:$A$522,1)))</f>
        <v>4955190.66</v>
      </c>
      <c r="N989">
        <f t="shared" si="15"/>
        <v>60</v>
      </c>
    </row>
    <row r="990" spans="1:14" x14ac:dyDescent="0.3">
      <c r="A990" t="s">
        <v>4292</v>
      </c>
      <c r="B990" s="1">
        <v>45523</v>
      </c>
      <c r="C990" t="s">
        <v>554</v>
      </c>
      <c r="D990" t="s">
        <v>13</v>
      </c>
      <c r="E990">
        <v>80043</v>
      </c>
      <c r="F990" t="s">
        <v>3270</v>
      </c>
      <c r="G990">
        <v>8116360.2000000002</v>
      </c>
      <c r="H990" t="s">
        <v>556</v>
      </c>
      <c r="J990" t="s">
        <v>3271</v>
      </c>
      <c r="K990">
        <v>101.4</v>
      </c>
      <c r="L990" s="1">
        <v>45553</v>
      </c>
      <c r="M990">
        <f>G990*IF(D990="INR",1,INDEX('rates'!$B$2:$B$522,MATCH(B990,'rates'!$A$2:$A$522,1)))</f>
        <v>8116360.2000000002</v>
      </c>
      <c r="N990">
        <f t="shared" si="15"/>
        <v>30</v>
      </c>
    </row>
    <row r="991" spans="1:14" x14ac:dyDescent="0.3">
      <c r="A991" t="s">
        <v>4262</v>
      </c>
      <c r="B991" s="1">
        <v>45509</v>
      </c>
      <c r="C991" t="s">
        <v>560</v>
      </c>
      <c r="D991" t="s">
        <v>36</v>
      </c>
      <c r="E991">
        <v>319</v>
      </c>
      <c r="F991" t="s">
        <v>3262</v>
      </c>
      <c r="G991">
        <v>25191.43</v>
      </c>
      <c r="H991" t="s">
        <v>556</v>
      </c>
      <c r="J991" t="s">
        <v>3263</v>
      </c>
      <c r="K991">
        <v>78.97</v>
      </c>
      <c r="L991" s="1">
        <v>45554</v>
      </c>
      <c r="M991">
        <f>G991*IF(D991="INR",1,INDEX('rates'!$B$2:$B$522,MATCH(B991,'rates'!$A$2:$A$522,1)))</f>
        <v>2111797.5768999998</v>
      </c>
      <c r="N991">
        <f t="shared" si="15"/>
        <v>45</v>
      </c>
    </row>
    <row r="992" spans="1:14" x14ac:dyDescent="0.3">
      <c r="A992" t="s">
        <v>4263</v>
      </c>
      <c r="B992" s="1">
        <v>45510</v>
      </c>
      <c r="C992" t="s">
        <v>566</v>
      </c>
      <c r="D992" t="s">
        <v>36</v>
      </c>
      <c r="E992">
        <v>861</v>
      </c>
      <c r="F992" t="s">
        <v>3262</v>
      </c>
      <c r="G992">
        <v>70016.52</v>
      </c>
      <c r="H992" t="s">
        <v>573</v>
      </c>
      <c r="I992">
        <v>86.21</v>
      </c>
      <c r="J992" t="s">
        <v>3263</v>
      </c>
      <c r="K992">
        <v>81.319999999999993</v>
      </c>
      <c r="L992" s="1">
        <v>45555</v>
      </c>
      <c r="M992">
        <f>G992*IF(D992="INR",1,INDEX('rates'!$B$2:$B$522,MATCH(B992,'rates'!$A$2:$A$522,1)))</f>
        <v>5875086.1932000006</v>
      </c>
      <c r="N992">
        <f t="shared" si="15"/>
        <v>45</v>
      </c>
    </row>
    <row r="993" spans="1:14" x14ac:dyDescent="0.3">
      <c r="A993" t="s">
        <v>4265</v>
      </c>
      <c r="B993" s="1">
        <v>45510</v>
      </c>
      <c r="C993" t="s">
        <v>558</v>
      </c>
      <c r="D993" t="s">
        <v>36</v>
      </c>
      <c r="E993">
        <v>305</v>
      </c>
      <c r="F993" t="s">
        <v>3262</v>
      </c>
      <c r="G993">
        <v>24351.200000000001</v>
      </c>
      <c r="H993" t="s">
        <v>573</v>
      </c>
      <c r="I993">
        <v>86.21</v>
      </c>
      <c r="J993" t="s">
        <v>3263</v>
      </c>
      <c r="K993">
        <v>79.84</v>
      </c>
      <c r="L993" s="1">
        <v>45555</v>
      </c>
      <c r="M993">
        <f>G993*IF(D993="INR",1,INDEX('rates'!$B$2:$B$522,MATCH(B993,'rates'!$A$2:$A$522,1)))</f>
        <v>2043309.192</v>
      </c>
      <c r="N993">
        <f t="shared" si="15"/>
        <v>45</v>
      </c>
    </row>
    <row r="994" spans="1:14" x14ac:dyDescent="0.3">
      <c r="A994" t="s">
        <v>4295</v>
      </c>
      <c r="B994" s="1">
        <v>45525</v>
      </c>
      <c r="C994" t="s">
        <v>558</v>
      </c>
      <c r="D994" t="s">
        <v>36</v>
      </c>
      <c r="E994">
        <v>291</v>
      </c>
      <c r="F994" t="s">
        <v>3262</v>
      </c>
      <c r="G994">
        <v>21999.599999999999</v>
      </c>
      <c r="H994" t="s">
        <v>556</v>
      </c>
      <c r="J994" t="s">
        <v>3263</v>
      </c>
      <c r="K994">
        <v>75.599999999999994</v>
      </c>
      <c r="L994" s="1">
        <v>45555</v>
      </c>
      <c r="M994">
        <f>G994*IF(D994="INR",1,INDEX('rates'!$B$2:$B$522,MATCH(B994,'rates'!$A$2:$A$522,1)))</f>
        <v>1846426.4280000001</v>
      </c>
      <c r="N994">
        <f t="shared" si="15"/>
        <v>30</v>
      </c>
    </row>
    <row r="995" spans="1:14" x14ac:dyDescent="0.3">
      <c r="A995" t="s">
        <v>4267</v>
      </c>
      <c r="B995" s="1">
        <v>45511</v>
      </c>
      <c r="C995" t="s">
        <v>558</v>
      </c>
      <c r="D995" t="s">
        <v>36</v>
      </c>
      <c r="E995">
        <v>1506</v>
      </c>
      <c r="F995" t="s">
        <v>3262</v>
      </c>
      <c r="G995">
        <v>121895.64</v>
      </c>
      <c r="H995" t="s">
        <v>556</v>
      </c>
      <c r="J995" t="s">
        <v>3263</v>
      </c>
      <c r="K995">
        <v>80.94</v>
      </c>
      <c r="L995" s="1">
        <v>45556</v>
      </c>
      <c r="M995">
        <f>G995*IF(D995="INR",1,INDEX('rates'!$B$2:$B$522,MATCH(B995,'rates'!$A$2:$A$522,1)))</f>
        <v>10234357.9344</v>
      </c>
      <c r="N995">
        <f t="shared" si="15"/>
        <v>45</v>
      </c>
    </row>
    <row r="996" spans="1:14" x14ac:dyDescent="0.3">
      <c r="A996" t="s">
        <v>4268</v>
      </c>
      <c r="B996" s="1">
        <v>45511</v>
      </c>
      <c r="C996" t="s">
        <v>575</v>
      </c>
      <c r="D996" t="s">
        <v>36</v>
      </c>
      <c r="E996">
        <v>2773</v>
      </c>
      <c r="F996" t="s">
        <v>3262</v>
      </c>
      <c r="G996">
        <v>221229.94</v>
      </c>
      <c r="H996" t="s">
        <v>573</v>
      </c>
      <c r="I996">
        <v>86.52</v>
      </c>
      <c r="J996" t="s">
        <v>3263</v>
      </c>
      <c r="K996">
        <v>79.78</v>
      </c>
      <c r="L996" s="1">
        <v>45556</v>
      </c>
      <c r="M996">
        <f>G996*IF(D996="INR",1,INDEX('rates'!$B$2:$B$522,MATCH(B996,'rates'!$A$2:$A$522,1)))</f>
        <v>18574465.762399998</v>
      </c>
      <c r="N996">
        <f t="shared" si="15"/>
        <v>45</v>
      </c>
    </row>
    <row r="997" spans="1:14" x14ac:dyDescent="0.3">
      <c r="A997" t="s">
        <v>4232</v>
      </c>
      <c r="B997" s="1">
        <v>45497</v>
      </c>
      <c r="C997" t="s">
        <v>558</v>
      </c>
      <c r="D997" t="s">
        <v>36</v>
      </c>
      <c r="E997">
        <v>1386</v>
      </c>
      <c r="F997" t="s">
        <v>3262</v>
      </c>
      <c r="G997">
        <v>111559.14</v>
      </c>
      <c r="H997" t="s">
        <v>556</v>
      </c>
      <c r="J997" t="s">
        <v>3263</v>
      </c>
      <c r="K997">
        <v>80.489999999999995</v>
      </c>
      <c r="L997" s="1">
        <v>45557</v>
      </c>
      <c r="M997">
        <f>G997*IF(D997="INR",1,INDEX('rates'!$B$2:$B$522,MATCH(B997,'rates'!$A$2:$A$522,1)))</f>
        <v>9339731.2007999998</v>
      </c>
      <c r="N997">
        <f t="shared" si="15"/>
        <v>60</v>
      </c>
    </row>
    <row r="998" spans="1:14" x14ac:dyDescent="0.3">
      <c r="A998" t="s">
        <v>4233</v>
      </c>
      <c r="B998" s="1">
        <v>45497</v>
      </c>
      <c r="C998" t="s">
        <v>566</v>
      </c>
      <c r="D998" t="s">
        <v>36</v>
      </c>
      <c r="E998">
        <v>990</v>
      </c>
      <c r="F998" t="s">
        <v>3262</v>
      </c>
      <c r="G998">
        <v>84140.1</v>
      </c>
      <c r="H998" t="s">
        <v>573</v>
      </c>
      <c r="I998">
        <v>90.86</v>
      </c>
      <c r="J998" t="s">
        <v>3263</v>
      </c>
      <c r="K998">
        <v>84.99</v>
      </c>
      <c r="L998" s="1">
        <v>45557</v>
      </c>
      <c r="M998">
        <f>G998*IF(D998="INR",1,INDEX('rates'!$B$2:$B$522,MATCH(B998,'rates'!$A$2:$A$522,1)))</f>
        <v>7044209.1720000003</v>
      </c>
      <c r="N998">
        <f t="shared" si="15"/>
        <v>60</v>
      </c>
    </row>
    <row r="999" spans="1:14" x14ac:dyDescent="0.3">
      <c r="A999" t="s">
        <v>4269</v>
      </c>
      <c r="B999" s="1">
        <v>45512</v>
      </c>
      <c r="C999" t="s">
        <v>558</v>
      </c>
      <c r="D999" t="s">
        <v>36</v>
      </c>
      <c r="E999">
        <v>1460</v>
      </c>
      <c r="F999" t="s">
        <v>3262</v>
      </c>
      <c r="G999">
        <v>120464.6</v>
      </c>
      <c r="H999" t="s">
        <v>556</v>
      </c>
      <c r="J999" t="s">
        <v>3263</v>
      </c>
      <c r="K999">
        <v>82.51</v>
      </c>
      <c r="L999" s="1">
        <v>45557</v>
      </c>
      <c r="M999">
        <f>G999*IF(D999="INR",1,INDEX('rates'!$B$2:$B$522,MATCH(B999,'rates'!$A$2:$A$522,1)))</f>
        <v>10113003.17</v>
      </c>
      <c r="N999">
        <f t="shared" si="15"/>
        <v>45</v>
      </c>
    </row>
    <row r="1000" spans="1:14" x14ac:dyDescent="0.3">
      <c r="A1000" t="s">
        <v>4298</v>
      </c>
      <c r="B1000" s="1">
        <v>45527</v>
      </c>
      <c r="C1000" t="s">
        <v>558</v>
      </c>
      <c r="D1000" t="s">
        <v>36</v>
      </c>
      <c r="E1000">
        <v>385</v>
      </c>
      <c r="F1000" t="s">
        <v>3262</v>
      </c>
      <c r="G1000">
        <v>30950.15</v>
      </c>
      <c r="H1000" t="s">
        <v>556</v>
      </c>
      <c r="J1000" t="s">
        <v>3263</v>
      </c>
      <c r="K1000">
        <v>80.39</v>
      </c>
      <c r="L1000" s="1">
        <v>45557</v>
      </c>
      <c r="M1000">
        <f>G1000*IF(D1000="INR",1,INDEX('rates'!$B$2:$B$522,MATCH(B1000,'rates'!$A$2:$A$522,1)))</f>
        <v>2597027.0865000002</v>
      </c>
      <c r="N1000">
        <f t="shared" si="15"/>
        <v>30</v>
      </c>
    </row>
    <row r="1001" spans="1:14" x14ac:dyDescent="0.3">
      <c r="A1001" t="s">
        <v>4299</v>
      </c>
      <c r="B1001" s="1">
        <v>45527</v>
      </c>
      <c r="C1001" t="s">
        <v>560</v>
      </c>
      <c r="D1001" t="s">
        <v>36</v>
      </c>
      <c r="E1001">
        <v>730</v>
      </c>
      <c r="F1001" t="s">
        <v>3262</v>
      </c>
      <c r="G1001">
        <v>56764.800000000003</v>
      </c>
      <c r="H1001" t="s">
        <v>556</v>
      </c>
      <c r="J1001" t="s">
        <v>3263</v>
      </c>
      <c r="K1001">
        <v>77.760000000000005</v>
      </c>
      <c r="L1001" s="1">
        <v>45557</v>
      </c>
      <c r="M1001">
        <f>G1001*IF(D1001="INR",1,INDEX('rates'!$B$2:$B$522,MATCH(B1001,'rates'!$A$2:$A$522,1)))</f>
        <v>4763134.3679999998</v>
      </c>
      <c r="N1001">
        <f t="shared" si="15"/>
        <v>30</v>
      </c>
    </row>
    <row r="1002" spans="1:14" x14ac:dyDescent="0.3">
      <c r="A1002" t="s">
        <v>4300</v>
      </c>
      <c r="B1002" s="1">
        <v>45527</v>
      </c>
      <c r="C1002" t="s">
        <v>554</v>
      </c>
      <c r="D1002" t="s">
        <v>36</v>
      </c>
      <c r="E1002">
        <v>872</v>
      </c>
      <c r="F1002" t="s">
        <v>3262</v>
      </c>
      <c r="G1002">
        <v>69986.720000000001</v>
      </c>
      <c r="H1002" t="s">
        <v>573</v>
      </c>
      <c r="I1002">
        <v>83.97</v>
      </c>
      <c r="J1002" t="s">
        <v>3263</v>
      </c>
      <c r="K1002">
        <v>80.260000000000005</v>
      </c>
      <c r="L1002" s="1">
        <v>45557</v>
      </c>
      <c r="M1002">
        <f>G1002*IF(D1002="INR",1,INDEX('rates'!$B$2:$B$522,MATCH(B1002,'rates'!$A$2:$A$522,1)))</f>
        <v>5872585.6751999995</v>
      </c>
      <c r="N1002">
        <f t="shared" si="15"/>
        <v>30</v>
      </c>
    </row>
    <row r="1003" spans="1:14" x14ac:dyDescent="0.3">
      <c r="A1003" t="s">
        <v>4301</v>
      </c>
      <c r="B1003" s="1">
        <v>45527</v>
      </c>
      <c r="C1003" t="s">
        <v>560</v>
      </c>
      <c r="D1003" t="s">
        <v>36</v>
      </c>
      <c r="E1003">
        <v>494</v>
      </c>
      <c r="F1003" t="s">
        <v>3262</v>
      </c>
      <c r="G1003">
        <v>38793.82</v>
      </c>
      <c r="H1003" t="s">
        <v>556</v>
      </c>
      <c r="J1003" t="s">
        <v>3263</v>
      </c>
      <c r="K1003">
        <v>78.53</v>
      </c>
      <c r="L1003" s="1">
        <v>45557</v>
      </c>
      <c r="M1003">
        <f>G1003*IF(D1003="INR",1,INDEX('rates'!$B$2:$B$522,MATCH(B1003,'rates'!$A$2:$A$522,1)))</f>
        <v>3255189.4361999999</v>
      </c>
      <c r="N1003">
        <f t="shared" si="15"/>
        <v>30</v>
      </c>
    </row>
    <row r="1004" spans="1:14" x14ac:dyDescent="0.3">
      <c r="A1004" t="s">
        <v>4303</v>
      </c>
      <c r="B1004" s="1">
        <v>45527</v>
      </c>
      <c r="C1004" t="s">
        <v>558</v>
      </c>
      <c r="D1004" t="s">
        <v>36</v>
      </c>
      <c r="E1004">
        <v>1493</v>
      </c>
      <c r="F1004" t="s">
        <v>3262</v>
      </c>
      <c r="G1004">
        <v>121410.76</v>
      </c>
      <c r="H1004" t="s">
        <v>556</v>
      </c>
      <c r="J1004" t="s">
        <v>3263</v>
      </c>
      <c r="K1004">
        <v>81.319999999999993</v>
      </c>
      <c r="L1004" s="1">
        <v>45557</v>
      </c>
      <c r="M1004">
        <f>G1004*IF(D1004="INR",1,INDEX('rates'!$B$2:$B$522,MATCH(B1004,'rates'!$A$2:$A$522,1)))</f>
        <v>10187576.871599998</v>
      </c>
      <c r="N1004">
        <f t="shared" si="15"/>
        <v>30</v>
      </c>
    </row>
    <row r="1005" spans="1:14" x14ac:dyDescent="0.3">
      <c r="A1005" t="s">
        <v>4305</v>
      </c>
      <c r="B1005" s="1">
        <v>45527</v>
      </c>
      <c r="C1005" t="s">
        <v>566</v>
      </c>
      <c r="D1005" t="s">
        <v>36</v>
      </c>
      <c r="E1005">
        <v>558</v>
      </c>
      <c r="F1005" t="s">
        <v>3262</v>
      </c>
      <c r="G1005">
        <v>44628.84</v>
      </c>
      <c r="H1005" t="s">
        <v>573</v>
      </c>
      <c r="I1005">
        <v>83.97</v>
      </c>
      <c r="J1005" t="s">
        <v>3263</v>
      </c>
      <c r="K1005">
        <v>79.98</v>
      </c>
      <c r="L1005" s="1">
        <v>45557</v>
      </c>
      <c r="M1005">
        <f>G1005*IF(D1005="INR",1,INDEX('rates'!$B$2:$B$522,MATCH(B1005,'rates'!$A$2:$A$522,1)))</f>
        <v>3744805.9643999995</v>
      </c>
      <c r="N1005">
        <f t="shared" si="15"/>
        <v>30</v>
      </c>
    </row>
    <row r="1006" spans="1:14" x14ac:dyDescent="0.3">
      <c r="A1006" t="s">
        <v>4236</v>
      </c>
      <c r="B1006" s="1">
        <v>45498</v>
      </c>
      <c r="C1006" t="s">
        <v>558</v>
      </c>
      <c r="D1006" t="s">
        <v>36</v>
      </c>
      <c r="E1006">
        <v>929</v>
      </c>
      <c r="F1006" t="s">
        <v>3262</v>
      </c>
      <c r="G1006">
        <v>78621.27</v>
      </c>
      <c r="H1006" t="s">
        <v>556</v>
      </c>
      <c r="J1006" t="s">
        <v>3263</v>
      </c>
      <c r="K1006">
        <v>84.63</v>
      </c>
      <c r="L1006" s="1">
        <v>45558</v>
      </c>
      <c r="M1006">
        <f>G1006*IF(D1006="INR",1,INDEX('rates'!$B$2:$B$522,MATCH(B1006,'rates'!$A$2:$A$522,1)))</f>
        <v>6580600.2990000006</v>
      </c>
      <c r="N1006">
        <f t="shared" si="15"/>
        <v>60</v>
      </c>
    </row>
    <row r="1007" spans="1:14" x14ac:dyDescent="0.3">
      <c r="A1007" t="s">
        <v>4237</v>
      </c>
      <c r="B1007" s="1">
        <v>45499</v>
      </c>
      <c r="C1007" t="s">
        <v>566</v>
      </c>
      <c r="D1007" t="s">
        <v>36</v>
      </c>
      <c r="E1007">
        <v>827</v>
      </c>
      <c r="F1007" t="s">
        <v>3262</v>
      </c>
      <c r="G1007">
        <v>69749.179999999993</v>
      </c>
      <c r="H1007" t="s">
        <v>556</v>
      </c>
      <c r="J1007" t="s">
        <v>3263</v>
      </c>
      <c r="K1007">
        <v>84.34</v>
      </c>
      <c r="L1007" s="1">
        <v>45559</v>
      </c>
      <c r="M1007">
        <f>G1007*IF(D1007="INR",1,INDEX('rates'!$B$2:$B$522,MATCH(B1007,'rates'!$A$2:$A$522,1)))</f>
        <v>5838006.3659999995</v>
      </c>
      <c r="N1007">
        <f t="shared" si="15"/>
        <v>60</v>
      </c>
    </row>
    <row r="1008" spans="1:14" x14ac:dyDescent="0.3">
      <c r="A1008" t="s">
        <v>4242</v>
      </c>
      <c r="B1008" s="1">
        <v>45499</v>
      </c>
      <c r="C1008" t="s">
        <v>566</v>
      </c>
      <c r="D1008" t="s">
        <v>36</v>
      </c>
      <c r="E1008">
        <v>697</v>
      </c>
      <c r="F1008" t="s">
        <v>3262</v>
      </c>
      <c r="G1008">
        <v>58875.59</v>
      </c>
      <c r="H1008" t="s">
        <v>556</v>
      </c>
      <c r="J1008" t="s">
        <v>3263</v>
      </c>
      <c r="K1008">
        <v>84.47</v>
      </c>
      <c r="L1008" s="1">
        <v>45559</v>
      </c>
      <c r="M1008">
        <f>G1008*IF(D1008="INR",1,INDEX('rates'!$B$2:$B$522,MATCH(B1008,'rates'!$A$2:$A$522,1)))</f>
        <v>4927886.8829999994</v>
      </c>
      <c r="N1008">
        <f t="shared" si="15"/>
        <v>60</v>
      </c>
    </row>
    <row r="1009" spans="1:14" x14ac:dyDescent="0.3">
      <c r="A1009" t="s">
        <v>4244</v>
      </c>
      <c r="B1009" s="1">
        <v>45499</v>
      </c>
      <c r="C1009" t="s">
        <v>558</v>
      </c>
      <c r="D1009" t="s">
        <v>36</v>
      </c>
      <c r="E1009">
        <v>506</v>
      </c>
      <c r="F1009" t="s">
        <v>3262</v>
      </c>
      <c r="G1009">
        <v>42402.8</v>
      </c>
      <c r="H1009" t="s">
        <v>556</v>
      </c>
      <c r="J1009" t="s">
        <v>3263</v>
      </c>
      <c r="K1009">
        <v>83.8</v>
      </c>
      <c r="L1009" s="1">
        <v>45559</v>
      </c>
      <c r="M1009">
        <f>G1009*IF(D1009="INR",1,INDEX('rates'!$B$2:$B$522,MATCH(B1009,'rates'!$A$2:$A$522,1)))</f>
        <v>3549114.3600000003</v>
      </c>
      <c r="N1009">
        <f t="shared" si="15"/>
        <v>60</v>
      </c>
    </row>
    <row r="1010" spans="1:14" x14ac:dyDescent="0.3">
      <c r="A1010" t="s">
        <v>4308</v>
      </c>
      <c r="B1010" s="1">
        <v>45530</v>
      </c>
      <c r="C1010" t="s">
        <v>558</v>
      </c>
      <c r="D1010" t="s">
        <v>36</v>
      </c>
      <c r="E1010">
        <v>468</v>
      </c>
      <c r="F1010" t="s">
        <v>3262</v>
      </c>
      <c r="G1010">
        <v>39152.879999999997</v>
      </c>
      <c r="H1010" t="s">
        <v>573</v>
      </c>
      <c r="I1010">
        <v>86.56</v>
      </c>
      <c r="J1010" t="s">
        <v>3263</v>
      </c>
      <c r="K1010">
        <v>83.66</v>
      </c>
      <c r="L1010" s="1">
        <v>45560</v>
      </c>
      <c r="M1010">
        <f>G1010*IF(D1010="INR",1,INDEX('rates'!$B$2:$B$522,MATCH(B1010,'rates'!$A$2:$A$522,1)))</f>
        <v>3283752.0455999998</v>
      </c>
      <c r="N1010">
        <f t="shared" si="15"/>
        <v>30</v>
      </c>
    </row>
    <row r="1011" spans="1:14" x14ac:dyDescent="0.3">
      <c r="A1011" t="s">
        <v>4309</v>
      </c>
      <c r="B1011" s="1">
        <v>45530</v>
      </c>
      <c r="C1011" t="s">
        <v>566</v>
      </c>
      <c r="D1011" t="s">
        <v>36</v>
      </c>
      <c r="E1011">
        <v>899</v>
      </c>
      <c r="F1011" t="s">
        <v>3262</v>
      </c>
      <c r="G1011">
        <v>74347.3</v>
      </c>
      <c r="H1011" t="s">
        <v>573</v>
      </c>
      <c r="I1011">
        <v>86.56</v>
      </c>
      <c r="J1011" t="s">
        <v>3263</v>
      </c>
      <c r="K1011">
        <v>82.7</v>
      </c>
      <c r="L1011" s="1">
        <v>45560</v>
      </c>
      <c r="M1011">
        <f>G1011*IF(D1011="INR",1,INDEX('rates'!$B$2:$B$522,MATCH(B1011,'rates'!$A$2:$A$522,1)))</f>
        <v>6235508.0510000009</v>
      </c>
      <c r="N1011">
        <f t="shared" si="15"/>
        <v>30</v>
      </c>
    </row>
    <row r="1012" spans="1:14" x14ac:dyDescent="0.3">
      <c r="A1012" t="s">
        <v>4310</v>
      </c>
      <c r="B1012" s="1">
        <v>45530</v>
      </c>
      <c r="C1012" t="s">
        <v>560</v>
      </c>
      <c r="D1012" t="s">
        <v>36</v>
      </c>
      <c r="E1012">
        <v>322</v>
      </c>
      <c r="F1012" t="s">
        <v>3262</v>
      </c>
      <c r="G1012">
        <v>26767.86</v>
      </c>
      <c r="H1012" t="s">
        <v>556</v>
      </c>
      <c r="J1012" t="s">
        <v>3263</v>
      </c>
      <c r="K1012">
        <v>83.13</v>
      </c>
      <c r="L1012" s="1">
        <v>45560</v>
      </c>
      <c r="M1012">
        <f>G1012*IF(D1012="INR",1,INDEX('rates'!$B$2:$B$522,MATCH(B1012,'rates'!$A$2:$A$522,1)))</f>
        <v>2245020.4182000002</v>
      </c>
      <c r="N1012">
        <f t="shared" si="15"/>
        <v>30</v>
      </c>
    </row>
    <row r="1013" spans="1:14" x14ac:dyDescent="0.3">
      <c r="A1013" t="s">
        <v>4276</v>
      </c>
      <c r="B1013" s="1">
        <v>45516</v>
      </c>
      <c r="C1013" t="s">
        <v>554</v>
      </c>
      <c r="D1013" t="s">
        <v>36</v>
      </c>
      <c r="E1013">
        <v>449</v>
      </c>
      <c r="F1013" t="s">
        <v>3262</v>
      </c>
      <c r="G1013">
        <v>39781.4</v>
      </c>
      <c r="H1013" t="s">
        <v>573</v>
      </c>
      <c r="I1013">
        <v>85.19</v>
      </c>
      <c r="J1013" t="s">
        <v>3263</v>
      </c>
      <c r="K1013">
        <v>88.6</v>
      </c>
      <c r="L1013" s="1">
        <v>45561</v>
      </c>
      <c r="M1013">
        <f>G1013*IF(D1013="INR",1,INDEX('rates'!$B$2:$B$522,MATCH(B1013,'rates'!$A$2:$A$522,1)))</f>
        <v>3338455.088</v>
      </c>
      <c r="N1013">
        <f t="shared" si="15"/>
        <v>45</v>
      </c>
    </row>
    <row r="1014" spans="1:14" x14ac:dyDescent="0.3">
      <c r="A1014" t="s">
        <v>4316</v>
      </c>
      <c r="B1014" s="1">
        <v>45532</v>
      </c>
      <c r="C1014" t="s">
        <v>558</v>
      </c>
      <c r="D1014" t="s">
        <v>36</v>
      </c>
      <c r="E1014">
        <v>488</v>
      </c>
      <c r="F1014" t="s">
        <v>3262</v>
      </c>
      <c r="G1014">
        <v>39674.400000000001</v>
      </c>
      <c r="H1014" t="s">
        <v>556</v>
      </c>
      <c r="J1014" t="s">
        <v>3263</v>
      </c>
      <c r="K1014">
        <v>81.3</v>
      </c>
      <c r="L1014" s="1">
        <v>45562</v>
      </c>
      <c r="M1014">
        <f>G1014*IF(D1014="INR",1,INDEX('rates'!$B$2:$B$522,MATCH(B1014,'rates'!$A$2:$A$522,1)))</f>
        <v>3328682.16</v>
      </c>
      <c r="N1014">
        <f t="shared" si="15"/>
        <v>30</v>
      </c>
    </row>
    <row r="1015" spans="1:14" x14ac:dyDescent="0.3">
      <c r="A1015" t="s">
        <v>4251</v>
      </c>
      <c r="B1015" s="1">
        <v>45503</v>
      </c>
      <c r="C1015" t="s">
        <v>575</v>
      </c>
      <c r="D1015" t="s">
        <v>36</v>
      </c>
      <c r="E1015">
        <v>610</v>
      </c>
      <c r="F1015" t="s">
        <v>3262</v>
      </c>
      <c r="G1015">
        <v>49471</v>
      </c>
      <c r="H1015" t="s">
        <v>556</v>
      </c>
      <c r="J1015" t="s">
        <v>3263</v>
      </c>
      <c r="K1015">
        <v>81.099999999999994</v>
      </c>
      <c r="L1015" s="1">
        <v>45563</v>
      </c>
      <c r="M1015">
        <f>G1015*IF(D1015="INR",1,INDEX('rates'!$B$2:$B$522,MATCH(B1015,'rates'!$A$2:$A$522,1)))</f>
        <v>4140722.7</v>
      </c>
      <c r="N1015">
        <f t="shared" si="15"/>
        <v>60</v>
      </c>
    </row>
    <row r="1016" spans="1:14" x14ac:dyDescent="0.3">
      <c r="A1016" t="s">
        <v>4283</v>
      </c>
      <c r="B1016" s="1">
        <v>45518</v>
      </c>
      <c r="C1016" t="s">
        <v>554</v>
      </c>
      <c r="D1016" t="s">
        <v>36</v>
      </c>
      <c r="E1016">
        <v>1009</v>
      </c>
      <c r="F1016" t="s">
        <v>3262</v>
      </c>
      <c r="G1016">
        <v>85341.22</v>
      </c>
      <c r="H1016" t="s">
        <v>573</v>
      </c>
      <c r="I1016">
        <v>86.51</v>
      </c>
      <c r="J1016" t="s">
        <v>3263</v>
      </c>
      <c r="K1016">
        <v>84.58</v>
      </c>
      <c r="L1016" s="1">
        <v>45563</v>
      </c>
      <c r="M1016">
        <f>G1016*IF(D1016="INR",1,INDEX('rates'!$B$2:$B$522,MATCH(B1016,'rates'!$A$2:$A$522,1)))</f>
        <v>7160981.7702000001</v>
      </c>
      <c r="N1016">
        <f t="shared" si="15"/>
        <v>45</v>
      </c>
    </row>
    <row r="1017" spans="1:14" x14ac:dyDescent="0.3">
      <c r="A1017" t="s">
        <v>4320</v>
      </c>
      <c r="B1017" s="1">
        <v>45533</v>
      </c>
      <c r="C1017" t="s">
        <v>554</v>
      </c>
      <c r="D1017" t="s">
        <v>36</v>
      </c>
      <c r="E1017">
        <v>1006</v>
      </c>
      <c r="F1017" t="s">
        <v>3262</v>
      </c>
      <c r="G1017">
        <v>81113.78</v>
      </c>
      <c r="H1017" t="s">
        <v>556</v>
      </c>
      <c r="J1017" t="s">
        <v>3263</v>
      </c>
      <c r="K1017">
        <v>80.63</v>
      </c>
      <c r="L1017" s="1">
        <v>45563</v>
      </c>
      <c r="M1017">
        <f>G1017*IF(D1017="INR",1,INDEX('rates'!$B$2:$B$522,MATCH(B1017,'rates'!$A$2:$A$522,1)))</f>
        <v>6800579.3152000001</v>
      </c>
      <c r="N1017">
        <f t="shared" si="15"/>
        <v>30</v>
      </c>
    </row>
    <row r="1018" spans="1:14" x14ac:dyDescent="0.3">
      <c r="A1018" t="s">
        <v>4252</v>
      </c>
      <c r="B1018" s="1">
        <v>45504</v>
      </c>
      <c r="C1018" t="s">
        <v>566</v>
      </c>
      <c r="D1018" t="s">
        <v>36</v>
      </c>
      <c r="E1018">
        <v>363</v>
      </c>
      <c r="F1018" t="s">
        <v>3262</v>
      </c>
      <c r="G1018">
        <v>30118.11</v>
      </c>
      <c r="H1018" t="s">
        <v>573</v>
      </c>
      <c r="I1018">
        <v>86.23</v>
      </c>
      <c r="J1018" t="s">
        <v>3263</v>
      </c>
      <c r="K1018">
        <v>82.97</v>
      </c>
      <c r="L1018" s="1">
        <v>45564</v>
      </c>
      <c r="M1018">
        <f>G1018*IF(D1018="INR",1,INDEX('rates'!$B$2:$B$522,MATCH(B1018,'rates'!$A$2:$A$522,1)))</f>
        <v>2521789.3503</v>
      </c>
      <c r="N1018">
        <f t="shared" si="15"/>
        <v>60</v>
      </c>
    </row>
    <row r="1019" spans="1:14" x14ac:dyDescent="0.3">
      <c r="A1019" t="s">
        <v>4253</v>
      </c>
      <c r="B1019" s="1">
        <v>45504</v>
      </c>
      <c r="C1019" t="s">
        <v>554</v>
      </c>
      <c r="D1019" t="s">
        <v>13</v>
      </c>
      <c r="E1019">
        <v>184760</v>
      </c>
      <c r="F1019" t="s">
        <v>3270</v>
      </c>
      <c r="G1019">
        <v>17387763.600000001</v>
      </c>
      <c r="H1019" t="s">
        <v>556</v>
      </c>
      <c r="J1019" t="s">
        <v>3271</v>
      </c>
      <c r="K1019">
        <v>94.11</v>
      </c>
      <c r="L1019" s="1">
        <v>45564</v>
      </c>
      <c r="M1019">
        <f>G1019*IF(D1019="INR",1,INDEX('rates'!$B$2:$B$522,MATCH(B1019,'rates'!$A$2:$A$522,1)))</f>
        <v>17387763.600000001</v>
      </c>
      <c r="N1019">
        <f t="shared" si="15"/>
        <v>60</v>
      </c>
    </row>
    <row r="1020" spans="1:14" x14ac:dyDescent="0.3">
      <c r="A1020" t="s">
        <v>4284</v>
      </c>
      <c r="B1020" s="1">
        <v>45519</v>
      </c>
      <c r="C1020" t="s">
        <v>566</v>
      </c>
      <c r="D1020" t="s">
        <v>36</v>
      </c>
      <c r="E1020">
        <v>1216</v>
      </c>
      <c r="F1020" t="s">
        <v>3262</v>
      </c>
      <c r="G1020">
        <v>102861.44</v>
      </c>
      <c r="H1020" t="s">
        <v>573</v>
      </c>
      <c r="I1020">
        <v>87.38</v>
      </c>
      <c r="J1020" t="s">
        <v>3263</v>
      </c>
      <c r="K1020">
        <v>84.59</v>
      </c>
      <c r="L1020" s="1">
        <v>45564</v>
      </c>
      <c r="M1020">
        <f>G1020*IF(D1020="INR",1,INDEX('rates'!$B$2:$B$522,MATCH(B1020,'rates'!$A$2:$A$522,1)))</f>
        <v>8634189.2736000009</v>
      </c>
      <c r="N1020">
        <f t="shared" si="15"/>
        <v>45</v>
      </c>
    </row>
    <row r="1021" spans="1:14" x14ac:dyDescent="0.3">
      <c r="A1021" t="s">
        <v>4321</v>
      </c>
      <c r="B1021" s="1">
        <v>45534</v>
      </c>
      <c r="C1021" t="s">
        <v>566</v>
      </c>
      <c r="D1021" t="s">
        <v>13</v>
      </c>
      <c r="E1021">
        <v>101296</v>
      </c>
      <c r="F1021" t="s">
        <v>3270</v>
      </c>
      <c r="G1021">
        <v>9630210.7200000007</v>
      </c>
      <c r="H1021" t="s">
        <v>556</v>
      </c>
      <c r="J1021" t="s">
        <v>3271</v>
      </c>
      <c r="K1021">
        <v>95.07</v>
      </c>
      <c r="L1021" s="1">
        <v>45564</v>
      </c>
      <c r="M1021">
        <f>G1021*IF(D1021="INR",1,INDEX('rates'!$B$2:$B$522,MATCH(B1021,'rates'!$A$2:$A$522,1)))</f>
        <v>9630210.7200000007</v>
      </c>
      <c r="N1021">
        <f t="shared" si="15"/>
        <v>30</v>
      </c>
    </row>
    <row r="1022" spans="1:14" x14ac:dyDescent="0.3">
      <c r="A1022" t="s">
        <v>4322</v>
      </c>
      <c r="B1022" s="1">
        <v>45534</v>
      </c>
      <c r="C1022" t="s">
        <v>558</v>
      </c>
      <c r="D1022" t="s">
        <v>36</v>
      </c>
      <c r="E1022">
        <v>1502</v>
      </c>
      <c r="F1022" t="s">
        <v>3262</v>
      </c>
      <c r="G1022">
        <v>121271.48</v>
      </c>
      <c r="H1022" t="s">
        <v>556</v>
      </c>
      <c r="J1022" t="s">
        <v>3263</v>
      </c>
      <c r="K1022">
        <v>80.739999999999995</v>
      </c>
      <c r="L1022" s="1">
        <v>45564</v>
      </c>
      <c r="M1022">
        <f>G1022*IF(D1022="INR",1,INDEX('rates'!$B$2:$B$522,MATCH(B1022,'rates'!$A$2:$A$522,1)))</f>
        <v>10166188.168399999</v>
      </c>
      <c r="N1022">
        <f t="shared" si="15"/>
        <v>30</v>
      </c>
    </row>
    <row r="1023" spans="1:14" x14ac:dyDescent="0.3">
      <c r="A1023" t="s">
        <v>4325</v>
      </c>
      <c r="B1023" s="1">
        <v>45534</v>
      </c>
      <c r="C1023" t="s">
        <v>554</v>
      </c>
      <c r="D1023" t="s">
        <v>36</v>
      </c>
      <c r="E1023">
        <v>937</v>
      </c>
      <c r="F1023" t="s">
        <v>3262</v>
      </c>
      <c r="G1023">
        <v>73760.639999999999</v>
      </c>
      <c r="H1023" t="s">
        <v>556</v>
      </c>
      <c r="J1023" t="s">
        <v>3263</v>
      </c>
      <c r="K1023">
        <v>78.72</v>
      </c>
      <c r="L1023" s="1">
        <v>45564</v>
      </c>
      <c r="M1023">
        <f>G1023*IF(D1023="INR",1,INDEX('rates'!$B$2:$B$522,MATCH(B1023,'rates'!$A$2:$A$522,1)))</f>
        <v>6183354.4512</v>
      </c>
      <c r="N1023">
        <f t="shared" si="15"/>
        <v>30</v>
      </c>
    </row>
    <row r="1024" spans="1:14" x14ac:dyDescent="0.3">
      <c r="A1024" t="s">
        <v>4326</v>
      </c>
      <c r="B1024" s="1">
        <v>45534</v>
      </c>
      <c r="C1024" t="s">
        <v>575</v>
      </c>
      <c r="D1024" t="s">
        <v>36</v>
      </c>
      <c r="E1024">
        <v>996</v>
      </c>
      <c r="F1024" t="s">
        <v>3262</v>
      </c>
      <c r="G1024">
        <v>79859.28</v>
      </c>
      <c r="H1024" t="s">
        <v>556</v>
      </c>
      <c r="J1024" t="s">
        <v>3263</v>
      </c>
      <c r="K1024">
        <v>80.180000000000007</v>
      </c>
      <c r="L1024" s="1">
        <v>45564</v>
      </c>
      <c r="M1024">
        <f>G1024*IF(D1024="INR",1,INDEX('rates'!$B$2:$B$522,MATCH(B1024,'rates'!$A$2:$A$522,1)))</f>
        <v>6694603.4424000001</v>
      </c>
      <c r="N1024">
        <f t="shared" si="15"/>
        <v>30</v>
      </c>
    </row>
    <row r="1025" spans="1:14" x14ac:dyDescent="0.3">
      <c r="A1025" t="s">
        <v>4285</v>
      </c>
      <c r="B1025" s="1">
        <v>45520</v>
      </c>
      <c r="C1025" t="s">
        <v>575</v>
      </c>
      <c r="D1025" t="s">
        <v>36</v>
      </c>
      <c r="E1025">
        <v>1761</v>
      </c>
      <c r="F1025" t="s">
        <v>3262</v>
      </c>
      <c r="G1025">
        <v>147201.99</v>
      </c>
      <c r="H1025" t="s">
        <v>573</v>
      </c>
      <c r="I1025">
        <v>87.38</v>
      </c>
      <c r="J1025" t="s">
        <v>3263</v>
      </c>
      <c r="K1025">
        <v>83.59</v>
      </c>
      <c r="L1025" s="1">
        <v>45565</v>
      </c>
      <c r="M1025">
        <f>G1025*IF(D1025="INR",1,INDEX('rates'!$B$2:$B$522,MATCH(B1025,'rates'!$A$2:$A$522,1)))</f>
        <v>12357607.0605</v>
      </c>
      <c r="N1025">
        <f t="shared" si="15"/>
        <v>45</v>
      </c>
    </row>
    <row r="1026" spans="1:14" x14ac:dyDescent="0.3">
      <c r="A1026" t="s">
        <v>4286</v>
      </c>
      <c r="B1026" s="1">
        <v>45520</v>
      </c>
      <c r="C1026" t="s">
        <v>558</v>
      </c>
      <c r="D1026" t="s">
        <v>36</v>
      </c>
      <c r="E1026">
        <v>842</v>
      </c>
      <c r="F1026" t="s">
        <v>3262</v>
      </c>
      <c r="G1026">
        <v>69717.600000000006</v>
      </c>
      <c r="H1026" t="s">
        <v>556</v>
      </c>
      <c r="J1026" t="s">
        <v>3263</v>
      </c>
      <c r="K1026">
        <v>82.8</v>
      </c>
      <c r="L1026" s="1">
        <v>45565</v>
      </c>
      <c r="M1026">
        <f>G1026*IF(D1026="INR",1,INDEX('rates'!$B$2:$B$522,MATCH(B1026,'rates'!$A$2:$A$522,1)))</f>
        <v>5852792.5200000005</v>
      </c>
      <c r="N1026">
        <f t="shared" ref="N1026:N1089" si="16">IF(L1026="","",L1026-B1026)</f>
        <v>45</v>
      </c>
    </row>
    <row r="1027" spans="1:14" x14ac:dyDescent="0.3">
      <c r="A1027" t="s">
        <v>4289</v>
      </c>
      <c r="B1027" s="1">
        <v>45520</v>
      </c>
      <c r="C1027" t="s">
        <v>560</v>
      </c>
      <c r="D1027" t="s">
        <v>13</v>
      </c>
      <c r="E1027">
        <v>79200</v>
      </c>
      <c r="F1027" t="s">
        <v>3270</v>
      </c>
      <c r="G1027">
        <v>7067016</v>
      </c>
      <c r="H1027" t="s">
        <v>556</v>
      </c>
      <c r="J1027" t="s">
        <v>3271</v>
      </c>
      <c r="K1027">
        <v>89.23</v>
      </c>
      <c r="L1027" s="1">
        <v>45565</v>
      </c>
      <c r="M1027">
        <f>G1027*IF(D1027="INR",1,INDEX('rates'!$B$2:$B$522,MATCH(B1027,'rates'!$A$2:$A$522,1)))</f>
        <v>7067016</v>
      </c>
      <c r="N1027">
        <f t="shared" si="16"/>
        <v>45</v>
      </c>
    </row>
    <row r="1028" spans="1:14" x14ac:dyDescent="0.3">
      <c r="A1028" t="s">
        <v>4291</v>
      </c>
      <c r="B1028" s="1">
        <v>45520</v>
      </c>
      <c r="C1028" t="s">
        <v>558</v>
      </c>
      <c r="D1028" t="s">
        <v>36</v>
      </c>
      <c r="E1028">
        <v>280</v>
      </c>
      <c r="F1028" t="s">
        <v>3262</v>
      </c>
      <c r="G1028">
        <v>22405.599999999999</v>
      </c>
      <c r="H1028" t="s">
        <v>556</v>
      </c>
      <c r="J1028" t="s">
        <v>3263</v>
      </c>
      <c r="K1028">
        <v>80.02</v>
      </c>
      <c r="L1028" s="1">
        <v>45565</v>
      </c>
      <c r="M1028">
        <f>G1028*IF(D1028="INR",1,INDEX('rates'!$B$2:$B$522,MATCH(B1028,'rates'!$A$2:$A$522,1)))</f>
        <v>1880950.1199999999</v>
      </c>
      <c r="N1028">
        <f t="shared" si="16"/>
        <v>45</v>
      </c>
    </row>
    <row r="1029" spans="1:14" x14ac:dyDescent="0.3">
      <c r="A1029" t="s">
        <v>4256</v>
      </c>
      <c r="B1029" s="1">
        <v>45506</v>
      </c>
      <c r="C1029" t="s">
        <v>575</v>
      </c>
      <c r="D1029" t="s">
        <v>13</v>
      </c>
      <c r="E1029">
        <v>29340</v>
      </c>
      <c r="F1029" t="s">
        <v>3270</v>
      </c>
      <c r="G1029">
        <v>2901139.2</v>
      </c>
      <c r="H1029" t="s">
        <v>556</v>
      </c>
      <c r="J1029" t="s">
        <v>3271</v>
      </c>
      <c r="K1029">
        <v>98.88</v>
      </c>
      <c r="L1029" s="1">
        <v>45566</v>
      </c>
      <c r="M1029">
        <f>G1029*IF(D1029="INR",1,INDEX('rates'!$B$2:$B$522,MATCH(B1029,'rates'!$A$2:$A$522,1)))</f>
        <v>2901139.2</v>
      </c>
      <c r="N1029">
        <f t="shared" si="16"/>
        <v>60</v>
      </c>
    </row>
    <row r="1030" spans="1:14" x14ac:dyDescent="0.3">
      <c r="A1030" t="s">
        <v>4257</v>
      </c>
      <c r="B1030" s="1">
        <v>45506</v>
      </c>
      <c r="C1030" t="s">
        <v>575</v>
      </c>
      <c r="D1030" t="s">
        <v>36</v>
      </c>
      <c r="E1030">
        <v>2030</v>
      </c>
      <c r="F1030" t="s">
        <v>3262</v>
      </c>
      <c r="G1030">
        <v>164105.20000000001</v>
      </c>
      <c r="H1030" t="s">
        <v>556</v>
      </c>
      <c r="J1030" t="s">
        <v>3263</v>
      </c>
      <c r="K1030">
        <v>80.84</v>
      </c>
      <c r="L1030" s="1">
        <v>45566</v>
      </c>
      <c r="M1030">
        <f>G1030*IF(D1030="INR",1,INDEX('rates'!$B$2:$B$522,MATCH(B1030,'rates'!$A$2:$A$522,1)))</f>
        <v>13750374.708000002</v>
      </c>
      <c r="N1030">
        <f t="shared" si="16"/>
        <v>60</v>
      </c>
    </row>
    <row r="1031" spans="1:14" x14ac:dyDescent="0.3">
      <c r="A1031" t="s">
        <v>4260</v>
      </c>
      <c r="B1031" s="1">
        <v>45506</v>
      </c>
      <c r="C1031" t="s">
        <v>566</v>
      </c>
      <c r="D1031" t="s">
        <v>36</v>
      </c>
      <c r="E1031">
        <v>268</v>
      </c>
      <c r="F1031" t="s">
        <v>3262</v>
      </c>
      <c r="G1031">
        <v>21204.16</v>
      </c>
      <c r="H1031" t="s">
        <v>573</v>
      </c>
      <c r="I1031">
        <v>85.23</v>
      </c>
      <c r="J1031" t="s">
        <v>3263</v>
      </c>
      <c r="K1031">
        <v>79.12</v>
      </c>
      <c r="L1031" s="1">
        <v>45566</v>
      </c>
      <c r="M1031">
        <f>G1031*IF(D1031="INR",1,INDEX('rates'!$B$2:$B$522,MATCH(B1031,'rates'!$A$2:$A$522,1)))</f>
        <v>1776696.5664000001</v>
      </c>
      <c r="N1031">
        <f t="shared" si="16"/>
        <v>60</v>
      </c>
    </row>
    <row r="1032" spans="1:14" x14ac:dyDescent="0.3">
      <c r="A1032" t="s">
        <v>4293</v>
      </c>
      <c r="B1032" s="1">
        <v>45524</v>
      </c>
      <c r="C1032" t="s">
        <v>558</v>
      </c>
      <c r="D1032" t="s">
        <v>13</v>
      </c>
      <c r="E1032">
        <v>121737</v>
      </c>
      <c r="F1032" t="s">
        <v>3270</v>
      </c>
      <c r="G1032">
        <v>11175456.6</v>
      </c>
      <c r="H1032" t="s">
        <v>556</v>
      </c>
      <c r="J1032" t="s">
        <v>3271</v>
      </c>
      <c r="K1032">
        <v>91.8</v>
      </c>
      <c r="L1032" s="1">
        <v>45569</v>
      </c>
      <c r="M1032">
        <f>G1032*IF(D1032="INR",1,INDEX('rates'!$B$2:$B$522,MATCH(B1032,'rates'!$A$2:$A$522,1)))</f>
        <v>11175456.6</v>
      </c>
      <c r="N1032">
        <f t="shared" si="16"/>
        <v>45</v>
      </c>
    </row>
    <row r="1033" spans="1:14" x14ac:dyDescent="0.3">
      <c r="A1033" t="s">
        <v>4264</v>
      </c>
      <c r="B1033" s="1">
        <v>45510</v>
      </c>
      <c r="C1033" t="s">
        <v>554</v>
      </c>
      <c r="D1033" t="s">
        <v>36</v>
      </c>
      <c r="E1033">
        <v>548</v>
      </c>
      <c r="F1033" t="s">
        <v>3262</v>
      </c>
      <c r="G1033">
        <v>42333</v>
      </c>
      <c r="H1033" t="s">
        <v>573</v>
      </c>
      <c r="I1033">
        <v>86.21</v>
      </c>
      <c r="J1033" t="s">
        <v>3263</v>
      </c>
      <c r="K1033">
        <v>77.25</v>
      </c>
      <c r="L1033" s="1">
        <v>45570</v>
      </c>
      <c r="M1033">
        <f>G1033*IF(D1033="INR",1,INDEX('rates'!$B$2:$B$522,MATCH(B1033,'rates'!$A$2:$A$522,1)))</f>
        <v>3552162.03</v>
      </c>
      <c r="N1033">
        <f t="shared" si="16"/>
        <v>60</v>
      </c>
    </row>
    <row r="1034" spans="1:14" x14ac:dyDescent="0.3">
      <c r="A1034" t="s">
        <v>4266</v>
      </c>
      <c r="B1034" s="1">
        <v>45511</v>
      </c>
      <c r="C1034" t="s">
        <v>558</v>
      </c>
      <c r="D1034" t="s">
        <v>13</v>
      </c>
      <c r="E1034">
        <v>53176</v>
      </c>
      <c r="F1034" t="s">
        <v>3270</v>
      </c>
      <c r="G1034">
        <v>4315232.4000000004</v>
      </c>
      <c r="H1034" t="s">
        <v>556</v>
      </c>
      <c r="J1034" t="s">
        <v>3271</v>
      </c>
      <c r="K1034">
        <v>81.150000000000006</v>
      </c>
      <c r="L1034" s="1">
        <v>45571</v>
      </c>
      <c r="M1034">
        <f>G1034*IF(D1034="INR",1,INDEX('rates'!$B$2:$B$522,MATCH(B1034,'rates'!$A$2:$A$522,1)))</f>
        <v>4315232.4000000004</v>
      </c>
      <c r="N1034">
        <f t="shared" si="16"/>
        <v>60</v>
      </c>
    </row>
    <row r="1035" spans="1:14" x14ac:dyDescent="0.3">
      <c r="A1035" t="s">
        <v>4334</v>
      </c>
      <c r="B1035" s="1">
        <v>45541</v>
      </c>
      <c r="C1035" t="s">
        <v>558</v>
      </c>
      <c r="D1035" t="s">
        <v>36</v>
      </c>
      <c r="E1035">
        <v>343</v>
      </c>
      <c r="F1035" t="s">
        <v>3262</v>
      </c>
      <c r="G1035">
        <v>24723.439999999999</v>
      </c>
      <c r="H1035" t="s">
        <v>556</v>
      </c>
      <c r="J1035" t="s">
        <v>3263</v>
      </c>
      <c r="K1035">
        <v>72.08</v>
      </c>
      <c r="L1035" s="1">
        <v>45571</v>
      </c>
      <c r="M1035">
        <f>G1035*IF(D1035="INR",1,INDEX('rates'!$B$2:$B$522,MATCH(B1035,'rates'!$A$2:$A$522,1)))</f>
        <v>2074543.8503999999</v>
      </c>
      <c r="N1035">
        <f t="shared" si="16"/>
        <v>30</v>
      </c>
    </row>
    <row r="1036" spans="1:14" x14ac:dyDescent="0.3">
      <c r="A1036" t="s">
        <v>4341</v>
      </c>
      <c r="B1036" s="1">
        <v>45541</v>
      </c>
      <c r="C1036" t="s">
        <v>575</v>
      </c>
      <c r="D1036" t="s">
        <v>36</v>
      </c>
      <c r="E1036">
        <v>707</v>
      </c>
      <c r="F1036" t="s">
        <v>3262</v>
      </c>
      <c r="G1036">
        <v>52954.3</v>
      </c>
      <c r="H1036" t="s">
        <v>573</v>
      </c>
      <c r="I1036">
        <v>81.89</v>
      </c>
      <c r="J1036" t="s">
        <v>3263</v>
      </c>
      <c r="K1036">
        <v>74.900000000000006</v>
      </c>
      <c r="L1036" s="1">
        <v>45571</v>
      </c>
      <c r="M1036">
        <f>G1036*IF(D1036="INR",1,INDEX('rates'!$B$2:$B$522,MATCH(B1036,'rates'!$A$2:$A$522,1)))</f>
        <v>4443395.3130000001</v>
      </c>
      <c r="N1036">
        <f t="shared" si="16"/>
        <v>30</v>
      </c>
    </row>
    <row r="1037" spans="1:14" x14ac:dyDescent="0.3">
      <c r="A1037" t="s">
        <v>4272</v>
      </c>
      <c r="B1037" s="1">
        <v>45512</v>
      </c>
      <c r="C1037" t="s">
        <v>560</v>
      </c>
      <c r="D1037" t="s">
        <v>36</v>
      </c>
      <c r="E1037">
        <v>2498</v>
      </c>
      <c r="F1037" t="s">
        <v>3262</v>
      </c>
      <c r="G1037">
        <v>200189.72</v>
      </c>
      <c r="H1037" t="s">
        <v>556</v>
      </c>
      <c r="J1037" t="s">
        <v>3263</v>
      </c>
      <c r="K1037">
        <v>80.14</v>
      </c>
      <c r="L1037" s="1">
        <v>45572</v>
      </c>
      <c r="M1037">
        <f>G1037*IF(D1037="INR",1,INDEX('rates'!$B$2:$B$522,MATCH(B1037,'rates'!$A$2:$A$522,1)))</f>
        <v>16805926.993999999</v>
      </c>
      <c r="N1037">
        <f t="shared" si="16"/>
        <v>60</v>
      </c>
    </row>
    <row r="1038" spans="1:14" x14ac:dyDescent="0.3">
      <c r="A1038" t="s">
        <v>4306</v>
      </c>
      <c r="B1038" s="1">
        <v>45527</v>
      </c>
      <c r="C1038" t="s">
        <v>566</v>
      </c>
      <c r="D1038" t="s">
        <v>36</v>
      </c>
      <c r="E1038">
        <v>335</v>
      </c>
      <c r="F1038" t="s">
        <v>3262</v>
      </c>
      <c r="G1038">
        <v>27121.599999999999</v>
      </c>
      <c r="H1038" t="s">
        <v>573</v>
      </c>
      <c r="I1038">
        <v>83.97</v>
      </c>
      <c r="J1038" t="s">
        <v>3263</v>
      </c>
      <c r="K1038">
        <v>80.959999999999994</v>
      </c>
      <c r="L1038" s="1">
        <v>45572</v>
      </c>
      <c r="M1038">
        <f>G1038*IF(D1038="INR",1,INDEX('rates'!$B$2:$B$522,MATCH(B1038,'rates'!$A$2:$A$522,1)))</f>
        <v>2275773.4559999998</v>
      </c>
      <c r="N1038">
        <f t="shared" si="16"/>
        <v>45</v>
      </c>
    </row>
    <row r="1039" spans="1:14" x14ac:dyDescent="0.3">
      <c r="A1039" t="s">
        <v>4273</v>
      </c>
      <c r="B1039" s="1">
        <v>45513</v>
      </c>
      <c r="C1039" t="s">
        <v>566</v>
      </c>
      <c r="D1039" t="s">
        <v>13</v>
      </c>
      <c r="E1039">
        <v>17247</v>
      </c>
      <c r="F1039" t="s">
        <v>3270</v>
      </c>
      <c r="G1039">
        <v>1378035.3</v>
      </c>
      <c r="H1039" t="s">
        <v>556</v>
      </c>
      <c r="J1039" t="s">
        <v>3271</v>
      </c>
      <c r="K1039">
        <v>79.900000000000006</v>
      </c>
      <c r="L1039" s="1">
        <v>45573</v>
      </c>
      <c r="M1039">
        <f>G1039*IF(D1039="INR",1,INDEX('rates'!$B$2:$B$522,MATCH(B1039,'rates'!$A$2:$A$522,1)))</f>
        <v>1378035.3</v>
      </c>
      <c r="N1039">
        <f t="shared" si="16"/>
        <v>60</v>
      </c>
    </row>
    <row r="1040" spans="1:14" x14ac:dyDescent="0.3">
      <c r="A1040" t="s">
        <v>4307</v>
      </c>
      <c r="B1040" s="1">
        <v>45530</v>
      </c>
      <c r="C1040" t="s">
        <v>566</v>
      </c>
      <c r="D1040" t="s">
        <v>13</v>
      </c>
      <c r="E1040">
        <v>40900</v>
      </c>
      <c r="F1040" t="s">
        <v>3270</v>
      </c>
      <c r="G1040">
        <v>2796742</v>
      </c>
      <c r="H1040" t="s">
        <v>556</v>
      </c>
      <c r="J1040" t="s">
        <v>3271</v>
      </c>
      <c r="K1040">
        <v>68.38</v>
      </c>
      <c r="L1040" s="1">
        <v>45575</v>
      </c>
      <c r="M1040">
        <f>G1040*IF(D1040="INR",1,INDEX('rates'!$B$2:$B$522,MATCH(B1040,'rates'!$A$2:$A$522,1)))</f>
        <v>2796742</v>
      </c>
      <c r="N1040">
        <f t="shared" si="16"/>
        <v>45</v>
      </c>
    </row>
    <row r="1041" spans="1:14" x14ac:dyDescent="0.3">
      <c r="A1041" t="s">
        <v>4277</v>
      </c>
      <c r="B1041" s="1">
        <v>45516</v>
      </c>
      <c r="C1041" t="s">
        <v>575</v>
      </c>
      <c r="D1041" t="s">
        <v>36</v>
      </c>
      <c r="E1041">
        <v>633</v>
      </c>
      <c r="F1041" t="s">
        <v>3262</v>
      </c>
      <c r="G1041">
        <v>54330.39</v>
      </c>
      <c r="H1041" t="s">
        <v>573</v>
      </c>
      <c r="I1041">
        <v>85.19</v>
      </c>
      <c r="J1041" t="s">
        <v>3263</v>
      </c>
      <c r="K1041">
        <v>85.83</v>
      </c>
      <c r="L1041" s="1">
        <v>45576</v>
      </c>
      <c r="M1041">
        <f>G1041*IF(D1041="INR",1,INDEX('rates'!$B$2:$B$522,MATCH(B1041,'rates'!$A$2:$A$522,1)))</f>
        <v>4559406.3288000003</v>
      </c>
      <c r="N1041">
        <f t="shared" si="16"/>
        <v>60</v>
      </c>
    </row>
    <row r="1042" spans="1:14" x14ac:dyDescent="0.3">
      <c r="A1042" t="s">
        <v>4279</v>
      </c>
      <c r="B1042" s="1">
        <v>45517</v>
      </c>
      <c r="C1042" t="s">
        <v>560</v>
      </c>
      <c r="D1042" t="s">
        <v>36</v>
      </c>
      <c r="E1042">
        <v>1040</v>
      </c>
      <c r="F1042" t="s">
        <v>3262</v>
      </c>
      <c r="G1042">
        <v>88878.399999999994</v>
      </c>
      <c r="H1042" t="s">
        <v>556</v>
      </c>
      <c r="J1042" t="s">
        <v>3263</v>
      </c>
      <c r="K1042">
        <v>85.46</v>
      </c>
      <c r="L1042" s="1">
        <v>45577</v>
      </c>
      <c r="M1042">
        <f>G1042*IF(D1042="INR",1,INDEX('rates'!$B$2:$B$522,MATCH(B1042,'rates'!$A$2:$A$522,1)))</f>
        <v>7463119.2479999997</v>
      </c>
      <c r="N1042">
        <f t="shared" si="16"/>
        <v>60</v>
      </c>
    </row>
    <row r="1043" spans="1:14" x14ac:dyDescent="0.3">
      <c r="A1043" t="s">
        <v>4319</v>
      </c>
      <c r="B1043" s="1">
        <v>45532</v>
      </c>
      <c r="C1043" t="s">
        <v>566</v>
      </c>
      <c r="D1043" t="s">
        <v>36</v>
      </c>
      <c r="E1043">
        <v>866</v>
      </c>
      <c r="F1043" t="s">
        <v>3262</v>
      </c>
      <c r="G1043">
        <v>70154.66</v>
      </c>
      <c r="H1043" t="s">
        <v>573</v>
      </c>
      <c r="I1043">
        <v>84.49</v>
      </c>
      <c r="J1043" t="s">
        <v>3263</v>
      </c>
      <c r="K1043">
        <v>81.010000000000005</v>
      </c>
      <c r="L1043" s="1">
        <v>45577</v>
      </c>
      <c r="M1043">
        <f>G1043*IF(D1043="INR",1,INDEX('rates'!$B$2:$B$522,MATCH(B1043,'rates'!$A$2:$A$522,1)))</f>
        <v>5885975.9740000004</v>
      </c>
      <c r="N1043">
        <f t="shared" si="16"/>
        <v>45</v>
      </c>
    </row>
    <row r="1044" spans="1:14" x14ac:dyDescent="0.3">
      <c r="A1044" t="s">
        <v>4347</v>
      </c>
      <c r="B1044" s="1">
        <v>45547</v>
      </c>
      <c r="C1044" t="s">
        <v>560</v>
      </c>
      <c r="D1044" t="s">
        <v>36</v>
      </c>
      <c r="E1044">
        <v>614</v>
      </c>
      <c r="F1044" t="s">
        <v>3262</v>
      </c>
      <c r="G1044">
        <v>44201.86</v>
      </c>
      <c r="H1044" t="s">
        <v>556</v>
      </c>
      <c r="J1044" t="s">
        <v>3263</v>
      </c>
      <c r="K1044">
        <v>71.989999999999995</v>
      </c>
      <c r="L1044" s="1">
        <v>45577</v>
      </c>
      <c r="M1044">
        <f>G1044*IF(D1044="INR",1,INDEX('rates'!$B$2:$B$522,MATCH(B1044,'rates'!$A$2:$A$522,1)))</f>
        <v>3709420.0912000001</v>
      </c>
      <c r="N1044">
        <f t="shared" si="16"/>
        <v>30</v>
      </c>
    </row>
    <row r="1045" spans="1:14" x14ac:dyDescent="0.3">
      <c r="A1045" t="s">
        <v>4350</v>
      </c>
      <c r="B1045" s="1">
        <v>45548</v>
      </c>
      <c r="C1045" t="s">
        <v>566</v>
      </c>
      <c r="D1045" t="s">
        <v>36</v>
      </c>
      <c r="E1045">
        <v>1730</v>
      </c>
      <c r="F1045" t="s">
        <v>3262</v>
      </c>
      <c r="G1045">
        <v>125857.5</v>
      </c>
      <c r="H1045" t="s">
        <v>573</v>
      </c>
      <c r="I1045">
        <v>84.97</v>
      </c>
      <c r="J1045" t="s">
        <v>3263</v>
      </c>
      <c r="K1045">
        <v>72.75</v>
      </c>
      <c r="L1045" s="1">
        <v>45578</v>
      </c>
      <c r="M1045">
        <f>G1045*IF(D1045="INR",1,INDEX('rates'!$B$2:$B$522,MATCH(B1045,'rates'!$A$2:$A$522,1)))</f>
        <v>10556927.1</v>
      </c>
      <c r="N1045">
        <f t="shared" si="16"/>
        <v>30</v>
      </c>
    </row>
    <row r="1046" spans="1:14" x14ac:dyDescent="0.3">
      <c r="A1046" t="s">
        <v>4355</v>
      </c>
      <c r="B1046" s="1">
        <v>45548</v>
      </c>
      <c r="C1046" t="s">
        <v>558</v>
      </c>
      <c r="D1046" t="s">
        <v>36</v>
      </c>
      <c r="E1046">
        <v>1011</v>
      </c>
      <c r="F1046" t="s">
        <v>3262</v>
      </c>
      <c r="G1046">
        <v>75198.179999999993</v>
      </c>
      <c r="H1046" t="s">
        <v>556</v>
      </c>
      <c r="J1046" t="s">
        <v>3263</v>
      </c>
      <c r="K1046">
        <v>74.38</v>
      </c>
      <c r="L1046" s="1">
        <v>45578</v>
      </c>
      <c r="M1046">
        <f>G1046*IF(D1046="INR",1,INDEX('rates'!$B$2:$B$522,MATCH(B1046,'rates'!$A$2:$A$522,1)))</f>
        <v>6307623.3383999988</v>
      </c>
      <c r="N1046">
        <f t="shared" si="16"/>
        <v>30</v>
      </c>
    </row>
    <row r="1047" spans="1:14" x14ac:dyDescent="0.3">
      <c r="A1047" t="s">
        <v>4356</v>
      </c>
      <c r="B1047" s="1">
        <v>45548</v>
      </c>
      <c r="C1047" t="s">
        <v>554</v>
      </c>
      <c r="D1047" t="s">
        <v>36</v>
      </c>
      <c r="E1047">
        <v>646</v>
      </c>
      <c r="F1047" t="s">
        <v>3262</v>
      </c>
      <c r="G1047">
        <v>47041.72</v>
      </c>
      <c r="H1047" t="s">
        <v>556</v>
      </c>
      <c r="J1047" t="s">
        <v>3263</v>
      </c>
      <c r="K1047">
        <v>72.819999999999993</v>
      </c>
      <c r="L1047" s="1">
        <v>45578</v>
      </c>
      <c r="M1047">
        <f>G1047*IF(D1047="INR",1,INDEX('rates'!$B$2:$B$522,MATCH(B1047,'rates'!$A$2:$A$522,1)))</f>
        <v>3945859.4735999997</v>
      </c>
      <c r="N1047">
        <f t="shared" si="16"/>
        <v>30</v>
      </c>
    </row>
    <row r="1048" spans="1:14" x14ac:dyDescent="0.3">
      <c r="A1048" t="s">
        <v>4324</v>
      </c>
      <c r="B1048" s="1">
        <v>45534</v>
      </c>
      <c r="C1048" t="s">
        <v>554</v>
      </c>
      <c r="D1048" t="s">
        <v>36</v>
      </c>
      <c r="E1048">
        <v>1471</v>
      </c>
      <c r="F1048" t="s">
        <v>3262</v>
      </c>
      <c r="G1048">
        <v>116341.39</v>
      </c>
      <c r="H1048" t="s">
        <v>573</v>
      </c>
      <c r="I1048">
        <v>83.43</v>
      </c>
      <c r="J1048" t="s">
        <v>3263</v>
      </c>
      <c r="K1048">
        <v>79.09</v>
      </c>
      <c r="L1048" s="1">
        <v>45579</v>
      </c>
      <c r="M1048">
        <f>G1048*IF(D1048="INR",1,INDEX('rates'!$B$2:$B$522,MATCH(B1048,'rates'!$A$2:$A$522,1)))</f>
        <v>9752898.7237</v>
      </c>
      <c r="N1048">
        <f t="shared" si="16"/>
        <v>45</v>
      </c>
    </row>
    <row r="1049" spans="1:14" x14ac:dyDescent="0.3">
      <c r="A1049" t="s">
        <v>4287</v>
      </c>
      <c r="B1049" s="1">
        <v>45520</v>
      </c>
      <c r="C1049" t="s">
        <v>560</v>
      </c>
      <c r="D1049" t="s">
        <v>13</v>
      </c>
      <c r="E1049">
        <v>55302</v>
      </c>
      <c r="F1049" t="s">
        <v>3270</v>
      </c>
      <c r="G1049">
        <v>4644814.9800000004</v>
      </c>
      <c r="H1049" t="s">
        <v>556</v>
      </c>
      <c r="J1049" t="s">
        <v>3271</v>
      </c>
      <c r="K1049">
        <v>83.99</v>
      </c>
      <c r="L1049" s="1">
        <v>45580</v>
      </c>
      <c r="M1049">
        <f>G1049*IF(D1049="INR",1,INDEX('rates'!$B$2:$B$522,MATCH(B1049,'rates'!$A$2:$A$522,1)))</f>
        <v>4644814.9800000004</v>
      </c>
      <c r="N1049">
        <f t="shared" si="16"/>
        <v>60</v>
      </c>
    </row>
    <row r="1050" spans="1:14" x14ac:dyDescent="0.3">
      <c r="A1050" t="s">
        <v>4288</v>
      </c>
      <c r="B1050" s="1">
        <v>45520</v>
      </c>
      <c r="C1050" t="s">
        <v>554</v>
      </c>
      <c r="D1050" t="s">
        <v>36</v>
      </c>
      <c r="E1050">
        <v>564</v>
      </c>
      <c r="F1050" t="s">
        <v>3262</v>
      </c>
      <c r="G1050">
        <v>46558.2</v>
      </c>
      <c r="H1050" t="s">
        <v>556</v>
      </c>
      <c r="J1050" t="s">
        <v>3263</v>
      </c>
      <c r="K1050">
        <v>82.55</v>
      </c>
      <c r="L1050" s="1">
        <v>45580</v>
      </c>
      <c r="M1050">
        <f>G1050*IF(D1050="INR",1,INDEX('rates'!$B$2:$B$522,MATCH(B1050,'rates'!$A$2:$A$522,1)))</f>
        <v>3908560.8899999997</v>
      </c>
      <c r="N1050">
        <f t="shared" si="16"/>
        <v>60</v>
      </c>
    </row>
    <row r="1051" spans="1:14" x14ac:dyDescent="0.3">
      <c r="A1051" t="s">
        <v>4290</v>
      </c>
      <c r="B1051" s="1">
        <v>45520</v>
      </c>
      <c r="C1051" t="s">
        <v>558</v>
      </c>
      <c r="D1051" t="s">
        <v>36</v>
      </c>
      <c r="E1051">
        <v>1019</v>
      </c>
      <c r="F1051" t="s">
        <v>3262</v>
      </c>
      <c r="G1051">
        <v>85320.87</v>
      </c>
      <c r="H1051" t="s">
        <v>556</v>
      </c>
      <c r="J1051" t="s">
        <v>3263</v>
      </c>
      <c r="K1051">
        <v>83.73</v>
      </c>
      <c r="L1051" s="1">
        <v>45580</v>
      </c>
      <c r="M1051">
        <f>G1051*IF(D1051="INR",1,INDEX('rates'!$B$2:$B$522,MATCH(B1051,'rates'!$A$2:$A$522,1)))</f>
        <v>7162687.0364999995</v>
      </c>
      <c r="N1051">
        <f t="shared" si="16"/>
        <v>60</v>
      </c>
    </row>
    <row r="1052" spans="1:14" x14ac:dyDescent="0.3">
      <c r="A1052" t="s">
        <v>4359</v>
      </c>
      <c r="B1052" s="1">
        <v>45551</v>
      </c>
      <c r="C1052" t="s">
        <v>566</v>
      </c>
      <c r="D1052" t="s">
        <v>36</v>
      </c>
      <c r="E1052">
        <v>259</v>
      </c>
      <c r="F1052" t="s">
        <v>3262</v>
      </c>
      <c r="G1052">
        <v>19593.349999999999</v>
      </c>
      <c r="H1052" t="s">
        <v>556</v>
      </c>
      <c r="J1052" t="s">
        <v>3263</v>
      </c>
      <c r="K1052">
        <v>75.650000000000006</v>
      </c>
      <c r="L1052" s="1">
        <v>45581</v>
      </c>
      <c r="M1052">
        <f>G1052*IF(D1052="INR",1,INDEX('rates'!$B$2:$B$522,MATCH(B1052,'rates'!$A$2:$A$522,1)))</f>
        <v>1643686.1314999999</v>
      </c>
      <c r="N1052">
        <f t="shared" si="16"/>
        <v>30</v>
      </c>
    </row>
    <row r="1053" spans="1:14" x14ac:dyDescent="0.3">
      <c r="A1053" t="s">
        <v>4327</v>
      </c>
      <c r="B1053" s="1">
        <v>45537</v>
      </c>
      <c r="C1053" t="s">
        <v>560</v>
      </c>
      <c r="D1053" t="s">
        <v>36</v>
      </c>
      <c r="E1053">
        <v>822</v>
      </c>
      <c r="F1053" t="s">
        <v>3262</v>
      </c>
      <c r="G1053">
        <v>64913.34</v>
      </c>
      <c r="H1053" t="s">
        <v>556</v>
      </c>
      <c r="J1053" t="s">
        <v>3263</v>
      </c>
      <c r="K1053">
        <v>78.97</v>
      </c>
      <c r="L1053" s="1">
        <v>45582</v>
      </c>
      <c r="M1053">
        <f>G1053*IF(D1053="INR",1,INDEX('rates'!$B$2:$B$522,MATCH(B1053,'rates'!$A$2:$A$522,1)))</f>
        <v>5441685.2922</v>
      </c>
      <c r="N1053">
        <f t="shared" si="16"/>
        <v>45</v>
      </c>
    </row>
    <row r="1054" spans="1:14" x14ac:dyDescent="0.3">
      <c r="A1054" t="s">
        <v>4361</v>
      </c>
      <c r="B1054" s="1">
        <v>45552</v>
      </c>
      <c r="C1054" t="s">
        <v>566</v>
      </c>
      <c r="D1054" t="s">
        <v>36</v>
      </c>
      <c r="E1054">
        <v>765</v>
      </c>
      <c r="F1054" t="s">
        <v>3262</v>
      </c>
      <c r="G1054">
        <v>58446</v>
      </c>
      <c r="H1054" t="s">
        <v>573</v>
      </c>
      <c r="I1054">
        <v>88.46</v>
      </c>
      <c r="J1054" t="s">
        <v>3263</v>
      </c>
      <c r="K1054">
        <v>76.400000000000006</v>
      </c>
      <c r="L1054" s="1">
        <v>45582</v>
      </c>
      <c r="M1054">
        <f>G1054*IF(D1054="INR",1,INDEX('rates'!$B$2:$B$522,MATCH(B1054,'rates'!$A$2:$A$522,1)))</f>
        <v>4894852.5</v>
      </c>
      <c r="N1054">
        <f t="shared" si="16"/>
        <v>30</v>
      </c>
    </row>
    <row r="1055" spans="1:14" x14ac:dyDescent="0.3">
      <c r="A1055" t="s">
        <v>4328</v>
      </c>
      <c r="B1055" s="1">
        <v>45538</v>
      </c>
      <c r="C1055" t="s">
        <v>554</v>
      </c>
      <c r="D1055" t="s">
        <v>36</v>
      </c>
      <c r="E1055">
        <v>464</v>
      </c>
      <c r="F1055" t="s">
        <v>3262</v>
      </c>
      <c r="G1055">
        <v>34414.879999999997</v>
      </c>
      <c r="H1055" t="s">
        <v>556</v>
      </c>
      <c r="J1055" t="s">
        <v>3263</v>
      </c>
      <c r="K1055">
        <v>74.17</v>
      </c>
      <c r="L1055" s="1">
        <v>45583</v>
      </c>
      <c r="M1055">
        <f>G1055*IF(D1055="INR",1,INDEX('rates'!$B$2:$B$522,MATCH(B1055,'rates'!$A$2:$A$522,1)))</f>
        <v>2888785.0271999999</v>
      </c>
      <c r="N1055">
        <f t="shared" si="16"/>
        <v>45</v>
      </c>
    </row>
    <row r="1056" spans="1:14" x14ac:dyDescent="0.3">
      <c r="A1056" t="s">
        <v>4329</v>
      </c>
      <c r="B1056" s="1">
        <v>45538</v>
      </c>
      <c r="C1056" t="s">
        <v>566</v>
      </c>
      <c r="D1056" t="s">
        <v>36</v>
      </c>
      <c r="E1056">
        <v>589</v>
      </c>
      <c r="F1056" t="s">
        <v>3262</v>
      </c>
      <c r="G1056">
        <v>44764</v>
      </c>
      <c r="H1056" t="s">
        <v>573</v>
      </c>
      <c r="I1056">
        <v>80.34</v>
      </c>
      <c r="J1056" t="s">
        <v>3263</v>
      </c>
      <c r="K1056">
        <v>76</v>
      </c>
      <c r="L1056" s="1">
        <v>45583</v>
      </c>
      <c r="M1056">
        <f>G1056*IF(D1056="INR",1,INDEX('rates'!$B$2:$B$522,MATCH(B1056,'rates'!$A$2:$A$522,1)))</f>
        <v>3757490.1599999997</v>
      </c>
      <c r="N1056">
        <f t="shared" si="16"/>
        <v>45</v>
      </c>
    </row>
    <row r="1057" spans="1:14" x14ac:dyDescent="0.3">
      <c r="A1057" t="s">
        <v>4364</v>
      </c>
      <c r="B1057" s="1">
        <v>45553</v>
      </c>
      <c r="C1057" t="s">
        <v>566</v>
      </c>
      <c r="D1057" t="s">
        <v>36</v>
      </c>
      <c r="E1057">
        <v>259</v>
      </c>
      <c r="F1057" t="s">
        <v>3262</v>
      </c>
      <c r="G1057">
        <v>19520.830000000002</v>
      </c>
      <c r="H1057" t="s">
        <v>556</v>
      </c>
      <c r="J1057" t="s">
        <v>3263</v>
      </c>
      <c r="K1057">
        <v>75.37</v>
      </c>
      <c r="L1057" s="1">
        <v>45583</v>
      </c>
      <c r="M1057">
        <f>G1057*IF(D1057="INR",1,INDEX('rates'!$B$2:$B$522,MATCH(B1057,'rates'!$A$2:$A$522,1)))</f>
        <v>1634869.5125000002</v>
      </c>
      <c r="N1057">
        <f t="shared" si="16"/>
        <v>30</v>
      </c>
    </row>
    <row r="1058" spans="1:14" x14ac:dyDescent="0.3">
      <c r="A1058" t="s">
        <v>4332</v>
      </c>
      <c r="B1058" s="1">
        <v>45539</v>
      </c>
      <c r="C1058" t="s">
        <v>554</v>
      </c>
      <c r="D1058" t="s">
        <v>36</v>
      </c>
      <c r="E1058">
        <v>319</v>
      </c>
      <c r="F1058" t="s">
        <v>3262</v>
      </c>
      <c r="G1058">
        <v>24377.98</v>
      </c>
      <c r="H1058" t="s">
        <v>556</v>
      </c>
      <c r="J1058" t="s">
        <v>3263</v>
      </c>
      <c r="K1058">
        <v>76.42</v>
      </c>
      <c r="L1058" s="1">
        <v>45584</v>
      </c>
      <c r="M1058">
        <f>G1058*IF(D1058="INR",1,INDEX('rates'!$B$2:$B$522,MATCH(B1058,'rates'!$A$2:$A$522,1)))</f>
        <v>2046531.4210000001</v>
      </c>
      <c r="N1058">
        <f t="shared" si="16"/>
        <v>45</v>
      </c>
    </row>
    <row r="1059" spans="1:14" x14ac:dyDescent="0.3">
      <c r="A1059" t="s">
        <v>4294</v>
      </c>
      <c r="B1059" s="1">
        <v>45525</v>
      </c>
      <c r="C1059" t="s">
        <v>554</v>
      </c>
      <c r="D1059" t="s">
        <v>36</v>
      </c>
      <c r="E1059">
        <v>2107</v>
      </c>
      <c r="F1059" t="s">
        <v>3262</v>
      </c>
      <c r="G1059">
        <v>157603.6</v>
      </c>
      <c r="H1059" t="s">
        <v>573</v>
      </c>
      <c r="I1059">
        <v>82.89</v>
      </c>
      <c r="J1059" t="s">
        <v>3263</v>
      </c>
      <c r="K1059">
        <v>74.8</v>
      </c>
      <c r="L1059" s="1">
        <v>45585</v>
      </c>
      <c r="M1059">
        <f>G1059*IF(D1059="INR",1,INDEX('rates'!$B$2:$B$522,MATCH(B1059,'rates'!$A$2:$A$522,1)))</f>
        <v>13227670.148000002</v>
      </c>
      <c r="N1059">
        <f t="shared" si="16"/>
        <v>60</v>
      </c>
    </row>
    <row r="1060" spans="1:14" x14ac:dyDescent="0.3">
      <c r="A1060" t="s">
        <v>4368</v>
      </c>
      <c r="B1060" s="1">
        <v>45555</v>
      </c>
      <c r="C1060" t="s">
        <v>566</v>
      </c>
      <c r="D1060" t="s">
        <v>36</v>
      </c>
      <c r="E1060">
        <v>548</v>
      </c>
      <c r="F1060" t="s">
        <v>3262</v>
      </c>
      <c r="G1060">
        <v>42607</v>
      </c>
      <c r="H1060" t="s">
        <v>573</v>
      </c>
      <c r="I1060">
        <v>87.43</v>
      </c>
      <c r="J1060" t="s">
        <v>3263</v>
      </c>
      <c r="K1060">
        <v>77.75</v>
      </c>
      <c r="L1060" s="1">
        <v>45585</v>
      </c>
      <c r="M1060">
        <f>G1060*IF(D1060="INR",1,INDEX('rates'!$B$2:$B$522,MATCH(B1060,'rates'!$A$2:$A$522,1)))</f>
        <v>3560666.9899999998</v>
      </c>
      <c r="N1060">
        <f t="shared" si="16"/>
        <v>30</v>
      </c>
    </row>
    <row r="1061" spans="1:14" x14ac:dyDescent="0.3">
      <c r="A1061" t="s">
        <v>4371</v>
      </c>
      <c r="B1061" s="1">
        <v>45555</v>
      </c>
      <c r="C1061" t="s">
        <v>560</v>
      </c>
      <c r="D1061" t="s">
        <v>36</v>
      </c>
      <c r="E1061">
        <v>356</v>
      </c>
      <c r="F1061" t="s">
        <v>3262</v>
      </c>
      <c r="G1061">
        <v>27209.08</v>
      </c>
      <c r="H1061" t="s">
        <v>556</v>
      </c>
      <c r="J1061" t="s">
        <v>3263</v>
      </c>
      <c r="K1061">
        <v>76.430000000000007</v>
      </c>
      <c r="L1061" s="1">
        <v>45585</v>
      </c>
      <c r="M1061">
        <f>G1061*IF(D1061="INR",1,INDEX('rates'!$B$2:$B$522,MATCH(B1061,'rates'!$A$2:$A$522,1)))</f>
        <v>2273862.8155999999</v>
      </c>
      <c r="N1061">
        <f t="shared" si="16"/>
        <v>30</v>
      </c>
    </row>
    <row r="1062" spans="1:14" x14ac:dyDescent="0.3">
      <c r="A1062" t="s">
        <v>4372</v>
      </c>
      <c r="B1062" s="1">
        <v>45555</v>
      </c>
      <c r="C1062" t="s">
        <v>560</v>
      </c>
      <c r="D1062" t="s">
        <v>36</v>
      </c>
      <c r="E1062">
        <v>548</v>
      </c>
      <c r="F1062" t="s">
        <v>3262</v>
      </c>
      <c r="G1062">
        <v>41932.959999999999</v>
      </c>
      <c r="H1062" t="s">
        <v>573</v>
      </c>
      <c r="I1062">
        <v>87.43</v>
      </c>
      <c r="J1062" t="s">
        <v>3263</v>
      </c>
      <c r="K1062">
        <v>76.52</v>
      </c>
      <c r="L1062" s="1">
        <v>45585</v>
      </c>
      <c r="M1062">
        <f>G1062*IF(D1062="INR",1,INDEX('rates'!$B$2:$B$522,MATCH(B1062,'rates'!$A$2:$A$522,1)))</f>
        <v>3504337.4671999998</v>
      </c>
      <c r="N1062">
        <f t="shared" si="16"/>
        <v>30</v>
      </c>
    </row>
    <row r="1063" spans="1:14" x14ac:dyDescent="0.3">
      <c r="A1063" t="s">
        <v>4296</v>
      </c>
      <c r="B1063" s="1">
        <v>45526</v>
      </c>
      <c r="C1063" t="s">
        <v>558</v>
      </c>
      <c r="D1063" t="s">
        <v>36</v>
      </c>
      <c r="E1063">
        <v>1245</v>
      </c>
      <c r="F1063" t="s">
        <v>3262</v>
      </c>
      <c r="G1063">
        <v>98143.35</v>
      </c>
      <c r="H1063" t="s">
        <v>556</v>
      </c>
      <c r="J1063" t="s">
        <v>3263</v>
      </c>
      <c r="K1063">
        <v>78.83</v>
      </c>
      <c r="L1063" s="1">
        <v>45586</v>
      </c>
      <c r="M1063">
        <f>G1063*IF(D1063="INR",1,INDEX('rates'!$B$2:$B$522,MATCH(B1063,'rates'!$A$2:$A$522,1)))</f>
        <v>8237171.3655000012</v>
      </c>
      <c r="N1063">
        <f t="shared" si="16"/>
        <v>60</v>
      </c>
    </row>
    <row r="1064" spans="1:14" x14ac:dyDescent="0.3">
      <c r="A1064" t="s">
        <v>4297</v>
      </c>
      <c r="B1064" s="1">
        <v>45526</v>
      </c>
      <c r="C1064" t="s">
        <v>560</v>
      </c>
      <c r="D1064" t="s">
        <v>36</v>
      </c>
      <c r="E1064">
        <v>333</v>
      </c>
      <c r="F1064" t="s">
        <v>3262</v>
      </c>
      <c r="G1064">
        <v>25777.53</v>
      </c>
      <c r="H1064" t="s">
        <v>573</v>
      </c>
      <c r="I1064">
        <v>83.97</v>
      </c>
      <c r="J1064" t="s">
        <v>3263</v>
      </c>
      <c r="K1064">
        <v>77.41</v>
      </c>
      <c r="L1064" s="1">
        <v>45586</v>
      </c>
      <c r="M1064">
        <f>G1064*IF(D1064="INR",1,INDEX('rates'!$B$2:$B$522,MATCH(B1064,'rates'!$A$2:$A$522,1)))</f>
        <v>2163508.0929</v>
      </c>
      <c r="N1064">
        <f t="shared" si="16"/>
        <v>60</v>
      </c>
    </row>
    <row r="1065" spans="1:14" x14ac:dyDescent="0.3">
      <c r="A1065" t="s">
        <v>4335</v>
      </c>
      <c r="B1065" s="1">
        <v>45541</v>
      </c>
      <c r="C1065" t="s">
        <v>554</v>
      </c>
      <c r="D1065" t="s">
        <v>13</v>
      </c>
      <c r="E1065">
        <v>88426</v>
      </c>
      <c r="F1065" t="s">
        <v>3270</v>
      </c>
      <c r="G1065">
        <v>8337687.54</v>
      </c>
      <c r="H1065" t="s">
        <v>556</v>
      </c>
      <c r="J1065" t="s">
        <v>3271</v>
      </c>
      <c r="K1065">
        <v>94.29</v>
      </c>
      <c r="L1065" s="1">
        <v>45586</v>
      </c>
      <c r="M1065">
        <f>G1065*IF(D1065="INR",1,INDEX('rates'!$B$2:$B$522,MATCH(B1065,'rates'!$A$2:$A$522,1)))</f>
        <v>8337687.54</v>
      </c>
      <c r="N1065">
        <f t="shared" si="16"/>
        <v>45</v>
      </c>
    </row>
    <row r="1066" spans="1:14" x14ac:dyDescent="0.3">
      <c r="A1066" t="s">
        <v>4336</v>
      </c>
      <c r="B1066" s="1">
        <v>45541</v>
      </c>
      <c r="C1066" t="s">
        <v>566</v>
      </c>
      <c r="D1066" t="s">
        <v>36</v>
      </c>
      <c r="E1066">
        <v>1544</v>
      </c>
      <c r="F1066" t="s">
        <v>3262</v>
      </c>
      <c r="G1066">
        <v>112835.52</v>
      </c>
      <c r="H1066" t="s">
        <v>573</v>
      </c>
      <c r="I1066">
        <v>81.89</v>
      </c>
      <c r="J1066" t="s">
        <v>3263</v>
      </c>
      <c r="K1066">
        <v>73.08</v>
      </c>
      <c r="L1066" s="1">
        <v>45586</v>
      </c>
      <c r="M1066">
        <f>G1066*IF(D1066="INR",1,INDEX('rates'!$B$2:$B$522,MATCH(B1066,'rates'!$A$2:$A$522,1)))</f>
        <v>9468028.4832000006</v>
      </c>
      <c r="N1066">
        <f t="shared" si="16"/>
        <v>45</v>
      </c>
    </row>
    <row r="1067" spans="1:14" x14ac:dyDescent="0.3">
      <c r="A1067" t="s">
        <v>4337</v>
      </c>
      <c r="B1067" s="1">
        <v>45541</v>
      </c>
      <c r="C1067" t="s">
        <v>558</v>
      </c>
      <c r="D1067" t="s">
        <v>36</v>
      </c>
      <c r="E1067">
        <v>796</v>
      </c>
      <c r="F1067" t="s">
        <v>3262</v>
      </c>
      <c r="G1067">
        <v>57956.76</v>
      </c>
      <c r="H1067" t="s">
        <v>556</v>
      </c>
      <c r="J1067" t="s">
        <v>3263</v>
      </c>
      <c r="K1067">
        <v>72.81</v>
      </c>
      <c r="L1067" s="1">
        <v>45586</v>
      </c>
      <c r="M1067">
        <f>G1067*IF(D1067="INR",1,INDEX('rates'!$B$2:$B$522,MATCH(B1067,'rates'!$A$2:$A$522,1)))</f>
        <v>4863151.7315999996</v>
      </c>
      <c r="N1067">
        <f t="shared" si="16"/>
        <v>45</v>
      </c>
    </row>
    <row r="1068" spans="1:14" x14ac:dyDescent="0.3">
      <c r="A1068" t="s">
        <v>4340</v>
      </c>
      <c r="B1068" s="1">
        <v>45541</v>
      </c>
      <c r="C1068" t="s">
        <v>560</v>
      </c>
      <c r="D1068" t="s">
        <v>36</v>
      </c>
      <c r="E1068">
        <v>594</v>
      </c>
      <c r="F1068" t="s">
        <v>3262</v>
      </c>
      <c r="G1068">
        <v>42667</v>
      </c>
      <c r="H1068" t="s">
        <v>556</v>
      </c>
      <c r="J1068" t="s">
        <v>3263</v>
      </c>
      <c r="K1068">
        <v>71.83</v>
      </c>
      <c r="L1068" s="1">
        <v>45586</v>
      </c>
      <c r="M1068">
        <f>G1068*IF(D1068="INR",1,INDEX('rates'!$B$2:$B$522,MATCH(B1068,'rates'!$A$2:$A$522,1)))</f>
        <v>3580187.9699999997</v>
      </c>
      <c r="N1068">
        <f t="shared" si="16"/>
        <v>45</v>
      </c>
    </row>
    <row r="1069" spans="1:14" x14ac:dyDescent="0.3">
      <c r="A1069" t="s">
        <v>4342</v>
      </c>
      <c r="B1069" s="1">
        <v>45541</v>
      </c>
      <c r="C1069" t="s">
        <v>575</v>
      </c>
      <c r="D1069" t="s">
        <v>36</v>
      </c>
      <c r="E1069">
        <v>702</v>
      </c>
      <c r="F1069" t="s">
        <v>3262</v>
      </c>
      <c r="G1069">
        <v>51709.32</v>
      </c>
      <c r="H1069" t="s">
        <v>573</v>
      </c>
      <c r="I1069">
        <v>81.89</v>
      </c>
      <c r="J1069" t="s">
        <v>3263</v>
      </c>
      <c r="K1069">
        <v>73.66</v>
      </c>
      <c r="L1069" s="1">
        <v>45586</v>
      </c>
      <c r="M1069">
        <f>G1069*IF(D1069="INR",1,INDEX('rates'!$B$2:$B$522,MATCH(B1069,'rates'!$A$2:$A$522,1)))</f>
        <v>4338929.0411999999</v>
      </c>
      <c r="N1069">
        <f t="shared" si="16"/>
        <v>45</v>
      </c>
    </row>
    <row r="1070" spans="1:14" x14ac:dyDescent="0.3">
      <c r="A1070" t="s">
        <v>4302</v>
      </c>
      <c r="B1070" s="1">
        <v>45527</v>
      </c>
      <c r="C1070" t="s">
        <v>560</v>
      </c>
      <c r="D1070" t="s">
        <v>36</v>
      </c>
      <c r="E1070">
        <v>1492</v>
      </c>
      <c r="F1070" t="s">
        <v>3262</v>
      </c>
      <c r="G1070">
        <v>121881.48</v>
      </c>
      <c r="H1070" t="s">
        <v>556</v>
      </c>
      <c r="J1070" t="s">
        <v>3263</v>
      </c>
      <c r="K1070">
        <v>81.69</v>
      </c>
      <c r="L1070" s="1">
        <v>45587</v>
      </c>
      <c r="M1070">
        <f>G1070*IF(D1070="INR",1,INDEX('rates'!$B$2:$B$522,MATCH(B1070,'rates'!$A$2:$A$522,1)))</f>
        <v>10227074.9868</v>
      </c>
      <c r="N1070">
        <f t="shared" si="16"/>
        <v>60</v>
      </c>
    </row>
    <row r="1071" spans="1:14" x14ac:dyDescent="0.3">
      <c r="A1071" t="s">
        <v>4304</v>
      </c>
      <c r="B1071" s="1">
        <v>45527</v>
      </c>
      <c r="C1071" t="s">
        <v>558</v>
      </c>
      <c r="D1071" t="s">
        <v>36</v>
      </c>
      <c r="E1071">
        <v>709</v>
      </c>
      <c r="F1071" t="s">
        <v>3262</v>
      </c>
      <c r="G1071">
        <v>56202.43</v>
      </c>
      <c r="H1071" t="s">
        <v>573</v>
      </c>
      <c r="I1071">
        <v>83.97</v>
      </c>
      <c r="J1071" t="s">
        <v>3263</v>
      </c>
      <c r="K1071">
        <v>79.27</v>
      </c>
      <c r="L1071" s="1">
        <v>45587</v>
      </c>
      <c r="M1071">
        <f>G1071*IF(D1071="INR",1,INDEX('rates'!$B$2:$B$522,MATCH(B1071,'rates'!$A$2:$A$522,1)))</f>
        <v>4715945.9013</v>
      </c>
      <c r="N1071">
        <f t="shared" si="16"/>
        <v>60</v>
      </c>
    </row>
    <row r="1072" spans="1:14" x14ac:dyDescent="0.3">
      <c r="A1072" t="s">
        <v>4345</v>
      </c>
      <c r="B1072" s="1">
        <v>45545</v>
      </c>
      <c r="C1072" t="s">
        <v>558</v>
      </c>
      <c r="D1072" t="s">
        <v>36</v>
      </c>
      <c r="E1072">
        <v>572</v>
      </c>
      <c r="F1072" t="s">
        <v>3262</v>
      </c>
      <c r="G1072">
        <v>41916.160000000003</v>
      </c>
      <c r="H1072" t="s">
        <v>556</v>
      </c>
      <c r="J1072" t="s">
        <v>3263</v>
      </c>
      <c r="K1072">
        <v>73.28</v>
      </c>
      <c r="L1072" s="1">
        <v>45590</v>
      </c>
      <c r="M1072">
        <f>G1072*IF(D1072="INR",1,INDEX('rates'!$B$2:$B$522,MATCH(B1072,'rates'!$A$2:$A$522,1)))</f>
        <v>3518861.6320000002</v>
      </c>
      <c r="N1072">
        <f t="shared" si="16"/>
        <v>45</v>
      </c>
    </row>
    <row r="1073" spans="1:14" x14ac:dyDescent="0.3">
      <c r="A1073" t="s">
        <v>4374</v>
      </c>
      <c r="B1073" s="1">
        <v>45560</v>
      </c>
      <c r="C1073" t="s">
        <v>554</v>
      </c>
      <c r="D1073" t="s">
        <v>36</v>
      </c>
      <c r="E1073">
        <v>335</v>
      </c>
      <c r="F1073" t="s">
        <v>3262</v>
      </c>
      <c r="G1073">
        <v>24689.5</v>
      </c>
      <c r="H1073" t="s">
        <v>573</v>
      </c>
      <c r="I1073">
        <v>88.85</v>
      </c>
      <c r="J1073" t="s">
        <v>3263</v>
      </c>
      <c r="K1073">
        <v>73.7</v>
      </c>
      <c r="L1073" s="1">
        <v>45590</v>
      </c>
      <c r="M1073">
        <f>G1073*IF(D1073="INR",1,INDEX('rates'!$B$2:$B$522,MATCH(B1073,'rates'!$A$2:$A$522,1)))</f>
        <v>2063054.62</v>
      </c>
      <c r="N1073">
        <f t="shared" si="16"/>
        <v>30</v>
      </c>
    </row>
    <row r="1074" spans="1:14" x14ac:dyDescent="0.3">
      <c r="A1074" t="s">
        <v>4311</v>
      </c>
      <c r="B1074" s="1">
        <v>45531</v>
      </c>
      <c r="C1074" t="s">
        <v>554</v>
      </c>
      <c r="D1074" t="s">
        <v>36</v>
      </c>
      <c r="E1074">
        <v>156</v>
      </c>
      <c r="F1074" t="s">
        <v>3262</v>
      </c>
      <c r="G1074">
        <v>12597</v>
      </c>
      <c r="H1074" t="s">
        <v>556</v>
      </c>
      <c r="J1074" t="s">
        <v>3263</v>
      </c>
      <c r="K1074">
        <v>80.75</v>
      </c>
      <c r="L1074" s="1">
        <v>45591</v>
      </c>
      <c r="M1074">
        <f>G1074*IF(D1074="INR",1,INDEX('rates'!$B$2:$B$522,MATCH(B1074,'rates'!$A$2:$A$522,1)))</f>
        <v>1057014.27</v>
      </c>
      <c r="N1074">
        <f t="shared" si="16"/>
        <v>60</v>
      </c>
    </row>
    <row r="1075" spans="1:14" x14ac:dyDescent="0.3">
      <c r="A1075" t="s">
        <v>4312</v>
      </c>
      <c r="B1075" s="1">
        <v>45531</v>
      </c>
      <c r="C1075" t="s">
        <v>560</v>
      </c>
      <c r="D1075" t="s">
        <v>36</v>
      </c>
      <c r="E1075">
        <v>564</v>
      </c>
      <c r="F1075" t="s">
        <v>3262</v>
      </c>
      <c r="G1075">
        <v>45836.28</v>
      </c>
      <c r="H1075" t="s">
        <v>556</v>
      </c>
      <c r="J1075" t="s">
        <v>3263</v>
      </c>
      <c r="K1075">
        <v>81.27</v>
      </c>
      <c r="L1075" s="1">
        <v>45591</v>
      </c>
      <c r="M1075">
        <f>G1075*IF(D1075="INR",1,INDEX('rates'!$B$2:$B$522,MATCH(B1075,'rates'!$A$2:$A$522,1)))</f>
        <v>3846122.2547999998</v>
      </c>
      <c r="N1075">
        <f t="shared" si="16"/>
        <v>60</v>
      </c>
    </row>
    <row r="1076" spans="1:14" x14ac:dyDescent="0.3">
      <c r="A1076" t="s">
        <v>4313</v>
      </c>
      <c r="B1076" s="1">
        <v>45531</v>
      </c>
      <c r="C1076" t="s">
        <v>560</v>
      </c>
      <c r="D1076" t="s">
        <v>36</v>
      </c>
      <c r="E1076">
        <v>887</v>
      </c>
      <c r="F1076" t="s">
        <v>3262</v>
      </c>
      <c r="G1076">
        <v>72201.8</v>
      </c>
      <c r="H1076" t="s">
        <v>556</v>
      </c>
      <c r="J1076" t="s">
        <v>3263</v>
      </c>
      <c r="K1076">
        <v>81.400000000000006</v>
      </c>
      <c r="L1076" s="1">
        <v>45591</v>
      </c>
      <c r="M1076">
        <f>G1076*IF(D1076="INR",1,INDEX('rates'!$B$2:$B$522,MATCH(B1076,'rates'!$A$2:$A$522,1)))</f>
        <v>6058453.0379999997</v>
      </c>
      <c r="N1076">
        <f t="shared" si="16"/>
        <v>60</v>
      </c>
    </row>
    <row r="1077" spans="1:14" x14ac:dyDescent="0.3">
      <c r="A1077" t="s">
        <v>4314</v>
      </c>
      <c r="B1077" s="1">
        <v>45531</v>
      </c>
      <c r="C1077" t="s">
        <v>566</v>
      </c>
      <c r="D1077" t="s">
        <v>36</v>
      </c>
      <c r="E1077">
        <v>2864</v>
      </c>
      <c r="F1077" t="s">
        <v>3262</v>
      </c>
      <c r="G1077">
        <v>236996</v>
      </c>
      <c r="H1077" t="s">
        <v>556</v>
      </c>
      <c r="J1077" t="s">
        <v>3263</v>
      </c>
      <c r="K1077">
        <v>82.75</v>
      </c>
      <c r="L1077" s="1">
        <v>45591</v>
      </c>
      <c r="M1077">
        <f>G1077*IF(D1077="INR",1,INDEX('rates'!$B$2:$B$522,MATCH(B1077,'rates'!$A$2:$A$522,1)))</f>
        <v>19886334.359999999</v>
      </c>
      <c r="N1077">
        <f t="shared" si="16"/>
        <v>60</v>
      </c>
    </row>
    <row r="1078" spans="1:14" x14ac:dyDescent="0.3">
      <c r="A1078" t="s">
        <v>4315</v>
      </c>
      <c r="B1078" s="1">
        <v>45531</v>
      </c>
      <c r="C1078" t="s">
        <v>566</v>
      </c>
      <c r="D1078" t="s">
        <v>36</v>
      </c>
      <c r="E1078">
        <v>801</v>
      </c>
      <c r="F1078" t="s">
        <v>3262</v>
      </c>
      <c r="G1078">
        <v>65001.15</v>
      </c>
      <c r="H1078" t="s">
        <v>573</v>
      </c>
      <c r="I1078">
        <v>85.86</v>
      </c>
      <c r="J1078" t="s">
        <v>3263</v>
      </c>
      <c r="K1078">
        <v>81.150000000000006</v>
      </c>
      <c r="L1078" s="1">
        <v>45591</v>
      </c>
      <c r="M1078">
        <f>G1078*IF(D1078="INR",1,INDEX('rates'!$B$2:$B$522,MATCH(B1078,'rates'!$A$2:$A$522,1)))</f>
        <v>5454246.4965000004</v>
      </c>
      <c r="N1078">
        <f t="shared" si="16"/>
        <v>60</v>
      </c>
    </row>
    <row r="1079" spans="1:14" x14ac:dyDescent="0.3">
      <c r="A1079" t="s">
        <v>4378</v>
      </c>
      <c r="B1079" s="1">
        <v>45561</v>
      </c>
      <c r="C1079" t="s">
        <v>566</v>
      </c>
      <c r="D1079" t="s">
        <v>36</v>
      </c>
      <c r="E1079">
        <v>1595</v>
      </c>
      <c r="F1079" t="s">
        <v>3262</v>
      </c>
      <c r="G1079">
        <v>114409.35</v>
      </c>
      <c r="H1079" t="s">
        <v>573</v>
      </c>
      <c r="I1079">
        <v>88.63</v>
      </c>
      <c r="J1079" t="s">
        <v>3263</v>
      </c>
      <c r="K1079">
        <v>71.73</v>
      </c>
      <c r="L1079" s="1">
        <v>45591</v>
      </c>
      <c r="M1079">
        <f>G1079*IF(D1079="INR",1,INDEX('rates'!$B$2:$B$522,MATCH(B1079,'rates'!$A$2:$A$522,1)))</f>
        <v>9564621.6600000001</v>
      </c>
      <c r="N1079">
        <f t="shared" si="16"/>
        <v>30</v>
      </c>
    </row>
    <row r="1080" spans="1:14" x14ac:dyDescent="0.3">
      <c r="A1080" t="s">
        <v>4317</v>
      </c>
      <c r="B1080" s="1">
        <v>45532</v>
      </c>
      <c r="C1080" t="s">
        <v>566</v>
      </c>
      <c r="D1080" t="s">
        <v>36</v>
      </c>
      <c r="E1080">
        <v>229</v>
      </c>
      <c r="F1080" t="s">
        <v>3262</v>
      </c>
      <c r="G1080">
        <v>18086.419999999998</v>
      </c>
      <c r="H1080" t="s">
        <v>556</v>
      </c>
      <c r="J1080" t="s">
        <v>3263</v>
      </c>
      <c r="K1080">
        <v>78.98</v>
      </c>
      <c r="L1080" s="1">
        <v>45592</v>
      </c>
      <c r="M1080">
        <f>G1080*IF(D1080="INR",1,INDEX('rates'!$B$2:$B$522,MATCH(B1080,'rates'!$A$2:$A$522,1)))</f>
        <v>1517450.638</v>
      </c>
      <c r="N1080">
        <f t="shared" si="16"/>
        <v>60</v>
      </c>
    </row>
    <row r="1081" spans="1:14" x14ac:dyDescent="0.3">
      <c r="A1081" t="s">
        <v>4318</v>
      </c>
      <c r="B1081" s="1">
        <v>45532</v>
      </c>
      <c r="C1081" t="s">
        <v>560</v>
      </c>
      <c r="D1081" t="s">
        <v>13</v>
      </c>
      <c r="E1081">
        <v>97357</v>
      </c>
      <c r="F1081" t="s">
        <v>3270</v>
      </c>
      <c r="G1081">
        <v>8741685.0299999993</v>
      </c>
      <c r="H1081" t="s">
        <v>556</v>
      </c>
      <c r="J1081" t="s">
        <v>3271</v>
      </c>
      <c r="K1081">
        <v>89.79</v>
      </c>
      <c r="L1081" s="1">
        <v>45592</v>
      </c>
      <c r="M1081">
        <f>G1081*IF(D1081="INR",1,INDEX('rates'!$B$2:$B$522,MATCH(B1081,'rates'!$A$2:$A$522,1)))</f>
        <v>8741685.0299999993</v>
      </c>
      <c r="N1081">
        <f t="shared" si="16"/>
        <v>60</v>
      </c>
    </row>
    <row r="1082" spans="1:14" x14ac:dyDescent="0.3">
      <c r="A1082" t="s">
        <v>4346</v>
      </c>
      <c r="B1082" s="1">
        <v>45547</v>
      </c>
      <c r="C1082" t="s">
        <v>575</v>
      </c>
      <c r="D1082" t="s">
        <v>36</v>
      </c>
      <c r="E1082">
        <v>805</v>
      </c>
      <c r="F1082" t="s">
        <v>3262</v>
      </c>
      <c r="G1082">
        <v>59642.45</v>
      </c>
      <c r="H1082" t="s">
        <v>556</v>
      </c>
      <c r="J1082" t="s">
        <v>3263</v>
      </c>
      <c r="K1082">
        <v>74.09</v>
      </c>
      <c r="L1082" s="1">
        <v>45592</v>
      </c>
      <c r="M1082">
        <f>G1082*IF(D1082="INR",1,INDEX('rates'!$B$2:$B$522,MATCH(B1082,'rates'!$A$2:$A$522,1)))</f>
        <v>5005194.4040000001</v>
      </c>
      <c r="N1082">
        <f t="shared" si="16"/>
        <v>45</v>
      </c>
    </row>
    <row r="1083" spans="1:14" x14ac:dyDescent="0.3">
      <c r="A1083" t="s">
        <v>4349</v>
      </c>
      <c r="B1083" s="1">
        <v>45547</v>
      </c>
      <c r="C1083" t="s">
        <v>566</v>
      </c>
      <c r="D1083" t="s">
        <v>13</v>
      </c>
      <c r="E1083">
        <v>101512</v>
      </c>
      <c r="F1083" t="s">
        <v>3270</v>
      </c>
      <c r="G1083">
        <v>9549233.8399999999</v>
      </c>
      <c r="H1083" t="s">
        <v>556</v>
      </c>
      <c r="J1083" t="s">
        <v>3271</v>
      </c>
      <c r="K1083">
        <v>94.07</v>
      </c>
      <c r="L1083" s="1">
        <v>45592</v>
      </c>
      <c r="M1083">
        <f>G1083*IF(D1083="INR",1,INDEX('rates'!$B$2:$B$522,MATCH(B1083,'rates'!$A$2:$A$522,1)))</f>
        <v>9549233.8399999999</v>
      </c>
      <c r="N1083">
        <f t="shared" si="16"/>
        <v>45</v>
      </c>
    </row>
    <row r="1084" spans="1:14" x14ac:dyDescent="0.3">
      <c r="A1084" t="s">
        <v>4380</v>
      </c>
      <c r="B1084" s="1">
        <v>45562</v>
      </c>
      <c r="C1084" t="s">
        <v>558</v>
      </c>
      <c r="D1084" t="s">
        <v>36</v>
      </c>
      <c r="E1084">
        <v>422</v>
      </c>
      <c r="F1084" t="s">
        <v>3262</v>
      </c>
      <c r="G1084">
        <v>30839.759999999998</v>
      </c>
      <c r="H1084" t="s">
        <v>573</v>
      </c>
      <c r="I1084">
        <v>88.63</v>
      </c>
      <c r="J1084" t="s">
        <v>3263</v>
      </c>
      <c r="K1084">
        <v>73.08</v>
      </c>
      <c r="L1084" s="1">
        <v>45592</v>
      </c>
      <c r="M1084">
        <f>G1084*IF(D1084="INR",1,INDEX('rates'!$B$2:$B$522,MATCH(B1084,'rates'!$A$2:$A$522,1)))</f>
        <v>2580671.1168</v>
      </c>
      <c r="N1084">
        <f t="shared" si="16"/>
        <v>30</v>
      </c>
    </row>
    <row r="1085" spans="1:14" x14ac:dyDescent="0.3">
      <c r="A1085" t="s">
        <v>4381</v>
      </c>
      <c r="B1085" s="1">
        <v>45562</v>
      </c>
      <c r="C1085" t="s">
        <v>554</v>
      </c>
      <c r="D1085" t="s">
        <v>36</v>
      </c>
      <c r="E1085">
        <v>333</v>
      </c>
      <c r="F1085" t="s">
        <v>3262</v>
      </c>
      <c r="G1085">
        <v>24345.63</v>
      </c>
      <c r="H1085" t="s">
        <v>556</v>
      </c>
      <c r="J1085" t="s">
        <v>3263</v>
      </c>
      <c r="K1085">
        <v>73.11</v>
      </c>
      <c r="L1085" s="1">
        <v>45592</v>
      </c>
      <c r="M1085">
        <f>G1085*IF(D1085="INR",1,INDEX('rates'!$B$2:$B$522,MATCH(B1085,'rates'!$A$2:$A$522,1)))</f>
        <v>2037242.3184000002</v>
      </c>
      <c r="N1085">
        <f t="shared" si="16"/>
        <v>30</v>
      </c>
    </row>
    <row r="1086" spans="1:14" x14ac:dyDescent="0.3">
      <c r="A1086" t="s">
        <v>4382</v>
      </c>
      <c r="B1086" s="1">
        <v>45562</v>
      </c>
      <c r="C1086" t="s">
        <v>560</v>
      </c>
      <c r="D1086" t="s">
        <v>36</v>
      </c>
      <c r="E1086">
        <v>1522</v>
      </c>
      <c r="F1086" t="s">
        <v>3262</v>
      </c>
      <c r="G1086">
        <v>110360.22</v>
      </c>
      <c r="H1086" t="s">
        <v>556</v>
      </c>
      <c r="J1086" t="s">
        <v>3263</v>
      </c>
      <c r="K1086">
        <v>72.510000000000005</v>
      </c>
      <c r="L1086" s="1">
        <v>45592</v>
      </c>
      <c r="M1086">
        <f>G1086*IF(D1086="INR",1,INDEX('rates'!$B$2:$B$522,MATCH(B1086,'rates'!$A$2:$A$522,1)))</f>
        <v>9234943.2096000016</v>
      </c>
      <c r="N1086">
        <f t="shared" si="16"/>
        <v>30</v>
      </c>
    </row>
    <row r="1087" spans="1:14" x14ac:dyDescent="0.3">
      <c r="A1087" t="s">
        <v>4351</v>
      </c>
      <c r="B1087" s="1">
        <v>45548</v>
      </c>
      <c r="C1087" t="s">
        <v>554</v>
      </c>
      <c r="D1087" t="s">
        <v>13</v>
      </c>
      <c r="E1087">
        <v>39432</v>
      </c>
      <c r="F1087" t="s">
        <v>3270</v>
      </c>
      <c r="G1087">
        <v>3749194.56</v>
      </c>
      <c r="H1087" t="s">
        <v>556</v>
      </c>
      <c r="J1087" t="s">
        <v>3271</v>
      </c>
      <c r="K1087">
        <v>95.08</v>
      </c>
      <c r="L1087" s="1">
        <v>45593</v>
      </c>
      <c r="M1087">
        <f>G1087*IF(D1087="INR",1,INDEX('rates'!$B$2:$B$522,MATCH(B1087,'rates'!$A$2:$A$522,1)))</f>
        <v>3749194.56</v>
      </c>
      <c r="N1087">
        <f t="shared" si="16"/>
        <v>45</v>
      </c>
    </row>
    <row r="1088" spans="1:14" x14ac:dyDescent="0.3">
      <c r="A1088" t="s">
        <v>4358</v>
      </c>
      <c r="B1088" s="1">
        <v>45548</v>
      </c>
      <c r="C1088" t="s">
        <v>558</v>
      </c>
      <c r="D1088" t="s">
        <v>36</v>
      </c>
      <c r="E1088">
        <v>253</v>
      </c>
      <c r="F1088" t="s">
        <v>3262</v>
      </c>
      <c r="G1088">
        <v>18233.71</v>
      </c>
      <c r="H1088" t="s">
        <v>556</v>
      </c>
      <c r="J1088" t="s">
        <v>3263</v>
      </c>
      <c r="K1088">
        <v>72.069999999999993</v>
      </c>
      <c r="L1088" s="1">
        <v>45593</v>
      </c>
      <c r="M1088">
        <f>G1088*IF(D1088="INR",1,INDEX('rates'!$B$2:$B$522,MATCH(B1088,'rates'!$A$2:$A$522,1)))</f>
        <v>1529443.5947999998</v>
      </c>
      <c r="N1088">
        <f t="shared" si="16"/>
        <v>45</v>
      </c>
    </row>
    <row r="1089" spans="1:14" x14ac:dyDescent="0.3">
      <c r="A1089" t="s">
        <v>4323</v>
      </c>
      <c r="B1089" s="1">
        <v>45534</v>
      </c>
      <c r="C1089" t="s">
        <v>560</v>
      </c>
      <c r="D1089" t="s">
        <v>36</v>
      </c>
      <c r="E1089">
        <v>408</v>
      </c>
      <c r="F1089" t="s">
        <v>3262</v>
      </c>
      <c r="G1089">
        <v>31289.52</v>
      </c>
      <c r="H1089" t="s">
        <v>556</v>
      </c>
      <c r="J1089" t="s">
        <v>3263</v>
      </c>
      <c r="K1089">
        <v>76.69</v>
      </c>
      <c r="L1089" s="1">
        <v>45594</v>
      </c>
      <c r="M1089">
        <f>G1089*IF(D1089="INR",1,INDEX('rates'!$B$2:$B$522,MATCH(B1089,'rates'!$A$2:$A$522,1)))</f>
        <v>2623000.4616</v>
      </c>
      <c r="N1089">
        <f t="shared" si="16"/>
        <v>60</v>
      </c>
    </row>
    <row r="1090" spans="1:14" x14ac:dyDescent="0.3">
      <c r="A1090" t="s">
        <v>4384</v>
      </c>
      <c r="B1090" s="1">
        <v>45566</v>
      </c>
      <c r="C1090" t="s">
        <v>554</v>
      </c>
      <c r="D1090" t="s">
        <v>36</v>
      </c>
      <c r="E1090">
        <v>1281</v>
      </c>
      <c r="F1090" t="s">
        <v>3262</v>
      </c>
      <c r="G1090">
        <v>97433</v>
      </c>
      <c r="H1090" t="s">
        <v>556</v>
      </c>
      <c r="J1090" t="s">
        <v>3263</v>
      </c>
      <c r="K1090">
        <v>76.06</v>
      </c>
      <c r="L1090" s="1">
        <v>45596</v>
      </c>
      <c r="M1090">
        <f>G1090*IF(D1090="INR",1,INDEX('rates'!$B$2:$B$522,MATCH(B1090,'rates'!$A$2:$A$522,1)))</f>
        <v>8165859.7300000004</v>
      </c>
      <c r="N1090">
        <f t="shared" ref="N1090:N1153" si="17">IF(L1090="","",L1090-B1090)</f>
        <v>30</v>
      </c>
    </row>
    <row r="1091" spans="1:14" x14ac:dyDescent="0.3">
      <c r="A1091" t="s">
        <v>4385</v>
      </c>
      <c r="B1091" s="1">
        <v>45567</v>
      </c>
      <c r="C1091" t="s">
        <v>560</v>
      </c>
      <c r="D1091" t="s">
        <v>36</v>
      </c>
      <c r="E1091">
        <v>334</v>
      </c>
      <c r="F1091" t="s">
        <v>3262</v>
      </c>
      <c r="G1091">
        <v>25367.3</v>
      </c>
      <c r="H1091" t="s">
        <v>573</v>
      </c>
      <c r="I1091">
        <v>91.15</v>
      </c>
      <c r="J1091" t="s">
        <v>3263</v>
      </c>
      <c r="K1091">
        <v>75.95</v>
      </c>
      <c r="L1091" s="1">
        <v>45597</v>
      </c>
      <c r="M1091">
        <f>G1091*IF(D1091="INR",1,INDEX('rates'!$B$2:$B$522,MATCH(B1091,'rates'!$A$2:$A$522,1)))</f>
        <v>2126033.4130000002</v>
      </c>
      <c r="N1091">
        <f t="shared" si="17"/>
        <v>30</v>
      </c>
    </row>
    <row r="1092" spans="1:14" x14ac:dyDescent="0.3">
      <c r="A1092" t="s">
        <v>4387</v>
      </c>
      <c r="B1092" s="1">
        <v>45567</v>
      </c>
      <c r="C1092" t="s">
        <v>554</v>
      </c>
      <c r="D1092" t="s">
        <v>36</v>
      </c>
      <c r="E1092">
        <v>1162</v>
      </c>
      <c r="F1092" t="s">
        <v>3262</v>
      </c>
      <c r="G1092">
        <v>86708.44</v>
      </c>
      <c r="H1092" t="s">
        <v>573</v>
      </c>
      <c r="I1092">
        <v>91.15</v>
      </c>
      <c r="J1092" t="s">
        <v>3263</v>
      </c>
      <c r="K1092">
        <v>74.62</v>
      </c>
      <c r="L1092" s="1">
        <v>45597</v>
      </c>
      <c r="M1092">
        <f>G1092*IF(D1092="INR",1,INDEX('rates'!$B$2:$B$522,MATCH(B1092,'rates'!$A$2:$A$522,1)))</f>
        <v>7267034.3563999999</v>
      </c>
      <c r="N1092">
        <f t="shared" si="17"/>
        <v>30</v>
      </c>
    </row>
    <row r="1093" spans="1:14" x14ac:dyDescent="0.3">
      <c r="A1093" t="s">
        <v>4330</v>
      </c>
      <c r="B1093" s="1">
        <v>45538</v>
      </c>
      <c r="C1093" t="s">
        <v>558</v>
      </c>
      <c r="D1093" t="s">
        <v>36</v>
      </c>
      <c r="E1093">
        <v>698</v>
      </c>
      <c r="F1093" t="s">
        <v>3262</v>
      </c>
      <c r="G1093">
        <v>53236.46</v>
      </c>
      <c r="H1093" t="s">
        <v>556</v>
      </c>
      <c r="J1093" t="s">
        <v>3263</v>
      </c>
      <c r="K1093">
        <v>76.27</v>
      </c>
      <c r="L1093" s="1">
        <v>45598</v>
      </c>
      <c r="M1093">
        <f>G1093*IF(D1093="INR",1,INDEX('rates'!$B$2:$B$522,MATCH(B1093,'rates'!$A$2:$A$522,1)))</f>
        <v>4468668.4523999998</v>
      </c>
      <c r="N1093">
        <f t="shared" si="17"/>
        <v>60</v>
      </c>
    </row>
    <row r="1094" spans="1:14" x14ac:dyDescent="0.3">
      <c r="A1094" t="s">
        <v>4331</v>
      </c>
      <c r="B1094" s="1">
        <v>45539</v>
      </c>
      <c r="C1094" t="s">
        <v>566</v>
      </c>
      <c r="D1094" t="s">
        <v>36</v>
      </c>
      <c r="E1094">
        <v>661</v>
      </c>
      <c r="F1094" t="s">
        <v>3262</v>
      </c>
      <c r="G1094">
        <v>47803.519999999997</v>
      </c>
      <c r="H1094" t="s">
        <v>556</v>
      </c>
      <c r="J1094" t="s">
        <v>3263</v>
      </c>
      <c r="K1094">
        <v>72.319999999999993</v>
      </c>
      <c r="L1094" s="1">
        <v>45599</v>
      </c>
      <c r="M1094">
        <f>G1094*IF(D1094="INR",1,INDEX('rates'!$B$2:$B$522,MATCH(B1094,'rates'!$A$2:$A$522,1)))</f>
        <v>4013105.5039999997</v>
      </c>
      <c r="N1094">
        <f t="shared" si="17"/>
        <v>60</v>
      </c>
    </row>
    <row r="1095" spans="1:14" x14ac:dyDescent="0.3">
      <c r="A1095" t="s">
        <v>4395</v>
      </c>
      <c r="B1095" s="1">
        <v>45569</v>
      </c>
      <c r="C1095" t="s">
        <v>554</v>
      </c>
      <c r="D1095" t="s">
        <v>36</v>
      </c>
      <c r="E1095">
        <v>851</v>
      </c>
      <c r="F1095" t="s">
        <v>3262</v>
      </c>
      <c r="G1095">
        <v>66905.62</v>
      </c>
      <c r="H1095" t="s">
        <v>573</v>
      </c>
      <c r="I1095">
        <v>90.35</v>
      </c>
      <c r="J1095" t="s">
        <v>3263</v>
      </c>
      <c r="K1095">
        <v>78.62</v>
      </c>
      <c r="L1095" s="1">
        <v>45599</v>
      </c>
      <c r="M1095">
        <f>G1095*IF(D1095="INR",1,INDEX('rates'!$B$2:$B$522,MATCH(B1095,'rates'!$A$2:$A$522,1)))</f>
        <v>5619403.0237999996</v>
      </c>
      <c r="N1095">
        <f t="shared" si="17"/>
        <v>30</v>
      </c>
    </row>
    <row r="1096" spans="1:14" x14ac:dyDescent="0.3">
      <c r="A1096" t="s">
        <v>4396</v>
      </c>
      <c r="B1096" s="1">
        <v>45569</v>
      </c>
      <c r="C1096" t="s">
        <v>558</v>
      </c>
      <c r="D1096" t="s">
        <v>36</v>
      </c>
      <c r="E1096">
        <v>377</v>
      </c>
      <c r="F1096" t="s">
        <v>3262</v>
      </c>
      <c r="G1096">
        <v>29801.85</v>
      </c>
      <c r="H1096" t="s">
        <v>573</v>
      </c>
      <c r="I1096">
        <v>90.35</v>
      </c>
      <c r="J1096" t="s">
        <v>3263</v>
      </c>
      <c r="K1096">
        <v>79.05</v>
      </c>
      <c r="L1096" s="1">
        <v>45599</v>
      </c>
      <c r="M1096">
        <f>G1096*IF(D1096="INR",1,INDEX('rates'!$B$2:$B$522,MATCH(B1096,'rates'!$A$2:$A$522,1)))</f>
        <v>2503057.3814999997</v>
      </c>
      <c r="N1096">
        <f t="shared" si="17"/>
        <v>30</v>
      </c>
    </row>
    <row r="1097" spans="1:14" x14ac:dyDescent="0.3">
      <c r="A1097" t="s">
        <v>4369</v>
      </c>
      <c r="B1097" s="1">
        <v>45555</v>
      </c>
      <c r="C1097" t="s">
        <v>558</v>
      </c>
      <c r="D1097" t="s">
        <v>36</v>
      </c>
      <c r="E1097">
        <v>1067</v>
      </c>
      <c r="F1097" t="s">
        <v>3262</v>
      </c>
      <c r="G1097">
        <v>82713.84</v>
      </c>
      <c r="H1097" t="s">
        <v>556</v>
      </c>
      <c r="J1097" t="s">
        <v>3263</v>
      </c>
      <c r="K1097">
        <v>77.52</v>
      </c>
      <c r="L1097" s="1">
        <v>45600</v>
      </c>
      <c r="M1097">
        <f>G1097*IF(D1097="INR",1,INDEX('rates'!$B$2:$B$522,MATCH(B1097,'rates'!$A$2:$A$522,1)))</f>
        <v>6912395.6087999996</v>
      </c>
      <c r="N1097">
        <f t="shared" si="17"/>
        <v>45</v>
      </c>
    </row>
    <row r="1098" spans="1:14" x14ac:dyDescent="0.3">
      <c r="A1098" t="s">
        <v>4370</v>
      </c>
      <c r="B1098" s="1">
        <v>45555</v>
      </c>
      <c r="C1098" t="s">
        <v>554</v>
      </c>
      <c r="D1098" t="s">
        <v>36</v>
      </c>
      <c r="E1098">
        <v>1119</v>
      </c>
      <c r="F1098" t="s">
        <v>3262</v>
      </c>
      <c r="G1098">
        <v>87282</v>
      </c>
      <c r="H1098" t="s">
        <v>556</v>
      </c>
      <c r="J1098" t="s">
        <v>3263</v>
      </c>
      <c r="K1098">
        <v>78</v>
      </c>
      <c r="L1098" s="1">
        <v>45600</v>
      </c>
      <c r="M1098">
        <f>G1098*IF(D1098="INR",1,INDEX('rates'!$B$2:$B$522,MATCH(B1098,'rates'!$A$2:$A$522,1)))</f>
        <v>7294156.7399999993</v>
      </c>
      <c r="N1098">
        <f t="shared" si="17"/>
        <v>45</v>
      </c>
    </row>
    <row r="1099" spans="1:14" x14ac:dyDescent="0.3">
      <c r="A1099" t="s">
        <v>4373</v>
      </c>
      <c r="B1099" s="1">
        <v>45555</v>
      </c>
      <c r="C1099" t="s">
        <v>560</v>
      </c>
      <c r="D1099" t="s">
        <v>36</v>
      </c>
      <c r="E1099">
        <v>608</v>
      </c>
      <c r="F1099" t="s">
        <v>3262</v>
      </c>
      <c r="G1099">
        <v>46360</v>
      </c>
      <c r="H1099" t="s">
        <v>556</v>
      </c>
      <c r="J1099" t="s">
        <v>3263</v>
      </c>
      <c r="K1099">
        <v>76.25</v>
      </c>
      <c r="L1099" s="1">
        <v>45600</v>
      </c>
      <c r="M1099">
        <f>G1099*IF(D1099="INR",1,INDEX('rates'!$B$2:$B$522,MATCH(B1099,'rates'!$A$2:$A$522,1)))</f>
        <v>3874305.1999999997</v>
      </c>
      <c r="N1099">
        <f t="shared" si="17"/>
        <v>45</v>
      </c>
    </row>
    <row r="1100" spans="1:14" x14ac:dyDescent="0.3">
      <c r="A1100" t="s">
        <v>4333</v>
      </c>
      <c r="B1100" s="1">
        <v>45541</v>
      </c>
      <c r="C1100" t="s">
        <v>566</v>
      </c>
      <c r="D1100" t="s">
        <v>36</v>
      </c>
      <c r="E1100">
        <v>2523</v>
      </c>
      <c r="F1100" t="s">
        <v>3262</v>
      </c>
      <c r="G1100">
        <v>181151.4</v>
      </c>
      <c r="H1100" t="s">
        <v>573</v>
      </c>
      <c r="I1100">
        <v>81.89</v>
      </c>
      <c r="J1100" t="s">
        <v>3263</v>
      </c>
      <c r="K1100">
        <v>71.8</v>
      </c>
      <c r="L1100" s="1">
        <v>45601</v>
      </c>
      <c r="M1100">
        <f>G1100*IF(D1100="INR",1,INDEX('rates'!$B$2:$B$522,MATCH(B1100,'rates'!$A$2:$A$522,1)))</f>
        <v>15200413.973999999</v>
      </c>
      <c r="N1100">
        <f t="shared" si="17"/>
        <v>60</v>
      </c>
    </row>
    <row r="1101" spans="1:14" x14ac:dyDescent="0.3">
      <c r="A1101" t="s">
        <v>4338</v>
      </c>
      <c r="B1101" s="1">
        <v>45541</v>
      </c>
      <c r="C1101" t="s">
        <v>558</v>
      </c>
      <c r="D1101" t="s">
        <v>36</v>
      </c>
      <c r="E1101">
        <v>673</v>
      </c>
      <c r="F1101" t="s">
        <v>3262</v>
      </c>
      <c r="G1101">
        <v>48281.02</v>
      </c>
      <c r="H1101" t="s">
        <v>573</v>
      </c>
      <c r="I1101">
        <v>81.89</v>
      </c>
      <c r="J1101" t="s">
        <v>3263</v>
      </c>
      <c r="K1101">
        <v>71.739999999999995</v>
      </c>
      <c r="L1101" s="1">
        <v>45601</v>
      </c>
      <c r="M1101">
        <f>G1101*IF(D1101="INR",1,INDEX('rates'!$B$2:$B$522,MATCH(B1101,'rates'!$A$2:$A$522,1)))</f>
        <v>4051260.3881999995</v>
      </c>
      <c r="N1101">
        <f t="shared" si="17"/>
        <v>60</v>
      </c>
    </row>
    <row r="1102" spans="1:14" x14ac:dyDescent="0.3">
      <c r="A1102" t="s">
        <v>4339</v>
      </c>
      <c r="B1102" s="1">
        <v>45541</v>
      </c>
      <c r="C1102" t="s">
        <v>560</v>
      </c>
      <c r="D1102" t="s">
        <v>36</v>
      </c>
      <c r="E1102">
        <v>738</v>
      </c>
      <c r="F1102" t="s">
        <v>3262</v>
      </c>
      <c r="G1102">
        <v>54021.599999999999</v>
      </c>
      <c r="H1102" t="s">
        <v>556</v>
      </c>
      <c r="J1102" t="s">
        <v>3263</v>
      </c>
      <c r="K1102">
        <v>73.2</v>
      </c>
      <c r="L1102" s="1">
        <v>45601</v>
      </c>
      <c r="M1102">
        <f>G1102*IF(D1102="INR",1,INDEX('rates'!$B$2:$B$522,MATCH(B1102,'rates'!$A$2:$A$522,1)))</f>
        <v>4532952.4559999993</v>
      </c>
      <c r="N1102">
        <f t="shared" si="17"/>
        <v>60</v>
      </c>
    </row>
    <row r="1103" spans="1:14" x14ac:dyDescent="0.3">
      <c r="A1103" t="s">
        <v>4397</v>
      </c>
      <c r="B1103" s="1">
        <v>45572</v>
      </c>
      <c r="C1103" t="s">
        <v>558</v>
      </c>
      <c r="D1103" t="s">
        <v>36</v>
      </c>
      <c r="E1103">
        <v>314</v>
      </c>
      <c r="F1103" t="s">
        <v>3262</v>
      </c>
      <c r="G1103">
        <v>26021.18</v>
      </c>
      <c r="H1103" t="s">
        <v>573</v>
      </c>
      <c r="I1103">
        <v>88.57</v>
      </c>
      <c r="J1103" t="s">
        <v>3263</v>
      </c>
      <c r="K1103">
        <v>82.87</v>
      </c>
      <c r="L1103" s="1">
        <v>45602</v>
      </c>
      <c r="M1103">
        <f>G1103*IF(D1103="INR",1,INDEX('rates'!$B$2:$B$522,MATCH(B1103,'rates'!$A$2:$A$522,1)))</f>
        <v>2184738.2727999999</v>
      </c>
      <c r="N1103">
        <f t="shared" si="17"/>
        <v>30</v>
      </c>
    </row>
    <row r="1104" spans="1:14" x14ac:dyDescent="0.3">
      <c r="A1104" t="s">
        <v>4343</v>
      </c>
      <c r="B1104" s="1">
        <v>45544</v>
      </c>
      <c r="C1104" t="s">
        <v>566</v>
      </c>
      <c r="D1104" t="s">
        <v>36</v>
      </c>
      <c r="E1104">
        <v>456</v>
      </c>
      <c r="F1104" t="s">
        <v>3262</v>
      </c>
      <c r="G1104">
        <v>33798.720000000001</v>
      </c>
      <c r="H1104" t="s">
        <v>573</v>
      </c>
      <c r="I1104">
        <v>84.4</v>
      </c>
      <c r="J1104" t="s">
        <v>3263</v>
      </c>
      <c r="K1104">
        <v>74.12</v>
      </c>
      <c r="L1104" s="1">
        <v>45604</v>
      </c>
      <c r="M1104">
        <f>G1104*IF(D1104="INR",1,INDEX('rates'!$B$2:$B$522,MATCH(B1104,'rates'!$A$2:$A$522,1)))</f>
        <v>2836726.5696000005</v>
      </c>
      <c r="N1104">
        <f t="shared" si="17"/>
        <v>60</v>
      </c>
    </row>
    <row r="1105" spans="1:14" x14ac:dyDescent="0.3">
      <c r="A1105" t="s">
        <v>4344</v>
      </c>
      <c r="B1105" s="1">
        <v>45544</v>
      </c>
      <c r="C1105" t="s">
        <v>558</v>
      </c>
      <c r="D1105" t="s">
        <v>36</v>
      </c>
      <c r="E1105">
        <v>1621</v>
      </c>
      <c r="F1105" t="s">
        <v>3262</v>
      </c>
      <c r="G1105">
        <v>121542.58</v>
      </c>
      <c r="H1105" t="s">
        <v>573</v>
      </c>
      <c r="I1105">
        <v>84.4</v>
      </c>
      <c r="J1105" t="s">
        <v>3263</v>
      </c>
      <c r="K1105">
        <v>74.98</v>
      </c>
      <c r="L1105" s="1">
        <v>45604</v>
      </c>
      <c r="M1105">
        <f>G1105*IF(D1105="INR",1,INDEX('rates'!$B$2:$B$522,MATCH(B1105,'rates'!$A$2:$A$522,1)))</f>
        <v>10201068.739400001</v>
      </c>
      <c r="N1105">
        <f t="shared" si="17"/>
        <v>60</v>
      </c>
    </row>
    <row r="1106" spans="1:14" x14ac:dyDescent="0.3">
      <c r="A1106" t="s">
        <v>4406</v>
      </c>
      <c r="B1106" s="1">
        <v>45575</v>
      </c>
      <c r="C1106" t="s">
        <v>560</v>
      </c>
      <c r="D1106" t="s">
        <v>36</v>
      </c>
      <c r="E1106">
        <v>463</v>
      </c>
      <c r="F1106" t="s">
        <v>3262</v>
      </c>
      <c r="G1106">
        <v>37336.32</v>
      </c>
      <c r="H1106" t="s">
        <v>556</v>
      </c>
      <c r="J1106" t="s">
        <v>3263</v>
      </c>
      <c r="K1106">
        <v>80.64</v>
      </c>
      <c r="L1106" s="1">
        <v>45605</v>
      </c>
      <c r="M1106">
        <f>G1106*IF(D1106="INR",1,INDEX('rates'!$B$2:$B$522,MATCH(B1106,'rates'!$A$2:$A$522,1)))</f>
        <v>3134010.7007999998</v>
      </c>
      <c r="N1106">
        <f t="shared" si="17"/>
        <v>30</v>
      </c>
    </row>
    <row r="1107" spans="1:14" x14ac:dyDescent="0.3">
      <c r="A1107" t="s">
        <v>4376</v>
      </c>
      <c r="B1107" s="1">
        <v>45561</v>
      </c>
      <c r="C1107" t="s">
        <v>575</v>
      </c>
      <c r="D1107" t="s">
        <v>36</v>
      </c>
      <c r="E1107">
        <v>1025</v>
      </c>
      <c r="F1107" t="s">
        <v>3262</v>
      </c>
      <c r="G1107">
        <v>74179.25</v>
      </c>
      <c r="H1107" t="s">
        <v>556</v>
      </c>
      <c r="J1107" t="s">
        <v>3263</v>
      </c>
      <c r="K1107">
        <v>72.37</v>
      </c>
      <c r="L1107" s="1">
        <v>45606</v>
      </c>
      <c r="M1107">
        <f>G1107*IF(D1107="INR",1,INDEX('rates'!$B$2:$B$522,MATCH(B1107,'rates'!$A$2:$A$522,1)))</f>
        <v>6201385.2999999998</v>
      </c>
      <c r="N1107">
        <f t="shared" si="17"/>
        <v>45</v>
      </c>
    </row>
    <row r="1108" spans="1:14" x14ac:dyDescent="0.3">
      <c r="A1108" t="s">
        <v>4409</v>
      </c>
      <c r="B1108" s="1">
        <v>45576</v>
      </c>
      <c r="C1108" t="s">
        <v>575</v>
      </c>
      <c r="D1108" t="s">
        <v>36</v>
      </c>
      <c r="E1108">
        <v>5246</v>
      </c>
      <c r="F1108" t="s">
        <v>3262</v>
      </c>
      <c r="G1108">
        <v>422303</v>
      </c>
      <c r="H1108" t="s">
        <v>556</v>
      </c>
      <c r="J1108" t="s">
        <v>3263</v>
      </c>
      <c r="K1108">
        <v>80.5</v>
      </c>
      <c r="L1108" s="1">
        <v>45606</v>
      </c>
      <c r="M1108">
        <f>G1108*IF(D1108="INR",1,INDEX('rates'!$B$2:$B$522,MATCH(B1108,'rates'!$A$2:$A$522,1)))</f>
        <v>35507236.240000002</v>
      </c>
      <c r="N1108">
        <f t="shared" si="17"/>
        <v>30</v>
      </c>
    </row>
    <row r="1109" spans="1:14" x14ac:dyDescent="0.3">
      <c r="A1109" t="s">
        <v>4348</v>
      </c>
      <c r="B1109" s="1">
        <v>45547</v>
      </c>
      <c r="C1109" t="s">
        <v>554</v>
      </c>
      <c r="D1109" t="s">
        <v>36</v>
      </c>
      <c r="E1109">
        <v>813</v>
      </c>
      <c r="F1109" t="s">
        <v>3262</v>
      </c>
      <c r="G1109">
        <v>59592.9</v>
      </c>
      <c r="H1109" t="s">
        <v>556</v>
      </c>
      <c r="J1109" t="s">
        <v>3263</v>
      </c>
      <c r="K1109">
        <v>73.3</v>
      </c>
      <c r="L1109" s="1">
        <v>45607</v>
      </c>
      <c r="M1109">
        <f>G1109*IF(D1109="INR",1,INDEX('rates'!$B$2:$B$522,MATCH(B1109,'rates'!$A$2:$A$522,1)))</f>
        <v>5001036.1680000005</v>
      </c>
      <c r="N1109">
        <f t="shared" si="17"/>
        <v>60</v>
      </c>
    </row>
    <row r="1110" spans="1:14" x14ac:dyDescent="0.3">
      <c r="A1110" t="s">
        <v>4379</v>
      </c>
      <c r="B1110" s="1">
        <v>45562</v>
      </c>
      <c r="C1110" t="s">
        <v>554</v>
      </c>
      <c r="D1110" t="s">
        <v>36</v>
      </c>
      <c r="E1110">
        <v>618</v>
      </c>
      <c r="F1110" t="s">
        <v>3262</v>
      </c>
      <c r="G1110">
        <v>45509.52</v>
      </c>
      <c r="H1110" t="s">
        <v>573</v>
      </c>
      <c r="I1110">
        <v>88.63</v>
      </c>
      <c r="J1110" t="s">
        <v>3263</v>
      </c>
      <c r="K1110">
        <v>73.64</v>
      </c>
      <c r="L1110" s="1">
        <v>45607</v>
      </c>
      <c r="M1110">
        <f>G1110*IF(D1110="INR",1,INDEX('rates'!$B$2:$B$522,MATCH(B1110,'rates'!$A$2:$A$522,1)))</f>
        <v>3808236.6335999998</v>
      </c>
      <c r="N1110">
        <f t="shared" si="17"/>
        <v>45</v>
      </c>
    </row>
    <row r="1111" spans="1:14" x14ac:dyDescent="0.3">
      <c r="A1111" t="s">
        <v>4352</v>
      </c>
      <c r="B1111" s="1">
        <v>45548</v>
      </c>
      <c r="C1111" t="s">
        <v>558</v>
      </c>
      <c r="D1111" t="s">
        <v>36</v>
      </c>
      <c r="E1111">
        <v>680</v>
      </c>
      <c r="F1111" t="s">
        <v>3262</v>
      </c>
      <c r="G1111">
        <v>49470</v>
      </c>
      <c r="H1111" t="s">
        <v>556</v>
      </c>
      <c r="J1111" t="s">
        <v>3263</v>
      </c>
      <c r="K1111">
        <v>72.75</v>
      </c>
      <c r="L1111" s="1">
        <v>45608</v>
      </c>
      <c r="M1111">
        <f>G1111*IF(D1111="INR",1,INDEX('rates'!$B$2:$B$522,MATCH(B1111,'rates'!$A$2:$A$522,1)))</f>
        <v>4149543.5999999996</v>
      </c>
      <c r="N1111">
        <f t="shared" si="17"/>
        <v>60</v>
      </c>
    </row>
    <row r="1112" spans="1:14" x14ac:dyDescent="0.3">
      <c r="A1112" t="s">
        <v>4353</v>
      </c>
      <c r="B1112" s="1">
        <v>45548</v>
      </c>
      <c r="C1112" t="s">
        <v>566</v>
      </c>
      <c r="D1112" t="s">
        <v>36</v>
      </c>
      <c r="E1112">
        <v>3864</v>
      </c>
      <c r="F1112" t="s">
        <v>3262</v>
      </c>
      <c r="G1112">
        <v>289684.08</v>
      </c>
      <c r="H1112" t="s">
        <v>556</v>
      </c>
      <c r="J1112" t="s">
        <v>3263</v>
      </c>
      <c r="K1112">
        <v>74.97</v>
      </c>
      <c r="L1112" s="1">
        <v>45608</v>
      </c>
      <c r="M1112">
        <f>G1112*IF(D1112="INR",1,INDEX('rates'!$B$2:$B$522,MATCH(B1112,'rates'!$A$2:$A$522,1)))</f>
        <v>24298700.630399998</v>
      </c>
      <c r="N1112">
        <f t="shared" si="17"/>
        <v>60</v>
      </c>
    </row>
    <row r="1113" spans="1:14" x14ac:dyDescent="0.3">
      <c r="A1113" t="s">
        <v>4354</v>
      </c>
      <c r="B1113" s="1">
        <v>45548</v>
      </c>
      <c r="C1113" t="s">
        <v>558</v>
      </c>
      <c r="D1113" t="s">
        <v>36</v>
      </c>
      <c r="E1113">
        <v>1130</v>
      </c>
      <c r="F1113" t="s">
        <v>3262</v>
      </c>
      <c r="G1113">
        <v>83970.3</v>
      </c>
      <c r="H1113" t="s">
        <v>556</v>
      </c>
      <c r="J1113" t="s">
        <v>3263</v>
      </c>
      <c r="K1113">
        <v>74.31</v>
      </c>
      <c r="L1113" s="1">
        <v>45608</v>
      </c>
      <c r="M1113">
        <f>G1113*IF(D1113="INR",1,INDEX('rates'!$B$2:$B$522,MATCH(B1113,'rates'!$A$2:$A$522,1)))</f>
        <v>7043428.7639999995</v>
      </c>
      <c r="N1113">
        <f t="shared" si="17"/>
        <v>60</v>
      </c>
    </row>
    <row r="1114" spans="1:14" x14ac:dyDescent="0.3">
      <c r="A1114" t="s">
        <v>4357</v>
      </c>
      <c r="B1114" s="1">
        <v>45548</v>
      </c>
      <c r="C1114" t="s">
        <v>575</v>
      </c>
      <c r="D1114" t="s">
        <v>36</v>
      </c>
      <c r="E1114">
        <v>7186</v>
      </c>
      <c r="F1114" t="s">
        <v>3262</v>
      </c>
      <c r="G1114">
        <v>538231.4</v>
      </c>
      <c r="H1114" t="s">
        <v>556</v>
      </c>
      <c r="J1114" t="s">
        <v>3263</v>
      </c>
      <c r="K1114">
        <v>74.900000000000006</v>
      </c>
      <c r="L1114" s="1">
        <v>45608</v>
      </c>
      <c r="M1114">
        <f>G1114*IF(D1114="INR",1,INDEX('rates'!$B$2:$B$522,MATCH(B1114,'rates'!$A$2:$A$522,1)))</f>
        <v>45146849.832000002</v>
      </c>
      <c r="N1114">
        <f t="shared" si="17"/>
        <v>60</v>
      </c>
    </row>
    <row r="1115" spans="1:14" x14ac:dyDescent="0.3">
      <c r="A1115" t="s">
        <v>4360</v>
      </c>
      <c r="B1115" s="1">
        <v>45551</v>
      </c>
      <c r="C1115" t="s">
        <v>566</v>
      </c>
      <c r="D1115" t="s">
        <v>36</v>
      </c>
      <c r="E1115">
        <v>2198</v>
      </c>
      <c r="F1115" t="s">
        <v>3262</v>
      </c>
      <c r="G1115">
        <v>167201.85999999999</v>
      </c>
      <c r="H1115" t="s">
        <v>556</v>
      </c>
      <c r="J1115" t="s">
        <v>3263</v>
      </c>
      <c r="K1115">
        <v>76.069999999999993</v>
      </c>
      <c r="L1115" s="1">
        <v>45611</v>
      </c>
      <c r="M1115">
        <f>G1115*IF(D1115="INR",1,INDEX('rates'!$B$2:$B$522,MATCH(B1115,'rates'!$A$2:$A$522,1)))</f>
        <v>14026564.035399999</v>
      </c>
      <c r="N1115">
        <f t="shared" si="17"/>
        <v>60</v>
      </c>
    </row>
    <row r="1116" spans="1:14" x14ac:dyDescent="0.3">
      <c r="A1116" t="s">
        <v>4413</v>
      </c>
      <c r="B1116" s="1">
        <v>45581</v>
      </c>
      <c r="C1116" t="s">
        <v>566</v>
      </c>
      <c r="D1116" t="s">
        <v>13</v>
      </c>
      <c r="E1116">
        <v>94164</v>
      </c>
      <c r="F1116" t="s">
        <v>3270</v>
      </c>
      <c r="G1116">
        <v>9850496.0399999991</v>
      </c>
      <c r="H1116" t="s">
        <v>556</v>
      </c>
      <c r="J1116" t="s">
        <v>3271</v>
      </c>
      <c r="K1116">
        <v>104.61</v>
      </c>
      <c r="L1116" s="1">
        <v>45611</v>
      </c>
      <c r="M1116">
        <f>G1116*IF(D1116="INR",1,INDEX('rates'!$B$2:$B$522,MATCH(B1116,'rates'!$A$2:$A$522,1)))</f>
        <v>9850496.0399999991</v>
      </c>
      <c r="N1116">
        <f t="shared" si="17"/>
        <v>30</v>
      </c>
    </row>
    <row r="1117" spans="1:14" x14ac:dyDescent="0.3">
      <c r="A1117" t="s">
        <v>4414</v>
      </c>
      <c r="B1117" s="1">
        <v>45581</v>
      </c>
      <c r="C1117" t="s">
        <v>554</v>
      </c>
      <c r="D1117" t="s">
        <v>36</v>
      </c>
      <c r="E1117">
        <v>1988</v>
      </c>
      <c r="F1117" t="s">
        <v>3262</v>
      </c>
      <c r="G1117">
        <v>146515.6</v>
      </c>
      <c r="H1117" t="s">
        <v>573</v>
      </c>
      <c r="I1117">
        <v>90.06</v>
      </c>
      <c r="J1117" t="s">
        <v>3263</v>
      </c>
      <c r="K1117">
        <v>73.7</v>
      </c>
      <c r="L1117" s="1">
        <v>45611</v>
      </c>
      <c r="M1117">
        <f>G1117*IF(D1117="INR",1,INDEX('rates'!$B$2:$B$522,MATCH(B1117,'rates'!$A$2:$A$522,1)))</f>
        <v>12308775.556000002</v>
      </c>
      <c r="N1117">
        <f t="shared" si="17"/>
        <v>30</v>
      </c>
    </row>
    <row r="1118" spans="1:14" x14ac:dyDescent="0.3">
      <c r="A1118" t="s">
        <v>4362</v>
      </c>
      <c r="B1118" s="1">
        <v>45552</v>
      </c>
      <c r="C1118" t="s">
        <v>566</v>
      </c>
      <c r="D1118" t="s">
        <v>36</v>
      </c>
      <c r="E1118">
        <v>645</v>
      </c>
      <c r="F1118" t="s">
        <v>3262</v>
      </c>
      <c r="G1118">
        <v>47846.1</v>
      </c>
      <c r="H1118" t="s">
        <v>573</v>
      </c>
      <c r="I1118">
        <v>88.46</v>
      </c>
      <c r="J1118" t="s">
        <v>3263</v>
      </c>
      <c r="K1118">
        <v>74.180000000000007</v>
      </c>
      <c r="L1118" s="1">
        <v>45612</v>
      </c>
      <c r="M1118">
        <f>G1118*IF(D1118="INR",1,INDEX('rates'!$B$2:$B$522,MATCH(B1118,'rates'!$A$2:$A$522,1)))</f>
        <v>4007110.875</v>
      </c>
      <c r="N1118">
        <f t="shared" si="17"/>
        <v>60</v>
      </c>
    </row>
    <row r="1119" spans="1:14" x14ac:dyDescent="0.3">
      <c r="A1119" t="s">
        <v>4386</v>
      </c>
      <c r="B1119" s="1">
        <v>45567</v>
      </c>
      <c r="C1119" t="s">
        <v>558</v>
      </c>
      <c r="D1119" t="s">
        <v>36</v>
      </c>
      <c r="E1119">
        <v>453</v>
      </c>
      <c r="F1119" t="s">
        <v>3262</v>
      </c>
      <c r="G1119">
        <v>34631.85</v>
      </c>
      <c r="H1119" t="s">
        <v>556</v>
      </c>
      <c r="J1119" t="s">
        <v>3263</v>
      </c>
      <c r="K1119">
        <v>76.45</v>
      </c>
      <c r="L1119" s="1">
        <v>45612</v>
      </c>
      <c r="M1119">
        <f>G1119*IF(D1119="INR",1,INDEX('rates'!$B$2:$B$522,MATCH(B1119,'rates'!$A$2:$A$522,1)))</f>
        <v>2902495.3484999998</v>
      </c>
      <c r="N1119">
        <f t="shared" si="17"/>
        <v>45</v>
      </c>
    </row>
    <row r="1120" spans="1:14" x14ac:dyDescent="0.3">
      <c r="A1120" t="s">
        <v>4416</v>
      </c>
      <c r="B1120" s="1">
        <v>45582</v>
      </c>
      <c r="C1120" t="s">
        <v>558</v>
      </c>
      <c r="D1120" t="s">
        <v>36</v>
      </c>
      <c r="E1120">
        <v>261</v>
      </c>
      <c r="F1120" t="s">
        <v>3262</v>
      </c>
      <c r="G1120">
        <v>20167.47</v>
      </c>
      <c r="H1120" t="s">
        <v>556</v>
      </c>
      <c r="J1120" t="s">
        <v>3263</v>
      </c>
      <c r="K1120">
        <v>77.27</v>
      </c>
      <c r="L1120" s="1">
        <v>45612</v>
      </c>
      <c r="M1120">
        <f>G1120*IF(D1120="INR",1,INDEX('rates'!$B$2:$B$522,MATCH(B1120,'rates'!$A$2:$A$522,1)))</f>
        <v>1694874.1788000001</v>
      </c>
      <c r="N1120">
        <f t="shared" si="17"/>
        <v>30</v>
      </c>
    </row>
    <row r="1121" spans="1:14" x14ac:dyDescent="0.3">
      <c r="A1121" t="s">
        <v>4363</v>
      </c>
      <c r="B1121" s="1">
        <v>45553</v>
      </c>
      <c r="C1121" t="s">
        <v>575</v>
      </c>
      <c r="D1121" t="s">
        <v>36</v>
      </c>
      <c r="E1121">
        <v>3374</v>
      </c>
      <c r="F1121" t="s">
        <v>3262</v>
      </c>
      <c r="G1121">
        <v>259966.7</v>
      </c>
      <c r="H1121" t="s">
        <v>573</v>
      </c>
      <c r="I1121">
        <v>89.17</v>
      </c>
      <c r="J1121" t="s">
        <v>3263</v>
      </c>
      <c r="K1121">
        <v>77.05</v>
      </c>
      <c r="L1121" s="1">
        <v>45613</v>
      </c>
      <c r="M1121">
        <f>G1121*IF(D1121="INR",1,INDEX('rates'!$B$2:$B$522,MATCH(B1121,'rates'!$A$2:$A$522,1)))</f>
        <v>21772211.125</v>
      </c>
      <c r="N1121">
        <f t="shared" si="17"/>
        <v>60</v>
      </c>
    </row>
    <row r="1122" spans="1:14" x14ac:dyDescent="0.3">
      <c r="A1122" t="s">
        <v>4365</v>
      </c>
      <c r="B1122" s="1">
        <v>45553</v>
      </c>
      <c r="C1122" t="s">
        <v>575</v>
      </c>
      <c r="D1122" t="s">
        <v>36</v>
      </c>
      <c r="E1122">
        <v>2038</v>
      </c>
      <c r="F1122" t="s">
        <v>3262</v>
      </c>
      <c r="G1122">
        <v>156273.84</v>
      </c>
      <c r="H1122" t="s">
        <v>573</v>
      </c>
      <c r="I1122">
        <v>89.17</v>
      </c>
      <c r="J1122" t="s">
        <v>3263</v>
      </c>
      <c r="K1122">
        <v>76.680000000000007</v>
      </c>
      <c r="L1122" s="1">
        <v>45613</v>
      </c>
      <c r="M1122">
        <f>G1122*IF(D1122="INR",1,INDEX('rates'!$B$2:$B$522,MATCH(B1122,'rates'!$A$2:$A$522,1)))</f>
        <v>13087934.1</v>
      </c>
      <c r="N1122">
        <f t="shared" si="17"/>
        <v>60</v>
      </c>
    </row>
    <row r="1123" spans="1:14" x14ac:dyDescent="0.3">
      <c r="A1123" t="s">
        <v>4366</v>
      </c>
      <c r="B1123" s="1">
        <v>45553</v>
      </c>
      <c r="C1123" t="s">
        <v>566</v>
      </c>
      <c r="D1123" t="s">
        <v>36</v>
      </c>
      <c r="E1123">
        <v>450</v>
      </c>
      <c r="F1123" t="s">
        <v>3262</v>
      </c>
      <c r="G1123">
        <v>33984</v>
      </c>
      <c r="H1123" t="s">
        <v>573</v>
      </c>
      <c r="I1123">
        <v>89.17</v>
      </c>
      <c r="J1123" t="s">
        <v>3263</v>
      </c>
      <c r="K1123">
        <v>75.52</v>
      </c>
      <c r="L1123" s="1">
        <v>45613</v>
      </c>
      <c r="M1123">
        <f>G1123*IF(D1123="INR",1,INDEX('rates'!$B$2:$B$522,MATCH(B1123,'rates'!$A$2:$A$522,1)))</f>
        <v>2846160</v>
      </c>
      <c r="N1123">
        <f t="shared" si="17"/>
        <v>60</v>
      </c>
    </row>
    <row r="1124" spans="1:14" x14ac:dyDescent="0.3">
      <c r="A1124" t="s">
        <v>4388</v>
      </c>
      <c r="B1124" s="1">
        <v>45568</v>
      </c>
      <c r="C1124" t="s">
        <v>575</v>
      </c>
      <c r="D1124" t="s">
        <v>36</v>
      </c>
      <c r="E1124">
        <v>1091</v>
      </c>
      <c r="F1124" t="s">
        <v>3262</v>
      </c>
      <c r="G1124">
        <v>85828.97</v>
      </c>
      <c r="H1124" t="s">
        <v>556</v>
      </c>
      <c r="J1124" t="s">
        <v>3263</v>
      </c>
      <c r="K1124">
        <v>78.67</v>
      </c>
      <c r="L1124" s="1">
        <v>45613</v>
      </c>
      <c r="M1124">
        <f>G1124*IF(D1124="INR",1,INDEX('rates'!$B$2:$B$522,MATCH(B1124,'rates'!$A$2:$A$522,1)))</f>
        <v>7209633.4800000004</v>
      </c>
      <c r="N1124">
        <f t="shared" si="17"/>
        <v>45</v>
      </c>
    </row>
    <row r="1125" spans="1:14" x14ac:dyDescent="0.3">
      <c r="A1125" t="s">
        <v>4418</v>
      </c>
      <c r="B1125" s="1">
        <v>45583</v>
      </c>
      <c r="C1125" t="s">
        <v>566</v>
      </c>
      <c r="D1125" t="s">
        <v>36</v>
      </c>
      <c r="E1125">
        <v>1073</v>
      </c>
      <c r="F1125" t="s">
        <v>3262</v>
      </c>
      <c r="G1125">
        <v>79541.490000000005</v>
      </c>
      <c r="H1125" t="s">
        <v>573</v>
      </c>
      <c r="I1125">
        <v>87.13</v>
      </c>
      <c r="J1125" t="s">
        <v>3263</v>
      </c>
      <c r="K1125">
        <v>74.13</v>
      </c>
      <c r="L1125" s="1">
        <v>45613</v>
      </c>
      <c r="M1125">
        <f>G1125*IF(D1125="INR",1,INDEX('rates'!$B$2:$B$522,MATCH(B1125,'rates'!$A$2:$A$522,1)))</f>
        <v>6683871.4047000008</v>
      </c>
      <c r="N1125">
        <f t="shared" si="17"/>
        <v>30</v>
      </c>
    </row>
    <row r="1126" spans="1:14" x14ac:dyDescent="0.3">
      <c r="A1126" t="s">
        <v>4422</v>
      </c>
      <c r="B1126" s="1">
        <v>45583</v>
      </c>
      <c r="C1126" t="s">
        <v>554</v>
      </c>
      <c r="D1126" t="s">
        <v>36</v>
      </c>
      <c r="E1126">
        <v>575</v>
      </c>
      <c r="F1126" t="s">
        <v>3262</v>
      </c>
      <c r="G1126">
        <v>43107.75</v>
      </c>
      <c r="H1126" t="s">
        <v>573</v>
      </c>
      <c r="I1126">
        <v>87.13</v>
      </c>
      <c r="J1126" t="s">
        <v>3263</v>
      </c>
      <c r="K1126">
        <v>74.97</v>
      </c>
      <c r="L1126" s="1">
        <v>45613</v>
      </c>
      <c r="M1126">
        <f>G1126*IF(D1126="INR",1,INDEX('rates'!$B$2:$B$522,MATCH(B1126,'rates'!$A$2:$A$522,1)))</f>
        <v>3622344.2324999999</v>
      </c>
      <c r="N1126">
        <f t="shared" si="17"/>
        <v>30</v>
      </c>
    </row>
    <row r="1127" spans="1:14" x14ac:dyDescent="0.3">
      <c r="A1127" t="s">
        <v>4424</v>
      </c>
      <c r="B1127" s="1">
        <v>45583</v>
      </c>
      <c r="C1127" t="s">
        <v>575</v>
      </c>
      <c r="D1127" t="s">
        <v>36</v>
      </c>
      <c r="E1127">
        <v>987</v>
      </c>
      <c r="F1127" t="s">
        <v>3262</v>
      </c>
      <c r="G1127">
        <v>73126.83</v>
      </c>
      <c r="H1127" t="s">
        <v>573</v>
      </c>
      <c r="I1127">
        <v>87.13</v>
      </c>
      <c r="J1127" t="s">
        <v>3263</v>
      </c>
      <c r="K1127">
        <v>74.09</v>
      </c>
      <c r="L1127" s="1">
        <v>45613</v>
      </c>
      <c r="M1127">
        <f>G1127*IF(D1127="INR",1,INDEX('rates'!$B$2:$B$522,MATCH(B1127,'rates'!$A$2:$A$522,1)))</f>
        <v>6144847.5249000005</v>
      </c>
      <c r="N1127">
        <f t="shared" si="17"/>
        <v>30</v>
      </c>
    </row>
    <row r="1128" spans="1:14" x14ac:dyDescent="0.3">
      <c r="A1128" t="s">
        <v>4367</v>
      </c>
      <c r="B1128" s="1">
        <v>45554</v>
      </c>
      <c r="C1128" t="s">
        <v>566</v>
      </c>
      <c r="D1128" t="s">
        <v>36</v>
      </c>
      <c r="E1128">
        <v>2438</v>
      </c>
      <c r="F1128" t="s">
        <v>3262</v>
      </c>
      <c r="G1128">
        <v>189530.12</v>
      </c>
      <c r="H1128" t="s">
        <v>573</v>
      </c>
      <c r="I1128">
        <v>87.43</v>
      </c>
      <c r="J1128" t="s">
        <v>3263</v>
      </c>
      <c r="K1128">
        <v>77.739999999999995</v>
      </c>
      <c r="L1128" s="1">
        <v>45614</v>
      </c>
      <c r="M1128">
        <f>G1128*IF(D1128="INR",1,INDEX('rates'!$B$2:$B$522,MATCH(B1128,'rates'!$A$2:$A$522,1)))</f>
        <v>15859880.4416</v>
      </c>
      <c r="N1128">
        <f t="shared" si="17"/>
        <v>60</v>
      </c>
    </row>
    <row r="1129" spans="1:14" x14ac:dyDescent="0.3">
      <c r="A1129" t="s">
        <v>4390</v>
      </c>
      <c r="B1129" s="1">
        <v>45569</v>
      </c>
      <c r="C1129" t="s">
        <v>575</v>
      </c>
      <c r="D1129" t="s">
        <v>36</v>
      </c>
      <c r="E1129">
        <v>3069</v>
      </c>
      <c r="F1129" t="s">
        <v>3262</v>
      </c>
      <c r="G1129">
        <v>241959.96</v>
      </c>
      <c r="H1129" t="s">
        <v>556</v>
      </c>
      <c r="J1129" t="s">
        <v>3263</v>
      </c>
      <c r="K1129">
        <v>78.84</v>
      </c>
      <c r="L1129" s="1">
        <v>45614</v>
      </c>
      <c r="M1129">
        <f>G1129*IF(D1129="INR",1,INDEX('rates'!$B$2:$B$522,MATCH(B1129,'rates'!$A$2:$A$522,1)))</f>
        <v>20322217.040399998</v>
      </c>
      <c r="N1129">
        <f t="shared" si="17"/>
        <v>45</v>
      </c>
    </row>
    <row r="1130" spans="1:14" x14ac:dyDescent="0.3">
      <c r="A1130" t="s">
        <v>4393</v>
      </c>
      <c r="B1130" s="1">
        <v>45569</v>
      </c>
      <c r="C1130" t="s">
        <v>558</v>
      </c>
      <c r="D1130" t="s">
        <v>13</v>
      </c>
      <c r="E1130">
        <v>37930</v>
      </c>
      <c r="F1130" t="s">
        <v>3270</v>
      </c>
      <c r="G1130">
        <v>4081268</v>
      </c>
      <c r="H1130" t="s">
        <v>556</v>
      </c>
      <c r="J1130" t="s">
        <v>3271</v>
      </c>
      <c r="K1130">
        <v>107.6</v>
      </c>
      <c r="L1130" s="1">
        <v>45614</v>
      </c>
      <c r="M1130">
        <f>G1130*IF(D1130="INR",1,INDEX('rates'!$B$2:$B$522,MATCH(B1130,'rates'!$A$2:$A$522,1)))</f>
        <v>4081268</v>
      </c>
      <c r="N1130">
        <f t="shared" si="17"/>
        <v>45</v>
      </c>
    </row>
    <row r="1131" spans="1:14" x14ac:dyDescent="0.3">
      <c r="A1131" t="s">
        <v>4398</v>
      </c>
      <c r="B1131" s="1">
        <v>45572</v>
      </c>
      <c r="C1131" t="s">
        <v>558</v>
      </c>
      <c r="D1131" t="s">
        <v>36</v>
      </c>
      <c r="E1131">
        <v>1802</v>
      </c>
      <c r="F1131" t="s">
        <v>3262</v>
      </c>
      <c r="G1131">
        <v>147745.98000000001</v>
      </c>
      <c r="H1131" t="s">
        <v>556</v>
      </c>
      <c r="J1131" t="s">
        <v>3263</v>
      </c>
      <c r="K1131">
        <v>81.99</v>
      </c>
      <c r="L1131" s="1">
        <v>45617</v>
      </c>
      <c r="M1131">
        <f>G1131*IF(D1131="INR",1,INDEX('rates'!$B$2:$B$522,MATCH(B1131,'rates'!$A$2:$A$522,1)))</f>
        <v>12404752.480799999</v>
      </c>
      <c r="N1131">
        <f t="shared" si="17"/>
        <v>45</v>
      </c>
    </row>
    <row r="1132" spans="1:14" x14ac:dyDescent="0.3">
      <c r="A1132" t="s">
        <v>4399</v>
      </c>
      <c r="B1132" s="1">
        <v>45572</v>
      </c>
      <c r="C1132" t="s">
        <v>558</v>
      </c>
      <c r="D1132" t="s">
        <v>36</v>
      </c>
      <c r="E1132">
        <v>314</v>
      </c>
      <c r="F1132" t="s">
        <v>3262</v>
      </c>
      <c r="G1132">
        <v>25606.7</v>
      </c>
      <c r="H1132" t="s">
        <v>556</v>
      </c>
      <c r="J1132" t="s">
        <v>3263</v>
      </c>
      <c r="K1132">
        <v>81.55</v>
      </c>
      <c r="L1132" s="1">
        <v>45617</v>
      </c>
      <c r="M1132">
        <f>G1132*IF(D1132="INR",1,INDEX('rates'!$B$2:$B$522,MATCH(B1132,'rates'!$A$2:$A$522,1)))</f>
        <v>2149938.5320000001</v>
      </c>
      <c r="N1132">
        <f t="shared" si="17"/>
        <v>45</v>
      </c>
    </row>
    <row r="1133" spans="1:14" x14ac:dyDescent="0.3">
      <c r="A1133" t="s">
        <v>4427</v>
      </c>
      <c r="B1133" s="1">
        <v>45587</v>
      </c>
      <c r="C1133" t="s">
        <v>558</v>
      </c>
      <c r="D1133" t="s">
        <v>36</v>
      </c>
      <c r="E1133">
        <v>319</v>
      </c>
      <c r="F1133" t="s">
        <v>3262</v>
      </c>
      <c r="G1133">
        <v>24897.95</v>
      </c>
      <c r="H1133" t="s">
        <v>556</v>
      </c>
      <c r="J1133" t="s">
        <v>3263</v>
      </c>
      <c r="K1133">
        <v>78.05</v>
      </c>
      <c r="L1133" s="1">
        <v>45617</v>
      </c>
      <c r="M1133">
        <f>G1133*IF(D1133="INR",1,INDEX('rates'!$B$2:$B$522,MATCH(B1133,'rates'!$A$2:$A$522,1)))</f>
        <v>2092921.6770000001</v>
      </c>
      <c r="N1133">
        <f t="shared" si="17"/>
        <v>30</v>
      </c>
    </row>
    <row r="1134" spans="1:14" x14ac:dyDescent="0.3">
      <c r="A1134" t="s">
        <v>4428</v>
      </c>
      <c r="B1134" s="1">
        <v>45588</v>
      </c>
      <c r="C1134" t="s">
        <v>558</v>
      </c>
      <c r="D1134" t="s">
        <v>13</v>
      </c>
      <c r="E1134">
        <v>148942</v>
      </c>
      <c r="F1134" t="s">
        <v>3270</v>
      </c>
      <c r="G1134">
        <v>14831644.359999999</v>
      </c>
      <c r="H1134" t="s">
        <v>556</v>
      </c>
      <c r="J1134" t="s">
        <v>3271</v>
      </c>
      <c r="K1134">
        <v>99.58</v>
      </c>
      <c r="L1134" s="1">
        <v>45618</v>
      </c>
      <c r="M1134">
        <f>G1134*IF(D1134="INR",1,INDEX('rates'!$B$2:$B$522,MATCH(B1134,'rates'!$A$2:$A$522,1)))</f>
        <v>14831644.359999999</v>
      </c>
      <c r="N1134">
        <f t="shared" si="17"/>
        <v>30</v>
      </c>
    </row>
    <row r="1135" spans="1:14" x14ac:dyDescent="0.3">
      <c r="A1135" t="s">
        <v>4402</v>
      </c>
      <c r="B1135" s="1">
        <v>45574</v>
      </c>
      <c r="C1135" t="s">
        <v>575</v>
      </c>
      <c r="D1135" t="s">
        <v>36</v>
      </c>
      <c r="E1135">
        <v>740</v>
      </c>
      <c r="F1135" t="s">
        <v>3262</v>
      </c>
      <c r="G1135">
        <v>58016</v>
      </c>
      <c r="H1135" t="s">
        <v>573</v>
      </c>
      <c r="I1135">
        <v>89.79</v>
      </c>
      <c r="J1135" t="s">
        <v>3263</v>
      </c>
      <c r="K1135">
        <v>78.400000000000006</v>
      </c>
      <c r="L1135" s="1">
        <v>45619</v>
      </c>
      <c r="M1135">
        <f>G1135*IF(D1135="INR",1,INDEX('rates'!$B$2:$B$522,MATCH(B1135,'rates'!$A$2:$A$522,1)))</f>
        <v>4869282.8800000008</v>
      </c>
      <c r="N1135">
        <f t="shared" si="17"/>
        <v>45</v>
      </c>
    </row>
    <row r="1136" spans="1:14" x14ac:dyDescent="0.3">
      <c r="A1136" t="s">
        <v>4431</v>
      </c>
      <c r="B1136" s="1">
        <v>45589</v>
      </c>
      <c r="C1136" t="s">
        <v>575</v>
      </c>
      <c r="D1136" t="s">
        <v>36</v>
      </c>
      <c r="E1136">
        <v>218</v>
      </c>
      <c r="F1136" t="s">
        <v>3262</v>
      </c>
      <c r="G1136">
        <v>16378.34</v>
      </c>
      <c r="H1136" t="s">
        <v>573</v>
      </c>
      <c r="I1136">
        <v>84.08</v>
      </c>
      <c r="J1136" t="s">
        <v>3263</v>
      </c>
      <c r="K1136">
        <v>75.13</v>
      </c>
      <c r="L1136" s="1">
        <v>45619</v>
      </c>
      <c r="M1136">
        <f>G1136*IF(D1136="INR",1,INDEX('rates'!$B$2:$B$522,MATCH(B1136,'rates'!$A$2:$A$522,1)))</f>
        <v>1376599.477</v>
      </c>
      <c r="N1136">
        <f t="shared" si="17"/>
        <v>30</v>
      </c>
    </row>
    <row r="1137" spans="1:14" x14ac:dyDescent="0.3">
      <c r="A1137" t="s">
        <v>4375</v>
      </c>
      <c r="B1137" s="1">
        <v>45560</v>
      </c>
      <c r="C1137" t="s">
        <v>560</v>
      </c>
      <c r="D1137" t="s">
        <v>36</v>
      </c>
      <c r="E1137">
        <v>630</v>
      </c>
      <c r="F1137" t="s">
        <v>3262</v>
      </c>
      <c r="G1137">
        <v>47325.599999999999</v>
      </c>
      <c r="H1137" t="s">
        <v>556</v>
      </c>
      <c r="J1137" t="s">
        <v>3263</v>
      </c>
      <c r="K1137">
        <v>75.12</v>
      </c>
      <c r="L1137" s="1">
        <v>45620</v>
      </c>
      <c r="M1137">
        <f>G1137*IF(D1137="INR",1,INDEX('rates'!$B$2:$B$522,MATCH(B1137,'rates'!$A$2:$A$522,1)))</f>
        <v>3954527.1359999999</v>
      </c>
      <c r="N1137">
        <f t="shared" si="17"/>
        <v>60</v>
      </c>
    </row>
    <row r="1138" spans="1:14" x14ac:dyDescent="0.3">
      <c r="A1138" t="s">
        <v>4407</v>
      </c>
      <c r="B1138" s="1">
        <v>45575</v>
      </c>
      <c r="C1138" t="s">
        <v>558</v>
      </c>
      <c r="D1138" t="s">
        <v>36</v>
      </c>
      <c r="E1138">
        <v>641</v>
      </c>
      <c r="F1138" t="s">
        <v>3262</v>
      </c>
      <c r="G1138">
        <v>51869.72</v>
      </c>
      <c r="H1138" t="s">
        <v>573</v>
      </c>
      <c r="I1138">
        <v>89.33</v>
      </c>
      <c r="J1138" t="s">
        <v>3263</v>
      </c>
      <c r="K1138">
        <v>80.92</v>
      </c>
      <c r="L1138" s="1">
        <v>45620</v>
      </c>
      <c r="M1138">
        <f>G1138*IF(D1138="INR",1,INDEX('rates'!$B$2:$B$522,MATCH(B1138,'rates'!$A$2:$A$522,1)))</f>
        <v>4353944.2967999997</v>
      </c>
      <c r="N1138">
        <f t="shared" si="17"/>
        <v>45</v>
      </c>
    </row>
    <row r="1139" spans="1:14" x14ac:dyDescent="0.3">
      <c r="A1139" t="s">
        <v>4441</v>
      </c>
      <c r="B1139" s="1">
        <v>45590</v>
      </c>
      <c r="C1139" t="s">
        <v>554</v>
      </c>
      <c r="D1139" t="s">
        <v>13</v>
      </c>
      <c r="E1139">
        <v>113919</v>
      </c>
      <c r="F1139" t="s">
        <v>3270</v>
      </c>
      <c r="G1139">
        <v>10463460.15</v>
      </c>
      <c r="H1139" t="s">
        <v>556</v>
      </c>
      <c r="J1139" t="s">
        <v>3271</v>
      </c>
      <c r="K1139">
        <v>91.85</v>
      </c>
      <c r="L1139" s="1">
        <v>45620</v>
      </c>
      <c r="M1139">
        <f>G1139*IF(D1139="INR",1,INDEX('rates'!$B$2:$B$522,MATCH(B1139,'rates'!$A$2:$A$522,1)))</f>
        <v>10463460.15</v>
      </c>
      <c r="N1139">
        <f t="shared" si="17"/>
        <v>30</v>
      </c>
    </row>
    <row r="1140" spans="1:14" x14ac:dyDescent="0.3">
      <c r="A1140" t="s">
        <v>4377</v>
      </c>
      <c r="B1140" s="1">
        <v>45561</v>
      </c>
      <c r="C1140" t="s">
        <v>560</v>
      </c>
      <c r="D1140" t="s">
        <v>36</v>
      </c>
      <c r="E1140">
        <v>1044</v>
      </c>
      <c r="F1140" t="s">
        <v>3262</v>
      </c>
      <c r="G1140">
        <v>74405.88</v>
      </c>
      <c r="H1140" t="s">
        <v>556</v>
      </c>
      <c r="J1140" t="s">
        <v>3263</v>
      </c>
      <c r="K1140">
        <v>71.27</v>
      </c>
      <c r="L1140" s="1">
        <v>45621</v>
      </c>
      <c r="M1140">
        <f>G1140*IF(D1140="INR",1,INDEX('rates'!$B$2:$B$522,MATCH(B1140,'rates'!$A$2:$A$522,1)))</f>
        <v>6220331.568</v>
      </c>
      <c r="N1140">
        <f t="shared" si="17"/>
        <v>60</v>
      </c>
    </row>
    <row r="1141" spans="1:14" x14ac:dyDescent="0.3">
      <c r="A1141" t="s">
        <v>4408</v>
      </c>
      <c r="B1141" s="1">
        <v>45576</v>
      </c>
      <c r="C1141" t="s">
        <v>575</v>
      </c>
      <c r="D1141" t="s">
        <v>36</v>
      </c>
      <c r="E1141">
        <v>232</v>
      </c>
      <c r="F1141" t="s">
        <v>3262</v>
      </c>
      <c r="G1141">
        <v>18747.919999999998</v>
      </c>
      <c r="H1141" t="s">
        <v>573</v>
      </c>
      <c r="I1141">
        <v>89.33</v>
      </c>
      <c r="J1141" t="s">
        <v>3263</v>
      </c>
      <c r="K1141">
        <v>80.81</v>
      </c>
      <c r="L1141" s="1">
        <v>45621</v>
      </c>
      <c r="M1141">
        <f>G1141*IF(D1141="INR",1,INDEX('rates'!$B$2:$B$522,MATCH(B1141,'rates'!$A$2:$A$522,1)))</f>
        <v>1576325.1135999998</v>
      </c>
      <c r="N1141">
        <f t="shared" si="17"/>
        <v>45</v>
      </c>
    </row>
    <row r="1142" spans="1:14" x14ac:dyDescent="0.3">
      <c r="A1142" t="s">
        <v>4411</v>
      </c>
      <c r="B1142" s="1">
        <v>45579</v>
      </c>
      <c r="C1142" t="s">
        <v>566</v>
      </c>
      <c r="D1142" t="s">
        <v>13</v>
      </c>
      <c r="E1142">
        <v>51315</v>
      </c>
      <c r="F1142" t="s">
        <v>3270</v>
      </c>
      <c r="G1142">
        <v>4685572.6500000004</v>
      </c>
      <c r="H1142" t="s">
        <v>556</v>
      </c>
      <c r="J1142" t="s">
        <v>3271</v>
      </c>
      <c r="K1142">
        <v>91.31</v>
      </c>
      <c r="L1142" s="1">
        <v>45624</v>
      </c>
      <c r="M1142">
        <f>G1142*IF(D1142="INR",1,INDEX('rates'!$B$2:$B$522,MATCH(B1142,'rates'!$A$2:$A$522,1)))</f>
        <v>4685572.6500000004</v>
      </c>
      <c r="N1142">
        <f t="shared" si="17"/>
        <v>45</v>
      </c>
    </row>
    <row r="1143" spans="1:14" x14ac:dyDescent="0.3">
      <c r="A1143" t="s">
        <v>4412</v>
      </c>
      <c r="B1143" s="1">
        <v>45579</v>
      </c>
      <c r="C1143" t="s">
        <v>558</v>
      </c>
      <c r="D1143" t="s">
        <v>36</v>
      </c>
      <c r="E1143">
        <v>611</v>
      </c>
      <c r="F1143" t="s">
        <v>3262</v>
      </c>
      <c r="G1143">
        <v>50517.48</v>
      </c>
      <c r="H1143" t="s">
        <v>556</v>
      </c>
      <c r="J1143" t="s">
        <v>3263</v>
      </c>
      <c r="K1143">
        <v>82.68</v>
      </c>
      <c r="L1143" s="1">
        <v>45624</v>
      </c>
      <c r="M1143">
        <f>G1143*IF(D1143="INR",1,INDEX('rates'!$B$2:$B$522,MATCH(B1143,'rates'!$A$2:$A$522,1)))</f>
        <v>4247509.7184000006</v>
      </c>
      <c r="N1143">
        <f t="shared" si="17"/>
        <v>45</v>
      </c>
    </row>
    <row r="1144" spans="1:14" x14ac:dyDescent="0.3">
      <c r="A1144" t="s">
        <v>4383</v>
      </c>
      <c r="B1144" s="1">
        <v>45565</v>
      </c>
      <c r="C1144" t="s">
        <v>566</v>
      </c>
      <c r="D1144" t="s">
        <v>13</v>
      </c>
      <c r="E1144">
        <v>73142</v>
      </c>
      <c r="F1144" t="s">
        <v>3270</v>
      </c>
      <c r="G1144">
        <v>6210487.2199999997</v>
      </c>
      <c r="H1144" t="s">
        <v>556</v>
      </c>
      <c r="J1144" t="s">
        <v>3271</v>
      </c>
      <c r="K1144">
        <v>84.91</v>
      </c>
      <c r="L1144" s="1">
        <v>45625</v>
      </c>
      <c r="M1144">
        <f>G1144*IF(D1144="INR",1,INDEX('rates'!$B$2:$B$522,MATCH(B1144,'rates'!$A$2:$A$522,1)))</f>
        <v>6210487.2199999997</v>
      </c>
      <c r="N1144">
        <f t="shared" si="17"/>
        <v>60</v>
      </c>
    </row>
    <row r="1145" spans="1:14" x14ac:dyDescent="0.3">
      <c r="A1145" t="s">
        <v>4445</v>
      </c>
      <c r="B1145" s="1">
        <v>45595</v>
      </c>
      <c r="C1145" t="s">
        <v>558</v>
      </c>
      <c r="D1145" t="s">
        <v>36</v>
      </c>
      <c r="E1145">
        <v>1335</v>
      </c>
      <c r="F1145" t="s">
        <v>3262</v>
      </c>
      <c r="G1145">
        <v>97948.95</v>
      </c>
      <c r="H1145" t="s">
        <v>556</v>
      </c>
      <c r="J1145" t="s">
        <v>3263</v>
      </c>
      <c r="K1145">
        <v>73.37</v>
      </c>
      <c r="L1145" s="1">
        <v>45625</v>
      </c>
      <c r="M1145">
        <f>G1145*IF(D1145="INR",1,INDEX('rates'!$B$2:$B$522,MATCH(B1145,'rates'!$A$2:$A$522,1)))</f>
        <v>8234568.2264999989</v>
      </c>
      <c r="N1145">
        <f t="shared" si="17"/>
        <v>30</v>
      </c>
    </row>
    <row r="1146" spans="1:14" x14ac:dyDescent="0.3">
      <c r="A1146" t="s">
        <v>4447</v>
      </c>
      <c r="B1146" s="1">
        <v>45595</v>
      </c>
      <c r="C1146" t="s">
        <v>566</v>
      </c>
      <c r="D1146" t="s">
        <v>36</v>
      </c>
      <c r="E1146">
        <v>730</v>
      </c>
      <c r="F1146" t="s">
        <v>3262</v>
      </c>
      <c r="G1146">
        <v>53808.3</v>
      </c>
      <c r="H1146" t="s">
        <v>573</v>
      </c>
      <c r="I1146">
        <v>83.18</v>
      </c>
      <c r="J1146" t="s">
        <v>3263</v>
      </c>
      <c r="K1146">
        <v>73.709999999999994</v>
      </c>
      <c r="L1146" s="1">
        <v>45625</v>
      </c>
      <c r="M1146">
        <f>G1146*IF(D1146="INR",1,INDEX('rates'!$B$2:$B$522,MATCH(B1146,'rates'!$A$2:$A$522,1)))</f>
        <v>4523663.7809999995</v>
      </c>
      <c r="N1146">
        <f t="shared" si="17"/>
        <v>30</v>
      </c>
    </row>
    <row r="1147" spans="1:14" x14ac:dyDescent="0.3">
      <c r="A1147" t="s">
        <v>4448</v>
      </c>
      <c r="B1147" s="1">
        <v>45596</v>
      </c>
      <c r="C1147" t="s">
        <v>560</v>
      </c>
      <c r="D1147" t="s">
        <v>36</v>
      </c>
      <c r="E1147">
        <v>1470</v>
      </c>
      <c r="F1147" t="s">
        <v>3262</v>
      </c>
      <c r="G1147">
        <v>107427.6</v>
      </c>
      <c r="H1147" t="s">
        <v>556</v>
      </c>
      <c r="J1147" t="s">
        <v>3263</v>
      </c>
      <c r="K1147">
        <v>73.08</v>
      </c>
      <c r="L1147" s="1">
        <v>45626</v>
      </c>
      <c r="M1147">
        <f>G1147*IF(D1147="INR",1,INDEX('rates'!$B$2:$B$522,MATCH(B1147,'rates'!$A$2:$A$522,1)))</f>
        <v>9030364.0559999999</v>
      </c>
      <c r="N1147">
        <f t="shared" si="17"/>
        <v>30</v>
      </c>
    </row>
    <row r="1148" spans="1:14" x14ac:dyDescent="0.3">
      <c r="A1148" t="s">
        <v>4417</v>
      </c>
      <c r="B1148" s="1">
        <v>45582</v>
      </c>
      <c r="C1148" t="s">
        <v>560</v>
      </c>
      <c r="D1148" t="s">
        <v>13</v>
      </c>
      <c r="E1148">
        <v>81241</v>
      </c>
      <c r="F1148" t="s">
        <v>3270</v>
      </c>
      <c r="G1148">
        <v>6556148.7000000002</v>
      </c>
      <c r="H1148" t="s">
        <v>556</v>
      </c>
      <c r="J1148" t="s">
        <v>3271</v>
      </c>
      <c r="K1148">
        <v>80.7</v>
      </c>
      <c r="L1148" s="1">
        <v>45627</v>
      </c>
      <c r="M1148">
        <f>G1148*IF(D1148="INR",1,INDEX('rates'!$B$2:$B$522,MATCH(B1148,'rates'!$A$2:$A$522,1)))</f>
        <v>6556148.7000000002</v>
      </c>
      <c r="N1148">
        <f t="shared" si="17"/>
        <v>45</v>
      </c>
    </row>
    <row r="1149" spans="1:14" x14ac:dyDescent="0.3">
      <c r="A1149" t="s">
        <v>4451</v>
      </c>
      <c r="B1149" s="1">
        <v>45597</v>
      </c>
      <c r="C1149" t="s">
        <v>558</v>
      </c>
      <c r="D1149" t="s">
        <v>36</v>
      </c>
      <c r="E1149">
        <v>1942</v>
      </c>
      <c r="F1149" t="s">
        <v>3262</v>
      </c>
      <c r="G1149">
        <v>142037.88</v>
      </c>
      <c r="H1149" t="s">
        <v>556</v>
      </c>
      <c r="J1149" t="s">
        <v>3263</v>
      </c>
      <c r="K1149">
        <v>73.14</v>
      </c>
      <c r="L1149" s="1">
        <v>45627</v>
      </c>
      <c r="M1149">
        <f>G1149*IF(D1149="INR",1,INDEX('rates'!$B$2:$B$522,MATCH(B1149,'rates'!$A$2:$A$522,1)))</f>
        <v>11935443.056400001</v>
      </c>
      <c r="N1149">
        <f t="shared" si="17"/>
        <v>30</v>
      </c>
    </row>
    <row r="1150" spans="1:14" x14ac:dyDescent="0.3">
      <c r="A1150" t="s">
        <v>4423</v>
      </c>
      <c r="B1150" s="1">
        <v>45583</v>
      </c>
      <c r="C1150" t="s">
        <v>558</v>
      </c>
      <c r="D1150" t="s">
        <v>36</v>
      </c>
      <c r="E1150">
        <v>780</v>
      </c>
      <c r="F1150" t="s">
        <v>3262</v>
      </c>
      <c r="G1150">
        <v>57103.8</v>
      </c>
      <c r="H1150" t="s">
        <v>556</v>
      </c>
      <c r="J1150" t="s">
        <v>3263</v>
      </c>
      <c r="K1150">
        <v>73.209999999999994</v>
      </c>
      <c r="L1150" s="1">
        <v>45628</v>
      </c>
      <c r="M1150">
        <f>G1150*IF(D1150="INR",1,INDEX('rates'!$B$2:$B$522,MATCH(B1150,'rates'!$A$2:$A$522,1)))</f>
        <v>4798432.3140000002</v>
      </c>
      <c r="N1150">
        <f t="shared" si="17"/>
        <v>45</v>
      </c>
    </row>
    <row r="1151" spans="1:14" x14ac:dyDescent="0.3">
      <c r="A1151" t="s">
        <v>4389</v>
      </c>
      <c r="B1151" s="1">
        <v>45569</v>
      </c>
      <c r="C1151" t="s">
        <v>558</v>
      </c>
      <c r="D1151" t="s">
        <v>13</v>
      </c>
      <c r="E1151">
        <v>98554</v>
      </c>
      <c r="F1151" t="s">
        <v>3270</v>
      </c>
      <c r="G1151">
        <v>8718086.8399999999</v>
      </c>
      <c r="H1151" t="s">
        <v>556</v>
      </c>
      <c r="J1151" t="s">
        <v>3271</v>
      </c>
      <c r="K1151">
        <v>88.46</v>
      </c>
      <c r="L1151" s="1">
        <v>45629</v>
      </c>
      <c r="M1151">
        <f>G1151*IF(D1151="INR",1,INDEX('rates'!$B$2:$B$522,MATCH(B1151,'rates'!$A$2:$A$522,1)))</f>
        <v>8718086.8399999999</v>
      </c>
      <c r="N1151">
        <f t="shared" si="17"/>
        <v>60</v>
      </c>
    </row>
    <row r="1152" spans="1:14" x14ac:dyDescent="0.3">
      <c r="A1152" t="s">
        <v>4391</v>
      </c>
      <c r="B1152" s="1">
        <v>45569</v>
      </c>
      <c r="C1152" t="s">
        <v>575</v>
      </c>
      <c r="D1152" t="s">
        <v>36</v>
      </c>
      <c r="E1152">
        <v>765</v>
      </c>
      <c r="F1152" t="s">
        <v>3262</v>
      </c>
      <c r="G1152">
        <v>60572.7</v>
      </c>
      <c r="H1152" t="s">
        <v>556</v>
      </c>
      <c r="J1152" t="s">
        <v>3263</v>
      </c>
      <c r="K1152">
        <v>79.180000000000007</v>
      </c>
      <c r="L1152" s="1">
        <v>45629</v>
      </c>
      <c r="M1152">
        <f>G1152*IF(D1152="INR",1,INDEX('rates'!$B$2:$B$522,MATCH(B1152,'rates'!$A$2:$A$522,1)))</f>
        <v>5087501.0729999999</v>
      </c>
      <c r="N1152">
        <f t="shared" si="17"/>
        <v>60</v>
      </c>
    </row>
    <row r="1153" spans="1:14" x14ac:dyDescent="0.3">
      <c r="A1153" t="s">
        <v>4392</v>
      </c>
      <c r="B1153" s="1">
        <v>45569</v>
      </c>
      <c r="C1153" t="s">
        <v>566</v>
      </c>
      <c r="D1153" t="s">
        <v>36</v>
      </c>
      <c r="E1153">
        <v>471</v>
      </c>
      <c r="F1153" t="s">
        <v>3262</v>
      </c>
      <c r="G1153">
        <v>37863.69</v>
      </c>
      <c r="H1153" t="s">
        <v>556</v>
      </c>
      <c r="J1153" t="s">
        <v>3263</v>
      </c>
      <c r="K1153">
        <v>80.39</v>
      </c>
      <c r="L1153" s="1">
        <v>45629</v>
      </c>
      <c r="M1153">
        <f>G1153*IF(D1153="INR",1,INDEX('rates'!$B$2:$B$522,MATCH(B1153,'rates'!$A$2:$A$522,1)))</f>
        <v>3180171.3231000002</v>
      </c>
      <c r="N1153">
        <f t="shared" si="17"/>
        <v>60</v>
      </c>
    </row>
    <row r="1154" spans="1:14" x14ac:dyDescent="0.3">
      <c r="A1154" t="s">
        <v>4394</v>
      </c>
      <c r="B1154" s="1">
        <v>45569</v>
      </c>
      <c r="C1154" t="s">
        <v>560</v>
      </c>
      <c r="D1154" t="s">
        <v>36</v>
      </c>
      <c r="E1154">
        <v>255</v>
      </c>
      <c r="F1154" t="s">
        <v>3262</v>
      </c>
      <c r="G1154">
        <v>20180.7</v>
      </c>
      <c r="H1154" t="s">
        <v>573</v>
      </c>
      <c r="I1154">
        <v>90.35</v>
      </c>
      <c r="J1154" t="s">
        <v>3263</v>
      </c>
      <c r="K1154">
        <v>79.14</v>
      </c>
      <c r="L1154" s="1">
        <v>45629</v>
      </c>
      <c r="M1154">
        <f>G1154*IF(D1154="INR",1,INDEX('rates'!$B$2:$B$522,MATCH(B1154,'rates'!$A$2:$A$522,1)))</f>
        <v>1694976.993</v>
      </c>
      <c r="N1154">
        <f t="shared" ref="N1154:N1217" si="18">IF(L1154="","",L1154-B1154)</f>
        <v>60</v>
      </c>
    </row>
    <row r="1155" spans="1:14" x14ac:dyDescent="0.3">
      <c r="A1155" t="s">
        <v>4454</v>
      </c>
      <c r="B1155" s="1">
        <v>45600</v>
      </c>
      <c r="C1155" t="s">
        <v>558</v>
      </c>
      <c r="D1155" t="s">
        <v>36</v>
      </c>
      <c r="E1155">
        <v>1405</v>
      </c>
      <c r="F1155" t="s">
        <v>3262</v>
      </c>
      <c r="G1155">
        <v>110109.85</v>
      </c>
      <c r="H1155" t="s">
        <v>556</v>
      </c>
      <c r="J1155" t="s">
        <v>3263</v>
      </c>
      <c r="K1155">
        <v>78.37</v>
      </c>
      <c r="L1155" s="1">
        <v>45630</v>
      </c>
      <c r="M1155">
        <f>G1155*IF(D1155="INR",1,INDEX('rates'!$B$2:$B$522,MATCH(B1155,'rates'!$A$2:$A$522,1)))</f>
        <v>9261339.4835000001</v>
      </c>
      <c r="N1155">
        <f t="shared" si="18"/>
        <v>30</v>
      </c>
    </row>
    <row r="1156" spans="1:14" x14ac:dyDescent="0.3">
      <c r="A1156" t="s">
        <v>4425</v>
      </c>
      <c r="B1156" s="1">
        <v>45586</v>
      </c>
      <c r="C1156" t="s">
        <v>558</v>
      </c>
      <c r="D1156" t="s">
        <v>36</v>
      </c>
      <c r="E1156">
        <v>439</v>
      </c>
      <c r="F1156" t="s">
        <v>3262</v>
      </c>
      <c r="G1156">
        <v>32692.33</v>
      </c>
      <c r="H1156" t="s">
        <v>556</v>
      </c>
      <c r="J1156" t="s">
        <v>3263</v>
      </c>
      <c r="K1156">
        <v>74.47</v>
      </c>
      <c r="L1156" s="1">
        <v>45631</v>
      </c>
      <c r="M1156">
        <f>G1156*IF(D1156="INR",1,INDEX('rates'!$B$2:$B$522,MATCH(B1156,'rates'!$A$2:$A$522,1)))</f>
        <v>2748444.1831</v>
      </c>
      <c r="N1156">
        <f t="shared" si="18"/>
        <v>45</v>
      </c>
    </row>
    <row r="1157" spans="1:14" x14ac:dyDescent="0.3">
      <c r="A1157" t="s">
        <v>4455</v>
      </c>
      <c r="B1157" s="1">
        <v>45601</v>
      </c>
      <c r="C1157" t="s">
        <v>554</v>
      </c>
      <c r="D1157" t="s">
        <v>36</v>
      </c>
      <c r="E1157">
        <v>952</v>
      </c>
      <c r="F1157" t="s">
        <v>3262</v>
      </c>
      <c r="G1157">
        <v>72285.36</v>
      </c>
      <c r="H1157" t="s">
        <v>573</v>
      </c>
      <c r="I1157">
        <v>82.05</v>
      </c>
      <c r="J1157" t="s">
        <v>3263</v>
      </c>
      <c r="K1157">
        <v>75.930000000000007</v>
      </c>
      <c r="L1157" s="1">
        <v>45631</v>
      </c>
      <c r="M1157">
        <f>G1157*IF(D1157="INR",1,INDEX('rates'!$B$2:$B$522,MATCH(B1157,'rates'!$A$2:$A$522,1)))</f>
        <v>6079198.7759999996</v>
      </c>
      <c r="N1157">
        <f t="shared" si="18"/>
        <v>30</v>
      </c>
    </row>
    <row r="1158" spans="1:14" x14ac:dyDescent="0.3">
      <c r="A1158" t="s">
        <v>4457</v>
      </c>
      <c r="B1158" s="1">
        <v>45601</v>
      </c>
      <c r="C1158" t="s">
        <v>566</v>
      </c>
      <c r="D1158" t="s">
        <v>36</v>
      </c>
      <c r="E1158">
        <v>695</v>
      </c>
      <c r="F1158" t="s">
        <v>3262</v>
      </c>
      <c r="G1158">
        <v>54182.2</v>
      </c>
      <c r="H1158" t="s">
        <v>556</v>
      </c>
      <c r="J1158" t="s">
        <v>3263</v>
      </c>
      <c r="K1158">
        <v>77.959999999999994</v>
      </c>
      <c r="L1158" s="1">
        <v>45631</v>
      </c>
      <c r="M1158">
        <f>G1158*IF(D1158="INR",1,INDEX('rates'!$B$2:$B$522,MATCH(B1158,'rates'!$A$2:$A$522,1)))</f>
        <v>4556723.0199999996</v>
      </c>
      <c r="N1158">
        <f t="shared" si="18"/>
        <v>30</v>
      </c>
    </row>
    <row r="1159" spans="1:14" x14ac:dyDescent="0.3">
      <c r="A1159" t="s">
        <v>4426</v>
      </c>
      <c r="B1159" s="1">
        <v>45587</v>
      </c>
      <c r="C1159" t="s">
        <v>575</v>
      </c>
      <c r="D1159" t="s">
        <v>36</v>
      </c>
      <c r="E1159">
        <v>681</v>
      </c>
      <c r="F1159" t="s">
        <v>3262</v>
      </c>
      <c r="G1159">
        <v>52934.13</v>
      </c>
      <c r="H1159" t="s">
        <v>573</v>
      </c>
      <c r="I1159">
        <v>84.29</v>
      </c>
      <c r="J1159" t="s">
        <v>3263</v>
      </c>
      <c r="K1159">
        <v>77.73</v>
      </c>
      <c r="L1159" s="1">
        <v>45632</v>
      </c>
      <c r="M1159">
        <f>G1159*IF(D1159="INR",1,INDEX('rates'!$B$2:$B$522,MATCH(B1159,'rates'!$A$2:$A$522,1)))</f>
        <v>4449642.9677999998</v>
      </c>
      <c r="N1159">
        <f t="shared" si="18"/>
        <v>45</v>
      </c>
    </row>
    <row r="1160" spans="1:14" x14ac:dyDescent="0.3">
      <c r="A1160" t="s">
        <v>4400</v>
      </c>
      <c r="B1160" s="1">
        <v>45573</v>
      </c>
      <c r="C1160" t="s">
        <v>575</v>
      </c>
      <c r="D1160" t="s">
        <v>36</v>
      </c>
      <c r="E1160">
        <v>1728</v>
      </c>
      <c r="F1160" t="s">
        <v>3262</v>
      </c>
      <c r="G1160">
        <v>139639.67999999999</v>
      </c>
      <c r="H1160" t="s">
        <v>556</v>
      </c>
      <c r="J1160" t="s">
        <v>3263</v>
      </c>
      <c r="K1160">
        <v>80.81</v>
      </c>
      <c r="L1160" s="1">
        <v>45633</v>
      </c>
      <c r="M1160">
        <f>G1160*IF(D1160="INR",1,INDEX('rates'!$B$2:$B$522,MATCH(B1160,'rates'!$A$2:$A$522,1)))</f>
        <v>11722751.136</v>
      </c>
      <c r="N1160">
        <f t="shared" si="18"/>
        <v>60</v>
      </c>
    </row>
    <row r="1161" spans="1:14" x14ac:dyDescent="0.3">
      <c r="A1161" t="s">
        <v>4429</v>
      </c>
      <c r="B1161" s="1">
        <v>45588</v>
      </c>
      <c r="C1161" t="s">
        <v>566</v>
      </c>
      <c r="D1161" t="s">
        <v>36</v>
      </c>
      <c r="E1161">
        <v>805</v>
      </c>
      <c r="F1161" t="s">
        <v>3262</v>
      </c>
      <c r="G1161">
        <v>59690.75</v>
      </c>
      <c r="H1161" t="s">
        <v>556</v>
      </c>
      <c r="J1161" t="s">
        <v>3263</v>
      </c>
      <c r="K1161">
        <v>74.150000000000006</v>
      </c>
      <c r="L1161" s="1">
        <v>45633</v>
      </c>
      <c r="M1161">
        <f>G1161*IF(D1161="INR",1,INDEX('rates'!$B$2:$B$522,MATCH(B1161,'rates'!$A$2:$A$522,1)))</f>
        <v>5017604.4450000003</v>
      </c>
      <c r="N1161">
        <f t="shared" si="18"/>
        <v>45</v>
      </c>
    </row>
    <row r="1162" spans="1:14" x14ac:dyDescent="0.3">
      <c r="A1162" t="s">
        <v>4430</v>
      </c>
      <c r="B1162" s="1">
        <v>45588</v>
      </c>
      <c r="C1162" t="s">
        <v>566</v>
      </c>
      <c r="D1162" t="s">
        <v>36</v>
      </c>
      <c r="E1162">
        <v>3103</v>
      </c>
      <c r="F1162" t="s">
        <v>3262</v>
      </c>
      <c r="G1162">
        <v>236014.18</v>
      </c>
      <c r="H1162" t="s">
        <v>573</v>
      </c>
      <c r="I1162">
        <v>84.99</v>
      </c>
      <c r="J1162" t="s">
        <v>3263</v>
      </c>
      <c r="K1162">
        <v>76.06</v>
      </c>
      <c r="L1162" s="1">
        <v>45633</v>
      </c>
      <c r="M1162">
        <f>G1162*IF(D1162="INR",1,INDEX('rates'!$B$2:$B$522,MATCH(B1162,'rates'!$A$2:$A$522,1)))</f>
        <v>19839351.970800001</v>
      </c>
      <c r="N1162">
        <f t="shared" si="18"/>
        <v>45</v>
      </c>
    </row>
    <row r="1163" spans="1:14" x14ac:dyDescent="0.3">
      <c r="A1163" t="s">
        <v>4459</v>
      </c>
      <c r="B1163" s="1">
        <v>45603</v>
      </c>
      <c r="C1163" t="s">
        <v>554</v>
      </c>
      <c r="D1163" t="s">
        <v>36</v>
      </c>
      <c r="E1163">
        <v>658</v>
      </c>
      <c r="F1163" t="s">
        <v>3262</v>
      </c>
      <c r="G1163">
        <v>50863.4</v>
      </c>
      <c r="H1163" t="s">
        <v>556</v>
      </c>
      <c r="J1163" t="s">
        <v>3263</v>
      </c>
      <c r="K1163">
        <v>77.3</v>
      </c>
      <c r="L1163" s="1">
        <v>45633</v>
      </c>
      <c r="M1163">
        <f>G1163*IF(D1163="INR",1,INDEX('rates'!$B$2:$B$522,MATCH(B1163,'rates'!$A$2:$A$522,1)))</f>
        <v>4291345.0580000002</v>
      </c>
      <c r="N1163">
        <f t="shared" si="18"/>
        <v>30</v>
      </c>
    </row>
    <row r="1164" spans="1:14" x14ac:dyDescent="0.3">
      <c r="A1164" t="s">
        <v>4401</v>
      </c>
      <c r="B1164" s="1">
        <v>45574</v>
      </c>
      <c r="C1164" t="s">
        <v>558</v>
      </c>
      <c r="D1164" t="s">
        <v>36</v>
      </c>
      <c r="E1164">
        <v>303</v>
      </c>
      <c r="F1164" t="s">
        <v>3262</v>
      </c>
      <c r="G1164">
        <v>23473.41</v>
      </c>
      <c r="H1164" t="s">
        <v>556</v>
      </c>
      <c r="J1164" t="s">
        <v>3263</v>
      </c>
      <c r="K1164">
        <v>77.47</v>
      </c>
      <c r="L1164" s="1">
        <v>45634</v>
      </c>
      <c r="M1164">
        <f>G1164*IF(D1164="INR",1,INDEX('rates'!$B$2:$B$522,MATCH(B1164,'rates'!$A$2:$A$522,1)))</f>
        <v>1970123.3013000002</v>
      </c>
      <c r="N1164">
        <f t="shared" si="18"/>
        <v>60</v>
      </c>
    </row>
    <row r="1165" spans="1:14" x14ac:dyDescent="0.3">
      <c r="A1165" t="s">
        <v>4403</v>
      </c>
      <c r="B1165" s="1">
        <v>45574</v>
      </c>
      <c r="C1165" t="s">
        <v>560</v>
      </c>
      <c r="D1165" t="s">
        <v>36</v>
      </c>
      <c r="E1165">
        <v>572</v>
      </c>
      <c r="F1165" t="s">
        <v>3262</v>
      </c>
      <c r="G1165">
        <v>44089.760000000002</v>
      </c>
      <c r="H1165" t="s">
        <v>573</v>
      </c>
      <c r="I1165">
        <v>89.79</v>
      </c>
      <c r="J1165" t="s">
        <v>3263</v>
      </c>
      <c r="K1165">
        <v>77.08</v>
      </c>
      <c r="L1165" s="1">
        <v>45634</v>
      </c>
      <c r="M1165">
        <f>G1165*IF(D1165="INR",1,INDEX('rates'!$B$2:$B$522,MATCH(B1165,'rates'!$A$2:$A$522,1)))</f>
        <v>3700453.5568000004</v>
      </c>
      <c r="N1165">
        <f t="shared" si="18"/>
        <v>60</v>
      </c>
    </row>
    <row r="1166" spans="1:14" x14ac:dyDescent="0.3">
      <c r="A1166" t="s">
        <v>4404</v>
      </c>
      <c r="B1166" s="1">
        <v>45574</v>
      </c>
      <c r="C1166" t="s">
        <v>566</v>
      </c>
      <c r="D1166" t="s">
        <v>36</v>
      </c>
      <c r="E1166">
        <v>951</v>
      </c>
      <c r="F1166" t="s">
        <v>3262</v>
      </c>
      <c r="G1166">
        <v>74539.38</v>
      </c>
      <c r="H1166" t="s">
        <v>556</v>
      </c>
      <c r="J1166" t="s">
        <v>3263</v>
      </c>
      <c r="K1166">
        <v>78.38</v>
      </c>
      <c r="L1166" s="1">
        <v>45634</v>
      </c>
      <c r="M1166">
        <f>G1166*IF(D1166="INR",1,INDEX('rates'!$B$2:$B$522,MATCH(B1166,'rates'!$A$2:$A$522,1)))</f>
        <v>6256090.1634000009</v>
      </c>
      <c r="N1166">
        <f t="shared" si="18"/>
        <v>60</v>
      </c>
    </row>
    <row r="1167" spans="1:14" x14ac:dyDescent="0.3">
      <c r="A1167" t="s">
        <v>4433</v>
      </c>
      <c r="B1167" s="1">
        <v>45589</v>
      </c>
      <c r="C1167" t="s">
        <v>558</v>
      </c>
      <c r="D1167" t="s">
        <v>36</v>
      </c>
      <c r="E1167">
        <v>470</v>
      </c>
      <c r="F1167" t="s">
        <v>3262</v>
      </c>
      <c r="G1167">
        <v>35076.1</v>
      </c>
      <c r="H1167" t="s">
        <v>556</v>
      </c>
      <c r="J1167" t="s">
        <v>3263</v>
      </c>
      <c r="K1167">
        <v>74.63</v>
      </c>
      <c r="L1167" s="1">
        <v>45634</v>
      </c>
      <c r="M1167">
        <f>G1167*IF(D1167="INR",1,INDEX('rates'!$B$2:$B$522,MATCH(B1167,'rates'!$A$2:$A$522,1)))</f>
        <v>2948146.2049999996</v>
      </c>
      <c r="N1167">
        <f t="shared" si="18"/>
        <v>45</v>
      </c>
    </row>
    <row r="1168" spans="1:14" x14ac:dyDescent="0.3">
      <c r="A1168" t="s">
        <v>4460</v>
      </c>
      <c r="B1168" s="1">
        <v>45604</v>
      </c>
      <c r="C1168" t="s">
        <v>575</v>
      </c>
      <c r="D1168" t="s">
        <v>36</v>
      </c>
      <c r="E1168">
        <v>775</v>
      </c>
      <c r="F1168" t="s">
        <v>3262</v>
      </c>
      <c r="G1168">
        <v>58047.5</v>
      </c>
      <c r="H1168" t="s">
        <v>556</v>
      </c>
      <c r="J1168" t="s">
        <v>3263</v>
      </c>
      <c r="K1168">
        <v>74.900000000000006</v>
      </c>
      <c r="L1168" s="1">
        <v>45634</v>
      </c>
      <c r="M1168">
        <f>G1168*IF(D1168="INR",1,INDEX('rates'!$B$2:$B$522,MATCH(B1168,'rates'!$A$2:$A$522,1)))</f>
        <v>4895726.1500000004</v>
      </c>
      <c r="N1168">
        <f t="shared" si="18"/>
        <v>30</v>
      </c>
    </row>
    <row r="1169" spans="1:14" x14ac:dyDescent="0.3">
      <c r="A1169" t="s">
        <v>4461</v>
      </c>
      <c r="B1169" s="1">
        <v>45604</v>
      </c>
      <c r="C1169" t="s">
        <v>575</v>
      </c>
      <c r="D1169" t="s">
        <v>36</v>
      </c>
      <c r="E1169">
        <v>923</v>
      </c>
      <c r="F1169" t="s">
        <v>3262</v>
      </c>
      <c r="G1169">
        <v>70535.66</v>
      </c>
      <c r="H1169" t="s">
        <v>556</v>
      </c>
      <c r="J1169" t="s">
        <v>3263</v>
      </c>
      <c r="K1169">
        <v>76.42</v>
      </c>
      <c r="L1169" s="1">
        <v>45634</v>
      </c>
      <c r="M1169">
        <f>G1169*IF(D1169="INR",1,INDEX('rates'!$B$2:$B$522,MATCH(B1169,'rates'!$A$2:$A$522,1)))</f>
        <v>5948977.5644000005</v>
      </c>
      <c r="N1169">
        <f t="shared" si="18"/>
        <v>30</v>
      </c>
    </row>
    <row r="1170" spans="1:14" x14ac:dyDescent="0.3">
      <c r="A1170" t="s">
        <v>4462</v>
      </c>
      <c r="B1170" s="1">
        <v>45604</v>
      </c>
      <c r="C1170" t="s">
        <v>575</v>
      </c>
      <c r="D1170" t="s">
        <v>36</v>
      </c>
      <c r="E1170">
        <v>1967</v>
      </c>
      <c r="F1170" t="s">
        <v>3262</v>
      </c>
      <c r="G1170">
        <v>147544.67000000001</v>
      </c>
      <c r="H1170" t="s">
        <v>556</v>
      </c>
      <c r="J1170" t="s">
        <v>3263</v>
      </c>
      <c r="K1170">
        <v>75.010000000000005</v>
      </c>
      <c r="L1170" s="1">
        <v>45634</v>
      </c>
      <c r="M1170">
        <f>G1170*IF(D1170="INR",1,INDEX('rates'!$B$2:$B$522,MATCH(B1170,'rates'!$A$2:$A$522,1)))</f>
        <v>12443917.467800001</v>
      </c>
      <c r="N1170">
        <f t="shared" si="18"/>
        <v>30</v>
      </c>
    </row>
    <row r="1171" spans="1:14" x14ac:dyDescent="0.3">
      <c r="A1171" t="s">
        <v>4463</v>
      </c>
      <c r="B1171" s="1">
        <v>45604</v>
      </c>
      <c r="C1171" t="s">
        <v>558</v>
      </c>
      <c r="D1171" t="s">
        <v>36</v>
      </c>
      <c r="E1171">
        <v>1245</v>
      </c>
      <c r="F1171" t="s">
        <v>3262</v>
      </c>
      <c r="G1171">
        <v>92540.85</v>
      </c>
      <c r="H1171" t="s">
        <v>573</v>
      </c>
      <c r="J1171" t="s">
        <v>3263</v>
      </c>
      <c r="K1171">
        <v>74.33</v>
      </c>
      <c r="L1171" s="1">
        <v>45634</v>
      </c>
      <c r="M1171">
        <f>G1171*IF(D1171="INR",1,INDEX('rates'!$B$2:$B$522,MATCH(B1171,'rates'!$A$2:$A$522,1)))</f>
        <v>7804895.2890000008</v>
      </c>
      <c r="N1171">
        <f t="shared" si="18"/>
        <v>30</v>
      </c>
    </row>
    <row r="1172" spans="1:14" x14ac:dyDescent="0.3">
      <c r="A1172" t="s">
        <v>4464</v>
      </c>
      <c r="B1172" s="1">
        <v>45604</v>
      </c>
      <c r="C1172" t="s">
        <v>566</v>
      </c>
      <c r="D1172" t="s">
        <v>36</v>
      </c>
      <c r="E1172">
        <v>922</v>
      </c>
      <c r="F1172" t="s">
        <v>3262</v>
      </c>
      <c r="G1172">
        <v>68154.240000000005</v>
      </c>
      <c r="H1172" t="s">
        <v>573</v>
      </c>
      <c r="I1172">
        <v>83.76</v>
      </c>
      <c r="J1172" t="s">
        <v>3263</v>
      </c>
      <c r="K1172">
        <v>73.92</v>
      </c>
      <c r="L1172" s="1">
        <v>45634</v>
      </c>
      <c r="M1172">
        <f>G1172*IF(D1172="INR",1,INDEX('rates'!$B$2:$B$522,MATCH(B1172,'rates'!$A$2:$A$522,1)))</f>
        <v>5748128.6016000006</v>
      </c>
      <c r="N1172">
        <f t="shared" si="18"/>
        <v>30</v>
      </c>
    </row>
    <row r="1173" spans="1:14" x14ac:dyDescent="0.3">
      <c r="A1173" t="s">
        <v>4405</v>
      </c>
      <c r="B1173" s="1">
        <v>45575</v>
      </c>
      <c r="C1173" t="s">
        <v>575</v>
      </c>
      <c r="D1173" t="s">
        <v>36</v>
      </c>
      <c r="E1173">
        <v>1945</v>
      </c>
      <c r="F1173" t="s">
        <v>3262</v>
      </c>
      <c r="G1173">
        <v>155347.15</v>
      </c>
      <c r="H1173" t="s">
        <v>556</v>
      </c>
      <c r="J1173" t="s">
        <v>3263</v>
      </c>
      <c r="K1173">
        <v>79.87</v>
      </c>
      <c r="L1173" s="1">
        <v>45635</v>
      </c>
      <c r="M1173">
        <f>G1173*IF(D1173="INR",1,INDEX('rates'!$B$2:$B$522,MATCH(B1173,'rates'!$A$2:$A$522,1)))</f>
        <v>13039839.771</v>
      </c>
      <c r="N1173">
        <f t="shared" si="18"/>
        <v>60</v>
      </c>
    </row>
    <row r="1174" spans="1:14" x14ac:dyDescent="0.3">
      <c r="A1174" t="s">
        <v>4435</v>
      </c>
      <c r="B1174" s="1">
        <v>45590</v>
      </c>
      <c r="C1174" t="s">
        <v>558</v>
      </c>
      <c r="D1174" t="s">
        <v>36</v>
      </c>
      <c r="E1174">
        <v>1003</v>
      </c>
      <c r="F1174" t="s">
        <v>3262</v>
      </c>
      <c r="G1174">
        <v>75826.8</v>
      </c>
      <c r="H1174" t="s">
        <v>573</v>
      </c>
      <c r="I1174">
        <v>84.08</v>
      </c>
      <c r="J1174" t="s">
        <v>3263</v>
      </c>
      <c r="K1174">
        <v>75.599999999999994</v>
      </c>
      <c r="L1174" s="1">
        <v>45635</v>
      </c>
      <c r="M1174">
        <f>G1174*IF(D1174="INR",1,INDEX('rates'!$B$2:$B$522,MATCH(B1174,'rates'!$A$2:$A$522,1)))</f>
        <v>6374000.8080000002</v>
      </c>
      <c r="N1174">
        <f t="shared" si="18"/>
        <v>45</v>
      </c>
    </row>
    <row r="1175" spans="1:14" x14ac:dyDescent="0.3">
      <c r="A1175" t="s">
        <v>4436</v>
      </c>
      <c r="B1175" s="1">
        <v>45590</v>
      </c>
      <c r="C1175" t="s">
        <v>575</v>
      </c>
      <c r="D1175" t="s">
        <v>36</v>
      </c>
      <c r="E1175">
        <v>852</v>
      </c>
      <c r="F1175" t="s">
        <v>3262</v>
      </c>
      <c r="G1175">
        <v>65160.959999999999</v>
      </c>
      <c r="H1175" t="s">
        <v>573</v>
      </c>
      <c r="I1175">
        <v>84.08</v>
      </c>
      <c r="J1175" t="s">
        <v>3263</v>
      </c>
      <c r="K1175">
        <v>76.48</v>
      </c>
      <c r="L1175" s="1">
        <v>45635</v>
      </c>
      <c r="M1175">
        <f>G1175*IF(D1175="INR",1,INDEX('rates'!$B$2:$B$522,MATCH(B1175,'rates'!$A$2:$A$522,1)))</f>
        <v>5477430.2976000002</v>
      </c>
      <c r="N1175">
        <f t="shared" si="18"/>
        <v>45</v>
      </c>
    </row>
    <row r="1176" spans="1:14" x14ac:dyDescent="0.3">
      <c r="A1176" t="s">
        <v>4437</v>
      </c>
      <c r="B1176" s="1">
        <v>45590</v>
      </c>
      <c r="C1176" t="s">
        <v>554</v>
      </c>
      <c r="D1176" t="s">
        <v>13</v>
      </c>
      <c r="E1176">
        <v>56128</v>
      </c>
      <c r="F1176" t="s">
        <v>3270</v>
      </c>
      <c r="G1176">
        <v>5256948.4800000004</v>
      </c>
      <c r="H1176" t="s">
        <v>556</v>
      </c>
      <c r="J1176" t="s">
        <v>3271</v>
      </c>
      <c r="K1176">
        <v>93.66</v>
      </c>
      <c r="L1176" s="1">
        <v>45635</v>
      </c>
      <c r="M1176">
        <f>G1176*IF(D1176="INR",1,INDEX('rates'!$B$2:$B$522,MATCH(B1176,'rates'!$A$2:$A$522,1)))</f>
        <v>5256948.4800000004</v>
      </c>
      <c r="N1176">
        <f t="shared" si="18"/>
        <v>45</v>
      </c>
    </row>
    <row r="1177" spans="1:14" x14ac:dyDescent="0.3">
      <c r="A1177" t="s">
        <v>4438</v>
      </c>
      <c r="B1177" s="1">
        <v>45590</v>
      </c>
      <c r="C1177" t="s">
        <v>554</v>
      </c>
      <c r="D1177" t="s">
        <v>36</v>
      </c>
      <c r="E1177">
        <v>793</v>
      </c>
      <c r="F1177" t="s">
        <v>3262</v>
      </c>
      <c r="G1177">
        <v>60537.62</v>
      </c>
      <c r="H1177" t="s">
        <v>573</v>
      </c>
      <c r="I1177">
        <v>84.08</v>
      </c>
      <c r="J1177" t="s">
        <v>3263</v>
      </c>
      <c r="K1177">
        <v>76.34</v>
      </c>
      <c r="L1177" s="1">
        <v>45635</v>
      </c>
      <c r="M1177">
        <f>G1177*IF(D1177="INR",1,INDEX('rates'!$B$2:$B$522,MATCH(B1177,'rates'!$A$2:$A$522,1)))</f>
        <v>5088792.3372</v>
      </c>
      <c r="N1177">
        <f t="shared" si="18"/>
        <v>45</v>
      </c>
    </row>
    <row r="1178" spans="1:14" x14ac:dyDescent="0.3">
      <c r="A1178" t="s">
        <v>4439</v>
      </c>
      <c r="B1178" s="1">
        <v>45590</v>
      </c>
      <c r="C1178" t="s">
        <v>558</v>
      </c>
      <c r="D1178" t="s">
        <v>36</v>
      </c>
      <c r="E1178">
        <v>1559</v>
      </c>
      <c r="F1178" t="s">
        <v>3262</v>
      </c>
      <c r="G1178">
        <v>117610.96</v>
      </c>
      <c r="H1178" t="s">
        <v>556</v>
      </c>
      <c r="J1178" t="s">
        <v>3263</v>
      </c>
      <c r="K1178">
        <v>75.44</v>
      </c>
      <c r="L1178" s="1">
        <v>45635</v>
      </c>
      <c r="M1178">
        <f>G1178*IF(D1178="INR",1,INDEX('rates'!$B$2:$B$522,MATCH(B1178,'rates'!$A$2:$A$522,1)))</f>
        <v>9886377.2976000011</v>
      </c>
      <c r="N1178">
        <f t="shared" si="18"/>
        <v>45</v>
      </c>
    </row>
    <row r="1179" spans="1:14" x14ac:dyDescent="0.3">
      <c r="A1179" t="s">
        <v>4410</v>
      </c>
      <c r="B1179" s="1">
        <v>45576</v>
      </c>
      <c r="C1179" t="s">
        <v>566</v>
      </c>
      <c r="D1179" t="s">
        <v>36</v>
      </c>
      <c r="E1179">
        <v>2158</v>
      </c>
      <c r="F1179" t="s">
        <v>3262</v>
      </c>
      <c r="G1179">
        <v>173524.78</v>
      </c>
      <c r="H1179" t="s">
        <v>573</v>
      </c>
      <c r="I1179">
        <v>89.33</v>
      </c>
      <c r="J1179" t="s">
        <v>3263</v>
      </c>
      <c r="K1179">
        <v>80.41</v>
      </c>
      <c r="L1179" s="1">
        <v>45636</v>
      </c>
      <c r="M1179">
        <f>G1179*IF(D1179="INR",1,INDEX('rates'!$B$2:$B$522,MATCH(B1179,'rates'!$A$2:$A$522,1)))</f>
        <v>14589963.5024</v>
      </c>
      <c r="N1179">
        <f t="shared" si="18"/>
        <v>60</v>
      </c>
    </row>
    <row r="1180" spans="1:14" x14ac:dyDescent="0.3">
      <c r="A1180" t="s">
        <v>4468</v>
      </c>
      <c r="B1180" s="1">
        <v>45607</v>
      </c>
      <c r="C1180" t="s">
        <v>566</v>
      </c>
      <c r="D1180" t="s">
        <v>36</v>
      </c>
      <c r="E1180">
        <v>3113</v>
      </c>
      <c r="F1180" t="s">
        <v>3262</v>
      </c>
      <c r="G1180">
        <v>233412.74</v>
      </c>
      <c r="H1180" t="s">
        <v>556</v>
      </c>
      <c r="J1180" t="s">
        <v>3263</v>
      </c>
      <c r="K1180">
        <v>74.98</v>
      </c>
      <c r="L1180" s="1">
        <v>45637</v>
      </c>
      <c r="M1180">
        <f>G1180*IF(D1180="INR",1,INDEX('rates'!$B$2:$B$522,MATCH(B1180,'rates'!$A$2:$A$522,1)))</f>
        <v>19686030.491599999</v>
      </c>
      <c r="N1180">
        <f t="shared" si="18"/>
        <v>30</v>
      </c>
    </row>
    <row r="1181" spans="1:14" x14ac:dyDescent="0.3">
      <c r="A1181" t="s">
        <v>4443</v>
      </c>
      <c r="B1181" s="1">
        <v>45593</v>
      </c>
      <c r="C1181" t="s">
        <v>566</v>
      </c>
      <c r="D1181" t="s">
        <v>36</v>
      </c>
      <c r="E1181">
        <v>1077</v>
      </c>
      <c r="F1181" t="s">
        <v>3262</v>
      </c>
      <c r="G1181">
        <v>76757.789999999994</v>
      </c>
      <c r="H1181" t="s">
        <v>556</v>
      </c>
      <c r="J1181" t="s">
        <v>3263</v>
      </c>
      <c r="K1181">
        <v>71.27</v>
      </c>
      <c r="L1181" s="1">
        <v>45638</v>
      </c>
      <c r="M1181">
        <f>G1181*IF(D1181="INR",1,INDEX('rates'!$B$2:$B$522,MATCH(B1181,'rates'!$A$2:$A$522,1)))</f>
        <v>6451492.249499999</v>
      </c>
      <c r="N1181">
        <f t="shared" si="18"/>
        <v>45</v>
      </c>
    </row>
    <row r="1182" spans="1:14" x14ac:dyDescent="0.3">
      <c r="A1182" t="s">
        <v>4471</v>
      </c>
      <c r="B1182" s="1">
        <v>45609</v>
      </c>
      <c r="C1182" t="s">
        <v>560</v>
      </c>
      <c r="D1182" t="s">
        <v>13</v>
      </c>
      <c r="E1182">
        <v>89210</v>
      </c>
      <c r="F1182" t="s">
        <v>3270</v>
      </c>
      <c r="G1182">
        <v>5593467</v>
      </c>
      <c r="H1182" t="s">
        <v>556</v>
      </c>
      <c r="J1182" t="s">
        <v>3271</v>
      </c>
      <c r="K1182">
        <v>62.7</v>
      </c>
      <c r="L1182" s="1">
        <v>45639</v>
      </c>
      <c r="M1182">
        <f>G1182*IF(D1182="INR",1,INDEX('rates'!$B$2:$B$522,MATCH(B1182,'rates'!$A$2:$A$522,1)))</f>
        <v>5593467</v>
      </c>
      <c r="N1182">
        <f t="shared" si="18"/>
        <v>30</v>
      </c>
    </row>
    <row r="1183" spans="1:14" x14ac:dyDescent="0.3">
      <c r="A1183" t="s">
        <v>4415</v>
      </c>
      <c r="B1183" s="1">
        <v>45581</v>
      </c>
      <c r="C1183" t="s">
        <v>554</v>
      </c>
      <c r="D1183" t="s">
        <v>36</v>
      </c>
      <c r="E1183">
        <v>1968</v>
      </c>
      <c r="F1183" t="s">
        <v>3262</v>
      </c>
      <c r="G1183">
        <v>146458.56</v>
      </c>
      <c r="H1183" t="s">
        <v>556</v>
      </c>
      <c r="J1183" t="s">
        <v>3263</v>
      </c>
      <c r="K1183">
        <v>74.42</v>
      </c>
      <c r="L1183" s="1">
        <v>45641</v>
      </c>
      <c r="M1183">
        <f>G1183*IF(D1183="INR",1,INDEX('rates'!$B$2:$B$522,MATCH(B1183,'rates'!$A$2:$A$522,1)))</f>
        <v>12303983.625600001</v>
      </c>
      <c r="N1183">
        <f t="shared" si="18"/>
        <v>60</v>
      </c>
    </row>
    <row r="1184" spans="1:14" x14ac:dyDescent="0.3">
      <c r="A1184" t="s">
        <v>4477</v>
      </c>
      <c r="B1184" s="1">
        <v>45611</v>
      </c>
      <c r="C1184" t="s">
        <v>566</v>
      </c>
      <c r="D1184" t="s">
        <v>36</v>
      </c>
      <c r="E1184">
        <v>229</v>
      </c>
      <c r="F1184" t="s">
        <v>3262</v>
      </c>
      <c r="G1184">
        <v>16558.990000000002</v>
      </c>
      <c r="H1184" t="s">
        <v>573</v>
      </c>
      <c r="I1184">
        <v>83.51</v>
      </c>
      <c r="J1184" t="s">
        <v>3263</v>
      </c>
      <c r="K1184">
        <v>72.31</v>
      </c>
      <c r="L1184" s="1">
        <v>45641</v>
      </c>
      <c r="M1184">
        <f>G1184*IF(D1184="INR",1,INDEX('rates'!$B$2:$B$522,MATCH(B1184,'rates'!$A$2:$A$522,1)))</f>
        <v>1397744.3459000001</v>
      </c>
      <c r="N1184">
        <f t="shared" si="18"/>
        <v>30</v>
      </c>
    </row>
    <row r="1185" spans="1:14" x14ac:dyDescent="0.3">
      <c r="A1185" t="s">
        <v>4449</v>
      </c>
      <c r="B1185" s="1">
        <v>45597</v>
      </c>
      <c r="C1185" t="s">
        <v>558</v>
      </c>
      <c r="D1185" t="s">
        <v>13</v>
      </c>
      <c r="E1185">
        <v>73369</v>
      </c>
      <c r="F1185" t="s">
        <v>3270</v>
      </c>
      <c r="G1185">
        <v>6284054.8499999996</v>
      </c>
      <c r="H1185" t="s">
        <v>556</v>
      </c>
      <c r="J1185" t="s">
        <v>3271</v>
      </c>
      <c r="K1185">
        <v>85.65</v>
      </c>
      <c r="L1185" s="1">
        <v>45642</v>
      </c>
      <c r="M1185">
        <f>G1185*IF(D1185="INR",1,INDEX('rates'!$B$2:$B$522,MATCH(B1185,'rates'!$A$2:$A$522,1)))</f>
        <v>6284054.8499999996</v>
      </c>
      <c r="N1185">
        <f t="shared" si="18"/>
        <v>45</v>
      </c>
    </row>
    <row r="1186" spans="1:14" x14ac:dyDescent="0.3">
      <c r="A1186" t="s">
        <v>4452</v>
      </c>
      <c r="B1186" s="1">
        <v>45597</v>
      </c>
      <c r="C1186" t="s">
        <v>566</v>
      </c>
      <c r="D1186" t="s">
        <v>13</v>
      </c>
      <c r="E1186">
        <v>133633</v>
      </c>
      <c r="F1186" t="s">
        <v>3270</v>
      </c>
      <c r="G1186">
        <v>10753447.51</v>
      </c>
      <c r="H1186" t="s">
        <v>556</v>
      </c>
      <c r="J1186" t="s">
        <v>3271</v>
      </c>
      <c r="K1186">
        <v>80.47</v>
      </c>
      <c r="L1186" s="1">
        <v>45642</v>
      </c>
      <c r="M1186">
        <f>G1186*IF(D1186="INR",1,INDEX('rates'!$B$2:$B$522,MATCH(B1186,'rates'!$A$2:$A$522,1)))</f>
        <v>10753447.51</v>
      </c>
      <c r="N1186">
        <f t="shared" si="18"/>
        <v>45</v>
      </c>
    </row>
    <row r="1187" spans="1:14" x14ac:dyDescent="0.3">
      <c r="A1187" t="s">
        <v>4453</v>
      </c>
      <c r="B1187" s="1">
        <v>45597</v>
      </c>
      <c r="C1187" t="s">
        <v>575</v>
      </c>
      <c r="D1187" t="s">
        <v>36</v>
      </c>
      <c r="E1187">
        <v>1013</v>
      </c>
      <c r="F1187" t="s">
        <v>3262</v>
      </c>
      <c r="G1187">
        <v>74587.19</v>
      </c>
      <c r="H1187" t="s">
        <v>573</v>
      </c>
      <c r="I1187">
        <v>80.239999999999995</v>
      </c>
      <c r="J1187" t="s">
        <v>3263</v>
      </c>
      <c r="K1187">
        <v>73.63</v>
      </c>
      <c r="L1187" s="1">
        <v>45642</v>
      </c>
      <c r="M1187">
        <f>G1187*IF(D1187="INR",1,INDEX('rates'!$B$2:$B$522,MATCH(B1187,'rates'!$A$2:$A$522,1)))</f>
        <v>6267561.5756999999</v>
      </c>
      <c r="N1187">
        <f t="shared" si="18"/>
        <v>45</v>
      </c>
    </row>
    <row r="1188" spans="1:14" x14ac:dyDescent="0.3">
      <c r="A1188" t="s">
        <v>4419</v>
      </c>
      <c r="B1188" s="1">
        <v>45583</v>
      </c>
      <c r="C1188" t="s">
        <v>558</v>
      </c>
      <c r="D1188" t="s">
        <v>36</v>
      </c>
      <c r="E1188">
        <v>1074</v>
      </c>
      <c r="F1188" t="s">
        <v>3262</v>
      </c>
      <c r="G1188">
        <v>78079.8</v>
      </c>
      <c r="H1188" t="s">
        <v>556</v>
      </c>
      <c r="J1188" t="s">
        <v>3263</v>
      </c>
      <c r="K1188">
        <v>72.7</v>
      </c>
      <c r="L1188" s="1">
        <v>45643</v>
      </c>
      <c r="M1188">
        <f>G1188*IF(D1188="INR",1,INDEX('rates'!$B$2:$B$522,MATCH(B1188,'rates'!$A$2:$A$522,1)))</f>
        <v>6561045.5940000005</v>
      </c>
      <c r="N1188">
        <f t="shared" si="18"/>
        <v>60</v>
      </c>
    </row>
    <row r="1189" spans="1:14" x14ac:dyDescent="0.3">
      <c r="A1189" t="s">
        <v>4420</v>
      </c>
      <c r="B1189" s="1">
        <v>45583</v>
      </c>
      <c r="C1189" t="s">
        <v>560</v>
      </c>
      <c r="D1189" t="s">
        <v>36</v>
      </c>
      <c r="E1189">
        <v>1716</v>
      </c>
      <c r="F1189" t="s">
        <v>3262</v>
      </c>
      <c r="G1189">
        <v>127172.76</v>
      </c>
      <c r="H1189" t="s">
        <v>573</v>
      </c>
      <c r="I1189">
        <v>87.13</v>
      </c>
      <c r="J1189" t="s">
        <v>3263</v>
      </c>
      <c r="K1189">
        <v>74.11</v>
      </c>
      <c r="L1189" s="1">
        <v>45643</v>
      </c>
      <c r="M1189">
        <f>G1189*IF(D1189="INR",1,INDEX('rates'!$B$2:$B$522,MATCH(B1189,'rates'!$A$2:$A$522,1)))</f>
        <v>10686327.0228</v>
      </c>
      <c r="N1189">
        <f t="shared" si="18"/>
        <v>60</v>
      </c>
    </row>
    <row r="1190" spans="1:14" x14ac:dyDescent="0.3">
      <c r="A1190" t="s">
        <v>4421</v>
      </c>
      <c r="B1190" s="1">
        <v>45583</v>
      </c>
      <c r="C1190" t="s">
        <v>575</v>
      </c>
      <c r="D1190" t="s">
        <v>36</v>
      </c>
      <c r="E1190">
        <v>1765</v>
      </c>
      <c r="F1190" t="s">
        <v>3262</v>
      </c>
      <c r="G1190">
        <v>132392.65</v>
      </c>
      <c r="H1190" t="s">
        <v>556</v>
      </c>
      <c r="J1190" t="s">
        <v>3263</v>
      </c>
      <c r="K1190">
        <v>75.010000000000005</v>
      </c>
      <c r="L1190" s="1">
        <v>45643</v>
      </c>
      <c r="M1190">
        <f>G1190*IF(D1190="INR",1,INDEX('rates'!$B$2:$B$522,MATCH(B1190,'rates'!$A$2:$A$522,1)))</f>
        <v>11124954.3795</v>
      </c>
      <c r="N1190">
        <f t="shared" si="18"/>
        <v>60</v>
      </c>
    </row>
    <row r="1191" spans="1:14" x14ac:dyDescent="0.3">
      <c r="A1191" t="s">
        <v>4480</v>
      </c>
      <c r="B1191" s="1">
        <v>45614</v>
      </c>
      <c r="C1191" t="s">
        <v>566</v>
      </c>
      <c r="D1191" t="s">
        <v>36</v>
      </c>
      <c r="E1191">
        <v>561</v>
      </c>
      <c r="F1191" t="s">
        <v>3262</v>
      </c>
      <c r="G1191">
        <v>41592.54</v>
      </c>
      <c r="H1191" t="s">
        <v>573</v>
      </c>
      <c r="I1191">
        <v>80.540000000000006</v>
      </c>
      <c r="J1191" t="s">
        <v>3263</v>
      </c>
      <c r="K1191">
        <v>74.14</v>
      </c>
      <c r="L1191" s="1">
        <v>45644</v>
      </c>
      <c r="M1191">
        <f>G1191*IF(D1191="INR",1,INDEX('rates'!$B$2:$B$522,MATCH(B1191,'rates'!$A$2:$A$522,1)))</f>
        <v>3509162.5998000004</v>
      </c>
      <c r="N1191">
        <f t="shared" si="18"/>
        <v>30</v>
      </c>
    </row>
    <row r="1192" spans="1:14" x14ac:dyDescent="0.3">
      <c r="A1192" t="s">
        <v>4483</v>
      </c>
      <c r="B1192" s="1">
        <v>45615</v>
      </c>
      <c r="C1192" t="s">
        <v>554</v>
      </c>
      <c r="D1192" t="s">
        <v>36</v>
      </c>
      <c r="E1192">
        <v>693</v>
      </c>
      <c r="F1192" t="s">
        <v>3262</v>
      </c>
      <c r="G1192">
        <v>49993.02</v>
      </c>
      <c r="H1192" t="s">
        <v>556</v>
      </c>
      <c r="J1192" t="s">
        <v>3263</v>
      </c>
      <c r="K1192">
        <v>72.14</v>
      </c>
      <c r="L1192" s="1">
        <v>45645</v>
      </c>
      <c r="M1192">
        <f>G1192*IF(D1192="INR",1,INDEX('rates'!$B$2:$B$522,MATCH(B1192,'rates'!$A$2:$A$522,1)))</f>
        <v>4217411.1672</v>
      </c>
      <c r="N1192">
        <f t="shared" si="18"/>
        <v>30</v>
      </c>
    </row>
    <row r="1193" spans="1:14" x14ac:dyDescent="0.3">
      <c r="A1193" t="s">
        <v>4484</v>
      </c>
      <c r="B1193" s="1">
        <v>45615</v>
      </c>
      <c r="C1193" t="s">
        <v>566</v>
      </c>
      <c r="D1193" t="s">
        <v>36</v>
      </c>
      <c r="E1193">
        <v>828</v>
      </c>
      <c r="F1193" t="s">
        <v>3262</v>
      </c>
      <c r="G1193">
        <v>59731.92</v>
      </c>
      <c r="H1193" t="s">
        <v>556</v>
      </c>
      <c r="J1193" t="s">
        <v>3263</v>
      </c>
      <c r="K1193">
        <v>72.14</v>
      </c>
      <c r="L1193" s="1">
        <v>45645</v>
      </c>
      <c r="M1193">
        <f>G1193*IF(D1193="INR",1,INDEX('rates'!$B$2:$B$522,MATCH(B1193,'rates'!$A$2:$A$522,1)))</f>
        <v>5038984.7711999994</v>
      </c>
      <c r="N1193">
        <f t="shared" si="18"/>
        <v>30</v>
      </c>
    </row>
    <row r="1194" spans="1:14" x14ac:dyDescent="0.3">
      <c r="A1194" t="s">
        <v>4486</v>
      </c>
      <c r="B1194" s="1">
        <v>45616</v>
      </c>
      <c r="C1194" t="s">
        <v>554</v>
      </c>
      <c r="D1194" t="s">
        <v>36</v>
      </c>
      <c r="E1194">
        <v>467</v>
      </c>
      <c r="F1194" t="s">
        <v>3262</v>
      </c>
      <c r="G1194">
        <v>34161.050000000003</v>
      </c>
      <c r="H1194" t="s">
        <v>573</v>
      </c>
      <c r="I1194">
        <v>78.88</v>
      </c>
      <c r="J1194" t="s">
        <v>3263</v>
      </c>
      <c r="K1194">
        <v>73.150000000000006</v>
      </c>
      <c r="L1194" s="1">
        <v>45646</v>
      </c>
      <c r="M1194">
        <f>G1194*IF(D1194="INR",1,INDEX('rates'!$B$2:$B$522,MATCH(B1194,'rates'!$A$2:$A$522,1)))</f>
        <v>2883534.2305000001</v>
      </c>
      <c r="N1194">
        <f t="shared" si="18"/>
        <v>30</v>
      </c>
    </row>
    <row r="1195" spans="1:14" x14ac:dyDescent="0.3">
      <c r="A1195" t="s">
        <v>4458</v>
      </c>
      <c r="B1195" s="1">
        <v>45602</v>
      </c>
      <c r="C1195" t="s">
        <v>566</v>
      </c>
      <c r="D1195" t="s">
        <v>36</v>
      </c>
      <c r="E1195">
        <v>277</v>
      </c>
      <c r="F1195" t="s">
        <v>3262</v>
      </c>
      <c r="G1195">
        <v>20913.5</v>
      </c>
      <c r="H1195" t="s">
        <v>573</v>
      </c>
      <c r="I1195">
        <v>83.07</v>
      </c>
      <c r="J1195" t="s">
        <v>3263</v>
      </c>
      <c r="K1195">
        <v>75.5</v>
      </c>
      <c r="L1195" s="1">
        <v>45647</v>
      </c>
      <c r="M1195">
        <f>G1195*IF(D1195="INR",1,INDEX('rates'!$B$2:$B$522,MATCH(B1195,'rates'!$A$2:$A$522,1)))</f>
        <v>1763217.1850000001</v>
      </c>
      <c r="N1195">
        <f t="shared" si="18"/>
        <v>45</v>
      </c>
    </row>
    <row r="1196" spans="1:14" x14ac:dyDescent="0.3">
      <c r="A1196" t="s">
        <v>4487</v>
      </c>
      <c r="B1196" s="1">
        <v>45617</v>
      </c>
      <c r="C1196" t="s">
        <v>554</v>
      </c>
      <c r="D1196" t="s">
        <v>36</v>
      </c>
      <c r="E1196">
        <v>1556</v>
      </c>
      <c r="F1196" t="s">
        <v>3262</v>
      </c>
      <c r="G1196">
        <v>116715.56</v>
      </c>
      <c r="H1196" t="s">
        <v>573</v>
      </c>
      <c r="I1196">
        <v>81.13</v>
      </c>
      <c r="J1196" t="s">
        <v>3263</v>
      </c>
      <c r="K1196">
        <v>75.010000000000005</v>
      </c>
      <c r="L1196" s="1">
        <v>45647</v>
      </c>
      <c r="M1196">
        <f>G1196*IF(D1196="INR",1,INDEX('rates'!$B$2:$B$522,MATCH(B1196,'rates'!$A$2:$A$522,1)))</f>
        <v>9860130.5088</v>
      </c>
      <c r="N1196">
        <f t="shared" si="18"/>
        <v>30</v>
      </c>
    </row>
    <row r="1197" spans="1:14" x14ac:dyDescent="0.3">
      <c r="A1197" t="s">
        <v>4489</v>
      </c>
      <c r="B1197" s="1">
        <v>45618</v>
      </c>
      <c r="C1197" t="s">
        <v>554</v>
      </c>
      <c r="D1197" t="s">
        <v>36</v>
      </c>
      <c r="E1197">
        <v>570</v>
      </c>
      <c r="F1197" t="s">
        <v>3262</v>
      </c>
      <c r="G1197">
        <v>43468.2</v>
      </c>
      <c r="H1197" t="s">
        <v>573</v>
      </c>
      <c r="I1197">
        <v>81.13</v>
      </c>
      <c r="J1197" t="s">
        <v>3263</v>
      </c>
      <c r="K1197">
        <v>76.260000000000005</v>
      </c>
      <c r="L1197" s="1">
        <v>45648</v>
      </c>
      <c r="M1197">
        <f>G1197*IF(D1197="INR",1,INDEX('rates'!$B$2:$B$522,MATCH(B1197,'rates'!$A$2:$A$522,1)))</f>
        <v>3670454.8079999997</v>
      </c>
      <c r="N1197">
        <f t="shared" si="18"/>
        <v>30</v>
      </c>
    </row>
    <row r="1198" spans="1:14" x14ac:dyDescent="0.3">
      <c r="A1198" t="s">
        <v>4491</v>
      </c>
      <c r="B1198" s="1">
        <v>45618</v>
      </c>
      <c r="C1198" t="s">
        <v>566</v>
      </c>
      <c r="D1198" t="s">
        <v>36</v>
      </c>
      <c r="E1198">
        <v>2294</v>
      </c>
      <c r="F1198" t="s">
        <v>3262</v>
      </c>
      <c r="G1198">
        <v>178633.78</v>
      </c>
      <c r="H1198" t="s">
        <v>573</v>
      </c>
      <c r="I1198">
        <v>81.13</v>
      </c>
      <c r="J1198" t="s">
        <v>3263</v>
      </c>
      <c r="K1198">
        <v>77.87</v>
      </c>
      <c r="L1198" s="1">
        <v>45648</v>
      </c>
      <c r="M1198">
        <f>G1198*IF(D1198="INR",1,INDEX('rates'!$B$2:$B$522,MATCH(B1198,'rates'!$A$2:$A$522,1)))</f>
        <v>15083836.383199999</v>
      </c>
      <c r="N1198">
        <f t="shared" si="18"/>
        <v>30</v>
      </c>
    </row>
    <row r="1199" spans="1:14" x14ac:dyDescent="0.3">
      <c r="A1199" t="s">
        <v>4493</v>
      </c>
      <c r="B1199" s="1">
        <v>45618</v>
      </c>
      <c r="C1199" t="s">
        <v>566</v>
      </c>
      <c r="D1199" t="s">
        <v>36</v>
      </c>
      <c r="E1199">
        <v>1090</v>
      </c>
      <c r="F1199" t="s">
        <v>3262</v>
      </c>
      <c r="G1199">
        <v>81455.7</v>
      </c>
      <c r="H1199" t="s">
        <v>573</v>
      </c>
      <c r="I1199">
        <v>81.13</v>
      </c>
      <c r="J1199" t="s">
        <v>3263</v>
      </c>
      <c r="K1199">
        <v>74.73</v>
      </c>
      <c r="L1199" s="1">
        <v>45648</v>
      </c>
      <c r="M1199">
        <f>G1199*IF(D1199="INR",1,INDEX('rates'!$B$2:$B$522,MATCH(B1199,'rates'!$A$2:$A$522,1)))</f>
        <v>6878119.3079999993</v>
      </c>
      <c r="N1199">
        <f t="shared" si="18"/>
        <v>30</v>
      </c>
    </row>
    <row r="1200" spans="1:14" x14ac:dyDescent="0.3">
      <c r="A1200" t="s">
        <v>4432</v>
      </c>
      <c r="B1200" s="1">
        <v>45589</v>
      </c>
      <c r="C1200" t="s">
        <v>558</v>
      </c>
      <c r="D1200" t="s">
        <v>36</v>
      </c>
      <c r="E1200">
        <v>450</v>
      </c>
      <c r="F1200" t="s">
        <v>3262</v>
      </c>
      <c r="G1200">
        <v>33439.5</v>
      </c>
      <c r="H1200" t="s">
        <v>556</v>
      </c>
      <c r="J1200" t="s">
        <v>3263</v>
      </c>
      <c r="K1200">
        <v>74.31</v>
      </c>
      <c r="L1200" s="1">
        <v>45649</v>
      </c>
      <c r="M1200">
        <f>G1200*IF(D1200="INR",1,INDEX('rates'!$B$2:$B$522,MATCH(B1200,'rates'!$A$2:$A$522,1)))</f>
        <v>2810589.9750000001</v>
      </c>
      <c r="N1200">
        <f t="shared" si="18"/>
        <v>60</v>
      </c>
    </row>
    <row r="1201" spans="1:14" x14ac:dyDescent="0.3">
      <c r="A1201" t="s">
        <v>4465</v>
      </c>
      <c r="B1201" s="1">
        <v>45604</v>
      </c>
      <c r="C1201" t="s">
        <v>566</v>
      </c>
      <c r="D1201" t="s">
        <v>36</v>
      </c>
      <c r="E1201">
        <v>774</v>
      </c>
      <c r="F1201" t="s">
        <v>3262</v>
      </c>
      <c r="G1201">
        <v>57748.14</v>
      </c>
      <c r="H1201" t="s">
        <v>573</v>
      </c>
      <c r="I1201">
        <v>83.76</v>
      </c>
      <c r="J1201" t="s">
        <v>3263</v>
      </c>
      <c r="K1201">
        <v>74.61</v>
      </c>
      <c r="L1201" s="1">
        <v>45649</v>
      </c>
      <c r="M1201">
        <f>G1201*IF(D1201="INR",1,INDEX('rates'!$B$2:$B$522,MATCH(B1201,'rates'!$A$2:$A$522,1)))</f>
        <v>4870478.1276000002</v>
      </c>
      <c r="N1201">
        <f t="shared" si="18"/>
        <v>45</v>
      </c>
    </row>
    <row r="1202" spans="1:14" x14ac:dyDescent="0.3">
      <c r="A1202" t="s">
        <v>4434</v>
      </c>
      <c r="B1202" s="1">
        <v>45590</v>
      </c>
      <c r="C1202" t="s">
        <v>558</v>
      </c>
      <c r="D1202" t="s">
        <v>36</v>
      </c>
      <c r="E1202">
        <v>412</v>
      </c>
      <c r="F1202" t="s">
        <v>3262</v>
      </c>
      <c r="G1202">
        <v>31328.48</v>
      </c>
      <c r="H1202" t="s">
        <v>573</v>
      </c>
      <c r="I1202">
        <v>84.08</v>
      </c>
      <c r="J1202" t="s">
        <v>3263</v>
      </c>
      <c r="K1202">
        <v>76.040000000000006</v>
      </c>
      <c r="L1202" s="1">
        <v>45650</v>
      </c>
      <c r="M1202">
        <f>G1202*IF(D1202="INR",1,INDEX('rates'!$B$2:$B$522,MATCH(B1202,'rates'!$A$2:$A$522,1)))</f>
        <v>2633472.0288</v>
      </c>
      <c r="N1202">
        <f t="shared" si="18"/>
        <v>60</v>
      </c>
    </row>
    <row r="1203" spans="1:14" x14ac:dyDescent="0.3">
      <c r="A1203" t="s">
        <v>4440</v>
      </c>
      <c r="B1203" s="1">
        <v>45590</v>
      </c>
      <c r="C1203" t="s">
        <v>560</v>
      </c>
      <c r="D1203" t="s">
        <v>36</v>
      </c>
      <c r="E1203">
        <v>163</v>
      </c>
      <c r="F1203" t="s">
        <v>3262</v>
      </c>
      <c r="G1203">
        <v>12363.55</v>
      </c>
      <c r="H1203" t="s">
        <v>556</v>
      </c>
      <c r="J1203" t="s">
        <v>3263</v>
      </c>
      <c r="K1203">
        <v>75.849999999999994</v>
      </c>
      <c r="L1203" s="1">
        <v>45650</v>
      </c>
      <c r="M1203">
        <f>G1203*IF(D1203="INR",1,INDEX('rates'!$B$2:$B$522,MATCH(B1203,'rates'!$A$2:$A$522,1)))</f>
        <v>1039280.0129999999</v>
      </c>
      <c r="N1203">
        <f t="shared" si="18"/>
        <v>60</v>
      </c>
    </row>
    <row r="1204" spans="1:14" x14ac:dyDescent="0.3">
      <c r="A1204" t="s">
        <v>4467</v>
      </c>
      <c r="B1204" s="1">
        <v>45607</v>
      </c>
      <c r="C1204" t="s">
        <v>558</v>
      </c>
      <c r="D1204" t="s">
        <v>36</v>
      </c>
      <c r="E1204">
        <v>2653</v>
      </c>
      <c r="F1204" t="s">
        <v>3262</v>
      </c>
      <c r="G1204">
        <v>202848.38</v>
      </c>
      <c r="H1204" t="s">
        <v>556</v>
      </c>
      <c r="J1204" t="s">
        <v>3263</v>
      </c>
      <c r="K1204">
        <v>76.459999999999994</v>
      </c>
      <c r="L1204" s="1">
        <v>45652</v>
      </c>
      <c r="M1204">
        <f>G1204*IF(D1204="INR",1,INDEX('rates'!$B$2:$B$522,MATCH(B1204,'rates'!$A$2:$A$522,1)))</f>
        <v>17108232.369200002</v>
      </c>
      <c r="N1204">
        <f t="shared" si="18"/>
        <v>45</v>
      </c>
    </row>
    <row r="1205" spans="1:14" x14ac:dyDescent="0.3">
      <c r="A1205" t="s">
        <v>4442</v>
      </c>
      <c r="B1205" s="1">
        <v>45593</v>
      </c>
      <c r="C1205" t="s">
        <v>560</v>
      </c>
      <c r="D1205" t="s">
        <v>36</v>
      </c>
      <c r="E1205">
        <v>474</v>
      </c>
      <c r="F1205" t="s">
        <v>3262</v>
      </c>
      <c r="G1205">
        <v>34156.44</v>
      </c>
      <c r="H1205" t="s">
        <v>556</v>
      </c>
      <c r="J1205" t="s">
        <v>3263</v>
      </c>
      <c r="K1205">
        <v>72.06</v>
      </c>
      <c r="L1205" s="1">
        <v>45653</v>
      </c>
      <c r="M1205">
        <f>G1205*IF(D1205="INR",1,INDEX('rates'!$B$2:$B$522,MATCH(B1205,'rates'!$A$2:$A$522,1)))</f>
        <v>2870848.7820000001</v>
      </c>
      <c r="N1205">
        <f t="shared" si="18"/>
        <v>60</v>
      </c>
    </row>
    <row r="1206" spans="1:14" x14ac:dyDescent="0.3">
      <c r="A1206" t="s">
        <v>4444</v>
      </c>
      <c r="B1206" s="1">
        <v>45594</v>
      </c>
      <c r="C1206" t="s">
        <v>560</v>
      </c>
      <c r="D1206" t="s">
        <v>36</v>
      </c>
      <c r="E1206">
        <v>1389</v>
      </c>
      <c r="F1206" t="s">
        <v>3262</v>
      </c>
      <c r="G1206">
        <v>99452.4</v>
      </c>
      <c r="H1206" t="s">
        <v>556</v>
      </c>
      <c r="J1206" t="s">
        <v>3263</v>
      </c>
      <c r="K1206">
        <v>71.599999999999994</v>
      </c>
      <c r="L1206" s="1">
        <v>45654</v>
      </c>
      <c r="M1206">
        <f>G1206*IF(D1206="INR",1,INDEX('rates'!$B$2:$B$522,MATCH(B1206,'rates'!$A$2:$A$522,1)))</f>
        <v>8357979.6960000005</v>
      </c>
      <c r="N1206">
        <f t="shared" si="18"/>
        <v>60</v>
      </c>
    </row>
    <row r="1207" spans="1:14" x14ac:dyDescent="0.3">
      <c r="A1207" t="s">
        <v>4497</v>
      </c>
      <c r="B1207" s="1">
        <v>45624</v>
      </c>
      <c r="C1207" t="s">
        <v>566</v>
      </c>
      <c r="D1207" t="s">
        <v>36</v>
      </c>
      <c r="E1207">
        <v>1561</v>
      </c>
      <c r="F1207" t="s">
        <v>3262</v>
      </c>
      <c r="G1207">
        <v>114468.13</v>
      </c>
      <c r="H1207" t="s">
        <v>573</v>
      </c>
      <c r="I1207">
        <v>79.739999999999995</v>
      </c>
      <c r="J1207" t="s">
        <v>3263</v>
      </c>
      <c r="K1207">
        <v>73.33</v>
      </c>
      <c r="L1207" s="1">
        <v>45654</v>
      </c>
      <c r="M1207">
        <f>G1207*IF(D1207="INR",1,INDEX('rates'!$B$2:$B$522,MATCH(B1207,'rates'!$A$2:$A$522,1)))</f>
        <v>9662254.8532999996</v>
      </c>
      <c r="N1207">
        <f t="shared" si="18"/>
        <v>30</v>
      </c>
    </row>
    <row r="1208" spans="1:14" x14ac:dyDescent="0.3">
      <c r="A1208" t="s">
        <v>4446</v>
      </c>
      <c r="B1208" s="1">
        <v>45595</v>
      </c>
      <c r="C1208" t="s">
        <v>560</v>
      </c>
      <c r="D1208" t="s">
        <v>36</v>
      </c>
      <c r="E1208">
        <v>1979</v>
      </c>
      <c r="F1208" t="s">
        <v>3262</v>
      </c>
      <c r="G1208">
        <v>144051.41</v>
      </c>
      <c r="H1208" t="s">
        <v>556</v>
      </c>
      <c r="J1208" t="s">
        <v>3263</v>
      </c>
      <c r="K1208">
        <v>72.790000000000006</v>
      </c>
      <c r="L1208" s="1">
        <v>45655</v>
      </c>
      <c r="M1208">
        <f>G1208*IF(D1208="INR",1,INDEX('rates'!$B$2:$B$522,MATCH(B1208,'rates'!$A$2:$A$522,1)))</f>
        <v>12110402.038699999</v>
      </c>
      <c r="N1208">
        <f t="shared" si="18"/>
        <v>60</v>
      </c>
    </row>
    <row r="1209" spans="1:14" x14ac:dyDescent="0.3">
      <c r="A1209" t="s">
        <v>4476</v>
      </c>
      <c r="B1209" s="1">
        <v>45611</v>
      </c>
      <c r="C1209" t="s">
        <v>566</v>
      </c>
      <c r="D1209" t="s">
        <v>36</v>
      </c>
      <c r="E1209">
        <v>491</v>
      </c>
      <c r="F1209" t="s">
        <v>3262</v>
      </c>
      <c r="G1209">
        <v>35553.31</v>
      </c>
      <c r="H1209" t="s">
        <v>573</v>
      </c>
      <c r="I1209">
        <v>83.51</v>
      </c>
      <c r="J1209" t="s">
        <v>3263</v>
      </c>
      <c r="K1209">
        <v>72.41</v>
      </c>
      <c r="L1209" s="1">
        <v>45656</v>
      </c>
      <c r="M1209">
        <f>G1209*IF(D1209="INR",1,INDEX('rates'!$B$2:$B$522,MATCH(B1209,'rates'!$A$2:$A$522,1)))</f>
        <v>3001054.8970999997</v>
      </c>
      <c r="N1209">
        <f t="shared" si="18"/>
        <v>45</v>
      </c>
    </row>
    <row r="1210" spans="1:14" x14ac:dyDescent="0.3">
      <c r="A1210" t="s">
        <v>4478</v>
      </c>
      <c r="B1210" s="1">
        <v>45611</v>
      </c>
      <c r="C1210" t="s">
        <v>575</v>
      </c>
      <c r="D1210" t="s">
        <v>36</v>
      </c>
      <c r="E1210">
        <v>285</v>
      </c>
      <c r="F1210" t="s">
        <v>3262</v>
      </c>
      <c r="G1210">
        <v>20055.45</v>
      </c>
      <c r="H1210" t="s">
        <v>573</v>
      </c>
      <c r="I1210">
        <v>83.51</v>
      </c>
      <c r="J1210" t="s">
        <v>3263</v>
      </c>
      <c r="K1210">
        <v>70.37</v>
      </c>
      <c r="L1210" s="1">
        <v>45656</v>
      </c>
      <c r="M1210">
        <f>G1210*IF(D1210="INR",1,INDEX('rates'!$B$2:$B$522,MATCH(B1210,'rates'!$A$2:$A$522,1)))</f>
        <v>1692880.5345000001</v>
      </c>
      <c r="N1210">
        <f t="shared" si="18"/>
        <v>45</v>
      </c>
    </row>
    <row r="1211" spans="1:14" x14ac:dyDescent="0.3">
      <c r="A1211" t="s">
        <v>4479</v>
      </c>
      <c r="B1211" s="1">
        <v>45611</v>
      </c>
      <c r="C1211" t="s">
        <v>566</v>
      </c>
      <c r="D1211" t="s">
        <v>36</v>
      </c>
      <c r="E1211">
        <v>159</v>
      </c>
      <c r="F1211" t="s">
        <v>3262</v>
      </c>
      <c r="G1211">
        <v>11149.08</v>
      </c>
      <c r="H1211" t="s">
        <v>556</v>
      </c>
      <c r="J1211" t="s">
        <v>3263</v>
      </c>
      <c r="K1211">
        <v>70.12</v>
      </c>
      <c r="L1211" s="1">
        <v>45656</v>
      </c>
      <c r="M1211">
        <f>G1211*IF(D1211="INR",1,INDEX('rates'!$B$2:$B$522,MATCH(B1211,'rates'!$A$2:$A$522,1)))</f>
        <v>941093.84279999998</v>
      </c>
      <c r="N1211">
        <f t="shared" si="18"/>
        <v>45</v>
      </c>
    </row>
    <row r="1212" spans="1:14" x14ac:dyDescent="0.3">
      <c r="A1212" t="s">
        <v>4450</v>
      </c>
      <c r="B1212" s="1">
        <v>45597</v>
      </c>
      <c r="C1212" t="s">
        <v>566</v>
      </c>
      <c r="D1212" t="s">
        <v>13</v>
      </c>
      <c r="E1212">
        <v>54862</v>
      </c>
      <c r="F1212" t="s">
        <v>3270</v>
      </c>
      <c r="G1212">
        <v>3658198.16</v>
      </c>
      <c r="H1212" t="s">
        <v>556</v>
      </c>
      <c r="J1212" t="s">
        <v>3271</v>
      </c>
      <c r="K1212">
        <v>66.680000000000007</v>
      </c>
      <c r="L1212" s="1">
        <v>45657</v>
      </c>
      <c r="M1212">
        <f>G1212*IF(D1212="INR",1,INDEX('rates'!$B$2:$B$522,MATCH(B1212,'rates'!$A$2:$A$522,1)))</f>
        <v>3658198.16</v>
      </c>
      <c r="N1212">
        <f t="shared" si="18"/>
        <v>60</v>
      </c>
    </row>
    <row r="1213" spans="1:14" x14ac:dyDescent="0.3">
      <c r="A1213" t="s">
        <v>4501</v>
      </c>
      <c r="B1213" s="1">
        <v>45628</v>
      </c>
      <c r="C1213" t="s">
        <v>560</v>
      </c>
      <c r="D1213" t="s">
        <v>13</v>
      </c>
      <c r="E1213">
        <v>83789</v>
      </c>
      <c r="F1213" t="s">
        <v>3270</v>
      </c>
      <c r="G1213">
        <v>8042906.1100000003</v>
      </c>
      <c r="H1213" t="s">
        <v>556</v>
      </c>
      <c r="J1213" t="s">
        <v>3271</v>
      </c>
      <c r="K1213">
        <v>95.99</v>
      </c>
      <c r="L1213" s="1">
        <v>45658</v>
      </c>
      <c r="M1213">
        <f>G1213*IF(D1213="INR",1,INDEX('rates'!$B$2:$B$522,MATCH(B1213,'rates'!$A$2:$A$522,1)))</f>
        <v>8042906.1100000003</v>
      </c>
      <c r="N1213">
        <f t="shared" si="18"/>
        <v>30</v>
      </c>
    </row>
    <row r="1214" spans="1:14" x14ac:dyDescent="0.3">
      <c r="A1214" t="s">
        <v>4503</v>
      </c>
      <c r="B1214" s="1">
        <v>45628</v>
      </c>
      <c r="C1214" t="s">
        <v>554</v>
      </c>
      <c r="D1214" t="s">
        <v>36</v>
      </c>
      <c r="E1214">
        <v>370</v>
      </c>
      <c r="F1214" t="s">
        <v>3262</v>
      </c>
      <c r="G1214">
        <v>26976.7</v>
      </c>
      <c r="H1214" t="s">
        <v>573</v>
      </c>
      <c r="I1214">
        <v>76.27</v>
      </c>
      <c r="J1214" t="s">
        <v>3263</v>
      </c>
      <c r="K1214">
        <v>72.91</v>
      </c>
      <c r="L1214" s="1">
        <v>45658</v>
      </c>
      <c r="M1214">
        <f>G1214*IF(D1214="INR",1,INDEX('rates'!$B$2:$B$522,MATCH(B1214,'rates'!$A$2:$A$522,1)))</f>
        <v>2286005.5579999997</v>
      </c>
      <c r="N1214">
        <f t="shared" si="18"/>
        <v>30</v>
      </c>
    </row>
    <row r="1215" spans="1:14" x14ac:dyDescent="0.3">
      <c r="A1215" t="s">
        <v>4508</v>
      </c>
      <c r="B1215" s="1">
        <v>45629</v>
      </c>
      <c r="C1215" t="s">
        <v>566</v>
      </c>
      <c r="D1215" t="s">
        <v>36</v>
      </c>
      <c r="E1215">
        <v>504</v>
      </c>
      <c r="F1215" t="s">
        <v>3262</v>
      </c>
      <c r="G1215">
        <v>37427.040000000001</v>
      </c>
      <c r="H1215" t="s">
        <v>573</v>
      </c>
      <c r="I1215">
        <v>75.02</v>
      </c>
      <c r="J1215" t="s">
        <v>3263</v>
      </c>
      <c r="K1215">
        <v>74.260000000000005</v>
      </c>
      <c r="L1215" s="1">
        <v>45659</v>
      </c>
      <c r="M1215">
        <f>G1215*IF(D1215="INR",1,INDEX('rates'!$B$2:$B$522,MATCH(B1215,'rates'!$A$2:$A$522,1)))</f>
        <v>3169321.7472000001</v>
      </c>
      <c r="N1215">
        <f t="shared" si="18"/>
        <v>30</v>
      </c>
    </row>
    <row r="1216" spans="1:14" x14ac:dyDescent="0.3">
      <c r="A1216" t="s">
        <v>4481</v>
      </c>
      <c r="B1216" s="1">
        <v>45615</v>
      </c>
      <c r="C1216" t="s">
        <v>558</v>
      </c>
      <c r="D1216" t="s">
        <v>36</v>
      </c>
      <c r="E1216">
        <v>1656</v>
      </c>
      <c r="F1216" t="s">
        <v>3262</v>
      </c>
      <c r="G1216">
        <v>123206</v>
      </c>
      <c r="H1216" t="s">
        <v>556</v>
      </c>
      <c r="J1216" t="s">
        <v>3263</v>
      </c>
      <c r="K1216">
        <v>74.400000000000006</v>
      </c>
      <c r="L1216" s="1">
        <v>45660</v>
      </c>
      <c r="M1216">
        <f>G1216*IF(D1216="INR",1,INDEX('rates'!$B$2:$B$522,MATCH(B1216,'rates'!$A$2:$A$522,1)))</f>
        <v>10393658.16</v>
      </c>
      <c r="N1216">
        <f t="shared" si="18"/>
        <v>45</v>
      </c>
    </row>
    <row r="1217" spans="1:14" x14ac:dyDescent="0.3">
      <c r="A1217" t="s">
        <v>4482</v>
      </c>
      <c r="B1217" s="1">
        <v>45615</v>
      </c>
      <c r="C1217" t="s">
        <v>554</v>
      </c>
      <c r="D1217" t="s">
        <v>36</v>
      </c>
      <c r="E1217">
        <v>1648</v>
      </c>
      <c r="F1217" t="s">
        <v>3262</v>
      </c>
      <c r="G1217">
        <v>125676.48</v>
      </c>
      <c r="H1217" t="s">
        <v>556</v>
      </c>
      <c r="J1217" t="s">
        <v>3263</v>
      </c>
      <c r="K1217">
        <v>76.260000000000005</v>
      </c>
      <c r="L1217" s="1">
        <v>45660</v>
      </c>
      <c r="M1217">
        <f>G1217*IF(D1217="INR",1,INDEX('rates'!$B$2:$B$522,MATCH(B1217,'rates'!$A$2:$A$522,1)))</f>
        <v>10602067.8528</v>
      </c>
      <c r="N1217">
        <f t="shared" si="18"/>
        <v>45</v>
      </c>
    </row>
    <row r="1218" spans="1:14" x14ac:dyDescent="0.3">
      <c r="A1218" t="s">
        <v>4485</v>
      </c>
      <c r="B1218" s="1">
        <v>45615</v>
      </c>
      <c r="C1218" t="s">
        <v>554</v>
      </c>
      <c r="D1218" t="s">
        <v>36</v>
      </c>
      <c r="E1218">
        <v>246</v>
      </c>
      <c r="F1218" t="s">
        <v>3262</v>
      </c>
      <c r="G1218">
        <v>18341.759999999998</v>
      </c>
      <c r="H1218" t="s">
        <v>556</v>
      </c>
      <c r="J1218" t="s">
        <v>3263</v>
      </c>
      <c r="K1218">
        <v>74.56</v>
      </c>
      <c r="L1218" s="1">
        <v>45660</v>
      </c>
      <c r="M1218">
        <f>G1218*IF(D1218="INR",1,INDEX('rates'!$B$2:$B$522,MATCH(B1218,'rates'!$A$2:$A$522,1)))</f>
        <v>1547310.8735999998</v>
      </c>
      <c r="N1218">
        <f t="shared" ref="N1218:N1281" si="19">IF(L1218="","",L1218-B1218)</f>
        <v>45</v>
      </c>
    </row>
    <row r="1219" spans="1:14" x14ac:dyDescent="0.3">
      <c r="A1219" t="s">
        <v>4456</v>
      </c>
      <c r="B1219" s="1">
        <v>45601</v>
      </c>
      <c r="C1219" t="s">
        <v>560</v>
      </c>
      <c r="D1219" t="s">
        <v>36</v>
      </c>
      <c r="E1219">
        <v>502</v>
      </c>
      <c r="F1219" t="s">
        <v>3262</v>
      </c>
      <c r="G1219">
        <v>38533.519999999997</v>
      </c>
      <c r="H1219" t="s">
        <v>556</v>
      </c>
      <c r="J1219" t="s">
        <v>3263</v>
      </c>
      <c r="K1219">
        <v>76.760000000000005</v>
      </c>
      <c r="L1219" s="1">
        <v>45661</v>
      </c>
      <c r="M1219">
        <f>G1219*IF(D1219="INR",1,INDEX('rates'!$B$2:$B$522,MATCH(B1219,'rates'!$A$2:$A$522,1)))</f>
        <v>3240669.0319999997</v>
      </c>
      <c r="N1219">
        <f t="shared" si="19"/>
        <v>60</v>
      </c>
    </row>
    <row r="1220" spans="1:14" x14ac:dyDescent="0.3">
      <c r="A1220" t="s">
        <v>4488</v>
      </c>
      <c r="B1220" s="1">
        <v>45617</v>
      </c>
      <c r="C1220" t="s">
        <v>575</v>
      </c>
      <c r="D1220" t="s">
        <v>36</v>
      </c>
      <c r="E1220">
        <v>1133</v>
      </c>
      <c r="F1220" t="s">
        <v>3262</v>
      </c>
      <c r="G1220">
        <v>84782.39</v>
      </c>
      <c r="H1220" t="s">
        <v>556</v>
      </c>
      <c r="J1220" t="s">
        <v>3263</v>
      </c>
      <c r="K1220">
        <v>74.83</v>
      </c>
      <c r="L1220" s="1">
        <v>45662</v>
      </c>
      <c r="M1220">
        <f>G1220*IF(D1220="INR",1,INDEX('rates'!$B$2:$B$522,MATCH(B1220,'rates'!$A$2:$A$522,1)))</f>
        <v>7162416.3072000006</v>
      </c>
      <c r="N1220">
        <f t="shared" si="19"/>
        <v>45</v>
      </c>
    </row>
    <row r="1221" spans="1:14" x14ac:dyDescent="0.3">
      <c r="A1221" t="s">
        <v>4512</v>
      </c>
      <c r="B1221" s="1">
        <v>45632</v>
      </c>
      <c r="C1221" t="s">
        <v>566</v>
      </c>
      <c r="D1221" t="s">
        <v>36</v>
      </c>
      <c r="E1221">
        <v>3392</v>
      </c>
      <c r="F1221" t="s">
        <v>3262</v>
      </c>
      <c r="G1221">
        <v>247683.84</v>
      </c>
      <c r="H1221" t="s">
        <v>573</v>
      </c>
      <c r="I1221">
        <v>73.38</v>
      </c>
      <c r="J1221" t="s">
        <v>3263</v>
      </c>
      <c r="K1221">
        <v>73.02</v>
      </c>
      <c r="L1221" s="1">
        <v>45662</v>
      </c>
      <c r="M1221">
        <f>G1221*IF(D1221="INR",1,INDEX('rates'!$B$2:$B$522,MATCH(B1221,'rates'!$A$2:$A$522,1)))</f>
        <v>20971390.732799999</v>
      </c>
      <c r="N1221">
        <f t="shared" si="19"/>
        <v>30</v>
      </c>
    </row>
    <row r="1222" spans="1:14" x14ac:dyDescent="0.3">
      <c r="A1222" t="s">
        <v>4517</v>
      </c>
      <c r="B1222" s="1">
        <v>45632</v>
      </c>
      <c r="C1222" t="s">
        <v>566</v>
      </c>
      <c r="D1222" t="s">
        <v>36</v>
      </c>
      <c r="E1222">
        <v>1436</v>
      </c>
      <c r="F1222" t="s">
        <v>3262</v>
      </c>
      <c r="G1222">
        <v>103966.39999999999</v>
      </c>
      <c r="H1222" t="s">
        <v>573</v>
      </c>
      <c r="I1222">
        <v>73.38</v>
      </c>
      <c r="J1222" t="s">
        <v>3263</v>
      </c>
      <c r="K1222">
        <v>72.400000000000006</v>
      </c>
      <c r="L1222" s="1">
        <v>45662</v>
      </c>
      <c r="M1222">
        <f>G1222*IF(D1222="INR",1,INDEX('rates'!$B$2:$B$522,MATCH(B1222,'rates'!$A$2:$A$522,1)))</f>
        <v>8802835.0879999995</v>
      </c>
      <c r="N1222">
        <f t="shared" si="19"/>
        <v>30</v>
      </c>
    </row>
    <row r="1223" spans="1:14" x14ac:dyDescent="0.3">
      <c r="A1223" t="s">
        <v>4518</v>
      </c>
      <c r="B1223" s="1">
        <v>45632</v>
      </c>
      <c r="C1223" t="s">
        <v>566</v>
      </c>
      <c r="D1223" t="s">
        <v>36</v>
      </c>
      <c r="E1223">
        <v>1457</v>
      </c>
      <c r="F1223" t="s">
        <v>3262</v>
      </c>
      <c r="G1223">
        <v>104904</v>
      </c>
      <c r="H1223" t="s">
        <v>556</v>
      </c>
      <c r="J1223" t="s">
        <v>3263</v>
      </c>
      <c r="K1223">
        <v>72</v>
      </c>
      <c r="L1223" s="1">
        <v>45662</v>
      </c>
      <c r="M1223">
        <f>G1223*IF(D1223="INR",1,INDEX('rates'!$B$2:$B$522,MATCH(B1223,'rates'!$A$2:$A$522,1)))</f>
        <v>8882221.6799999997</v>
      </c>
      <c r="N1223">
        <f t="shared" si="19"/>
        <v>30</v>
      </c>
    </row>
    <row r="1224" spans="1:14" x14ac:dyDescent="0.3">
      <c r="A1224" t="s">
        <v>4494</v>
      </c>
      <c r="B1224" s="1">
        <v>45618</v>
      </c>
      <c r="C1224" t="s">
        <v>566</v>
      </c>
      <c r="D1224" t="s">
        <v>13</v>
      </c>
      <c r="E1224">
        <v>33496</v>
      </c>
      <c r="F1224" t="s">
        <v>3270</v>
      </c>
      <c r="G1224">
        <v>3325482.88</v>
      </c>
      <c r="H1224" t="s">
        <v>556</v>
      </c>
      <c r="J1224" t="s">
        <v>3271</v>
      </c>
      <c r="K1224">
        <v>99.28</v>
      </c>
      <c r="L1224" s="1">
        <v>45663</v>
      </c>
      <c r="M1224">
        <f>G1224*IF(D1224="INR",1,INDEX('rates'!$B$2:$B$522,MATCH(B1224,'rates'!$A$2:$A$522,1)))</f>
        <v>3325482.88</v>
      </c>
      <c r="N1224">
        <f t="shared" si="19"/>
        <v>45</v>
      </c>
    </row>
    <row r="1225" spans="1:14" x14ac:dyDescent="0.3">
      <c r="A1225" t="s">
        <v>4495</v>
      </c>
      <c r="B1225" s="1">
        <v>45618</v>
      </c>
      <c r="C1225" t="s">
        <v>566</v>
      </c>
      <c r="D1225" t="s">
        <v>36</v>
      </c>
      <c r="E1225">
        <v>828</v>
      </c>
      <c r="F1225" t="s">
        <v>3262</v>
      </c>
      <c r="G1225">
        <v>61611.48</v>
      </c>
      <c r="H1225" t="s">
        <v>556</v>
      </c>
      <c r="J1225" t="s">
        <v>3263</v>
      </c>
      <c r="K1225">
        <v>74.41</v>
      </c>
      <c r="L1225" s="1">
        <v>45663</v>
      </c>
      <c r="M1225">
        <f>G1225*IF(D1225="INR",1,INDEX('rates'!$B$2:$B$522,MATCH(B1225,'rates'!$A$2:$A$522,1)))</f>
        <v>5202473.3711999999</v>
      </c>
      <c r="N1225">
        <f t="shared" si="19"/>
        <v>45</v>
      </c>
    </row>
    <row r="1226" spans="1:14" x14ac:dyDescent="0.3">
      <c r="A1226" t="s">
        <v>4466</v>
      </c>
      <c r="B1226" s="1">
        <v>45604</v>
      </c>
      <c r="C1226" t="s">
        <v>560</v>
      </c>
      <c r="D1226" t="s">
        <v>13</v>
      </c>
      <c r="E1226">
        <v>138869</v>
      </c>
      <c r="F1226" t="s">
        <v>3270</v>
      </c>
      <c r="G1226">
        <v>10492941.640000001</v>
      </c>
      <c r="H1226" t="s">
        <v>556</v>
      </c>
      <c r="J1226" t="s">
        <v>3271</v>
      </c>
      <c r="K1226">
        <v>75.56</v>
      </c>
      <c r="L1226" s="1">
        <v>45664</v>
      </c>
      <c r="M1226">
        <f>G1226*IF(D1226="INR",1,INDEX('rates'!$B$2:$B$522,MATCH(B1226,'rates'!$A$2:$A$522,1)))</f>
        <v>10492941.640000001</v>
      </c>
      <c r="N1226">
        <f t="shared" si="19"/>
        <v>60</v>
      </c>
    </row>
    <row r="1227" spans="1:14" x14ac:dyDescent="0.3">
      <c r="A1227" t="s">
        <v>4520</v>
      </c>
      <c r="B1227" s="1">
        <v>45635</v>
      </c>
      <c r="C1227" t="s">
        <v>560</v>
      </c>
      <c r="D1227" t="s">
        <v>36</v>
      </c>
      <c r="E1227">
        <v>431</v>
      </c>
      <c r="F1227" t="s">
        <v>3262</v>
      </c>
      <c r="G1227">
        <v>31553.51</v>
      </c>
      <c r="H1227" t="s">
        <v>556</v>
      </c>
      <c r="J1227" t="s">
        <v>3263</v>
      </c>
      <c r="K1227">
        <v>73.209999999999994</v>
      </c>
      <c r="L1227" s="1">
        <v>45665</v>
      </c>
      <c r="M1227">
        <f>G1227*IF(D1227="INR",1,INDEX('rates'!$B$2:$B$522,MATCH(B1227,'rates'!$A$2:$A$522,1)))</f>
        <v>2673213.3671999997</v>
      </c>
      <c r="N1227">
        <f t="shared" si="19"/>
        <v>30</v>
      </c>
    </row>
    <row r="1228" spans="1:14" x14ac:dyDescent="0.3">
      <c r="A1228" t="s">
        <v>4522</v>
      </c>
      <c r="B1228" s="1">
        <v>45635</v>
      </c>
      <c r="C1228" t="s">
        <v>554</v>
      </c>
      <c r="D1228" t="s">
        <v>36</v>
      </c>
      <c r="E1228">
        <v>1062</v>
      </c>
      <c r="F1228" t="s">
        <v>3262</v>
      </c>
      <c r="G1228">
        <v>76697.64</v>
      </c>
      <c r="H1228" t="s">
        <v>556</v>
      </c>
      <c r="J1228" t="s">
        <v>3263</v>
      </c>
      <c r="K1228">
        <v>72.22</v>
      </c>
      <c r="L1228" s="1">
        <v>45665</v>
      </c>
      <c r="M1228">
        <f>G1228*IF(D1228="INR",1,INDEX('rates'!$B$2:$B$522,MATCH(B1228,'rates'!$A$2:$A$522,1)))</f>
        <v>6497824.0608000001</v>
      </c>
      <c r="N1228">
        <f t="shared" si="19"/>
        <v>30</v>
      </c>
    </row>
    <row r="1229" spans="1:14" x14ac:dyDescent="0.3">
      <c r="A1229" t="s">
        <v>4496</v>
      </c>
      <c r="B1229" s="1">
        <v>45621</v>
      </c>
      <c r="C1229" t="s">
        <v>566</v>
      </c>
      <c r="D1229" t="s">
        <v>13</v>
      </c>
      <c r="E1229">
        <v>152552</v>
      </c>
      <c r="F1229" t="s">
        <v>3270</v>
      </c>
      <c r="G1229">
        <v>13340672.4</v>
      </c>
      <c r="H1229" t="s">
        <v>556</v>
      </c>
      <c r="J1229" t="s">
        <v>3271</v>
      </c>
      <c r="K1229">
        <v>87.45</v>
      </c>
      <c r="L1229" s="1">
        <v>45666</v>
      </c>
      <c r="M1229">
        <f>G1229*IF(D1229="INR",1,INDEX('rates'!$B$2:$B$522,MATCH(B1229,'rates'!$A$2:$A$522,1)))</f>
        <v>13340672.4</v>
      </c>
      <c r="N1229">
        <f t="shared" si="19"/>
        <v>45</v>
      </c>
    </row>
    <row r="1230" spans="1:14" x14ac:dyDescent="0.3">
      <c r="A1230" t="s">
        <v>4469</v>
      </c>
      <c r="B1230" s="1">
        <v>45607</v>
      </c>
      <c r="C1230" t="s">
        <v>566</v>
      </c>
      <c r="D1230" t="s">
        <v>36</v>
      </c>
      <c r="E1230">
        <v>3850</v>
      </c>
      <c r="F1230" t="s">
        <v>3262</v>
      </c>
      <c r="G1230">
        <v>297682</v>
      </c>
      <c r="H1230" t="s">
        <v>573</v>
      </c>
      <c r="I1230">
        <v>85.4</v>
      </c>
      <c r="J1230" t="s">
        <v>3263</v>
      </c>
      <c r="K1230">
        <v>77.319999999999993</v>
      </c>
      <c r="L1230" s="1">
        <v>45667</v>
      </c>
      <c r="M1230">
        <f>G1230*IF(D1230="INR",1,INDEX('rates'!$B$2:$B$522,MATCH(B1230,'rates'!$A$2:$A$522,1)))</f>
        <v>25106499.880000003</v>
      </c>
      <c r="N1230">
        <f t="shared" si="19"/>
        <v>60</v>
      </c>
    </row>
    <row r="1231" spans="1:14" x14ac:dyDescent="0.3">
      <c r="A1231" t="s">
        <v>4526</v>
      </c>
      <c r="B1231" s="1">
        <v>45637</v>
      </c>
      <c r="C1231" t="s">
        <v>558</v>
      </c>
      <c r="D1231" t="s">
        <v>36</v>
      </c>
      <c r="E1231">
        <v>487</v>
      </c>
      <c r="F1231" t="s">
        <v>3262</v>
      </c>
      <c r="G1231">
        <v>36057.480000000003</v>
      </c>
      <c r="H1231" t="s">
        <v>556</v>
      </c>
      <c r="J1231" t="s">
        <v>3263</v>
      </c>
      <c r="K1231">
        <v>74.040000000000006</v>
      </c>
      <c r="L1231" s="1">
        <v>45667</v>
      </c>
      <c r="M1231">
        <f>G1231*IF(D1231="INR",1,INDEX('rates'!$B$2:$B$522,MATCH(B1231,'rates'!$A$2:$A$522,1)))</f>
        <v>3057674.304</v>
      </c>
      <c r="N1231">
        <f t="shared" si="19"/>
        <v>30</v>
      </c>
    </row>
    <row r="1232" spans="1:14" x14ac:dyDescent="0.3">
      <c r="A1232" t="s">
        <v>4470</v>
      </c>
      <c r="B1232" s="1">
        <v>45608</v>
      </c>
      <c r="C1232" t="s">
        <v>558</v>
      </c>
      <c r="D1232" t="s">
        <v>36</v>
      </c>
      <c r="E1232">
        <v>1928</v>
      </c>
      <c r="F1232" t="s">
        <v>3262</v>
      </c>
      <c r="G1232">
        <v>139278.72</v>
      </c>
      <c r="H1232" t="s">
        <v>556</v>
      </c>
      <c r="J1232" t="s">
        <v>3263</v>
      </c>
      <c r="K1232">
        <v>72.239999999999995</v>
      </c>
      <c r="L1232" s="1">
        <v>45668</v>
      </c>
      <c r="M1232">
        <f>G1232*IF(D1232="INR",1,INDEX('rates'!$B$2:$B$522,MATCH(B1232,'rates'!$A$2:$A$522,1)))</f>
        <v>11752338.3936</v>
      </c>
      <c r="N1232">
        <f t="shared" si="19"/>
        <v>60</v>
      </c>
    </row>
    <row r="1233" spans="1:14" x14ac:dyDescent="0.3">
      <c r="A1233" t="s">
        <v>4530</v>
      </c>
      <c r="B1233" s="1">
        <v>45638</v>
      </c>
      <c r="C1233" t="s">
        <v>560</v>
      </c>
      <c r="D1233" t="s">
        <v>36</v>
      </c>
      <c r="E1233">
        <v>1337</v>
      </c>
      <c r="F1233" t="s">
        <v>3262</v>
      </c>
      <c r="G1233">
        <v>101652.11</v>
      </c>
      <c r="H1233" t="s">
        <v>573</v>
      </c>
      <c r="I1233">
        <v>74.459999999999994</v>
      </c>
      <c r="J1233" t="s">
        <v>3263</v>
      </c>
      <c r="K1233">
        <v>76.03</v>
      </c>
      <c r="L1233" s="1">
        <v>45668</v>
      </c>
      <c r="M1233">
        <f>G1233*IF(D1233="INR",1,INDEX('rates'!$B$2:$B$522,MATCH(B1233,'rates'!$A$2:$A$522,1)))</f>
        <v>8624165.0124000013</v>
      </c>
      <c r="N1233">
        <f t="shared" si="19"/>
        <v>30</v>
      </c>
    </row>
    <row r="1234" spans="1:14" x14ac:dyDescent="0.3">
      <c r="A1234" t="s">
        <v>4531</v>
      </c>
      <c r="B1234" s="1">
        <v>45638</v>
      </c>
      <c r="C1234" t="s">
        <v>560</v>
      </c>
      <c r="D1234" t="s">
        <v>36</v>
      </c>
      <c r="E1234">
        <v>741</v>
      </c>
      <c r="F1234" t="s">
        <v>3262</v>
      </c>
      <c r="G1234">
        <v>54619.11</v>
      </c>
      <c r="H1234" t="s">
        <v>556</v>
      </c>
      <c r="J1234" t="s">
        <v>3263</v>
      </c>
      <c r="K1234">
        <v>73.709999999999994</v>
      </c>
      <c r="L1234" s="1">
        <v>45668</v>
      </c>
      <c r="M1234">
        <f>G1234*IF(D1234="INR",1,INDEX('rates'!$B$2:$B$522,MATCH(B1234,'rates'!$A$2:$A$522,1)))</f>
        <v>4633885.2924000006</v>
      </c>
      <c r="N1234">
        <f t="shared" si="19"/>
        <v>30</v>
      </c>
    </row>
    <row r="1235" spans="1:14" x14ac:dyDescent="0.3">
      <c r="A1235" t="s">
        <v>4472</v>
      </c>
      <c r="B1235" s="1">
        <v>45609</v>
      </c>
      <c r="C1235" t="s">
        <v>558</v>
      </c>
      <c r="D1235" t="s">
        <v>36</v>
      </c>
      <c r="E1235">
        <v>695</v>
      </c>
      <c r="F1235" t="s">
        <v>3262</v>
      </c>
      <c r="G1235">
        <v>52138.9</v>
      </c>
      <c r="H1235" t="s">
        <v>556</v>
      </c>
      <c r="J1235" t="s">
        <v>3263</v>
      </c>
      <c r="K1235">
        <v>75.02</v>
      </c>
      <c r="L1235" s="1">
        <v>45669</v>
      </c>
      <c r="M1235">
        <f>G1235*IF(D1235="INR",1,INDEX('rates'!$B$2:$B$522,MATCH(B1235,'rates'!$A$2:$A$522,1)))</f>
        <v>4400001.7709999997</v>
      </c>
      <c r="N1235">
        <f t="shared" si="19"/>
        <v>60</v>
      </c>
    </row>
    <row r="1236" spans="1:14" x14ac:dyDescent="0.3">
      <c r="A1236" t="s">
        <v>4535</v>
      </c>
      <c r="B1236" s="1">
        <v>45639</v>
      </c>
      <c r="C1236" t="s">
        <v>560</v>
      </c>
      <c r="D1236" t="s">
        <v>36</v>
      </c>
      <c r="E1236">
        <v>1978</v>
      </c>
      <c r="F1236" t="s">
        <v>3262</v>
      </c>
      <c r="G1236">
        <v>150189.54</v>
      </c>
      <c r="H1236" t="s">
        <v>573</v>
      </c>
      <c r="I1236">
        <v>74.459999999999994</v>
      </c>
      <c r="J1236" t="s">
        <v>3263</v>
      </c>
      <c r="K1236">
        <v>75.930000000000007</v>
      </c>
      <c r="L1236" s="1">
        <v>45669</v>
      </c>
      <c r="M1236">
        <f>G1236*IF(D1236="INR",1,INDEX('rates'!$B$2:$B$522,MATCH(B1236,'rates'!$A$2:$A$522,1)))</f>
        <v>12733069.201200001</v>
      </c>
      <c r="N1236">
        <f t="shared" si="19"/>
        <v>30</v>
      </c>
    </row>
    <row r="1237" spans="1:14" x14ac:dyDescent="0.3">
      <c r="A1237" t="s">
        <v>4473</v>
      </c>
      <c r="B1237" s="1">
        <v>45610</v>
      </c>
      <c r="C1237" t="s">
        <v>575</v>
      </c>
      <c r="D1237" t="s">
        <v>13</v>
      </c>
      <c r="E1237">
        <v>77005</v>
      </c>
      <c r="F1237" t="s">
        <v>3270</v>
      </c>
      <c r="G1237">
        <v>6076464.5499999998</v>
      </c>
      <c r="H1237" t="s">
        <v>556</v>
      </c>
      <c r="J1237" t="s">
        <v>3271</v>
      </c>
      <c r="K1237">
        <v>78.91</v>
      </c>
      <c r="L1237" s="1">
        <v>45670</v>
      </c>
      <c r="M1237">
        <f>G1237*IF(D1237="INR",1,INDEX('rates'!$B$2:$B$522,MATCH(B1237,'rates'!$A$2:$A$522,1)))</f>
        <v>6076464.5499999998</v>
      </c>
      <c r="N1237">
        <f t="shared" si="19"/>
        <v>60</v>
      </c>
    </row>
    <row r="1238" spans="1:14" x14ac:dyDescent="0.3">
      <c r="A1238" t="s">
        <v>4499</v>
      </c>
      <c r="B1238" s="1">
        <v>45625</v>
      </c>
      <c r="C1238" t="s">
        <v>558</v>
      </c>
      <c r="D1238" t="s">
        <v>36</v>
      </c>
      <c r="E1238">
        <v>599</v>
      </c>
      <c r="F1238" t="s">
        <v>3262</v>
      </c>
      <c r="G1238">
        <v>43882.74</v>
      </c>
      <c r="H1238" t="s">
        <v>556</v>
      </c>
      <c r="J1238" t="s">
        <v>3263</v>
      </c>
      <c r="K1238">
        <v>73.260000000000005</v>
      </c>
      <c r="L1238" s="1">
        <v>45670</v>
      </c>
      <c r="M1238">
        <f>G1238*IF(D1238="INR",1,INDEX('rates'!$B$2:$B$522,MATCH(B1238,'rates'!$A$2:$A$522,1)))</f>
        <v>3707213.8752000001</v>
      </c>
      <c r="N1238">
        <f t="shared" si="19"/>
        <v>45</v>
      </c>
    </row>
    <row r="1239" spans="1:14" x14ac:dyDescent="0.3">
      <c r="A1239" t="s">
        <v>4474</v>
      </c>
      <c r="B1239" s="1">
        <v>45611</v>
      </c>
      <c r="C1239" t="s">
        <v>558</v>
      </c>
      <c r="D1239" t="s">
        <v>13</v>
      </c>
      <c r="E1239">
        <v>140362</v>
      </c>
      <c r="F1239" t="s">
        <v>3270</v>
      </c>
      <c r="G1239">
        <v>9011240.4000000004</v>
      </c>
      <c r="H1239" t="s">
        <v>556</v>
      </c>
      <c r="J1239" t="s">
        <v>3271</v>
      </c>
      <c r="K1239">
        <v>64.2</v>
      </c>
      <c r="L1239" s="1">
        <v>45671</v>
      </c>
      <c r="M1239">
        <f>G1239*IF(D1239="INR",1,INDEX('rates'!$B$2:$B$522,MATCH(B1239,'rates'!$A$2:$A$522,1)))</f>
        <v>9011240.4000000004</v>
      </c>
      <c r="N1239">
        <f t="shared" si="19"/>
        <v>60</v>
      </c>
    </row>
    <row r="1240" spans="1:14" x14ac:dyDescent="0.3">
      <c r="A1240" t="s">
        <v>4475</v>
      </c>
      <c r="B1240" s="1">
        <v>45611</v>
      </c>
      <c r="C1240" t="s">
        <v>560</v>
      </c>
      <c r="D1240" t="s">
        <v>36</v>
      </c>
      <c r="E1240">
        <v>622</v>
      </c>
      <c r="F1240" t="s">
        <v>3262</v>
      </c>
      <c r="G1240">
        <v>44280.18</v>
      </c>
      <c r="H1240" t="s">
        <v>573</v>
      </c>
      <c r="I1240">
        <v>83.51</v>
      </c>
      <c r="J1240" t="s">
        <v>3263</v>
      </c>
      <c r="K1240">
        <v>71.19</v>
      </c>
      <c r="L1240" s="1">
        <v>45671</v>
      </c>
      <c r="M1240">
        <f>G1240*IF(D1240="INR",1,INDEX('rates'!$B$2:$B$522,MATCH(B1240,'rates'!$A$2:$A$522,1)))</f>
        <v>3737689.9937999998</v>
      </c>
      <c r="N1240">
        <f t="shared" si="19"/>
        <v>60</v>
      </c>
    </row>
    <row r="1241" spans="1:14" x14ac:dyDescent="0.3">
      <c r="A1241" t="s">
        <v>4502</v>
      </c>
      <c r="B1241" s="1">
        <v>45628</v>
      </c>
      <c r="C1241" t="s">
        <v>566</v>
      </c>
      <c r="D1241" t="s">
        <v>36</v>
      </c>
      <c r="E1241">
        <v>753</v>
      </c>
      <c r="F1241" t="s">
        <v>3262</v>
      </c>
      <c r="G1241">
        <v>53229.57</v>
      </c>
      <c r="H1241" t="s">
        <v>556</v>
      </c>
      <c r="J1241" t="s">
        <v>3263</v>
      </c>
      <c r="K1241">
        <v>70.69</v>
      </c>
      <c r="L1241" s="1">
        <v>45673</v>
      </c>
      <c r="M1241">
        <f>G1241*IF(D1241="INR",1,INDEX('rates'!$B$2:$B$522,MATCH(B1241,'rates'!$A$2:$A$522,1)))</f>
        <v>4510673.7617999995</v>
      </c>
      <c r="N1241">
        <f t="shared" si="19"/>
        <v>45</v>
      </c>
    </row>
    <row r="1242" spans="1:14" x14ac:dyDescent="0.3">
      <c r="A1242" t="s">
        <v>4504</v>
      </c>
      <c r="B1242" s="1">
        <v>45628</v>
      </c>
      <c r="C1242" t="s">
        <v>566</v>
      </c>
      <c r="D1242" t="s">
        <v>13</v>
      </c>
      <c r="E1242">
        <v>176337</v>
      </c>
      <c r="F1242" t="s">
        <v>3270</v>
      </c>
      <c r="G1242">
        <v>11966228.82</v>
      </c>
      <c r="H1242" t="s">
        <v>556</v>
      </c>
      <c r="J1242" t="s">
        <v>3271</v>
      </c>
      <c r="K1242">
        <v>67.86</v>
      </c>
      <c r="L1242" s="1">
        <v>45673</v>
      </c>
      <c r="M1242">
        <f>G1242*IF(D1242="INR",1,INDEX('rates'!$B$2:$B$522,MATCH(B1242,'rates'!$A$2:$A$522,1)))</f>
        <v>11966228.82</v>
      </c>
      <c r="N1242">
        <f t="shared" si="19"/>
        <v>45</v>
      </c>
    </row>
    <row r="1243" spans="1:14" x14ac:dyDescent="0.3">
      <c r="A1243" t="s">
        <v>4506</v>
      </c>
      <c r="B1243" s="1">
        <v>45628</v>
      </c>
      <c r="C1243" t="s">
        <v>560</v>
      </c>
      <c r="D1243" t="s">
        <v>13</v>
      </c>
      <c r="E1243">
        <v>30543</v>
      </c>
      <c r="F1243" t="s">
        <v>3270</v>
      </c>
      <c r="G1243">
        <v>2401596.09</v>
      </c>
      <c r="H1243" t="s">
        <v>556</v>
      </c>
      <c r="J1243" t="s">
        <v>3271</v>
      </c>
      <c r="K1243">
        <v>78.63</v>
      </c>
      <c r="L1243" s="1">
        <v>45673</v>
      </c>
      <c r="M1243">
        <f>G1243*IF(D1243="INR",1,INDEX('rates'!$B$2:$B$522,MATCH(B1243,'rates'!$A$2:$A$522,1)))</f>
        <v>2401596.09</v>
      </c>
      <c r="N1243">
        <f t="shared" si="19"/>
        <v>45</v>
      </c>
    </row>
    <row r="1244" spans="1:14" x14ac:dyDescent="0.3">
      <c r="A1244" t="s">
        <v>4536</v>
      </c>
      <c r="B1244" s="1">
        <v>45643</v>
      </c>
      <c r="C1244" t="s">
        <v>560</v>
      </c>
      <c r="D1244" t="s">
        <v>36</v>
      </c>
      <c r="E1244">
        <v>922</v>
      </c>
      <c r="F1244" t="s">
        <v>3262</v>
      </c>
      <c r="G1244">
        <v>67997.5</v>
      </c>
      <c r="H1244" t="s">
        <v>556</v>
      </c>
      <c r="J1244" t="s">
        <v>3263</v>
      </c>
      <c r="K1244">
        <v>73.75</v>
      </c>
      <c r="L1244" s="1">
        <v>45673</v>
      </c>
      <c r="M1244">
        <f>G1244*IF(D1244="INR",1,INDEX('rates'!$B$2:$B$522,MATCH(B1244,'rates'!$A$2:$A$522,1)))</f>
        <v>5773667.7249999996</v>
      </c>
      <c r="N1244">
        <f t="shared" si="19"/>
        <v>30</v>
      </c>
    </row>
    <row r="1245" spans="1:14" x14ac:dyDescent="0.3">
      <c r="A1245" t="s">
        <v>4507</v>
      </c>
      <c r="B1245" s="1">
        <v>45629</v>
      </c>
      <c r="C1245" t="s">
        <v>558</v>
      </c>
      <c r="D1245" t="s">
        <v>13</v>
      </c>
      <c r="E1245">
        <v>28549</v>
      </c>
      <c r="F1245" t="s">
        <v>3270</v>
      </c>
      <c r="G1245">
        <v>2282207.06</v>
      </c>
      <c r="H1245" t="s">
        <v>556</v>
      </c>
      <c r="J1245" t="s">
        <v>3271</v>
      </c>
      <c r="K1245">
        <v>79.94</v>
      </c>
      <c r="L1245" s="1">
        <v>45674</v>
      </c>
      <c r="M1245">
        <f>G1245*IF(D1245="INR",1,INDEX('rates'!$B$2:$B$522,MATCH(B1245,'rates'!$A$2:$A$522,1)))</f>
        <v>2282207.06</v>
      </c>
      <c r="N1245">
        <f t="shared" si="19"/>
        <v>45</v>
      </c>
    </row>
    <row r="1246" spans="1:14" x14ac:dyDescent="0.3">
      <c r="A1246" t="s">
        <v>4509</v>
      </c>
      <c r="B1246" s="1">
        <v>45629</v>
      </c>
      <c r="C1246" t="s">
        <v>566</v>
      </c>
      <c r="D1246" t="s">
        <v>36</v>
      </c>
      <c r="E1246">
        <v>1090</v>
      </c>
      <c r="F1246" t="s">
        <v>3262</v>
      </c>
      <c r="G1246">
        <v>80115</v>
      </c>
      <c r="H1246" t="s">
        <v>556</v>
      </c>
      <c r="J1246" t="s">
        <v>3263</v>
      </c>
      <c r="K1246">
        <v>73.5</v>
      </c>
      <c r="L1246" s="1">
        <v>45674</v>
      </c>
      <c r="M1246">
        <f>G1246*IF(D1246="INR",1,INDEX('rates'!$B$2:$B$522,MATCH(B1246,'rates'!$A$2:$A$522,1)))</f>
        <v>6784138.2000000002</v>
      </c>
      <c r="N1246">
        <f t="shared" si="19"/>
        <v>45</v>
      </c>
    </row>
    <row r="1247" spans="1:14" x14ac:dyDescent="0.3">
      <c r="A1247" t="s">
        <v>4538</v>
      </c>
      <c r="B1247" s="1">
        <v>45644</v>
      </c>
      <c r="C1247" t="s">
        <v>566</v>
      </c>
      <c r="D1247" t="s">
        <v>36</v>
      </c>
      <c r="E1247">
        <v>741</v>
      </c>
      <c r="F1247" t="s">
        <v>3262</v>
      </c>
      <c r="G1247">
        <v>54130.05</v>
      </c>
      <c r="H1247" t="s">
        <v>573</v>
      </c>
      <c r="I1247">
        <v>77.959999999999994</v>
      </c>
      <c r="J1247" t="s">
        <v>3263</v>
      </c>
      <c r="K1247">
        <v>73.05</v>
      </c>
      <c r="L1247" s="1">
        <v>45674</v>
      </c>
      <c r="M1247">
        <f>G1247*IF(D1247="INR",1,INDEX('rates'!$B$2:$B$522,MATCH(B1247,'rates'!$A$2:$A$522,1)))</f>
        <v>4598347.7475000005</v>
      </c>
      <c r="N1247">
        <f t="shared" si="19"/>
        <v>30</v>
      </c>
    </row>
    <row r="1248" spans="1:14" x14ac:dyDescent="0.3">
      <c r="A1248" t="s">
        <v>4544</v>
      </c>
      <c r="B1248" s="1">
        <v>45646</v>
      </c>
      <c r="C1248" t="s">
        <v>554</v>
      </c>
      <c r="D1248" t="s">
        <v>13</v>
      </c>
      <c r="E1248">
        <v>110298</v>
      </c>
      <c r="F1248" t="s">
        <v>3270</v>
      </c>
      <c r="G1248">
        <v>9502172.6999999993</v>
      </c>
      <c r="H1248" t="s">
        <v>556</v>
      </c>
      <c r="J1248" t="s">
        <v>3271</v>
      </c>
      <c r="K1248">
        <v>86.15</v>
      </c>
      <c r="L1248" s="1">
        <v>45676</v>
      </c>
      <c r="M1248">
        <f>G1248*IF(D1248="INR",1,INDEX('rates'!$B$2:$B$522,MATCH(B1248,'rates'!$A$2:$A$522,1)))</f>
        <v>9502172.6999999993</v>
      </c>
      <c r="N1248">
        <f t="shared" si="19"/>
        <v>30</v>
      </c>
    </row>
    <row r="1249" spans="1:14" x14ac:dyDescent="0.3">
      <c r="A1249" t="s">
        <v>4550</v>
      </c>
      <c r="B1249" s="1">
        <v>45646</v>
      </c>
      <c r="C1249" t="s">
        <v>566</v>
      </c>
      <c r="D1249" t="s">
        <v>36</v>
      </c>
      <c r="E1249">
        <v>808</v>
      </c>
      <c r="F1249" t="s">
        <v>3262</v>
      </c>
      <c r="G1249">
        <v>62183.68</v>
      </c>
      <c r="H1249" t="s">
        <v>573</v>
      </c>
      <c r="I1249">
        <v>77.81</v>
      </c>
      <c r="J1249" t="s">
        <v>3263</v>
      </c>
      <c r="K1249">
        <v>76.959999999999994</v>
      </c>
      <c r="L1249" s="1">
        <v>45676</v>
      </c>
      <c r="M1249">
        <f>G1249*IF(D1249="INR",1,INDEX('rates'!$B$2:$B$522,MATCH(B1249,'rates'!$A$2:$A$522,1)))</f>
        <v>5286856.4736000001</v>
      </c>
      <c r="N1249">
        <f t="shared" si="19"/>
        <v>30</v>
      </c>
    </row>
    <row r="1250" spans="1:14" x14ac:dyDescent="0.3">
      <c r="A1250" t="s">
        <v>4551</v>
      </c>
      <c r="B1250" s="1">
        <v>45646</v>
      </c>
      <c r="C1250" t="s">
        <v>575</v>
      </c>
      <c r="D1250" t="s">
        <v>36</v>
      </c>
      <c r="E1250">
        <v>637</v>
      </c>
      <c r="F1250" t="s">
        <v>3262</v>
      </c>
      <c r="G1250">
        <v>47278.14</v>
      </c>
      <c r="H1250" t="s">
        <v>556</v>
      </c>
      <c r="J1250" t="s">
        <v>3263</v>
      </c>
      <c r="K1250">
        <v>74.22</v>
      </c>
      <c r="L1250" s="1">
        <v>45676</v>
      </c>
      <c r="M1250">
        <f>G1250*IF(D1250="INR",1,INDEX('rates'!$B$2:$B$522,MATCH(B1250,'rates'!$A$2:$A$522,1)))</f>
        <v>4019587.4627999999</v>
      </c>
      <c r="N1250">
        <f t="shared" si="19"/>
        <v>30</v>
      </c>
    </row>
    <row r="1251" spans="1:14" x14ac:dyDescent="0.3">
      <c r="A1251" t="s">
        <v>4513</v>
      </c>
      <c r="B1251" s="1">
        <v>45632</v>
      </c>
      <c r="C1251" t="s">
        <v>575</v>
      </c>
      <c r="D1251" t="s">
        <v>36</v>
      </c>
      <c r="E1251">
        <v>596</v>
      </c>
      <c r="F1251" t="s">
        <v>3262</v>
      </c>
      <c r="G1251">
        <v>42721.279999999999</v>
      </c>
      <c r="H1251" t="s">
        <v>573</v>
      </c>
      <c r="I1251">
        <v>73.38</v>
      </c>
      <c r="J1251" t="s">
        <v>3263</v>
      </c>
      <c r="K1251">
        <v>71.680000000000007</v>
      </c>
      <c r="L1251" s="1">
        <v>45677</v>
      </c>
      <c r="M1251">
        <f>G1251*IF(D1251="INR",1,INDEX('rates'!$B$2:$B$522,MATCH(B1251,'rates'!$A$2:$A$522,1)))</f>
        <v>3617210.7776000001</v>
      </c>
      <c r="N1251">
        <f t="shared" si="19"/>
        <v>45</v>
      </c>
    </row>
    <row r="1252" spans="1:14" x14ac:dyDescent="0.3">
      <c r="A1252" t="s">
        <v>4514</v>
      </c>
      <c r="B1252" s="1">
        <v>45632</v>
      </c>
      <c r="C1252" t="s">
        <v>558</v>
      </c>
      <c r="D1252" t="s">
        <v>36</v>
      </c>
      <c r="E1252">
        <v>1283</v>
      </c>
      <c r="F1252" t="s">
        <v>3262</v>
      </c>
      <c r="G1252">
        <v>94723.89</v>
      </c>
      <c r="H1252" t="s">
        <v>573</v>
      </c>
      <c r="I1252">
        <v>73.38</v>
      </c>
      <c r="J1252" t="s">
        <v>3263</v>
      </c>
      <c r="K1252">
        <v>73.83</v>
      </c>
      <c r="L1252" s="1">
        <v>45677</v>
      </c>
      <c r="M1252">
        <f>G1252*IF(D1252="INR",1,INDEX('rates'!$B$2:$B$522,MATCH(B1252,'rates'!$A$2:$A$522,1)))</f>
        <v>8020271.7663000003</v>
      </c>
      <c r="N1252">
        <f t="shared" si="19"/>
        <v>45</v>
      </c>
    </row>
    <row r="1253" spans="1:14" x14ac:dyDescent="0.3">
      <c r="A1253" t="s">
        <v>4516</v>
      </c>
      <c r="B1253" s="1">
        <v>45632</v>
      </c>
      <c r="C1253" t="s">
        <v>566</v>
      </c>
      <c r="D1253" t="s">
        <v>13</v>
      </c>
      <c r="E1253">
        <v>94476</v>
      </c>
      <c r="F1253" t="s">
        <v>3270</v>
      </c>
      <c r="G1253">
        <v>9167006.2799999993</v>
      </c>
      <c r="H1253" t="s">
        <v>556</v>
      </c>
      <c r="J1253" t="s">
        <v>3271</v>
      </c>
      <c r="K1253">
        <v>97.03</v>
      </c>
      <c r="L1253" s="1">
        <v>45677</v>
      </c>
      <c r="M1253">
        <f>G1253*IF(D1253="INR",1,INDEX('rates'!$B$2:$B$522,MATCH(B1253,'rates'!$A$2:$A$522,1)))</f>
        <v>9167006.2799999993</v>
      </c>
      <c r="N1253">
        <f t="shared" si="19"/>
        <v>45</v>
      </c>
    </row>
    <row r="1254" spans="1:14" x14ac:dyDescent="0.3">
      <c r="A1254" t="s">
        <v>4490</v>
      </c>
      <c r="B1254" s="1">
        <v>45618</v>
      </c>
      <c r="C1254" t="s">
        <v>554</v>
      </c>
      <c r="D1254" t="s">
        <v>36</v>
      </c>
      <c r="E1254">
        <v>688</v>
      </c>
      <c r="F1254" t="s">
        <v>3262</v>
      </c>
      <c r="G1254">
        <v>52370.559999999998</v>
      </c>
      <c r="H1254" t="s">
        <v>556</v>
      </c>
      <c r="J1254" t="s">
        <v>3263</v>
      </c>
      <c r="K1254">
        <v>76.12</v>
      </c>
      <c r="L1254" s="1">
        <v>45678</v>
      </c>
      <c r="M1254">
        <f>G1254*IF(D1254="INR",1,INDEX('rates'!$B$2:$B$522,MATCH(B1254,'rates'!$A$2:$A$522,1)))</f>
        <v>4422170.0863999994</v>
      </c>
      <c r="N1254">
        <f t="shared" si="19"/>
        <v>60</v>
      </c>
    </row>
    <row r="1255" spans="1:14" x14ac:dyDescent="0.3">
      <c r="A1255" t="s">
        <v>4492</v>
      </c>
      <c r="B1255" s="1">
        <v>45618</v>
      </c>
      <c r="C1255" t="s">
        <v>566</v>
      </c>
      <c r="D1255" t="s">
        <v>36</v>
      </c>
      <c r="E1255">
        <v>573</v>
      </c>
      <c r="F1255" t="s">
        <v>3262</v>
      </c>
      <c r="G1255">
        <v>43267.23</v>
      </c>
      <c r="H1255" t="s">
        <v>573</v>
      </c>
      <c r="I1255">
        <v>81.13</v>
      </c>
      <c r="J1255" t="s">
        <v>3263</v>
      </c>
      <c r="K1255">
        <v>75.510000000000005</v>
      </c>
      <c r="L1255" s="1">
        <v>45678</v>
      </c>
      <c r="M1255">
        <f>G1255*IF(D1255="INR",1,INDEX('rates'!$B$2:$B$522,MATCH(B1255,'rates'!$A$2:$A$522,1)))</f>
        <v>3653484.9012000002</v>
      </c>
      <c r="N1255">
        <f t="shared" si="19"/>
        <v>60</v>
      </c>
    </row>
    <row r="1256" spans="1:14" x14ac:dyDescent="0.3">
      <c r="A1256" t="s">
        <v>4555</v>
      </c>
      <c r="B1256" s="1">
        <v>45649</v>
      </c>
      <c r="C1256" t="s">
        <v>566</v>
      </c>
      <c r="D1256" t="s">
        <v>36</v>
      </c>
      <c r="E1256">
        <v>611</v>
      </c>
      <c r="F1256" t="s">
        <v>3262</v>
      </c>
      <c r="G1256">
        <v>45672.25</v>
      </c>
      <c r="H1256" t="s">
        <v>573</v>
      </c>
      <c r="I1256">
        <v>77.400000000000006</v>
      </c>
      <c r="J1256" t="s">
        <v>3263</v>
      </c>
      <c r="K1256">
        <v>74.75</v>
      </c>
      <c r="L1256" s="1">
        <v>45679</v>
      </c>
      <c r="M1256">
        <f>G1256*IF(D1256="INR",1,INDEX('rates'!$B$2:$B$522,MATCH(B1256,'rates'!$A$2:$A$522,1)))</f>
        <v>3886708.4749999996</v>
      </c>
      <c r="N1256">
        <f t="shared" si="19"/>
        <v>30</v>
      </c>
    </row>
    <row r="1257" spans="1:14" x14ac:dyDescent="0.3">
      <c r="A1257" t="s">
        <v>4521</v>
      </c>
      <c r="B1257" s="1">
        <v>45635</v>
      </c>
      <c r="C1257" t="s">
        <v>554</v>
      </c>
      <c r="D1257" t="s">
        <v>13</v>
      </c>
      <c r="E1257">
        <v>39564</v>
      </c>
      <c r="F1257" t="s">
        <v>3270</v>
      </c>
      <c r="G1257">
        <v>4155406.92</v>
      </c>
      <c r="H1257" t="s">
        <v>556</v>
      </c>
      <c r="J1257" t="s">
        <v>3271</v>
      </c>
      <c r="K1257">
        <v>105.03</v>
      </c>
      <c r="L1257" s="1">
        <v>45680</v>
      </c>
      <c r="M1257">
        <f>G1257*IF(D1257="INR",1,INDEX('rates'!$B$2:$B$522,MATCH(B1257,'rates'!$A$2:$A$522,1)))</f>
        <v>4155406.92</v>
      </c>
      <c r="N1257">
        <f t="shared" si="19"/>
        <v>45</v>
      </c>
    </row>
    <row r="1258" spans="1:14" x14ac:dyDescent="0.3">
      <c r="A1258" t="s">
        <v>4523</v>
      </c>
      <c r="B1258" s="1">
        <v>45636</v>
      </c>
      <c r="C1258" t="s">
        <v>566</v>
      </c>
      <c r="D1258" t="s">
        <v>36</v>
      </c>
      <c r="E1258">
        <v>775</v>
      </c>
      <c r="F1258" t="s">
        <v>3262</v>
      </c>
      <c r="G1258">
        <v>54753.75</v>
      </c>
      <c r="H1258" t="s">
        <v>573</v>
      </c>
      <c r="I1258">
        <v>73.03</v>
      </c>
      <c r="J1258" t="s">
        <v>3263</v>
      </c>
      <c r="K1258">
        <v>70.650000000000006</v>
      </c>
      <c r="L1258" s="1">
        <v>45681</v>
      </c>
      <c r="M1258">
        <f>G1258*IF(D1258="INR",1,INDEX('rates'!$B$2:$B$522,MATCH(B1258,'rates'!$A$2:$A$522,1)))</f>
        <v>4645308.1500000004</v>
      </c>
      <c r="N1258">
        <f t="shared" si="19"/>
        <v>45</v>
      </c>
    </row>
    <row r="1259" spans="1:14" x14ac:dyDescent="0.3">
      <c r="A1259" t="s">
        <v>4524</v>
      </c>
      <c r="B1259" s="1">
        <v>45636</v>
      </c>
      <c r="C1259" t="s">
        <v>558</v>
      </c>
      <c r="D1259" t="s">
        <v>36</v>
      </c>
      <c r="E1259">
        <v>1913</v>
      </c>
      <c r="F1259" t="s">
        <v>3262</v>
      </c>
      <c r="G1259">
        <v>138137.73000000001</v>
      </c>
      <c r="H1259" t="s">
        <v>556</v>
      </c>
      <c r="J1259" t="s">
        <v>3263</v>
      </c>
      <c r="K1259">
        <v>72.209999999999994</v>
      </c>
      <c r="L1259" s="1">
        <v>45681</v>
      </c>
      <c r="M1259">
        <f>G1259*IF(D1259="INR",1,INDEX('rates'!$B$2:$B$522,MATCH(B1259,'rates'!$A$2:$A$522,1)))</f>
        <v>11719605.013200002</v>
      </c>
      <c r="N1259">
        <f t="shared" si="19"/>
        <v>45</v>
      </c>
    </row>
    <row r="1260" spans="1:14" x14ac:dyDescent="0.3">
      <c r="A1260" t="s">
        <v>4525</v>
      </c>
      <c r="B1260" s="1">
        <v>45636</v>
      </c>
      <c r="C1260" t="s">
        <v>575</v>
      </c>
      <c r="D1260" t="s">
        <v>36</v>
      </c>
      <c r="E1260">
        <v>560</v>
      </c>
      <c r="F1260" t="s">
        <v>3262</v>
      </c>
      <c r="G1260">
        <v>41104</v>
      </c>
      <c r="H1260" t="s">
        <v>556</v>
      </c>
      <c r="J1260" t="s">
        <v>3263</v>
      </c>
      <c r="K1260">
        <v>73.400000000000006</v>
      </c>
      <c r="L1260" s="1">
        <v>45681</v>
      </c>
      <c r="M1260">
        <f>G1260*IF(D1260="INR",1,INDEX('rates'!$B$2:$B$522,MATCH(B1260,'rates'!$A$2:$A$522,1)))</f>
        <v>3487263.3600000003</v>
      </c>
      <c r="N1260">
        <f t="shared" si="19"/>
        <v>45</v>
      </c>
    </row>
    <row r="1261" spans="1:14" x14ac:dyDescent="0.3">
      <c r="A1261" t="s">
        <v>4558</v>
      </c>
      <c r="B1261" s="1">
        <v>45651</v>
      </c>
      <c r="C1261" t="s">
        <v>575</v>
      </c>
      <c r="D1261" t="s">
        <v>13</v>
      </c>
      <c r="E1261">
        <v>40920</v>
      </c>
      <c r="F1261" t="s">
        <v>3270</v>
      </c>
      <c r="G1261">
        <v>3397996.8</v>
      </c>
      <c r="H1261" t="s">
        <v>556</v>
      </c>
      <c r="J1261" t="s">
        <v>3271</v>
      </c>
      <c r="K1261">
        <v>83.04</v>
      </c>
      <c r="L1261" s="1">
        <v>45681</v>
      </c>
      <c r="M1261">
        <f>G1261*IF(D1261="INR",1,INDEX('rates'!$B$2:$B$522,MATCH(B1261,'rates'!$A$2:$A$522,1)))</f>
        <v>3397996.8</v>
      </c>
      <c r="N1261">
        <f t="shared" si="19"/>
        <v>30</v>
      </c>
    </row>
    <row r="1262" spans="1:14" x14ac:dyDescent="0.3">
      <c r="A1262" t="s">
        <v>4559</v>
      </c>
      <c r="B1262" s="1">
        <v>45651</v>
      </c>
      <c r="C1262" t="s">
        <v>566</v>
      </c>
      <c r="D1262" t="s">
        <v>36</v>
      </c>
      <c r="E1262">
        <v>219</v>
      </c>
      <c r="F1262" t="s">
        <v>3262</v>
      </c>
      <c r="G1262">
        <v>16558.59</v>
      </c>
      <c r="H1262" t="s">
        <v>556</v>
      </c>
      <c r="J1262" t="s">
        <v>3263</v>
      </c>
      <c r="K1262">
        <v>75.61</v>
      </c>
      <c r="L1262" s="1">
        <v>45681</v>
      </c>
      <c r="M1262">
        <f>G1262*IF(D1262="INR",1,INDEX('rates'!$B$2:$B$522,MATCH(B1262,'rates'!$A$2:$A$522,1)))</f>
        <v>1409798.3526000001</v>
      </c>
      <c r="N1262">
        <f t="shared" si="19"/>
        <v>30</v>
      </c>
    </row>
    <row r="1263" spans="1:14" x14ac:dyDescent="0.3">
      <c r="A1263" t="s">
        <v>4529</v>
      </c>
      <c r="B1263" s="1">
        <v>45638</v>
      </c>
      <c r="C1263" t="s">
        <v>560</v>
      </c>
      <c r="D1263" t="s">
        <v>36</v>
      </c>
      <c r="E1263">
        <v>758</v>
      </c>
      <c r="F1263" t="s">
        <v>3262</v>
      </c>
      <c r="G1263">
        <v>55932.82</v>
      </c>
      <c r="H1263" t="s">
        <v>556</v>
      </c>
      <c r="J1263" t="s">
        <v>3263</v>
      </c>
      <c r="K1263">
        <v>73.790000000000006</v>
      </c>
      <c r="L1263" s="1">
        <v>45683</v>
      </c>
      <c r="M1263">
        <f>G1263*IF(D1263="INR",1,INDEX('rates'!$B$2:$B$522,MATCH(B1263,'rates'!$A$2:$A$522,1)))</f>
        <v>4745340.4488000004</v>
      </c>
      <c r="N1263">
        <f t="shared" si="19"/>
        <v>45</v>
      </c>
    </row>
    <row r="1264" spans="1:14" x14ac:dyDescent="0.3">
      <c r="A1264" t="s">
        <v>4532</v>
      </c>
      <c r="B1264" s="1">
        <v>45639</v>
      </c>
      <c r="C1264" t="s">
        <v>558</v>
      </c>
      <c r="D1264" t="s">
        <v>36</v>
      </c>
      <c r="E1264">
        <v>234</v>
      </c>
      <c r="F1264" t="s">
        <v>3262</v>
      </c>
      <c r="G1264">
        <v>17739.54</v>
      </c>
      <c r="H1264" t="s">
        <v>573</v>
      </c>
      <c r="I1264">
        <v>74.459999999999994</v>
      </c>
      <c r="J1264" t="s">
        <v>3263</v>
      </c>
      <c r="K1264">
        <v>75.81</v>
      </c>
      <c r="L1264" s="1">
        <v>45684</v>
      </c>
      <c r="M1264">
        <f>G1264*IF(D1264="INR",1,INDEX('rates'!$B$2:$B$522,MATCH(B1264,'rates'!$A$2:$A$522,1)))</f>
        <v>1503958.2012</v>
      </c>
      <c r="N1264">
        <f t="shared" si="19"/>
        <v>45</v>
      </c>
    </row>
    <row r="1265" spans="1:14" x14ac:dyDescent="0.3">
      <c r="A1265" t="s">
        <v>4533</v>
      </c>
      <c r="B1265" s="1">
        <v>45639</v>
      </c>
      <c r="C1265" t="s">
        <v>575</v>
      </c>
      <c r="D1265" t="s">
        <v>36</v>
      </c>
      <c r="E1265">
        <v>3761</v>
      </c>
      <c r="F1265" t="s">
        <v>3262</v>
      </c>
      <c r="G1265">
        <v>280495.38</v>
      </c>
      <c r="H1265" t="s">
        <v>556</v>
      </c>
      <c r="J1265" t="s">
        <v>3263</v>
      </c>
      <c r="K1265">
        <v>74.58</v>
      </c>
      <c r="L1265" s="1">
        <v>45684</v>
      </c>
      <c r="M1265">
        <f>G1265*IF(D1265="INR",1,INDEX('rates'!$B$2:$B$522,MATCH(B1265,'rates'!$A$2:$A$522,1)))</f>
        <v>23780398.316399999</v>
      </c>
      <c r="N1265">
        <f t="shared" si="19"/>
        <v>45</v>
      </c>
    </row>
    <row r="1266" spans="1:14" x14ac:dyDescent="0.3">
      <c r="A1266" t="s">
        <v>4534</v>
      </c>
      <c r="B1266" s="1">
        <v>45639</v>
      </c>
      <c r="C1266" t="s">
        <v>558</v>
      </c>
      <c r="D1266" t="s">
        <v>36</v>
      </c>
      <c r="E1266">
        <v>3128</v>
      </c>
      <c r="F1266" t="s">
        <v>3262</v>
      </c>
      <c r="G1266">
        <v>236226.56</v>
      </c>
      <c r="H1266" t="s">
        <v>556</v>
      </c>
      <c r="J1266" t="s">
        <v>3263</v>
      </c>
      <c r="K1266">
        <v>75.52</v>
      </c>
      <c r="L1266" s="1">
        <v>45684</v>
      </c>
      <c r="M1266">
        <f>G1266*IF(D1266="INR",1,INDEX('rates'!$B$2:$B$522,MATCH(B1266,'rates'!$A$2:$A$522,1)))</f>
        <v>20027287.7568</v>
      </c>
      <c r="N1266">
        <f t="shared" si="19"/>
        <v>45</v>
      </c>
    </row>
    <row r="1267" spans="1:14" x14ac:dyDescent="0.3">
      <c r="A1267" t="s">
        <v>4498</v>
      </c>
      <c r="B1267" s="1">
        <v>45625</v>
      </c>
      <c r="C1267" t="s">
        <v>566</v>
      </c>
      <c r="D1267" t="s">
        <v>36</v>
      </c>
      <c r="E1267">
        <v>1267</v>
      </c>
      <c r="F1267" t="s">
        <v>3262</v>
      </c>
      <c r="G1267">
        <v>91933.52</v>
      </c>
      <c r="H1267" t="s">
        <v>573</v>
      </c>
      <c r="I1267">
        <v>79.739999999999995</v>
      </c>
      <c r="J1267" t="s">
        <v>3263</v>
      </c>
      <c r="K1267">
        <v>72.56</v>
      </c>
      <c r="L1267" s="1">
        <v>45685</v>
      </c>
      <c r="M1267">
        <f>G1267*IF(D1267="INR",1,INDEX('rates'!$B$2:$B$522,MATCH(B1267,'rates'!$A$2:$A$522,1)))</f>
        <v>7766543.7696000012</v>
      </c>
      <c r="N1267">
        <f t="shared" si="19"/>
        <v>60</v>
      </c>
    </row>
    <row r="1268" spans="1:14" x14ac:dyDescent="0.3">
      <c r="A1268" t="s">
        <v>4500</v>
      </c>
      <c r="B1268" s="1">
        <v>45625</v>
      </c>
      <c r="C1268" t="s">
        <v>558</v>
      </c>
      <c r="D1268" t="s">
        <v>36</v>
      </c>
      <c r="E1268">
        <v>203</v>
      </c>
      <c r="F1268" t="s">
        <v>3262</v>
      </c>
      <c r="G1268">
        <v>14620.06</v>
      </c>
      <c r="H1268" t="s">
        <v>556</v>
      </c>
      <c r="J1268" t="s">
        <v>3263</v>
      </c>
      <c r="K1268">
        <v>72.02</v>
      </c>
      <c r="L1268" s="1">
        <v>45685</v>
      </c>
      <c r="M1268">
        <f>G1268*IF(D1268="INR",1,INDEX('rates'!$B$2:$B$522,MATCH(B1268,'rates'!$A$2:$A$522,1)))</f>
        <v>1235102.6688000001</v>
      </c>
      <c r="N1268">
        <f t="shared" si="19"/>
        <v>60</v>
      </c>
    </row>
    <row r="1269" spans="1:14" x14ac:dyDescent="0.3">
      <c r="A1269" t="s">
        <v>4570</v>
      </c>
      <c r="B1269" s="1">
        <v>45657</v>
      </c>
      <c r="C1269" t="s">
        <v>558</v>
      </c>
      <c r="D1269" t="s">
        <v>13</v>
      </c>
      <c r="E1269">
        <v>67043</v>
      </c>
      <c r="F1269" t="s">
        <v>3270</v>
      </c>
      <c r="G1269">
        <v>5797878.6399999997</v>
      </c>
      <c r="H1269" t="s">
        <v>556</v>
      </c>
      <c r="J1269" t="s">
        <v>3271</v>
      </c>
      <c r="K1269">
        <v>86.48</v>
      </c>
      <c r="L1269" s="1">
        <v>45687</v>
      </c>
      <c r="M1269">
        <f>G1269*IF(D1269="INR",1,INDEX('rates'!$B$2:$B$522,MATCH(B1269,'rates'!$A$2:$A$522,1)))</f>
        <v>5797878.6399999997</v>
      </c>
      <c r="N1269">
        <f t="shared" si="19"/>
        <v>30</v>
      </c>
    </row>
    <row r="1270" spans="1:14" x14ac:dyDescent="0.3">
      <c r="A1270" t="s">
        <v>4505</v>
      </c>
      <c r="B1270" s="1">
        <v>45628</v>
      </c>
      <c r="C1270" t="s">
        <v>560</v>
      </c>
      <c r="D1270" t="s">
        <v>36</v>
      </c>
      <c r="E1270">
        <v>154</v>
      </c>
      <c r="F1270" t="s">
        <v>3262</v>
      </c>
      <c r="G1270">
        <v>10866.24</v>
      </c>
      <c r="H1270" t="s">
        <v>573</v>
      </c>
      <c r="I1270">
        <v>76.27</v>
      </c>
      <c r="J1270" t="s">
        <v>3263</v>
      </c>
      <c r="K1270">
        <v>70.56</v>
      </c>
      <c r="L1270" s="1">
        <v>45688</v>
      </c>
      <c r="M1270">
        <f>G1270*IF(D1270="INR",1,INDEX('rates'!$B$2:$B$522,MATCH(B1270,'rates'!$A$2:$A$522,1)))</f>
        <v>920805.17759999994</v>
      </c>
      <c r="N1270">
        <f t="shared" si="19"/>
        <v>60</v>
      </c>
    </row>
    <row r="1271" spans="1:14" x14ac:dyDescent="0.3">
      <c r="A1271" t="s">
        <v>4576</v>
      </c>
      <c r="B1271" s="1">
        <v>45659</v>
      </c>
      <c r="C1271" t="s">
        <v>558</v>
      </c>
      <c r="D1271" t="s">
        <v>36</v>
      </c>
      <c r="E1271">
        <v>540</v>
      </c>
      <c r="F1271" t="s">
        <v>3262</v>
      </c>
      <c r="G1271">
        <v>41153.4</v>
      </c>
      <c r="H1271" t="s">
        <v>556</v>
      </c>
      <c r="J1271" t="s">
        <v>3263</v>
      </c>
      <c r="K1271">
        <v>76.209999999999994</v>
      </c>
      <c r="L1271" s="1">
        <v>45689</v>
      </c>
      <c r="M1271">
        <f>G1271*IF(D1271="INR",1,INDEX('rates'!$B$2:$B$522,MATCH(B1271,'rates'!$A$2:$A$522,1)))</f>
        <v>3528904.0500000003</v>
      </c>
      <c r="N1271">
        <f t="shared" si="19"/>
        <v>30</v>
      </c>
    </row>
    <row r="1272" spans="1:14" x14ac:dyDescent="0.3">
      <c r="A1272" t="s">
        <v>4510</v>
      </c>
      <c r="B1272" s="1">
        <v>45630</v>
      </c>
      <c r="C1272" t="s">
        <v>558</v>
      </c>
      <c r="D1272" t="s">
        <v>36</v>
      </c>
      <c r="E1272">
        <v>1668</v>
      </c>
      <c r="F1272" t="s">
        <v>3262</v>
      </c>
      <c r="G1272">
        <v>120613.08</v>
      </c>
      <c r="H1272" t="s">
        <v>573</v>
      </c>
      <c r="I1272">
        <v>75</v>
      </c>
      <c r="J1272" t="s">
        <v>3263</v>
      </c>
      <c r="K1272">
        <v>72.31</v>
      </c>
      <c r="L1272" s="1">
        <v>45690</v>
      </c>
      <c r="M1272">
        <f>G1272*IF(D1272="INR",1,INDEX('rates'!$B$2:$B$522,MATCH(B1272,'rates'!$A$2:$A$522,1)))</f>
        <v>10214721.745200001</v>
      </c>
      <c r="N1272">
        <f t="shared" si="19"/>
        <v>60</v>
      </c>
    </row>
    <row r="1273" spans="1:14" x14ac:dyDescent="0.3">
      <c r="A1273" t="s">
        <v>4540</v>
      </c>
      <c r="B1273" s="1">
        <v>45645</v>
      </c>
      <c r="C1273" t="s">
        <v>558</v>
      </c>
      <c r="D1273" t="s">
        <v>13</v>
      </c>
      <c r="E1273">
        <v>34998</v>
      </c>
      <c r="F1273" t="s">
        <v>3270</v>
      </c>
      <c r="G1273">
        <v>2968180.38</v>
      </c>
      <c r="H1273" t="s">
        <v>556</v>
      </c>
      <c r="J1273" t="s">
        <v>3271</v>
      </c>
      <c r="K1273">
        <v>84.81</v>
      </c>
      <c r="L1273" s="1">
        <v>45690</v>
      </c>
      <c r="M1273">
        <f>G1273*IF(D1273="INR",1,INDEX('rates'!$B$2:$B$522,MATCH(B1273,'rates'!$A$2:$A$522,1)))</f>
        <v>2968180.38</v>
      </c>
      <c r="N1273">
        <f t="shared" si="19"/>
        <v>45</v>
      </c>
    </row>
    <row r="1274" spans="1:14" x14ac:dyDescent="0.3">
      <c r="A1274" t="s">
        <v>4541</v>
      </c>
      <c r="B1274" s="1">
        <v>45645</v>
      </c>
      <c r="C1274" t="s">
        <v>566</v>
      </c>
      <c r="D1274" t="s">
        <v>13</v>
      </c>
      <c r="E1274">
        <v>183941</v>
      </c>
      <c r="F1274" t="s">
        <v>3270</v>
      </c>
      <c r="G1274">
        <v>16913374.949999999</v>
      </c>
      <c r="H1274" t="s">
        <v>556</v>
      </c>
      <c r="J1274" t="s">
        <v>3271</v>
      </c>
      <c r="K1274">
        <v>91.95</v>
      </c>
      <c r="L1274" s="1">
        <v>45690</v>
      </c>
      <c r="M1274">
        <f>G1274*IF(D1274="INR",1,INDEX('rates'!$B$2:$B$522,MATCH(B1274,'rates'!$A$2:$A$522,1)))</f>
        <v>16913374.949999999</v>
      </c>
      <c r="N1274">
        <f t="shared" si="19"/>
        <v>45</v>
      </c>
    </row>
    <row r="1275" spans="1:14" x14ac:dyDescent="0.3">
      <c r="A1275" t="s">
        <v>4577</v>
      </c>
      <c r="B1275" s="1">
        <v>45660</v>
      </c>
      <c r="C1275" t="s">
        <v>554</v>
      </c>
      <c r="D1275" t="s">
        <v>36</v>
      </c>
      <c r="E1275">
        <v>537</v>
      </c>
      <c r="F1275" t="s">
        <v>3262</v>
      </c>
      <c r="G1275">
        <v>41966.55</v>
      </c>
      <c r="H1275" t="s">
        <v>556</v>
      </c>
      <c r="J1275" t="s">
        <v>3263</v>
      </c>
      <c r="K1275">
        <v>78.150000000000006</v>
      </c>
      <c r="L1275" s="1">
        <v>45690</v>
      </c>
      <c r="M1275">
        <f>G1275*IF(D1275="INR",1,INDEX('rates'!$B$2:$B$522,MATCH(B1275,'rates'!$A$2:$A$522,1)))</f>
        <v>3598631.6625000001</v>
      </c>
      <c r="N1275">
        <f t="shared" si="19"/>
        <v>30</v>
      </c>
    </row>
    <row r="1276" spans="1:14" x14ac:dyDescent="0.3">
      <c r="A1276" t="s">
        <v>4511</v>
      </c>
      <c r="B1276" s="1">
        <v>45631</v>
      </c>
      <c r="C1276" t="s">
        <v>558</v>
      </c>
      <c r="D1276" t="s">
        <v>36</v>
      </c>
      <c r="E1276">
        <v>655</v>
      </c>
      <c r="F1276" t="s">
        <v>3262</v>
      </c>
      <c r="G1276">
        <v>47998.400000000001</v>
      </c>
      <c r="H1276" t="s">
        <v>556</v>
      </c>
      <c r="J1276" t="s">
        <v>3263</v>
      </c>
      <c r="K1276">
        <v>73.28</v>
      </c>
      <c r="L1276" s="1">
        <v>45691</v>
      </c>
      <c r="M1276">
        <f>G1276*IF(D1276="INR",1,INDEX('rates'!$B$2:$B$522,MATCH(B1276,'rates'!$A$2:$A$522,1)))</f>
        <v>4064504.5120000006</v>
      </c>
      <c r="N1276">
        <f t="shared" si="19"/>
        <v>60</v>
      </c>
    </row>
    <row r="1277" spans="1:14" x14ac:dyDescent="0.3">
      <c r="A1277" t="s">
        <v>4547</v>
      </c>
      <c r="B1277" s="1">
        <v>45646</v>
      </c>
      <c r="C1277" t="s">
        <v>575</v>
      </c>
      <c r="D1277" t="s">
        <v>36</v>
      </c>
      <c r="E1277">
        <v>1531</v>
      </c>
      <c r="F1277" t="s">
        <v>3262</v>
      </c>
      <c r="G1277">
        <v>114978.1</v>
      </c>
      <c r="H1277" t="s">
        <v>556</v>
      </c>
      <c r="J1277" t="s">
        <v>3263</v>
      </c>
      <c r="K1277">
        <v>75.099999999999994</v>
      </c>
      <c r="L1277" s="1">
        <v>45691</v>
      </c>
      <c r="M1277">
        <f>G1277*IF(D1277="INR",1,INDEX('rates'!$B$2:$B$522,MATCH(B1277,'rates'!$A$2:$A$522,1)))</f>
        <v>9775438.0620000008</v>
      </c>
      <c r="N1277">
        <f t="shared" si="19"/>
        <v>45</v>
      </c>
    </row>
    <row r="1278" spans="1:14" x14ac:dyDescent="0.3">
      <c r="A1278" t="s">
        <v>4552</v>
      </c>
      <c r="B1278" s="1">
        <v>45646</v>
      </c>
      <c r="C1278" t="s">
        <v>575</v>
      </c>
      <c r="D1278" t="s">
        <v>36</v>
      </c>
      <c r="E1278">
        <v>740</v>
      </c>
      <c r="F1278" t="s">
        <v>3262</v>
      </c>
      <c r="G1278">
        <v>53524.2</v>
      </c>
      <c r="H1278" t="s">
        <v>573</v>
      </c>
      <c r="I1278">
        <v>77.81</v>
      </c>
      <c r="J1278" t="s">
        <v>3263</v>
      </c>
      <c r="K1278">
        <v>72.33</v>
      </c>
      <c r="L1278" s="1">
        <v>45691</v>
      </c>
      <c r="M1278">
        <f>G1278*IF(D1278="INR",1,INDEX('rates'!$B$2:$B$522,MATCH(B1278,'rates'!$A$2:$A$522,1)))</f>
        <v>4550627.4839999992</v>
      </c>
      <c r="N1278">
        <f t="shared" si="19"/>
        <v>45</v>
      </c>
    </row>
    <row r="1279" spans="1:14" x14ac:dyDescent="0.3">
      <c r="A1279" t="s">
        <v>4553</v>
      </c>
      <c r="B1279" s="1">
        <v>45646</v>
      </c>
      <c r="C1279" t="s">
        <v>560</v>
      </c>
      <c r="D1279" t="s">
        <v>36</v>
      </c>
      <c r="E1279">
        <v>1000</v>
      </c>
      <c r="F1279" t="s">
        <v>3262</v>
      </c>
      <c r="G1279">
        <v>74040</v>
      </c>
      <c r="H1279" t="s">
        <v>573</v>
      </c>
      <c r="I1279">
        <v>77.81</v>
      </c>
      <c r="J1279" t="s">
        <v>3263</v>
      </c>
      <c r="K1279">
        <v>74.040000000000006</v>
      </c>
      <c r="L1279" s="1">
        <v>45691</v>
      </c>
      <c r="M1279">
        <f>G1279*IF(D1279="INR",1,INDEX('rates'!$B$2:$B$522,MATCH(B1279,'rates'!$A$2:$A$522,1)))</f>
        <v>6294880.7999999998</v>
      </c>
      <c r="N1279">
        <f t="shared" si="19"/>
        <v>45</v>
      </c>
    </row>
    <row r="1280" spans="1:14" x14ac:dyDescent="0.3">
      <c r="A1280" t="s">
        <v>4515</v>
      </c>
      <c r="B1280" s="1">
        <v>45632</v>
      </c>
      <c r="C1280" t="s">
        <v>558</v>
      </c>
      <c r="D1280" t="s">
        <v>36</v>
      </c>
      <c r="E1280">
        <v>998</v>
      </c>
      <c r="F1280" t="s">
        <v>3262</v>
      </c>
      <c r="G1280">
        <v>71456.800000000003</v>
      </c>
      <c r="H1280" t="s">
        <v>556</v>
      </c>
      <c r="J1280" t="s">
        <v>3263</v>
      </c>
      <c r="K1280">
        <v>71.599999999999994</v>
      </c>
      <c r="L1280" s="1">
        <v>45692</v>
      </c>
      <c r="M1280">
        <f>G1280*IF(D1280="INR",1,INDEX('rates'!$B$2:$B$522,MATCH(B1280,'rates'!$A$2:$A$522,1)))</f>
        <v>6050247.2560000001</v>
      </c>
      <c r="N1280">
        <f t="shared" si="19"/>
        <v>60</v>
      </c>
    </row>
    <row r="1281" spans="1:14" x14ac:dyDescent="0.3">
      <c r="A1281" t="s">
        <v>4519</v>
      </c>
      <c r="B1281" s="1">
        <v>45632</v>
      </c>
      <c r="C1281" t="s">
        <v>554</v>
      </c>
      <c r="D1281" t="s">
        <v>36</v>
      </c>
      <c r="E1281">
        <v>1046</v>
      </c>
      <c r="F1281" t="s">
        <v>3262</v>
      </c>
      <c r="G1281">
        <v>74349.679999999993</v>
      </c>
      <c r="H1281" t="s">
        <v>573</v>
      </c>
      <c r="I1281">
        <v>73.38</v>
      </c>
      <c r="J1281" t="s">
        <v>3263</v>
      </c>
      <c r="K1281">
        <v>71.08</v>
      </c>
      <c r="L1281" s="1">
        <v>45692</v>
      </c>
      <c r="M1281">
        <f>G1281*IF(D1281="INR",1,INDEX('rates'!$B$2:$B$522,MATCH(B1281,'rates'!$A$2:$A$522,1)))</f>
        <v>6295187.4055999992</v>
      </c>
      <c r="N1281">
        <f t="shared" si="19"/>
        <v>60</v>
      </c>
    </row>
    <row r="1282" spans="1:14" x14ac:dyDescent="0.3">
      <c r="A1282" t="s">
        <v>4583</v>
      </c>
      <c r="B1282" s="1">
        <v>45663</v>
      </c>
      <c r="C1282" t="s">
        <v>554</v>
      </c>
      <c r="D1282" t="s">
        <v>36</v>
      </c>
      <c r="E1282">
        <v>226</v>
      </c>
      <c r="F1282" t="s">
        <v>3262</v>
      </c>
      <c r="G1282">
        <v>17847.22</v>
      </c>
      <c r="H1282" t="s">
        <v>573</v>
      </c>
      <c r="I1282">
        <v>79.459999999999994</v>
      </c>
      <c r="J1282" t="s">
        <v>3263</v>
      </c>
      <c r="K1282">
        <v>78.97</v>
      </c>
      <c r="L1282" s="1">
        <v>45693</v>
      </c>
      <c r="M1282">
        <f>G1282*IF(D1282="INR",1,INDEX('rates'!$B$2:$B$522,MATCH(B1282,'rates'!$A$2:$A$522,1)))</f>
        <v>1529506.7540000002</v>
      </c>
      <c r="N1282">
        <f t="shared" ref="N1282:N1345" si="20">IF(L1282="","",L1282-B1282)</f>
        <v>30</v>
      </c>
    </row>
    <row r="1283" spans="1:14" x14ac:dyDescent="0.3">
      <c r="A1283" t="s">
        <v>4585</v>
      </c>
      <c r="B1283" s="1">
        <v>45665</v>
      </c>
      <c r="C1283" t="s">
        <v>554</v>
      </c>
      <c r="D1283" t="s">
        <v>36</v>
      </c>
      <c r="E1283">
        <v>695</v>
      </c>
      <c r="F1283" t="s">
        <v>3262</v>
      </c>
      <c r="G1283">
        <v>54647.85</v>
      </c>
      <c r="H1283" t="s">
        <v>556</v>
      </c>
      <c r="J1283" t="s">
        <v>3263</v>
      </c>
      <c r="K1283">
        <v>78.63</v>
      </c>
      <c r="L1283" s="1">
        <v>45695</v>
      </c>
      <c r="M1283">
        <f>G1283*IF(D1283="INR",1,INDEX('rates'!$B$2:$B$522,MATCH(B1283,'rates'!$A$2:$A$522,1)))</f>
        <v>4693703.8365000002</v>
      </c>
      <c r="N1283">
        <f t="shared" si="20"/>
        <v>30</v>
      </c>
    </row>
    <row r="1284" spans="1:14" x14ac:dyDescent="0.3">
      <c r="A1284" t="s">
        <v>4586</v>
      </c>
      <c r="B1284" s="1">
        <v>45666</v>
      </c>
      <c r="C1284" t="s">
        <v>566</v>
      </c>
      <c r="D1284" t="s">
        <v>36</v>
      </c>
      <c r="E1284">
        <v>391</v>
      </c>
      <c r="F1284" t="s">
        <v>3262</v>
      </c>
      <c r="G1284">
        <v>30568.38</v>
      </c>
      <c r="H1284" t="s">
        <v>573</v>
      </c>
      <c r="I1284">
        <v>81.44</v>
      </c>
      <c r="J1284" t="s">
        <v>3263</v>
      </c>
      <c r="K1284">
        <v>78.180000000000007</v>
      </c>
      <c r="L1284" s="1">
        <v>45696</v>
      </c>
      <c r="M1284">
        <f>G1284*IF(D1284="INR",1,INDEX('rates'!$B$2:$B$522,MATCH(B1284,'rates'!$A$2:$A$522,1)))</f>
        <v>2624906.7906000004</v>
      </c>
      <c r="N1284">
        <f t="shared" si="20"/>
        <v>30</v>
      </c>
    </row>
    <row r="1285" spans="1:14" x14ac:dyDescent="0.3">
      <c r="A1285" t="s">
        <v>4527</v>
      </c>
      <c r="B1285" s="1">
        <v>45637</v>
      </c>
      <c r="C1285" t="s">
        <v>558</v>
      </c>
      <c r="D1285" t="s">
        <v>36</v>
      </c>
      <c r="E1285">
        <v>1961</v>
      </c>
      <c r="F1285" t="s">
        <v>3262</v>
      </c>
      <c r="G1285">
        <v>147016.17000000001</v>
      </c>
      <c r="H1285" t="s">
        <v>556</v>
      </c>
      <c r="J1285" t="s">
        <v>3263</v>
      </c>
      <c r="K1285">
        <v>74.97</v>
      </c>
      <c r="L1285" s="1">
        <v>45697</v>
      </c>
      <c r="M1285">
        <f>G1285*IF(D1285="INR",1,INDEX('rates'!$B$2:$B$522,MATCH(B1285,'rates'!$A$2:$A$522,1)))</f>
        <v>12466971.216</v>
      </c>
      <c r="N1285">
        <f t="shared" si="20"/>
        <v>60</v>
      </c>
    </row>
    <row r="1286" spans="1:14" x14ac:dyDescent="0.3">
      <c r="A1286" t="s">
        <v>4528</v>
      </c>
      <c r="B1286" s="1">
        <v>45637</v>
      </c>
      <c r="C1286" t="s">
        <v>566</v>
      </c>
      <c r="D1286" t="s">
        <v>36</v>
      </c>
      <c r="E1286">
        <v>978</v>
      </c>
      <c r="F1286" t="s">
        <v>3262</v>
      </c>
      <c r="G1286">
        <v>73428.240000000005</v>
      </c>
      <c r="H1286" t="s">
        <v>573</v>
      </c>
      <c r="I1286">
        <v>74.78</v>
      </c>
      <c r="J1286" t="s">
        <v>3263</v>
      </c>
      <c r="K1286">
        <v>75.08</v>
      </c>
      <c r="L1286" s="1">
        <v>45697</v>
      </c>
      <c r="M1286">
        <f>G1286*IF(D1286="INR",1,INDEX('rates'!$B$2:$B$522,MATCH(B1286,'rates'!$A$2:$A$522,1)))</f>
        <v>6226714.7520000003</v>
      </c>
      <c r="N1286">
        <f t="shared" si="20"/>
        <v>60</v>
      </c>
    </row>
    <row r="1287" spans="1:14" x14ac:dyDescent="0.3">
      <c r="A1287" t="s">
        <v>4594</v>
      </c>
      <c r="B1287" s="1">
        <v>45667</v>
      </c>
      <c r="C1287" t="s">
        <v>566</v>
      </c>
      <c r="D1287" t="s">
        <v>13</v>
      </c>
      <c r="E1287">
        <v>41051</v>
      </c>
      <c r="F1287" t="s">
        <v>3270</v>
      </c>
      <c r="G1287">
        <v>2987281.27</v>
      </c>
      <c r="H1287" t="s">
        <v>556</v>
      </c>
      <c r="J1287" t="s">
        <v>3271</v>
      </c>
      <c r="K1287">
        <v>72.77</v>
      </c>
      <c r="L1287" s="1">
        <v>45697</v>
      </c>
      <c r="M1287">
        <f>G1287*IF(D1287="INR",1,INDEX('rates'!$B$2:$B$522,MATCH(B1287,'rates'!$A$2:$A$522,1)))</f>
        <v>2987281.27</v>
      </c>
      <c r="N1287">
        <f t="shared" si="20"/>
        <v>30</v>
      </c>
    </row>
    <row r="1288" spans="1:14" x14ac:dyDescent="0.3">
      <c r="A1288" t="s">
        <v>4562</v>
      </c>
      <c r="B1288" s="1">
        <v>45653</v>
      </c>
      <c r="C1288" t="s">
        <v>554</v>
      </c>
      <c r="D1288" t="s">
        <v>36</v>
      </c>
      <c r="E1288">
        <v>599</v>
      </c>
      <c r="F1288" t="s">
        <v>3262</v>
      </c>
      <c r="G1288">
        <v>44667.43</v>
      </c>
      <c r="H1288" t="s">
        <v>556</v>
      </c>
      <c r="J1288" t="s">
        <v>3263</v>
      </c>
      <c r="K1288">
        <v>74.569999999999993</v>
      </c>
      <c r="L1288" s="1">
        <v>45698</v>
      </c>
      <c r="M1288">
        <f>G1288*IF(D1288="INR",1,INDEX('rates'!$B$2:$B$522,MATCH(B1288,'rates'!$A$2:$A$522,1)))</f>
        <v>3820405.2878999999</v>
      </c>
      <c r="N1288">
        <f t="shared" si="20"/>
        <v>45</v>
      </c>
    </row>
    <row r="1289" spans="1:14" x14ac:dyDescent="0.3">
      <c r="A1289" t="s">
        <v>4563</v>
      </c>
      <c r="B1289" s="1">
        <v>45653</v>
      </c>
      <c r="C1289" t="s">
        <v>558</v>
      </c>
      <c r="D1289" t="s">
        <v>13</v>
      </c>
      <c r="E1289">
        <v>108636</v>
      </c>
      <c r="F1289" t="s">
        <v>3270</v>
      </c>
      <c r="G1289">
        <v>7728365.04</v>
      </c>
      <c r="H1289" t="s">
        <v>556</v>
      </c>
      <c r="J1289" t="s">
        <v>3271</v>
      </c>
      <c r="K1289">
        <v>71.14</v>
      </c>
      <c r="L1289" s="1">
        <v>45698</v>
      </c>
      <c r="M1289">
        <f>G1289*IF(D1289="INR",1,INDEX('rates'!$B$2:$B$522,MATCH(B1289,'rates'!$A$2:$A$522,1)))</f>
        <v>7728365.04</v>
      </c>
      <c r="N1289">
        <f t="shared" si="20"/>
        <v>45</v>
      </c>
    </row>
    <row r="1290" spans="1:14" x14ac:dyDescent="0.3">
      <c r="A1290" t="s">
        <v>4567</v>
      </c>
      <c r="B1290" s="1">
        <v>45656</v>
      </c>
      <c r="C1290" t="s">
        <v>554</v>
      </c>
      <c r="D1290" t="s">
        <v>36</v>
      </c>
      <c r="E1290">
        <v>232</v>
      </c>
      <c r="F1290" t="s">
        <v>3262</v>
      </c>
      <c r="G1290">
        <v>17416.240000000002</v>
      </c>
      <c r="H1290" t="s">
        <v>573</v>
      </c>
      <c r="I1290">
        <v>75.34</v>
      </c>
      <c r="J1290" t="s">
        <v>3263</v>
      </c>
      <c r="K1290">
        <v>75.069999999999993</v>
      </c>
      <c r="L1290" s="1">
        <v>45701</v>
      </c>
      <c r="M1290">
        <f>G1290*IF(D1290="INR",1,INDEX('rates'!$B$2:$B$522,MATCH(B1290,'rates'!$A$2:$A$522,1)))</f>
        <v>1488566.0328000002</v>
      </c>
      <c r="N1290">
        <f t="shared" si="20"/>
        <v>45</v>
      </c>
    </row>
    <row r="1291" spans="1:14" x14ac:dyDescent="0.3">
      <c r="A1291" t="s">
        <v>4568</v>
      </c>
      <c r="B1291" s="1">
        <v>45656</v>
      </c>
      <c r="C1291" t="s">
        <v>560</v>
      </c>
      <c r="D1291" t="s">
        <v>36</v>
      </c>
      <c r="E1291">
        <v>564</v>
      </c>
      <c r="F1291" t="s">
        <v>3262</v>
      </c>
      <c r="G1291">
        <v>42807.6</v>
      </c>
      <c r="H1291" t="s">
        <v>556</v>
      </c>
      <c r="J1291" t="s">
        <v>3263</v>
      </c>
      <c r="K1291">
        <v>75.900000000000006</v>
      </c>
      <c r="L1291" s="1">
        <v>45701</v>
      </c>
      <c r="M1291">
        <f>G1291*IF(D1291="INR",1,INDEX('rates'!$B$2:$B$522,MATCH(B1291,'rates'!$A$2:$A$522,1)))</f>
        <v>3658765.5719999997</v>
      </c>
      <c r="N1291">
        <f t="shared" si="20"/>
        <v>45</v>
      </c>
    </row>
    <row r="1292" spans="1:14" x14ac:dyDescent="0.3">
      <c r="A1292" t="s">
        <v>4596</v>
      </c>
      <c r="B1292" s="1">
        <v>45671</v>
      </c>
      <c r="C1292" t="s">
        <v>575</v>
      </c>
      <c r="D1292" t="s">
        <v>36</v>
      </c>
      <c r="E1292">
        <v>282</v>
      </c>
      <c r="F1292" t="s">
        <v>3262</v>
      </c>
      <c r="G1292">
        <v>23611.86</v>
      </c>
      <c r="H1292" t="s">
        <v>556</v>
      </c>
      <c r="J1292" t="s">
        <v>3263</v>
      </c>
      <c r="K1292">
        <v>83.73</v>
      </c>
      <c r="L1292" s="1">
        <v>45701</v>
      </c>
      <c r="M1292">
        <f>G1292*IF(D1292="INR",1,INDEX('rates'!$B$2:$B$522,MATCH(B1292,'rates'!$A$2:$A$522,1)))</f>
        <v>2045495.4317999999</v>
      </c>
      <c r="N1292">
        <f t="shared" si="20"/>
        <v>30</v>
      </c>
    </row>
    <row r="1293" spans="1:14" x14ac:dyDescent="0.3">
      <c r="A1293" t="s">
        <v>4571</v>
      </c>
      <c r="B1293" s="1">
        <v>45657</v>
      </c>
      <c r="C1293" t="s">
        <v>566</v>
      </c>
      <c r="D1293" t="s">
        <v>13</v>
      </c>
      <c r="E1293">
        <v>39730</v>
      </c>
      <c r="F1293" t="s">
        <v>3270</v>
      </c>
      <c r="G1293">
        <v>2860560</v>
      </c>
      <c r="H1293" t="s">
        <v>556</v>
      </c>
      <c r="J1293" t="s">
        <v>3271</v>
      </c>
      <c r="K1293">
        <v>72</v>
      </c>
      <c r="L1293" s="1">
        <v>45702</v>
      </c>
      <c r="M1293">
        <f>G1293*IF(D1293="INR",1,INDEX('rates'!$B$2:$B$522,MATCH(B1293,'rates'!$A$2:$A$522,1)))</f>
        <v>2860560</v>
      </c>
      <c r="N1293">
        <f t="shared" si="20"/>
        <v>45</v>
      </c>
    </row>
    <row r="1294" spans="1:14" x14ac:dyDescent="0.3">
      <c r="A1294" t="s">
        <v>4537</v>
      </c>
      <c r="B1294" s="1">
        <v>45643</v>
      </c>
      <c r="C1294" t="s">
        <v>566</v>
      </c>
      <c r="D1294" t="s">
        <v>36</v>
      </c>
      <c r="E1294">
        <v>2384</v>
      </c>
      <c r="F1294" t="s">
        <v>3262</v>
      </c>
      <c r="G1294">
        <v>179229.12</v>
      </c>
      <c r="H1294" t="s">
        <v>573</v>
      </c>
      <c r="I1294">
        <v>76.900000000000006</v>
      </c>
      <c r="J1294" t="s">
        <v>3263</v>
      </c>
      <c r="K1294">
        <v>75.180000000000007</v>
      </c>
      <c r="L1294" s="1">
        <v>45703</v>
      </c>
      <c r="M1294">
        <f>G1294*IF(D1294="INR",1,INDEX('rates'!$B$2:$B$522,MATCH(B1294,'rates'!$A$2:$A$522,1)))</f>
        <v>15218344.5792</v>
      </c>
      <c r="N1294">
        <f t="shared" si="20"/>
        <v>60</v>
      </c>
    </row>
    <row r="1295" spans="1:14" x14ac:dyDescent="0.3">
      <c r="A1295" t="s">
        <v>4573</v>
      </c>
      <c r="B1295" s="1">
        <v>45658</v>
      </c>
      <c r="C1295" t="s">
        <v>558</v>
      </c>
      <c r="D1295" t="s">
        <v>36</v>
      </c>
      <c r="E1295">
        <v>1004</v>
      </c>
      <c r="F1295" t="s">
        <v>3262</v>
      </c>
      <c r="G1295">
        <v>75621.279999999999</v>
      </c>
      <c r="H1295" t="s">
        <v>556</v>
      </c>
      <c r="J1295" t="s">
        <v>3263</v>
      </c>
      <c r="K1295">
        <v>75.319999999999993</v>
      </c>
      <c r="L1295" s="1">
        <v>45703</v>
      </c>
      <c r="M1295">
        <f>G1295*IF(D1295="INR",1,INDEX('rates'!$B$2:$B$522,MATCH(B1295,'rates'!$A$2:$A$522,1)))</f>
        <v>6469400.5039999997</v>
      </c>
      <c r="N1295">
        <f t="shared" si="20"/>
        <v>45</v>
      </c>
    </row>
    <row r="1296" spans="1:14" x14ac:dyDescent="0.3">
      <c r="A1296" t="s">
        <v>4539</v>
      </c>
      <c r="B1296" s="1">
        <v>45644</v>
      </c>
      <c r="C1296" t="s">
        <v>566</v>
      </c>
      <c r="D1296" t="s">
        <v>36</v>
      </c>
      <c r="E1296">
        <v>544</v>
      </c>
      <c r="F1296" t="s">
        <v>3262</v>
      </c>
      <c r="G1296">
        <v>40479.040000000001</v>
      </c>
      <c r="H1296" t="s">
        <v>556</v>
      </c>
      <c r="J1296" t="s">
        <v>3263</v>
      </c>
      <c r="K1296">
        <v>74.41</v>
      </c>
      <c r="L1296" s="1">
        <v>45704</v>
      </c>
      <c r="M1296">
        <f>G1296*IF(D1296="INR",1,INDEX('rates'!$B$2:$B$522,MATCH(B1296,'rates'!$A$2:$A$522,1)))</f>
        <v>3438694.4480000003</v>
      </c>
      <c r="N1296">
        <f t="shared" si="20"/>
        <v>60</v>
      </c>
    </row>
    <row r="1297" spans="1:14" x14ac:dyDescent="0.3">
      <c r="A1297" t="s">
        <v>4603</v>
      </c>
      <c r="B1297" s="1">
        <v>45674</v>
      </c>
      <c r="C1297" t="s">
        <v>558</v>
      </c>
      <c r="D1297" t="s">
        <v>36</v>
      </c>
      <c r="E1297">
        <v>262</v>
      </c>
      <c r="F1297" t="s">
        <v>3262</v>
      </c>
      <c r="G1297">
        <v>21858.66</v>
      </c>
      <c r="H1297" t="s">
        <v>573</v>
      </c>
      <c r="I1297">
        <v>74.66</v>
      </c>
      <c r="J1297" t="s">
        <v>3263</v>
      </c>
      <c r="K1297">
        <v>83.43</v>
      </c>
      <c r="L1297" s="1">
        <v>45704</v>
      </c>
      <c r="M1297">
        <f>G1297*IF(D1297="INR",1,INDEX('rates'!$B$2:$B$522,MATCH(B1297,'rates'!$A$2:$A$522,1)))</f>
        <v>1891867.0229999998</v>
      </c>
      <c r="N1297">
        <f t="shared" si="20"/>
        <v>30</v>
      </c>
    </row>
    <row r="1298" spans="1:14" x14ac:dyDescent="0.3">
      <c r="A1298" t="s">
        <v>4542</v>
      </c>
      <c r="B1298" s="1">
        <v>45645</v>
      </c>
      <c r="C1298" t="s">
        <v>575</v>
      </c>
      <c r="D1298" t="s">
        <v>36</v>
      </c>
      <c r="E1298">
        <v>304</v>
      </c>
      <c r="F1298" t="s">
        <v>3262</v>
      </c>
      <c r="G1298">
        <v>22043.040000000001</v>
      </c>
      <c r="H1298" t="s">
        <v>556</v>
      </c>
      <c r="J1298" t="s">
        <v>3263</v>
      </c>
      <c r="K1298">
        <v>72.510000000000005</v>
      </c>
      <c r="L1298" s="1">
        <v>45705</v>
      </c>
      <c r="M1298">
        <f>G1298*IF(D1298="INR",1,INDEX('rates'!$B$2:$B$522,MATCH(B1298,'rates'!$A$2:$A$522,1)))</f>
        <v>1875642.2736000002</v>
      </c>
      <c r="N1298">
        <f t="shared" si="20"/>
        <v>60</v>
      </c>
    </row>
    <row r="1299" spans="1:14" x14ac:dyDescent="0.3">
      <c r="A1299" t="s">
        <v>4579</v>
      </c>
      <c r="B1299" s="1">
        <v>45660</v>
      </c>
      <c r="C1299" t="s">
        <v>558</v>
      </c>
      <c r="D1299" t="s">
        <v>36</v>
      </c>
      <c r="E1299">
        <v>1594</v>
      </c>
      <c r="F1299" t="s">
        <v>3262</v>
      </c>
      <c r="G1299">
        <v>126436.08</v>
      </c>
      <c r="H1299" t="s">
        <v>556</v>
      </c>
      <c r="J1299" t="s">
        <v>3263</v>
      </c>
      <c r="K1299">
        <v>79.319999999999993</v>
      </c>
      <c r="L1299" s="1">
        <v>45705</v>
      </c>
      <c r="M1299">
        <f>G1299*IF(D1299="INR",1,INDEX('rates'!$B$2:$B$522,MATCH(B1299,'rates'!$A$2:$A$522,1)))</f>
        <v>10841893.859999999</v>
      </c>
      <c r="N1299">
        <f t="shared" si="20"/>
        <v>45</v>
      </c>
    </row>
    <row r="1300" spans="1:14" x14ac:dyDescent="0.3">
      <c r="A1300" t="s">
        <v>4580</v>
      </c>
      <c r="B1300" s="1">
        <v>45660</v>
      </c>
      <c r="C1300" t="s">
        <v>560</v>
      </c>
      <c r="D1300" t="s">
        <v>36</v>
      </c>
      <c r="E1300">
        <v>268</v>
      </c>
      <c r="F1300" t="s">
        <v>3262</v>
      </c>
      <c r="G1300">
        <v>21367.64</v>
      </c>
      <c r="H1300" t="s">
        <v>573</v>
      </c>
      <c r="I1300">
        <v>80.180000000000007</v>
      </c>
      <c r="J1300" t="s">
        <v>3263</v>
      </c>
      <c r="K1300">
        <v>79.73</v>
      </c>
      <c r="L1300" s="1">
        <v>45705</v>
      </c>
      <c r="M1300">
        <f>G1300*IF(D1300="INR",1,INDEX('rates'!$B$2:$B$522,MATCH(B1300,'rates'!$A$2:$A$522,1)))</f>
        <v>1832275.13</v>
      </c>
      <c r="N1300">
        <f t="shared" si="20"/>
        <v>45</v>
      </c>
    </row>
    <row r="1301" spans="1:14" x14ac:dyDescent="0.3">
      <c r="A1301" t="s">
        <v>4543</v>
      </c>
      <c r="B1301" s="1">
        <v>45646</v>
      </c>
      <c r="C1301" t="s">
        <v>554</v>
      </c>
      <c r="D1301" t="s">
        <v>36</v>
      </c>
      <c r="E1301">
        <v>2008</v>
      </c>
      <c r="F1301" t="s">
        <v>3262</v>
      </c>
      <c r="G1301">
        <v>149515.68</v>
      </c>
      <c r="H1301" t="s">
        <v>556</v>
      </c>
      <c r="J1301" t="s">
        <v>3263</v>
      </c>
      <c r="K1301">
        <v>74.459999999999994</v>
      </c>
      <c r="L1301" s="1">
        <v>45706</v>
      </c>
      <c r="M1301">
        <f>G1301*IF(D1301="INR",1,INDEX('rates'!$B$2:$B$522,MATCH(B1301,'rates'!$A$2:$A$522,1)))</f>
        <v>12711823.113599999</v>
      </c>
      <c r="N1301">
        <f t="shared" si="20"/>
        <v>60</v>
      </c>
    </row>
    <row r="1302" spans="1:14" x14ac:dyDescent="0.3">
      <c r="A1302" t="s">
        <v>4545</v>
      </c>
      <c r="B1302" s="1">
        <v>45646</v>
      </c>
      <c r="C1302" t="s">
        <v>566</v>
      </c>
      <c r="D1302" t="s">
        <v>36</v>
      </c>
      <c r="E1302">
        <v>377</v>
      </c>
      <c r="F1302" t="s">
        <v>3262</v>
      </c>
      <c r="G1302">
        <v>28086.5</v>
      </c>
      <c r="H1302" t="s">
        <v>573</v>
      </c>
      <c r="I1302">
        <v>77.81</v>
      </c>
      <c r="J1302" t="s">
        <v>3263</v>
      </c>
      <c r="K1302">
        <v>74.5</v>
      </c>
      <c r="L1302" s="1">
        <v>45706</v>
      </c>
      <c r="M1302">
        <f>G1302*IF(D1302="INR",1,INDEX('rates'!$B$2:$B$522,MATCH(B1302,'rates'!$A$2:$A$522,1)))</f>
        <v>2387914.23</v>
      </c>
      <c r="N1302">
        <f t="shared" si="20"/>
        <v>60</v>
      </c>
    </row>
    <row r="1303" spans="1:14" x14ac:dyDescent="0.3">
      <c r="A1303" t="s">
        <v>4546</v>
      </c>
      <c r="B1303" s="1">
        <v>45646</v>
      </c>
      <c r="C1303" t="s">
        <v>566</v>
      </c>
      <c r="D1303" t="s">
        <v>13</v>
      </c>
      <c r="E1303">
        <v>25795</v>
      </c>
      <c r="F1303" t="s">
        <v>3270</v>
      </c>
      <c r="G1303">
        <v>1951649.7</v>
      </c>
      <c r="H1303" t="s">
        <v>556</v>
      </c>
      <c r="J1303" t="s">
        <v>3271</v>
      </c>
      <c r="K1303">
        <v>75.66</v>
      </c>
      <c r="L1303" s="1">
        <v>45706</v>
      </c>
      <c r="M1303">
        <f>G1303*IF(D1303="INR",1,INDEX('rates'!$B$2:$B$522,MATCH(B1303,'rates'!$A$2:$A$522,1)))</f>
        <v>1951649.7</v>
      </c>
      <c r="N1303">
        <f t="shared" si="20"/>
        <v>60</v>
      </c>
    </row>
    <row r="1304" spans="1:14" x14ac:dyDescent="0.3">
      <c r="A1304" t="s">
        <v>4548</v>
      </c>
      <c r="B1304" s="1">
        <v>45646</v>
      </c>
      <c r="C1304" t="s">
        <v>558</v>
      </c>
      <c r="D1304" t="s">
        <v>36</v>
      </c>
      <c r="E1304">
        <v>514</v>
      </c>
      <c r="F1304" t="s">
        <v>3262</v>
      </c>
      <c r="G1304">
        <v>37573.4</v>
      </c>
      <c r="H1304" t="s">
        <v>556</v>
      </c>
      <c r="J1304" t="s">
        <v>3263</v>
      </c>
      <c r="K1304">
        <v>73.099999999999994</v>
      </c>
      <c r="L1304" s="1">
        <v>45706</v>
      </c>
      <c r="M1304">
        <f>G1304*IF(D1304="INR",1,INDEX('rates'!$B$2:$B$522,MATCH(B1304,'rates'!$A$2:$A$522,1)))</f>
        <v>3194490.4679999999</v>
      </c>
      <c r="N1304">
        <f t="shared" si="20"/>
        <v>60</v>
      </c>
    </row>
    <row r="1305" spans="1:14" x14ac:dyDescent="0.3">
      <c r="A1305" t="s">
        <v>4549</v>
      </c>
      <c r="B1305" s="1">
        <v>45646</v>
      </c>
      <c r="C1305" t="s">
        <v>554</v>
      </c>
      <c r="D1305" t="s">
        <v>36</v>
      </c>
      <c r="E1305">
        <v>1412</v>
      </c>
      <c r="F1305" t="s">
        <v>3262</v>
      </c>
      <c r="G1305">
        <v>104615.08</v>
      </c>
      <c r="H1305" t="s">
        <v>556</v>
      </c>
      <c r="J1305" t="s">
        <v>3263</v>
      </c>
      <c r="K1305">
        <v>74.09</v>
      </c>
      <c r="L1305" s="1">
        <v>45706</v>
      </c>
      <c r="M1305">
        <f>G1305*IF(D1305="INR",1,INDEX('rates'!$B$2:$B$522,MATCH(B1305,'rates'!$A$2:$A$522,1)))</f>
        <v>8894374.1016000006</v>
      </c>
      <c r="N1305">
        <f t="shared" si="20"/>
        <v>60</v>
      </c>
    </row>
    <row r="1306" spans="1:14" x14ac:dyDescent="0.3">
      <c r="A1306" t="s">
        <v>4604</v>
      </c>
      <c r="B1306" s="1">
        <v>45677</v>
      </c>
      <c r="C1306" t="s">
        <v>560</v>
      </c>
      <c r="D1306" t="s">
        <v>36</v>
      </c>
      <c r="E1306">
        <v>1099</v>
      </c>
      <c r="F1306" t="s">
        <v>3262</v>
      </c>
      <c r="G1306">
        <v>91909.37</v>
      </c>
      <c r="H1306" t="s">
        <v>556</v>
      </c>
      <c r="J1306" t="s">
        <v>3263</v>
      </c>
      <c r="K1306">
        <v>83.63</v>
      </c>
      <c r="L1306" s="1">
        <v>45707</v>
      </c>
      <c r="M1306">
        <f>G1306*IF(D1306="INR",1,INDEX('rates'!$B$2:$B$522,MATCH(B1306,'rates'!$A$2:$A$522,1)))</f>
        <v>7954755.9734999994</v>
      </c>
      <c r="N1306">
        <f t="shared" si="20"/>
        <v>30</v>
      </c>
    </row>
    <row r="1307" spans="1:14" x14ac:dyDescent="0.3">
      <c r="A1307" t="s">
        <v>4606</v>
      </c>
      <c r="B1307" s="1">
        <v>45677</v>
      </c>
      <c r="C1307" t="s">
        <v>575</v>
      </c>
      <c r="D1307" t="s">
        <v>36</v>
      </c>
      <c r="E1307">
        <v>2433</v>
      </c>
      <c r="F1307" t="s">
        <v>3262</v>
      </c>
      <c r="G1307">
        <v>202157.97</v>
      </c>
      <c r="H1307" t="s">
        <v>573</v>
      </c>
      <c r="I1307">
        <v>77.94</v>
      </c>
      <c r="J1307" t="s">
        <v>3263</v>
      </c>
      <c r="K1307">
        <v>83.09</v>
      </c>
      <c r="L1307" s="1">
        <v>45707</v>
      </c>
      <c r="M1307">
        <f>G1307*IF(D1307="INR",1,INDEX('rates'!$B$2:$B$522,MATCH(B1307,'rates'!$A$2:$A$522,1)))</f>
        <v>17496772.3035</v>
      </c>
      <c r="N1307">
        <f t="shared" si="20"/>
        <v>30</v>
      </c>
    </row>
    <row r="1308" spans="1:14" x14ac:dyDescent="0.3">
      <c r="A1308" t="s">
        <v>4554</v>
      </c>
      <c r="B1308" s="1">
        <v>45649</v>
      </c>
      <c r="C1308" t="s">
        <v>575</v>
      </c>
      <c r="D1308" t="s">
        <v>36</v>
      </c>
      <c r="E1308">
        <v>593</v>
      </c>
      <c r="F1308" t="s">
        <v>3262</v>
      </c>
      <c r="G1308">
        <v>43022.15</v>
      </c>
      <c r="H1308" t="s">
        <v>573</v>
      </c>
      <c r="I1308">
        <v>77.400000000000006</v>
      </c>
      <c r="J1308" t="s">
        <v>3263</v>
      </c>
      <c r="K1308">
        <v>72.55</v>
      </c>
      <c r="L1308" s="1">
        <v>45709</v>
      </c>
      <c r="M1308">
        <f>G1308*IF(D1308="INR",1,INDEX('rates'!$B$2:$B$522,MATCH(B1308,'rates'!$A$2:$A$522,1)))</f>
        <v>3661184.9649999999</v>
      </c>
      <c r="N1308">
        <f t="shared" si="20"/>
        <v>60</v>
      </c>
    </row>
    <row r="1309" spans="1:14" x14ac:dyDescent="0.3">
      <c r="A1309" t="s">
        <v>4556</v>
      </c>
      <c r="B1309" s="1">
        <v>45650</v>
      </c>
      <c r="C1309" t="s">
        <v>575</v>
      </c>
      <c r="D1309" t="s">
        <v>36</v>
      </c>
      <c r="E1309">
        <v>940</v>
      </c>
      <c r="F1309" t="s">
        <v>3262</v>
      </c>
      <c r="G1309">
        <v>69964.2</v>
      </c>
      <c r="H1309" t="s">
        <v>556</v>
      </c>
      <c r="J1309" t="s">
        <v>3263</v>
      </c>
      <c r="K1309">
        <v>74.430000000000007</v>
      </c>
      <c r="L1309" s="1">
        <v>45710</v>
      </c>
      <c r="M1309">
        <f>G1309*IF(D1309="INR",1,INDEX('rates'!$B$2:$B$522,MATCH(B1309,'rates'!$A$2:$A$522,1)))</f>
        <v>5956751.9879999999</v>
      </c>
      <c r="N1309">
        <f t="shared" si="20"/>
        <v>60</v>
      </c>
    </row>
    <row r="1310" spans="1:14" x14ac:dyDescent="0.3">
      <c r="A1310" t="s">
        <v>4607</v>
      </c>
      <c r="B1310" s="1">
        <v>45680</v>
      </c>
      <c r="C1310" t="s">
        <v>566</v>
      </c>
      <c r="D1310" t="s">
        <v>13</v>
      </c>
      <c r="E1310">
        <v>51979</v>
      </c>
      <c r="F1310" t="s">
        <v>3270</v>
      </c>
      <c r="G1310">
        <v>3142650.34</v>
      </c>
      <c r="H1310" t="s">
        <v>556</v>
      </c>
      <c r="J1310" t="s">
        <v>3271</v>
      </c>
      <c r="K1310">
        <v>60.46</v>
      </c>
      <c r="L1310" s="1">
        <v>45710</v>
      </c>
      <c r="M1310">
        <f>G1310*IF(D1310="INR",1,INDEX('rates'!$B$2:$B$522,MATCH(B1310,'rates'!$A$2:$A$522,1)))</f>
        <v>3142650.34</v>
      </c>
      <c r="N1310">
        <f t="shared" si="20"/>
        <v>30</v>
      </c>
    </row>
    <row r="1311" spans="1:14" x14ac:dyDescent="0.3">
      <c r="A1311" t="s">
        <v>4557</v>
      </c>
      <c r="B1311" s="1">
        <v>45651</v>
      </c>
      <c r="C1311" t="s">
        <v>566</v>
      </c>
      <c r="D1311" t="s">
        <v>36</v>
      </c>
      <c r="E1311">
        <v>951</v>
      </c>
      <c r="F1311" t="s">
        <v>3262</v>
      </c>
      <c r="G1311">
        <v>71258.429999999993</v>
      </c>
      <c r="H1311" t="s">
        <v>556</v>
      </c>
      <c r="J1311" t="s">
        <v>3263</v>
      </c>
      <c r="K1311">
        <v>74.930000000000007</v>
      </c>
      <c r="L1311" s="1">
        <v>45711</v>
      </c>
      <c r="M1311">
        <f>G1311*IF(D1311="INR",1,INDEX('rates'!$B$2:$B$522,MATCH(B1311,'rates'!$A$2:$A$522,1)))</f>
        <v>6066942.7301999992</v>
      </c>
      <c r="N1311">
        <f t="shared" si="20"/>
        <v>60</v>
      </c>
    </row>
    <row r="1312" spans="1:14" x14ac:dyDescent="0.3">
      <c r="A1312" t="s">
        <v>4588</v>
      </c>
      <c r="B1312" s="1">
        <v>45666</v>
      </c>
      <c r="C1312" t="s">
        <v>560</v>
      </c>
      <c r="D1312" t="s">
        <v>36</v>
      </c>
      <c r="E1312">
        <v>850</v>
      </c>
      <c r="F1312" t="s">
        <v>3262</v>
      </c>
      <c r="G1312">
        <v>64914.5</v>
      </c>
      <c r="H1312" t="s">
        <v>573</v>
      </c>
      <c r="I1312">
        <v>81.44</v>
      </c>
      <c r="J1312" t="s">
        <v>3263</v>
      </c>
      <c r="K1312">
        <v>76.37</v>
      </c>
      <c r="L1312" s="1">
        <v>45711</v>
      </c>
      <c r="M1312">
        <f>G1312*IF(D1312="INR",1,INDEX('rates'!$B$2:$B$522,MATCH(B1312,'rates'!$A$2:$A$522,1)))</f>
        <v>5574208.1150000002</v>
      </c>
      <c r="N1312">
        <f t="shared" si="20"/>
        <v>45</v>
      </c>
    </row>
    <row r="1313" spans="1:14" x14ac:dyDescent="0.3">
      <c r="A1313" t="s">
        <v>4609</v>
      </c>
      <c r="B1313" s="1">
        <v>45681</v>
      </c>
      <c r="C1313" t="s">
        <v>554</v>
      </c>
      <c r="D1313" t="s">
        <v>36</v>
      </c>
      <c r="E1313">
        <v>720</v>
      </c>
      <c r="F1313" t="s">
        <v>3262</v>
      </c>
      <c r="G1313">
        <v>57369.599999999999</v>
      </c>
      <c r="H1313" t="s">
        <v>573</v>
      </c>
      <c r="I1313">
        <v>77.06</v>
      </c>
      <c r="J1313" t="s">
        <v>3263</v>
      </c>
      <c r="K1313">
        <v>79.680000000000007</v>
      </c>
      <c r="L1313" s="1">
        <v>45711</v>
      </c>
      <c r="M1313">
        <f>G1313*IF(D1313="INR",1,INDEX('rates'!$B$2:$B$522,MATCH(B1313,'rates'!$A$2:$A$522,1)))</f>
        <v>4945259.5200000005</v>
      </c>
      <c r="N1313">
        <f t="shared" si="20"/>
        <v>30</v>
      </c>
    </row>
    <row r="1314" spans="1:14" x14ac:dyDescent="0.3">
      <c r="A1314" t="s">
        <v>4611</v>
      </c>
      <c r="B1314" s="1">
        <v>45681</v>
      </c>
      <c r="C1314" t="s">
        <v>575</v>
      </c>
      <c r="D1314" t="s">
        <v>36</v>
      </c>
      <c r="E1314">
        <v>360</v>
      </c>
      <c r="F1314" t="s">
        <v>3262</v>
      </c>
      <c r="G1314">
        <v>28177.200000000001</v>
      </c>
      <c r="H1314" t="s">
        <v>556</v>
      </c>
      <c r="J1314" t="s">
        <v>3263</v>
      </c>
      <c r="K1314">
        <v>78.27</v>
      </c>
      <c r="L1314" s="1">
        <v>45711</v>
      </c>
      <c r="M1314">
        <f>G1314*IF(D1314="INR",1,INDEX('rates'!$B$2:$B$522,MATCH(B1314,'rates'!$A$2:$A$522,1)))</f>
        <v>2428874.64</v>
      </c>
      <c r="N1314">
        <f t="shared" si="20"/>
        <v>30</v>
      </c>
    </row>
    <row r="1315" spans="1:14" x14ac:dyDescent="0.3">
      <c r="A1315" t="s">
        <v>4560</v>
      </c>
      <c r="B1315" s="1">
        <v>45652</v>
      </c>
      <c r="C1315" t="s">
        <v>560</v>
      </c>
      <c r="D1315" t="s">
        <v>13</v>
      </c>
      <c r="E1315">
        <v>59393</v>
      </c>
      <c r="F1315" t="s">
        <v>3270</v>
      </c>
      <c r="G1315">
        <v>5652431.8099999996</v>
      </c>
      <c r="H1315" t="s">
        <v>556</v>
      </c>
      <c r="J1315" t="s">
        <v>3271</v>
      </c>
      <c r="K1315">
        <v>95.17</v>
      </c>
      <c r="L1315" s="1">
        <v>45712</v>
      </c>
      <c r="M1315">
        <f>G1315*IF(D1315="INR",1,INDEX('rates'!$B$2:$B$522,MATCH(B1315,'rates'!$A$2:$A$522,1)))</f>
        <v>5652431.8099999996</v>
      </c>
      <c r="N1315">
        <f t="shared" si="20"/>
        <v>60</v>
      </c>
    </row>
    <row r="1316" spans="1:14" x14ac:dyDescent="0.3">
      <c r="A1316" t="s">
        <v>4591</v>
      </c>
      <c r="B1316" s="1">
        <v>45667</v>
      </c>
      <c r="C1316" t="s">
        <v>554</v>
      </c>
      <c r="D1316" t="s">
        <v>36</v>
      </c>
      <c r="E1316">
        <v>898</v>
      </c>
      <c r="F1316" t="s">
        <v>3262</v>
      </c>
      <c r="G1316">
        <v>74165.820000000007</v>
      </c>
      <c r="H1316" t="s">
        <v>556</v>
      </c>
      <c r="J1316" t="s">
        <v>3263</v>
      </c>
      <c r="K1316">
        <v>82.59</v>
      </c>
      <c r="L1316" s="1">
        <v>45712</v>
      </c>
      <c r="M1316">
        <f>G1316*IF(D1316="INR",1,INDEX('rates'!$B$2:$B$522,MATCH(B1316,'rates'!$A$2:$A$522,1)))</f>
        <v>6375293.8871999998</v>
      </c>
      <c r="N1316">
        <f t="shared" si="20"/>
        <v>45</v>
      </c>
    </row>
    <row r="1317" spans="1:14" x14ac:dyDescent="0.3">
      <c r="A1317" t="s">
        <v>4593</v>
      </c>
      <c r="B1317" s="1">
        <v>45667</v>
      </c>
      <c r="C1317" t="s">
        <v>566</v>
      </c>
      <c r="D1317" t="s">
        <v>36</v>
      </c>
      <c r="E1317">
        <v>983</v>
      </c>
      <c r="F1317" t="s">
        <v>3262</v>
      </c>
      <c r="G1317">
        <v>80340.59</v>
      </c>
      <c r="H1317" t="s">
        <v>573</v>
      </c>
      <c r="I1317">
        <v>81.44</v>
      </c>
      <c r="J1317" t="s">
        <v>3263</v>
      </c>
      <c r="K1317">
        <v>81.73</v>
      </c>
      <c r="L1317" s="1">
        <v>45712</v>
      </c>
      <c r="M1317">
        <f>G1317*IF(D1317="INR",1,INDEX('rates'!$B$2:$B$522,MATCH(B1317,'rates'!$A$2:$A$522,1)))</f>
        <v>6906077.1163999988</v>
      </c>
      <c r="N1317">
        <f t="shared" si="20"/>
        <v>45</v>
      </c>
    </row>
    <row r="1318" spans="1:14" x14ac:dyDescent="0.3">
      <c r="A1318" t="s">
        <v>4561</v>
      </c>
      <c r="B1318" s="1">
        <v>45653</v>
      </c>
      <c r="C1318" t="s">
        <v>554</v>
      </c>
      <c r="D1318" t="s">
        <v>36</v>
      </c>
      <c r="E1318">
        <v>721</v>
      </c>
      <c r="F1318" t="s">
        <v>3262</v>
      </c>
      <c r="G1318">
        <v>55019.51</v>
      </c>
      <c r="H1318" t="s">
        <v>556</v>
      </c>
      <c r="J1318" t="s">
        <v>3263</v>
      </c>
      <c r="K1318">
        <v>76.31</v>
      </c>
      <c r="L1318" s="1">
        <v>45713</v>
      </c>
      <c r="M1318">
        <f>G1318*IF(D1318="INR",1,INDEX('rates'!$B$2:$B$522,MATCH(B1318,'rates'!$A$2:$A$522,1)))</f>
        <v>4705818.6902999999</v>
      </c>
      <c r="N1318">
        <f t="shared" si="20"/>
        <v>60</v>
      </c>
    </row>
    <row r="1319" spans="1:14" x14ac:dyDescent="0.3">
      <c r="A1319" t="s">
        <v>4564</v>
      </c>
      <c r="B1319" s="1">
        <v>45653</v>
      </c>
      <c r="C1319" t="s">
        <v>566</v>
      </c>
      <c r="D1319" t="s">
        <v>36</v>
      </c>
      <c r="E1319">
        <v>1370</v>
      </c>
      <c r="F1319" t="s">
        <v>3262</v>
      </c>
      <c r="G1319">
        <v>100832</v>
      </c>
      <c r="H1319" t="s">
        <v>556</v>
      </c>
      <c r="J1319" t="s">
        <v>3263</v>
      </c>
      <c r="K1319">
        <v>73.599999999999994</v>
      </c>
      <c r="L1319" s="1">
        <v>45713</v>
      </c>
      <c r="M1319">
        <f>G1319*IF(D1319="INR",1,INDEX('rates'!$B$2:$B$522,MATCH(B1319,'rates'!$A$2:$A$522,1)))</f>
        <v>8624160.9600000009</v>
      </c>
      <c r="N1319">
        <f t="shared" si="20"/>
        <v>60</v>
      </c>
    </row>
    <row r="1320" spans="1:14" x14ac:dyDescent="0.3">
      <c r="A1320" t="s">
        <v>4565</v>
      </c>
      <c r="B1320" s="1">
        <v>45653</v>
      </c>
      <c r="C1320" t="s">
        <v>558</v>
      </c>
      <c r="D1320" t="s">
        <v>36</v>
      </c>
      <c r="E1320">
        <v>888</v>
      </c>
      <c r="F1320" t="s">
        <v>3262</v>
      </c>
      <c r="G1320">
        <v>66724.320000000007</v>
      </c>
      <c r="H1320" t="s">
        <v>556</v>
      </c>
      <c r="J1320" t="s">
        <v>3263</v>
      </c>
      <c r="K1320">
        <v>75.14</v>
      </c>
      <c r="L1320" s="1">
        <v>45713</v>
      </c>
      <c r="M1320">
        <f>G1320*IF(D1320="INR",1,INDEX('rates'!$B$2:$B$522,MATCH(B1320,'rates'!$A$2:$A$522,1)))</f>
        <v>5706931.0896000005</v>
      </c>
      <c r="N1320">
        <f t="shared" si="20"/>
        <v>60</v>
      </c>
    </row>
    <row r="1321" spans="1:14" x14ac:dyDescent="0.3">
      <c r="A1321" t="s">
        <v>4614</v>
      </c>
      <c r="B1321" s="1">
        <v>45685</v>
      </c>
      <c r="C1321" t="s">
        <v>560</v>
      </c>
      <c r="D1321" t="s">
        <v>36</v>
      </c>
      <c r="E1321">
        <v>1074</v>
      </c>
      <c r="F1321" t="s">
        <v>3262</v>
      </c>
      <c r="G1321">
        <v>84760.08</v>
      </c>
      <c r="H1321" t="s">
        <v>573</v>
      </c>
      <c r="I1321">
        <v>73.73</v>
      </c>
      <c r="J1321" t="s">
        <v>3263</v>
      </c>
      <c r="K1321">
        <v>78.92</v>
      </c>
      <c r="L1321" s="1">
        <v>45715</v>
      </c>
      <c r="M1321">
        <f>G1321*IF(D1321="INR",1,INDEX('rates'!$B$2:$B$522,MATCH(B1321,'rates'!$A$2:$A$522,1)))</f>
        <v>7333442.1216000002</v>
      </c>
      <c r="N1321">
        <f t="shared" si="20"/>
        <v>30</v>
      </c>
    </row>
    <row r="1322" spans="1:14" x14ac:dyDescent="0.3">
      <c r="A1322" t="s">
        <v>4615</v>
      </c>
      <c r="B1322" s="1">
        <v>45685</v>
      </c>
      <c r="C1322" t="s">
        <v>558</v>
      </c>
      <c r="D1322" t="s">
        <v>36</v>
      </c>
      <c r="E1322">
        <v>410</v>
      </c>
      <c r="F1322" t="s">
        <v>3262</v>
      </c>
      <c r="G1322">
        <v>32041.5</v>
      </c>
      <c r="H1322" t="s">
        <v>556</v>
      </c>
      <c r="J1322" t="s">
        <v>3263</v>
      </c>
      <c r="K1322">
        <v>78.150000000000006</v>
      </c>
      <c r="L1322" s="1">
        <v>45715</v>
      </c>
      <c r="M1322">
        <f>G1322*IF(D1322="INR",1,INDEX('rates'!$B$2:$B$522,MATCH(B1322,'rates'!$A$2:$A$522,1)))</f>
        <v>2772230.58</v>
      </c>
      <c r="N1322">
        <f t="shared" si="20"/>
        <v>30</v>
      </c>
    </row>
    <row r="1323" spans="1:14" x14ac:dyDescent="0.3">
      <c r="A1323" t="s">
        <v>4566</v>
      </c>
      <c r="B1323" s="1">
        <v>45656</v>
      </c>
      <c r="C1323" t="s">
        <v>575</v>
      </c>
      <c r="D1323" t="s">
        <v>36</v>
      </c>
      <c r="E1323">
        <v>470</v>
      </c>
      <c r="F1323" t="s">
        <v>3262</v>
      </c>
      <c r="G1323">
        <v>35828.1</v>
      </c>
      <c r="H1323" t="s">
        <v>573</v>
      </c>
      <c r="I1323">
        <v>75.34</v>
      </c>
      <c r="J1323" t="s">
        <v>3263</v>
      </c>
      <c r="K1323">
        <v>76.23</v>
      </c>
      <c r="L1323" s="1">
        <v>45716</v>
      </c>
      <c r="M1323">
        <f>G1323*IF(D1323="INR",1,INDEX('rates'!$B$2:$B$522,MATCH(B1323,'rates'!$A$2:$A$522,1)))</f>
        <v>3062227.7069999999</v>
      </c>
      <c r="N1323">
        <f t="shared" si="20"/>
        <v>60</v>
      </c>
    </row>
    <row r="1324" spans="1:14" x14ac:dyDescent="0.3">
      <c r="A1324" t="s">
        <v>4569</v>
      </c>
      <c r="B1324" s="1">
        <v>45656</v>
      </c>
      <c r="C1324" t="s">
        <v>554</v>
      </c>
      <c r="D1324" t="s">
        <v>36</v>
      </c>
      <c r="E1324">
        <v>281</v>
      </c>
      <c r="F1324" t="s">
        <v>3262</v>
      </c>
      <c r="G1324">
        <v>21440.3</v>
      </c>
      <c r="H1324" t="s">
        <v>573</v>
      </c>
      <c r="I1324">
        <v>75.34</v>
      </c>
      <c r="J1324" t="s">
        <v>3263</v>
      </c>
      <c r="K1324">
        <v>76.3</v>
      </c>
      <c r="L1324" s="1">
        <v>45716</v>
      </c>
      <c r="M1324">
        <f>G1324*IF(D1324="INR",1,INDEX('rates'!$B$2:$B$522,MATCH(B1324,'rates'!$A$2:$A$522,1)))</f>
        <v>1832502.4409999999</v>
      </c>
      <c r="N1324">
        <f t="shared" si="20"/>
        <v>60</v>
      </c>
    </row>
    <row r="1325" spans="1:14" x14ac:dyDescent="0.3">
      <c r="A1325" t="s">
        <v>4595</v>
      </c>
      <c r="B1325" s="1">
        <v>45671</v>
      </c>
      <c r="C1325" t="s">
        <v>566</v>
      </c>
      <c r="D1325" t="s">
        <v>36</v>
      </c>
      <c r="E1325">
        <v>658</v>
      </c>
      <c r="F1325" t="s">
        <v>3262</v>
      </c>
      <c r="G1325">
        <v>53580.94</v>
      </c>
      <c r="H1325" t="s">
        <v>573</v>
      </c>
      <c r="I1325">
        <v>75.94</v>
      </c>
      <c r="J1325" t="s">
        <v>3263</v>
      </c>
      <c r="K1325">
        <v>81.430000000000007</v>
      </c>
      <c r="L1325" s="1">
        <v>45716</v>
      </c>
      <c r="M1325">
        <f>G1325*IF(D1325="INR",1,INDEX('rates'!$B$2:$B$522,MATCH(B1325,'rates'!$A$2:$A$522,1)))</f>
        <v>4641716.8322000001</v>
      </c>
      <c r="N1325">
        <f t="shared" si="20"/>
        <v>45</v>
      </c>
    </row>
    <row r="1326" spans="1:14" x14ac:dyDescent="0.3">
      <c r="A1326" t="s">
        <v>4617</v>
      </c>
      <c r="B1326" s="1">
        <v>45686</v>
      </c>
      <c r="C1326" t="s">
        <v>566</v>
      </c>
      <c r="D1326" t="s">
        <v>13</v>
      </c>
      <c r="E1326">
        <v>51294</v>
      </c>
      <c r="F1326" t="s">
        <v>3270</v>
      </c>
      <c r="G1326">
        <v>3881929.92</v>
      </c>
      <c r="H1326" t="s">
        <v>556</v>
      </c>
      <c r="J1326" t="s">
        <v>3271</v>
      </c>
      <c r="K1326">
        <v>75.680000000000007</v>
      </c>
      <c r="L1326" s="1">
        <v>45716</v>
      </c>
      <c r="M1326">
        <f>G1326*IF(D1326="INR",1,INDEX('rates'!$B$2:$B$522,MATCH(B1326,'rates'!$A$2:$A$522,1)))</f>
        <v>3881929.92</v>
      </c>
      <c r="N1326">
        <f t="shared" si="20"/>
        <v>30</v>
      </c>
    </row>
    <row r="1327" spans="1:14" x14ac:dyDescent="0.3">
      <c r="A1327" t="s">
        <v>4619</v>
      </c>
      <c r="B1327" s="1">
        <v>45687</v>
      </c>
      <c r="C1327" t="s">
        <v>575</v>
      </c>
      <c r="D1327" t="s">
        <v>36</v>
      </c>
      <c r="E1327">
        <v>255</v>
      </c>
      <c r="F1327" t="s">
        <v>3262</v>
      </c>
      <c r="G1327">
        <v>20252.099999999999</v>
      </c>
      <c r="H1327" t="s">
        <v>573</v>
      </c>
      <c r="I1327">
        <v>74.7</v>
      </c>
      <c r="J1327" t="s">
        <v>3263</v>
      </c>
      <c r="K1327">
        <v>79.42</v>
      </c>
      <c r="L1327" s="1">
        <v>45717</v>
      </c>
      <c r="M1327">
        <f>G1327*IF(D1327="INR",1,INDEX('rates'!$B$2:$B$522,MATCH(B1327,'rates'!$A$2:$A$522,1)))</f>
        <v>1752819.2549999999</v>
      </c>
      <c r="N1327">
        <f t="shared" si="20"/>
        <v>30</v>
      </c>
    </row>
    <row r="1328" spans="1:14" x14ac:dyDescent="0.3">
      <c r="A1328" t="s">
        <v>4572</v>
      </c>
      <c r="B1328" s="1">
        <v>45658</v>
      </c>
      <c r="C1328" t="s">
        <v>558</v>
      </c>
      <c r="D1328" t="s">
        <v>36</v>
      </c>
      <c r="E1328">
        <v>417</v>
      </c>
      <c r="F1328" t="s">
        <v>3262</v>
      </c>
      <c r="G1328">
        <v>31946.37</v>
      </c>
      <c r="H1328" t="s">
        <v>556</v>
      </c>
      <c r="J1328" t="s">
        <v>3263</v>
      </c>
      <c r="K1328">
        <v>76.61</v>
      </c>
      <c r="L1328" s="1">
        <v>45718</v>
      </c>
      <c r="M1328">
        <f>G1328*IF(D1328="INR",1,INDEX('rates'!$B$2:$B$522,MATCH(B1328,'rates'!$A$2:$A$522,1)))</f>
        <v>2733011.9534999998</v>
      </c>
      <c r="N1328">
        <f t="shared" si="20"/>
        <v>60</v>
      </c>
    </row>
    <row r="1329" spans="1:14" x14ac:dyDescent="0.3">
      <c r="A1329" t="s">
        <v>4574</v>
      </c>
      <c r="B1329" s="1">
        <v>45658</v>
      </c>
      <c r="C1329" t="s">
        <v>558</v>
      </c>
      <c r="D1329" t="s">
        <v>36</v>
      </c>
      <c r="E1329">
        <v>712</v>
      </c>
      <c r="F1329" t="s">
        <v>3262</v>
      </c>
      <c r="G1329">
        <v>56176.800000000003</v>
      </c>
      <c r="H1329" t="s">
        <v>573</v>
      </c>
      <c r="I1329">
        <v>79.53</v>
      </c>
      <c r="J1329" t="s">
        <v>3263</v>
      </c>
      <c r="K1329">
        <v>78.900000000000006</v>
      </c>
      <c r="L1329" s="1">
        <v>45718</v>
      </c>
      <c r="M1329">
        <f>G1329*IF(D1329="INR",1,INDEX('rates'!$B$2:$B$522,MATCH(B1329,'rates'!$A$2:$A$522,1)))</f>
        <v>4805925.24</v>
      </c>
      <c r="N1329">
        <f t="shared" si="20"/>
        <v>60</v>
      </c>
    </row>
    <row r="1330" spans="1:14" x14ac:dyDescent="0.3">
      <c r="A1330" t="s">
        <v>4623</v>
      </c>
      <c r="B1330" s="1">
        <v>45688</v>
      </c>
      <c r="C1330" t="s">
        <v>560</v>
      </c>
      <c r="D1330" t="s">
        <v>36</v>
      </c>
      <c r="E1330">
        <v>613</v>
      </c>
      <c r="F1330" t="s">
        <v>3262</v>
      </c>
      <c r="G1330">
        <v>46355.06</v>
      </c>
      <c r="H1330" t="s">
        <v>556</v>
      </c>
      <c r="J1330" t="s">
        <v>3263</v>
      </c>
      <c r="K1330">
        <v>75.62</v>
      </c>
      <c r="L1330" s="1">
        <v>45718</v>
      </c>
      <c r="M1330">
        <f>G1330*IF(D1330="INR",1,INDEX('rates'!$B$2:$B$522,MATCH(B1330,'rates'!$A$2:$A$522,1)))</f>
        <v>4011566.8924000002</v>
      </c>
      <c r="N1330">
        <f t="shared" si="20"/>
        <v>30</v>
      </c>
    </row>
    <row r="1331" spans="1:14" x14ac:dyDescent="0.3">
      <c r="A1331" t="s">
        <v>4624</v>
      </c>
      <c r="B1331" s="1">
        <v>45688</v>
      </c>
      <c r="C1331" t="s">
        <v>566</v>
      </c>
      <c r="D1331" t="s">
        <v>36</v>
      </c>
      <c r="E1331">
        <v>966</v>
      </c>
      <c r="F1331" t="s">
        <v>3262</v>
      </c>
      <c r="G1331">
        <v>74217.78</v>
      </c>
      <c r="H1331" t="s">
        <v>573</v>
      </c>
      <c r="I1331">
        <v>74.7</v>
      </c>
      <c r="J1331" t="s">
        <v>3263</v>
      </c>
      <c r="K1331">
        <v>76.83</v>
      </c>
      <c r="L1331" s="1">
        <v>45718</v>
      </c>
      <c r="M1331">
        <f>G1331*IF(D1331="INR",1,INDEX('rates'!$B$2:$B$522,MATCH(B1331,'rates'!$A$2:$A$522,1)))</f>
        <v>6422806.6812000005</v>
      </c>
      <c r="N1331">
        <f t="shared" si="20"/>
        <v>30</v>
      </c>
    </row>
    <row r="1332" spans="1:14" x14ac:dyDescent="0.3">
      <c r="A1332" t="s">
        <v>4625</v>
      </c>
      <c r="B1332" s="1">
        <v>45688</v>
      </c>
      <c r="C1332" t="s">
        <v>566</v>
      </c>
      <c r="D1332" t="s">
        <v>36</v>
      </c>
      <c r="E1332">
        <v>1965</v>
      </c>
      <c r="F1332" t="s">
        <v>3262</v>
      </c>
      <c r="G1332">
        <v>150636.9</v>
      </c>
      <c r="H1332" t="s">
        <v>573</v>
      </c>
      <c r="I1332">
        <v>74.7</v>
      </c>
      <c r="J1332" t="s">
        <v>3263</v>
      </c>
      <c r="K1332">
        <v>76.66</v>
      </c>
      <c r="L1332" s="1">
        <v>45718</v>
      </c>
      <c r="M1332">
        <f>G1332*IF(D1332="INR",1,INDEX('rates'!$B$2:$B$522,MATCH(B1332,'rates'!$A$2:$A$522,1)))</f>
        <v>13036117.326000001</v>
      </c>
      <c r="N1332">
        <f t="shared" si="20"/>
        <v>30</v>
      </c>
    </row>
    <row r="1333" spans="1:14" x14ac:dyDescent="0.3">
      <c r="A1333" t="s">
        <v>4575</v>
      </c>
      <c r="B1333" s="1">
        <v>45659</v>
      </c>
      <c r="C1333" t="s">
        <v>560</v>
      </c>
      <c r="D1333" t="s">
        <v>36</v>
      </c>
      <c r="E1333">
        <v>771</v>
      </c>
      <c r="F1333" t="s">
        <v>3262</v>
      </c>
      <c r="G1333">
        <v>60955.26</v>
      </c>
      <c r="H1333" t="s">
        <v>573</v>
      </c>
      <c r="I1333">
        <v>80.180000000000007</v>
      </c>
      <c r="J1333" t="s">
        <v>3263</v>
      </c>
      <c r="K1333">
        <v>79.06</v>
      </c>
      <c r="L1333" s="1">
        <v>45719</v>
      </c>
      <c r="M1333">
        <f>G1333*IF(D1333="INR",1,INDEX('rates'!$B$2:$B$522,MATCH(B1333,'rates'!$A$2:$A$522,1)))</f>
        <v>5226913.5449999999</v>
      </c>
      <c r="N1333">
        <f t="shared" si="20"/>
        <v>60</v>
      </c>
    </row>
    <row r="1334" spans="1:14" x14ac:dyDescent="0.3">
      <c r="A1334" t="s">
        <v>4599</v>
      </c>
      <c r="B1334" s="1">
        <v>45674</v>
      </c>
      <c r="C1334" t="s">
        <v>566</v>
      </c>
      <c r="D1334" t="s">
        <v>36</v>
      </c>
      <c r="E1334">
        <v>960</v>
      </c>
      <c r="F1334" t="s">
        <v>3262</v>
      </c>
      <c r="G1334">
        <v>80400</v>
      </c>
      <c r="H1334" t="s">
        <v>573</v>
      </c>
      <c r="I1334">
        <v>74.66</v>
      </c>
      <c r="J1334" t="s">
        <v>3263</v>
      </c>
      <c r="K1334">
        <v>83.75</v>
      </c>
      <c r="L1334" s="1">
        <v>45719</v>
      </c>
      <c r="M1334">
        <f>G1334*IF(D1334="INR",1,INDEX('rates'!$B$2:$B$522,MATCH(B1334,'rates'!$A$2:$A$522,1)))</f>
        <v>6958620</v>
      </c>
      <c r="N1334">
        <f t="shared" si="20"/>
        <v>45</v>
      </c>
    </row>
    <row r="1335" spans="1:14" x14ac:dyDescent="0.3">
      <c r="A1335" t="s">
        <v>4600</v>
      </c>
      <c r="B1335" s="1">
        <v>45674</v>
      </c>
      <c r="C1335" t="s">
        <v>560</v>
      </c>
      <c r="D1335" t="s">
        <v>36</v>
      </c>
      <c r="E1335">
        <v>624</v>
      </c>
      <c r="F1335" t="s">
        <v>3262</v>
      </c>
      <c r="G1335">
        <v>52029.120000000003</v>
      </c>
      <c r="H1335" t="s">
        <v>573</v>
      </c>
      <c r="I1335">
        <v>74.66</v>
      </c>
      <c r="J1335" t="s">
        <v>3263</v>
      </c>
      <c r="K1335">
        <v>83.38</v>
      </c>
      <c r="L1335" s="1">
        <v>45719</v>
      </c>
      <c r="M1335">
        <f>G1335*IF(D1335="INR",1,INDEX('rates'!$B$2:$B$522,MATCH(B1335,'rates'!$A$2:$A$522,1)))</f>
        <v>4503120.3360000001</v>
      </c>
      <c r="N1335">
        <f t="shared" si="20"/>
        <v>45</v>
      </c>
    </row>
    <row r="1336" spans="1:14" x14ac:dyDescent="0.3">
      <c r="A1336" t="s">
        <v>4601</v>
      </c>
      <c r="B1336" s="1">
        <v>45674</v>
      </c>
      <c r="C1336" t="s">
        <v>560</v>
      </c>
      <c r="D1336" t="s">
        <v>36</v>
      </c>
      <c r="E1336">
        <v>413</v>
      </c>
      <c r="F1336" t="s">
        <v>3262</v>
      </c>
      <c r="G1336">
        <v>35080.22</v>
      </c>
      <c r="H1336" t="s">
        <v>556</v>
      </c>
      <c r="J1336" t="s">
        <v>3263</v>
      </c>
      <c r="K1336">
        <v>84.94</v>
      </c>
      <c r="L1336" s="1">
        <v>45719</v>
      </c>
      <c r="M1336">
        <f>G1336*IF(D1336="INR",1,INDEX('rates'!$B$2:$B$522,MATCH(B1336,'rates'!$A$2:$A$522,1)))</f>
        <v>3036193.0410000002</v>
      </c>
      <c r="N1336">
        <f t="shared" si="20"/>
        <v>45</v>
      </c>
    </row>
    <row r="1337" spans="1:14" x14ac:dyDescent="0.3">
      <c r="A1337" t="s">
        <v>4578</v>
      </c>
      <c r="B1337" s="1">
        <v>45660</v>
      </c>
      <c r="C1337" t="s">
        <v>560</v>
      </c>
      <c r="D1337" t="s">
        <v>36</v>
      </c>
      <c r="E1337">
        <v>1117</v>
      </c>
      <c r="F1337" t="s">
        <v>3262</v>
      </c>
      <c r="G1337">
        <v>88175.98</v>
      </c>
      <c r="H1337" t="s">
        <v>556</v>
      </c>
      <c r="J1337" t="s">
        <v>3263</v>
      </c>
      <c r="K1337">
        <v>78.94</v>
      </c>
      <c r="L1337" s="1">
        <v>45720</v>
      </c>
      <c r="M1337">
        <f>G1337*IF(D1337="INR",1,INDEX('rates'!$B$2:$B$522,MATCH(B1337,'rates'!$A$2:$A$522,1)))</f>
        <v>7561090.2849999992</v>
      </c>
      <c r="N1337">
        <f t="shared" si="20"/>
        <v>60</v>
      </c>
    </row>
    <row r="1338" spans="1:14" x14ac:dyDescent="0.3">
      <c r="A1338" t="s">
        <v>4630</v>
      </c>
      <c r="B1338" s="1">
        <v>45691</v>
      </c>
      <c r="C1338" t="s">
        <v>560</v>
      </c>
      <c r="D1338" t="s">
        <v>36</v>
      </c>
      <c r="E1338">
        <v>578</v>
      </c>
      <c r="F1338" t="s">
        <v>3262</v>
      </c>
      <c r="G1338">
        <v>45280.52</v>
      </c>
      <c r="H1338" t="s">
        <v>556</v>
      </c>
      <c r="J1338" t="s">
        <v>3263</v>
      </c>
      <c r="K1338">
        <v>78.34</v>
      </c>
      <c r="L1338" s="1">
        <v>45721</v>
      </c>
      <c r="M1338">
        <f>G1338*IF(D1338="INR",1,INDEX('rates'!$B$2:$B$522,MATCH(B1338,'rates'!$A$2:$A$522,1)))</f>
        <v>3948008.5387999997</v>
      </c>
      <c r="N1338">
        <f t="shared" si="20"/>
        <v>30</v>
      </c>
    </row>
    <row r="1339" spans="1:14" x14ac:dyDescent="0.3">
      <c r="A1339" t="s">
        <v>4605</v>
      </c>
      <c r="B1339" s="1">
        <v>45677</v>
      </c>
      <c r="C1339" t="s">
        <v>558</v>
      </c>
      <c r="D1339" t="s">
        <v>36</v>
      </c>
      <c r="E1339">
        <v>1292</v>
      </c>
      <c r="F1339" t="s">
        <v>3262</v>
      </c>
      <c r="G1339">
        <v>109548.68</v>
      </c>
      <c r="H1339" t="s">
        <v>573</v>
      </c>
      <c r="I1339">
        <v>77.94</v>
      </c>
      <c r="J1339" t="s">
        <v>3263</v>
      </c>
      <c r="K1339">
        <v>84.79</v>
      </c>
      <c r="L1339" s="1">
        <v>45722</v>
      </c>
      <c r="M1339">
        <f>G1339*IF(D1339="INR",1,INDEX('rates'!$B$2:$B$522,MATCH(B1339,'rates'!$A$2:$A$522,1)))</f>
        <v>9481438.2539999988</v>
      </c>
      <c r="N1339">
        <f t="shared" si="20"/>
        <v>45</v>
      </c>
    </row>
    <row r="1340" spans="1:14" x14ac:dyDescent="0.3">
      <c r="A1340" t="s">
        <v>4631</v>
      </c>
      <c r="B1340" s="1">
        <v>45692</v>
      </c>
      <c r="C1340" t="s">
        <v>558</v>
      </c>
      <c r="D1340" t="s">
        <v>36</v>
      </c>
      <c r="E1340">
        <v>2072</v>
      </c>
      <c r="F1340" t="s">
        <v>3262</v>
      </c>
      <c r="G1340">
        <v>159502.56</v>
      </c>
      <c r="H1340" t="s">
        <v>573</v>
      </c>
      <c r="I1340">
        <v>77.02</v>
      </c>
      <c r="J1340" t="s">
        <v>3263</v>
      </c>
      <c r="K1340">
        <v>76.98</v>
      </c>
      <c r="L1340" s="1">
        <v>45722</v>
      </c>
      <c r="M1340">
        <f>G1340*IF(D1340="INR",1,INDEX('rates'!$B$2:$B$522,MATCH(B1340,'rates'!$A$2:$A$522,1)))</f>
        <v>13886292.873600001</v>
      </c>
      <c r="N1340">
        <f t="shared" si="20"/>
        <v>30</v>
      </c>
    </row>
    <row r="1341" spans="1:14" x14ac:dyDescent="0.3">
      <c r="A1341" t="s">
        <v>4633</v>
      </c>
      <c r="B1341" s="1">
        <v>45692</v>
      </c>
      <c r="C1341" t="s">
        <v>575</v>
      </c>
      <c r="D1341" t="s">
        <v>36</v>
      </c>
      <c r="E1341">
        <v>1062</v>
      </c>
      <c r="F1341" t="s">
        <v>3262</v>
      </c>
      <c r="G1341">
        <v>80807.58</v>
      </c>
      <c r="H1341" t="s">
        <v>556</v>
      </c>
      <c r="J1341" t="s">
        <v>3263</v>
      </c>
      <c r="K1341">
        <v>76.09</v>
      </c>
      <c r="L1341" s="1">
        <v>45722</v>
      </c>
      <c r="M1341">
        <f>G1341*IF(D1341="INR",1,INDEX('rates'!$B$2:$B$522,MATCH(B1341,'rates'!$A$2:$A$522,1)))</f>
        <v>7035107.9148000004</v>
      </c>
      <c r="N1341">
        <f t="shared" si="20"/>
        <v>30</v>
      </c>
    </row>
    <row r="1342" spans="1:14" x14ac:dyDescent="0.3">
      <c r="A1342" t="s">
        <v>4634</v>
      </c>
      <c r="B1342" s="1">
        <v>45692</v>
      </c>
      <c r="C1342" t="s">
        <v>566</v>
      </c>
      <c r="D1342" t="s">
        <v>36</v>
      </c>
      <c r="E1342">
        <v>2513</v>
      </c>
      <c r="F1342" t="s">
        <v>3262</v>
      </c>
      <c r="G1342">
        <v>192696.84</v>
      </c>
      <c r="H1342" t="s">
        <v>556</v>
      </c>
      <c r="J1342" t="s">
        <v>3263</v>
      </c>
      <c r="K1342">
        <v>76.680000000000007</v>
      </c>
      <c r="L1342" s="1">
        <v>45722</v>
      </c>
      <c r="M1342">
        <f>G1342*IF(D1342="INR",1,INDEX('rates'!$B$2:$B$522,MATCH(B1342,'rates'!$A$2:$A$522,1)))</f>
        <v>16776186.8904</v>
      </c>
      <c r="N1342">
        <f t="shared" si="20"/>
        <v>30</v>
      </c>
    </row>
    <row r="1343" spans="1:14" x14ac:dyDescent="0.3">
      <c r="A1343" t="s">
        <v>4581</v>
      </c>
      <c r="B1343" s="1">
        <v>45663</v>
      </c>
      <c r="C1343" t="s">
        <v>558</v>
      </c>
      <c r="D1343" t="s">
        <v>36</v>
      </c>
      <c r="E1343">
        <v>754</v>
      </c>
      <c r="F1343" t="s">
        <v>3262</v>
      </c>
      <c r="G1343">
        <v>59513.22</v>
      </c>
      <c r="H1343" t="s">
        <v>556</v>
      </c>
      <c r="J1343" t="s">
        <v>3263</v>
      </c>
      <c r="K1343">
        <v>78.930000000000007</v>
      </c>
      <c r="L1343" s="1">
        <v>45723</v>
      </c>
      <c r="M1343">
        <f>G1343*IF(D1343="INR",1,INDEX('rates'!$B$2:$B$522,MATCH(B1343,'rates'!$A$2:$A$522,1)))</f>
        <v>5100282.9539999999</v>
      </c>
      <c r="N1343">
        <f t="shared" si="20"/>
        <v>60</v>
      </c>
    </row>
    <row r="1344" spans="1:14" x14ac:dyDescent="0.3">
      <c r="A1344" t="s">
        <v>4582</v>
      </c>
      <c r="B1344" s="1">
        <v>45663</v>
      </c>
      <c r="C1344" t="s">
        <v>560</v>
      </c>
      <c r="D1344" t="s">
        <v>36</v>
      </c>
      <c r="E1344">
        <v>700</v>
      </c>
      <c r="F1344" t="s">
        <v>3262</v>
      </c>
      <c r="G1344">
        <v>55041</v>
      </c>
      <c r="H1344" t="s">
        <v>556</v>
      </c>
      <c r="J1344" t="s">
        <v>3263</v>
      </c>
      <c r="K1344">
        <v>78.63</v>
      </c>
      <c r="L1344" s="1">
        <v>45723</v>
      </c>
      <c r="M1344">
        <f>G1344*IF(D1344="INR",1,INDEX('rates'!$B$2:$B$522,MATCH(B1344,'rates'!$A$2:$A$522,1)))</f>
        <v>4717013.7</v>
      </c>
      <c r="N1344">
        <f t="shared" si="20"/>
        <v>60</v>
      </c>
    </row>
    <row r="1345" spans="1:14" x14ac:dyDescent="0.3">
      <c r="A1345" t="s">
        <v>4584</v>
      </c>
      <c r="B1345" s="1">
        <v>45664</v>
      </c>
      <c r="C1345" t="s">
        <v>575</v>
      </c>
      <c r="D1345" t="s">
        <v>36</v>
      </c>
      <c r="E1345">
        <v>521</v>
      </c>
      <c r="F1345" t="s">
        <v>3262</v>
      </c>
      <c r="G1345">
        <v>41763.360000000001</v>
      </c>
      <c r="H1345" t="s">
        <v>556</v>
      </c>
      <c r="J1345" t="s">
        <v>3263</v>
      </c>
      <c r="K1345">
        <v>80.16</v>
      </c>
      <c r="L1345" s="1">
        <v>45724</v>
      </c>
      <c r="M1345">
        <f>G1345*IF(D1345="INR",1,INDEX('rates'!$B$2:$B$522,MATCH(B1345,'rates'!$A$2:$A$522,1)))</f>
        <v>3580790.4863999998</v>
      </c>
      <c r="N1345">
        <f t="shared" si="20"/>
        <v>60</v>
      </c>
    </row>
    <row r="1346" spans="1:14" x14ac:dyDescent="0.3">
      <c r="A1346" t="s">
        <v>4637</v>
      </c>
      <c r="B1346" s="1">
        <v>45694</v>
      </c>
      <c r="C1346" t="s">
        <v>575</v>
      </c>
      <c r="D1346" t="s">
        <v>36</v>
      </c>
      <c r="E1346">
        <v>743</v>
      </c>
      <c r="F1346" t="s">
        <v>3262</v>
      </c>
      <c r="G1346">
        <v>55011.72</v>
      </c>
      <c r="H1346" t="s">
        <v>556</v>
      </c>
      <c r="J1346" t="s">
        <v>3263</v>
      </c>
      <c r="K1346">
        <v>74.040000000000006</v>
      </c>
      <c r="L1346" s="1">
        <v>45724</v>
      </c>
      <c r="M1346">
        <f>G1346*IF(D1346="INR",1,INDEX('rates'!$B$2:$B$522,MATCH(B1346,'rates'!$A$2:$A$522,1)))</f>
        <v>4817376.3203999996</v>
      </c>
      <c r="N1346">
        <f t="shared" ref="N1346:N1409" si="21">IF(L1346="","",L1346-B1346)</f>
        <v>30</v>
      </c>
    </row>
    <row r="1347" spans="1:14" x14ac:dyDescent="0.3">
      <c r="A1347" t="s">
        <v>4638</v>
      </c>
      <c r="B1347" s="1">
        <v>45695</v>
      </c>
      <c r="C1347" t="s">
        <v>560</v>
      </c>
      <c r="D1347" t="s">
        <v>36</v>
      </c>
      <c r="E1347">
        <v>1697</v>
      </c>
      <c r="F1347" t="s">
        <v>3262</v>
      </c>
      <c r="G1347">
        <v>127105.3</v>
      </c>
      <c r="H1347" t="s">
        <v>573</v>
      </c>
      <c r="I1347">
        <v>75.64</v>
      </c>
      <c r="J1347" t="s">
        <v>3263</v>
      </c>
      <c r="K1347">
        <v>74.900000000000006</v>
      </c>
      <c r="L1347" s="1">
        <v>45725</v>
      </c>
      <c r="M1347">
        <f>G1347*IF(D1347="INR",1,INDEX('rates'!$B$2:$B$522,MATCH(B1347,'rates'!$A$2:$A$522,1)))</f>
        <v>11112816.379000001</v>
      </c>
      <c r="N1347">
        <f t="shared" si="21"/>
        <v>30</v>
      </c>
    </row>
    <row r="1348" spans="1:14" x14ac:dyDescent="0.3">
      <c r="A1348" t="s">
        <v>4639</v>
      </c>
      <c r="B1348" s="1">
        <v>45695</v>
      </c>
      <c r="C1348" t="s">
        <v>560</v>
      </c>
      <c r="D1348" t="s">
        <v>13</v>
      </c>
      <c r="E1348">
        <v>44612</v>
      </c>
      <c r="F1348" t="s">
        <v>3270</v>
      </c>
      <c r="G1348">
        <v>4209142</v>
      </c>
      <c r="H1348" t="s">
        <v>556</v>
      </c>
      <c r="J1348" t="s">
        <v>3271</v>
      </c>
      <c r="K1348">
        <v>94.35</v>
      </c>
      <c r="L1348" s="1">
        <v>45725</v>
      </c>
      <c r="M1348">
        <f>G1348*IF(D1348="INR",1,INDEX('rates'!$B$2:$B$522,MATCH(B1348,'rates'!$A$2:$A$522,1)))</f>
        <v>4209142</v>
      </c>
      <c r="N1348">
        <f t="shared" si="21"/>
        <v>30</v>
      </c>
    </row>
    <row r="1349" spans="1:14" x14ac:dyDescent="0.3">
      <c r="A1349" t="s">
        <v>4642</v>
      </c>
      <c r="B1349" s="1">
        <v>45695</v>
      </c>
      <c r="C1349" t="s">
        <v>575</v>
      </c>
      <c r="D1349" t="s">
        <v>36</v>
      </c>
      <c r="E1349">
        <v>952</v>
      </c>
      <c r="F1349" t="s">
        <v>3262</v>
      </c>
      <c r="G1349">
        <v>71847.44</v>
      </c>
      <c r="H1349" t="s">
        <v>573</v>
      </c>
      <c r="I1349">
        <v>75.64</v>
      </c>
      <c r="J1349" t="s">
        <v>3263</v>
      </c>
      <c r="K1349">
        <v>75.47</v>
      </c>
      <c r="L1349" s="1">
        <v>45725</v>
      </c>
      <c r="M1349">
        <f>G1349*IF(D1349="INR",1,INDEX('rates'!$B$2:$B$522,MATCH(B1349,'rates'!$A$2:$A$522,1)))</f>
        <v>6281621.6792000011</v>
      </c>
      <c r="N1349">
        <f t="shared" si="21"/>
        <v>30</v>
      </c>
    </row>
    <row r="1350" spans="1:14" x14ac:dyDescent="0.3">
      <c r="A1350" t="s">
        <v>4587</v>
      </c>
      <c r="B1350" s="1">
        <v>45666</v>
      </c>
      <c r="C1350" t="s">
        <v>560</v>
      </c>
      <c r="D1350" t="s">
        <v>13</v>
      </c>
      <c r="E1350">
        <v>56490</v>
      </c>
      <c r="F1350" t="s">
        <v>3270</v>
      </c>
      <c r="G1350">
        <v>4729342.8</v>
      </c>
      <c r="H1350" t="s">
        <v>556</v>
      </c>
      <c r="J1350" t="s">
        <v>3271</v>
      </c>
      <c r="K1350">
        <v>83.72</v>
      </c>
      <c r="L1350" s="1">
        <v>45726</v>
      </c>
      <c r="M1350">
        <f>G1350*IF(D1350="INR",1,INDEX('rates'!$B$2:$B$522,MATCH(B1350,'rates'!$A$2:$A$522,1)))</f>
        <v>4729342.8</v>
      </c>
      <c r="N1350">
        <f t="shared" si="21"/>
        <v>60</v>
      </c>
    </row>
    <row r="1351" spans="1:14" x14ac:dyDescent="0.3">
      <c r="A1351" t="s">
        <v>4589</v>
      </c>
      <c r="B1351" s="1">
        <v>45666</v>
      </c>
      <c r="C1351" t="s">
        <v>558</v>
      </c>
      <c r="D1351" t="s">
        <v>36</v>
      </c>
      <c r="E1351">
        <v>1156</v>
      </c>
      <c r="F1351" t="s">
        <v>3262</v>
      </c>
      <c r="G1351">
        <v>91971.36</v>
      </c>
      <c r="H1351" t="s">
        <v>556</v>
      </c>
      <c r="J1351" t="s">
        <v>3263</v>
      </c>
      <c r="K1351">
        <v>79.56</v>
      </c>
      <c r="L1351" s="1">
        <v>45726</v>
      </c>
      <c r="M1351">
        <f>G1351*IF(D1351="INR",1,INDEX('rates'!$B$2:$B$522,MATCH(B1351,'rates'!$A$2:$A$522,1)))</f>
        <v>7897580.6832000008</v>
      </c>
      <c r="N1351">
        <f t="shared" si="21"/>
        <v>60</v>
      </c>
    </row>
    <row r="1352" spans="1:14" x14ac:dyDescent="0.3">
      <c r="A1352" t="s">
        <v>4608</v>
      </c>
      <c r="B1352" s="1">
        <v>45681</v>
      </c>
      <c r="C1352" t="s">
        <v>554</v>
      </c>
      <c r="D1352" t="s">
        <v>36</v>
      </c>
      <c r="E1352">
        <v>1687</v>
      </c>
      <c r="F1352" t="s">
        <v>3262</v>
      </c>
      <c r="G1352">
        <v>134605.73000000001</v>
      </c>
      <c r="H1352" t="s">
        <v>573</v>
      </c>
      <c r="I1352">
        <v>77.06</v>
      </c>
      <c r="J1352" t="s">
        <v>3263</v>
      </c>
      <c r="K1352">
        <v>79.790000000000006</v>
      </c>
      <c r="L1352" s="1">
        <v>45726</v>
      </c>
      <c r="M1352">
        <f>G1352*IF(D1352="INR",1,INDEX('rates'!$B$2:$B$522,MATCH(B1352,'rates'!$A$2:$A$522,1)))</f>
        <v>11603013.926000001</v>
      </c>
      <c r="N1352">
        <f t="shared" si="21"/>
        <v>45</v>
      </c>
    </row>
    <row r="1353" spans="1:14" x14ac:dyDescent="0.3">
      <c r="A1353" t="s">
        <v>4613</v>
      </c>
      <c r="B1353" s="1">
        <v>45681</v>
      </c>
      <c r="C1353" t="s">
        <v>554</v>
      </c>
      <c r="D1353" t="s">
        <v>36</v>
      </c>
      <c r="E1353">
        <v>454</v>
      </c>
      <c r="F1353" t="s">
        <v>3262</v>
      </c>
      <c r="G1353">
        <v>35625.379999999997</v>
      </c>
      <c r="H1353" t="s">
        <v>573</v>
      </c>
      <c r="I1353">
        <v>77.06</v>
      </c>
      <c r="J1353" t="s">
        <v>3263</v>
      </c>
      <c r="K1353">
        <v>78.47</v>
      </c>
      <c r="L1353" s="1">
        <v>45726</v>
      </c>
      <c r="M1353">
        <f>G1353*IF(D1353="INR",1,INDEX('rates'!$B$2:$B$522,MATCH(B1353,'rates'!$A$2:$A$522,1)))</f>
        <v>3070907.7560000001</v>
      </c>
      <c r="N1353">
        <f t="shared" si="21"/>
        <v>45</v>
      </c>
    </row>
    <row r="1354" spans="1:14" x14ac:dyDescent="0.3">
      <c r="A1354" t="s">
        <v>4590</v>
      </c>
      <c r="B1354" s="1">
        <v>45667</v>
      </c>
      <c r="C1354" t="s">
        <v>566</v>
      </c>
      <c r="D1354" t="s">
        <v>13</v>
      </c>
      <c r="E1354">
        <v>214347</v>
      </c>
      <c r="F1354" t="s">
        <v>3270</v>
      </c>
      <c r="G1354">
        <v>17780083.649999999</v>
      </c>
      <c r="H1354" t="s">
        <v>556</v>
      </c>
      <c r="J1354" t="s">
        <v>3271</v>
      </c>
      <c r="K1354">
        <v>82.95</v>
      </c>
      <c r="L1354" s="1">
        <v>45727</v>
      </c>
      <c r="M1354">
        <f>G1354*IF(D1354="INR",1,INDEX('rates'!$B$2:$B$522,MATCH(B1354,'rates'!$A$2:$A$522,1)))</f>
        <v>17780083.649999999</v>
      </c>
      <c r="N1354">
        <f t="shared" si="21"/>
        <v>60</v>
      </c>
    </row>
    <row r="1355" spans="1:14" x14ac:dyDescent="0.3">
      <c r="A1355" t="s">
        <v>4592</v>
      </c>
      <c r="B1355" s="1">
        <v>45667</v>
      </c>
      <c r="C1355" t="s">
        <v>566</v>
      </c>
      <c r="D1355" t="s">
        <v>36</v>
      </c>
      <c r="E1355">
        <v>789</v>
      </c>
      <c r="F1355" t="s">
        <v>3262</v>
      </c>
      <c r="G1355">
        <v>64358.73</v>
      </c>
      <c r="H1355" t="s">
        <v>573</v>
      </c>
      <c r="I1355">
        <v>81.44</v>
      </c>
      <c r="J1355" t="s">
        <v>3263</v>
      </c>
      <c r="K1355">
        <v>81.569999999999993</v>
      </c>
      <c r="L1355" s="1">
        <v>45727</v>
      </c>
      <c r="M1355">
        <f>G1355*IF(D1355="INR",1,INDEX('rates'!$B$2:$B$522,MATCH(B1355,'rates'!$A$2:$A$522,1)))</f>
        <v>5532276.4308000002</v>
      </c>
      <c r="N1355">
        <f t="shared" si="21"/>
        <v>60</v>
      </c>
    </row>
    <row r="1356" spans="1:14" x14ac:dyDescent="0.3">
      <c r="A1356" t="s">
        <v>4643</v>
      </c>
      <c r="B1356" s="1">
        <v>45698</v>
      </c>
      <c r="C1356" t="s">
        <v>566</v>
      </c>
      <c r="D1356" t="s">
        <v>36</v>
      </c>
      <c r="E1356">
        <v>1470</v>
      </c>
      <c r="F1356" t="s">
        <v>3262</v>
      </c>
      <c r="G1356">
        <v>113572.2</v>
      </c>
      <c r="H1356" t="s">
        <v>573</v>
      </c>
      <c r="I1356">
        <v>73.22</v>
      </c>
      <c r="J1356" t="s">
        <v>3263</v>
      </c>
      <c r="K1356">
        <v>77.260000000000005</v>
      </c>
      <c r="L1356" s="1">
        <v>45728</v>
      </c>
      <c r="M1356">
        <f>G1356*IF(D1356="INR",1,INDEX('rates'!$B$2:$B$522,MATCH(B1356,'rates'!$A$2:$A$522,1)))</f>
        <v>9931888.8900000006</v>
      </c>
      <c r="N1356">
        <f t="shared" si="21"/>
        <v>30</v>
      </c>
    </row>
    <row r="1357" spans="1:14" x14ac:dyDescent="0.3">
      <c r="A1357" t="s">
        <v>4618</v>
      </c>
      <c r="B1357" s="1">
        <v>45686</v>
      </c>
      <c r="C1357" t="s">
        <v>560</v>
      </c>
      <c r="D1357" t="s">
        <v>36</v>
      </c>
      <c r="E1357">
        <v>2166</v>
      </c>
      <c r="F1357" t="s">
        <v>3262</v>
      </c>
      <c r="G1357">
        <v>168319.86</v>
      </c>
      <c r="H1357" t="s">
        <v>556</v>
      </c>
      <c r="J1357" t="s">
        <v>3263</v>
      </c>
      <c r="K1357">
        <v>77.709999999999994</v>
      </c>
      <c r="L1357" s="1">
        <v>45731</v>
      </c>
      <c r="M1357">
        <f>G1357*IF(D1357="INR",1,INDEX('rates'!$B$2:$B$522,MATCH(B1357,'rates'!$A$2:$A$522,1)))</f>
        <v>14578183.074599998</v>
      </c>
      <c r="N1357">
        <f t="shared" si="21"/>
        <v>45</v>
      </c>
    </row>
    <row r="1358" spans="1:14" x14ac:dyDescent="0.3">
      <c r="A1358" t="s">
        <v>4653</v>
      </c>
      <c r="B1358" s="1">
        <v>45702</v>
      </c>
      <c r="C1358" t="s">
        <v>560</v>
      </c>
      <c r="D1358" t="s">
        <v>36</v>
      </c>
      <c r="E1358">
        <v>661</v>
      </c>
      <c r="F1358" t="s">
        <v>3262</v>
      </c>
      <c r="G1358">
        <v>49178.400000000001</v>
      </c>
      <c r="H1358" t="s">
        <v>556</v>
      </c>
      <c r="J1358" t="s">
        <v>3263</v>
      </c>
      <c r="K1358">
        <v>74.400000000000006</v>
      </c>
      <c r="L1358" s="1">
        <v>45732</v>
      </c>
      <c r="M1358">
        <f>G1358*IF(D1358="INR",1,INDEX('rates'!$B$2:$B$522,MATCH(B1358,'rates'!$A$2:$A$522,1)))</f>
        <v>4269668.6880000001</v>
      </c>
      <c r="N1358">
        <f t="shared" si="21"/>
        <v>30</v>
      </c>
    </row>
    <row r="1359" spans="1:14" x14ac:dyDescent="0.3">
      <c r="A1359" t="s">
        <v>4654</v>
      </c>
      <c r="B1359" s="1">
        <v>45702</v>
      </c>
      <c r="C1359" t="s">
        <v>566</v>
      </c>
      <c r="D1359" t="s">
        <v>36</v>
      </c>
      <c r="E1359">
        <v>1118</v>
      </c>
      <c r="F1359" t="s">
        <v>3262</v>
      </c>
      <c r="G1359">
        <v>84889.74</v>
      </c>
      <c r="H1359" t="s">
        <v>573</v>
      </c>
      <c r="I1359">
        <v>72.040000000000006</v>
      </c>
      <c r="J1359" t="s">
        <v>3263</v>
      </c>
      <c r="K1359">
        <v>75.930000000000007</v>
      </c>
      <c r="L1359" s="1">
        <v>45732</v>
      </c>
      <c r="M1359">
        <f>G1359*IF(D1359="INR",1,INDEX('rates'!$B$2:$B$522,MATCH(B1359,'rates'!$A$2:$A$522,1)))</f>
        <v>7370127.2268000003</v>
      </c>
      <c r="N1359">
        <f t="shared" si="21"/>
        <v>30</v>
      </c>
    </row>
    <row r="1360" spans="1:14" x14ac:dyDescent="0.3">
      <c r="A1360" t="s">
        <v>4655</v>
      </c>
      <c r="B1360" s="1">
        <v>45702</v>
      </c>
      <c r="C1360" t="s">
        <v>575</v>
      </c>
      <c r="D1360" t="s">
        <v>13</v>
      </c>
      <c r="E1360">
        <v>54522</v>
      </c>
      <c r="F1360" t="s">
        <v>3270</v>
      </c>
      <c r="G1360">
        <v>5079814.74</v>
      </c>
      <c r="H1360" t="s">
        <v>556</v>
      </c>
      <c r="J1360" t="s">
        <v>3271</v>
      </c>
      <c r="K1360">
        <v>93.17</v>
      </c>
      <c r="L1360" s="1">
        <v>45732</v>
      </c>
      <c r="M1360">
        <f>G1360*IF(D1360="INR",1,INDEX('rates'!$B$2:$B$522,MATCH(B1360,'rates'!$A$2:$A$522,1)))</f>
        <v>5079814.74</v>
      </c>
      <c r="N1360">
        <f t="shared" si="21"/>
        <v>30</v>
      </c>
    </row>
    <row r="1361" spans="1:14" x14ac:dyDescent="0.3">
      <c r="A1361" t="s">
        <v>4597</v>
      </c>
      <c r="B1361" s="1">
        <v>45673</v>
      </c>
      <c r="C1361" t="s">
        <v>560</v>
      </c>
      <c r="D1361" t="s">
        <v>36</v>
      </c>
      <c r="E1361">
        <v>646</v>
      </c>
      <c r="F1361" t="s">
        <v>3262</v>
      </c>
      <c r="G1361">
        <v>53941</v>
      </c>
      <c r="H1361" t="s">
        <v>573</v>
      </c>
      <c r="I1361">
        <v>74.66</v>
      </c>
      <c r="J1361" t="s">
        <v>3263</v>
      </c>
      <c r="K1361">
        <v>83.5</v>
      </c>
      <c r="L1361" s="1">
        <v>45733</v>
      </c>
      <c r="M1361">
        <f>G1361*IF(D1361="INR",1,INDEX('rates'!$B$2:$B$522,MATCH(B1361,'rates'!$A$2:$A$522,1)))</f>
        <v>4669672.3699999992</v>
      </c>
      <c r="N1361">
        <f t="shared" si="21"/>
        <v>60</v>
      </c>
    </row>
    <row r="1362" spans="1:14" x14ac:dyDescent="0.3">
      <c r="A1362" t="s">
        <v>4598</v>
      </c>
      <c r="B1362" s="1">
        <v>45673</v>
      </c>
      <c r="C1362" t="s">
        <v>554</v>
      </c>
      <c r="D1362" t="s">
        <v>36</v>
      </c>
      <c r="E1362">
        <v>944</v>
      </c>
      <c r="F1362" t="s">
        <v>3262</v>
      </c>
      <c r="G1362">
        <v>79956.800000000003</v>
      </c>
      <c r="H1362" t="s">
        <v>556</v>
      </c>
      <c r="J1362" t="s">
        <v>3263</v>
      </c>
      <c r="K1362">
        <v>84.7</v>
      </c>
      <c r="L1362" s="1">
        <v>45733</v>
      </c>
      <c r="M1362">
        <f>G1362*IF(D1362="INR",1,INDEX('rates'!$B$2:$B$522,MATCH(B1362,'rates'!$A$2:$A$522,1)))</f>
        <v>6921860.176</v>
      </c>
      <c r="N1362">
        <f t="shared" si="21"/>
        <v>60</v>
      </c>
    </row>
    <row r="1363" spans="1:14" x14ac:dyDescent="0.3">
      <c r="A1363" t="s">
        <v>4627</v>
      </c>
      <c r="B1363" s="1">
        <v>45688</v>
      </c>
      <c r="C1363" t="s">
        <v>560</v>
      </c>
      <c r="D1363" t="s">
        <v>36</v>
      </c>
      <c r="E1363">
        <v>430</v>
      </c>
      <c r="F1363" t="s">
        <v>3262</v>
      </c>
      <c r="G1363">
        <v>32675.7</v>
      </c>
      <c r="H1363" t="s">
        <v>556</v>
      </c>
      <c r="J1363" t="s">
        <v>3263</v>
      </c>
      <c r="K1363">
        <v>75.989999999999995</v>
      </c>
      <c r="L1363" s="1">
        <v>45733</v>
      </c>
      <c r="M1363">
        <f>G1363*IF(D1363="INR",1,INDEX('rates'!$B$2:$B$522,MATCH(B1363,'rates'!$A$2:$A$522,1)))</f>
        <v>2827755.0780000002</v>
      </c>
      <c r="N1363">
        <f t="shared" si="21"/>
        <v>45</v>
      </c>
    </row>
    <row r="1364" spans="1:14" x14ac:dyDescent="0.3">
      <c r="A1364" t="s">
        <v>4629</v>
      </c>
      <c r="B1364" s="1">
        <v>45688</v>
      </c>
      <c r="C1364" t="s">
        <v>558</v>
      </c>
      <c r="D1364" t="s">
        <v>13</v>
      </c>
      <c r="E1364">
        <v>63275</v>
      </c>
      <c r="F1364" t="s">
        <v>3270</v>
      </c>
      <c r="G1364">
        <v>5170200.25</v>
      </c>
      <c r="H1364" t="s">
        <v>556</v>
      </c>
      <c r="J1364" t="s">
        <v>3271</v>
      </c>
      <c r="K1364">
        <v>81.709999999999994</v>
      </c>
      <c r="L1364" s="1">
        <v>45733</v>
      </c>
      <c r="M1364">
        <f>G1364*IF(D1364="INR",1,INDEX('rates'!$B$2:$B$522,MATCH(B1364,'rates'!$A$2:$A$522,1)))</f>
        <v>5170200.25</v>
      </c>
      <c r="N1364">
        <f t="shared" si="21"/>
        <v>45</v>
      </c>
    </row>
    <row r="1365" spans="1:14" x14ac:dyDescent="0.3">
      <c r="A1365" t="s">
        <v>4602</v>
      </c>
      <c r="B1365" s="1">
        <v>45674</v>
      </c>
      <c r="C1365" t="s">
        <v>566</v>
      </c>
      <c r="D1365" t="s">
        <v>36</v>
      </c>
      <c r="E1365">
        <v>193</v>
      </c>
      <c r="F1365" t="s">
        <v>3262</v>
      </c>
      <c r="G1365">
        <v>16217.79</v>
      </c>
      <c r="H1365" t="s">
        <v>573</v>
      </c>
      <c r="I1365">
        <v>74.66</v>
      </c>
      <c r="J1365" t="s">
        <v>3263</v>
      </c>
      <c r="K1365">
        <v>84.03</v>
      </c>
      <c r="L1365" s="1">
        <v>45734</v>
      </c>
      <c r="M1365">
        <f>G1365*IF(D1365="INR",1,INDEX('rates'!$B$2:$B$522,MATCH(B1365,'rates'!$A$2:$A$522,1)))</f>
        <v>1403649.7245</v>
      </c>
      <c r="N1365">
        <f t="shared" si="21"/>
        <v>60</v>
      </c>
    </row>
    <row r="1366" spans="1:14" x14ac:dyDescent="0.3">
      <c r="A1366" t="s">
        <v>4658</v>
      </c>
      <c r="B1366" s="1">
        <v>45705</v>
      </c>
      <c r="C1366" t="s">
        <v>558</v>
      </c>
      <c r="D1366" t="s">
        <v>36</v>
      </c>
      <c r="E1366">
        <v>634</v>
      </c>
      <c r="F1366" t="s">
        <v>3262</v>
      </c>
      <c r="G1366">
        <v>48405.9</v>
      </c>
      <c r="H1366" t="s">
        <v>556</v>
      </c>
      <c r="J1366" t="s">
        <v>3263</v>
      </c>
      <c r="K1366">
        <v>76.349999999999994</v>
      </c>
      <c r="L1366" s="1">
        <v>45735</v>
      </c>
      <c r="M1366">
        <f>G1366*IF(D1366="INR",1,INDEX('rates'!$B$2:$B$522,MATCH(B1366,'rates'!$A$2:$A$522,1)))</f>
        <v>4202600.2379999999</v>
      </c>
      <c r="N1366">
        <f t="shared" si="21"/>
        <v>30</v>
      </c>
    </row>
    <row r="1367" spans="1:14" x14ac:dyDescent="0.3">
      <c r="A1367" t="s">
        <v>4663</v>
      </c>
      <c r="B1367" s="1">
        <v>45706</v>
      </c>
      <c r="C1367" t="s">
        <v>558</v>
      </c>
      <c r="D1367" t="s">
        <v>13</v>
      </c>
      <c r="E1367">
        <v>106552</v>
      </c>
      <c r="F1367" t="s">
        <v>3270</v>
      </c>
      <c r="G1367">
        <v>9395755.3599999994</v>
      </c>
      <c r="H1367" t="s">
        <v>556</v>
      </c>
      <c r="J1367" t="s">
        <v>3271</v>
      </c>
      <c r="K1367">
        <v>88.18</v>
      </c>
      <c r="L1367" s="1">
        <v>45736</v>
      </c>
      <c r="M1367">
        <f>G1367*IF(D1367="INR",1,INDEX('rates'!$B$2:$B$522,MATCH(B1367,'rates'!$A$2:$A$522,1)))</f>
        <v>9395755.3599999994</v>
      </c>
      <c r="N1367">
        <f t="shared" si="21"/>
        <v>30</v>
      </c>
    </row>
    <row r="1368" spans="1:14" x14ac:dyDescent="0.3">
      <c r="A1368" t="s">
        <v>4665</v>
      </c>
      <c r="B1368" s="1">
        <v>45706</v>
      </c>
      <c r="C1368" t="s">
        <v>558</v>
      </c>
      <c r="D1368" t="s">
        <v>36</v>
      </c>
      <c r="E1368">
        <v>522</v>
      </c>
      <c r="F1368" t="s">
        <v>3262</v>
      </c>
      <c r="G1368">
        <v>39718.980000000003</v>
      </c>
      <c r="H1368" t="s">
        <v>556</v>
      </c>
      <c r="J1368" t="s">
        <v>3263</v>
      </c>
      <c r="K1368">
        <v>76.09</v>
      </c>
      <c r="L1368" s="1">
        <v>45736</v>
      </c>
      <c r="M1368">
        <f>G1368*IF(D1368="INR",1,INDEX('rates'!$B$2:$B$522,MATCH(B1368,'rates'!$A$2:$A$522,1)))</f>
        <v>3453962.5008</v>
      </c>
      <c r="N1368">
        <f t="shared" si="21"/>
        <v>30</v>
      </c>
    </row>
    <row r="1369" spans="1:14" x14ac:dyDescent="0.3">
      <c r="A1369" t="s">
        <v>4632</v>
      </c>
      <c r="B1369" s="1">
        <v>45692</v>
      </c>
      <c r="C1369" t="s">
        <v>575</v>
      </c>
      <c r="D1369" t="s">
        <v>36</v>
      </c>
      <c r="E1369">
        <v>802</v>
      </c>
      <c r="F1369" t="s">
        <v>3262</v>
      </c>
      <c r="G1369">
        <v>62163.02</v>
      </c>
      <c r="H1369" t="s">
        <v>573</v>
      </c>
      <c r="I1369">
        <v>77.02</v>
      </c>
      <c r="J1369" t="s">
        <v>3263</v>
      </c>
      <c r="K1369">
        <v>77.510000000000005</v>
      </c>
      <c r="L1369" s="1">
        <v>45737</v>
      </c>
      <c r="M1369">
        <f>G1369*IF(D1369="INR",1,INDEX('rates'!$B$2:$B$522,MATCH(B1369,'rates'!$A$2:$A$522,1)))</f>
        <v>5411912.5212000003</v>
      </c>
      <c r="N1369">
        <f t="shared" si="21"/>
        <v>45</v>
      </c>
    </row>
    <row r="1370" spans="1:14" x14ac:dyDescent="0.3">
      <c r="A1370" t="s">
        <v>4636</v>
      </c>
      <c r="B1370" s="1">
        <v>45693</v>
      </c>
      <c r="C1370" t="s">
        <v>558</v>
      </c>
      <c r="D1370" t="s">
        <v>13</v>
      </c>
      <c r="E1370">
        <v>142849</v>
      </c>
      <c r="F1370" t="s">
        <v>3270</v>
      </c>
      <c r="G1370">
        <v>12089310.869999999</v>
      </c>
      <c r="H1370" t="s">
        <v>556</v>
      </c>
      <c r="J1370" t="s">
        <v>3271</v>
      </c>
      <c r="K1370">
        <v>84.63</v>
      </c>
      <c r="L1370" s="1">
        <v>45738</v>
      </c>
      <c r="M1370">
        <f>G1370*IF(D1370="INR",1,INDEX('rates'!$B$2:$B$522,MATCH(B1370,'rates'!$A$2:$A$522,1)))</f>
        <v>12089310.869999999</v>
      </c>
      <c r="N1370">
        <f t="shared" si="21"/>
        <v>45</v>
      </c>
    </row>
    <row r="1371" spans="1:14" x14ac:dyDescent="0.3">
      <c r="A1371" t="s">
        <v>4667</v>
      </c>
      <c r="B1371" s="1">
        <v>45708</v>
      </c>
      <c r="C1371" t="s">
        <v>560</v>
      </c>
      <c r="D1371" t="s">
        <v>36</v>
      </c>
      <c r="E1371">
        <v>1323</v>
      </c>
      <c r="F1371" t="s">
        <v>3262</v>
      </c>
      <c r="G1371">
        <v>103670.28</v>
      </c>
      <c r="H1371" t="s">
        <v>556</v>
      </c>
      <c r="J1371" t="s">
        <v>3263</v>
      </c>
      <c r="K1371">
        <v>78.36</v>
      </c>
      <c r="L1371" s="1">
        <v>45738</v>
      </c>
      <c r="M1371">
        <f>G1371*IF(D1371="INR",1,INDEX('rates'!$B$2:$B$522,MATCH(B1371,'rates'!$A$2:$A$522,1)))</f>
        <v>8983029.7620000001</v>
      </c>
      <c r="N1371">
        <f t="shared" si="21"/>
        <v>30</v>
      </c>
    </row>
    <row r="1372" spans="1:14" x14ac:dyDescent="0.3">
      <c r="A1372" t="s">
        <v>4669</v>
      </c>
      <c r="B1372" s="1">
        <v>45708</v>
      </c>
      <c r="C1372" t="s">
        <v>575</v>
      </c>
      <c r="D1372" t="s">
        <v>36</v>
      </c>
      <c r="E1372">
        <v>726</v>
      </c>
      <c r="F1372" t="s">
        <v>3262</v>
      </c>
      <c r="G1372">
        <v>56286.78</v>
      </c>
      <c r="H1372" t="s">
        <v>573</v>
      </c>
      <c r="I1372">
        <v>76.7</v>
      </c>
      <c r="J1372" t="s">
        <v>3263</v>
      </c>
      <c r="K1372">
        <v>77.53</v>
      </c>
      <c r="L1372" s="1">
        <v>45738</v>
      </c>
      <c r="M1372">
        <f>G1372*IF(D1372="INR",1,INDEX('rates'!$B$2:$B$522,MATCH(B1372,'rates'!$A$2:$A$522,1)))</f>
        <v>4877249.4870000007</v>
      </c>
      <c r="N1372">
        <f t="shared" si="21"/>
        <v>30</v>
      </c>
    </row>
    <row r="1373" spans="1:14" x14ac:dyDescent="0.3">
      <c r="A1373" t="s">
        <v>4673</v>
      </c>
      <c r="B1373" s="1">
        <v>45709</v>
      </c>
      <c r="C1373" t="s">
        <v>575</v>
      </c>
      <c r="D1373" t="s">
        <v>36</v>
      </c>
      <c r="E1373">
        <v>313</v>
      </c>
      <c r="F1373" t="s">
        <v>3262</v>
      </c>
      <c r="G1373">
        <v>22989.85</v>
      </c>
      <c r="H1373" t="s">
        <v>556</v>
      </c>
      <c r="J1373" t="s">
        <v>3263</v>
      </c>
      <c r="K1373">
        <v>73.45</v>
      </c>
      <c r="L1373" s="1">
        <v>45739</v>
      </c>
      <c r="M1373">
        <f>G1373*IF(D1373="INR",1,INDEX('rates'!$B$2:$B$522,MATCH(B1373,'rates'!$A$2:$A$522,1)))</f>
        <v>1993219.9949999999</v>
      </c>
      <c r="N1373">
        <f t="shared" si="21"/>
        <v>30</v>
      </c>
    </row>
    <row r="1374" spans="1:14" x14ac:dyDescent="0.3">
      <c r="A1374" t="s">
        <v>4675</v>
      </c>
      <c r="B1374" s="1">
        <v>45709</v>
      </c>
      <c r="C1374" t="s">
        <v>566</v>
      </c>
      <c r="D1374" t="s">
        <v>36</v>
      </c>
      <c r="E1374">
        <v>323</v>
      </c>
      <c r="F1374" t="s">
        <v>3262</v>
      </c>
      <c r="G1374">
        <v>24619.06</v>
      </c>
      <c r="H1374" t="s">
        <v>573</v>
      </c>
      <c r="I1374">
        <v>76.7</v>
      </c>
      <c r="J1374" t="s">
        <v>3263</v>
      </c>
      <c r="K1374">
        <v>76.22</v>
      </c>
      <c r="L1374" s="1">
        <v>45739</v>
      </c>
      <c r="M1374">
        <f>G1374*IF(D1374="INR",1,INDEX('rates'!$B$2:$B$522,MATCH(B1374,'rates'!$A$2:$A$522,1)))</f>
        <v>2134472.5020000003</v>
      </c>
      <c r="N1374">
        <f t="shared" si="21"/>
        <v>30</v>
      </c>
    </row>
    <row r="1375" spans="1:14" x14ac:dyDescent="0.3">
      <c r="A1375" t="s">
        <v>4678</v>
      </c>
      <c r="B1375" s="1">
        <v>45709</v>
      </c>
      <c r="C1375" t="s">
        <v>558</v>
      </c>
      <c r="D1375" t="s">
        <v>36</v>
      </c>
      <c r="E1375">
        <v>313</v>
      </c>
      <c r="F1375" t="s">
        <v>3262</v>
      </c>
      <c r="G1375">
        <v>23609.59</v>
      </c>
      <c r="H1375" t="s">
        <v>556</v>
      </c>
      <c r="J1375" t="s">
        <v>3263</v>
      </c>
      <c r="K1375">
        <v>75.430000000000007</v>
      </c>
      <c r="L1375" s="1">
        <v>45739</v>
      </c>
      <c r="M1375">
        <f>G1375*IF(D1375="INR",1,INDEX('rates'!$B$2:$B$522,MATCH(B1375,'rates'!$A$2:$A$522,1)))</f>
        <v>2046951.453</v>
      </c>
      <c r="N1375">
        <f t="shared" si="21"/>
        <v>30</v>
      </c>
    </row>
    <row r="1376" spans="1:14" x14ac:dyDescent="0.3">
      <c r="A1376" t="s">
        <v>4679</v>
      </c>
      <c r="B1376" s="1">
        <v>45709</v>
      </c>
      <c r="C1376" t="s">
        <v>560</v>
      </c>
      <c r="D1376" t="s">
        <v>36</v>
      </c>
      <c r="E1376">
        <v>2606</v>
      </c>
      <c r="F1376" t="s">
        <v>3262</v>
      </c>
      <c r="G1376">
        <v>198889.92</v>
      </c>
      <c r="H1376" t="s">
        <v>573</v>
      </c>
      <c r="I1376">
        <v>76.7</v>
      </c>
      <c r="J1376" t="s">
        <v>3263</v>
      </c>
      <c r="K1376">
        <v>76.319999999999993</v>
      </c>
      <c r="L1376" s="1">
        <v>45739</v>
      </c>
      <c r="M1376">
        <f>G1376*IF(D1376="INR",1,INDEX('rates'!$B$2:$B$522,MATCH(B1376,'rates'!$A$2:$A$522,1)))</f>
        <v>17243756.064000003</v>
      </c>
      <c r="N1376">
        <f t="shared" si="21"/>
        <v>30</v>
      </c>
    </row>
    <row r="1377" spans="1:14" x14ac:dyDescent="0.3">
      <c r="A1377" t="s">
        <v>4640</v>
      </c>
      <c r="B1377" s="1">
        <v>45695</v>
      </c>
      <c r="C1377" t="s">
        <v>554</v>
      </c>
      <c r="D1377" t="s">
        <v>36</v>
      </c>
      <c r="E1377">
        <v>867</v>
      </c>
      <c r="F1377" t="s">
        <v>3262</v>
      </c>
      <c r="G1377">
        <v>65848.649999999994</v>
      </c>
      <c r="H1377" t="s">
        <v>573</v>
      </c>
      <c r="I1377">
        <v>75.64</v>
      </c>
      <c r="J1377" t="s">
        <v>3263</v>
      </c>
      <c r="K1377">
        <v>75.95</v>
      </c>
      <c r="L1377" s="1">
        <v>45740</v>
      </c>
      <c r="M1377">
        <f>G1377*IF(D1377="INR",1,INDEX('rates'!$B$2:$B$522,MATCH(B1377,'rates'!$A$2:$A$522,1)))</f>
        <v>5757147.4694999997</v>
      </c>
      <c r="N1377">
        <f t="shared" si="21"/>
        <v>45</v>
      </c>
    </row>
    <row r="1378" spans="1:14" x14ac:dyDescent="0.3">
      <c r="A1378" t="s">
        <v>4610</v>
      </c>
      <c r="B1378" s="1">
        <v>45681</v>
      </c>
      <c r="C1378" t="s">
        <v>558</v>
      </c>
      <c r="D1378" t="s">
        <v>36</v>
      </c>
      <c r="E1378">
        <v>1161</v>
      </c>
      <c r="F1378" t="s">
        <v>3262</v>
      </c>
      <c r="G1378">
        <v>91277.82</v>
      </c>
      <c r="H1378" t="s">
        <v>573</v>
      </c>
      <c r="I1378">
        <v>77.06</v>
      </c>
      <c r="J1378" t="s">
        <v>3263</v>
      </c>
      <c r="K1378">
        <v>78.62</v>
      </c>
      <c r="L1378" s="1">
        <v>45741</v>
      </c>
      <c r="M1378">
        <f>G1378*IF(D1378="INR",1,INDEX('rates'!$B$2:$B$522,MATCH(B1378,'rates'!$A$2:$A$522,1)))</f>
        <v>7868148.0840000007</v>
      </c>
      <c r="N1378">
        <f t="shared" si="21"/>
        <v>60</v>
      </c>
    </row>
    <row r="1379" spans="1:14" x14ac:dyDescent="0.3">
      <c r="A1379" t="s">
        <v>4612</v>
      </c>
      <c r="B1379" s="1">
        <v>45681</v>
      </c>
      <c r="C1379" t="s">
        <v>566</v>
      </c>
      <c r="D1379" t="s">
        <v>36</v>
      </c>
      <c r="E1379">
        <v>686</v>
      </c>
      <c r="F1379" t="s">
        <v>3262</v>
      </c>
      <c r="G1379">
        <v>54200.86</v>
      </c>
      <c r="H1379" t="s">
        <v>573</v>
      </c>
      <c r="I1379">
        <v>77.06</v>
      </c>
      <c r="J1379" t="s">
        <v>3263</v>
      </c>
      <c r="K1379">
        <v>79.010000000000005</v>
      </c>
      <c r="L1379" s="1">
        <v>45741</v>
      </c>
      <c r="M1379">
        <f>G1379*IF(D1379="INR",1,INDEX('rates'!$B$2:$B$522,MATCH(B1379,'rates'!$A$2:$A$522,1)))</f>
        <v>4672114.1320000002</v>
      </c>
      <c r="N1379">
        <f t="shared" si="21"/>
        <v>60</v>
      </c>
    </row>
    <row r="1380" spans="1:14" x14ac:dyDescent="0.3">
      <c r="A1380" t="s">
        <v>4681</v>
      </c>
      <c r="B1380" s="1">
        <v>45712</v>
      </c>
      <c r="C1380" t="s">
        <v>554</v>
      </c>
      <c r="D1380" t="s">
        <v>36</v>
      </c>
      <c r="E1380">
        <v>665</v>
      </c>
      <c r="F1380" t="s">
        <v>3262</v>
      </c>
      <c r="G1380">
        <v>49848.4</v>
      </c>
      <c r="H1380" t="s">
        <v>573</v>
      </c>
      <c r="I1380">
        <v>73.88</v>
      </c>
      <c r="J1380" t="s">
        <v>3263</v>
      </c>
      <c r="K1380">
        <v>74.959999999999994</v>
      </c>
      <c r="L1380" s="1">
        <v>45742</v>
      </c>
      <c r="M1380">
        <f>G1380*IF(D1380="INR",1,INDEX('rates'!$B$2:$B$522,MATCH(B1380,'rates'!$A$2:$A$522,1)))</f>
        <v>4322853.2479999997</v>
      </c>
      <c r="N1380">
        <f t="shared" si="21"/>
        <v>30</v>
      </c>
    </row>
    <row r="1381" spans="1:14" x14ac:dyDescent="0.3">
      <c r="A1381" t="s">
        <v>4682</v>
      </c>
      <c r="B1381" s="1">
        <v>45712</v>
      </c>
      <c r="C1381" t="s">
        <v>554</v>
      </c>
      <c r="D1381" t="s">
        <v>36</v>
      </c>
      <c r="E1381">
        <v>1411</v>
      </c>
      <c r="F1381" t="s">
        <v>3262</v>
      </c>
      <c r="G1381">
        <v>106403.51</v>
      </c>
      <c r="H1381" t="s">
        <v>556</v>
      </c>
      <c r="J1381" t="s">
        <v>3263</v>
      </c>
      <c r="K1381">
        <v>75.41</v>
      </c>
      <c r="L1381" s="1">
        <v>45742</v>
      </c>
      <c r="M1381">
        <f>G1381*IF(D1381="INR",1,INDEX('rates'!$B$2:$B$522,MATCH(B1381,'rates'!$A$2:$A$522,1)))</f>
        <v>9227312.3871999998</v>
      </c>
      <c r="N1381">
        <f t="shared" si="21"/>
        <v>30</v>
      </c>
    </row>
    <row r="1382" spans="1:14" x14ac:dyDescent="0.3">
      <c r="A1382" t="s">
        <v>4688</v>
      </c>
      <c r="B1382" s="1">
        <v>45714</v>
      </c>
      <c r="C1382" t="s">
        <v>558</v>
      </c>
      <c r="D1382" t="s">
        <v>36</v>
      </c>
      <c r="E1382">
        <v>2537</v>
      </c>
      <c r="F1382" t="s">
        <v>3262</v>
      </c>
      <c r="G1382">
        <v>185556.18</v>
      </c>
      <c r="H1382" t="s">
        <v>556</v>
      </c>
      <c r="J1382" t="s">
        <v>3263</v>
      </c>
      <c r="K1382">
        <v>73.14</v>
      </c>
      <c r="L1382" s="1">
        <v>45744</v>
      </c>
      <c r="M1382">
        <f>G1382*IF(D1382="INR",1,INDEX('rates'!$B$2:$B$522,MATCH(B1382,'rates'!$A$2:$A$522,1)))</f>
        <v>16180498.896</v>
      </c>
      <c r="N1382">
        <f t="shared" si="21"/>
        <v>30</v>
      </c>
    </row>
    <row r="1383" spans="1:14" x14ac:dyDescent="0.3">
      <c r="A1383" t="s">
        <v>4616</v>
      </c>
      <c r="B1383" s="1">
        <v>45685</v>
      </c>
      <c r="C1383" t="s">
        <v>554</v>
      </c>
      <c r="D1383" t="s">
        <v>36</v>
      </c>
      <c r="E1383">
        <v>1368</v>
      </c>
      <c r="F1383" t="s">
        <v>3262</v>
      </c>
      <c r="G1383">
        <v>106156.8</v>
      </c>
      <c r="H1383" t="s">
        <v>556</v>
      </c>
      <c r="J1383" t="s">
        <v>3263</v>
      </c>
      <c r="K1383">
        <v>77.599999999999994</v>
      </c>
      <c r="L1383" s="1">
        <v>45745</v>
      </c>
      <c r="M1383">
        <f>G1383*IF(D1383="INR",1,INDEX('rates'!$B$2:$B$522,MATCH(B1383,'rates'!$A$2:$A$522,1)))</f>
        <v>9184686.3359999992</v>
      </c>
      <c r="N1383">
        <f t="shared" si="21"/>
        <v>60</v>
      </c>
    </row>
    <row r="1384" spans="1:14" x14ac:dyDescent="0.3">
      <c r="A1384" t="s">
        <v>4692</v>
      </c>
      <c r="B1384" s="1">
        <v>45716</v>
      </c>
      <c r="C1384" t="s">
        <v>560</v>
      </c>
      <c r="D1384" t="s">
        <v>36</v>
      </c>
      <c r="E1384">
        <v>265</v>
      </c>
      <c r="F1384" t="s">
        <v>3262</v>
      </c>
      <c r="G1384">
        <v>20034</v>
      </c>
      <c r="H1384" t="s">
        <v>556</v>
      </c>
      <c r="J1384" t="s">
        <v>3263</v>
      </c>
      <c r="K1384">
        <v>75.599999999999994</v>
      </c>
      <c r="L1384" s="1">
        <v>45746</v>
      </c>
      <c r="M1384">
        <f>G1384*IF(D1384="INR",1,INDEX('rates'!$B$2:$B$522,MATCH(B1384,'rates'!$A$2:$A$522,1)))</f>
        <v>1752975</v>
      </c>
      <c r="N1384">
        <f t="shared" si="21"/>
        <v>30</v>
      </c>
    </row>
    <row r="1385" spans="1:14" x14ac:dyDescent="0.3">
      <c r="A1385" t="s">
        <v>4693</v>
      </c>
      <c r="B1385" s="1">
        <v>45716</v>
      </c>
      <c r="C1385" t="s">
        <v>566</v>
      </c>
      <c r="D1385" t="s">
        <v>36</v>
      </c>
      <c r="E1385">
        <v>1173</v>
      </c>
      <c r="F1385" t="s">
        <v>3262</v>
      </c>
      <c r="G1385">
        <v>87834.240000000005</v>
      </c>
      <c r="H1385" t="s">
        <v>556</v>
      </c>
      <c r="J1385" t="s">
        <v>3263</v>
      </c>
      <c r="K1385">
        <v>74.88</v>
      </c>
      <c r="L1385" s="1">
        <v>45746</v>
      </c>
      <c r="M1385">
        <f>G1385*IF(D1385="INR",1,INDEX('rates'!$B$2:$B$522,MATCH(B1385,'rates'!$A$2:$A$522,1)))</f>
        <v>7685496</v>
      </c>
      <c r="N1385">
        <f t="shared" si="21"/>
        <v>30</v>
      </c>
    </row>
    <row r="1386" spans="1:14" x14ac:dyDescent="0.3">
      <c r="A1386" t="s">
        <v>4696</v>
      </c>
      <c r="B1386" s="1">
        <v>45716</v>
      </c>
      <c r="C1386" t="s">
        <v>554</v>
      </c>
      <c r="D1386" t="s">
        <v>36</v>
      </c>
      <c r="E1386">
        <v>2692</v>
      </c>
      <c r="F1386" t="s">
        <v>3262</v>
      </c>
      <c r="G1386">
        <v>200634.76</v>
      </c>
      <c r="H1386" t="s">
        <v>573</v>
      </c>
      <c r="I1386">
        <v>73.040000000000006</v>
      </c>
      <c r="J1386" t="s">
        <v>3263</v>
      </c>
      <c r="K1386">
        <v>74.53</v>
      </c>
      <c r="L1386" s="1">
        <v>45746</v>
      </c>
      <c r="M1386">
        <f>G1386*IF(D1386="INR",1,INDEX('rates'!$B$2:$B$522,MATCH(B1386,'rates'!$A$2:$A$522,1)))</f>
        <v>17555541.5</v>
      </c>
      <c r="N1386">
        <f t="shared" si="21"/>
        <v>30</v>
      </c>
    </row>
    <row r="1387" spans="1:14" x14ac:dyDescent="0.3">
      <c r="A1387" t="s">
        <v>4697</v>
      </c>
      <c r="B1387" s="1">
        <v>45716</v>
      </c>
      <c r="C1387" t="s">
        <v>566</v>
      </c>
      <c r="D1387" t="s">
        <v>36</v>
      </c>
      <c r="E1387">
        <v>551</v>
      </c>
      <c r="F1387" t="s">
        <v>3262</v>
      </c>
      <c r="G1387">
        <v>41291.94</v>
      </c>
      <c r="H1387" t="s">
        <v>573</v>
      </c>
      <c r="I1387">
        <v>73.040000000000006</v>
      </c>
      <c r="J1387" t="s">
        <v>3263</v>
      </c>
      <c r="K1387">
        <v>74.94</v>
      </c>
      <c r="L1387" s="1">
        <v>45746</v>
      </c>
      <c r="M1387">
        <f>G1387*IF(D1387="INR",1,INDEX('rates'!$B$2:$B$522,MATCH(B1387,'rates'!$A$2:$A$522,1)))</f>
        <v>3613044.75</v>
      </c>
      <c r="N1387">
        <f t="shared" si="21"/>
        <v>30</v>
      </c>
    </row>
    <row r="1388" spans="1:14" x14ac:dyDescent="0.3">
      <c r="A1388" t="s">
        <v>4648</v>
      </c>
      <c r="B1388" s="1">
        <v>45702</v>
      </c>
      <c r="C1388" t="s">
        <v>566</v>
      </c>
      <c r="D1388" t="s">
        <v>36</v>
      </c>
      <c r="E1388">
        <v>1167</v>
      </c>
      <c r="F1388" t="s">
        <v>3262</v>
      </c>
      <c r="G1388">
        <v>88411.92</v>
      </c>
      <c r="H1388" t="s">
        <v>573</v>
      </c>
      <c r="I1388">
        <v>72.040000000000006</v>
      </c>
      <c r="J1388" t="s">
        <v>3263</v>
      </c>
      <c r="K1388">
        <v>75.760000000000005</v>
      </c>
      <c r="L1388" s="1">
        <v>45747</v>
      </c>
      <c r="M1388">
        <f>G1388*IF(D1388="INR",1,INDEX('rates'!$B$2:$B$522,MATCH(B1388,'rates'!$A$2:$A$522,1)))</f>
        <v>7675922.8943999996</v>
      </c>
      <c r="N1388">
        <f t="shared" si="21"/>
        <v>45</v>
      </c>
    </row>
    <row r="1389" spans="1:14" x14ac:dyDescent="0.3">
      <c r="A1389" t="s">
        <v>4649</v>
      </c>
      <c r="B1389" s="1">
        <v>45702</v>
      </c>
      <c r="C1389" t="s">
        <v>558</v>
      </c>
      <c r="D1389" t="s">
        <v>36</v>
      </c>
      <c r="E1389">
        <v>470</v>
      </c>
      <c r="F1389" t="s">
        <v>3262</v>
      </c>
      <c r="G1389">
        <v>35668.300000000003</v>
      </c>
      <c r="H1389" t="s">
        <v>556</v>
      </c>
      <c r="J1389" t="s">
        <v>3263</v>
      </c>
      <c r="K1389">
        <v>75.89</v>
      </c>
      <c r="L1389" s="1">
        <v>45747</v>
      </c>
      <c r="M1389">
        <f>G1389*IF(D1389="INR",1,INDEX('rates'!$B$2:$B$522,MATCH(B1389,'rates'!$A$2:$A$522,1)))</f>
        <v>3096721.8059999999</v>
      </c>
      <c r="N1389">
        <f t="shared" si="21"/>
        <v>45</v>
      </c>
    </row>
    <row r="1390" spans="1:14" x14ac:dyDescent="0.3">
      <c r="A1390" t="s">
        <v>4650</v>
      </c>
      <c r="B1390" s="1">
        <v>45702</v>
      </c>
      <c r="C1390" t="s">
        <v>566</v>
      </c>
      <c r="D1390" t="s">
        <v>36</v>
      </c>
      <c r="E1390">
        <v>1480</v>
      </c>
      <c r="F1390" t="s">
        <v>3262</v>
      </c>
      <c r="G1390">
        <v>109490.4</v>
      </c>
      <c r="H1390" t="s">
        <v>556</v>
      </c>
      <c r="J1390" t="s">
        <v>3263</v>
      </c>
      <c r="K1390">
        <v>73.98</v>
      </c>
      <c r="L1390" s="1">
        <v>45747</v>
      </c>
      <c r="M1390">
        <f>G1390*IF(D1390="INR",1,INDEX('rates'!$B$2:$B$522,MATCH(B1390,'rates'!$A$2:$A$522,1)))</f>
        <v>9505956.527999999</v>
      </c>
      <c r="N1390">
        <f t="shared" si="21"/>
        <v>45</v>
      </c>
    </row>
    <row r="1391" spans="1:14" x14ac:dyDescent="0.3">
      <c r="A1391" t="s">
        <v>4620</v>
      </c>
      <c r="B1391" s="1">
        <v>45688</v>
      </c>
      <c r="C1391" t="s">
        <v>554</v>
      </c>
      <c r="D1391" t="s">
        <v>36</v>
      </c>
      <c r="E1391">
        <v>845</v>
      </c>
      <c r="F1391" t="s">
        <v>3262</v>
      </c>
      <c r="G1391">
        <v>65664.95</v>
      </c>
      <c r="H1391" t="s">
        <v>573</v>
      </c>
      <c r="I1391">
        <v>74.7</v>
      </c>
      <c r="J1391" t="s">
        <v>3263</v>
      </c>
      <c r="K1391">
        <v>77.709999999999994</v>
      </c>
      <c r="L1391" s="1">
        <v>45748</v>
      </c>
      <c r="M1391">
        <f>G1391*IF(D1391="INR",1,INDEX('rates'!$B$2:$B$522,MATCH(B1391,'rates'!$A$2:$A$522,1)))</f>
        <v>5682644.773</v>
      </c>
      <c r="N1391">
        <f t="shared" si="21"/>
        <v>60</v>
      </c>
    </row>
    <row r="1392" spans="1:14" x14ac:dyDescent="0.3">
      <c r="A1392" t="s">
        <v>4621</v>
      </c>
      <c r="B1392" s="1">
        <v>45688</v>
      </c>
      <c r="C1392" t="s">
        <v>566</v>
      </c>
      <c r="D1392" t="s">
        <v>36</v>
      </c>
      <c r="E1392">
        <v>2843</v>
      </c>
      <c r="F1392" t="s">
        <v>3262</v>
      </c>
      <c r="G1392">
        <v>224341.13</v>
      </c>
      <c r="H1392" t="s">
        <v>556</v>
      </c>
      <c r="J1392" t="s">
        <v>3263</v>
      </c>
      <c r="K1392">
        <v>78.91</v>
      </c>
      <c r="L1392" s="1">
        <v>45748</v>
      </c>
      <c r="M1392">
        <f>G1392*IF(D1392="INR",1,INDEX('rates'!$B$2:$B$522,MATCH(B1392,'rates'!$A$2:$A$522,1)))</f>
        <v>19414481.3902</v>
      </c>
      <c r="N1392">
        <f t="shared" si="21"/>
        <v>60</v>
      </c>
    </row>
    <row r="1393" spans="1:14" x14ac:dyDescent="0.3">
      <c r="A1393" t="s">
        <v>4622</v>
      </c>
      <c r="B1393" s="1">
        <v>45688</v>
      </c>
      <c r="C1393" t="s">
        <v>575</v>
      </c>
      <c r="D1393" t="s">
        <v>13</v>
      </c>
      <c r="E1393">
        <v>47671</v>
      </c>
      <c r="F1393" t="s">
        <v>3270</v>
      </c>
      <c r="G1393">
        <v>4096369.03</v>
      </c>
      <c r="H1393" t="s">
        <v>556</v>
      </c>
      <c r="J1393" t="s">
        <v>3271</v>
      </c>
      <c r="K1393">
        <v>85.93</v>
      </c>
      <c r="L1393" s="1">
        <v>45748</v>
      </c>
      <c r="M1393">
        <f>G1393*IF(D1393="INR",1,INDEX('rates'!$B$2:$B$522,MATCH(B1393,'rates'!$A$2:$A$522,1)))</f>
        <v>4096369.03</v>
      </c>
      <c r="N1393">
        <f t="shared" si="21"/>
        <v>60</v>
      </c>
    </row>
    <row r="1394" spans="1:14" x14ac:dyDescent="0.3">
      <c r="A1394" t="s">
        <v>4626</v>
      </c>
      <c r="B1394" s="1">
        <v>45688</v>
      </c>
      <c r="C1394" t="s">
        <v>558</v>
      </c>
      <c r="D1394" t="s">
        <v>36</v>
      </c>
      <c r="E1394">
        <v>197</v>
      </c>
      <c r="F1394" t="s">
        <v>3262</v>
      </c>
      <c r="G1394">
        <v>14997.61</v>
      </c>
      <c r="H1394" t="s">
        <v>556</v>
      </c>
      <c r="J1394" t="s">
        <v>3263</v>
      </c>
      <c r="K1394">
        <v>76.13</v>
      </c>
      <c r="L1394" s="1">
        <v>45748</v>
      </c>
      <c r="M1394">
        <f>G1394*IF(D1394="INR",1,INDEX('rates'!$B$2:$B$522,MATCH(B1394,'rates'!$A$2:$A$522,1)))</f>
        <v>1297893.1694000002</v>
      </c>
      <c r="N1394">
        <f t="shared" si="21"/>
        <v>60</v>
      </c>
    </row>
    <row r="1395" spans="1:14" x14ac:dyDescent="0.3">
      <c r="A1395" t="s">
        <v>4628</v>
      </c>
      <c r="B1395" s="1">
        <v>45688</v>
      </c>
      <c r="C1395" t="s">
        <v>566</v>
      </c>
      <c r="D1395" t="s">
        <v>36</v>
      </c>
      <c r="E1395">
        <v>1030</v>
      </c>
      <c r="F1395" t="s">
        <v>3262</v>
      </c>
      <c r="G1395">
        <v>79423.3</v>
      </c>
      <c r="H1395" t="s">
        <v>573</v>
      </c>
      <c r="I1395">
        <v>74.7</v>
      </c>
      <c r="J1395" t="s">
        <v>3263</v>
      </c>
      <c r="K1395">
        <v>77.11</v>
      </c>
      <c r="L1395" s="1">
        <v>45748</v>
      </c>
      <c r="M1395">
        <f>G1395*IF(D1395="INR",1,INDEX('rates'!$B$2:$B$522,MATCH(B1395,'rates'!$A$2:$A$522,1)))</f>
        <v>6873292.3820000011</v>
      </c>
      <c r="N1395">
        <f t="shared" si="21"/>
        <v>60</v>
      </c>
    </row>
    <row r="1396" spans="1:14" x14ac:dyDescent="0.3">
      <c r="A1396" t="s">
        <v>4698</v>
      </c>
      <c r="B1396" s="1">
        <v>45719</v>
      </c>
      <c r="C1396" t="s">
        <v>558</v>
      </c>
      <c r="D1396" t="s">
        <v>36</v>
      </c>
      <c r="E1396">
        <v>1918</v>
      </c>
      <c r="F1396" t="s">
        <v>3262</v>
      </c>
      <c r="G1396">
        <v>138613.85999999999</v>
      </c>
      <c r="H1396" t="s">
        <v>573</v>
      </c>
      <c r="J1396" t="s">
        <v>3263</v>
      </c>
      <c r="K1396">
        <v>72.27</v>
      </c>
      <c r="L1396" s="1">
        <v>45749</v>
      </c>
      <c r="M1396">
        <f>G1396*IF(D1396="INR",1,INDEX('rates'!$B$2:$B$522,MATCH(B1396,'rates'!$A$2:$A$522,1)))</f>
        <v>12107920.670999998</v>
      </c>
      <c r="N1396">
        <f t="shared" si="21"/>
        <v>30</v>
      </c>
    </row>
    <row r="1397" spans="1:14" x14ac:dyDescent="0.3">
      <c r="A1397" t="s">
        <v>4701</v>
      </c>
      <c r="B1397" s="1">
        <v>45720</v>
      </c>
      <c r="C1397" t="s">
        <v>566</v>
      </c>
      <c r="D1397" t="s">
        <v>36</v>
      </c>
      <c r="E1397">
        <v>716</v>
      </c>
      <c r="F1397" t="s">
        <v>3262</v>
      </c>
      <c r="G1397">
        <v>51616.44</v>
      </c>
      <c r="H1397" t="s">
        <v>573</v>
      </c>
      <c r="I1397">
        <v>73.63</v>
      </c>
      <c r="J1397" t="s">
        <v>3263</v>
      </c>
      <c r="K1397">
        <v>72.09</v>
      </c>
      <c r="L1397" s="1">
        <v>45750</v>
      </c>
      <c r="M1397">
        <f>G1397*IF(D1397="INR",1,INDEX('rates'!$B$2:$B$522,MATCH(B1397,'rates'!$A$2:$A$522,1)))</f>
        <v>4504050.5544000007</v>
      </c>
      <c r="N1397">
        <f t="shared" si="21"/>
        <v>30</v>
      </c>
    </row>
    <row r="1398" spans="1:14" x14ac:dyDescent="0.3">
      <c r="A1398" t="s">
        <v>4662</v>
      </c>
      <c r="B1398" s="1">
        <v>45706</v>
      </c>
      <c r="C1398" t="s">
        <v>560</v>
      </c>
      <c r="D1398" t="s">
        <v>36</v>
      </c>
      <c r="E1398">
        <v>437</v>
      </c>
      <c r="F1398" t="s">
        <v>3262</v>
      </c>
      <c r="G1398">
        <v>34601.660000000003</v>
      </c>
      <c r="H1398" t="s">
        <v>556</v>
      </c>
      <c r="J1398" t="s">
        <v>3263</v>
      </c>
      <c r="K1398">
        <v>79.180000000000007</v>
      </c>
      <c r="L1398" s="1">
        <v>45751</v>
      </c>
      <c r="M1398">
        <f>G1398*IF(D1398="INR",1,INDEX('rates'!$B$2:$B$522,MATCH(B1398,'rates'!$A$2:$A$522,1)))</f>
        <v>3008960.3536</v>
      </c>
      <c r="N1398">
        <f t="shared" si="21"/>
        <v>45</v>
      </c>
    </row>
    <row r="1399" spans="1:14" x14ac:dyDescent="0.3">
      <c r="A1399" t="s">
        <v>4664</v>
      </c>
      <c r="B1399" s="1">
        <v>45706</v>
      </c>
      <c r="C1399" t="s">
        <v>560</v>
      </c>
      <c r="D1399" t="s">
        <v>13</v>
      </c>
      <c r="E1399">
        <v>128177</v>
      </c>
      <c r="F1399" t="s">
        <v>3270</v>
      </c>
      <c r="G1399">
        <v>10472060.9</v>
      </c>
      <c r="H1399" t="s">
        <v>556</v>
      </c>
      <c r="J1399" t="s">
        <v>3271</v>
      </c>
      <c r="K1399">
        <v>81.7</v>
      </c>
      <c r="L1399" s="1">
        <v>45751</v>
      </c>
      <c r="M1399">
        <f>G1399*IF(D1399="INR",1,INDEX('rates'!$B$2:$B$522,MATCH(B1399,'rates'!$A$2:$A$522,1)))</f>
        <v>10472060.9</v>
      </c>
      <c r="N1399">
        <f t="shared" si="21"/>
        <v>45</v>
      </c>
    </row>
    <row r="1400" spans="1:14" x14ac:dyDescent="0.3">
      <c r="A1400" t="s">
        <v>4703</v>
      </c>
      <c r="B1400" s="1">
        <v>45721</v>
      </c>
      <c r="C1400" t="s">
        <v>566</v>
      </c>
      <c r="D1400" t="s">
        <v>36</v>
      </c>
      <c r="E1400">
        <v>464</v>
      </c>
      <c r="F1400" t="s">
        <v>3262</v>
      </c>
      <c r="G1400">
        <v>32642.400000000001</v>
      </c>
      <c r="H1400" t="s">
        <v>573</v>
      </c>
      <c r="I1400">
        <v>73.38</v>
      </c>
      <c r="J1400" t="s">
        <v>3263</v>
      </c>
      <c r="K1400">
        <v>70.349999999999994</v>
      </c>
      <c r="L1400" s="1">
        <v>45751</v>
      </c>
      <c r="M1400">
        <f>G1400*IF(D1400="INR",1,INDEX('rates'!$B$2:$B$522,MATCH(B1400,'rates'!$A$2:$A$522,1)))</f>
        <v>2838256.68</v>
      </c>
      <c r="N1400">
        <f t="shared" si="21"/>
        <v>30</v>
      </c>
    </row>
    <row r="1401" spans="1:14" x14ac:dyDescent="0.3">
      <c r="A1401" t="s">
        <v>4635</v>
      </c>
      <c r="B1401" s="1">
        <v>45693</v>
      </c>
      <c r="C1401" t="s">
        <v>566</v>
      </c>
      <c r="D1401" t="s">
        <v>36</v>
      </c>
      <c r="E1401">
        <v>1074</v>
      </c>
      <c r="F1401" t="s">
        <v>3262</v>
      </c>
      <c r="G1401">
        <v>81376.98</v>
      </c>
      <c r="H1401" t="s">
        <v>556</v>
      </c>
      <c r="J1401" t="s">
        <v>3263</v>
      </c>
      <c r="K1401">
        <v>75.77</v>
      </c>
      <c r="L1401" s="1">
        <v>45753</v>
      </c>
      <c r="M1401">
        <f>G1401*IF(D1401="INR",1,INDEX('rates'!$B$2:$B$522,MATCH(B1401,'rates'!$A$2:$A$522,1)))</f>
        <v>7086307.4183999998</v>
      </c>
      <c r="N1401">
        <f t="shared" si="21"/>
        <v>60</v>
      </c>
    </row>
    <row r="1402" spans="1:14" x14ac:dyDescent="0.3">
      <c r="A1402" t="s">
        <v>4707</v>
      </c>
      <c r="B1402" s="1">
        <v>45723</v>
      </c>
      <c r="C1402" t="s">
        <v>558</v>
      </c>
      <c r="D1402" t="s">
        <v>36</v>
      </c>
      <c r="E1402">
        <v>2414</v>
      </c>
      <c r="F1402" t="s">
        <v>3262</v>
      </c>
      <c r="G1402">
        <v>176463.4</v>
      </c>
      <c r="H1402" t="s">
        <v>573</v>
      </c>
      <c r="I1402">
        <v>73.38</v>
      </c>
      <c r="J1402" t="s">
        <v>3263</v>
      </c>
      <c r="K1402">
        <v>73.099999999999994</v>
      </c>
      <c r="L1402" s="1">
        <v>45753</v>
      </c>
      <c r="M1402">
        <f>G1402*IF(D1402="INR",1,INDEX('rates'!$B$2:$B$522,MATCH(B1402,'rates'!$A$2:$A$522,1)))</f>
        <v>15331140.191999998</v>
      </c>
      <c r="N1402">
        <f t="shared" si="21"/>
        <v>30</v>
      </c>
    </row>
    <row r="1403" spans="1:14" x14ac:dyDescent="0.3">
      <c r="A1403" t="s">
        <v>4708</v>
      </c>
      <c r="B1403" s="1">
        <v>45723</v>
      </c>
      <c r="C1403" t="s">
        <v>566</v>
      </c>
      <c r="D1403" t="s">
        <v>13</v>
      </c>
      <c r="E1403">
        <v>143788</v>
      </c>
      <c r="F1403" t="s">
        <v>3270</v>
      </c>
      <c r="G1403">
        <v>13142223.199999999</v>
      </c>
      <c r="H1403" t="s">
        <v>556</v>
      </c>
      <c r="J1403" t="s">
        <v>3271</v>
      </c>
      <c r="K1403">
        <v>91.4</v>
      </c>
      <c r="L1403" s="1">
        <v>45753</v>
      </c>
      <c r="M1403">
        <f>G1403*IF(D1403="INR",1,INDEX('rates'!$B$2:$B$522,MATCH(B1403,'rates'!$A$2:$A$522,1)))</f>
        <v>13142223.199999999</v>
      </c>
      <c r="N1403">
        <f t="shared" si="21"/>
        <v>30</v>
      </c>
    </row>
    <row r="1404" spans="1:14" x14ac:dyDescent="0.3">
      <c r="A1404" t="s">
        <v>4710</v>
      </c>
      <c r="B1404" s="1">
        <v>45723</v>
      </c>
      <c r="C1404" t="s">
        <v>566</v>
      </c>
      <c r="D1404" t="s">
        <v>36</v>
      </c>
      <c r="E1404">
        <v>535</v>
      </c>
      <c r="F1404" t="s">
        <v>3262</v>
      </c>
      <c r="G1404">
        <v>37535.599999999999</v>
      </c>
      <c r="H1404" t="s">
        <v>573</v>
      </c>
      <c r="I1404">
        <v>73.38</v>
      </c>
      <c r="J1404" t="s">
        <v>3263</v>
      </c>
      <c r="K1404">
        <v>70.16</v>
      </c>
      <c r="L1404" s="1">
        <v>45753</v>
      </c>
      <c r="M1404">
        <f>G1404*IF(D1404="INR",1,INDEX('rates'!$B$2:$B$522,MATCH(B1404,'rates'!$A$2:$A$522,1)))</f>
        <v>3261092.9279999998</v>
      </c>
      <c r="N1404">
        <f t="shared" si="21"/>
        <v>30</v>
      </c>
    </row>
    <row r="1405" spans="1:14" x14ac:dyDescent="0.3">
      <c r="A1405" t="s">
        <v>4713</v>
      </c>
      <c r="B1405" s="1">
        <v>45723</v>
      </c>
      <c r="C1405" t="s">
        <v>554</v>
      </c>
      <c r="D1405" t="s">
        <v>36</v>
      </c>
      <c r="E1405">
        <v>1176</v>
      </c>
      <c r="F1405" t="s">
        <v>3262</v>
      </c>
      <c r="G1405">
        <v>81673.2</v>
      </c>
      <c r="H1405" t="s">
        <v>556</v>
      </c>
      <c r="J1405" t="s">
        <v>3263</v>
      </c>
      <c r="K1405">
        <v>69.45</v>
      </c>
      <c r="L1405" s="1">
        <v>45753</v>
      </c>
      <c r="M1405">
        <f>G1405*IF(D1405="INR",1,INDEX('rates'!$B$2:$B$522,MATCH(B1405,'rates'!$A$2:$A$522,1)))</f>
        <v>7095767.6159999995</v>
      </c>
      <c r="N1405">
        <f t="shared" si="21"/>
        <v>30</v>
      </c>
    </row>
    <row r="1406" spans="1:14" x14ac:dyDescent="0.3">
      <c r="A1406" t="s">
        <v>4671</v>
      </c>
      <c r="B1406" s="1">
        <v>45709</v>
      </c>
      <c r="C1406" t="s">
        <v>558</v>
      </c>
      <c r="D1406" t="s">
        <v>13</v>
      </c>
      <c r="E1406">
        <v>119504</v>
      </c>
      <c r="F1406" t="s">
        <v>3270</v>
      </c>
      <c r="G1406">
        <v>12047198.24</v>
      </c>
      <c r="H1406" t="s">
        <v>556</v>
      </c>
      <c r="J1406" t="s">
        <v>3271</v>
      </c>
      <c r="K1406">
        <v>100.81</v>
      </c>
      <c r="L1406" s="1">
        <v>45754</v>
      </c>
      <c r="M1406">
        <f>G1406*IF(D1406="INR",1,INDEX('rates'!$B$2:$B$522,MATCH(B1406,'rates'!$A$2:$A$522,1)))</f>
        <v>12047198.24</v>
      </c>
      <c r="N1406">
        <f t="shared" si="21"/>
        <v>45</v>
      </c>
    </row>
    <row r="1407" spans="1:14" x14ac:dyDescent="0.3">
      <c r="A1407" t="s">
        <v>4672</v>
      </c>
      <c r="B1407" s="1">
        <v>45709</v>
      </c>
      <c r="C1407" t="s">
        <v>566</v>
      </c>
      <c r="D1407" t="s">
        <v>36</v>
      </c>
      <c r="E1407">
        <v>739</v>
      </c>
      <c r="F1407" t="s">
        <v>3262</v>
      </c>
      <c r="G1407">
        <v>55617.14</v>
      </c>
      <c r="H1407" t="s">
        <v>556</v>
      </c>
      <c r="J1407" t="s">
        <v>3263</v>
      </c>
      <c r="K1407">
        <v>75.260000000000005</v>
      </c>
      <c r="L1407" s="1">
        <v>45754</v>
      </c>
      <c r="M1407">
        <f>G1407*IF(D1407="INR",1,INDEX('rates'!$B$2:$B$522,MATCH(B1407,'rates'!$A$2:$A$522,1)))</f>
        <v>4822006.0379999997</v>
      </c>
      <c r="N1407">
        <f t="shared" si="21"/>
        <v>45</v>
      </c>
    </row>
    <row r="1408" spans="1:14" x14ac:dyDescent="0.3">
      <c r="A1408" t="s">
        <v>4676</v>
      </c>
      <c r="B1408" s="1">
        <v>45709</v>
      </c>
      <c r="C1408" t="s">
        <v>560</v>
      </c>
      <c r="D1408" t="s">
        <v>36</v>
      </c>
      <c r="E1408">
        <v>782</v>
      </c>
      <c r="F1408" t="s">
        <v>3262</v>
      </c>
      <c r="G1408">
        <v>58673.46</v>
      </c>
      <c r="H1408" t="s">
        <v>556</v>
      </c>
      <c r="J1408" t="s">
        <v>3263</v>
      </c>
      <c r="K1408">
        <v>75.03</v>
      </c>
      <c r="L1408" s="1">
        <v>45754</v>
      </c>
      <c r="M1408">
        <f>G1408*IF(D1408="INR",1,INDEX('rates'!$B$2:$B$522,MATCH(B1408,'rates'!$A$2:$A$522,1)))</f>
        <v>5086988.9819999998</v>
      </c>
      <c r="N1408">
        <f t="shared" si="21"/>
        <v>45</v>
      </c>
    </row>
    <row r="1409" spans="1:14" x14ac:dyDescent="0.3">
      <c r="A1409" t="s">
        <v>4641</v>
      </c>
      <c r="B1409" s="1">
        <v>45695</v>
      </c>
      <c r="C1409" t="s">
        <v>560</v>
      </c>
      <c r="D1409" t="s">
        <v>36</v>
      </c>
      <c r="E1409">
        <v>541</v>
      </c>
      <c r="F1409" t="s">
        <v>3262</v>
      </c>
      <c r="G1409">
        <v>40758.94</v>
      </c>
      <c r="H1409" t="s">
        <v>556</v>
      </c>
      <c r="J1409" t="s">
        <v>3263</v>
      </c>
      <c r="K1409">
        <v>75.34</v>
      </c>
      <c r="L1409" s="1">
        <v>45755</v>
      </c>
      <c r="M1409">
        <f>G1409*IF(D1409="INR",1,INDEX('rates'!$B$2:$B$522,MATCH(B1409,'rates'!$A$2:$A$522,1)))</f>
        <v>3563554.1242000004</v>
      </c>
      <c r="N1409">
        <f t="shared" si="21"/>
        <v>60</v>
      </c>
    </row>
    <row r="1410" spans="1:14" x14ac:dyDescent="0.3">
      <c r="A1410" t="s">
        <v>4715</v>
      </c>
      <c r="B1410" s="1">
        <v>45727</v>
      </c>
      <c r="C1410" t="s">
        <v>554</v>
      </c>
      <c r="D1410" t="s">
        <v>36</v>
      </c>
      <c r="E1410">
        <v>1181</v>
      </c>
      <c r="F1410" t="s">
        <v>3262</v>
      </c>
      <c r="G1410">
        <v>83591.179999999993</v>
      </c>
      <c r="H1410" t="s">
        <v>573</v>
      </c>
      <c r="I1410">
        <v>75.510000000000005</v>
      </c>
      <c r="J1410" t="s">
        <v>3263</v>
      </c>
      <c r="K1410">
        <v>70.78</v>
      </c>
      <c r="L1410" s="1">
        <v>45757</v>
      </c>
      <c r="M1410">
        <f>G1410*IF(D1410="INR",1,INDEX('rates'!$B$2:$B$522,MATCH(B1410,'rates'!$A$2:$A$522,1)))</f>
        <v>7285807.2487999992</v>
      </c>
      <c r="N1410">
        <f t="shared" ref="N1410:N1473" si="22">IF(L1410="","",L1410-B1410)</f>
        <v>30</v>
      </c>
    </row>
    <row r="1411" spans="1:14" x14ac:dyDescent="0.3">
      <c r="A1411" t="s">
        <v>4644</v>
      </c>
      <c r="B1411" s="1">
        <v>45698</v>
      </c>
      <c r="C1411" t="s">
        <v>558</v>
      </c>
      <c r="D1411" t="s">
        <v>36</v>
      </c>
      <c r="E1411">
        <v>452</v>
      </c>
      <c r="F1411" t="s">
        <v>3262</v>
      </c>
      <c r="G1411">
        <v>35079.72</v>
      </c>
      <c r="H1411" t="s">
        <v>556</v>
      </c>
      <c r="J1411" t="s">
        <v>3263</v>
      </c>
      <c r="K1411">
        <v>77.61</v>
      </c>
      <c r="L1411" s="1">
        <v>45758</v>
      </c>
      <c r="M1411">
        <f>G1411*IF(D1411="INR",1,INDEX('rates'!$B$2:$B$522,MATCH(B1411,'rates'!$A$2:$A$522,1)))</f>
        <v>3067721.5140000004</v>
      </c>
      <c r="N1411">
        <f t="shared" si="22"/>
        <v>60</v>
      </c>
    </row>
    <row r="1412" spans="1:14" x14ac:dyDescent="0.3">
      <c r="A1412" t="s">
        <v>4686</v>
      </c>
      <c r="B1412" s="1">
        <v>45713</v>
      </c>
      <c r="C1412" t="s">
        <v>558</v>
      </c>
      <c r="D1412" t="s">
        <v>36</v>
      </c>
      <c r="E1412">
        <v>855</v>
      </c>
      <c r="F1412" t="s">
        <v>3262</v>
      </c>
      <c r="G1412">
        <v>64013.85</v>
      </c>
      <c r="H1412" t="s">
        <v>556</v>
      </c>
      <c r="J1412" t="s">
        <v>3263</v>
      </c>
      <c r="K1412">
        <v>74.87</v>
      </c>
      <c r="L1412" s="1">
        <v>45758</v>
      </c>
      <c r="M1412">
        <f>G1412*IF(D1412="INR",1,INDEX('rates'!$B$2:$B$522,MATCH(B1412,'rates'!$A$2:$A$522,1)))</f>
        <v>5582007.7199999997</v>
      </c>
      <c r="N1412">
        <f t="shared" si="22"/>
        <v>45</v>
      </c>
    </row>
    <row r="1413" spans="1:14" x14ac:dyDescent="0.3">
      <c r="A1413" t="s">
        <v>4690</v>
      </c>
      <c r="B1413" s="1">
        <v>45715</v>
      </c>
      <c r="C1413" t="s">
        <v>566</v>
      </c>
      <c r="D1413" t="s">
        <v>36</v>
      </c>
      <c r="E1413">
        <v>777</v>
      </c>
      <c r="F1413" t="s">
        <v>3262</v>
      </c>
      <c r="G1413">
        <v>57645.63</v>
      </c>
      <c r="H1413" t="s">
        <v>573</v>
      </c>
      <c r="I1413">
        <v>73.040000000000006</v>
      </c>
      <c r="J1413" t="s">
        <v>3263</v>
      </c>
      <c r="K1413">
        <v>74.19</v>
      </c>
      <c r="L1413" s="1">
        <v>45760</v>
      </c>
      <c r="M1413">
        <f>G1413*IF(D1413="INR",1,INDEX('rates'!$B$2:$B$522,MATCH(B1413,'rates'!$A$2:$A$522,1)))</f>
        <v>5024969.5670999996</v>
      </c>
      <c r="N1413">
        <f t="shared" si="22"/>
        <v>45</v>
      </c>
    </row>
    <row r="1414" spans="1:14" x14ac:dyDescent="0.3">
      <c r="A1414" t="s">
        <v>4718</v>
      </c>
      <c r="B1414" s="1">
        <v>45730</v>
      </c>
      <c r="C1414" t="s">
        <v>566</v>
      </c>
      <c r="D1414" t="s">
        <v>36</v>
      </c>
      <c r="E1414">
        <v>2563</v>
      </c>
      <c r="F1414" t="s">
        <v>3262</v>
      </c>
      <c r="G1414">
        <v>179691.93</v>
      </c>
      <c r="H1414" t="s">
        <v>573</v>
      </c>
      <c r="I1414">
        <v>76.55</v>
      </c>
      <c r="J1414" t="s">
        <v>3263</v>
      </c>
      <c r="K1414">
        <v>70.11</v>
      </c>
      <c r="L1414" s="1">
        <v>45760</v>
      </c>
      <c r="M1414">
        <f>G1414*IF(D1414="INR",1,INDEX('rates'!$B$2:$B$522,MATCH(B1414,'rates'!$A$2:$A$522,1)))</f>
        <v>15633197.91</v>
      </c>
      <c r="N1414">
        <f t="shared" si="22"/>
        <v>30</v>
      </c>
    </row>
    <row r="1415" spans="1:14" x14ac:dyDescent="0.3">
      <c r="A1415" t="s">
        <v>4719</v>
      </c>
      <c r="B1415" s="1">
        <v>45730</v>
      </c>
      <c r="C1415" t="s">
        <v>554</v>
      </c>
      <c r="D1415" t="s">
        <v>13</v>
      </c>
      <c r="E1415">
        <v>84907</v>
      </c>
      <c r="F1415" t="s">
        <v>3270</v>
      </c>
      <c r="G1415">
        <v>7476910.4199999999</v>
      </c>
      <c r="H1415" t="s">
        <v>556</v>
      </c>
      <c r="J1415" t="s">
        <v>3271</v>
      </c>
      <c r="K1415">
        <v>88.06</v>
      </c>
      <c r="L1415" s="1">
        <v>45760</v>
      </c>
      <c r="M1415">
        <f>G1415*IF(D1415="INR",1,INDEX('rates'!$B$2:$B$522,MATCH(B1415,'rates'!$A$2:$A$522,1)))</f>
        <v>7476910.4199999999</v>
      </c>
      <c r="N1415">
        <f t="shared" si="22"/>
        <v>30</v>
      </c>
    </row>
    <row r="1416" spans="1:14" x14ac:dyDescent="0.3">
      <c r="A1416" t="s">
        <v>4720</v>
      </c>
      <c r="B1416" s="1">
        <v>45730</v>
      </c>
      <c r="C1416" t="s">
        <v>560</v>
      </c>
      <c r="D1416" t="s">
        <v>13</v>
      </c>
      <c r="E1416">
        <v>47837</v>
      </c>
      <c r="F1416" t="s">
        <v>3270</v>
      </c>
      <c r="G1416">
        <v>3873840.26</v>
      </c>
      <c r="H1416" t="s">
        <v>556</v>
      </c>
      <c r="J1416" t="s">
        <v>3271</v>
      </c>
      <c r="K1416">
        <v>80.98</v>
      </c>
      <c r="L1416" s="1">
        <v>45760</v>
      </c>
      <c r="M1416">
        <f>G1416*IF(D1416="INR",1,INDEX('rates'!$B$2:$B$522,MATCH(B1416,'rates'!$A$2:$A$522,1)))</f>
        <v>3873840.26</v>
      </c>
      <c r="N1416">
        <f t="shared" si="22"/>
        <v>30</v>
      </c>
    </row>
    <row r="1417" spans="1:14" x14ac:dyDescent="0.3">
      <c r="A1417" t="s">
        <v>4723</v>
      </c>
      <c r="B1417" s="1">
        <v>45730</v>
      </c>
      <c r="C1417" t="s">
        <v>558</v>
      </c>
      <c r="D1417" t="s">
        <v>36</v>
      </c>
      <c r="E1417">
        <v>955</v>
      </c>
      <c r="F1417" t="s">
        <v>3262</v>
      </c>
      <c r="G1417">
        <v>67910.05</v>
      </c>
      <c r="H1417" t="s">
        <v>556</v>
      </c>
      <c r="J1417" t="s">
        <v>3263</v>
      </c>
      <c r="K1417">
        <v>71.11</v>
      </c>
      <c r="L1417" s="1">
        <v>45760</v>
      </c>
      <c r="M1417">
        <f>G1417*IF(D1417="INR",1,INDEX('rates'!$B$2:$B$522,MATCH(B1417,'rates'!$A$2:$A$522,1)))</f>
        <v>5908174.3500000006</v>
      </c>
      <c r="N1417">
        <f t="shared" si="22"/>
        <v>30</v>
      </c>
    </row>
    <row r="1418" spans="1:14" x14ac:dyDescent="0.3">
      <c r="A1418" t="s">
        <v>4726</v>
      </c>
      <c r="B1418" s="1">
        <v>45730</v>
      </c>
      <c r="C1418" t="s">
        <v>575</v>
      </c>
      <c r="D1418" t="s">
        <v>13</v>
      </c>
      <c r="E1418">
        <v>54540</v>
      </c>
      <c r="F1418" t="s">
        <v>3270</v>
      </c>
      <c r="G1418">
        <v>5068402.2</v>
      </c>
      <c r="H1418" t="s">
        <v>556</v>
      </c>
      <c r="J1418" t="s">
        <v>3271</v>
      </c>
      <c r="K1418">
        <v>92.93</v>
      </c>
      <c r="L1418" s="1">
        <v>45760</v>
      </c>
      <c r="M1418">
        <f>G1418*IF(D1418="INR",1,INDEX('rates'!$B$2:$B$522,MATCH(B1418,'rates'!$A$2:$A$522,1)))</f>
        <v>5068402.2</v>
      </c>
      <c r="N1418">
        <f t="shared" si="22"/>
        <v>30</v>
      </c>
    </row>
    <row r="1419" spans="1:14" x14ac:dyDescent="0.3">
      <c r="A1419" t="s">
        <v>4729</v>
      </c>
      <c r="B1419" s="1">
        <v>45730</v>
      </c>
      <c r="C1419" t="s">
        <v>566</v>
      </c>
      <c r="D1419" t="s">
        <v>36</v>
      </c>
      <c r="E1419">
        <v>1505</v>
      </c>
      <c r="F1419" t="s">
        <v>3262</v>
      </c>
      <c r="G1419">
        <v>104778.1</v>
      </c>
      <c r="H1419" t="s">
        <v>573</v>
      </c>
      <c r="I1419">
        <v>76.55</v>
      </c>
      <c r="J1419" t="s">
        <v>3263</v>
      </c>
      <c r="K1419">
        <v>69.62</v>
      </c>
      <c r="L1419" s="1">
        <v>45760</v>
      </c>
      <c r="M1419">
        <f>G1419*IF(D1419="INR",1,INDEX('rates'!$B$2:$B$522,MATCH(B1419,'rates'!$A$2:$A$522,1)))</f>
        <v>9115694.7000000011</v>
      </c>
      <c r="N1419">
        <f t="shared" si="22"/>
        <v>30</v>
      </c>
    </row>
    <row r="1420" spans="1:14" x14ac:dyDescent="0.3">
      <c r="A1420" t="s">
        <v>4645</v>
      </c>
      <c r="B1420" s="1">
        <v>45701</v>
      </c>
      <c r="C1420" t="s">
        <v>575</v>
      </c>
      <c r="D1420" t="s">
        <v>36</v>
      </c>
      <c r="E1420">
        <v>515</v>
      </c>
      <c r="F1420" t="s">
        <v>3262</v>
      </c>
      <c r="G1420">
        <v>39572.6</v>
      </c>
      <c r="H1420" t="s">
        <v>573</v>
      </c>
      <c r="I1420">
        <v>72.040000000000006</v>
      </c>
      <c r="J1420" t="s">
        <v>3263</v>
      </c>
      <c r="K1420">
        <v>76.84</v>
      </c>
      <c r="L1420" s="1">
        <v>45761</v>
      </c>
      <c r="M1420">
        <f>G1420*IF(D1420="INR",1,INDEX('rates'!$B$2:$B$522,MATCH(B1420,'rates'!$A$2:$A$522,1)))</f>
        <v>3438463.2139999997</v>
      </c>
      <c r="N1420">
        <f t="shared" si="22"/>
        <v>60</v>
      </c>
    </row>
    <row r="1421" spans="1:14" x14ac:dyDescent="0.3">
      <c r="A1421" t="s">
        <v>4646</v>
      </c>
      <c r="B1421" s="1">
        <v>45701</v>
      </c>
      <c r="C1421" t="s">
        <v>575</v>
      </c>
      <c r="D1421" t="s">
        <v>13</v>
      </c>
      <c r="E1421">
        <v>24778</v>
      </c>
      <c r="F1421" t="s">
        <v>3270</v>
      </c>
      <c r="G1421">
        <v>2265452.54</v>
      </c>
      <c r="H1421" t="s">
        <v>556</v>
      </c>
      <c r="J1421" t="s">
        <v>3271</v>
      </c>
      <c r="K1421">
        <v>91.43</v>
      </c>
      <c r="L1421" s="1">
        <v>45761</v>
      </c>
      <c r="M1421">
        <f>G1421*IF(D1421="INR",1,INDEX('rates'!$B$2:$B$522,MATCH(B1421,'rates'!$A$2:$A$522,1)))</f>
        <v>2265452.54</v>
      </c>
      <c r="N1421">
        <f t="shared" si="22"/>
        <v>60</v>
      </c>
    </row>
    <row r="1422" spans="1:14" x14ac:dyDescent="0.3">
      <c r="A1422" t="s">
        <v>4647</v>
      </c>
      <c r="B1422" s="1">
        <v>45701</v>
      </c>
      <c r="C1422" t="s">
        <v>558</v>
      </c>
      <c r="D1422" t="s">
        <v>36</v>
      </c>
      <c r="E1422">
        <v>1124</v>
      </c>
      <c r="F1422" t="s">
        <v>3262</v>
      </c>
      <c r="G1422">
        <v>85468.96</v>
      </c>
      <c r="H1422" t="s">
        <v>556</v>
      </c>
      <c r="J1422" t="s">
        <v>3263</v>
      </c>
      <c r="K1422">
        <v>76.040000000000006</v>
      </c>
      <c r="L1422" s="1">
        <v>45761</v>
      </c>
      <c r="M1422">
        <f>G1422*IF(D1422="INR",1,INDEX('rates'!$B$2:$B$522,MATCH(B1422,'rates'!$A$2:$A$522,1)))</f>
        <v>7426397.9344000006</v>
      </c>
      <c r="N1422">
        <f t="shared" si="22"/>
        <v>60</v>
      </c>
    </row>
    <row r="1423" spans="1:14" x14ac:dyDescent="0.3">
      <c r="A1423" t="s">
        <v>4694</v>
      </c>
      <c r="B1423" s="1">
        <v>45716</v>
      </c>
      <c r="C1423" t="s">
        <v>575</v>
      </c>
      <c r="D1423" t="s">
        <v>36</v>
      </c>
      <c r="E1423">
        <v>1663</v>
      </c>
      <c r="F1423" t="s">
        <v>3262</v>
      </c>
      <c r="G1423">
        <v>119869.04</v>
      </c>
      <c r="H1423" t="s">
        <v>573</v>
      </c>
      <c r="I1423">
        <v>73.040000000000006</v>
      </c>
      <c r="J1423" t="s">
        <v>3263</v>
      </c>
      <c r="K1423">
        <v>72.08</v>
      </c>
      <c r="L1423" s="1">
        <v>45761</v>
      </c>
      <c r="M1423">
        <f>G1423*IF(D1423="INR",1,INDEX('rates'!$B$2:$B$522,MATCH(B1423,'rates'!$A$2:$A$522,1)))</f>
        <v>10488541</v>
      </c>
      <c r="N1423">
        <f t="shared" si="22"/>
        <v>45</v>
      </c>
    </row>
    <row r="1424" spans="1:14" x14ac:dyDescent="0.3">
      <c r="A1424" t="s">
        <v>4651</v>
      </c>
      <c r="B1424" s="1">
        <v>45702</v>
      </c>
      <c r="C1424" t="s">
        <v>560</v>
      </c>
      <c r="D1424" t="s">
        <v>36</v>
      </c>
      <c r="E1424">
        <v>547</v>
      </c>
      <c r="F1424" t="s">
        <v>3262</v>
      </c>
      <c r="G1424">
        <v>41621.230000000003</v>
      </c>
      <c r="H1424" t="s">
        <v>556</v>
      </c>
      <c r="J1424" t="s">
        <v>3263</v>
      </c>
      <c r="K1424">
        <v>76.09</v>
      </c>
      <c r="L1424" s="1">
        <v>45762</v>
      </c>
      <c r="M1424">
        <f>G1424*IF(D1424="INR",1,INDEX('rates'!$B$2:$B$522,MATCH(B1424,'rates'!$A$2:$A$522,1)))</f>
        <v>3613555.1886</v>
      </c>
      <c r="N1424">
        <f t="shared" si="22"/>
        <v>60</v>
      </c>
    </row>
    <row r="1425" spans="1:14" x14ac:dyDescent="0.3">
      <c r="A1425" t="s">
        <v>4652</v>
      </c>
      <c r="B1425" s="1">
        <v>45702</v>
      </c>
      <c r="C1425" t="s">
        <v>566</v>
      </c>
      <c r="D1425" t="s">
        <v>13</v>
      </c>
      <c r="E1425">
        <v>55972</v>
      </c>
      <c r="F1425" t="s">
        <v>3270</v>
      </c>
      <c r="G1425">
        <v>4951842.84</v>
      </c>
      <c r="H1425" t="s">
        <v>556</v>
      </c>
      <c r="J1425" t="s">
        <v>3271</v>
      </c>
      <c r="K1425">
        <v>88.47</v>
      </c>
      <c r="L1425" s="1">
        <v>45762</v>
      </c>
      <c r="M1425">
        <f>G1425*IF(D1425="INR",1,INDEX('rates'!$B$2:$B$522,MATCH(B1425,'rates'!$A$2:$A$522,1)))</f>
        <v>4951842.84</v>
      </c>
      <c r="N1425">
        <f t="shared" si="22"/>
        <v>60</v>
      </c>
    </row>
    <row r="1426" spans="1:14" x14ac:dyDescent="0.3">
      <c r="A1426" t="s">
        <v>4656</v>
      </c>
      <c r="B1426" s="1">
        <v>45702</v>
      </c>
      <c r="C1426" t="s">
        <v>566</v>
      </c>
      <c r="D1426" t="s">
        <v>36</v>
      </c>
      <c r="E1426">
        <v>1164</v>
      </c>
      <c r="F1426" t="s">
        <v>3262</v>
      </c>
      <c r="G1426">
        <v>86205.84</v>
      </c>
      <c r="H1426" t="s">
        <v>573</v>
      </c>
      <c r="I1426">
        <v>72.040000000000006</v>
      </c>
      <c r="J1426" t="s">
        <v>3263</v>
      </c>
      <c r="K1426">
        <v>74.06</v>
      </c>
      <c r="L1426" s="1">
        <v>45762</v>
      </c>
      <c r="M1426">
        <f>G1426*IF(D1426="INR",1,INDEX('rates'!$B$2:$B$522,MATCH(B1426,'rates'!$A$2:$A$522,1)))</f>
        <v>7484391.0287999995</v>
      </c>
      <c r="N1426">
        <f t="shared" si="22"/>
        <v>60</v>
      </c>
    </row>
    <row r="1427" spans="1:14" x14ac:dyDescent="0.3">
      <c r="A1427" t="s">
        <v>4731</v>
      </c>
      <c r="B1427" s="1">
        <v>45734</v>
      </c>
      <c r="C1427" t="s">
        <v>566</v>
      </c>
      <c r="D1427" t="s">
        <v>36</v>
      </c>
      <c r="E1427">
        <v>139</v>
      </c>
      <c r="F1427" t="s">
        <v>3262</v>
      </c>
      <c r="G1427">
        <v>9867.61</v>
      </c>
      <c r="H1427" t="s">
        <v>573</v>
      </c>
      <c r="I1427">
        <v>75.760000000000005</v>
      </c>
      <c r="J1427" t="s">
        <v>3263</v>
      </c>
      <c r="K1427">
        <v>70.989999999999995</v>
      </c>
      <c r="L1427" s="1">
        <v>45764</v>
      </c>
      <c r="M1427">
        <f>G1427*IF(D1427="INR",1,INDEX('rates'!$B$2:$B$522,MATCH(B1427,'rates'!$A$2:$A$522,1)))</f>
        <v>853548.26500000001</v>
      </c>
      <c r="N1427">
        <f t="shared" si="22"/>
        <v>30</v>
      </c>
    </row>
    <row r="1428" spans="1:14" x14ac:dyDescent="0.3">
      <c r="A1428" t="s">
        <v>4657</v>
      </c>
      <c r="B1428" s="1">
        <v>45705</v>
      </c>
      <c r="C1428" t="s">
        <v>575</v>
      </c>
      <c r="D1428" t="s">
        <v>13</v>
      </c>
      <c r="E1428">
        <v>62616</v>
      </c>
      <c r="F1428" t="s">
        <v>3270</v>
      </c>
      <c r="G1428">
        <v>5872128.4800000004</v>
      </c>
      <c r="H1428" t="s">
        <v>556</v>
      </c>
      <c r="J1428" t="s">
        <v>3271</v>
      </c>
      <c r="K1428">
        <v>93.78</v>
      </c>
      <c r="L1428" s="1">
        <v>45765</v>
      </c>
      <c r="M1428">
        <f>G1428*IF(D1428="INR",1,INDEX('rates'!$B$2:$B$522,MATCH(B1428,'rates'!$A$2:$A$522,1)))</f>
        <v>5872128.4800000004</v>
      </c>
      <c r="N1428">
        <f t="shared" si="22"/>
        <v>60</v>
      </c>
    </row>
    <row r="1429" spans="1:14" x14ac:dyDescent="0.3">
      <c r="A1429" t="s">
        <v>4659</v>
      </c>
      <c r="B1429" s="1">
        <v>45705</v>
      </c>
      <c r="C1429" t="s">
        <v>558</v>
      </c>
      <c r="D1429" t="s">
        <v>36</v>
      </c>
      <c r="E1429">
        <v>1354</v>
      </c>
      <c r="F1429" t="s">
        <v>3262</v>
      </c>
      <c r="G1429">
        <v>105151.64</v>
      </c>
      <c r="H1429" t="s">
        <v>556</v>
      </c>
      <c r="J1429" t="s">
        <v>3263</v>
      </c>
      <c r="K1429">
        <v>77.66</v>
      </c>
      <c r="L1429" s="1">
        <v>45765</v>
      </c>
      <c r="M1429">
        <f>G1429*IF(D1429="INR",1,INDEX('rates'!$B$2:$B$522,MATCH(B1429,'rates'!$A$2:$A$522,1)))</f>
        <v>9129265.3848000001</v>
      </c>
      <c r="N1429">
        <f t="shared" si="22"/>
        <v>60</v>
      </c>
    </row>
    <row r="1430" spans="1:14" x14ac:dyDescent="0.3">
      <c r="A1430" t="s">
        <v>4702</v>
      </c>
      <c r="B1430" s="1">
        <v>45720</v>
      </c>
      <c r="C1430" t="s">
        <v>566</v>
      </c>
      <c r="D1430" t="s">
        <v>36</v>
      </c>
      <c r="E1430">
        <v>1001</v>
      </c>
      <c r="F1430" t="s">
        <v>3262</v>
      </c>
      <c r="G1430">
        <v>72982.91</v>
      </c>
      <c r="H1430" t="s">
        <v>573</v>
      </c>
      <c r="I1430">
        <v>73.63</v>
      </c>
      <c r="J1430" t="s">
        <v>3263</v>
      </c>
      <c r="K1430">
        <v>72.91</v>
      </c>
      <c r="L1430" s="1">
        <v>45765</v>
      </c>
      <c r="M1430">
        <f>G1430*IF(D1430="INR",1,INDEX('rates'!$B$2:$B$522,MATCH(B1430,'rates'!$A$2:$A$522,1)))</f>
        <v>6368488.7266000006</v>
      </c>
      <c r="N1430">
        <f t="shared" si="22"/>
        <v>45</v>
      </c>
    </row>
    <row r="1431" spans="1:14" x14ac:dyDescent="0.3">
      <c r="A1431" t="s">
        <v>4660</v>
      </c>
      <c r="B1431" s="1">
        <v>45706</v>
      </c>
      <c r="C1431" t="s">
        <v>566</v>
      </c>
      <c r="D1431" t="s">
        <v>36</v>
      </c>
      <c r="E1431">
        <v>1465</v>
      </c>
      <c r="F1431" t="s">
        <v>3262</v>
      </c>
      <c r="G1431">
        <v>110373.1</v>
      </c>
      <c r="H1431" t="s">
        <v>573</v>
      </c>
      <c r="I1431">
        <v>74.099999999999994</v>
      </c>
      <c r="J1431" t="s">
        <v>3263</v>
      </c>
      <c r="K1431">
        <v>75.34</v>
      </c>
      <c r="L1431" s="1">
        <v>45766</v>
      </c>
      <c r="M1431">
        <f>G1431*IF(D1431="INR",1,INDEX('rates'!$B$2:$B$522,MATCH(B1431,'rates'!$A$2:$A$522,1)))</f>
        <v>9598044.7760000005</v>
      </c>
      <c r="N1431">
        <f t="shared" si="22"/>
        <v>60</v>
      </c>
    </row>
    <row r="1432" spans="1:14" x14ac:dyDescent="0.3">
      <c r="A1432" t="s">
        <v>4661</v>
      </c>
      <c r="B1432" s="1">
        <v>45706</v>
      </c>
      <c r="C1432" t="s">
        <v>554</v>
      </c>
      <c r="D1432" t="s">
        <v>36</v>
      </c>
      <c r="E1432">
        <v>895</v>
      </c>
      <c r="F1432" t="s">
        <v>3262</v>
      </c>
      <c r="G1432">
        <v>69174.55</v>
      </c>
      <c r="H1432" t="s">
        <v>556</v>
      </c>
      <c r="J1432" t="s">
        <v>3263</v>
      </c>
      <c r="K1432">
        <v>77.290000000000006</v>
      </c>
      <c r="L1432" s="1">
        <v>45766</v>
      </c>
      <c r="M1432">
        <f>G1432*IF(D1432="INR",1,INDEX('rates'!$B$2:$B$522,MATCH(B1432,'rates'!$A$2:$A$522,1)))</f>
        <v>6015418.8679999998</v>
      </c>
      <c r="N1432">
        <f t="shared" si="22"/>
        <v>60</v>
      </c>
    </row>
    <row r="1433" spans="1:14" x14ac:dyDescent="0.3">
      <c r="A1433" t="s">
        <v>4704</v>
      </c>
      <c r="B1433" s="1">
        <v>45721</v>
      </c>
      <c r="C1433" t="s">
        <v>558</v>
      </c>
      <c r="D1433" t="s">
        <v>36</v>
      </c>
      <c r="E1433">
        <v>202</v>
      </c>
      <c r="F1433" t="s">
        <v>3262</v>
      </c>
      <c r="G1433">
        <v>14234.94</v>
      </c>
      <c r="H1433" t="s">
        <v>556</v>
      </c>
      <c r="J1433" t="s">
        <v>3263</v>
      </c>
      <c r="K1433">
        <v>70.47</v>
      </c>
      <c r="L1433" s="1">
        <v>45766</v>
      </c>
      <c r="M1433">
        <f>G1433*IF(D1433="INR",1,INDEX('rates'!$B$2:$B$522,MATCH(B1433,'rates'!$A$2:$A$522,1)))</f>
        <v>1237728.0330000001</v>
      </c>
      <c r="N1433">
        <f t="shared" si="22"/>
        <v>45</v>
      </c>
    </row>
    <row r="1434" spans="1:14" x14ac:dyDescent="0.3">
      <c r="A1434" t="s">
        <v>4705</v>
      </c>
      <c r="B1434" s="1">
        <v>45721</v>
      </c>
      <c r="C1434" t="s">
        <v>566</v>
      </c>
      <c r="D1434" t="s">
        <v>36</v>
      </c>
      <c r="E1434">
        <v>488</v>
      </c>
      <c r="F1434" t="s">
        <v>3262</v>
      </c>
      <c r="G1434">
        <v>35014</v>
      </c>
      <c r="H1434" t="s">
        <v>573</v>
      </c>
      <c r="I1434">
        <v>73.38</v>
      </c>
      <c r="J1434" t="s">
        <v>3263</v>
      </c>
      <c r="K1434">
        <v>71.75</v>
      </c>
      <c r="L1434" s="1">
        <v>45766</v>
      </c>
      <c r="M1434">
        <f>G1434*IF(D1434="INR",1,INDEX('rates'!$B$2:$B$522,MATCH(B1434,'rates'!$A$2:$A$522,1)))</f>
        <v>3044467.3000000003</v>
      </c>
      <c r="N1434">
        <f t="shared" si="22"/>
        <v>45</v>
      </c>
    </row>
    <row r="1435" spans="1:14" x14ac:dyDescent="0.3">
      <c r="A1435" t="s">
        <v>4737</v>
      </c>
      <c r="B1435" s="1">
        <v>45736</v>
      </c>
      <c r="C1435" t="s">
        <v>560</v>
      </c>
      <c r="D1435" t="s">
        <v>36</v>
      </c>
      <c r="E1435">
        <v>415</v>
      </c>
      <c r="F1435" t="s">
        <v>3262</v>
      </c>
      <c r="G1435">
        <v>30195.4</v>
      </c>
      <c r="H1435" t="s">
        <v>573</v>
      </c>
      <c r="I1435">
        <v>74.59</v>
      </c>
      <c r="J1435" t="s">
        <v>3263</v>
      </c>
      <c r="K1435">
        <v>72.760000000000005</v>
      </c>
      <c r="L1435" s="1">
        <v>45766</v>
      </c>
      <c r="M1435">
        <f>G1435*IF(D1435="INR",1,INDEX('rates'!$B$2:$B$522,MATCH(B1435,'rates'!$A$2:$A$522,1)))</f>
        <v>2606164.9740000004</v>
      </c>
      <c r="N1435">
        <f t="shared" si="22"/>
        <v>30</v>
      </c>
    </row>
    <row r="1436" spans="1:14" x14ac:dyDescent="0.3">
      <c r="A1436" t="s">
        <v>4666</v>
      </c>
      <c r="B1436" s="1">
        <v>45707</v>
      </c>
      <c r="C1436" t="s">
        <v>558</v>
      </c>
      <c r="D1436" t="s">
        <v>36</v>
      </c>
      <c r="E1436">
        <v>506</v>
      </c>
      <c r="F1436" t="s">
        <v>3262</v>
      </c>
      <c r="G1436">
        <v>38481.300000000003</v>
      </c>
      <c r="H1436" t="s">
        <v>556</v>
      </c>
      <c r="J1436" t="s">
        <v>3263</v>
      </c>
      <c r="K1436">
        <v>76.05</v>
      </c>
      <c r="L1436" s="1">
        <v>45767</v>
      </c>
      <c r="M1436">
        <f>G1436*IF(D1436="INR",1,INDEX('rates'!$B$2:$B$522,MATCH(B1436,'rates'!$A$2:$A$522,1)))</f>
        <v>3346333.8480000002</v>
      </c>
      <c r="N1436">
        <f t="shared" si="22"/>
        <v>60</v>
      </c>
    </row>
    <row r="1437" spans="1:14" x14ac:dyDescent="0.3">
      <c r="A1437" t="s">
        <v>4740</v>
      </c>
      <c r="B1437" s="1">
        <v>45737</v>
      </c>
      <c r="C1437" t="s">
        <v>560</v>
      </c>
      <c r="D1437" t="s">
        <v>13</v>
      </c>
      <c r="E1437">
        <v>50790</v>
      </c>
      <c r="F1437" t="s">
        <v>3270</v>
      </c>
      <c r="G1437">
        <v>5088650.0999999996</v>
      </c>
      <c r="H1437" t="s">
        <v>556</v>
      </c>
      <c r="J1437" t="s">
        <v>3271</v>
      </c>
      <c r="K1437">
        <v>100.19</v>
      </c>
      <c r="L1437" s="1">
        <v>45767</v>
      </c>
      <c r="M1437">
        <f>G1437*IF(D1437="INR",1,INDEX('rates'!$B$2:$B$522,MATCH(B1437,'rates'!$A$2:$A$522,1)))</f>
        <v>5088650.0999999996</v>
      </c>
      <c r="N1437">
        <f t="shared" si="22"/>
        <v>30</v>
      </c>
    </row>
    <row r="1438" spans="1:14" x14ac:dyDescent="0.3">
      <c r="A1438" t="s">
        <v>4742</v>
      </c>
      <c r="B1438" s="1">
        <v>45737</v>
      </c>
      <c r="C1438" t="s">
        <v>566</v>
      </c>
      <c r="D1438" t="s">
        <v>36</v>
      </c>
      <c r="E1438">
        <v>224</v>
      </c>
      <c r="F1438" t="s">
        <v>3262</v>
      </c>
      <c r="G1438">
        <v>16313.92</v>
      </c>
      <c r="H1438" t="s">
        <v>573</v>
      </c>
      <c r="I1438">
        <v>74.59</v>
      </c>
      <c r="J1438" t="s">
        <v>3263</v>
      </c>
      <c r="K1438">
        <v>72.83</v>
      </c>
      <c r="L1438" s="1">
        <v>45767</v>
      </c>
      <c r="M1438">
        <f>G1438*IF(D1438="INR",1,INDEX('rates'!$B$2:$B$522,MATCH(B1438,'rates'!$A$2:$A$522,1)))</f>
        <v>1403160.2592000002</v>
      </c>
      <c r="N1438">
        <f t="shared" si="22"/>
        <v>30</v>
      </c>
    </row>
    <row r="1439" spans="1:14" x14ac:dyDescent="0.3">
      <c r="A1439" t="s">
        <v>4668</v>
      </c>
      <c r="B1439" s="1">
        <v>45708</v>
      </c>
      <c r="C1439" t="s">
        <v>558</v>
      </c>
      <c r="D1439" t="s">
        <v>36</v>
      </c>
      <c r="E1439">
        <v>546</v>
      </c>
      <c r="F1439" t="s">
        <v>3262</v>
      </c>
      <c r="G1439">
        <v>41692.559999999998</v>
      </c>
      <c r="H1439" t="s">
        <v>556</v>
      </c>
      <c r="J1439" t="s">
        <v>3263</v>
      </c>
      <c r="K1439">
        <v>76.36</v>
      </c>
      <c r="L1439" s="1">
        <v>45768</v>
      </c>
      <c r="M1439">
        <f>G1439*IF(D1439="INR",1,INDEX('rates'!$B$2:$B$522,MATCH(B1439,'rates'!$A$2:$A$522,1)))</f>
        <v>3612660.324</v>
      </c>
      <c r="N1439">
        <f t="shared" si="22"/>
        <v>60</v>
      </c>
    </row>
    <row r="1440" spans="1:14" x14ac:dyDescent="0.3">
      <c r="A1440" t="s">
        <v>4670</v>
      </c>
      <c r="B1440" s="1">
        <v>45708</v>
      </c>
      <c r="C1440" t="s">
        <v>566</v>
      </c>
      <c r="D1440" t="s">
        <v>36</v>
      </c>
      <c r="E1440">
        <v>730</v>
      </c>
      <c r="F1440" t="s">
        <v>3262</v>
      </c>
      <c r="G1440">
        <v>57407.199999999997</v>
      </c>
      <c r="H1440" t="s">
        <v>573</v>
      </c>
      <c r="I1440">
        <v>76.7</v>
      </c>
      <c r="J1440" t="s">
        <v>3263</v>
      </c>
      <c r="K1440">
        <v>78.64</v>
      </c>
      <c r="L1440" s="1">
        <v>45768</v>
      </c>
      <c r="M1440">
        <f>G1440*IF(D1440="INR",1,INDEX('rates'!$B$2:$B$522,MATCH(B1440,'rates'!$A$2:$A$522,1)))</f>
        <v>4974333.88</v>
      </c>
      <c r="N1440">
        <f t="shared" si="22"/>
        <v>60</v>
      </c>
    </row>
    <row r="1441" spans="1:14" x14ac:dyDescent="0.3">
      <c r="A1441" t="s">
        <v>4711</v>
      </c>
      <c r="B1441" s="1">
        <v>45723</v>
      </c>
      <c r="C1441" t="s">
        <v>575</v>
      </c>
      <c r="D1441" t="s">
        <v>36</v>
      </c>
      <c r="E1441">
        <v>986</v>
      </c>
      <c r="F1441" t="s">
        <v>3262</v>
      </c>
      <c r="G1441">
        <v>68734.06</v>
      </c>
      <c r="H1441" t="s">
        <v>573</v>
      </c>
      <c r="I1441">
        <v>73.38</v>
      </c>
      <c r="J1441" t="s">
        <v>3263</v>
      </c>
      <c r="K1441">
        <v>69.709999999999994</v>
      </c>
      <c r="L1441" s="1">
        <v>45768</v>
      </c>
      <c r="M1441">
        <f>G1441*IF(D1441="INR",1,INDEX('rates'!$B$2:$B$522,MATCH(B1441,'rates'!$A$2:$A$522,1)))</f>
        <v>5971615.1327999998</v>
      </c>
      <c r="N1441">
        <f t="shared" si="22"/>
        <v>45</v>
      </c>
    </row>
    <row r="1442" spans="1:14" x14ac:dyDescent="0.3">
      <c r="A1442" t="s">
        <v>4674</v>
      </c>
      <c r="B1442" s="1">
        <v>45709</v>
      </c>
      <c r="C1442" t="s">
        <v>575</v>
      </c>
      <c r="D1442" t="s">
        <v>36</v>
      </c>
      <c r="E1442">
        <v>354</v>
      </c>
      <c r="F1442" t="s">
        <v>3262</v>
      </c>
      <c r="G1442">
        <v>26220.78</v>
      </c>
      <c r="H1442" t="s">
        <v>573</v>
      </c>
      <c r="I1442">
        <v>76.7</v>
      </c>
      <c r="J1442" t="s">
        <v>3263</v>
      </c>
      <c r="K1442">
        <v>74.069999999999993</v>
      </c>
      <c r="L1442" s="1">
        <v>45769</v>
      </c>
      <c r="M1442">
        <f>G1442*IF(D1442="INR",1,INDEX('rates'!$B$2:$B$522,MATCH(B1442,'rates'!$A$2:$A$522,1)))</f>
        <v>2273341.6260000002</v>
      </c>
      <c r="N1442">
        <f t="shared" si="22"/>
        <v>60</v>
      </c>
    </row>
    <row r="1443" spans="1:14" x14ac:dyDescent="0.3">
      <c r="A1443" t="s">
        <v>4677</v>
      </c>
      <c r="B1443" s="1">
        <v>45709</v>
      </c>
      <c r="C1443" t="s">
        <v>566</v>
      </c>
      <c r="D1443" t="s">
        <v>36</v>
      </c>
      <c r="E1443">
        <v>1128</v>
      </c>
      <c r="F1443" t="s">
        <v>3262</v>
      </c>
      <c r="G1443">
        <v>82908</v>
      </c>
      <c r="H1443" t="s">
        <v>573</v>
      </c>
      <c r="I1443">
        <v>76.7</v>
      </c>
      <c r="J1443" t="s">
        <v>3263</v>
      </c>
      <c r="K1443">
        <v>73.5</v>
      </c>
      <c r="L1443" s="1">
        <v>45769</v>
      </c>
      <c r="M1443">
        <f>G1443*IF(D1443="INR",1,INDEX('rates'!$B$2:$B$522,MATCH(B1443,'rates'!$A$2:$A$522,1)))</f>
        <v>7188123.6000000006</v>
      </c>
      <c r="N1443">
        <f t="shared" si="22"/>
        <v>60</v>
      </c>
    </row>
    <row r="1444" spans="1:14" x14ac:dyDescent="0.3">
      <c r="A1444" t="s">
        <v>4745</v>
      </c>
      <c r="B1444" s="1">
        <v>45740</v>
      </c>
      <c r="C1444" t="s">
        <v>566</v>
      </c>
      <c r="D1444" t="s">
        <v>36</v>
      </c>
      <c r="E1444">
        <v>345</v>
      </c>
      <c r="F1444" t="s">
        <v>3262</v>
      </c>
      <c r="G1444">
        <v>25088.400000000001</v>
      </c>
      <c r="H1444" t="s">
        <v>573</v>
      </c>
      <c r="I1444">
        <v>75.83</v>
      </c>
      <c r="J1444" t="s">
        <v>3263</v>
      </c>
      <c r="K1444">
        <v>72.72</v>
      </c>
      <c r="L1444" s="1">
        <v>45770</v>
      </c>
      <c r="M1444">
        <f>G1444*IF(D1444="INR",1,INDEX('rates'!$B$2:$B$522,MATCH(B1444,'rates'!$A$2:$A$522,1)))</f>
        <v>2146563.5040000002</v>
      </c>
      <c r="N1444">
        <f t="shared" si="22"/>
        <v>30</v>
      </c>
    </row>
    <row r="1445" spans="1:14" x14ac:dyDescent="0.3">
      <c r="A1445" t="s">
        <v>4747</v>
      </c>
      <c r="B1445" s="1">
        <v>45740</v>
      </c>
      <c r="C1445" t="s">
        <v>566</v>
      </c>
      <c r="D1445" t="s">
        <v>36</v>
      </c>
      <c r="E1445">
        <v>901</v>
      </c>
      <c r="F1445" t="s">
        <v>3262</v>
      </c>
      <c r="G1445">
        <v>67466.880000000005</v>
      </c>
      <c r="H1445" t="s">
        <v>573</v>
      </c>
      <c r="I1445">
        <v>75.83</v>
      </c>
      <c r="J1445" t="s">
        <v>3263</v>
      </c>
      <c r="K1445">
        <v>74.88</v>
      </c>
      <c r="L1445" s="1">
        <v>45770</v>
      </c>
      <c r="M1445">
        <f>G1445*IF(D1445="INR",1,INDEX('rates'!$B$2:$B$522,MATCH(B1445,'rates'!$A$2:$A$522,1)))</f>
        <v>5772466.2528000008</v>
      </c>
      <c r="N1445">
        <f t="shared" si="22"/>
        <v>30</v>
      </c>
    </row>
    <row r="1446" spans="1:14" x14ac:dyDescent="0.3">
      <c r="A1446" t="s">
        <v>4714</v>
      </c>
      <c r="B1446" s="1">
        <v>45726</v>
      </c>
      <c r="C1446" t="s">
        <v>558</v>
      </c>
      <c r="D1446" t="s">
        <v>36</v>
      </c>
      <c r="E1446">
        <v>1185</v>
      </c>
      <c r="F1446" t="s">
        <v>3262</v>
      </c>
      <c r="G1446">
        <v>82464.149999999994</v>
      </c>
      <c r="H1446" t="s">
        <v>556</v>
      </c>
      <c r="J1446" t="s">
        <v>3263</v>
      </c>
      <c r="K1446">
        <v>69.59</v>
      </c>
      <c r="L1446" s="1">
        <v>45771</v>
      </c>
      <c r="M1446">
        <f>G1446*IF(D1446="INR",1,INDEX('rates'!$B$2:$B$522,MATCH(B1446,'rates'!$A$2:$A$522,1)))</f>
        <v>7196646.3704999993</v>
      </c>
      <c r="N1446">
        <f t="shared" si="22"/>
        <v>45</v>
      </c>
    </row>
    <row r="1447" spans="1:14" x14ac:dyDescent="0.3">
      <c r="A1447" t="s">
        <v>4680</v>
      </c>
      <c r="B1447" s="1">
        <v>45712</v>
      </c>
      <c r="C1447" t="s">
        <v>558</v>
      </c>
      <c r="D1447" t="s">
        <v>36</v>
      </c>
      <c r="E1447">
        <v>845</v>
      </c>
      <c r="F1447" t="s">
        <v>3262</v>
      </c>
      <c r="G1447">
        <v>66062.100000000006</v>
      </c>
      <c r="H1447" t="s">
        <v>556</v>
      </c>
      <c r="J1447" t="s">
        <v>3263</v>
      </c>
      <c r="K1447">
        <v>78.180000000000007</v>
      </c>
      <c r="L1447" s="1">
        <v>45772</v>
      </c>
      <c r="M1447">
        <f>G1447*IF(D1447="INR",1,INDEX('rates'!$B$2:$B$522,MATCH(B1447,'rates'!$A$2:$A$522,1)))</f>
        <v>5728905.3120000008</v>
      </c>
      <c r="N1447">
        <f t="shared" si="22"/>
        <v>60</v>
      </c>
    </row>
    <row r="1448" spans="1:14" x14ac:dyDescent="0.3">
      <c r="A1448" t="s">
        <v>4683</v>
      </c>
      <c r="B1448" s="1">
        <v>45712</v>
      </c>
      <c r="C1448" t="s">
        <v>558</v>
      </c>
      <c r="D1448" t="s">
        <v>36</v>
      </c>
      <c r="E1448">
        <v>2288</v>
      </c>
      <c r="F1448" t="s">
        <v>3262</v>
      </c>
      <c r="G1448">
        <v>170936.48</v>
      </c>
      <c r="H1448" t="s">
        <v>556</v>
      </c>
      <c r="J1448" t="s">
        <v>3263</v>
      </c>
      <c r="K1448">
        <v>74.709999999999994</v>
      </c>
      <c r="L1448" s="1">
        <v>45772</v>
      </c>
      <c r="M1448">
        <f>G1448*IF(D1448="INR",1,INDEX('rates'!$B$2:$B$522,MATCH(B1448,'rates'!$A$2:$A$522,1)))</f>
        <v>14823611.545600001</v>
      </c>
      <c r="N1448">
        <f t="shared" si="22"/>
        <v>60</v>
      </c>
    </row>
    <row r="1449" spans="1:14" x14ac:dyDescent="0.3">
      <c r="A1449" t="s">
        <v>4684</v>
      </c>
      <c r="B1449" s="1">
        <v>45712</v>
      </c>
      <c r="C1449" t="s">
        <v>554</v>
      </c>
      <c r="D1449" t="s">
        <v>36</v>
      </c>
      <c r="E1449">
        <v>1066</v>
      </c>
      <c r="F1449" t="s">
        <v>3262</v>
      </c>
      <c r="G1449">
        <v>79758.12</v>
      </c>
      <c r="H1449" t="s">
        <v>573</v>
      </c>
      <c r="I1449">
        <v>73.88</v>
      </c>
      <c r="J1449" t="s">
        <v>3263</v>
      </c>
      <c r="K1449">
        <v>74.819999999999993</v>
      </c>
      <c r="L1449" s="1">
        <v>45772</v>
      </c>
      <c r="M1449">
        <f>G1449*IF(D1449="INR",1,INDEX('rates'!$B$2:$B$522,MATCH(B1449,'rates'!$A$2:$A$522,1)))</f>
        <v>6916624.1663999995</v>
      </c>
      <c r="N1449">
        <f t="shared" si="22"/>
        <v>60</v>
      </c>
    </row>
    <row r="1450" spans="1:14" x14ac:dyDescent="0.3">
      <c r="A1450" t="s">
        <v>4685</v>
      </c>
      <c r="B1450" s="1">
        <v>45712</v>
      </c>
      <c r="C1450" t="s">
        <v>554</v>
      </c>
      <c r="D1450" t="s">
        <v>36</v>
      </c>
      <c r="E1450">
        <v>2181</v>
      </c>
      <c r="F1450" t="s">
        <v>3262</v>
      </c>
      <c r="G1450">
        <v>164665.5</v>
      </c>
      <c r="H1450" t="s">
        <v>556</v>
      </c>
      <c r="J1450" t="s">
        <v>3263</v>
      </c>
      <c r="K1450">
        <v>75.5</v>
      </c>
      <c r="L1450" s="1">
        <v>45772</v>
      </c>
      <c r="M1450">
        <f>G1450*IF(D1450="INR",1,INDEX('rates'!$B$2:$B$522,MATCH(B1450,'rates'!$A$2:$A$522,1)))</f>
        <v>14279792.16</v>
      </c>
      <c r="N1450">
        <f t="shared" si="22"/>
        <v>60</v>
      </c>
    </row>
    <row r="1451" spans="1:14" x14ac:dyDescent="0.3">
      <c r="A1451" t="s">
        <v>4716</v>
      </c>
      <c r="B1451" s="1">
        <v>45727</v>
      </c>
      <c r="C1451" t="s">
        <v>558</v>
      </c>
      <c r="D1451" t="s">
        <v>36</v>
      </c>
      <c r="E1451">
        <v>554</v>
      </c>
      <c r="F1451" t="s">
        <v>3262</v>
      </c>
      <c r="G1451">
        <v>39356.160000000003</v>
      </c>
      <c r="H1451" t="s">
        <v>556</v>
      </c>
      <c r="J1451" t="s">
        <v>3263</v>
      </c>
      <c r="K1451">
        <v>71.040000000000006</v>
      </c>
      <c r="L1451" s="1">
        <v>45772</v>
      </c>
      <c r="M1451">
        <f>G1451*IF(D1451="INR",1,INDEX('rates'!$B$2:$B$522,MATCH(B1451,'rates'!$A$2:$A$522,1)))</f>
        <v>3430282.9056000002</v>
      </c>
      <c r="N1451">
        <f t="shared" si="22"/>
        <v>45</v>
      </c>
    </row>
    <row r="1452" spans="1:14" x14ac:dyDescent="0.3">
      <c r="A1452" t="s">
        <v>4750</v>
      </c>
      <c r="B1452" s="1">
        <v>45743</v>
      </c>
      <c r="C1452" t="s">
        <v>558</v>
      </c>
      <c r="D1452" t="s">
        <v>13</v>
      </c>
      <c r="E1452">
        <v>36902</v>
      </c>
      <c r="F1452" t="s">
        <v>3270</v>
      </c>
      <c r="G1452">
        <v>2124817.16</v>
      </c>
      <c r="H1452" t="s">
        <v>556</v>
      </c>
      <c r="J1452" t="s">
        <v>3271</v>
      </c>
      <c r="K1452">
        <v>57.58</v>
      </c>
      <c r="L1452" s="1">
        <v>45773</v>
      </c>
      <c r="M1452">
        <f>G1452*IF(D1452="INR",1,INDEX('rates'!$B$2:$B$522,MATCH(B1452,'rates'!$A$2:$A$522,1)))</f>
        <v>2124817.16</v>
      </c>
      <c r="N1452">
        <f t="shared" si="22"/>
        <v>30</v>
      </c>
    </row>
    <row r="1453" spans="1:14" x14ac:dyDescent="0.3">
      <c r="A1453" t="s">
        <v>4751</v>
      </c>
      <c r="B1453" s="1">
        <v>45743</v>
      </c>
      <c r="C1453" t="s">
        <v>554</v>
      </c>
      <c r="D1453" t="s">
        <v>36</v>
      </c>
      <c r="E1453">
        <v>651</v>
      </c>
      <c r="F1453" t="s">
        <v>3262</v>
      </c>
      <c r="G1453">
        <v>48200.04</v>
      </c>
      <c r="H1453" t="s">
        <v>556</v>
      </c>
      <c r="J1453" t="s">
        <v>3263</v>
      </c>
      <c r="K1453">
        <v>74.040000000000006</v>
      </c>
      <c r="L1453" s="1">
        <v>45773</v>
      </c>
      <c r="M1453">
        <f>G1453*IF(D1453="INR",1,INDEX('rates'!$B$2:$B$522,MATCH(B1453,'rates'!$A$2:$A$522,1)))</f>
        <v>4135081.4316000002</v>
      </c>
      <c r="N1453">
        <f t="shared" si="22"/>
        <v>30</v>
      </c>
    </row>
    <row r="1454" spans="1:14" x14ac:dyDescent="0.3">
      <c r="A1454" t="s">
        <v>4752</v>
      </c>
      <c r="B1454" s="1">
        <v>45743</v>
      </c>
      <c r="C1454" t="s">
        <v>554</v>
      </c>
      <c r="D1454" t="s">
        <v>36</v>
      </c>
      <c r="E1454">
        <v>377</v>
      </c>
      <c r="F1454" t="s">
        <v>3262</v>
      </c>
      <c r="G1454">
        <v>27992.25</v>
      </c>
      <c r="H1454" t="s">
        <v>573</v>
      </c>
      <c r="I1454">
        <v>76.27</v>
      </c>
      <c r="J1454" t="s">
        <v>3263</v>
      </c>
      <c r="K1454">
        <v>74.25</v>
      </c>
      <c r="L1454" s="1">
        <v>45773</v>
      </c>
      <c r="M1454">
        <f>G1454*IF(D1454="INR",1,INDEX('rates'!$B$2:$B$522,MATCH(B1454,'rates'!$A$2:$A$522,1)))</f>
        <v>2401455.1274999999</v>
      </c>
      <c r="N1454">
        <f t="shared" si="22"/>
        <v>30</v>
      </c>
    </row>
    <row r="1455" spans="1:14" x14ac:dyDescent="0.3">
      <c r="A1455" t="s">
        <v>4687</v>
      </c>
      <c r="B1455" s="1">
        <v>45714</v>
      </c>
      <c r="C1455" t="s">
        <v>566</v>
      </c>
      <c r="D1455" t="s">
        <v>36</v>
      </c>
      <c r="E1455">
        <v>1969</v>
      </c>
      <c r="F1455" t="s">
        <v>3262</v>
      </c>
      <c r="G1455">
        <v>146080.10999999999</v>
      </c>
      <c r="H1455" t="s">
        <v>573</v>
      </c>
      <c r="I1455">
        <v>73.86</v>
      </c>
      <c r="J1455" t="s">
        <v>3263</v>
      </c>
      <c r="K1455">
        <v>74.19</v>
      </c>
      <c r="L1455" s="1">
        <v>45774</v>
      </c>
      <c r="M1455">
        <f>G1455*IF(D1455="INR",1,INDEX('rates'!$B$2:$B$522,MATCH(B1455,'rates'!$A$2:$A$522,1)))</f>
        <v>12738185.591999998</v>
      </c>
      <c r="N1455">
        <f t="shared" si="22"/>
        <v>60</v>
      </c>
    </row>
    <row r="1456" spans="1:14" x14ac:dyDescent="0.3">
      <c r="A1456" t="s">
        <v>4689</v>
      </c>
      <c r="B1456" s="1">
        <v>45714</v>
      </c>
      <c r="C1456" t="s">
        <v>554</v>
      </c>
      <c r="D1456" t="s">
        <v>36</v>
      </c>
      <c r="E1456">
        <v>278</v>
      </c>
      <c r="F1456" t="s">
        <v>3262</v>
      </c>
      <c r="G1456">
        <v>20199.48</v>
      </c>
      <c r="H1456" t="s">
        <v>556</v>
      </c>
      <c r="J1456" t="s">
        <v>3263</v>
      </c>
      <c r="K1456">
        <v>72.66</v>
      </c>
      <c r="L1456" s="1">
        <v>45774</v>
      </c>
      <c r="M1456">
        <f>G1456*IF(D1456="INR",1,INDEX('rates'!$B$2:$B$522,MATCH(B1456,'rates'!$A$2:$A$522,1)))</f>
        <v>1761394.656</v>
      </c>
      <c r="N1456">
        <f t="shared" si="22"/>
        <v>60</v>
      </c>
    </row>
    <row r="1457" spans="1:14" x14ac:dyDescent="0.3">
      <c r="A1457" t="s">
        <v>4753</v>
      </c>
      <c r="B1457" s="1">
        <v>45744</v>
      </c>
      <c r="C1457" t="s">
        <v>554</v>
      </c>
      <c r="D1457" t="s">
        <v>36</v>
      </c>
      <c r="E1457">
        <v>1010</v>
      </c>
      <c r="F1457" t="s">
        <v>3262</v>
      </c>
      <c r="G1457">
        <v>74649.100000000006</v>
      </c>
      <c r="H1457" t="s">
        <v>556</v>
      </c>
      <c r="J1457" t="s">
        <v>3263</v>
      </c>
      <c r="K1457">
        <v>73.91</v>
      </c>
      <c r="L1457" s="1">
        <v>45774</v>
      </c>
      <c r="M1457">
        <f>G1457*IF(D1457="INR",1,INDEX('rates'!$B$2:$B$522,MATCH(B1457,'rates'!$A$2:$A$522,1)))</f>
        <v>6383244.5410000011</v>
      </c>
      <c r="N1457">
        <f t="shared" si="22"/>
        <v>30</v>
      </c>
    </row>
    <row r="1458" spans="1:14" x14ac:dyDescent="0.3">
      <c r="A1458" t="s">
        <v>4755</v>
      </c>
      <c r="B1458" s="1">
        <v>45744</v>
      </c>
      <c r="C1458" t="s">
        <v>566</v>
      </c>
      <c r="D1458" t="s">
        <v>13</v>
      </c>
      <c r="E1458">
        <v>111795</v>
      </c>
      <c r="F1458" t="s">
        <v>3270</v>
      </c>
      <c r="G1458">
        <v>9125825.8499999996</v>
      </c>
      <c r="H1458" t="s">
        <v>556</v>
      </c>
      <c r="J1458" t="s">
        <v>3271</v>
      </c>
      <c r="K1458">
        <v>81.63</v>
      </c>
      <c r="L1458" s="1">
        <v>45774</v>
      </c>
      <c r="M1458">
        <f>G1458*IF(D1458="INR",1,INDEX('rates'!$B$2:$B$522,MATCH(B1458,'rates'!$A$2:$A$522,1)))</f>
        <v>9125825.8499999996</v>
      </c>
      <c r="N1458">
        <f t="shared" si="22"/>
        <v>30</v>
      </c>
    </row>
    <row r="1459" spans="1:14" x14ac:dyDescent="0.3">
      <c r="A1459" t="s">
        <v>4757</v>
      </c>
      <c r="B1459" s="1">
        <v>45744</v>
      </c>
      <c r="C1459" t="s">
        <v>560</v>
      </c>
      <c r="D1459" t="s">
        <v>36</v>
      </c>
      <c r="E1459">
        <v>404</v>
      </c>
      <c r="F1459" t="s">
        <v>3262</v>
      </c>
      <c r="G1459">
        <v>29362.720000000001</v>
      </c>
      <c r="H1459" t="s">
        <v>556</v>
      </c>
      <c r="J1459" t="s">
        <v>3263</v>
      </c>
      <c r="K1459">
        <v>72.680000000000007</v>
      </c>
      <c r="L1459" s="1">
        <v>45774</v>
      </c>
      <c r="M1459">
        <f>G1459*IF(D1459="INR",1,INDEX('rates'!$B$2:$B$522,MATCH(B1459,'rates'!$A$2:$A$522,1)))</f>
        <v>2510806.1872</v>
      </c>
      <c r="N1459">
        <f t="shared" si="22"/>
        <v>30</v>
      </c>
    </row>
    <row r="1460" spans="1:14" x14ac:dyDescent="0.3">
      <c r="A1460" t="s">
        <v>4759</v>
      </c>
      <c r="B1460" s="1">
        <v>45744</v>
      </c>
      <c r="C1460" t="s">
        <v>566</v>
      </c>
      <c r="D1460" t="s">
        <v>13</v>
      </c>
      <c r="E1460">
        <v>58537</v>
      </c>
      <c r="F1460" t="s">
        <v>3270</v>
      </c>
      <c r="G1460">
        <v>4702277.21</v>
      </c>
      <c r="H1460" t="s">
        <v>556</v>
      </c>
      <c r="J1460" t="s">
        <v>3271</v>
      </c>
      <c r="K1460">
        <v>80.33</v>
      </c>
      <c r="L1460" s="1">
        <v>45774</v>
      </c>
      <c r="M1460">
        <f>G1460*IF(D1460="INR",1,INDEX('rates'!$B$2:$B$522,MATCH(B1460,'rates'!$A$2:$A$522,1)))</f>
        <v>4702277.21</v>
      </c>
      <c r="N1460">
        <f t="shared" si="22"/>
        <v>30</v>
      </c>
    </row>
    <row r="1461" spans="1:14" x14ac:dyDescent="0.3">
      <c r="A1461" t="s">
        <v>4760</v>
      </c>
      <c r="B1461" s="1">
        <v>45744</v>
      </c>
      <c r="C1461" t="s">
        <v>566</v>
      </c>
      <c r="D1461" t="s">
        <v>36</v>
      </c>
      <c r="E1461">
        <v>1020</v>
      </c>
      <c r="F1461" t="s">
        <v>3262</v>
      </c>
      <c r="G1461">
        <v>76071.600000000006</v>
      </c>
      <c r="H1461" t="s">
        <v>556</v>
      </c>
      <c r="J1461" t="s">
        <v>3263</v>
      </c>
      <c r="K1461">
        <v>74.58</v>
      </c>
      <c r="L1461" s="1">
        <v>45774</v>
      </c>
      <c r="M1461">
        <f>G1461*IF(D1461="INR",1,INDEX('rates'!$B$2:$B$522,MATCH(B1461,'rates'!$A$2:$A$522,1)))</f>
        <v>6504882.5160000008</v>
      </c>
      <c r="N1461">
        <f t="shared" si="22"/>
        <v>30</v>
      </c>
    </row>
    <row r="1462" spans="1:14" x14ac:dyDescent="0.3">
      <c r="A1462" t="s">
        <v>4761</v>
      </c>
      <c r="B1462" s="1">
        <v>45744</v>
      </c>
      <c r="C1462" t="s">
        <v>554</v>
      </c>
      <c r="D1462" t="s">
        <v>36</v>
      </c>
      <c r="E1462">
        <v>1385</v>
      </c>
      <c r="F1462" t="s">
        <v>3262</v>
      </c>
      <c r="G1462">
        <v>103930.4</v>
      </c>
      <c r="H1462" t="s">
        <v>556</v>
      </c>
      <c r="J1462" t="s">
        <v>3263</v>
      </c>
      <c r="K1462">
        <v>75.040000000000006</v>
      </c>
      <c r="L1462" s="1">
        <v>45774</v>
      </c>
      <c r="M1462">
        <f>G1462*IF(D1462="INR",1,INDEX('rates'!$B$2:$B$522,MATCH(B1462,'rates'!$A$2:$A$522,1)))</f>
        <v>8887088.5040000007</v>
      </c>
      <c r="N1462">
        <f t="shared" si="22"/>
        <v>30</v>
      </c>
    </row>
    <row r="1463" spans="1:14" x14ac:dyDescent="0.3">
      <c r="A1463" t="s">
        <v>4721</v>
      </c>
      <c r="B1463" s="1">
        <v>45730</v>
      </c>
      <c r="C1463" t="s">
        <v>560</v>
      </c>
      <c r="D1463" t="s">
        <v>36</v>
      </c>
      <c r="E1463">
        <v>914</v>
      </c>
      <c r="F1463" t="s">
        <v>3262</v>
      </c>
      <c r="G1463">
        <v>65798.86</v>
      </c>
      <c r="H1463" t="s">
        <v>573</v>
      </c>
      <c r="I1463">
        <v>76.55</v>
      </c>
      <c r="J1463" t="s">
        <v>3263</v>
      </c>
      <c r="K1463">
        <v>71.989999999999995</v>
      </c>
      <c r="L1463" s="1">
        <v>45775</v>
      </c>
      <c r="M1463">
        <f>G1463*IF(D1463="INR",1,INDEX('rates'!$B$2:$B$522,MATCH(B1463,'rates'!$A$2:$A$522,1)))</f>
        <v>5724500.8200000003</v>
      </c>
      <c r="N1463">
        <f t="shared" si="22"/>
        <v>45</v>
      </c>
    </row>
    <row r="1464" spans="1:14" x14ac:dyDescent="0.3">
      <c r="A1464" t="s">
        <v>4722</v>
      </c>
      <c r="B1464" s="1">
        <v>45730</v>
      </c>
      <c r="C1464" t="s">
        <v>560</v>
      </c>
      <c r="D1464" t="s">
        <v>36</v>
      </c>
      <c r="E1464">
        <v>576</v>
      </c>
      <c r="F1464" t="s">
        <v>3262</v>
      </c>
      <c r="G1464">
        <v>41552.639999999999</v>
      </c>
      <c r="H1464" t="s">
        <v>556</v>
      </c>
      <c r="J1464" t="s">
        <v>3263</v>
      </c>
      <c r="K1464">
        <v>72.14</v>
      </c>
      <c r="L1464" s="1">
        <v>45775</v>
      </c>
      <c r="M1464">
        <f>G1464*IF(D1464="INR",1,INDEX('rates'!$B$2:$B$522,MATCH(B1464,'rates'!$A$2:$A$522,1)))</f>
        <v>3615079.68</v>
      </c>
      <c r="N1464">
        <f t="shared" si="22"/>
        <v>45</v>
      </c>
    </row>
    <row r="1465" spans="1:14" x14ac:dyDescent="0.3">
      <c r="A1465" t="s">
        <v>4725</v>
      </c>
      <c r="B1465" s="1">
        <v>45730</v>
      </c>
      <c r="C1465" t="s">
        <v>575</v>
      </c>
      <c r="D1465" t="s">
        <v>36</v>
      </c>
      <c r="E1465">
        <v>1123</v>
      </c>
      <c r="F1465" t="s">
        <v>3262</v>
      </c>
      <c r="G1465">
        <v>80642.63</v>
      </c>
      <c r="H1465" t="s">
        <v>573</v>
      </c>
      <c r="I1465">
        <v>76.55</v>
      </c>
      <c r="J1465" t="s">
        <v>3263</v>
      </c>
      <c r="K1465">
        <v>71.81</v>
      </c>
      <c r="L1465" s="1">
        <v>45775</v>
      </c>
      <c r="M1465">
        <f>G1465*IF(D1465="INR",1,INDEX('rates'!$B$2:$B$522,MATCH(B1465,'rates'!$A$2:$A$522,1)))</f>
        <v>7015908.8100000005</v>
      </c>
      <c r="N1465">
        <f t="shared" si="22"/>
        <v>45</v>
      </c>
    </row>
    <row r="1466" spans="1:14" x14ac:dyDescent="0.3">
      <c r="A1466" t="s">
        <v>4727</v>
      </c>
      <c r="B1466" s="1">
        <v>45730</v>
      </c>
      <c r="C1466" t="s">
        <v>575</v>
      </c>
      <c r="D1466" t="s">
        <v>36</v>
      </c>
      <c r="E1466">
        <v>1198</v>
      </c>
      <c r="F1466" t="s">
        <v>3262</v>
      </c>
      <c r="G1466">
        <v>85177.8</v>
      </c>
      <c r="H1466" t="s">
        <v>573</v>
      </c>
      <c r="I1466">
        <v>76.55</v>
      </c>
      <c r="J1466" t="s">
        <v>3263</v>
      </c>
      <c r="K1466">
        <v>71.099999999999994</v>
      </c>
      <c r="L1466" s="1">
        <v>45775</v>
      </c>
      <c r="M1466">
        <f>G1466*IF(D1466="INR",1,INDEX('rates'!$B$2:$B$522,MATCH(B1466,'rates'!$A$2:$A$522,1)))</f>
        <v>7410468.6000000006</v>
      </c>
      <c r="N1466">
        <f t="shared" si="22"/>
        <v>45</v>
      </c>
    </row>
    <row r="1467" spans="1:14" x14ac:dyDescent="0.3">
      <c r="A1467" t="s">
        <v>4691</v>
      </c>
      <c r="B1467" s="1">
        <v>45716</v>
      </c>
      <c r="C1467" t="s">
        <v>575</v>
      </c>
      <c r="D1467" t="s">
        <v>36</v>
      </c>
      <c r="E1467">
        <v>1116</v>
      </c>
      <c r="F1467" t="s">
        <v>3262</v>
      </c>
      <c r="G1467">
        <v>83175.48</v>
      </c>
      <c r="H1467" t="s">
        <v>573</v>
      </c>
      <c r="I1467">
        <v>73.040000000000006</v>
      </c>
      <c r="J1467" t="s">
        <v>3263</v>
      </c>
      <c r="K1467">
        <v>74.53</v>
      </c>
      <c r="L1467" s="1">
        <v>45776</v>
      </c>
      <c r="M1467">
        <f>G1467*IF(D1467="INR",1,INDEX('rates'!$B$2:$B$522,MATCH(B1467,'rates'!$A$2:$A$522,1)))</f>
        <v>7277854.5</v>
      </c>
      <c r="N1467">
        <f t="shared" si="22"/>
        <v>60</v>
      </c>
    </row>
    <row r="1468" spans="1:14" x14ac:dyDescent="0.3">
      <c r="A1468" t="s">
        <v>4695</v>
      </c>
      <c r="B1468" s="1">
        <v>45716</v>
      </c>
      <c r="C1468" t="s">
        <v>558</v>
      </c>
      <c r="D1468" t="s">
        <v>36</v>
      </c>
      <c r="E1468">
        <v>2330</v>
      </c>
      <c r="F1468" t="s">
        <v>3262</v>
      </c>
      <c r="G1468">
        <v>172210.3</v>
      </c>
      <c r="H1468" t="s">
        <v>556</v>
      </c>
      <c r="J1468" t="s">
        <v>3263</v>
      </c>
      <c r="K1468">
        <v>73.91</v>
      </c>
      <c r="L1468" s="1">
        <v>45776</v>
      </c>
      <c r="M1468">
        <f>G1468*IF(D1468="INR",1,INDEX('rates'!$B$2:$B$522,MATCH(B1468,'rates'!$A$2:$A$522,1)))</f>
        <v>15068401.249999998</v>
      </c>
      <c r="N1468">
        <f t="shared" si="22"/>
        <v>60</v>
      </c>
    </row>
    <row r="1469" spans="1:14" x14ac:dyDescent="0.3">
      <c r="A1469" t="s">
        <v>4763</v>
      </c>
      <c r="B1469" s="1">
        <v>45747</v>
      </c>
      <c r="C1469" t="s">
        <v>566</v>
      </c>
      <c r="D1469" t="s">
        <v>36</v>
      </c>
      <c r="E1469">
        <v>1874</v>
      </c>
      <c r="F1469" t="s">
        <v>3262</v>
      </c>
      <c r="G1469">
        <v>140812.35999999999</v>
      </c>
      <c r="H1469" t="s">
        <v>556</v>
      </c>
      <c r="J1469" t="s">
        <v>3263</v>
      </c>
      <c r="K1469">
        <v>75.14</v>
      </c>
      <c r="L1469" s="1">
        <v>45777</v>
      </c>
      <c r="M1469">
        <f>G1469*IF(D1469="INR",1,INDEX('rates'!$B$2:$B$522,MATCH(B1469,'rates'!$A$2:$A$522,1)))</f>
        <v>12029599.914799999</v>
      </c>
      <c r="N1469">
        <f t="shared" si="22"/>
        <v>30</v>
      </c>
    </row>
    <row r="1470" spans="1:14" x14ac:dyDescent="0.3">
      <c r="A1470" t="s">
        <v>4764</v>
      </c>
      <c r="B1470" s="1">
        <v>45747</v>
      </c>
      <c r="C1470" t="s">
        <v>558</v>
      </c>
      <c r="D1470" t="s">
        <v>36</v>
      </c>
      <c r="E1470">
        <v>1262</v>
      </c>
      <c r="F1470" t="s">
        <v>3262</v>
      </c>
      <c r="G1470">
        <v>95975.1</v>
      </c>
      <c r="H1470" t="s">
        <v>556</v>
      </c>
      <c r="J1470" t="s">
        <v>3263</v>
      </c>
      <c r="K1470">
        <v>76.05</v>
      </c>
      <c r="L1470" s="1">
        <v>45777</v>
      </c>
      <c r="M1470">
        <f>G1470*IF(D1470="INR",1,INDEX('rates'!$B$2:$B$522,MATCH(B1470,'rates'!$A$2:$A$522,1)))</f>
        <v>8199152.7930000015</v>
      </c>
      <c r="N1470">
        <f t="shared" si="22"/>
        <v>30</v>
      </c>
    </row>
    <row r="1471" spans="1:14" x14ac:dyDescent="0.3">
      <c r="A1471" t="s">
        <v>4699</v>
      </c>
      <c r="B1471" s="1">
        <v>45719</v>
      </c>
      <c r="C1471" t="s">
        <v>560</v>
      </c>
      <c r="D1471" t="s">
        <v>36</v>
      </c>
      <c r="E1471">
        <v>402</v>
      </c>
      <c r="F1471" t="s">
        <v>3262</v>
      </c>
      <c r="G1471">
        <v>29237.46</v>
      </c>
      <c r="H1471" t="s">
        <v>556</v>
      </c>
      <c r="J1471" t="s">
        <v>3263</v>
      </c>
      <c r="K1471">
        <v>72.73</v>
      </c>
      <c r="L1471" s="1">
        <v>45779</v>
      </c>
      <c r="M1471">
        <f>G1471*IF(D1471="INR",1,INDEX('rates'!$B$2:$B$522,MATCH(B1471,'rates'!$A$2:$A$522,1)))</f>
        <v>2553892.1309999996</v>
      </c>
      <c r="N1471">
        <f t="shared" si="22"/>
        <v>60</v>
      </c>
    </row>
    <row r="1472" spans="1:14" x14ac:dyDescent="0.3">
      <c r="A1472" t="s">
        <v>4700</v>
      </c>
      <c r="B1472" s="1">
        <v>45719</v>
      </c>
      <c r="C1472" t="s">
        <v>560</v>
      </c>
      <c r="D1472" t="s">
        <v>36</v>
      </c>
      <c r="E1472">
        <v>493</v>
      </c>
      <c r="F1472" t="s">
        <v>3262</v>
      </c>
      <c r="G1472">
        <v>36339.03</v>
      </c>
      <c r="H1472" t="s">
        <v>556</v>
      </c>
      <c r="J1472" t="s">
        <v>3263</v>
      </c>
      <c r="K1472">
        <v>73.709999999999994</v>
      </c>
      <c r="L1472" s="1">
        <v>45779</v>
      </c>
      <c r="M1472">
        <f>G1472*IF(D1472="INR",1,INDEX('rates'!$B$2:$B$522,MATCH(B1472,'rates'!$A$2:$A$522,1)))</f>
        <v>3174214.2704999996</v>
      </c>
      <c r="N1472">
        <f t="shared" si="22"/>
        <v>60</v>
      </c>
    </row>
    <row r="1473" spans="1:14" x14ac:dyDescent="0.3">
      <c r="A1473" t="s">
        <v>4730</v>
      </c>
      <c r="B1473" s="1">
        <v>45734</v>
      </c>
      <c r="C1473" t="s">
        <v>554</v>
      </c>
      <c r="D1473" t="s">
        <v>36</v>
      </c>
      <c r="E1473">
        <v>962</v>
      </c>
      <c r="F1473" t="s">
        <v>3262</v>
      </c>
      <c r="G1473">
        <v>69340.960000000006</v>
      </c>
      <c r="H1473" t="s">
        <v>556</v>
      </c>
      <c r="J1473" t="s">
        <v>3263</v>
      </c>
      <c r="K1473">
        <v>72.08</v>
      </c>
      <c r="L1473" s="1">
        <v>45779</v>
      </c>
      <c r="M1473">
        <f>G1473*IF(D1473="INR",1,INDEX('rates'!$B$2:$B$522,MATCH(B1473,'rates'!$A$2:$A$522,1)))</f>
        <v>5997993.040000001</v>
      </c>
      <c r="N1473">
        <f t="shared" si="22"/>
        <v>45</v>
      </c>
    </row>
    <row r="1474" spans="1:14" x14ac:dyDescent="0.3">
      <c r="A1474" t="s">
        <v>4733</v>
      </c>
      <c r="B1474" s="1">
        <v>45735</v>
      </c>
      <c r="C1474" t="s">
        <v>558</v>
      </c>
      <c r="D1474" t="s">
        <v>36</v>
      </c>
      <c r="E1474">
        <v>566</v>
      </c>
      <c r="F1474" t="s">
        <v>3262</v>
      </c>
      <c r="G1474">
        <v>40123.74</v>
      </c>
      <c r="H1474" t="s">
        <v>573</v>
      </c>
      <c r="I1474">
        <v>75.010000000000005</v>
      </c>
      <c r="J1474" t="s">
        <v>3263</v>
      </c>
      <c r="K1474">
        <v>70.89</v>
      </c>
      <c r="L1474" s="1">
        <v>45780</v>
      </c>
      <c r="M1474">
        <f>G1474*IF(D1474="INR",1,INDEX('rates'!$B$2:$B$522,MATCH(B1474,'rates'!$A$2:$A$522,1)))</f>
        <v>3467894.8481999999</v>
      </c>
      <c r="N1474">
        <f t="shared" ref="N1474:N1501" si="23">IF(L1474="","",L1474-B1474)</f>
        <v>45</v>
      </c>
    </row>
    <row r="1475" spans="1:14" x14ac:dyDescent="0.3">
      <c r="A1475" t="s">
        <v>4735</v>
      </c>
      <c r="B1475" s="1">
        <v>45736</v>
      </c>
      <c r="C1475" t="s">
        <v>566</v>
      </c>
      <c r="D1475" t="s">
        <v>36</v>
      </c>
      <c r="E1475">
        <v>1913</v>
      </c>
      <c r="F1475" t="s">
        <v>3262</v>
      </c>
      <c r="G1475">
        <v>140031.6</v>
      </c>
      <c r="H1475" t="s">
        <v>573</v>
      </c>
      <c r="I1475">
        <v>74.59</v>
      </c>
      <c r="J1475" t="s">
        <v>3263</v>
      </c>
      <c r="K1475">
        <v>73.2</v>
      </c>
      <c r="L1475" s="1">
        <v>45781</v>
      </c>
      <c r="M1475">
        <f>G1475*IF(D1475="INR",1,INDEX('rates'!$B$2:$B$522,MATCH(B1475,'rates'!$A$2:$A$522,1)))</f>
        <v>12086127.396000002</v>
      </c>
      <c r="N1475">
        <f t="shared" si="23"/>
        <v>45</v>
      </c>
    </row>
    <row r="1476" spans="1:14" x14ac:dyDescent="0.3">
      <c r="A1476" t="s">
        <v>4738</v>
      </c>
      <c r="B1476" s="1">
        <v>45736</v>
      </c>
      <c r="C1476" t="s">
        <v>554</v>
      </c>
      <c r="D1476" t="s">
        <v>36</v>
      </c>
      <c r="E1476">
        <v>713</v>
      </c>
      <c r="F1476" t="s">
        <v>3262</v>
      </c>
      <c r="G1476">
        <v>51806.58</v>
      </c>
      <c r="H1476" t="s">
        <v>573</v>
      </c>
      <c r="I1476">
        <v>74.59</v>
      </c>
      <c r="J1476" t="s">
        <v>3263</v>
      </c>
      <c r="K1476">
        <v>72.66</v>
      </c>
      <c r="L1476" s="1">
        <v>45781</v>
      </c>
      <c r="M1476">
        <f>G1476*IF(D1476="INR",1,INDEX('rates'!$B$2:$B$522,MATCH(B1476,'rates'!$A$2:$A$522,1)))</f>
        <v>4471425.9198000003</v>
      </c>
      <c r="N1476">
        <f t="shared" si="23"/>
        <v>45</v>
      </c>
    </row>
    <row r="1477" spans="1:14" x14ac:dyDescent="0.3">
      <c r="A1477" t="s">
        <v>4706</v>
      </c>
      <c r="B1477" s="1">
        <v>45722</v>
      </c>
      <c r="C1477" t="s">
        <v>560</v>
      </c>
      <c r="D1477" t="s">
        <v>13</v>
      </c>
      <c r="E1477">
        <v>44362</v>
      </c>
      <c r="F1477" t="s">
        <v>3270</v>
      </c>
      <c r="G1477">
        <v>3829771.46</v>
      </c>
      <c r="H1477" t="s">
        <v>556</v>
      </c>
      <c r="J1477" t="s">
        <v>3271</v>
      </c>
      <c r="K1477">
        <v>86.33</v>
      </c>
      <c r="L1477" s="1">
        <v>45782</v>
      </c>
      <c r="M1477">
        <f>G1477*IF(D1477="INR",1,INDEX('rates'!$B$2:$B$522,MATCH(B1477,'rates'!$A$2:$A$522,1)))</f>
        <v>3829771.46</v>
      </c>
      <c r="N1477">
        <f t="shared" si="23"/>
        <v>60</v>
      </c>
    </row>
    <row r="1478" spans="1:14" x14ac:dyDescent="0.3">
      <c r="A1478" t="s">
        <v>4739</v>
      </c>
      <c r="B1478" s="1">
        <v>45737</v>
      </c>
      <c r="C1478" t="s">
        <v>558</v>
      </c>
      <c r="D1478" t="s">
        <v>36</v>
      </c>
      <c r="E1478">
        <v>859</v>
      </c>
      <c r="F1478" t="s">
        <v>3262</v>
      </c>
      <c r="G1478">
        <v>61865.18</v>
      </c>
      <c r="H1478" t="s">
        <v>573</v>
      </c>
      <c r="I1478">
        <v>74.59</v>
      </c>
      <c r="J1478" t="s">
        <v>3263</v>
      </c>
      <c r="K1478">
        <v>72.02</v>
      </c>
      <c r="L1478" s="1">
        <v>45782</v>
      </c>
      <c r="M1478">
        <f>G1478*IF(D1478="INR",1,INDEX('rates'!$B$2:$B$522,MATCH(B1478,'rates'!$A$2:$A$522,1)))</f>
        <v>5321024.1318000006</v>
      </c>
      <c r="N1478">
        <f t="shared" si="23"/>
        <v>45</v>
      </c>
    </row>
    <row r="1479" spans="1:14" x14ac:dyDescent="0.3">
      <c r="A1479" t="s">
        <v>4741</v>
      </c>
      <c r="B1479" s="1">
        <v>45737</v>
      </c>
      <c r="C1479" t="s">
        <v>560</v>
      </c>
      <c r="D1479" t="s">
        <v>36</v>
      </c>
      <c r="E1479">
        <v>369</v>
      </c>
      <c r="F1479" t="s">
        <v>3262</v>
      </c>
      <c r="G1479">
        <v>26538.48</v>
      </c>
      <c r="H1479" t="s">
        <v>573</v>
      </c>
      <c r="I1479">
        <v>74.59</v>
      </c>
      <c r="J1479" t="s">
        <v>3263</v>
      </c>
      <c r="K1479">
        <v>71.92</v>
      </c>
      <c r="L1479" s="1">
        <v>45782</v>
      </c>
      <c r="M1479">
        <f>G1479*IF(D1479="INR",1,INDEX('rates'!$B$2:$B$522,MATCH(B1479,'rates'!$A$2:$A$522,1)))</f>
        <v>2282574.6647999999</v>
      </c>
      <c r="N1479">
        <f t="shared" si="23"/>
        <v>45</v>
      </c>
    </row>
    <row r="1480" spans="1:14" x14ac:dyDescent="0.3">
      <c r="A1480" t="s">
        <v>4709</v>
      </c>
      <c r="B1480" s="1">
        <v>45723</v>
      </c>
      <c r="C1480" t="s">
        <v>566</v>
      </c>
      <c r="D1480" t="s">
        <v>36</v>
      </c>
      <c r="E1480">
        <v>1776</v>
      </c>
      <c r="F1480" t="s">
        <v>3262</v>
      </c>
      <c r="G1480">
        <v>127339.2</v>
      </c>
      <c r="H1480" t="s">
        <v>573</v>
      </c>
      <c r="I1480">
        <v>73.38</v>
      </c>
      <c r="J1480" t="s">
        <v>3263</v>
      </c>
      <c r="K1480">
        <v>71.7</v>
      </c>
      <c r="L1480" s="1">
        <v>45783</v>
      </c>
      <c r="M1480">
        <f>G1480*IF(D1480="INR",1,INDEX('rates'!$B$2:$B$522,MATCH(B1480,'rates'!$A$2:$A$522,1)))</f>
        <v>11063229.695999999</v>
      </c>
      <c r="N1480">
        <f t="shared" si="23"/>
        <v>60</v>
      </c>
    </row>
    <row r="1481" spans="1:14" x14ac:dyDescent="0.3">
      <c r="A1481" t="s">
        <v>4712</v>
      </c>
      <c r="B1481" s="1">
        <v>45723</v>
      </c>
      <c r="C1481" t="s">
        <v>566</v>
      </c>
      <c r="D1481" t="s">
        <v>13</v>
      </c>
      <c r="E1481">
        <v>36381</v>
      </c>
      <c r="F1481" t="s">
        <v>3270</v>
      </c>
      <c r="G1481">
        <v>3307032.9</v>
      </c>
      <c r="H1481" t="s">
        <v>556</v>
      </c>
      <c r="J1481" t="s">
        <v>3271</v>
      </c>
      <c r="K1481">
        <v>90.9</v>
      </c>
      <c r="L1481" s="1">
        <v>45783</v>
      </c>
      <c r="M1481">
        <f>G1481*IF(D1481="INR",1,INDEX('rates'!$B$2:$B$522,MATCH(B1481,'rates'!$A$2:$A$522,1)))</f>
        <v>3307032.9</v>
      </c>
      <c r="N1481">
        <f t="shared" si="23"/>
        <v>60</v>
      </c>
    </row>
    <row r="1482" spans="1:14" x14ac:dyDescent="0.3">
      <c r="A1482" t="s">
        <v>4744</v>
      </c>
      <c r="B1482" s="1">
        <v>45740</v>
      </c>
      <c r="C1482" t="s">
        <v>558</v>
      </c>
      <c r="D1482" t="s">
        <v>36</v>
      </c>
      <c r="E1482">
        <v>2499</v>
      </c>
      <c r="F1482" t="s">
        <v>3262</v>
      </c>
      <c r="G1482">
        <v>187400.01</v>
      </c>
      <c r="H1482" t="s">
        <v>556</v>
      </c>
      <c r="J1482" t="s">
        <v>3263</v>
      </c>
      <c r="K1482">
        <v>74.989999999999995</v>
      </c>
      <c r="L1482" s="1">
        <v>45785</v>
      </c>
      <c r="M1482">
        <f>G1482*IF(D1482="INR",1,INDEX('rates'!$B$2:$B$522,MATCH(B1482,'rates'!$A$2:$A$522,1)))</f>
        <v>16033944.855600001</v>
      </c>
      <c r="N1482">
        <f t="shared" si="23"/>
        <v>45</v>
      </c>
    </row>
    <row r="1483" spans="1:14" x14ac:dyDescent="0.3">
      <c r="A1483" t="s">
        <v>4749</v>
      </c>
      <c r="B1483" s="1">
        <v>45741</v>
      </c>
      <c r="C1483" t="s">
        <v>558</v>
      </c>
      <c r="D1483" t="s">
        <v>36</v>
      </c>
      <c r="E1483">
        <v>609</v>
      </c>
      <c r="F1483" t="s">
        <v>3262</v>
      </c>
      <c r="G1483">
        <v>44718.87</v>
      </c>
      <c r="H1483" t="s">
        <v>556</v>
      </c>
      <c r="J1483" t="s">
        <v>3263</v>
      </c>
      <c r="K1483">
        <v>73.430000000000007</v>
      </c>
      <c r="L1483" s="1">
        <v>45786</v>
      </c>
      <c r="M1483">
        <f>G1483*IF(D1483="INR",1,INDEX('rates'!$B$2:$B$522,MATCH(B1483,'rates'!$A$2:$A$522,1)))</f>
        <v>3835537.4799000002</v>
      </c>
      <c r="N1483">
        <f t="shared" si="23"/>
        <v>45</v>
      </c>
    </row>
    <row r="1484" spans="1:14" x14ac:dyDescent="0.3">
      <c r="A1484" t="s">
        <v>4717</v>
      </c>
      <c r="B1484" s="1">
        <v>45727</v>
      </c>
      <c r="C1484" t="s">
        <v>560</v>
      </c>
      <c r="D1484" t="s">
        <v>36</v>
      </c>
      <c r="E1484">
        <v>301</v>
      </c>
      <c r="F1484" t="s">
        <v>3262</v>
      </c>
      <c r="G1484">
        <v>21422.17</v>
      </c>
      <c r="H1484" t="s">
        <v>556</v>
      </c>
      <c r="J1484" t="s">
        <v>3263</v>
      </c>
      <c r="K1484">
        <v>71.17</v>
      </c>
      <c r="L1484" s="1">
        <v>45787</v>
      </c>
      <c r="M1484">
        <f>G1484*IF(D1484="INR",1,INDEX('rates'!$B$2:$B$522,MATCH(B1484,'rates'!$A$2:$A$522,1)))</f>
        <v>1867156.3371999997</v>
      </c>
      <c r="N1484">
        <f t="shared" si="23"/>
        <v>60</v>
      </c>
    </row>
    <row r="1485" spans="1:14" x14ac:dyDescent="0.3">
      <c r="A1485" t="s">
        <v>4754</v>
      </c>
      <c r="B1485" s="1">
        <v>45744</v>
      </c>
      <c r="C1485" t="s">
        <v>560</v>
      </c>
      <c r="D1485" t="s">
        <v>36</v>
      </c>
      <c r="E1485">
        <v>2574</v>
      </c>
      <c r="F1485" t="s">
        <v>3262</v>
      </c>
      <c r="G1485">
        <v>191943.18</v>
      </c>
      <c r="H1485" t="s">
        <v>556</v>
      </c>
      <c r="J1485" t="s">
        <v>3263</v>
      </c>
      <c r="K1485">
        <v>74.569999999999993</v>
      </c>
      <c r="L1485" s="1">
        <v>45789</v>
      </c>
      <c r="M1485">
        <f>G1485*IF(D1485="INR",1,INDEX('rates'!$B$2:$B$522,MATCH(B1485,'rates'!$A$2:$A$522,1)))</f>
        <v>16413061.321800001</v>
      </c>
      <c r="N1485">
        <f t="shared" si="23"/>
        <v>45</v>
      </c>
    </row>
    <row r="1486" spans="1:14" x14ac:dyDescent="0.3">
      <c r="A1486" t="s">
        <v>4756</v>
      </c>
      <c r="B1486" s="1">
        <v>45744</v>
      </c>
      <c r="C1486" t="s">
        <v>560</v>
      </c>
      <c r="D1486" t="s">
        <v>36</v>
      </c>
      <c r="E1486">
        <v>1654</v>
      </c>
      <c r="F1486" t="s">
        <v>3262</v>
      </c>
      <c r="G1486">
        <v>122693.72</v>
      </c>
      <c r="H1486" t="s">
        <v>556</v>
      </c>
      <c r="J1486" t="s">
        <v>3263</v>
      </c>
      <c r="K1486">
        <v>74.180000000000007</v>
      </c>
      <c r="L1486" s="1">
        <v>45789</v>
      </c>
      <c r="M1486">
        <f>G1486*IF(D1486="INR",1,INDEX('rates'!$B$2:$B$522,MATCH(B1486,'rates'!$A$2:$A$522,1)))</f>
        <v>10491539.997200001</v>
      </c>
      <c r="N1486">
        <f t="shared" si="23"/>
        <v>45</v>
      </c>
    </row>
    <row r="1487" spans="1:14" x14ac:dyDescent="0.3">
      <c r="A1487" t="s">
        <v>4724</v>
      </c>
      <c r="B1487" s="1">
        <v>45730</v>
      </c>
      <c r="C1487" t="s">
        <v>575</v>
      </c>
      <c r="D1487" t="s">
        <v>36</v>
      </c>
      <c r="E1487">
        <v>670</v>
      </c>
      <c r="F1487" t="s">
        <v>3262</v>
      </c>
      <c r="G1487">
        <v>47643.7</v>
      </c>
      <c r="H1487" t="s">
        <v>556</v>
      </c>
      <c r="J1487" t="s">
        <v>3263</v>
      </c>
      <c r="K1487">
        <v>71.11</v>
      </c>
      <c r="L1487" s="1">
        <v>45790</v>
      </c>
      <c r="M1487">
        <f>G1487*IF(D1487="INR",1,INDEX('rates'!$B$2:$B$522,MATCH(B1487,'rates'!$A$2:$A$522,1)))</f>
        <v>4145001.9</v>
      </c>
      <c r="N1487">
        <f t="shared" si="23"/>
        <v>60</v>
      </c>
    </row>
    <row r="1488" spans="1:14" x14ac:dyDescent="0.3">
      <c r="A1488" t="s">
        <v>4728</v>
      </c>
      <c r="B1488" s="1">
        <v>45730</v>
      </c>
      <c r="C1488" t="s">
        <v>566</v>
      </c>
      <c r="D1488" t="s">
        <v>36</v>
      </c>
      <c r="E1488">
        <v>509</v>
      </c>
      <c r="F1488" t="s">
        <v>3262</v>
      </c>
      <c r="G1488">
        <v>35472.21</v>
      </c>
      <c r="H1488" t="s">
        <v>573</v>
      </c>
      <c r="I1488">
        <v>76.55</v>
      </c>
      <c r="J1488" t="s">
        <v>3263</v>
      </c>
      <c r="K1488">
        <v>69.69</v>
      </c>
      <c r="L1488" s="1">
        <v>45790</v>
      </c>
      <c r="M1488">
        <f>G1488*IF(D1488="INR",1,INDEX('rates'!$B$2:$B$522,MATCH(B1488,'rates'!$A$2:$A$522,1)))</f>
        <v>3086082.27</v>
      </c>
      <c r="N1488">
        <f t="shared" si="23"/>
        <v>60</v>
      </c>
    </row>
    <row r="1489" spans="1:14" x14ac:dyDescent="0.3">
      <c r="A1489" t="s">
        <v>4732</v>
      </c>
      <c r="B1489" s="1">
        <v>45734</v>
      </c>
      <c r="C1489" t="s">
        <v>575</v>
      </c>
      <c r="D1489" t="s">
        <v>36</v>
      </c>
      <c r="E1489">
        <v>574</v>
      </c>
      <c r="F1489" t="s">
        <v>3262</v>
      </c>
      <c r="G1489">
        <v>41919.22</v>
      </c>
      <c r="H1489" t="s">
        <v>556</v>
      </c>
      <c r="J1489" t="s">
        <v>3263</v>
      </c>
      <c r="K1489">
        <v>73.03</v>
      </c>
      <c r="L1489" s="1">
        <v>45794</v>
      </c>
      <c r="M1489">
        <f>G1489*IF(D1489="INR",1,INDEX('rates'!$B$2:$B$522,MATCH(B1489,'rates'!$A$2:$A$522,1)))</f>
        <v>3626012.5300000003</v>
      </c>
      <c r="N1489">
        <f t="shared" si="23"/>
        <v>60</v>
      </c>
    </row>
    <row r="1490" spans="1:14" x14ac:dyDescent="0.3">
      <c r="A1490" t="s">
        <v>4734</v>
      </c>
      <c r="B1490" s="1">
        <v>45735</v>
      </c>
      <c r="C1490" t="s">
        <v>560</v>
      </c>
      <c r="D1490" t="s">
        <v>36</v>
      </c>
      <c r="E1490">
        <v>744</v>
      </c>
      <c r="F1490" t="s">
        <v>3262</v>
      </c>
      <c r="G1490">
        <v>51968.4</v>
      </c>
      <c r="H1490" t="s">
        <v>556</v>
      </c>
      <c r="J1490" t="s">
        <v>3263</v>
      </c>
      <c r="K1490">
        <v>69.849999999999994</v>
      </c>
      <c r="L1490" s="1">
        <v>45795</v>
      </c>
      <c r="M1490">
        <f>G1490*IF(D1490="INR",1,INDEX('rates'!$B$2:$B$522,MATCH(B1490,'rates'!$A$2:$A$522,1)))</f>
        <v>4491628.8120000008</v>
      </c>
      <c r="N1490">
        <f t="shared" si="23"/>
        <v>60</v>
      </c>
    </row>
    <row r="1491" spans="1:14" x14ac:dyDescent="0.3">
      <c r="A1491" t="s">
        <v>4736</v>
      </c>
      <c r="B1491" s="1">
        <v>45736</v>
      </c>
      <c r="C1491" t="s">
        <v>575</v>
      </c>
      <c r="D1491" t="s">
        <v>13</v>
      </c>
      <c r="E1491">
        <v>91523</v>
      </c>
      <c r="F1491" t="s">
        <v>3270</v>
      </c>
      <c r="G1491">
        <v>7010661.7999999998</v>
      </c>
      <c r="H1491" t="s">
        <v>556</v>
      </c>
      <c r="J1491" t="s">
        <v>3271</v>
      </c>
      <c r="K1491">
        <v>76.599999999999994</v>
      </c>
      <c r="L1491" s="1">
        <v>45796</v>
      </c>
      <c r="M1491">
        <f>G1491*IF(D1491="INR",1,INDEX('rates'!$B$2:$B$522,MATCH(B1491,'rates'!$A$2:$A$522,1)))</f>
        <v>7010661.7999999998</v>
      </c>
      <c r="N1491">
        <f t="shared" si="23"/>
        <v>60</v>
      </c>
    </row>
    <row r="1492" spans="1:14" x14ac:dyDescent="0.3">
      <c r="A1492" t="s">
        <v>4743</v>
      </c>
      <c r="B1492" s="1">
        <v>45740</v>
      </c>
      <c r="C1492" t="s">
        <v>558</v>
      </c>
      <c r="D1492" t="s">
        <v>36</v>
      </c>
      <c r="E1492">
        <v>1677</v>
      </c>
      <c r="F1492" t="s">
        <v>3262</v>
      </c>
      <c r="G1492">
        <v>123527.82</v>
      </c>
      <c r="H1492" t="s">
        <v>556</v>
      </c>
      <c r="J1492" t="s">
        <v>3263</v>
      </c>
      <c r="K1492">
        <v>73.66</v>
      </c>
      <c r="L1492" s="1">
        <v>45800</v>
      </c>
      <c r="M1492">
        <f>G1492*IF(D1492="INR",1,INDEX('rates'!$B$2:$B$522,MATCH(B1492,'rates'!$A$2:$A$522,1)))</f>
        <v>10569040.279200001</v>
      </c>
      <c r="N1492">
        <f t="shared" si="23"/>
        <v>60</v>
      </c>
    </row>
    <row r="1493" spans="1:14" x14ac:dyDescent="0.3">
      <c r="A1493" t="s">
        <v>4746</v>
      </c>
      <c r="B1493" s="1">
        <v>45740</v>
      </c>
      <c r="C1493" t="s">
        <v>558</v>
      </c>
      <c r="D1493" t="s">
        <v>36</v>
      </c>
      <c r="E1493">
        <v>1427</v>
      </c>
      <c r="F1493" t="s">
        <v>3262</v>
      </c>
      <c r="G1493">
        <v>103243.45</v>
      </c>
      <c r="H1493" t="s">
        <v>573</v>
      </c>
      <c r="I1493">
        <v>75.83</v>
      </c>
      <c r="J1493" t="s">
        <v>3263</v>
      </c>
      <c r="K1493">
        <v>72.349999999999994</v>
      </c>
      <c r="L1493" s="1">
        <v>45800</v>
      </c>
      <c r="M1493">
        <f>G1493*IF(D1493="INR",1,INDEX('rates'!$B$2:$B$522,MATCH(B1493,'rates'!$A$2:$A$522,1)))</f>
        <v>8833509.5820000004</v>
      </c>
      <c r="N1493">
        <f t="shared" si="23"/>
        <v>60</v>
      </c>
    </row>
    <row r="1494" spans="1:14" x14ac:dyDescent="0.3">
      <c r="A1494" t="s">
        <v>4748</v>
      </c>
      <c r="B1494" s="1">
        <v>45740</v>
      </c>
      <c r="C1494" t="s">
        <v>558</v>
      </c>
      <c r="D1494" t="s">
        <v>36</v>
      </c>
      <c r="E1494">
        <v>421</v>
      </c>
      <c r="F1494" t="s">
        <v>3262</v>
      </c>
      <c r="G1494">
        <v>29975.200000000001</v>
      </c>
      <c r="H1494" t="s">
        <v>556</v>
      </c>
      <c r="J1494" t="s">
        <v>3263</v>
      </c>
      <c r="K1494">
        <v>71.2</v>
      </c>
      <c r="L1494" s="1">
        <v>45800</v>
      </c>
      <c r="M1494">
        <f>G1494*IF(D1494="INR",1,INDEX('rates'!$B$2:$B$522,MATCH(B1494,'rates'!$A$2:$A$522,1)))</f>
        <v>2564678.1120000002</v>
      </c>
      <c r="N1494">
        <f t="shared" si="23"/>
        <v>60</v>
      </c>
    </row>
    <row r="1495" spans="1:14" x14ac:dyDescent="0.3">
      <c r="A1495" t="s">
        <v>4758</v>
      </c>
      <c r="B1495" s="1">
        <v>45744</v>
      </c>
      <c r="C1495" t="s">
        <v>558</v>
      </c>
      <c r="D1495" t="s">
        <v>36</v>
      </c>
      <c r="E1495">
        <v>1350</v>
      </c>
      <c r="F1495" t="s">
        <v>3262</v>
      </c>
      <c r="G1495">
        <v>102667.5</v>
      </c>
      <c r="H1495" t="s">
        <v>556</v>
      </c>
      <c r="J1495" t="s">
        <v>3263</v>
      </c>
      <c r="K1495">
        <v>76.05</v>
      </c>
      <c r="L1495" s="1">
        <v>45804</v>
      </c>
      <c r="M1495">
        <f>G1495*IF(D1495="INR",1,INDEX('rates'!$B$2:$B$522,MATCH(B1495,'rates'!$A$2:$A$522,1)))</f>
        <v>8779097.9250000007</v>
      </c>
      <c r="N1495">
        <f t="shared" si="23"/>
        <v>60</v>
      </c>
    </row>
    <row r="1496" spans="1:14" x14ac:dyDescent="0.3">
      <c r="A1496" t="s">
        <v>4762</v>
      </c>
      <c r="B1496" s="1">
        <v>45747</v>
      </c>
      <c r="C1496" t="s">
        <v>560</v>
      </c>
      <c r="D1496" t="s">
        <v>36</v>
      </c>
      <c r="E1496">
        <v>869</v>
      </c>
      <c r="F1496" t="s">
        <v>3262</v>
      </c>
      <c r="G1496">
        <v>65470.46</v>
      </c>
      <c r="H1496" t="s">
        <v>556</v>
      </c>
      <c r="J1496" t="s">
        <v>3263</v>
      </c>
      <c r="K1496">
        <v>75.34</v>
      </c>
      <c r="L1496" s="1">
        <v>45807</v>
      </c>
      <c r="M1496">
        <f>G1496*IF(D1496="INR",1,INDEX('rates'!$B$2:$B$522,MATCH(B1496,'rates'!$A$2:$A$522,1)))</f>
        <v>5593141.3978000004</v>
      </c>
      <c r="N1496">
        <f t="shared" si="23"/>
        <v>60</v>
      </c>
    </row>
    <row r="1497" spans="1:14" x14ac:dyDescent="0.3">
      <c r="A1497" t="s">
        <v>3470</v>
      </c>
      <c r="B1497" s="1">
        <v>45121</v>
      </c>
      <c r="C1497" t="s">
        <v>566</v>
      </c>
      <c r="D1497" t="s">
        <v>36</v>
      </c>
      <c r="E1497">
        <v>592</v>
      </c>
      <c r="F1497" t="s">
        <v>3262</v>
      </c>
      <c r="G1497">
        <v>46998.879999999997</v>
      </c>
      <c r="H1497" t="s">
        <v>573</v>
      </c>
      <c r="I1497">
        <v>88.36</v>
      </c>
      <c r="J1497" t="s">
        <v>3263</v>
      </c>
      <c r="K1497">
        <v>79.39</v>
      </c>
      <c r="L1497" s="1"/>
      <c r="M1497">
        <f>G1497*IF(D1497="INR",1,INDEX('rates'!$B$2:$B$522,MATCH(B1497,'rates'!$A$2:$A$522,1)))</f>
        <v>3861427.9807999996</v>
      </c>
      <c r="N1497" t="str">
        <f t="shared" si="23"/>
        <v/>
      </c>
    </row>
    <row r="1498" spans="1:14" x14ac:dyDescent="0.3">
      <c r="A1498" t="s">
        <v>3788</v>
      </c>
      <c r="B1498" s="1">
        <v>45292</v>
      </c>
      <c r="C1498" t="s">
        <v>558</v>
      </c>
      <c r="D1498" t="s">
        <v>36</v>
      </c>
      <c r="E1498">
        <v>292</v>
      </c>
      <c r="F1498" t="s">
        <v>3262</v>
      </c>
      <c r="G1498">
        <v>22165.72</v>
      </c>
      <c r="H1498" t="s">
        <v>556</v>
      </c>
      <c r="J1498" t="s">
        <v>3263</v>
      </c>
      <c r="K1498">
        <v>75.91</v>
      </c>
      <c r="L1498" s="1"/>
      <c r="M1498">
        <f>G1498*IF(D1498="INR",1,INDEX('rates'!$B$2:$B$522,MATCH(B1498,'rates'!$A$2:$A$522,1)))</f>
        <v>1843966.2468000001</v>
      </c>
      <c r="N1498" t="str">
        <f t="shared" si="23"/>
        <v/>
      </c>
    </row>
    <row r="1499" spans="1:14" x14ac:dyDescent="0.3">
      <c r="A1499" t="s">
        <v>3966</v>
      </c>
      <c r="B1499" s="1">
        <v>45377</v>
      </c>
      <c r="C1499" t="s">
        <v>575</v>
      </c>
      <c r="D1499" t="s">
        <v>36</v>
      </c>
      <c r="E1499">
        <v>4988</v>
      </c>
      <c r="F1499" t="s">
        <v>3262</v>
      </c>
      <c r="G1499">
        <v>436898.92</v>
      </c>
      <c r="H1499" t="s">
        <v>556</v>
      </c>
      <c r="J1499" t="s">
        <v>3263</v>
      </c>
      <c r="K1499">
        <v>87.59</v>
      </c>
      <c r="L1499" s="1"/>
      <c r="M1499">
        <f>G1499*IF(D1499="INR",1,INDEX('rates'!$B$2:$B$522,MATCH(B1499,'rates'!$A$2:$A$522,1)))</f>
        <v>36402418.014399998</v>
      </c>
      <c r="N1499" t="str">
        <f t="shared" si="23"/>
        <v/>
      </c>
    </row>
    <row r="1500" spans="1:14" x14ac:dyDescent="0.3">
      <c r="A1500" t="s">
        <v>4062</v>
      </c>
      <c r="B1500" s="1">
        <v>45420</v>
      </c>
      <c r="C1500" t="s">
        <v>560</v>
      </c>
      <c r="D1500" t="s">
        <v>36</v>
      </c>
      <c r="E1500">
        <v>698</v>
      </c>
      <c r="F1500" t="s">
        <v>3262</v>
      </c>
      <c r="G1500">
        <v>59762.76</v>
      </c>
      <c r="H1500" t="s">
        <v>573</v>
      </c>
      <c r="I1500">
        <v>82.04</v>
      </c>
      <c r="J1500" t="s">
        <v>3263</v>
      </c>
      <c r="K1500">
        <v>85.62</v>
      </c>
      <c r="L1500" s="1"/>
      <c r="M1500">
        <f>G1500*IF(D1500="INR",1,INDEX('rates'!$B$2:$B$522,MATCH(B1500,'rates'!$A$2:$A$522,1)))</f>
        <v>4987202.3220000006</v>
      </c>
      <c r="N1500" t="str">
        <f t="shared" si="23"/>
        <v/>
      </c>
    </row>
    <row r="1501" spans="1:14" x14ac:dyDescent="0.3">
      <c r="A1501" t="s">
        <v>4170</v>
      </c>
      <c r="B1501" s="1">
        <v>45471</v>
      </c>
      <c r="C1501" t="s">
        <v>566</v>
      </c>
      <c r="D1501" t="s">
        <v>36</v>
      </c>
      <c r="E1501">
        <v>2170</v>
      </c>
      <c r="F1501" t="s">
        <v>3262</v>
      </c>
      <c r="G1501">
        <v>192978.1</v>
      </c>
      <c r="H1501" t="s">
        <v>573</v>
      </c>
      <c r="I1501">
        <v>89.84</v>
      </c>
      <c r="J1501" t="s">
        <v>3263</v>
      </c>
      <c r="K1501">
        <v>88.93</v>
      </c>
      <c r="L1501" s="1"/>
      <c r="M1501">
        <f>G1501*IF(D1501="INR",1,INDEX('rates'!$B$2:$B$522,MATCH(B1501,'rates'!$A$2:$A$522,1)))</f>
        <v>16080865.073000001</v>
      </c>
      <c r="N1501" t="str">
        <f t="shared" si="23"/>
        <v/>
      </c>
    </row>
    <row r="1502" spans="1:14" x14ac:dyDescent="0.3">
      <c r="B1502" s="1"/>
      <c r="L150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1A3B-542C-40B9-B830-B1031D9D9BE9}">
  <dimension ref="A1:H1564"/>
  <sheetViews>
    <sheetView workbookViewId="0">
      <selection activeCell="D18" sqref="D18"/>
    </sheetView>
  </sheetViews>
  <sheetFormatPr defaultRowHeight="14.4" x14ac:dyDescent="0.3"/>
  <cols>
    <col min="1" max="1" width="10" bestFit="1" customWidth="1"/>
    <col min="2" max="2" width="10.33203125" bestFit="1" customWidth="1"/>
    <col min="3" max="3" width="9.21875" bestFit="1" customWidth="1"/>
    <col min="4" max="4" width="12.77734375" bestFit="1" customWidth="1"/>
    <col min="5" max="5" width="8" bestFit="1" customWidth="1"/>
    <col min="6" max="6" width="12.5546875" bestFit="1" customWidth="1"/>
    <col min="7" max="7" width="48.5546875" bestFit="1" customWidth="1"/>
    <col min="8" max="8" width="16.44140625" bestFit="1" customWidth="1"/>
  </cols>
  <sheetData>
    <row r="1" spans="1:8" x14ac:dyDescent="0.3">
      <c r="A1" t="s">
        <v>4917</v>
      </c>
      <c r="B1" t="s">
        <v>4918</v>
      </c>
      <c r="C1" t="s">
        <v>4919</v>
      </c>
      <c r="D1" t="s">
        <v>4920</v>
      </c>
      <c r="E1" t="s">
        <v>4921</v>
      </c>
      <c r="F1" t="s">
        <v>3255</v>
      </c>
      <c r="G1" t="s">
        <v>4922</v>
      </c>
      <c r="H1" t="s">
        <v>4923</v>
      </c>
    </row>
    <row r="2" spans="1:8" x14ac:dyDescent="0.3">
      <c r="A2" t="s">
        <v>4924</v>
      </c>
      <c r="B2" s="1">
        <v>45019</v>
      </c>
      <c r="C2" t="s">
        <v>4925</v>
      </c>
      <c r="D2" t="s">
        <v>4926</v>
      </c>
      <c r="E2">
        <v>89.567599999999999</v>
      </c>
      <c r="F2" t="s">
        <v>4927</v>
      </c>
      <c r="G2" t="s">
        <v>4928</v>
      </c>
      <c r="H2" t="s">
        <v>4929</v>
      </c>
    </row>
    <row r="3" spans="1:8" x14ac:dyDescent="0.3">
      <c r="A3" t="s">
        <v>4930</v>
      </c>
      <c r="B3" s="1">
        <v>45020</v>
      </c>
      <c r="C3" t="s">
        <v>4925</v>
      </c>
      <c r="D3" t="s">
        <v>4926</v>
      </c>
      <c r="E3">
        <v>90.159599999999998</v>
      </c>
      <c r="F3" t="s">
        <v>4927</v>
      </c>
      <c r="G3" t="s">
        <v>4928</v>
      </c>
      <c r="H3" t="s">
        <v>4929</v>
      </c>
    </row>
    <row r="4" spans="1:8" x14ac:dyDescent="0.3">
      <c r="A4" t="s">
        <v>4931</v>
      </c>
      <c r="B4" s="1">
        <v>45021</v>
      </c>
      <c r="C4" t="s">
        <v>4925</v>
      </c>
      <c r="D4" t="s">
        <v>4926</v>
      </c>
      <c r="E4">
        <v>89.407499999999999</v>
      </c>
      <c r="F4" t="s">
        <v>4927</v>
      </c>
      <c r="G4" t="s">
        <v>4928</v>
      </c>
      <c r="H4" t="s">
        <v>4929</v>
      </c>
    </row>
    <row r="5" spans="1:8" x14ac:dyDescent="0.3">
      <c r="A5" t="s">
        <v>4932</v>
      </c>
      <c r="B5" s="1">
        <v>45022</v>
      </c>
      <c r="C5" t="s">
        <v>4925</v>
      </c>
      <c r="D5" t="s">
        <v>4926</v>
      </c>
      <c r="E5">
        <v>89.448400000000007</v>
      </c>
      <c r="F5" t="s">
        <v>4927</v>
      </c>
      <c r="G5" t="s">
        <v>4928</v>
      </c>
      <c r="H5" t="s">
        <v>4929</v>
      </c>
    </row>
    <row r="6" spans="1:8" x14ac:dyDescent="0.3">
      <c r="A6" t="s">
        <v>4933</v>
      </c>
      <c r="B6" s="1">
        <v>45023</v>
      </c>
      <c r="C6" t="s">
        <v>4925</v>
      </c>
      <c r="D6" t="s">
        <v>4926</v>
      </c>
      <c r="E6">
        <v>89.322900000000004</v>
      </c>
      <c r="F6" t="s">
        <v>4927</v>
      </c>
      <c r="G6" t="s">
        <v>4928</v>
      </c>
      <c r="H6" t="s">
        <v>4929</v>
      </c>
    </row>
    <row r="7" spans="1:8" x14ac:dyDescent="0.3">
      <c r="A7" t="s">
        <v>4934</v>
      </c>
      <c r="B7" s="1">
        <v>45026</v>
      </c>
      <c r="C7" t="s">
        <v>4925</v>
      </c>
      <c r="D7" t="s">
        <v>4926</v>
      </c>
      <c r="E7">
        <v>88.898799999999994</v>
      </c>
      <c r="F7" t="s">
        <v>4927</v>
      </c>
      <c r="G7" t="s">
        <v>4928</v>
      </c>
      <c r="H7" t="s">
        <v>4929</v>
      </c>
    </row>
    <row r="8" spans="1:8" x14ac:dyDescent="0.3">
      <c r="A8" t="s">
        <v>4935</v>
      </c>
      <c r="B8" s="1">
        <v>45027</v>
      </c>
      <c r="C8" t="s">
        <v>4925</v>
      </c>
      <c r="D8" t="s">
        <v>4926</v>
      </c>
      <c r="E8">
        <v>89.472800000000007</v>
      </c>
      <c r="F8" t="s">
        <v>4927</v>
      </c>
      <c r="G8" t="s">
        <v>4928</v>
      </c>
      <c r="H8" t="s">
        <v>4929</v>
      </c>
    </row>
    <row r="9" spans="1:8" x14ac:dyDescent="0.3">
      <c r="A9" t="s">
        <v>4936</v>
      </c>
      <c r="B9" s="1">
        <v>45028</v>
      </c>
      <c r="C9" t="s">
        <v>4925</v>
      </c>
      <c r="D9" t="s">
        <v>4926</v>
      </c>
      <c r="E9">
        <v>90.071399999999997</v>
      </c>
      <c r="F9" t="s">
        <v>4927</v>
      </c>
      <c r="G9" t="s">
        <v>4928</v>
      </c>
      <c r="H9" t="s">
        <v>4929</v>
      </c>
    </row>
    <row r="10" spans="1:8" x14ac:dyDescent="0.3">
      <c r="A10" t="s">
        <v>4937</v>
      </c>
      <c r="B10" s="1">
        <v>45029</v>
      </c>
      <c r="C10" t="s">
        <v>4925</v>
      </c>
      <c r="D10" t="s">
        <v>4926</v>
      </c>
      <c r="E10">
        <v>90.255899999999997</v>
      </c>
      <c r="F10" t="s">
        <v>4927</v>
      </c>
      <c r="G10" t="s">
        <v>4928</v>
      </c>
      <c r="H10" t="s">
        <v>4929</v>
      </c>
    </row>
    <row r="11" spans="1:8" x14ac:dyDescent="0.3">
      <c r="A11" t="s">
        <v>4938</v>
      </c>
      <c r="B11" s="1">
        <v>45030</v>
      </c>
      <c r="C11" t="s">
        <v>4925</v>
      </c>
      <c r="D11" t="s">
        <v>4926</v>
      </c>
      <c r="E11">
        <v>89.904200000000003</v>
      </c>
      <c r="F11" t="s">
        <v>4927</v>
      </c>
      <c r="G11" t="s">
        <v>4928</v>
      </c>
      <c r="H11" t="s">
        <v>4929</v>
      </c>
    </row>
    <row r="12" spans="1:8" x14ac:dyDescent="0.3">
      <c r="A12" t="s">
        <v>4939</v>
      </c>
      <c r="B12" s="1">
        <v>45033</v>
      </c>
      <c r="C12" t="s">
        <v>4925</v>
      </c>
      <c r="D12" t="s">
        <v>4926</v>
      </c>
      <c r="E12">
        <v>89.481200000000001</v>
      </c>
      <c r="F12" t="s">
        <v>4927</v>
      </c>
      <c r="G12" t="s">
        <v>4928</v>
      </c>
      <c r="H12" t="s">
        <v>4929</v>
      </c>
    </row>
    <row r="13" spans="1:8" x14ac:dyDescent="0.3">
      <c r="A13" t="s">
        <v>4940</v>
      </c>
      <c r="B13" s="1">
        <v>45034</v>
      </c>
      <c r="C13" t="s">
        <v>4925</v>
      </c>
      <c r="D13" t="s">
        <v>4926</v>
      </c>
      <c r="E13">
        <v>89.943299999999994</v>
      </c>
      <c r="F13" t="s">
        <v>4927</v>
      </c>
      <c r="G13" t="s">
        <v>4928</v>
      </c>
      <c r="H13" t="s">
        <v>4929</v>
      </c>
    </row>
    <row r="14" spans="1:8" x14ac:dyDescent="0.3">
      <c r="A14" t="s">
        <v>4941</v>
      </c>
      <c r="B14" s="1">
        <v>45035</v>
      </c>
      <c r="C14" t="s">
        <v>4925</v>
      </c>
      <c r="D14" t="s">
        <v>4926</v>
      </c>
      <c r="E14">
        <v>90.011799999999994</v>
      </c>
      <c r="F14" t="s">
        <v>4927</v>
      </c>
      <c r="G14" t="s">
        <v>4928</v>
      </c>
      <c r="H14" t="s">
        <v>4929</v>
      </c>
    </row>
    <row r="15" spans="1:8" x14ac:dyDescent="0.3">
      <c r="A15" t="s">
        <v>4942</v>
      </c>
      <c r="B15" s="1">
        <v>45036</v>
      </c>
      <c r="C15" t="s">
        <v>4925</v>
      </c>
      <c r="D15" t="s">
        <v>4926</v>
      </c>
      <c r="E15">
        <v>90.063699999999997</v>
      </c>
      <c r="F15" t="s">
        <v>4927</v>
      </c>
      <c r="G15" t="s">
        <v>4928</v>
      </c>
      <c r="H15" t="s">
        <v>4929</v>
      </c>
    </row>
    <row r="16" spans="1:8" x14ac:dyDescent="0.3">
      <c r="A16" t="s">
        <v>4943</v>
      </c>
      <c r="B16" s="1">
        <v>45037</v>
      </c>
      <c r="C16" t="s">
        <v>4925</v>
      </c>
      <c r="D16" t="s">
        <v>4926</v>
      </c>
      <c r="E16">
        <v>90.044399999999996</v>
      </c>
      <c r="F16" t="s">
        <v>4927</v>
      </c>
      <c r="G16" t="s">
        <v>4928</v>
      </c>
      <c r="H16" t="s">
        <v>4929</v>
      </c>
    </row>
    <row r="17" spans="1:8" x14ac:dyDescent="0.3">
      <c r="A17" t="s">
        <v>4944</v>
      </c>
      <c r="B17" s="1">
        <v>45040</v>
      </c>
      <c r="C17" t="s">
        <v>4925</v>
      </c>
      <c r="D17" t="s">
        <v>4926</v>
      </c>
      <c r="E17">
        <v>90.311099999999996</v>
      </c>
      <c r="F17" t="s">
        <v>4927</v>
      </c>
      <c r="G17" t="s">
        <v>4928</v>
      </c>
      <c r="H17" t="s">
        <v>4929</v>
      </c>
    </row>
    <row r="18" spans="1:8" x14ac:dyDescent="0.3">
      <c r="A18" t="s">
        <v>4945</v>
      </c>
      <c r="B18" s="1">
        <v>45041</v>
      </c>
      <c r="C18" t="s">
        <v>4925</v>
      </c>
      <c r="D18" t="s">
        <v>4926</v>
      </c>
      <c r="E18">
        <v>89.849900000000005</v>
      </c>
      <c r="F18" t="s">
        <v>4927</v>
      </c>
      <c r="G18" t="s">
        <v>4928</v>
      </c>
      <c r="H18" t="s">
        <v>4929</v>
      </c>
    </row>
    <row r="19" spans="1:8" x14ac:dyDescent="0.3">
      <c r="A19" t="s">
        <v>4946</v>
      </c>
      <c r="B19" s="1">
        <v>45042</v>
      </c>
      <c r="C19" t="s">
        <v>4925</v>
      </c>
      <c r="D19" t="s">
        <v>4926</v>
      </c>
      <c r="E19">
        <v>90.338999999999999</v>
      </c>
      <c r="F19" t="s">
        <v>4927</v>
      </c>
      <c r="G19" t="s">
        <v>4928</v>
      </c>
      <c r="H19" t="s">
        <v>4929</v>
      </c>
    </row>
    <row r="20" spans="1:8" x14ac:dyDescent="0.3">
      <c r="A20" t="s">
        <v>4947</v>
      </c>
      <c r="B20" s="1">
        <v>45043</v>
      </c>
      <c r="C20" t="s">
        <v>4925</v>
      </c>
      <c r="D20" t="s">
        <v>4926</v>
      </c>
      <c r="E20">
        <v>90.1631</v>
      </c>
      <c r="F20" t="s">
        <v>4927</v>
      </c>
      <c r="G20" t="s">
        <v>4928</v>
      </c>
      <c r="H20" t="s">
        <v>4929</v>
      </c>
    </row>
    <row r="21" spans="1:8" x14ac:dyDescent="0.3">
      <c r="A21" t="s">
        <v>4948</v>
      </c>
      <c r="B21" s="1">
        <v>45044</v>
      </c>
      <c r="C21" t="s">
        <v>4925</v>
      </c>
      <c r="D21" t="s">
        <v>4926</v>
      </c>
      <c r="E21">
        <v>90.351399999999998</v>
      </c>
      <c r="F21" t="s">
        <v>4927</v>
      </c>
      <c r="G21" t="s">
        <v>4928</v>
      </c>
      <c r="H21" t="s">
        <v>4929</v>
      </c>
    </row>
    <row r="22" spans="1:8" x14ac:dyDescent="0.3">
      <c r="A22" t="s">
        <v>4949</v>
      </c>
      <c r="B22" s="1">
        <v>45047</v>
      </c>
      <c r="C22" t="s">
        <v>4925</v>
      </c>
      <c r="D22" t="s">
        <v>4926</v>
      </c>
      <c r="E22">
        <v>89.778499999999994</v>
      </c>
      <c r="F22" t="s">
        <v>4927</v>
      </c>
      <c r="G22" t="s">
        <v>4928</v>
      </c>
      <c r="H22" t="s">
        <v>4929</v>
      </c>
    </row>
    <row r="23" spans="1:8" x14ac:dyDescent="0.3">
      <c r="A23" t="s">
        <v>4950</v>
      </c>
      <c r="B23" s="1">
        <v>45048</v>
      </c>
      <c r="C23" t="s">
        <v>4925</v>
      </c>
      <c r="D23" t="s">
        <v>4926</v>
      </c>
      <c r="E23">
        <v>90.054400000000001</v>
      </c>
      <c r="F23" t="s">
        <v>4927</v>
      </c>
      <c r="G23" t="s">
        <v>4928</v>
      </c>
      <c r="H23" t="s">
        <v>4929</v>
      </c>
    </row>
    <row r="24" spans="1:8" x14ac:dyDescent="0.3">
      <c r="A24" t="s">
        <v>4951</v>
      </c>
      <c r="B24" s="1">
        <v>45049</v>
      </c>
      <c r="C24" t="s">
        <v>4925</v>
      </c>
      <c r="D24" t="s">
        <v>4926</v>
      </c>
      <c r="E24">
        <v>90.414000000000001</v>
      </c>
      <c r="F24" t="s">
        <v>4927</v>
      </c>
      <c r="G24" t="s">
        <v>4928</v>
      </c>
      <c r="H24" t="s">
        <v>4929</v>
      </c>
    </row>
    <row r="25" spans="1:8" x14ac:dyDescent="0.3">
      <c r="A25" t="s">
        <v>4952</v>
      </c>
      <c r="B25" s="1">
        <v>45050</v>
      </c>
      <c r="C25" t="s">
        <v>4925</v>
      </c>
      <c r="D25" t="s">
        <v>4926</v>
      </c>
      <c r="E25">
        <v>89.976600000000005</v>
      </c>
      <c r="F25" t="s">
        <v>4927</v>
      </c>
      <c r="G25" t="s">
        <v>4928</v>
      </c>
      <c r="H25" t="s">
        <v>4929</v>
      </c>
    </row>
    <row r="26" spans="1:8" x14ac:dyDescent="0.3">
      <c r="A26" t="s">
        <v>4953</v>
      </c>
      <c r="B26" s="1">
        <v>45051</v>
      </c>
      <c r="C26" t="s">
        <v>4925</v>
      </c>
      <c r="D26" t="s">
        <v>4926</v>
      </c>
      <c r="E26">
        <v>90.203699999999998</v>
      </c>
      <c r="F26" t="s">
        <v>4927</v>
      </c>
      <c r="G26" t="s">
        <v>4928</v>
      </c>
      <c r="H26" t="s">
        <v>4929</v>
      </c>
    </row>
    <row r="27" spans="1:8" x14ac:dyDescent="0.3">
      <c r="A27" t="s">
        <v>4954</v>
      </c>
      <c r="B27" s="1">
        <v>45054</v>
      </c>
      <c r="C27" t="s">
        <v>4925</v>
      </c>
      <c r="D27" t="s">
        <v>4926</v>
      </c>
      <c r="E27">
        <v>90.121600000000001</v>
      </c>
      <c r="F27" t="s">
        <v>4927</v>
      </c>
      <c r="G27" t="s">
        <v>4928</v>
      </c>
      <c r="H27" t="s">
        <v>4929</v>
      </c>
    </row>
    <row r="28" spans="1:8" x14ac:dyDescent="0.3">
      <c r="A28" t="s">
        <v>4955</v>
      </c>
      <c r="B28" s="1">
        <v>45055</v>
      </c>
      <c r="C28" t="s">
        <v>4925</v>
      </c>
      <c r="D28" t="s">
        <v>4926</v>
      </c>
      <c r="E28">
        <v>89.858400000000003</v>
      </c>
      <c r="F28" t="s">
        <v>4927</v>
      </c>
      <c r="G28" t="s">
        <v>4928</v>
      </c>
      <c r="H28" t="s">
        <v>4929</v>
      </c>
    </row>
    <row r="29" spans="1:8" x14ac:dyDescent="0.3">
      <c r="A29" t="s">
        <v>4956</v>
      </c>
      <c r="B29" s="1">
        <v>45056</v>
      </c>
      <c r="C29" t="s">
        <v>4925</v>
      </c>
      <c r="D29" t="s">
        <v>4926</v>
      </c>
      <c r="E29">
        <v>89.855400000000003</v>
      </c>
      <c r="F29" t="s">
        <v>4927</v>
      </c>
      <c r="G29" t="s">
        <v>4928</v>
      </c>
      <c r="H29" t="s">
        <v>4929</v>
      </c>
    </row>
    <row r="30" spans="1:8" x14ac:dyDescent="0.3">
      <c r="A30" t="s">
        <v>4957</v>
      </c>
      <c r="B30" s="1">
        <v>45057</v>
      </c>
      <c r="C30" t="s">
        <v>4925</v>
      </c>
      <c r="D30" t="s">
        <v>4926</v>
      </c>
      <c r="E30">
        <v>89.653099999999995</v>
      </c>
      <c r="F30" t="s">
        <v>4927</v>
      </c>
      <c r="G30" t="s">
        <v>4928</v>
      </c>
      <c r="H30" t="s">
        <v>4929</v>
      </c>
    </row>
    <row r="31" spans="1:8" x14ac:dyDescent="0.3">
      <c r="A31" t="s">
        <v>4958</v>
      </c>
      <c r="B31" s="1">
        <v>45058</v>
      </c>
      <c r="C31" t="s">
        <v>4925</v>
      </c>
      <c r="D31" t="s">
        <v>4926</v>
      </c>
      <c r="E31">
        <v>89.203800000000001</v>
      </c>
      <c r="F31" t="s">
        <v>4927</v>
      </c>
      <c r="G31" t="s">
        <v>4928</v>
      </c>
      <c r="H31" t="s">
        <v>4929</v>
      </c>
    </row>
    <row r="32" spans="1:8" x14ac:dyDescent="0.3">
      <c r="A32" t="s">
        <v>4959</v>
      </c>
      <c r="B32" s="1">
        <v>45061</v>
      </c>
      <c r="C32" t="s">
        <v>4925</v>
      </c>
      <c r="D32" t="s">
        <v>4926</v>
      </c>
      <c r="E32">
        <v>89.492999999999995</v>
      </c>
      <c r="F32" t="s">
        <v>4927</v>
      </c>
      <c r="G32" t="s">
        <v>4928</v>
      </c>
      <c r="H32" t="s">
        <v>4929</v>
      </c>
    </row>
    <row r="33" spans="1:8" x14ac:dyDescent="0.3">
      <c r="A33" t="s">
        <v>4960</v>
      </c>
      <c r="B33" s="1">
        <v>45062</v>
      </c>
      <c r="C33" t="s">
        <v>4925</v>
      </c>
      <c r="D33" t="s">
        <v>4926</v>
      </c>
      <c r="E33">
        <v>89.383700000000005</v>
      </c>
      <c r="F33" t="s">
        <v>4927</v>
      </c>
      <c r="G33" t="s">
        <v>4928</v>
      </c>
      <c r="H33" t="s">
        <v>4929</v>
      </c>
    </row>
    <row r="34" spans="1:8" x14ac:dyDescent="0.3">
      <c r="A34" t="s">
        <v>4961</v>
      </c>
      <c r="B34" s="1">
        <v>45063</v>
      </c>
      <c r="C34" t="s">
        <v>4925</v>
      </c>
      <c r="D34" t="s">
        <v>4926</v>
      </c>
      <c r="E34">
        <v>89.228399999999993</v>
      </c>
      <c r="F34" t="s">
        <v>4927</v>
      </c>
      <c r="G34" t="s">
        <v>4928</v>
      </c>
      <c r="H34" t="s">
        <v>4929</v>
      </c>
    </row>
    <row r="35" spans="1:8" x14ac:dyDescent="0.3">
      <c r="A35" t="s">
        <v>4962</v>
      </c>
      <c r="B35" s="1">
        <v>45064</v>
      </c>
      <c r="C35" t="s">
        <v>4925</v>
      </c>
      <c r="D35" t="s">
        <v>4926</v>
      </c>
      <c r="E35">
        <v>89.192999999999998</v>
      </c>
      <c r="F35" t="s">
        <v>4927</v>
      </c>
      <c r="G35" t="s">
        <v>4928</v>
      </c>
      <c r="H35" t="s">
        <v>4929</v>
      </c>
    </row>
    <row r="36" spans="1:8" x14ac:dyDescent="0.3">
      <c r="A36" t="s">
        <v>4963</v>
      </c>
      <c r="B36" s="1">
        <v>45065</v>
      </c>
      <c r="C36" t="s">
        <v>4925</v>
      </c>
      <c r="D36" t="s">
        <v>4926</v>
      </c>
      <c r="E36">
        <v>89.418999999999997</v>
      </c>
      <c r="F36" t="s">
        <v>4927</v>
      </c>
      <c r="G36" t="s">
        <v>4928</v>
      </c>
      <c r="H36" t="s">
        <v>4929</v>
      </c>
    </row>
    <row r="37" spans="1:8" x14ac:dyDescent="0.3">
      <c r="A37" t="s">
        <v>4964</v>
      </c>
      <c r="B37" s="1">
        <v>45068</v>
      </c>
      <c r="C37" t="s">
        <v>4925</v>
      </c>
      <c r="D37" t="s">
        <v>4926</v>
      </c>
      <c r="E37">
        <v>89.506100000000004</v>
      </c>
      <c r="F37" t="s">
        <v>4927</v>
      </c>
      <c r="G37" t="s">
        <v>4928</v>
      </c>
      <c r="H37" t="s">
        <v>4929</v>
      </c>
    </row>
    <row r="38" spans="1:8" x14ac:dyDescent="0.3">
      <c r="A38" t="s">
        <v>4965</v>
      </c>
      <c r="B38" s="1">
        <v>45069</v>
      </c>
      <c r="C38" t="s">
        <v>4925</v>
      </c>
      <c r="D38" t="s">
        <v>4926</v>
      </c>
      <c r="E38">
        <v>89.227000000000004</v>
      </c>
      <c r="F38" t="s">
        <v>4927</v>
      </c>
      <c r="G38" t="s">
        <v>4928</v>
      </c>
      <c r="H38" t="s">
        <v>4929</v>
      </c>
    </row>
    <row r="39" spans="1:8" x14ac:dyDescent="0.3">
      <c r="A39" t="s">
        <v>4966</v>
      </c>
      <c r="B39" s="1">
        <v>45070</v>
      </c>
      <c r="C39" t="s">
        <v>4925</v>
      </c>
      <c r="D39" t="s">
        <v>4926</v>
      </c>
      <c r="E39">
        <v>88.925600000000003</v>
      </c>
      <c r="F39" t="s">
        <v>4927</v>
      </c>
      <c r="G39" t="s">
        <v>4928</v>
      </c>
      <c r="H39" t="s">
        <v>4929</v>
      </c>
    </row>
    <row r="40" spans="1:8" x14ac:dyDescent="0.3">
      <c r="A40" t="s">
        <v>4967</v>
      </c>
      <c r="B40" s="1">
        <v>45071</v>
      </c>
      <c r="C40" t="s">
        <v>4925</v>
      </c>
      <c r="D40" t="s">
        <v>4926</v>
      </c>
      <c r="E40">
        <v>88.760099999999994</v>
      </c>
      <c r="F40" t="s">
        <v>4927</v>
      </c>
      <c r="G40" t="s">
        <v>4928</v>
      </c>
      <c r="H40" t="s">
        <v>4929</v>
      </c>
    </row>
    <row r="41" spans="1:8" x14ac:dyDescent="0.3">
      <c r="A41" t="s">
        <v>4968</v>
      </c>
      <c r="B41" s="1">
        <v>45072</v>
      </c>
      <c r="C41" t="s">
        <v>4925</v>
      </c>
      <c r="D41" t="s">
        <v>4926</v>
      </c>
      <c r="E41">
        <v>88.468000000000004</v>
      </c>
      <c r="F41" t="s">
        <v>4927</v>
      </c>
      <c r="G41" t="s">
        <v>4928</v>
      </c>
      <c r="H41" t="s">
        <v>4929</v>
      </c>
    </row>
    <row r="42" spans="1:8" x14ac:dyDescent="0.3">
      <c r="A42" t="s">
        <v>4969</v>
      </c>
      <c r="B42" s="1">
        <v>45075</v>
      </c>
      <c r="C42" t="s">
        <v>4925</v>
      </c>
      <c r="D42" t="s">
        <v>4926</v>
      </c>
      <c r="E42">
        <v>88.468000000000004</v>
      </c>
      <c r="F42" t="s">
        <v>4927</v>
      </c>
      <c r="G42" t="s">
        <v>4928</v>
      </c>
      <c r="H42" t="s">
        <v>4970</v>
      </c>
    </row>
    <row r="43" spans="1:8" x14ac:dyDescent="0.3">
      <c r="A43" t="s">
        <v>4971</v>
      </c>
      <c r="B43" s="1">
        <v>45076</v>
      </c>
      <c r="C43" t="s">
        <v>4925</v>
      </c>
      <c r="D43" t="s">
        <v>4926</v>
      </c>
      <c r="E43">
        <v>88.638800000000003</v>
      </c>
      <c r="F43" t="s">
        <v>4927</v>
      </c>
      <c r="G43" t="s">
        <v>4928</v>
      </c>
      <c r="H43" t="s">
        <v>4929</v>
      </c>
    </row>
    <row r="44" spans="1:8" x14ac:dyDescent="0.3">
      <c r="A44" t="s">
        <v>4972</v>
      </c>
      <c r="B44" s="1">
        <v>45077</v>
      </c>
      <c r="C44" t="s">
        <v>4925</v>
      </c>
      <c r="D44" t="s">
        <v>4926</v>
      </c>
      <c r="E44">
        <v>88.087299999999999</v>
      </c>
      <c r="F44" t="s">
        <v>4927</v>
      </c>
      <c r="G44" t="s">
        <v>4928</v>
      </c>
      <c r="H44" t="s">
        <v>4929</v>
      </c>
    </row>
    <row r="45" spans="1:8" x14ac:dyDescent="0.3">
      <c r="A45" t="s">
        <v>4973</v>
      </c>
      <c r="B45" s="1">
        <v>45078</v>
      </c>
      <c r="C45" t="s">
        <v>4925</v>
      </c>
      <c r="D45" t="s">
        <v>4926</v>
      </c>
      <c r="E45">
        <v>88.607200000000006</v>
      </c>
      <c r="F45" t="s">
        <v>4927</v>
      </c>
      <c r="G45" t="s">
        <v>4928</v>
      </c>
      <c r="H45" t="s">
        <v>4929</v>
      </c>
    </row>
    <row r="46" spans="1:8" x14ac:dyDescent="0.3">
      <c r="A46" t="s">
        <v>4974</v>
      </c>
      <c r="B46" s="1">
        <v>45079</v>
      </c>
      <c r="C46" t="s">
        <v>4925</v>
      </c>
      <c r="D46" t="s">
        <v>4926</v>
      </c>
      <c r="E46">
        <v>88.312100000000001</v>
      </c>
      <c r="F46" t="s">
        <v>4927</v>
      </c>
      <c r="G46" t="s">
        <v>4928</v>
      </c>
      <c r="H46" t="s">
        <v>4929</v>
      </c>
    </row>
    <row r="47" spans="1:8" x14ac:dyDescent="0.3">
      <c r="A47" t="s">
        <v>4975</v>
      </c>
      <c r="B47" s="1">
        <v>45082</v>
      </c>
      <c r="C47" t="s">
        <v>4925</v>
      </c>
      <c r="D47" t="s">
        <v>4926</v>
      </c>
      <c r="E47">
        <v>88.630499999999998</v>
      </c>
      <c r="F47" t="s">
        <v>4927</v>
      </c>
      <c r="G47" t="s">
        <v>4928</v>
      </c>
      <c r="H47" t="s">
        <v>4929</v>
      </c>
    </row>
    <row r="48" spans="1:8" x14ac:dyDescent="0.3">
      <c r="A48" t="s">
        <v>4976</v>
      </c>
      <c r="B48" s="1">
        <v>45083</v>
      </c>
      <c r="C48" t="s">
        <v>4925</v>
      </c>
      <c r="D48" t="s">
        <v>4926</v>
      </c>
      <c r="E48">
        <v>88.351399999999998</v>
      </c>
      <c r="F48" t="s">
        <v>4927</v>
      </c>
      <c r="G48" t="s">
        <v>4928</v>
      </c>
      <c r="H48" t="s">
        <v>4929</v>
      </c>
    </row>
    <row r="49" spans="1:8" x14ac:dyDescent="0.3">
      <c r="A49" t="s">
        <v>4977</v>
      </c>
      <c r="B49" s="1">
        <v>45084</v>
      </c>
      <c r="C49" t="s">
        <v>4925</v>
      </c>
      <c r="D49" t="s">
        <v>4926</v>
      </c>
      <c r="E49">
        <v>88.291499999999999</v>
      </c>
      <c r="F49" t="s">
        <v>4927</v>
      </c>
      <c r="G49" t="s">
        <v>4928</v>
      </c>
      <c r="H49" t="s">
        <v>4929</v>
      </c>
    </row>
    <row r="50" spans="1:8" x14ac:dyDescent="0.3">
      <c r="A50" t="s">
        <v>4978</v>
      </c>
      <c r="B50" s="1">
        <v>45085</v>
      </c>
      <c r="C50" t="s">
        <v>4925</v>
      </c>
      <c r="D50" t="s">
        <v>4926</v>
      </c>
      <c r="E50">
        <v>89.010499999999993</v>
      </c>
      <c r="F50" t="s">
        <v>4927</v>
      </c>
      <c r="G50" t="s">
        <v>4928</v>
      </c>
      <c r="H50" t="s">
        <v>4929</v>
      </c>
    </row>
    <row r="51" spans="1:8" x14ac:dyDescent="0.3">
      <c r="A51" t="s">
        <v>4979</v>
      </c>
      <c r="B51" s="1">
        <v>45086</v>
      </c>
      <c r="C51" t="s">
        <v>4925</v>
      </c>
      <c r="D51" t="s">
        <v>4926</v>
      </c>
      <c r="E51">
        <v>88.636300000000006</v>
      </c>
      <c r="F51" t="s">
        <v>4927</v>
      </c>
      <c r="G51" t="s">
        <v>4928</v>
      </c>
      <c r="H51" t="s">
        <v>4929</v>
      </c>
    </row>
    <row r="52" spans="1:8" x14ac:dyDescent="0.3">
      <c r="A52" t="s">
        <v>4980</v>
      </c>
      <c r="B52" s="1">
        <v>45089</v>
      </c>
      <c r="C52" t="s">
        <v>4925</v>
      </c>
      <c r="D52" t="s">
        <v>4926</v>
      </c>
      <c r="E52">
        <v>88.587500000000006</v>
      </c>
      <c r="F52" t="s">
        <v>4927</v>
      </c>
      <c r="G52" t="s">
        <v>4928</v>
      </c>
      <c r="H52" t="s">
        <v>4929</v>
      </c>
    </row>
    <row r="53" spans="1:8" x14ac:dyDescent="0.3">
      <c r="A53" t="s">
        <v>4981</v>
      </c>
      <c r="B53" s="1">
        <v>45090</v>
      </c>
      <c r="C53" t="s">
        <v>4925</v>
      </c>
      <c r="D53" t="s">
        <v>4926</v>
      </c>
      <c r="E53">
        <v>88.904499999999999</v>
      </c>
      <c r="F53" t="s">
        <v>4927</v>
      </c>
      <c r="G53" t="s">
        <v>4928</v>
      </c>
      <c r="H53" t="s">
        <v>4929</v>
      </c>
    </row>
    <row r="54" spans="1:8" x14ac:dyDescent="0.3">
      <c r="A54" t="s">
        <v>4982</v>
      </c>
      <c r="B54" s="1">
        <v>45091</v>
      </c>
      <c r="C54" t="s">
        <v>4925</v>
      </c>
      <c r="D54" t="s">
        <v>4926</v>
      </c>
      <c r="E54">
        <v>89.1524</v>
      </c>
      <c r="F54" t="s">
        <v>4927</v>
      </c>
      <c r="G54" t="s">
        <v>4928</v>
      </c>
      <c r="H54" t="s">
        <v>4929</v>
      </c>
    </row>
    <row r="55" spans="1:8" x14ac:dyDescent="0.3">
      <c r="A55" t="s">
        <v>4983</v>
      </c>
      <c r="B55" s="1">
        <v>45092</v>
      </c>
      <c r="C55" t="s">
        <v>4925</v>
      </c>
      <c r="D55" t="s">
        <v>4926</v>
      </c>
      <c r="E55">
        <v>89.847399999999993</v>
      </c>
      <c r="F55" t="s">
        <v>4927</v>
      </c>
      <c r="G55" t="s">
        <v>4928</v>
      </c>
      <c r="H55" t="s">
        <v>4929</v>
      </c>
    </row>
    <row r="56" spans="1:8" x14ac:dyDescent="0.3">
      <c r="A56" t="s">
        <v>4984</v>
      </c>
      <c r="B56" s="1">
        <v>45093</v>
      </c>
      <c r="C56" t="s">
        <v>4925</v>
      </c>
      <c r="D56" t="s">
        <v>4926</v>
      </c>
      <c r="E56">
        <v>89.464799999999997</v>
      </c>
      <c r="F56" t="s">
        <v>4927</v>
      </c>
      <c r="G56" t="s">
        <v>4928</v>
      </c>
      <c r="H56" t="s">
        <v>4929</v>
      </c>
    </row>
    <row r="57" spans="1:8" x14ac:dyDescent="0.3">
      <c r="A57" t="s">
        <v>4985</v>
      </c>
      <c r="B57" s="1">
        <v>45096</v>
      </c>
      <c r="C57" t="s">
        <v>4925</v>
      </c>
      <c r="D57" t="s">
        <v>4926</v>
      </c>
      <c r="E57">
        <v>89.464799999999997</v>
      </c>
      <c r="F57" t="s">
        <v>4927</v>
      </c>
      <c r="G57" t="s">
        <v>4928</v>
      </c>
      <c r="H57" t="s">
        <v>4970</v>
      </c>
    </row>
    <row r="58" spans="1:8" x14ac:dyDescent="0.3">
      <c r="A58" t="s">
        <v>4986</v>
      </c>
      <c r="B58" s="1">
        <v>45097</v>
      </c>
      <c r="C58" t="s">
        <v>4925</v>
      </c>
      <c r="D58" t="s">
        <v>4926</v>
      </c>
      <c r="E58">
        <v>89.499899999999997</v>
      </c>
      <c r="F58" t="s">
        <v>4927</v>
      </c>
      <c r="G58" t="s">
        <v>4928</v>
      </c>
      <c r="H58" t="s">
        <v>4929</v>
      </c>
    </row>
    <row r="59" spans="1:8" x14ac:dyDescent="0.3">
      <c r="A59" t="s">
        <v>4987</v>
      </c>
      <c r="B59" s="1">
        <v>45098</v>
      </c>
      <c r="C59" t="s">
        <v>4925</v>
      </c>
      <c r="D59" t="s">
        <v>4926</v>
      </c>
      <c r="E59">
        <v>89.841999999999999</v>
      </c>
      <c r="F59" t="s">
        <v>4927</v>
      </c>
      <c r="G59" t="s">
        <v>4928</v>
      </c>
      <c r="H59" t="s">
        <v>4929</v>
      </c>
    </row>
    <row r="60" spans="1:8" x14ac:dyDescent="0.3">
      <c r="A60" t="s">
        <v>4988</v>
      </c>
      <c r="B60" s="1">
        <v>45099</v>
      </c>
      <c r="C60" t="s">
        <v>4925</v>
      </c>
      <c r="D60" t="s">
        <v>4926</v>
      </c>
      <c r="E60">
        <v>89.737899999999996</v>
      </c>
      <c r="F60" t="s">
        <v>4927</v>
      </c>
      <c r="G60" t="s">
        <v>4928</v>
      </c>
      <c r="H60" t="s">
        <v>4929</v>
      </c>
    </row>
    <row r="61" spans="1:8" x14ac:dyDescent="0.3">
      <c r="A61" t="s">
        <v>4989</v>
      </c>
      <c r="B61" s="1">
        <v>45100</v>
      </c>
      <c r="C61" t="s">
        <v>4925</v>
      </c>
      <c r="D61" t="s">
        <v>4926</v>
      </c>
      <c r="E61">
        <v>89.284300000000002</v>
      </c>
      <c r="F61" t="s">
        <v>4927</v>
      </c>
      <c r="G61" t="s">
        <v>4928</v>
      </c>
      <c r="H61" t="s">
        <v>4929</v>
      </c>
    </row>
    <row r="62" spans="1:8" x14ac:dyDescent="0.3">
      <c r="A62" t="s">
        <v>4990</v>
      </c>
      <c r="B62" s="1">
        <v>45103</v>
      </c>
      <c r="C62" t="s">
        <v>4925</v>
      </c>
      <c r="D62" t="s">
        <v>4926</v>
      </c>
      <c r="E62">
        <v>89.462000000000003</v>
      </c>
      <c r="F62" t="s">
        <v>4927</v>
      </c>
      <c r="G62" t="s">
        <v>4928</v>
      </c>
      <c r="H62" t="s">
        <v>4929</v>
      </c>
    </row>
    <row r="63" spans="1:8" x14ac:dyDescent="0.3">
      <c r="A63" t="s">
        <v>4991</v>
      </c>
      <c r="B63" s="1">
        <v>45104</v>
      </c>
      <c r="C63" t="s">
        <v>4925</v>
      </c>
      <c r="D63" t="s">
        <v>4926</v>
      </c>
      <c r="E63">
        <v>89.8583</v>
      </c>
      <c r="F63" t="s">
        <v>4927</v>
      </c>
      <c r="G63" t="s">
        <v>4928</v>
      </c>
      <c r="H63" t="s">
        <v>4929</v>
      </c>
    </row>
    <row r="64" spans="1:8" x14ac:dyDescent="0.3">
      <c r="A64" t="s">
        <v>4992</v>
      </c>
      <c r="B64" s="1">
        <v>45105</v>
      </c>
      <c r="C64" t="s">
        <v>4925</v>
      </c>
      <c r="D64" t="s">
        <v>4926</v>
      </c>
      <c r="E64">
        <v>89.412800000000004</v>
      </c>
      <c r="F64" t="s">
        <v>4927</v>
      </c>
      <c r="G64" t="s">
        <v>4928</v>
      </c>
      <c r="H64" t="s">
        <v>4929</v>
      </c>
    </row>
    <row r="65" spans="1:8" x14ac:dyDescent="0.3">
      <c r="A65" t="s">
        <v>4993</v>
      </c>
      <c r="B65" s="1">
        <v>45106</v>
      </c>
      <c r="C65" t="s">
        <v>4925</v>
      </c>
      <c r="D65" t="s">
        <v>4926</v>
      </c>
      <c r="E65">
        <v>89.278599999999997</v>
      </c>
      <c r="F65" t="s">
        <v>4927</v>
      </c>
      <c r="G65" t="s">
        <v>4928</v>
      </c>
      <c r="H65" t="s">
        <v>4929</v>
      </c>
    </row>
    <row r="66" spans="1:8" x14ac:dyDescent="0.3">
      <c r="A66" t="s">
        <v>4994</v>
      </c>
      <c r="B66" s="1">
        <v>45107</v>
      </c>
      <c r="C66" t="s">
        <v>4925</v>
      </c>
      <c r="D66" t="s">
        <v>4926</v>
      </c>
      <c r="E66">
        <v>89.609499999999997</v>
      </c>
      <c r="F66" t="s">
        <v>4927</v>
      </c>
      <c r="G66" t="s">
        <v>4928</v>
      </c>
      <c r="H66" t="s">
        <v>4929</v>
      </c>
    </row>
    <row r="67" spans="1:8" x14ac:dyDescent="0.3">
      <c r="A67" t="s">
        <v>4995</v>
      </c>
      <c r="B67" s="1">
        <v>45110</v>
      </c>
      <c r="C67" t="s">
        <v>4925</v>
      </c>
      <c r="D67" t="s">
        <v>4926</v>
      </c>
      <c r="E67">
        <v>89.492099999999994</v>
      </c>
      <c r="F67" t="s">
        <v>4927</v>
      </c>
      <c r="G67" t="s">
        <v>4928</v>
      </c>
      <c r="H67" t="s">
        <v>4929</v>
      </c>
    </row>
    <row r="68" spans="1:8" x14ac:dyDescent="0.3">
      <c r="A68" t="s">
        <v>4996</v>
      </c>
      <c r="B68" s="1">
        <v>45111</v>
      </c>
      <c r="C68" t="s">
        <v>4925</v>
      </c>
      <c r="D68" t="s">
        <v>4926</v>
      </c>
      <c r="E68">
        <v>89.492099999999994</v>
      </c>
      <c r="F68" t="s">
        <v>4927</v>
      </c>
      <c r="G68" t="s">
        <v>4928</v>
      </c>
      <c r="H68" t="s">
        <v>4970</v>
      </c>
    </row>
    <row r="69" spans="1:8" x14ac:dyDescent="0.3">
      <c r="A69" t="s">
        <v>4997</v>
      </c>
      <c r="B69" s="1">
        <v>45112</v>
      </c>
      <c r="C69" t="s">
        <v>4925</v>
      </c>
      <c r="D69" t="s">
        <v>4926</v>
      </c>
      <c r="E69">
        <v>89.487099999999998</v>
      </c>
      <c r="F69" t="s">
        <v>4927</v>
      </c>
      <c r="G69" t="s">
        <v>4928</v>
      </c>
      <c r="H69" t="s">
        <v>4929</v>
      </c>
    </row>
    <row r="70" spans="1:8" x14ac:dyDescent="0.3">
      <c r="A70" t="s">
        <v>4998</v>
      </c>
      <c r="B70" s="1">
        <v>45113</v>
      </c>
      <c r="C70" t="s">
        <v>4925</v>
      </c>
      <c r="D70" t="s">
        <v>4926</v>
      </c>
      <c r="E70">
        <v>89.691400000000002</v>
      </c>
      <c r="F70" t="s">
        <v>4927</v>
      </c>
      <c r="G70" t="s">
        <v>4928</v>
      </c>
      <c r="H70" t="s">
        <v>4929</v>
      </c>
    </row>
    <row r="71" spans="1:8" x14ac:dyDescent="0.3">
      <c r="A71" t="s">
        <v>4999</v>
      </c>
      <c r="B71" s="1">
        <v>45114</v>
      </c>
      <c r="C71" t="s">
        <v>4925</v>
      </c>
      <c r="D71" t="s">
        <v>4926</v>
      </c>
      <c r="E71">
        <v>90.716099999999997</v>
      </c>
      <c r="F71" t="s">
        <v>4927</v>
      </c>
      <c r="G71" t="s">
        <v>4928</v>
      </c>
      <c r="H71" t="s">
        <v>4929</v>
      </c>
    </row>
    <row r="72" spans="1:8" x14ac:dyDescent="0.3">
      <c r="A72" t="s">
        <v>5000</v>
      </c>
      <c r="B72" s="1">
        <v>45117</v>
      </c>
      <c r="C72" t="s">
        <v>4925</v>
      </c>
      <c r="D72" t="s">
        <v>4926</v>
      </c>
      <c r="E72">
        <v>90.752700000000004</v>
      </c>
      <c r="F72" t="s">
        <v>4927</v>
      </c>
      <c r="G72" t="s">
        <v>4928</v>
      </c>
      <c r="H72" t="s">
        <v>4929</v>
      </c>
    </row>
    <row r="73" spans="1:8" x14ac:dyDescent="0.3">
      <c r="A73" t="s">
        <v>5001</v>
      </c>
      <c r="B73" s="1">
        <v>45118</v>
      </c>
      <c r="C73" t="s">
        <v>4925</v>
      </c>
      <c r="D73" t="s">
        <v>4926</v>
      </c>
      <c r="E73">
        <v>90.563100000000006</v>
      </c>
      <c r="F73" t="s">
        <v>4927</v>
      </c>
      <c r="G73" t="s">
        <v>4928</v>
      </c>
      <c r="H73" t="s">
        <v>4929</v>
      </c>
    </row>
    <row r="74" spans="1:8" x14ac:dyDescent="0.3">
      <c r="A74" t="s">
        <v>5002</v>
      </c>
      <c r="B74" s="1">
        <v>45119</v>
      </c>
      <c r="C74" t="s">
        <v>4925</v>
      </c>
      <c r="D74" t="s">
        <v>4926</v>
      </c>
      <c r="E74">
        <v>91.242000000000004</v>
      </c>
      <c r="F74" t="s">
        <v>4927</v>
      </c>
      <c r="G74" t="s">
        <v>4928</v>
      </c>
      <c r="H74" t="s">
        <v>4929</v>
      </c>
    </row>
    <row r="75" spans="1:8" x14ac:dyDescent="0.3">
      <c r="A75" t="s">
        <v>5003</v>
      </c>
      <c r="B75" s="1">
        <v>45120</v>
      </c>
      <c r="C75" t="s">
        <v>4925</v>
      </c>
      <c r="D75" t="s">
        <v>4926</v>
      </c>
      <c r="E75">
        <v>91.835599999999999</v>
      </c>
      <c r="F75" t="s">
        <v>4927</v>
      </c>
      <c r="G75" t="s">
        <v>4928</v>
      </c>
      <c r="H75" t="s">
        <v>4929</v>
      </c>
    </row>
    <row r="76" spans="1:8" x14ac:dyDescent="0.3">
      <c r="A76" t="s">
        <v>5004</v>
      </c>
      <c r="B76" s="1">
        <v>45121</v>
      </c>
      <c r="C76" t="s">
        <v>4925</v>
      </c>
      <c r="D76" t="s">
        <v>4926</v>
      </c>
      <c r="E76">
        <v>92.3232</v>
      </c>
      <c r="F76" t="s">
        <v>4927</v>
      </c>
      <c r="G76" t="s">
        <v>4928</v>
      </c>
      <c r="H76" t="s">
        <v>4929</v>
      </c>
    </row>
    <row r="77" spans="1:8" x14ac:dyDescent="0.3">
      <c r="A77" t="s">
        <v>5005</v>
      </c>
      <c r="B77" s="1">
        <v>45124</v>
      </c>
      <c r="C77" t="s">
        <v>4925</v>
      </c>
      <c r="D77" t="s">
        <v>4926</v>
      </c>
      <c r="E77">
        <v>92.168899999999994</v>
      </c>
      <c r="F77" t="s">
        <v>4927</v>
      </c>
      <c r="G77" t="s">
        <v>4928</v>
      </c>
      <c r="H77" t="s">
        <v>4929</v>
      </c>
    </row>
    <row r="78" spans="1:8" x14ac:dyDescent="0.3">
      <c r="A78" t="s">
        <v>5006</v>
      </c>
      <c r="B78" s="1">
        <v>45125</v>
      </c>
      <c r="C78" t="s">
        <v>4925</v>
      </c>
      <c r="D78" t="s">
        <v>4926</v>
      </c>
      <c r="E78">
        <v>92.062299999999993</v>
      </c>
      <c r="F78" t="s">
        <v>4927</v>
      </c>
      <c r="G78" t="s">
        <v>4928</v>
      </c>
      <c r="H78" t="s">
        <v>4929</v>
      </c>
    </row>
    <row r="79" spans="1:8" x14ac:dyDescent="0.3">
      <c r="A79" t="s">
        <v>5007</v>
      </c>
      <c r="B79" s="1">
        <v>45126</v>
      </c>
      <c r="C79" t="s">
        <v>4925</v>
      </c>
      <c r="D79" t="s">
        <v>4926</v>
      </c>
      <c r="E79">
        <v>91.899799999999999</v>
      </c>
      <c r="F79" t="s">
        <v>4927</v>
      </c>
      <c r="G79" t="s">
        <v>4928</v>
      </c>
      <c r="H79" t="s">
        <v>4929</v>
      </c>
    </row>
    <row r="80" spans="1:8" x14ac:dyDescent="0.3">
      <c r="A80" t="s">
        <v>5008</v>
      </c>
      <c r="B80" s="1">
        <v>45127</v>
      </c>
      <c r="C80" t="s">
        <v>4925</v>
      </c>
      <c r="D80" t="s">
        <v>4926</v>
      </c>
      <c r="E80">
        <v>91.295900000000003</v>
      </c>
      <c r="F80" t="s">
        <v>4927</v>
      </c>
      <c r="G80" t="s">
        <v>4928</v>
      </c>
      <c r="H80" t="s">
        <v>4929</v>
      </c>
    </row>
    <row r="81" spans="1:8" x14ac:dyDescent="0.3">
      <c r="A81" t="s">
        <v>5009</v>
      </c>
      <c r="B81" s="1">
        <v>45128</v>
      </c>
      <c r="C81" t="s">
        <v>4925</v>
      </c>
      <c r="D81" t="s">
        <v>4926</v>
      </c>
      <c r="E81">
        <v>91.172899999999998</v>
      </c>
      <c r="F81" t="s">
        <v>4927</v>
      </c>
      <c r="G81" t="s">
        <v>4928</v>
      </c>
      <c r="H81" t="s">
        <v>4929</v>
      </c>
    </row>
    <row r="82" spans="1:8" x14ac:dyDescent="0.3">
      <c r="A82" t="s">
        <v>5010</v>
      </c>
      <c r="B82" s="1">
        <v>45131</v>
      </c>
      <c r="C82" t="s">
        <v>4925</v>
      </c>
      <c r="D82" t="s">
        <v>4926</v>
      </c>
      <c r="E82">
        <v>90.67</v>
      </c>
      <c r="F82" t="s">
        <v>4927</v>
      </c>
      <c r="G82" t="s">
        <v>4928</v>
      </c>
      <c r="H82" t="s">
        <v>4929</v>
      </c>
    </row>
    <row r="83" spans="1:8" x14ac:dyDescent="0.3">
      <c r="A83" t="s">
        <v>5011</v>
      </c>
      <c r="B83" s="1">
        <v>45132</v>
      </c>
      <c r="C83" t="s">
        <v>4925</v>
      </c>
      <c r="D83" t="s">
        <v>4926</v>
      </c>
      <c r="E83">
        <v>90.466399999999993</v>
      </c>
      <c r="F83" t="s">
        <v>4927</v>
      </c>
      <c r="G83" t="s">
        <v>4928</v>
      </c>
      <c r="H83" t="s">
        <v>4929</v>
      </c>
    </row>
    <row r="84" spans="1:8" x14ac:dyDescent="0.3">
      <c r="A84" t="s">
        <v>5012</v>
      </c>
      <c r="B84" s="1">
        <v>45133</v>
      </c>
      <c r="C84" t="s">
        <v>4925</v>
      </c>
      <c r="D84" t="s">
        <v>4926</v>
      </c>
      <c r="E84">
        <v>90.828500000000005</v>
      </c>
      <c r="F84" t="s">
        <v>4927</v>
      </c>
      <c r="G84" t="s">
        <v>4928</v>
      </c>
      <c r="H84" t="s">
        <v>4929</v>
      </c>
    </row>
    <row r="85" spans="1:8" x14ac:dyDescent="0.3">
      <c r="A85" t="s">
        <v>5013</v>
      </c>
      <c r="B85" s="1">
        <v>45134</v>
      </c>
      <c r="C85" t="s">
        <v>4925</v>
      </c>
      <c r="D85" t="s">
        <v>4926</v>
      </c>
      <c r="E85">
        <v>90.348600000000005</v>
      </c>
      <c r="F85" t="s">
        <v>4927</v>
      </c>
      <c r="G85" t="s">
        <v>4928</v>
      </c>
      <c r="H85" t="s">
        <v>4929</v>
      </c>
    </row>
    <row r="86" spans="1:8" x14ac:dyDescent="0.3">
      <c r="A86" t="s">
        <v>5014</v>
      </c>
      <c r="B86" s="1">
        <v>45135</v>
      </c>
      <c r="C86" t="s">
        <v>4925</v>
      </c>
      <c r="D86" t="s">
        <v>4926</v>
      </c>
      <c r="E86">
        <v>90.762699999999995</v>
      </c>
      <c r="F86" t="s">
        <v>4927</v>
      </c>
      <c r="G86" t="s">
        <v>4928</v>
      </c>
      <c r="H86" t="s">
        <v>4929</v>
      </c>
    </row>
    <row r="87" spans="1:8" x14ac:dyDescent="0.3">
      <c r="A87" t="s">
        <v>5015</v>
      </c>
      <c r="B87" s="1">
        <v>45138</v>
      </c>
      <c r="C87" t="s">
        <v>4925</v>
      </c>
      <c r="D87" t="s">
        <v>4926</v>
      </c>
      <c r="E87">
        <v>90.628500000000003</v>
      </c>
      <c r="F87" t="s">
        <v>4927</v>
      </c>
      <c r="G87" t="s">
        <v>4928</v>
      </c>
      <c r="H87" t="s">
        <v>4929</v>
      </c>
    </row>
    <row r="88" spans="1:8" x14ac:dyDescent="0.3">
      <c r="A88" t="s">
        <v>5016</v>
      </c>
      <c r="B88" s="1">
        <v>45139</v>
      </c>
      <c r="C88" t="s">
        <v>4925</v>
      </c>
      <c r="D88" t="s">
        <v>4926</v>
      </c>
      <c r="E88">
        <v>90.236500000000007</v>
      </c>
      <c r="F88" t="s">
        <v>4927</v>
      </c>
      <c r="G88" t="s">
        <v>4928</v>
      </c>
      <c r="H88" t="s">
        <v>4929</v>
      </c>
    </row>
    <row r="89" spans="1:8" x14ac:dyDescent="0.3">
      <c r="A89" t="s">
        <v>5017</v>
      </c>
      <c r="B89" s="1">
        <v>45140</v>
      </c>
      <c r="C89" t="s">
        <v>4925</v>
      </c>
      <c r="D89" t="s">
        <v>4926</v>
      </c>
      <c r="E89">
        <v>90.334299999999999</v>
      </c>
      <c r="F89" t="s">
        <v>4927</v>
      </c>
      <c r="G89" t="s">
        <v>4928</v>
      </c>
      <c r="H89" t="s">
        <v>4929</v>
      </c>
    </row>
    <row r="90" spans="1:8" x14ac:dyDescent="0.3">
      <c r="A90" t="s">
        <v>5018</v>
      </c>
      <c r="B90" s="1">
        <v>45141</v>
      </c>
      <c r="C90" t="s">
        <v>4925</v>
      </c>
      <c r="D90" t="s">
        <v>4926</v>
      </c>
      <c r="E90">
        <v>90.575500000000005</v>
      </c>
      <c r="F90" t="s">
        <v>4927</v>
      </c>
      <c r="G90" t="s">
        <v>4928</v>
      </c>
      <c r="H90" t="s">
        <v>4929</v>
      </c>
    </row>
    <row r="91" spans="1:8" x14ac:dyDescent="0.3">
      <c r="A91" t="s">
        <v>5019</v>
      </c>
      <c r="B91" s="1">
        <v>45142</v>
      </c>
      <c r="C91" t="s">
        <v>4925</v>
      </c>
      <c r="D91" t="s">
        <v>4926</v>
      </c>
      <c r="E91">
        <v>91.411199999999994</v>
      </c>
      <c r="F91" t="s">
        <v>4927</v>
      </c>
      <c r="G91" t="s">
        <v>4928</v>
      </c>
      <c r="H91" t="s">
        <v>4929</v>
      </c>
    </row>
    <row r="92" spans="1:8" x14ac:dyDescent="0.3">
      <c r="A92" t="s">
        <v>5020</v>
      </c>
      <c r="B92" s="1">
        <v>45145</v>
      </c>
      <c r="C92" t="s">
        <v>4925</v>
      </c>
      <c r="D92" t="s">
        <v>4926</v>
      </c>
      <c r="E92">
        <v>91.025000000000006</v>
      </c>
      <c r="F92" t="s">
        <v>4927</v>
      </c>
      <c r="G92" t="s">
        <v>4928</v>
      </c>
      <c r="H92" t="s">
        <v>4929</v>
      </c>
    </row>
    <row r="93" spans="1:8" x14ac:dyDescent="0.3">
      <c r="A93" t="s">
        <v>5021</v>
      </c>
      <c r="B93" s="1">
        <v>45146</v>
      </c>
      <c r="C93" t="s">
        <v>4925</v>
      </c>
      <c r="D93" t="s">
        <v>4926</v>
      </c>
      <c r="E93">
        <v>90.728999999999999</v>
      </c>
      <c r="F93" t="s">
        <v>4927</v>
      </c>
      <c r="G93" t="s">
        <v>4928</v>
      </c>
      <c r="H93" t="s">
        <v>4929</v>
      </c>
    </row>
    <row r="94" spans="1:8" x14ac:dyDescent="0.3">
      <c r="A94" t="s">
        <v>5022</v>
      </c>
      <c r="B94" s="1">
        <v>45147</v>
      </c>
      <c r="C94" t="s">
        <v>4925</v>
      </c>
      <c r="D94" t="s">
        <v>4926</v>
      </c>
      <c r="E94">
        <v>90.916899999999998</v>
      </c>
      <c r="F94" t="s">
        <v>4927</v>
      </c>
      <c r="G94" t="s">
        <v>4928</v>
      </c>
      <c r="H94" t="s">
        <v>4929</v>
      </c>
    </row>
    <row r="95" spans="1:8" x14ac:dyDescent="0.3">
      <c r="A95" t="s">
        <v>5023</v>
      </c>
      <c r="B95" s="1">
        <v>45148</v>
      </c>
      <c r="C95" t="s">
        <v>4925</v>
      </c>
      <c r="D95" t="s">
        <v>4926</v>
      </c>
      <c r="E95">
        <v>91.091300000000004</v>
      </c>
      <c r="F95" t="s">
        <v>4927</v>
      </c>
      <c r="G95" t="s">
        <v>4928</v>
      </c>
      <c r="H95" t="s">
        <v>4929</v>
      </c>
    </row>
    <row r="96" spans="1:8" x14ac:dyDescent="0.3">
      <c r="A96" t="s">
        <v>5024</v>
      </c>
      <c r="B96" s="1">
        <v>45149</v>
      </c>
      <c r="C96" t="s">
        <v>4925</v>
      </c>
      <c r="D96" t="s">
        <v>4926</v>
      </c>
      <c r="E96">
        <v>90.800700000000006</v>
      </c>
      <c r="F96" t="s">
        <v>4927</v>
      </c>
      <c r="G96" t="s">
        <v>4928</v>
      </c>
      <c r="H96" t="s">
        <v>4929</v>
      </c>
    </row>
    <row r="97" spans="1:8" x14ac:dyDescent="0.3">
      <c r="A97" t="s">
        <v>5025</v>
      </c>
      <c r="B97" s="1">
        <v>45152</v>
      </c>
      <c r="C97" t="s">
        <v>4925</v>
      </c>
      <c r="D97" t="s">
        <v>4926</v>
      </c>
      <c r="E97">
        <v>90.838300000000004</v>
      </c>
      <c r="F97" t="s">
        <v>4927</v>
      </c>
      <c r="G97" t="s">
        <v>4928</v>
      </c>
      <c r="H97" t="s">
        <v>4929</v>
      </c>
    </row>
    <row r="98" spans="1:8" x14ac:dyDescent="0.3">
      <c r="A98" t="s">
        <v>5026</v>
      </c>
      <c r="B98" s="1">
        <v>45153</v>
      </c>
      <c r="C98" t="s">
        <v>4925</v>
      </c>
      <c r="D98" t="s">
        <v>4926</v>
      </c>
      <c r="E98">
        <v>90.636799999999994</v>
      </c>
      <c r="F98" t="s">
        <v>4927</v>
      </c>
      <c r="G98" t="s">
        <v>4928</v>
      </c>
      <c r="H98" t="s">
        <v>4929</v>
      </c>
    </row>
    <row r="99" spans="1:8" x14ac:dyDescent="0.3">
      <c r="A99" t="s">
        <v>5027</v>
      </c>
      <c r="B99" s="1">
        <v>45154</v>
      </c>
      <c r="C99" t="s">
        <v>4925</v>
      </c>
      <c r="D99" t="s">
        <v>4926</v>
      </c>
      <c r="E99">
        <v>90.710400000000007</v>
      </c>
      <c r="F99" t="s">
        <v>4927</v>
      </c>
      <c r="G99" t="s">
        <v>4928</v>
      </c>
      <c r="H99" t="s">
        <v>4929</v>
      </c>
    </row>
    <row r="100" spans="1:8" x14ac:dyDescent="0.3">
      <c r="A100" t="s">
        <v>5028</v>
      </c>
      <c r="B100" s="1">
        <v>45155</v>
      </c>
      <c r="C100" t="s">
        <v>4925</v>
      </c>
      <c r="D100" t="s">
        <v>4926</v>
      </c>
      <c r="E100">
        <v>90.352099999999993</v>
      </c>
      <c r="F100" t="s">
        <v>4927</v>
      </c>
      <c r="G100" t="s">
        <v>4928</v>
      </c>
      <c r="H100" t="s">
        <v>4929</v>
      </c>
    </row>
    <row r="101" spans="1:8" x14ac:dyDescent="0.3">
      <c r="A101" t="s">
        <v>5029</v>
      </c>
      <c r="B101" s="1">
        <v>45156</v>
      </c>
      <c r="C101" t="s">
        <v>4925</v>
      </c>
      <c r="D101" t="s">
        <v>4926</v>
      </c>
      <c r="E101">
        <v>90.4148</v>
      </c>
      <c r="F101" t="s">
        <v>4927</v>
      </c>
      <c r="G101" t="s">
        <v>4928</v>
      </c>
      <c r="H101" t="s">
        <v>4929</v>
      </c>
    </row>
    <row r="102" spans="1:8" x14ac:dyDescent="0.3">
      <c r="A102" t="s">
        <v>5030</v>
      </c>
      <c r="B102" s="1">
        <v>45159</v>
      </c>
      <c r="C102" t="s">
        <v>4925</v>
      </c>
      <c r="D102" t="s">
        <v>4926</v>
      </c>
      <c r="E102">
        <v>90.479299999999995</v>
      </c>
      <c r="F102" t="s">
        <v>4927</v>
      </c>
      <c r="G102" t="s">
        <v>4928</v>
      </c>
      <c r="H102" t="s">
        <v>4929</v>
      </c>
    </row>
    <row r="103" spans="1:8" x14ac:dyDescent="0.3">
      <c r="A103" t="s">
        <v>5031</v>
      </c>
      <c r="B103" s="1">
        <v>45160</v>
      </c>
      <c r="C103" t="s">
        <v>4925</v>
      </c>
      <c r="D103" t="s">
        <v>4926</v>
      </c>
      <c r="E103">
        <v>89.956699999999998</v>
      </c>
      <c r="F103" t="s">
        <v>4927</v>
      </c>
      <c r="G103" t="s">
        <v>4928</v>
      </c>
      <c r="H103" t="s">
        <v>4929</v>
      </c>
    </row>
    <row r="104" spans="1:8" x14ac:dyDescent="0.3">
      <c r="A104" t="s">
        <v>5032</v>
      </c>
      <c r="B104" s="1">
        <v>45161</v>
      </c>
      <c r="C104" t="s">
        <v>4925</v>
      </c>
      <c r="D104" t="s">
        <v>4926</v>
      </c>
      <c r="E104">
        <v>89.817899999999995</v>
      </c>
      <c r="F104" t="s">
        <v>4927</v>
      </c>
      <c r="G104" t="s">
        <v>4928</v>
      </c>
      <c r="H104" t="s">
        <v>4929</v>
      </c>
    </row>
    <row r="105" spans="1:8" x14ac:dyDescent="0.3">
      <c r="A105" t="s">
        <v>5033</v>
      </c>
      <c r="B105" s="1">
        <v>45162</v>
      </c>
      <c r="C105" t="s">
        <v>4925</v>
      </c>
      <c r="D105" t="s">
        <v>4926</v>
      </c>
      <c r="E105">
        <v>89.390299999999996</v>
      </c>
      <c r="F105" t="s">
        <v>4927</v>
      </c>
      <c r="G105" t="s">
        <v>4928</v>
      </c>
      <c r="H105" t="s">
        <v>4929</v>
      </c>
    </row>
    <row r="106" spans="1:8" x14ac:dyDescent="0.3">
      <c r="A106" t="s">
        <v>5034</v>
      </c>
      <c r="B106" s="1">
        <v>45163</v>
      </c>
      <c r="C106" t="s">
        <v>4925</v>
      </c>
      <c r="D106" t="s">
        <v>4926</v>
      </c>
      <c r="E106">
        <v>89.143799999999999</v>
      </c>
      <c r="F106" t="s">
        <v>4927</v>
      </c>
      <c r="G106" t="s">
        <v>4928</v>
      </c>
      <c r="H106" t="s">
        <v>4929</v>
      </c>
    </row>
    <row r="107" spans="1:8" x14ac:dyDescent="0.3">
      <c r="A107" t="s">
        <v>5035</v>
      </c>
      <c r="B107" s="1">
        <v>45166</v>
      </c>
      <c r="C107" t="s">
        <v>4925</v>
      </c>
      <c r="D107" t="s">
        <v>4926</v>
      </c>
      <c r="E107">
        <v>89.290599999999998</v>
      </c>
      <c r="F107" t="s">
        <v>4927</v>
      </c>
      <c r="G107" t="s">
        <v>4928</v>
      </c>
      <c r="H107" t="s">
        <v>4929</v>
      </c>
    </row>
    <row r="108" spans="1:8" x14ac:dyDescent="0.3">
      <c r="A108" t="s">
        <v>5036</v>
      </c>
      <c r="B108" s="1">
        <v>45167</v>
      </c>
      <c r="C108" t="s">
        <v>4925</v>
      </c>
      <c r="D108" t="s">
        <v>4926</v>
      </c>
      <c r="E108">
        <v>89.737799999999993</v>
      </c>
      <c r="F108" t="s">
        <v>4927</v>
      </c>
      <c r="G108" t="s">
        <v>4928</v>
      </c>
      <c r="H108" t="s">
        <v>4929</v>
      </c>
    </row>
    <row r="109" spans="1:8" x14ac:dyDescent="0.3">
      <c r="A109" t="s">
        <v>5037</v>
      </c>
      <c r="B109" s="1">
        <v>45168</v>
      </c>
      <c r="C109" t="s">
        <v>4925</v>
      </c>
      <c r="D109" t="s">
        <v>4926</v>
      </c>
      <c r="E109">
        <v>90.390799999999999</v>
      </c>
      <c r="F109" t="s">
        <v>4927</v>
      </c>
      <c r="G109" t="s">
        <v>4928</v>
      </c>
      <c r="H109" t="s">
        <v>4929</v>
      </c>
    </row>
    <row r="110" spans="1:8" x14ac:dyDescent="0.3">
      <c r="A110" t="s">
        <v>5038</v>
      </c>
      <c r="B110" s="1">
        <v>45169</v>
      </c>
      <c r="C110" t="s">
        <v>4925</v>
      </c>
      <c r="D110" t="s">
        <v>4926</v>
      </c>
      <c r="E110">
        <v>89.725200000000001</v>
      </c>
      <c r="F110" t="s">
        <v>4927</v>
      </c>
      <c r="G110" t="s">
        <v>4928</v>
      </c>
      <c r="H110" t="s">
        <v>4929</v>
      </c>
    </row>
    <row r="111" spans="1:8" x14ac:dyDescent="0.3">
      <c r="A111" t="s">
        <v>5039</v>
      </c>
      <c r="B111" s="1">
        <v>45170</v>
      </c>
      <c r="C111" t="s">
        <v>4925</v>
      </c>
      <c r="D111" t="s">
        <v>4926</v>
      </c>
      <c r="E111">
        <v>89.197699999999998</v>
      </c>
      <c r="F111" t="s">
        <v>4927</v>
      </c>
      <c r="G111" t="s">
        <v>4928</v>
      </c>
      <c r="H111" t="s">
        <v>4929</v>
      </c>
    </row>
    <row r="112" spans="1:8" x14ac:dyDescent="0.3">
      <c r="A112" t="s">
        <v>5040</v>
      </c>
      <c r="B112" s="1">
        <v>45173</v>
      </c>
      <c r="C112" t="s">
        <v>4925</v>
      </c>
      <c r="D112" t="s">
        <v>4926</v>
      </c>
      <c r="E112">
        <v>89.197699999999998</v>
      </c>
      <c r="F112" t="s">
        <v>4927</v>
      </c>
      <c r="G112" t="s">
        <v>4928</v>
      </c>
      <c r="H112" t="s">
        <v>4970</v>
      </c>
    </row>
    <row r="113" spans="1:8" x14ac:dyDescent="0.3">
      <c r="A113" t="s">
        <v>5041</v>
      </c>
      <c r="B113" s="1">
        <v>45174</v>
      </c>
      <c r="C113" t="s">
        <v>4925</v>
      </c>
      <c r="D113" t="s">
        <v>4926</v>
      </c>
      <c r="E113">
        <v>89.066299999999998</v>
      </c>
      <c r="F113" t="s">
        <v>4927</v>
      </c>
      <c r="G113" t="s">
        <v>4928</v>
      </c>
      <c r="H113" t="s">
        <v>4929</v>
      </c>
    </row>
    <row r="114" spans="1:8" x14ac:dyDescent="0.3">
      <c r="A114" t="s">
        <v>5042</v>
      </c>
      <c r="B114" s="1">
        <v>45175</v>
      </c>
      <c r="C114" t="s">
        <v>4925</v>
      </c>
      <c r="D114" t="s">
        <v>4926</v>
      </c>
      <c r="E114">
        <v>89.0762</v>
      </c>
      <c r="F114" t="s">
        <v>4927</v>
      </c>
      <c r="G114" t="s">
        <v>4928</v>
      </c>
      <c r="H114" t="s">
        <v>4929</v>
      </c>
    </row>
    <row r="115" spans="1:8" x14ac:dyDescent="0.3">
      <c r="A115" t="s">
        <v>5043</v>
      </c>
      <c r="B115" s="1">
        <v>45176</v>
      </c>
      <c r="C115" t="s">
        <v>4925</v>
      </c>
      <c r="D115" t="s">
        <v>4926</v>
      </c>
      <c r="E115">
        <v>89.067999999999998</v>
      </c>
      <c r="F115" t="s">
        <v>4927</v>
      </c>
      <c r="G115" t="s">
        <v>4928</v>
      </c>
      <c r="H115" t="s">
        <v>4929</v>
      </c>
    </row>
    <row r="116" spans="1:8" x14ac:dyDescent="0.3">
      <c r="A116" t="s">
        <v>5044</v>
      </c>
      <c r="B116" s="1">
        <v>45177</v>
      </c>
      <c r="C116" t="s">
        <v>4925</v>
      </c>
      <c r="D116" t="s">
        <v>4926</v>
      </c>
      <c r="E116">
        <v>88.809700000000007</v>
      </c>
      <c r="F116" t="s">
        <v>4927</v>
      </c>
      <c r="G116" t="s">
        <v>4928</v>
      </c>
      <c r="H116" t="s">
        <v>4929</v>
      </c>
    </row>
    <row r="117" spans="1:8" x14ac:dyDescent="0.3">
      <c r="A117" t="s">
        <v>5045</v>
      </c>
      <c r="B117" s="1">
        <v>45180</v>
      </c>
      <c r="C117" t="s">
        <v>4925</v>
      </c>
      <c r="D117" t="s">
        <v>4926</v>
      </c>
      <c r="E117">
        <v>89.207400000000007</v>
      </c>
      <c r="F117" t="s">
        <v>4927</v>
      </c>
      <c r="G117" t="s">
        <v>4928</v>
      </c>
      <c r="H117" t="s">
        <v>4929</v>
      </c>
    </row>
    <row r="118" spans="1:8" x14ac:dyDescent="0.3">
      <c r="A118" t="s">
        <v>5046</v>
      </c>
      <c r="B118" s="1">
        <v>45181</v>
      </c>
      <c r="C118" t="s">
        <v>4925</v>
      </c>
      <c r="D118" t="s">
        <v>4926</v>
      </c>
      <c r="E118">
        <v>88.875600000000006</v>
      </c>
      <c r="F118" t="s">
        <v>4927</v>
      </c>
      <c r="G118" t="s">
        <v>4928</v>
      </c>
      <c r="H118" t="s">
        <v>4929</v>
      </c>
    </row>
    <row r="119" spans="1:8" x14ac:dyDescent="0.3">
      <c r="A119" t="s">
        <v>5047</v>
      </c>
      <c r="B119" s="1">
        <v>45182</v>
      </c>
      <c r="C119" t="s">
        <v>4925</v>
      </c>
      <c r="D119" t="s">
        <v>4926</v>
      </c>
      <c r="E119">
        <v>89.041899999999998</v>
      </c>
      <c r="F119" t="s">
        <v>4927</v>
      </c>
      <c r="G119" t="s">
        <v>4928</v>
      </c>
      <c r="H119" t="s">
        <v>4929</v>
      </c>
    </row>
    <row r="120" spans="1:8" x14ac:dyDescent="0.3">
      <c r="A120" t="s">
        <v>5048</v>
      </c>
      <c r="B120" s="1">
        <v>45183</v>
      </c>
      <c r="C120" t="s">
        <v>4925</v>
      </c>
      <c r="D120" t="s">
        <v>4926</v>
      </c>
      <c r="E120">
        <v>88.499300000000005</v>
      </c>
      <c r="F120" t="s">
        <v>4927</v>
      </c>
      <c r="G120" t="s">
        <v>4928</v>
      </c>
      <c r="H120" t="s">
        <v>4929</v>
      </c>
    </row>
    <row r="121" spans="1:8" x14ac:dyDescent="0.3">
      <c r="A121" t="s">
        <v>5049</v>
      </c>
      <c r="B121" s="1">
        <v>45184</v>
      </c>
      <c r="C121" t="s">
        <v>4925</v>
      </c>
      <c r="D121" t="s">
        <v>4926</v>
      </c>
      <c r="E121">
        <v>88.745999999999995</v>
      </c>
      <c r="F121" t="s">
        <v>4927</v>
      </c>
      <c r="G121" t="s">
        <v>4928</v>
      </c>
      <c r="H121" t="s">
        <v>4929</v>
      </c>
    </row>
    <row r="122" spans="1:8" x14ac:dyDescent="0.3">
      <c r="A122" t="s">
        <v>5050</v>
      </c>
      <c r="B122" s="1">
        <v>45187</v>
      </c>
      <c r="C122" t="s">
        <v>4925</v>
      </c>
      <c r="D122" t="s">
        <v>4926</v>
      </c>
      <c r="E122">
        <v>89.057299999999998</v>
      </c>
      <c r="F122" t="s">
        <v>4927</v>
      </c>
      <c r="G122" t="s">
        <v>4928</v>
      </c>
      <c r="H122" t="s">
        <v>4929</v>
      </c>
    </row>
    <row r="123" spans="1:8" x14ac:dyDescent="0.3">
      <c r="A123" t="s">
        <v>5051</v>
      </c>
      <c r="B123" s="1">
        <v>45188</v>
      </c>
      <c r="C123" t="s">
        <v>4925</v>
      </c>
      <c r="D123" t="s">
        <v>4926</v>
      </c>
      <c r="E123">
        <v>88.965699999999998</v>
      </c>
      <c r="F123" t="s">
        <v>4927</v>
      </c>
      <c r="G123" t="s">
        <v>4928</v>
      </c>
      <c r="H123" t="s">
        <v>4929</v>
      </c>
    </row>
    <row r="124" spans="1:8" x14ac:dyDescent="0.3">
      <c r="A124" t="s">
        <v>5052</v>
      </c>
      <c r="B124" s="1">
        <v>45189</v>
      </c>
      <c r="C124" t="s">
        <v>4925</v>
      </c>
      <c r="D124" t="s">
        <v>4926</v>
      </c>
      <c r="E124">
        <v>89.009500000000003</v>
      </c>
      <c r="F124" t="s">
        <v>4927</v>
      </c>
      <c r="G124" t="s">
        <v>4928</v>
      </c>
      <c r="H124" t="s">
        <v>4929</v>
      </c>
    </row>
    <row r="125" spans="1:8" x14ac:dyDescent="0.3">
      <c r="A125" t="s">
        <v>5053</v>
      </c>
      <c r="B125" s="1">
        <v>45190</v>
      </c>
      <c r="C125" t="s">
        <v>4925</v>
      </c>
      <c r="D125" t="s">
        <v>4926</v>
      </c>
      <c r="E125">
        <v>88.628500000000003</v>
      </c>
      <c r="F125" t="s">
        <v>4927</v>
      </c>
      <c r="G125" t="s">
        <v>4928</v>
      </c>
      <c r="H125" t="s">
        <v>4929</v>
      </c>
    </row>
    <row r="126" spans="1:8" x14ac:dyDescent="0.3">
      <c r="A126" t="s">
        <v>5054</v>
      </c>
      <c r="B126" s="1">
        <v>45191</v>
      </c>
      <c r="C126" t="s">
        <v>4925</v>
      </c>
      <c r="D126" t="s">
        <v>4926</v>
      </c>
      <c r="E126">
        <v>88.424700000000001</v>
      </c>
      <c r="F126" t="s">
        <v>4927</v>
      </c>
      <c r="G126" t="s">
        <v>4928</v>
      </c>
      <c r="H126" t="s">
        <v>4929</v>
      </c>
    </row>
    <row r="127" spans="1:8" x14ac:dyDescent="0.3">
      <c r="A127" t="s">
        <v>5055</v>
      </c>
      <c r="B127" s="1">
        <v>45194</v>
      </c>
      <c r="C127" t="s">
        <v>4925</v>
      </c>
      <c r="D127" t="s">
        <v>4926</v>
      </c>
      <c r="E127">
        <v>88.021799999999999</v>
      </c>
      <c r="F127" t="s">
        <v>4927</v>
      </c>
      <c r="G127" t="s">
        <v>4928</v>
      </c>
      <c r="H127" t="s">
        <v>4929</v>
      </c>
    </row>
    <row r="128" spans="1:8" x14ac:dyDescent="0.3">
      <c r="A128" t="s">
        <v>5056</v>
      </c>
      <c r="B128" s="1">
        <v>45195</v>
      </c>
      <c r="C128" t="s">
        <v>4925</v>
      </c>
      <c r="D128" t="s">
        <v>4926</v>
      </c>
      <c r="E128">
        <v>88.009699999999995</v>
      </c>
      <c r="F128" t="s">
        <v>4927</v>
      </c>
      <c r="G128" t="s">
        <v>4928</v>
      </c>
      <c r="H128" t="s">
        <v>4929</v>
      </c>
    </row>
    <row r="129" spans="1:8" x14ac:dyDescent="0.3">
      <c r="A129" t="s">
        <v>5057</v>
      </c>
      <c r="B129" s="1">
        <v>45196</v>
      </c>
      <c r="C129" t="s">
        <v>4925</v>
      </c>
      <c r="D129" t="s">
        <v>4926</v>
      </c>
      <c r="E129">
        <v>87.422200000000004</v>
      </c>
      <c r="F129" t="s">
        <v>4927</v>
      </c>
      <c r="G129" t="s">
        <v>4928</v>
      </c>
      <c r="H129" t="s">
        <v>4929</v>
      </c>
    </row>
    <row r="130" spans="1:8" x14ac:dyDescent="0.3">
      <c r="A130" t="s">
        <v>5058</v>
      </c>
      <c r="B130" s="1">
        <v>45197</v>
      </c>
      <c r="C130" t="s">
        <v>4925</v>
      </c>
      <c r="D130" t="s">
        <v>4926</v>
      </c>
      <c r="E130">
        <v>87.934899999999999</v>
      </c>
      <c r="F130" t="s">
        <v>4927</v>
      </c>
      <c r="G130" t="s">
        <v>4928</v>
      </c>
      <c r="H130" t="s">
        <v>4929</v>
      </c>
    </row>
    <row r="131" spans="1:8" x14ac:dyDescent="0.3">
      <c r="A131" t="s">
        <v>5059</v>
      </c>
      <c r="B131" s="1">
        <v>45198</v>
      </c>
      <c r="C131" t="s">
        <v>4925</v>
      </c>
      <c r="D131" t="s">
        <v>4926</v>
      </c>
      <c r="E131">
        <v>87.931899999999999</v>
      </c>
      <c r="F131" t="s">
        <v>4927</v>
      </c>
      <c r="G131" t="s">
        <v>4928</v>
      </c>
      <c r="H131" t="s">
        <v>4929</v>
      </c>
    </row>
    <row r="132" spans="1:8" x14ac:dyDescent="0.3">
      <c r="A132" t="s">
        <v>5060</v>
      </c>
      <c r="B132" s="1">
        <v>45201</v>
      </c>
      <c r="C132" t="s">
        <v>4925</v>
      </c>
      <c r="D132" t="s">
        <v>4926</v>
      </c>
      <c r="E132">
        <v>87.191999999999993</v>
      </c>
      <c r="F132" t="s">
        <v>4927</v>
      </c>
      <c r="G132" t="s">
        <v>4928</v>
      </c>
      <c r="H132" t="s">
        <v>4929</v>
      </c>
    </row>
    <row r="133" spans="1:8" x14ac:dyDescent="0.3">
      <c r="A133" t="s">
        <v>5061</v>
      </c>
      <c r="B133" s="1">
        <v>45202</v>
      </c>
      <c r="C133" t="s">
        <v>4925</v>
      </c>
      <c r="D133" t="s">
        <v>4926</v>
      </c>
      <c r="E133">
        <v>86.989900000000006</v>
      </c>
      <c r="F133" t="s">
        <v>4927</v>
      </c>
      <c r="G133" t="s">
        <v>4928</v>
      </c>
      <c r="H133" t="s">
        <v>4929</v>
      </c>
    </row>
    <row r="134" spans="1:8" x14ac:dyDescent="0.3">
      <c r="A134" t="s">
        <v>5062</v>
      </c>
      <c r="B134" s="1">
        <v>45203</v>
      </c>
      <c r="C134" t="s">
        <v>4925</v>
      </c>
      <c r="D134" t="s">
        <v>4926</v>
      </c>
      <c r="E134">
        <v>87.562399999999997</v>
      </c>
      <c r="F134" t="s">
        <v>4927</v>
      </c>
      <c r="G134" t="s">
        <v>4928</v>
      </c>
      <c r="H134" t="s">
        <v>4929</v>
      </c>
    </row>
    <row r="135" spans="1:8" x14ac:dyDescent="0.3">
      <c r="A135" t="s">
        <v>5063</v>
      </c>
      <c r="B135" s="1">
        <v>45204</v>
      </c>
      <c r="C135" t="s">
        <v>4925</v>
      </c>
      <c r="D135" t="s">
        <v>4926</v>
      </c>
      <c r="E135">
        <v>87.6267</v>
      </c>
      <c r="F135" t="s">
        <v>4927</v>
      </c>
      <c r="G135" t="s">
        <v>4928</v>
      </c>
      <c r="H135" t="s">
        <v>4929</v>
      </c>
    </row>
    <row r="136" spans="1:8" x14ac:dyDescent="0.3">
      <c r="A136" t="s">
        <v>5064</v>
      </c>
      <c r="B136" s="1">
        <v>45205</v>
      </c>
      <c r="C136" t="s">
        <v>4925</v>
      </c>
      <c r="D136" t="s">
        <v>4926</v>
      </c>
      <c r="E136">
        <v>88.211699999999993</v>
      </c>
      <c r="F136" t="s">
        <v>4927</v>
      </c>
      <c r="G136" t="s">
        <v>4928</v>
      </c>
      <c r="H136" t="s">
        <v>4929</v>
      </c>
    </row>
    <row r="137" spans="1:8" x14ac:dyDescent="0.3">
      <c r="A137" t="s">
        <v>5065</v>
      </c>
      <c r="B137" s="1">
        <v>45208</v>
      </c>
      <c r="C137" t="s">
        <v>4925</v>
      </c>
      <c r="D137" t="s">
        <v>4926</v>
      </c>
      <c r="E137">
        <v>88.211699999999993</v>
      </c>
      <c r="F137" t="s">
        <v>4927</v>
      </c>
      <c r="G137" t="s">
        <v>4928</v>
      </c>
      <c r="H137" t="s">
        <v>4970</v>
      </c>
    </row>
    <row r="138" spans="1:8" x14ac:dyDescent="0.3">
      <c r="A138" t="s">
        <v>5066</v>
      </c>
      <c r="B138" s="1">
        <v>45209</v>
      </c>
      <c r="C138" t="s">
        <v>4925</v>
      </c>
      <c r="D138" t="s">
        <v>4926</v>
      </c>
      <c r="E138">
        <v>88.394800000000004</v>
      </c>
      <c r="F138" t="s">
        <v>4927</v>
      </c>
      <c r="G138" t="s">
        <v>4928</v>
      </c>
      <c r="H138" t="s">
        <v>4929</v>
      </c>
    </row>
    <row r="139" spans="1:8" x14ac:dyDescent="0.3">
      <c r="A139" t="s">
        <v>5067</v>
      </c>
      <c r="B139" s="1">
        <v>45210</v>
      </c>
      <c r="C139" t="s">
        <v>4925</v>
      </c>
      <c r="D139" t="s">
        <v>4926</v>
      </c>
      <c r="E139">
        <v>88.337199999999996</v>
      </c>
      <c r="F139" t="s">
        <v>4927</v>
      </c>
      <c r="G139" t="s">
        <v>4928</v>
      </c>
      <c r="H139" t="s">
        <v>4929</v>
      </c>
    </row>
    <row r="140" spans="1:8" x14ac:dyDescent="0.3">
      <c r="A140" t="s">
        <v>5068</v>
      </c>
      <c r="B140" s="1">
        <v>45211</v>
      </c>
      <c r="C140" t="s">
        <v>4925</v>
      </c>
      <c r="D140" t="s">
        <v>4926</v>
      </c>
      <c r="E140">
        <v>87.885400000000004</v>
      </c>
      <c r="F140" t="s">
        <v>4927</v>
      </c>
      <c r="G140" t="s">
        <v>4928</v>
      </c>
      <c r="H140" t="s">
        <v>4929</v>
      </c>
    </row>
    <row r="141" spans="1:8" x14ac:dyDescent="0.3">
      <c r="A141" t="s">
        <v>5069</v>
      </c>
      <c r="B141" s="1">
        <v>45212</v>
      </c>
      <c r="C141" t="s">
        <v>4925</v>
      </c>
      <c r="D141" t="s">
        <v>4926</v>
      </c>
      <c r="E141">
        <v>87.439700000000002</v>
      </c>
      <c r="F141" t="s">
        <v>4927</v>
      </c>
      <c r="G141" t="s">
        <v>4928</v>
      </c>
      <c r="H141" t="s">
        <v>4929</v>
      </c>
    </row>
    <row r="142" spans="1:8" x14ac:dyDescent="0.3">
      <c r="A142" t="s">
        <v>5070</v>
      </c>
      <c r="B142" s="1">
        <v>45215</v>
      </c>
      <c r="C142" t="s">
        <v>4925</v>
      </c>
      <c r="D142" t="s">
        <v>4926</v>
      </c>
      <c r="E142">
        <v>87.827100000000002</v>
      </c>
      <c r="F142" t="s">
        <v>4927</v>
      </c>
      <c r="G142" t="s">
        <v>4928</v>
      </c>
      <c r="H142" t="s">
        <v>4929</v>
      </c>
    </row>
    <row r="143" spans="1:8" x14ac:dyDescent="0.3">
      <c r="A143" t="s">
        <v>5071</v>
      </c>
      <c r="B143" s="1">
        <v>45216</v>
      </c>
      <c r="C143" t="s">
        <v>4925</v>
      </c>
      <c r="D143" t="s">
        <v>4926</v>
      </c>
      <c r="E143">
        <v>88.154899999999998</v>
      </c>
      <c r="F143" t="s">
        <v>4927</v>
      </c>
      <c r="G143" t="s">
        <v>4928</v>
      </c>
      <c r="H143" t="s">
        <v>4929</v>
      </c>
    </row>
    <row r="144" spans="1:8" x14ac:dyDescent="0.3">
      <c r="A144" t="s">
        <v>5072</v>
      </c>
      <c r="B144" s="1">
        <v>45217</v>
      </c>
      <c r="C144" t="s">
        <v>4925</v>
      </c>
      <c r="D144" t="s">
        <v>4926</v>
      </c>
      <c r="E144">
        <v>87.678899999999999</v>
      </c>
      <c r="F144" t="s">
        <v>4927</v>
      </c>
      <c r="G144" t="s">
        <v>4928</v>
      </c>
      <c r="H144" t="s">
        <v>4929</v>
      </c>
    </row>
    <row r="145" spans="1:8" x14ac:dyDescent="0.3">
      <c r="A145" t="s">
        <v>5073</v>
      </c>
      <c r="B145" s="1">
        <v>45218</v>
      </c>
      <c r="C145" t="s">
        <v>4925</v>
      </c>
      <c r="D145" t="s">
        <v>4926</v>
      </c>
      <c r="E145">
        <v>87.836699999999993</v>
      </c>
      <c r="F145" t="s">
        <v>4927</v>
      </c>
      <c r="G145" t="s">
        <v>4928</v>
      </c>
      <c r="H145" t="s">
        <v>4929</v>
      </c>
    </row>
    <row r="146" spans="1:8" x14ac:dyDescent="0.3">
      <c r="A146" t="s">
        <v>5074</v>
      </c>
      <c r="B146" s="1">
        <v>45219</v>
      </c>
      <c r="C146" t="s">
        <v>4925</v>
      </c>
      <c r="D146" t="s">
        <v>4926</v>
      </c>
      <c r="E146">
        <v>88.061899999999994</v>
      </c>
      <c r="F146" t="s">
        <v>4927</v>
      </c>
      <c r="G146" t="s">
        <v>4928</v>
      </c>
      <c r="H146" t="s">
        <v>4929</v>
      </c>
    </row>
    <row r="147" spans="1:8" x14ac:dyDescent="0.3">
      <c r="A147" t="s">
        <v>5075</v>
      </c>
      <c r="B147" s="1">
        <v>45222</v>
      </c>
      <c r="C147" t="s">
        <v>4925</v>
      </c>
      <c r="D147" t="s">
        <v>4926</v>
      </c>
      <c r="E147">
        <v>88.564099999999996</v>
      </c>
      <c r="F147" t="s">
        <v>4927</v>
      </c>
      <c r="G147" t="s">
        <v>4928</v>
      </c>
      <c r="H147" t="s">
        <v>4929</v>
      </c>
    </row>
    <row r="148" spans="1:8" x14ac:dyDescent="0.3">
      <c r="A148" t="s">
        <v>5076</v>
      </c>
      <c r="B148" s="1">
        <v>45223</v>
      </c>
      <c r="C148" t="s">
        <v>4925</v>
      </c>
      <c r="D148" t="s">
        <v>4926</v>
      </c>
      <c r="E148">
        <v>88.139799999999994</v>
      </c>
      <c r="F148" t="s">
        <v>4927</v>
      </c>
      <c r="G148" t="s">
        <v>4928</v>
      </c>
      <c r="H148" t="s">
        <v>4929</v>
      </c>
    </row>
    <row r="149" spans="1:8" x14ac:dyDescent="0.3">
      <c r="A149" t="s">
        <v>5077</v>
      </c>
      <c r="B149" s="1">
        <v>45224</v>
      </c>
      <c r="C149" t="s">
        <v>4925</v>
      </c>
      <c r="D149" t="s">
        <v>4926</v>
      </c>
      <c r="E149">
        <v>88.029399999999995</v>
      </c>
      <c r="F149" t="s">
        <v>4927</v>
      </c>
      <c r="G149" t="s">
        <v>4928</v>
      </c>
      <c r="H149" t="s">
        <v>4929</v>
      </c>
    </row>
    <row r="150" spans="1:8" x14ac:dyDescent="0.3">
      <c r="A150" t="s">
        <v>5078</v>
      </c>
      <c r="B150" s="1">
        <v>45225</v>
      </c>
      <c r="C150" t="s">
        <v>4925</v>
      </c>
      <c r="D150" t="s">
        <v>4926</v>
      </c>
      <c r="E150">
        <v>87.668400000000005</v>
      </c>
      <c r="F150" t="s">
        <v>4927</v>
      </c>
      <c r="G150" t="s">
        <v>4928</v>
      </c>
      <c r="H150" t="s">
        <v>4929</v>
      </c>
    </row>
    <row r="151" spans="1:8" x14ac:dyDescent="0.3">
      <c r="A151" t="s">
        <v>5079</v>
      </c>
      <c r="B151" s="1">
        <v>45226</v>
      </c>
      <c r="C151" t="s">
        <v>4925</v>
      </c>
      <c r="D151" t="s">
        <v>4926</v>
      </c>
      <c r="E151">
        <v>88.199600000000004</v>
      </c>
      <c r="F151" t="s">
        <v>4927</v>
      </c>
      <c r="G151" t="s">
        <v>4928</v>
      </c>
      <c r="H151" t="s">
        <v>4929</v>
      </c>
    </row>
    <row r="152" spans="1:8" x14ac:dyDescent="0.3">
      <c r="A152" t="s">
        <v>5080</v>
      </c>
      <c r="B152" s="1">
        <v>45229</v>
      </c>
      <c r="C152" t="s">
        <v>4925</v>
      </c>
      <c r="D152" t="s">
        <v>4926</v>
      </c>
      <c r="E152">
        <v>88.411500000000004</v>
      </c>
      <c r="F152" t="s">
        <v>4927</v>
      </c>
      <c r="G152" t="s">
        <v>4928</v>
      </c>
      <c r="H152" t="s">
        <v>4929</v>
      </c>
    </row>
    <row r="153" spans="1:8" x14ac:dyDescent="0.3">
      <c r="A153" t="s">
        <v>5081</v>
      </c>
      <c r="B153" s="1">
        <v>45230</v>
      </c>
      <c r="C153" t="s">
        <v>4925</v>
      </c>
      <c r="D153" t="s">
        <v>4926</v>
      </c>
      <c r="E153">
        <v>87.989199999999997</v>
      </c>
      <c r="F153" t="s">
        <v>4927</v>
      </c>
      <c r="G153" t="s">
        <v>4928</v>
      </c>
      <c r="H153" t="s">
        <v>4929</v>
      </c>
    </row>
    <row r="154" spans="1:8" x14ac:dyDescent="0.3">
      <c r="A154" t="s">
        <v>5082</v>
      </c>
      <c r="B154" s="1">
        <v>45231</v>
      </c>
      <c r="C154" t="s">
        <v>4925</v>
      </c>
      <c r="D154" t="s">
        <v>4926</v>
      </c>
      <c r="E154">
        <v>87.718299999999999</v>
      </c>
      <c r="F154" t="s">
        <v>4927</v>
      </c>
      <c r="G154" t="s">
        <v>4928</v>
      </c>
      <c r="H154" t="s">
        <v>4929</v>
      </c>
    </row>
    <row r="155" spans="1:8" x14ac:dyDescent="0.3">
      <c r="A155" t="s">
        <v>5083</v>
      </c>
      <c r="B155" s="1">
        <v>45232</v>
      </c>
      <c r="C155" t="s">
        <v>4925</v>
      </c>
      <c r="D155" t="s">
        <v>4926</v>
      </c>
      <c r="E155">
        <v>88.363</v>
      </c>
      <c r="F155" t="s">
        <v>4927</v>
      </c>
      <c r="G155" t="s">
        <v>4928</v>
      </c>
      <c r="H155" t="s">
        <v>4929</v>
      </c>
    </row>
    <row r="156" spans="1:8" x14ac:dyDescent="0.3">
      <c r="A156" t="s">
        <v>5084</v>
      </c>
      <c r="B156" s="1">
        <v>45233</v>
      </c>
      <c r="C156" t="s">
        <v>4925</v>
      </c>
      <c r="D156" t="s">
        <v>4926</v>
      </c>
      <c r="E156">
        <v>89.234200000000001</v>
      </c>
      <c r="F156" t="s">
        <v>4927</v>
      </c>
      <c r="G156" t="s">
        <v>4928</v>
      </c>
      <c r="H156" t="s">
        <v>4929</v>
      </c>
    </row>
    <row r="157" spans="1:8" x14ac:dyDescent="0.3">
      <c r="A157" t="s">
        <v>5085</v>
      </c>
      <c r="B157" s="1">
        <v>45236</v>
      </c>
      <c r="C157" t="s">
        <v>4925</v>
      </c>
      <c r="D157" t="s">
        <v>4926</v>
      </c>
      <c r="E157">
        <v>89.404300000000006</v>
      </c>
      <c r="F157" t="s">
        <v>4927</v>
      </c>
      <c r="G157" t="s">
        <v>4928</v>
      </c>
      <c r="H157" t="s">
        <v>4929</v>
      </c>
    </row>
    <row r="158" spans="1:8" x14ac:dyDescent="0.3">
      <c r="A158" t="s">
        <v>5086</v>
      </c>
      <c r="B158" s="1">
        <v>45237</v>
      </c>
      <c r="C158" t="s">
        <v>4925</v>
      </c>
      <c r="D158" t="s">
        <v>4926</v>
      </c>
      <c r="E158">
        <v>88.937200000000004</v>
      </c>
      <c r="F158" t="s">
        <v>4927</v>
      </c>
      <c r="G158" t="s">
        <v>4928</v>
      </c>
      <c r="H158" t="s">
        <v>4929</v>
      </c>
    </row>
    <row r="159" spans="1:8" x14ac:dyDescent="0.3">
      <c r="A159" t="s">
        <v>5087</v>
      </c>
      <c r="B159" s="1">
        <v>45238</v>
      </c>
      <c r="C159" t="s">
        <v>4925</v>
      </c>
      <c r="D159" t="s">
        <v>4926</v>
      </c>
      <c r="E159">
        <v>89.234499999999997</v>
      </c>
      <c r="F159" t="s">
        <v>4927</v>
      </c>
      <c r="G159" t="s">
        <v>4928</v>
      </c>
      <c r="H159" t="s">
        <v>4929</v>
      </c>
    </row>
    <row r="160" spans="1:8" x14ac:dyDescent="0.3">
      <c r="A160" t="s">
        <v>5088</v>
      </c>
      <c r="B160" s="1">
        <v>45239</v>
      </c>
      <c r="C160" t="s">
        <v>4925</v>
      </c>
      <c r="D160" t="s">
        <v>4926</v>
      </c>
      <c r="E160">
        <v>89.160700000000006</v>
      </c>
      <c r="F160" t="s">
        <v>4927</v>
      </c>
      <c r="G160" t="s">
        <v>4928</v>
      </c>
      <c r="H160" t="s">
        <v>4929</v>
      </c>
    </row>
    <row r="161" spans="1:8" x14ac:dyDescent="0.3">
      <c r="A161" t="s">
        <v>5089</v>
      </c>
      <c r="B161" s="1">
        <v>45240</v>
      </c>
      <c r="C161" t="s">
        <v>4925</v>
      </c>
      <c r="D161" t="s">
        <v>4926</v>
      </c>
      <c r="E161">
        <v>89.160700000000006</v>
      </c>
      <c r="F161" t="s">
        <v>4927</v>
      </c>
      <c r="G161" t="s">
        <v>4928</v>
      </c>
      <c r="H161" t="s">
        <v>4970</v>
      </c>
    </row>
    <row r="162" spans="1:8" x14ac:dyDescent="0.3">
      <c r="A162" t="s">
        <v>5090</v>
      </c>
      <c r="B162" s="1">
        <v>45243</v>
      </c>
      <c r="C162" t="s">
        <v>4925</v>
      </c>
      <c r="D162" t="s">
        <v>4926</v>
      </c>
      <c r="E162">
        <v>89.1524</v>
      </c>
      <c r="F162" t="s">
        <v>4927</v>
      </c>
      <c r="G162" t="s">
        <v>4928</v>
      </c>
      <c r="H162" t="s">
        <v>4929</v>
      </c>
    </row>
    <row r="163" spans="1:8" x14ac:dyDescent="0.3">
      <c r="A163" t="s">
        <v>5091</v>
      </c>
      <c r="B163" s="1">
        <v>45244</v>
      </c>
      <c r="C163" t="s">
        <v>4925</v>
      </c>
      <c r="D163" t="s">
        <v>4926</v>
      </c>
      <c r="E163">
        <v>90.493899999999996</v>
      </c>
      <c r="F163" t="s">
        <v>4927</v>
      </c>
      <c r="G163" t="s">
        <v>4928</v>
      </c>
      <c r="H163" t="s">
        <v>4929</v>
      </c>
    </row>
    <row r="164" spans="1:8" x14ac:dyDescent="0.3">
      <c r="A164" t="s">
        <v>5092</v>
      </c>
      <c r="B164" s="1">
        <v>45245</v>
      </c>
      <c r="C164" t="s">
        <v>4925</v>
      </c>
      <c r="D164" t="s">
        <v>4926</v>
      </c>
      <c r="E164">
        <v>90.199299999999994</v>
      </c>
      <c r="F164" t="s">
        <v>4927</v>
      </c>
      <c r="G164" t="s">
        <v>4928</v>
      </c>
      <c r="H164" t="s">
        <v>4929</v>
      </c>
    </row>
    <row r="165" spans="1:8" x14ac:dyDescent="0.3">
      <c r="A165" t="s">
        <v>5093</v>
      </c>
      <c r="B165" s="1">
        <v>45246</v>
      </c>
      <c r="C165" t="s">
        <v>4925</v>
      </c>
      <c r="D165" t="s">
        <v>4926</v>
      </c>
      <c r="E165">
        <v>90.302000000000007</v>
      </c>
      <c r="F165" t="s">
        <v>4927</v>
      </c>
      <c r="G165" t="s">
        <v>4928</v>
      </c>
      <c r="H165" t="s">
        <v>4929</v>
      </c>
    </row>
    <row r="166" spans="1:8" x14ac:dyDescent="0.3">
      <c r="A166" t="s">
        <v>5094</v>
      </c>
      <c r="B166" s="1">
        <v>45247</v>
      </c>
      <c r="C166" t="s">
        <v>4925</v>
      </c>
      <c r="D166" t="s">
        <v>4926</v>
      </c>
      <c r="E166">
        <v>90.567700000000002</v>
      </c>
      <c r="F166" t="s">
        <v>4927</v>
      </c>
      <c r="G166" t="s">
        <v>4928</v>
      </c>
      <c r="H166" t="s">
        <v>4929</v>
      </c>
    </row>
    <row r="167" spans="1:8" x14ac:dyDescent="0.3">
      <c r="A167" t="s">
        <v>5095</v>
      </c>
      <c r="B167" s="1">
        <v>45250</v>
      </c>
      <c r="C167" t="s">
        <v>4925</v>
      </c>
      <c r="D167" t="s">
        <v>4926</v>
      </c>
      <c r="E167">
        <v>91.204700000000003</v>
      </c>
      <c r="F167" t="s">
        <v>4927</v>
      </c>
      <c r="G167" t="s">
        <v>4928</v>
      </c>
      <c r="H167" t="s">
        <v>4929</v>
      </c>
    </row>
    <row r="168" spans="1:8" x14ac:dyDescent="0.3">
      <c r="A168" t="s">
        <v>5096</v>
      </c>
      <c r="B168" s="1">
        <v>45251</v>
      </c>
      <c r="C168" t="s">
        <v>4925</v>
      </c>
      <c r="D168" t="s">
        <v>4926</v>
      </c>
      <c r="E168">
        <v>90.944900000000004</v>
      </c>
      <c r="F168" t="s">
        <v>4927</v>
      </c>
      <c r="G168" t="s">
        <v>4928</v>
      </c>
      <c r="H168" t="s">
        <v>4929</v>
      </c>
    </row>
    <row r="169" spans="1:8" x14ac:dyDescent="0.3">
      <c r="A169" t="s">
        <v>5097</v>
      </c>
      <c r="B169" s="1">
        <v>45252</v>
      </c>
      <c r="C169" t="s">
        <v>4925</v>
      </c>
      <c r="D169" t="s">
        <v>4926</v>
      </c>
      <c r="E169">
        <v>90.544600000000003</v>
      </c>
      <c r="F169" t="s">
        <v>4927</v>
      </c>
      <c r="G169" t="s">
        <v>4928</v>
      </c>
      <c r="H169" t="s">
        <v>4929</v>
      </c>
    </row>
    <row r="170" spans="1:8" x14ac:dyDescent="0.3">
      <c r="A170" t="s">
        <v>5098</v>
      </c>
      <c r="B170" s="1">
        <v>45253</v>
      </c>
      <c r="C170" t="s">
        <v>4925</v>
      </c>
      <c r="D170" t="s">
        <v>4926</v>
      </c>
      <c r="E170">
        <v>90.544600000000003</v>
      </c>
      <c r="F170" t="s">
        <v>4927</v>
      </c>
      <c r="G170" t="s">
        <v>4928</v>
      </c>
      <c r="H170" t="s">
        <v>4970</v>
      </c>
    </row>
    <row r="171" spans="1:8" x14ac:dyDescent="0.3">
      <c r="A171" t="s">
        <v>5099</v>
      </c>
      <c r="B171" s="1">
        <v>45254</v>
      </c>
      <c r="C171" t="s">
        <v>4925</v>
      </c>
      <c r="D171" t="s">
        <v>4926</v>
      </c>
      <c r="E171">
        <v>91.123999999999995</v>
      </c>
      <c r="F171" t="s">
        <v>4927</v>
      </c>
      <c r="G171" t="s">
        <v>4928</v>
      </c>
      <c r="H171" t="s">
        <v>4929</v>
      </c>
    </row>
    <row r="172" spans="1:8" x14ac:dyDescent="0.3">
      <c r="A172" t="s">
        <v>5100</v>
      </c>
      <c r="B172" s="1">
        <v>45257</v>
      </c>
      <c r="C172" t="s">
        <v>4925</v>
      </c>
      <c r="D172" t="s">
        <v>4926</v>
      </c>
      <c r="E172">
        <v>91.149000000000001</v>
      </c>
      <c r="F172" t="s">
        <v>4927</v>
      </c>
      <c r="G172" t="s">
        <v>4928</v>
      </c>
      <c r="H172" t="s">
        <v>4929</v>
      </c>
    </row>
    <row r="173" spans="1:8" x14ac:dyDescent="0.3">
      <c r="A173" t="s">
        <v>5101</v>
      </c>
      <c r="B173" s="1">
        <v>45258</v>
      </c>
      <c r="C173" t="s">
        <v>4925</v>
      </c>
      <c r="D173" t="s">
        <v>4926</v>
      </c>
      <c r="E173">
        <v>91.721299999999999</v>
      </c>
      <c r="F173" t="s">
        <v>4927</v>
      </c>
      <c r="G173" t="s">
        <v>4928</v>
      </c>
      <c r="H173" t="s">
        <v>4929</v>
      </c>
    </row>
    <row r="174" spans="1:8" x14ac:dyDescent="0.3">
      <c r="A174" t="s">
        <v>5102</v>
      </c>
      <c r="B174" s="1">
        <v>45259</v>
      </c>
      <c r="C174" t="s">
        <v>4925</v>
      </c>
      <c r="D174" t="s">
        <v>4926</v>
      </c>
      <c r="E174">
        <v>91.3827</v>
      </c>
      <c r="F174" t="s">
        <v>4927</v>
      </c>
      <c r="G174" t="s">
        <v>4928</v>
      </c>
      <c r="H174" t="s">
        <v>4929</v>
      </c>
    </row>
    <row r="175" spans="1:8" x14ac:dyDescent="0.3">
      <c r="A175" t="s">
        <v>5103</v>
      </c>
      <c r="B175" s="1">
        <v>45260</v>
      </c>
      <c r="C175" t="s">
        <v>4925</v>
      </c>
      <c r="D175" t="s">
        <v>4926</v>
      </c>
      <c r="E175">
        <v>90.929100000000005</v>
      </c>
      <c r="F175" t="s">
        <v>4927</v>
      </c>
      <c r="G175" t="s">
        <v>4928</v>
      </c>
      <c r="H175" t="s">
        <v>4929</v>
      </c>
    </row>
    <row r="176" spans="1:8" x14ac:dyDescent="0.3">
      <c r="A176" t="s">
        <v>5104</v>
      </c>
      <c r="B176" s="1">
        <v>45261</v>
      </c>
      <c r="C176" t="s">
        <v>4925</v>
      </c>
      <c r="D176" t="s">
        <v>4926</v>
      </c>
      <c r="E176">
        <v>90.581100000000006</v>
      </c>
      <c r="F176" t="s">
        <v>4927</v>
      </c>
      <c r="G176" t="s">
        <v>4928</v>
      </c>
      <c r="H176" t="s">
        <v>4929</v>
      </c>
    </row>
    <row r="177" spans="1:8" x14ac:dyDescent="0.3">
      <c r="A177" t="s">
        <v>5105</v>
      </c>
      <c r="B177" s="1">
        <v>45264</v>
      </c>
      <c r="C177" t="s">
        <v>4925</v>
      </c>
      <c r="D177" t="s">
        <v>4926</v>
      </c>
      <c r="E177">
        <v>90.272199999999998</v>
      </c>
      <c r="F177" t="s">
        <v>4927</v>
      </c>
      <c r="G177" t="s">
        <v>4928</v>
      </c>
      <c r="H177" t="s">
        <v>4929</v>
      </c>
    </row>
    <row r="178" spans="1:8" x14ac:dyDescent="0.3">
      <c r="A178" t="s">
        <v>5106</v>
      </c>
      <c r="B178" s="1">
        <v>45265</v>
      </c>
      <c r="C178" t="s">
        <v>4925</v>
      </c>
      <c r="D178" t="s">
        <v>4926</v>
      </c>
      <c r="E178">
        <v>89.888099999999994</v>
      </c>
      <c r="F178" t="s">
        <v>4927</v>
      </c>
      <c r="G178" t="s">
        <v>4928</v>
      </c>
      <c r="H178" t="s">
        <v>4929</v>
      </c>
    </row>
    <row r="179" spans="1:8" x14ac:dyDescent="0.3">
      <c r="A179" t="s">
        <v>5107</v>
      </c>
      <c r="B179" s="1">
        <v>45266</v>
      </c>
      <c r="C179" t="s">
        <v>4925</v>
      </c>
      <c r="D179" t="s">
        <v>4926</v>
      </c>
      <c r="E179">
        <v>89.902299999999997</v>
      </c>
      <c r="F179" t="s">
        <v>4927</v>
      </c>
      <c r="G179" t="s">
        <v>4928</v>
      </c>
      <c r="H179" t="s">
        <v>4929</v>
      </c>
    </row>
    <row r="180" spans="1:8" x14ac:dyDescent="0.3">
      <c r="A180" t="s">
        <v>5108</v>
      </c>
      <c r="B180" s="1">
        <v>45267</v>
      </c>
      <c r="C180" t="s">
        <v>4925</v>
      </c>
      <c r="D180" t="s">
        <v>4926</v>
      </c>
      <c r="E180">
        <v>89.935599999999994</v>
      </c>
      <c r="F180" t="s">
        <v>4927</v>
      </c>
      <c r="G180" t="s">
        <v>4928</v>
      </c>
      <c r="H180" t="s">
        <v>4929</v>
      </c>
    </row>
    <row r="181" spans="1:8" x14ac:dyDescent="0.3">
      <c r="A181" t="s">
        <v>5109</v>
      </c>
      <c r="B181" s="1">
        <v>45268</v>
      </c>
      <c r="C181" t="s">
        <v>4925</v>
      </c>
      <c r="D181" t="s">
        <v>4926</v>
      </c>
      <c r="E181">
        <v>89.600099999999998</v>
      </c>
      <c r="F181" t="s">
        <v>4927</v>
      </c>
      <c r="G181" t="s">
        <v>4928</v>
      </c>
      <c r="H181" t="s">
        <v>4929</v>
      </c>
    </row>
    <row r="182" spans="1:8" x14ac:dyDescent="0.3">
      <c r="A182" t="s">
        <v>5110</v>
      </c>
      <c r="B182" s="1">
        <v>45271</v>
      </c>
      <c r="C182" t="s">
        <v>4925</v>
      </c>
      <c r="D182" t="s">
        <v>4926</v>
      </c>
      <c r="E182">
        <v>89.608500000000006</v>
      </c>
      <c r="F182" t="s">
        <v>4927</v>
      </c>
      <c r="G182" t="s">
        <v>4928</v>
      </c>
      <c r="H182" t="s">
        <v>4929</v>
      </c>
    </row>
    <row r="183" spans="1:8" x14ac:dyDescent="0.3">
      <c r="A183" t="s">
        <v>5111</v>
      </c>
      <c r="B183" s="1">
        <v>45272</v>
      </c>
      <c r="C183" t="s">
        <v>4925</v>
      </c>
      <c r="D183" t="s">
        <v>4926</v>
      </c>
      <c r="E183">
        <v>89.956199999999995</v>
      </c>
      <c r="F183" t="s">
        <v>4927</v>
      </c>
      <c r="G183" t="s">
        <v>4928</v>
      </c>
      <c r="H183" t="s">
        <v>4929</v>
      </c>
    </row>
    <row r="184" spans="1:8" x14ac:dyDescent="0.3">
      <c r="A184" t="s">
        <v>5112</v>
      </c>
      <c r="B184" s="1">
        <v>45273</v>
      </c>
      <c r="C184" t="s">
        <v>4925</v>
      </c>
      <c r="D184" t="s">
        <v>4926</v>
      </c>
      <c r="E184">
        <v>90.013599999999997</v>
      </c>
      <c r="F184" t="s">
        <v>4927</v>
      </c>
      <c r="G184" t="s">
        <v>4928</v>
      </c>
      <c r="H184" t="s">
        <v>4929</v>
      </c>
    </row>
    <row r="185" spans="1:8" x14ac:dyDescent="0.3">
      <c r="A185" t="s">
        <v>5113</v>
      </c>
      <c r="B185" s="1">
        <v>45274</v>
      </c>
      <c r="C185" t="s">
        <v>4925</v>
      </c>
      <c r="D185" t="s">
        <v>4926</v>
      </c>
      <c r="E185">
        <v>91.582999999999998</v>
      </c>
      <c r="F185" t="s">
        <v>4927</v>
      </c>
      <c r="G185" t="s">
        <v>4928</v>
      </c>
      <c r="H185" t="s">
        <v>4929</v>
      </c>
    </row>
    <row r="186" spans="1:8" x14ac:dyDescent="0.3">
      <c r="A186" t="s">
        <v>5114</v>
      </c>
      <c r="B186" s="1">
        <v>45275</v>
      </c>
      <c r="C186" t="s">
        <v>4925</v>
      </c>
      <c r="D186" t="s">
        <v>4926</v>
      </c>
      <c r="E186">
        <v>90.541600000000003</v>
      </c>
      <c r="F186" t="s">
        <v>4927</v>
      </c>
      <c r="G186" t="s">
        <v>4928</v>
      </c>
      <c r="H186" t="s">
        <v>4929</v>
      </c>
    </row>
    <row r="187" spans="1:8" x14ac:dyDescent="0.3">
      <c r="A187" t="s">
        <v>5115</v>
      </c>
      <c r="B187" s="1">
        <v>45278</v>
      </c>
      <c r="C187" t="s">
        <v>4925</v>
      </c>
      <c r="D187" t="s">
        <v>4926</v>
      </c>
      <c r="E187">
        <v>90.679699999999997</v>
      </c>
      <c r="F187" t="s">
        <v>4927</v>
      </c>
      <c r="G187" t="s">
        <v>4928</v>
      </c>
      <c r="H187" t="s">
        <v>4929</v>
      </c>
    </row>
    <row r="188" spans="1:8" x14ac:dyDescent="0.3">
      <c r="A188" t="s">
        <v>5116</v>
      </c>
      <c r="B188" s="1">
        <v>45279</v>
      </c>
      <c r="C188" t="s">
        <v>4925</v>
      </c>
      <c r="D188" t="s">
        <v>4926</v>
      </c>
      <c r="E188">
        <v>91.306700000000006</v>
      </c>
      <c r="F188" t="s">
        <v>4927</v>
      </c>
      <c r="G188" t="s">
        <v>4928</v>
      </c>
      <c r="H188" t="s">
        <v>4929</v>
      </c>
    </row>
    <row r="189" spans="1:8" x14ac:dyDescent="0.3">
      <c r="A189" t="s">
        <v>5117</v>
      </c>
      <c r="B189" s="1">
        <v>45280</v>
      </c>
      <c r="C189" t="s">
        <v>4925</v>
      </c>
      <c r="D189" t="s">
        <v>4926</v>
      </c>
      <c r="E189">
        <v>91.096500000000006</v>
      </c>
      <c r="F189" t="s">
        <v>4927</v>
      </c>
      <c r="G189" t="s">
        <v>4928</v>
      </c>
      <c r="H189" t="s">
        <v>4929</v>
      </c>
    </row>
    <row r="190" spans="1:8" x14ac:dyDescent="0.3">
      <c r="A190" t="s">
        <v>5118</v>
      </c>
      <c r="B190" s="1">
        <v>45281</v>
      </c>
      <c r="C190" t="s">
        <v>4925</v>
      </c>
      <c r="D190" t="s">
        <v>4926</v>
      </c>
      <c r="E190">
        <v>91.5137</v>
      </c>
      <c r="F190" t="s">
        <v>4927</v>
      </c>
      <c r="G190" t="s">
        <v>4928</v>
      </c>
      <c r="H190" t="s">
        <v>4929</v>
      </c>
    </row>
    <row r="191" spans="1:8" x14ac:dyDescent="0.3">
      <c r="A191" t="s">
        <v>5119</v>
      </c>
      <c r="B191" s="1">
        <v>45282</v>
      </c>
      <c r="C191" t="s">
        <v>4925</v>
      </c>
      <c r="D191" t="s">
        <v>4926</v>
      </c>
      <c r="E191">
        <v>91.498500000000007</v>
      </c>
      <c r="F191" t="s">
        <v>4927</v>
      </c>
      <c r="G191" t="s">
        <v>4928</v>
      </c>
      <c r="H191" t="s">
        <v>4929</v>
      </c>
    </row>
    <row r="192" spans="1:8" x14ac:dyDescent="0.3">
      <c r="A192" t="s">
        <v>5120</v>
      </c>
      <c r="B192" s="1">
        <v>45285</v>
      </c>
      <c r="C192" t="s">
        <v>4925</v>
      </c>
      <c r="D192" t="s">
        <v>4926</v>
      </c>
      <c r="E192">
        <v>91.498500000000007</v>
      </c>
      <c r="F192" t="s">
        <v>4927</v>
      </c>
      <c r="G192" t="s">
        <v>4928</v>
      </c>
      <c r="H192" t="s">
        <v>4970</v>
      </c>
    </row>
    <row r="193" spans="1:8" x14ac:dyDescent="0.3">
      <c r="A193" t="s">
        <v>5121</v>
      </c>
      <c r="B193" s="1">
        <v>45286</v>
      </c>
      <c r="C193" t="s">
        <v>4925</v>
      </c>
      <c r="D193" t="s">
        <v>4926</v>
      </c>
      <c r="E193">
        <v>91.778099999999995</v>
      </c>
      <c r="F193" t="s">
        <v>4927</v>
      </c>
      <c r="G193" t="s">
        <v>4928</v>
      </c>
      <c r="H193" t="s">
        <v>4929</v>
      </c>
    </row>
    <row r="194" spans="1:8" x14ac:dyDescent="0.3">
      <c r="A194" t="s">
        <v>5122</v>
      </c>
      <c r="B194" s="1">
        <v>45287</v>
      </c>
      <c r="C194" t="s">
        <v>4925</v>
      </c>
      <c r="D194" t="s">
        <v>4926</v>
      </c>
      <c r="E194">
        <v>92.635199999999998</v>
      </c>
      <c r="F194" t="s">
        <v>4927</v>
      </c>
      <c r="G194" t="s">
        <v>4928</v>
      </c>
      <c r="H194" t="s">
        <v>4929</v>
      </c>
    </row>
    <row r="195" spans="1:8" x14ac:dyDescent="0.3">
      <c r="A195" t="s">
        <v>5123</v>
      </c>
      <c r="B195" s="1">
        <v>45288</v>
      </c>
      <c r="C195" t="s">
        <v>4925</v>
      </c>
      <c r="D195" t="s">
        <v>4926</v>
      </c>
      <c r="E195">
        <v>92.072000000000003</v>
      </c>
      <c r="F195" t="s">
        <v>4927</v>
      </c>
      <c r="G195" t="s">
        <v>4928</v>
      </c>
      <c r="H195" t="s">
        <v>4929</v>
      </c>
    </row>
    <row r="196" spans="1:8" x14ac:dyDescent="0.3">
      <c r="A196" t="s">
        <v>5124</v>
      </c>
      <c r="B196" s="1">
        <v>45289</v>
      </c>
      <c r="C196" t="s">
        <v>4925</v>
      </c>
      <c r="D196" t="s">
        <v>4926</v>
      </c>
      <c r="E196">
        <v>92.024799999999999</v>
      </c>
      <c r="F196" t="s">
        <v>4927</v>
      </c>
      <c r="G196" t="s">
        <v>4928</v>
      </c>
      <c r="H196" t="s">
        <v>4929</v>
      </c>
    </row>
    <row r="197" spans="1:8" x14ac:dyDescent="0.3">
      <c r="A197" t="s">
        <v>5125</v>
      </c>
      <c r="B197" s="1">
        <v>45292</v>
      </c>
      <c r="C197" t="s">
        <v>4925</v>
      </c>
      <c r="D197" t="s">
        <v>4926</v>
      </c>
      <c r="E197">
        <v>92.024799999999999</v>
      </c>
      <c r="F197" t="s">
        <v>4927</v>
      </c>
      <c r="G197" t="s">
        <v>4928</v>
      </c>
      <c r="H197" t="s">
        <v>4970</v>
      </c>
    </row>
    <row r="198" spans="1:8" x14ac:dyDescent="0.3">
      <c r="A198" t="s">
        <v>5126</v>
      </c>
      <c r="B198" s="1">
        <v>45293</v>
      </c>
      <c r="C198" t="s">
        <v>4925</v>
      </c>
      <c r="D198" t="s">
        <v>4926</v>
      </c>
      <c r="E198">
        <v>91.282799999999995</v>
      </c>
      <c r="F198" t="s">
        <v>4927</v>
      </c>
      <c r="G198" t="s">
        <v>4928</v>
      </c>
      <c r="H198" t="s">
        <v>4929</v>
      </c>
    </row>
    <row r="199" spans="1:8" x14ac:dyDescent="0.3">
      <c r="A199" t="s">
        <v>5127</v>
      </c>
      <c r="B199" s="1">
        <v>45294</v>
      </c>
      <c r="C199" t="s">
        <v>4925</v>
      </c>
      <c r="D199" t="s">
        <v>4926</v>
      </c>
      <c r="E199">
        <v>90.872</v>
      </c>
      <c r="F199" t="s">
        <v>4927</v>
      </c>
      <c r="G199" t="s">
        <v>4928</v>
      </c>
      <c r="H199" t="s">
        <v>4929</v>
      </c>
    </row>
    <row r="200" spans="1:8" x14ac:dyDescent="0.3">
      <c r="A200" t="s">
        <v>5128</v>
      </c>
      <c r="B200" s="1">
        <v>45295</v>
      </c>
      <c r="C200" t="s">
        <v>4925</v>
      </c>
      <c r="D200" t="s">
        <v>4926</v>
      </c>
      <c r="E200">
        <v>91.173199999999994</v>
      </c>
      <c r="F200" t="s">
        <v>4927</v>
      </c>
      <c r="G200" t="s">
        <v>4928</v>
      </c>
      <c r="H200" t="s">
        <v>4929</v>
      </c>
    </row>
    <row r="201" spans="1:8" x14ac:dyDescent="0.3">
      <c r="A201" t="s">
        <v>5129</v>
      </c>
      <c r="B201" s="1">
        <v>45296</v>
      </c>
      <c r="C201" t="s">
        <v>4925</v>
      </c>
      <c r="D201" t="s">
        <v>4926</v>
      </c>
      <c r="E201">
        <v>91.118399999999994</v>
      </c>
      <c r="F201" t="s">
        <v>4927</v>
      </c>
      <c r="G201" t="s">
        <v>4928</v>
      </c>
      <c r="H201" t="s">
        <v>4929</v>
      </c>
    </row>
    <row r="202" spans="1:8" x14ac:dyDescent="0.3">
      <c r="A202" t="s">
        <v>5130</v>
      </c>
      <c r="B202" s="1">
        <v>45299</v>
      </c>
      <c r="C202" t="s">
        <v>4925</v>
      </c>
      <c r="D202" t="s">
        <v>4926</v>
      </c>
      <c r="E202">
        <v>91.243499999999997</v>
      </c>
      <c r="F202" t="s">
        <v>4927</v>
      </c>
      <c r="G202" t="s">
        <v>4928</v>
      </c>
      <c r="H202" t="s">
        <v>4929</v>
      </c>
    </row>
    <row r="203" spans="1:8" x14ac:dyDescent="0.3">
      <c r="A203" t="s">
        <v>5131</v>
      </c>
      <c r="B203" s="1">
        <v>45300</v>
      </c>
      <c r="C203" t="s">
        <v>4925</v>
      </c>
      <c r="D203" t="s">
        <v>4926</v>
      </c>
      <c r="E203">
        <v>90.858900000000006</v>
      </c>
      <c r="F203" t="s">
        <v>4927</v>
      </c>
      <c r="G203" t="s">
        <v>4928</v>
      </c>
      <c r="H203" t="s">
        <v>4929</v>
      </c>
    </row>
    <row r="204" spans="1:8" x14ac:dyDescent="0.3">
      <c r="A204" t="s">
        <v>5132</v>
      </c>
      <c r="B204" s="1">
        <v>45301</v>
      </c>
      <c r="C204" t="s">
        <v>4925</v>
      </c>
      <c r="D204" t="s">
        <v>4926</v>
      </c>
      <c r="E204">
        <v>90.978999999999999</v>
      </c>
      <c r="F204" t="s">
        <v>4927</v>
      </c>
      <c r="G204" t="s">
        <v>4928</v>
      </c>
      <c r="H204" t="s">
        <v>4929</v>
      </c>
    </row>
    <row r="205" spans="1:8" x14ac:dyDescent="0.3">
      <c r="A205" t="s">
        <v>5133</v>
      </c>
      <c r="B205" s="1">
        <v>45302</v>
      </c>
      <c r="C205" t="s">
        <v>4925</v>
      </c>
      <c r="D205" t="s">
        <v>4926</v>
      </c>
      <c r="E205">
        <v>90.859700000000004</v>
      </c>
      <c r="F205" t="s">
        <v>4927</v>
      </c>
      <c r="G205" t="s">
        <v>4928</v>
      </c>
      <c r="H205" t="s">
        <v>4929</v>
      </c>
    </row>
    <row r="206" spans="1:8" x14ac:dyDescent="0.3">
      <c r="A206" t="s">
        <v>5134</v>
      </c>
      <c r="B206" s="1">
        <v>45303</v>
      </c>
      <c r="C206" t="s">
        <v>4925</v>
      </c>
      <c r="D206" t="s">
        <v>4926</v>
      </c>
      <c r="E206">
        <v>90.872</v>
      </c>
      <c r="F206" t="s">
        <v>4927</v>
      </c>
      <c r="G206" t="s">
        <v>4928</v>
      </c>
      <c r="H206" t="s">
        <v>4929</v>
      </c>
    </row>
    <row r="207" spans="1:8" x14ac:dyDescent="0.3">
      <c r="A207" t="s">
        <v>5135</v>
      </c>
      <c r="B207" s="1">
        <v>45306</v>
      </c>
      <c r="C207" t="s">
        <v>4925</v>
      </c>
      <c r="D207" t="s">
        <v>4926</v>
      </c>
      <c r="E207">
        <v>90.872</v>
      </c>
      <c r="F207" t="s">
        <v>4927</v>
      </c>
      <c r="G207" t="s">
        <v>4928</v>
      </c>
      <c r="H207" t="s">
        <v>4970</v>
      </c>
    </row>
    <row r="208" spans="1:8" x14ac:dyDescent="0.3">
      <c r="A208" t="s">
        <v>5136</v>
      </c>
      <c r="B208" s="1">
        <v>45307</v>
      </c>
      <c r="C208" t="s">
        <v>4925</v>
      </c>
      <c r="D208" t="s">
        <v>4926</v>
      </c>
      <c r="E208">
        <v>90.375</v>
      </c>
      <c r="F208" t="s">
        <v>4927</v>
      </c>
      <c r="G208" t="s">
        <v>4928</v>
      </c>
      <c r="H208" t="s">
        <v>4929</v>
      </c>
    </row>
    <row r="209" spans="1:8" x14ac:dyDescent="0.3">
      <c r="A209" t="s">
        <v>5137</v>
      </c>
      <c r="B209" s="1">
        <v>45308</v>
      </c>
      <c r="C209" t="s">
        <v>4925</v>
      </c>
      <c r="D209" t="s">
        <v>4926</v>
      </c>
      <c r="E209">
        <v>90.273399999999995</v>
      </c>
      <c r="F209" t="s">
        <v>4927</v>
      </c>
      <c r="G209" t="s">
        <v>4928</v>
      </c>
      <c r="H209" t="s">
        <v>4929</v>
      </c>
    </row>
    <row r="210" spans="1:8" x14ac:dyDescent="0.3">
      <c r="A210" t="s">
        <v>5138</v>
      </c>
      <c r="B210" s="1">
        <v>45309</v>
      </c>
      <c r="C210" t="s">
        <v>4925</v>
      </c>
      <c r="D210" t="s">
        <v>4926</v>
      </c>
      <c r="E210">
        <v>90.325800000000001</v>
      </c>
      <c r="F210" t="s">
        <v>4927</v>
      </c>
      <c r="G210" t="s">
        <v>4928</v>
      </c>
      <c r="H210" t="s">
        <v>4929</v>
      </c>
    </row>
    <row r="211" spans="1:8" x14ac:dyDescent="0.3">
      <c r="A211" t="s">
        <v>5139</v>
      </c>
      <c r="B211" s="1">
        <v>45310</v>
      </c>
      <c r="C211" t="s">
        <v>4925</v>
      </c>
      <c r="D211" t="s">
        <v>4926</v>
      </c>
      <c r="E211">
        <v>90.460099999999997</v>
      </c>
      <c r="F211" t="s">
        <v>4927</v>
      </c>
      <c r="G211" t="s">
        <v>4928</v>
      </c>
      <c r="H211" t="s">
        <v>4929</v>
      </c>
    </row>
    <row r="212" spans="1:8" x14ac:dyDescent="0.3">
      <c r="A212" t="s">
        <v>5140</v>
      </c>
      <c r="B212" s="1">
        <v>45313</v>
      </c>
      <c r="C212" t="s">
        <v>4925</v>
      </c>
      <c r="D212" t="s">
        <v>4926</v>
      </c>
      <c r="E212">
        <v>90.515699999999995</v>
      </c>
      <c r="F212" t="s">
        <v>4927</v>
      </c>
      <c r="G212" t="s">
        <v>4928</v>
      </c>
      <c r="H212" t="s">
        <v>4929</v>
      </c>
    </row>
    <row r="213" spans="1:8" x14ac:dyDescent="0.3">
      <c r="A213" t="s">
        <v>5141</v>
      </c>
      <c r="B213" s="1">
        <v>45314</v>
      </c>
      <c r="C213" t="s">
        <v>4925</v>
      </c>
      <c r="D213" t="s">
        <v>4926</v>
      </c>
      <c r="E213">
        <v>90.043099999999995</v>
      </c>
      <c r="F213" t="s">
        <v>4927</v>
      </c>
      <c r="G213" t="s">
        <v>4928</v>
      </c>
      <c r="H213" t="s">
        <v>4929</v>
      </c>
    </row>
    <row r="214" spans="1:8" x14ac:dyDescent="0.3">
      <c r="A214" t="s">
        <v>5142</v>
      </c>
      <c r="B214" s="1">
        <v>45315</v>
      </c>
      <c r="C214" t="s">
        <v>4925</v>
      </c>
      <c r="D214" t="s">
        <v>4926</v>
      </c>
      <c r="E214">
        <v>90.576400000000007</v>
      </c>
      <c r="F214" t="s">
        <v>4927</v>
      </c>
      <c r="G214" t="s">
        <v>4928</v>
      </c>
      <c r="H214" t="s">
        <v>4929</v>
      </c>
    </row>
    <row r="215" spans="1:8" x14ac:dyDescent="0.3">
      <c r="A215" t="s">
        <v>5143</v>
      </c>
      <c r="B215" s="1">
        <v>45316</v>
      </c>
      <c r="C215" t="s">
        <v>4925</v>
      </c>
      <c r="D215" t="s">
        <v>4926</v>
      </c>
      <c r="E215">
        <v>90.033799999999999</v>
      </c>
      <c r="F215" t="s">
        <v>4927</v>
      </c>
      <c r="G215" t="s">
        <v>4928</v>
      </c>
      <c r="H215" t="s">
        <v>4929</v>
      </c>
    </row>
    <row r="216" spans="1:8" x14ac:dyDescent="0.3">
      <c r="A216" t="s">
        <v>5144</v>
      </c>
      <c r="B216" s="1">
        <v>45317</v>
      </c>
      <c r="C216" t="s">
        <v>4925</v>
      </c>
      <c r="D216" t="s">
        <v>4926</v>
      </c>
      <c r="E216">
        <v>90.307299999999998</v>
      </c>
      <c r="F216" t="s">
        <v>4927</v>
      </c>
      <c r="G216" t="s">
        <v>4928</v>
      </c>
      <c r="H216" t="s">
        <v>4929</v>
      </c>
    </row>
    <row r="217" spans="1:8" x14ac:dyDescent="0.3">
      <c r="A217" t="s">
        <v>5145</v>
      </c>
      <c r="B217" s="1">
        <v>45320</v>
      </c>
      <c r="C217" t="s">
        <v>4925</v>
      </c>
      <c r="D217" t="s">
        <v>4926</v>
      </c>
      <c r="E217">
        <v>89.827799999999996</v>
      </c>
      <c r="F217" t="s">
        <v>4927</v>
      </c>
      <c r="G217" t="s">
        <v>4928</v>
      </c>
      <c r="H217" t="s">
        <v>4929</v>
      </c>
    </row>
    <row r="218" spans="1:8" x14ac:dyDescent="0.3">
      <c r="A218" t="s">
        <v>5146</v>
      </c>
      <c r="B218" s="1">
        <v>45321</v>
      </c>
      <c r="C218" t="s">
        <v>4925</v>
      </c>
      <c r="D218" t="s">
        <v>4926</v>
      </c>
      <c r="E218">
        <v>90.124499999999998</v>
      </c>
      <c r="F218" t="s">
        <v>4927</v>
      </c>
      <c r="G218" t="s">
        <v>4928</v>
      </c>
      <c r="H218" t="s">
        <v>4929</v>
      </c>
    </row>
    <row r="219" spans="1:8" x14ac:dyDescent="0.3">
      <c r="A219" t="s">
        <v>5147</v>
      </c>
      <c r="B219" s="1">
        <v>45322</v>
      </c>
      <c r="C219" t="s">
        <v>4925</v>
      </c>
      <c r="D219" t="s">
        <v>4926</v>
      </c>
      <c r="E219">
        <v>90.118200000000002</v>
      </c>
      <c r="F219" t="s">
        <v>4927</v>
      </c>
      <c r="G219" t="s">
        <v>4928</v>
      </c>
      <c r="H219" t="s">
        <v>4929</v>
      </c>
    </row>
    <row r="220" spans="1:8" x14ac:dyDescent="0.3">
      <c r="A220" t="s">
        <v>5148</v>
      </c>
      <c r="B220" s="1">
        <v>45323</v>
      </c>
      <c r="C220" t="s">
        <v>4925</v>
      </c>
      <c r="D220" t="s">
        <v>4926</v>
      </c>
      <c r="E220">
        <v>90.125200000000007</v>
      </c>
      <c r="F220" t="s">
        <v>4927</v>
      </c>
      <c r="G220" t="s">
        <v>4928</v>
      </c>
      <c r="H220" t="s">
        <v>4929</v>
      </c>
    </row>
    <row r="221" spans="1:8" x14ac:dyDescent="0.3">
      <c r="A221" t="s">
        <v>5149</v>
      </c>
      <c r="B221" s="1">
        <v>45324</v>
      </c>
      <c r="C221" t="s">
        <v>4925</v>
      </c>
      <c r="D221" t="s">
        <v>4926</v>
      </c>
      <c r="E221">
        <v>89.445800000000006</v>
      </c>
      <c r="F221" t="s">
        <v>4927</v>
      </c>
      <c r="G221" t="s">
        <v>4928</v>
      </c>
      <c r="H221" t="s">
        <v>4929</v>
      </c>
    </row>
    <row r="222" spans="1:8" x14ac:dyDescent="0.3">
      <c r="A222" t="s">
        <v>5150</v>
      </c>
      <c r="B222" s="1">
        <v>45327</v>
      </c>
      <c r="C222" t="s">
        <v>4925</v>
      </c>
      <c r="D222" t="s">
        <v>4926</v>
      </c>
      <c r="E222">
        <v>89.151700000000005</v>
      </c>
      <c r="F222" t="s">
        <v>4927</v>
      </c>
      <c r="G222" t="s">
        <v>4928</v>
      </c>
      <c r="H222" t="s">
        <v>4929</v>
      </c>
    </row>
    <row r="223" spans="1:8" x14ac:dyDescent="0.3">
      <c r="A223" t="s">
        <v>5151</v>
      </c>
      <c r="B223" s="1">
        <v>45328</v>
      </c>
      <c r="C223" t="s">
        <v>4925</v>
      </c>
      <c r="D223" t="s">
        <v>4926</v>
      </c>
      <c r="E223">
        <v>89.265600000000006</v>
      </c>
      <c r="F223" t="s">
        <v>4927</v>
      </c>
      <c r="G223" t="s">
        <v>4928</v>
      </c>
      <c r="H223" t="s">
        <v>4929</v>
      </c>
    </row>
    <row r="224" spans="1:8" x14ac:dyDescent="0.3">
      <c r="A224" t="s">
        <v>5152</v>
      </c>
      <c r="B224" s="1">
        <v>45329</v>
      </c>
      <c r="C224" t="s">
        <v>4925</v>
      </c>
      <c r="D224" t="s">
        <v>4926</v>
      </c>
      <c r="E224">
        <v>89.350399999999993</v>
      </c>
      <c r="F224" t="s">
        <v>4927</v>
      </c>
      <c r="G224" t="s">
        <v>4928</v>
      </c>
      <c r="H224" t="s">
        <v>4929</v>
      </c>
    </row>
    <row r="225" spans="1:8" x14ac:dyDescent="0.3">
      <c r="A225" t="s">
        <v>5153</v>
      </c>
      <c r="B225" s="1">
        <v>45330</v>
      </c>
      <c r="C225" t="s">
        <v>4925</v>
      </c>
      <c r="D225" t="s">
        <v>4926</v>
      </c>
      <c r="E225">
        <v>89.391900000000007</v>
      </c>
      <c r="F225" t="s">
        <v>4927</v>
      </c>
      <c r="G225" t="s">
        <v>4928</v>
      </c>
      <c r="H225" t="s">
        <v>4929</v>
      </c>
    </row>
    <row r="226" spans="1:8" x14ac:dyDescent="0.3">
      <c r="A226" t="s">
        <v>5154</v>
      </c>
      <c r="B226" s="1">
        <v>45331</v>
      </c>
      <c r="C226" t="s">
        <v>4925</v>
      </c>
      <c r="D226" t="s">
        <v>4926</v>
      </c>
      <c r="E226">
        <v>89.490600000000001</v>
      </c>
      <c r="F226" t="s">
        <v>4927</v>
      </c>
      <c r="G226" t="s">
        <v>4928</v>
      </c>
      <c r="H226" t="s">
        <v>4929</v>
      </c>
    </row>
    <row r="227" spans="1:8" x14ac:dyDescent="0.3">
      <c r="A227" t="s">
        <v>5155</v>
      </c>
      <c r="B227" s="1">
        <v>45334</v>
      </c>
      <c r="C227" t="s">
        <v>4925</v>
      </c>
      <c r="D227" t="s">
        <v>4926</v>
      </c>
      <c r="E227">
        <v>89.3703</v>
      </c>
      <c r="F227" t="s">
        <v>4927</v>
      </c>
      <c r="G227" t="s">
        <v>4928</v>
      </c>
      <c r="H227" t="s">
        <v>4929</v>
      </c>
    </row>
    <row r="228" spans="1:8" x14ac:dyDescent="0.3">
      <c r="A228" t="s">
        <v>5156</v>
      </c>
      <c r="B228" s="1">
        <v>45335</v>
      </c>
      <c r="C228" t="s">
        <v>4925</v>
      </c>
      <c r="D228" t="s">
        <v>4926</v>
      </c>
      <c r="E228">
        <v>89.040300000000002</v>
      </c>
      <c r="F228" t="s">
        <v>4927</v>
      </c>
      <c r="G228" t="s">
        <v>4928</v>
      </c>
      <c r="H228" t="s">
        <v>4929</v>
      </c>
    </row>
    <row r="229" spans="1:8" x14ac:dyDescent="0.3">
      <c r="A229" t="s">
        <v>5157</v>
      </c>
      <c r="B229" s="1">
        <v>45336</v>
      </c>
      <c r="C229" t="s">
        <v>4925</v>
      </c>
      <c r="D229" t="s">
        <v>4926</v>
      </c>
      <c r="E229">
        <v>89.122</v>
      </c>
      <c r="F229" t="s">
        <v>4927</v>
      </c>
      <c r="G229" t="s">
        <v>4928</v>
      </c>
      <c r="H229" t="s">
        <v>4929</v>
      </c>
    </row>
    <row r="230" spans="1:8" x14ac:dyDescent="0.3">
      <c r="A230" t="s">
        <v>5158</v>
      </c>
      <c r="B230" s="1">
        <v>45337</v>
      </c>
      <c r="C230" t="s">
        <v>4925</v>
      </c>
      <c r="D230" t="s">
        <v>4926</v>
      </c>
      <c r="E230">
        <v>89.316299999999998</v>
      </c>
      <c r="F230" t="s">
        <v>4927</v>
      </c>
      <c r="G230" t="s">
        <v>4928</v>
      </c>
      <c r="H230" t="s">
        <v>4929</v>
      </c>
    </row>
    <row r="231" spans="1:8" x14ac:dyDescent="0.3">
      <c r="A231" t="s">
        <v>5159</v>
      </c>
      <c r="B231" s="1">
        <v>45338</v>
      </c>
      <c r="C231" t="s">
        <v>4925</v>
      </c>
      <c r="D231" t="s">
        <v>4926</v>
      </c>
      <c r="E231">
        <v>89.404200000000003</v>
      </c>
      <c r="F231" t="s">
        <v>4927</v>
      </c>
      <c r="G231" t="s">
        <v>4928</v>
      </c>
      <c r="H231" t="s">
        <v>4929</v>
      </c>
    </row>
    <row r="232" spans="1:8" x14ac:dyDescent="0.3">
      <c r="A232" t="s">
        <v>5160</v>
      </c>
      <c r="B232" s="1">
        <v>45341</v>
      </c>
      <c r="C232" t="s">
        <v>4925</v>
      </c>
      <c r="D232" t="s">
        <v>4926</v>
      </c>
      <c r="E232">
        <v>89.404200000000003</v>
      </c>
      <c r="F232" t="s">
        <v>4927</v>
      </c>
      <c r="G232" t="s">
        <v>4928</v>
      </c>
      <c r="H232" t="s">
        <v>4970</v>
      </c>
    </row>
    <row r="233" spans="1:8" x14ac:dyDescent="0.3">
      <c r="A233" t="s">
        <v>5161</v>
      </c>
      <c r="B233" s="1">
        <v>45342</v>
      </c>
      <c r="C233" t="s">
        <v>4925</v>
      </c>
      <c r="D233" t="s">
        <v>4926</v>
      </c>
      <c r="E233">
        <v>89.626400000000004</v>
      </c>
      <c r="F233" t="s">
        <v>4927</v>
      </c>
      <c r="G233" t="s">
        <v>4928</v>
      </c>
      <c r="H233" t="s">
        <v>4929</v>
      </c>
    </row>
    <row r="234" spans="1:8" x14ac:dyDescent="0.3">
      <c r="A234" t="s">
        <v>5162</v>
      </c>
      <c r="B234" s="1">
        <v>45343</v>
      </c>
      <c r="C234" t="s">
        <v>4925</v>
      </c>
      <c r="D234" t="s">
        <v>4926</v>
      </c>
      <c r="E234">
        <v>89.746099999999998</v>
      </c>
      <c r="F234" t="s">
        <v>4927</v>
      </c>
      <c r="G234" t="s">
        <v>4928</v>
      </c>
      <c r="H234" t="s">
        <v>4929</v>
      </c>
    </row>
    <row r="235" spans="1:8" x14ac:dyDescent="0.3">
      <c r="A235" t="s">
        <v>5163</v>
      </c>
      <c r="B235" s="1">
        <v>45344</v>
      </c>
      <c r="C235" t="s">
        <v>4925</v>
      </c>
      <c r="D235" t="s">
        <v>4926</v>
      </c>
      <c r="E235">
        <v>89.613100000000003</v>
      </c>
      <c r="F235" t="s">
        <v>4927</v>
      </c>
      <c r="G235" t="s">
        <v>4928</v>
      </c>
      <c r="H235" t="s">
        <v>4929</v>
      </c>
    </row>
    <row r="236" spans="1:8" x14ac:dyDescent="0.3">
      <c r="A236" t="s">
        <v>5164</v>
      </c>
      <c r="B236" s="1">
        <v>45345</v>
      </c>
      <c r="C236" t="s">
        <v>4925</v>
      </c>
      <c r="D236" t="s">
        <v>4926</v>
      </c>
      <c r="E236">
        <v>89.720799999999997</v>
      </c>
      <c r="F236" t="s">
        <v>4927</v>
      </c>
      <c r="G236" t="s">
        <v>4928</v>
      </c>
      <c r="H236" t="s">
        <v>4929</v>
      </c>
    </row>
    <row r="237" spans="1:8" x14ac:dyDescent="0.3">
      <c r="A237" t="s">
        <v>5165</v>
      </c>
      <c r="B237" s="1">
        <v>45348</v>
      </c>
      <c r="C237" t="s">
        <v>4925</v>
      </c>
      <c r="D237" t="s">
        <v>4926</v>
      </c>
      <c r="E237">
        <v>89.933700000000002</v>
      </c>
      <c r="F237" t="s">
        <v>4927</v>
      </c>
      <c r="G237" t="s">
        <v>4928</v>
      </c>
      <c r="H237" t="s">
        <v>4929</v>
      </c>
    </row>
    <row r="238" spans="1:8" x14ac:dyDescent="0.3">
      <c r="A238" t="s">
        <v>5166</v>
      </c>
      <c r="B238" s="1">
        <v>45349</v>
      </c>
      <c r="C238" t="s">
        <v>4925</v>
      </c>
      <c r="D238" t="s">
        <v>4926</v>
      </c>
      <c r="E238">
        <v>89.982799999999997</v>
      </c>
      <c r="F238" t="s">
        <v>4927</v>
      </c>
      <c r="G238" t="s">
        <v>4928</v>
      </c>
      <c r="H238" t="s">
        <v>4929</v>
      </c>
    </row>
    <row r="239" spans="1:8" x14ac:dyDescent="0.3">
      <c r="A239" t="s">
        <v>5167</v>
      </c>
      <c r="B239" s="1">
        <v>45350</v>
      </c>
      <c r="C239" t="s">
        <v>4925</v>
      </c>
      <c r="D239" t="s">
        <v>4926</v>
      </c>
      <c r="E239">
        <v>89.866799999999998</v>
      </c>
      <c r="F239" t="s">
        <v>4927</v>
      </c>
      <c r="G239" t="s">
        <v>4928</v>
      </c>
      <c r="H239" t="s">
        <v>4929</v>
      </c>
    </row>
    <row r="240" spans="1:8" x14ac:dyDescent="0.3">
      <c r="A240" t="s">
        <v>5168</v>
      </c>
      <c r="B240" s="1">
        <v>45351</v>
      </c>
      <c r="C240" t="s">
        <v>4925</v>
      </c>
      <c r="D240" t="s">
        <v>4926</v>
      </c>
      <c r="E240">
        <v>89.557599999999994</v>
      </c>
      <c r="F240" t="s">
        <v>4927</v>
      </c>
      <c r="G240" t="s">
        <v>4928</v>
      </c>
      <c r="H240" t="s">
        <v>4929</v>
      </c>
    </row>
    <row r="241" spans="1:8" x14ac:dyDescent="0.3">
      <c r="A241" t="s">
        <v>5169</v>
      </c>
      <c r="B241" s="1">
        <v>45352</v>
      </c>
      <c r="C241" t="s">
        <v>4925</v>
      </c>
      <c r="D241" t="s">
        <v>4926</v>
      </c>
      <c r="E241">
        <v>89.808099999999996</v>
      </c>
      <c r="F241" t="s">
        <v>4927</v>
      </c>
      <c r="G241" t="s">
        <v>4928</v>
      </c>
      <c r="H241" t="s">
        <v>4929</v>
      </c>
    </row>
    <row r="242" spans="1:8" x14ac:dyDescent="0.3">
      <c r="A242" t="s">
        <v>5170</v>
      </c>
      <c r="B242" s="1">
        <v>45355</v>
      </c>
      <c r="C242" t="s">
        <v>4925</v>
      </c>
      <c r="D242" t="s">
        <v>4926</v>
      </c>
      <c r="E242">
        <v>90.024299999999997</v>
      </c>
      <c r="F242" t="s">
        <v>4927</v>
      </c>
      <c r="G242" t="s">
        <v>4928</v>
      </c>
      <c r="H242" t="s">
        <v>4929</v>
      </c>
    </row>
    <row r="243" spans="1:8" x14ac:dyDescent="0.3">
      <c r="A243" t="s">
        <v>5171</v>
      </c>
      <c r="B243" s="1">
        <v>45356</v>
      </c>
      <c r="C243" t="s">
        <v>4925</v>
      </c>
      <c r="D243" t="s">
        <v>4926</v>
      </c>
      <c r="E243">
        <v>89.994200000000006</v>
      </c>
      <c r="F243" t="s">
        <v>4927</v>
      </c>
      <c r="G243" t="s">
        <v>4928</v>
      </c>
      <c r="H243" t="s">
        <v>4929</v>
      </c>
    </row>
    <row r="244" spans="1:8" x14ac:dyDescent="0.3">
      <c r="A244" t="s">
        <v>5172</v>
      </c>
      <c r="B244" s="1">
        <v>45357</v>
      </c>
      <c r="C244" t="s">
        <v>4925</v>
      </c>
      <c r="D244" t="s">
        <v>4926</v>
      </c>
      <c r="E244">
        <v>90.337800000000001</v>
      </c>
      <c r="F244" t="s">
        <v>4927</v>
      </c>
      <c r="G244" t="s">
        <v>4928</v>
      </c>
      <c r="H244" t="s">
        <v>4929</v>
      </c>
    </row>
    <row r="245" spans="1:8" x14ac:dyDescent="0.3">
      <c r="A245" t="s">
        <v>5173</v>
      </c>
      <c r="B245" s="1">
        <v>45358</v>
      </c>
      <c r="C245" t="s">
        <v>4925</v>
      </c>
      <c r="D245" t="s">
        <v>4926</v>
      </c>
      <c r="E245">
        <v>90.569599999999994</v>
      </c>
      <c r="F245" t="s">
        <v>4927</v>
      </c>
      <c r="G245" t="s">
        <v>4928</v>
      </c>
      <c r="H245" t="s">
        <v>4929</v>
      </c>
    </row>
    <row r="246" spans="1:8" x14ac:dyDescent="0.3">
      <c r="A246" t="s">
        <v>5174</v>
      </c>
      <c r="B246" s="1">
        <v>45359</v>
      </c>
      <c r="C246" t="s">
        <v>4925</v>
      </c>
      <c r="D246" t="s">
        <v>4926</v>
      </c>
      <c r="E246">
        <v>90.514899999999997</v>
      </c>
      <c r="F246" t="s">
        <v>4927</v>
      </c>
      <c r="G246" t="s">
        <v>4928</v>
      </c>
      <c r="H246" t="s">
        <v>4929</v>
      </c>
    </row>
    <row r="247" spans="1:8" x14ac:dyDescent="0.3">
      <c r="A247" t="s">
        <v>5175</v>
      </c>
      <c r="B247" s="1">
        <v>45362</v>
      </c>
      <c r="C247" t="s">
        <v>4925</v>
      </c>
      <c r="D247" t="s">
        <v>4926</v>
      </c>
      <c r="E247">
        <v>90.3964</v>
      </c>
      <c r="F247" t="s">
        <v>4927</v>
      </c>
      <c r="G247" t="s">
        <v>4928</v>
      </c>
      <c r="H247" t="s">
        <v>4929</v>
      </c>
    </row>
    <row r="248" spans="1:8" x14ac:dyDescent="0.3">
      <c r="A248" t="s">
        <v>5176</v>
      </c>
      <c r="B248" s="1">
        <v>45363</v>
      </c>
      <c r="C248" t="s">
        <v>4925</v>
      </c>
      <c r="D248" t="s">
        <v>4926</v>
      </c>
      <c r="E248">
        <v>90.368300000000005</v>
      </c>
      <c r="F248" t="s">
        <v>4927</v>
      </c>
      <c r="G248" t="s">
        <v>4928</v>
      </c>
      <c r="H248" t="s">
        <v>4929</v>
      </c>
    </row>
    <row r="249" spans="1:8" x14ac:dyDescent="0.3">
      <c r="A249" t="s">
        <v>5177</v>
      </c>
      <c r="B249" s="1">
        <v>45364</v>
      </c>
      <c r="C249" t="s">
        <v>4925</v>
      </c>
      <c r="D249" t="s">
        <v>4926</v>
      </c>
      <c r="E249">
        <v>90.627300000000005</v>
      </c>
      <c r="F249" t="s">
        <v>4927</v>
      </c>
      <c r="G249" t="s">
        <v>4928</v>
      </c>
      <c r="H249" t="s">
        <v>4929</v>
      </c>
    </row>
    <row r="250" spans="1:8" x14ac:dyDescent="0.3">
      <c r="A250" t="s">
        <v>5178</v>
      </c>
      <c r="B250" s="1">
        <v>45365</v>
      </c>
      <c r="C250" t="s">
        <v>4925</v>
      </c>
      <c r="D250" t="s">
        <v>4926</v>
      </c>
      <c r="E250">
        <v>90.174400000000006</v>
      </c>
      <c r="F250" t="s">
        <v>4927</v>
      </c>
      <c r="G250" t="s">
        <v>4928</v>
      </c>
      <c r="H250" t="s">
        <v>4929</v>
      </c>
    </row>
    <row r="251" spans="1:8" x14ac:dyDescent="0.3">
      <c r="A251" t="s">
        <v>5179</v>
      </c>
      <c r="B251" s="1">
        <v>45366</v>
      </c>
      <c r="C251" t="s">
        <v>4925</v>
      </c>
      <c r="D251" t="s">
        <v>4926</v>
      </c>
      <c r="E251">
        <v>90.218000000000004</v>
      </c>
      <c r="F251" t="s">
        <v>4927</v>
      </c>
      <c r="G251" t="s">
        <v>4928</v>
      </c>
      <c r="H251" t="s">
        <v>4929</v>
      </c>
    </row>
    <row r="252" spans="1:8" x14ac:dyDescent="0.3">
      <c r="A252" t="s">
        <v>5180</v>
      </c>
      <c r="B252" s="1">
        <v>45369</v>
      </c>
      <c r="C252" t="s">
        <v>4925</v>
      </c>
      <c r="D252" t="s">
        <v>4926</v>
      </c>
      <c r="E252">
        <v>90.234099999999998</v>
      </c>
      <c r="F252" t="s">
        <v>4927</v>
      </c>
      <c r="G252" t="s">
        <v>4928</v>
      </c>
      <c r="H252" t="s">
        <v>4929</v>
      </c>
    </row>
    <row r="253" spans="1:8" x14ac:dyDescent="0.3">
      <c r="A253" t="s">
        <v>5181</v>
      </c>
      <c r="B253" s="1">
        <v>45370</v>
      </c>
      <c r="C253" t="s">
        <v>4925</v>
      </c>
      <c r="D253" t="s">
        <v>4926</v>
      </c>
      <c r="E253">
        <v>90.140600000000006</v>
      </c>
      <c r="F253" t="s">
        <v>4927</v>
      </c>
      <c r="G253" t="s">
        <v>4928</v>
      </c>
      <c r="H253" t="s">
        <v>4929</v>
      </c>
    </row>
    <row r="254" spans="1:8" x14ac:dyDescent="0.3">
      <c r="A254" t="s">
        <v>5182</v>
      </c>
      <c r="B254" s="1">
        <v>45371</v>
      </c>
      <c r="C254" t="s">
        <v>4925</v>
      </c>
      <c r="D254" t="s">
        <v>4926</v>
      </c>
      <c r="E254">
        <v>90.300200000000004</v>
      </c>
      <c r="F254" t="s">
        <v>4927</v>
      </c>
      <c r="G254" t="s">
        <v>4928</v>
      </c>
      <c r="H254" t="s">
        <v>4929</v>
      </c>
    </row>
    <row r="255" spans="1:8" x14ac:dyDescent="0.3">
      <c r="A255" t="s">
        <v>5183</v>
      </c>
      <c r="B255" s="1">
        <v>45372</v>
      </c>
      <c r="C255" t="s">
        <v>4925</v>
      </c>
      <c r="D255" t="s">
        <v>4926</v>
      </c>
      <c r="E255">
        <v>90.309200000000004</v>
      </c>
      <c r="F255" t="s">
        <v>4927</v>
      </c>
      <c r="G255" t="s">
        <v>4928</v>
      </c>
      <c r="H255" t="s">
        <v>4929</v>
      </c>
    </row>
    <row r="256" spans="1:8" x14ac:dyDescent="0.3">
      <c r="A256" t="s">
        <v>5184</v>
      </c>
      <c r="B256" s="1">
        <v>45373</v>
      </c>
      <c r="C256" t="s">
        <v>4925</v>
      </c>
      <c r="D256" t="s">
        <v>4926</v>
      </c>
      <c r="E256">
        <v>90.354399999999998</v>
      </c>
      <c r="F256" t="s">
        <v>4927</v>
      </c>
      <c r="G256" t="s">
        <v>4928</v>
      </c>
      <c r="H256" t="s">
        <v>4929</v>
      </c>
    </row>
    <row r="257" spans="1:8" x14ac:dyDescent="0.3">
      <c r="A257" t="s">
        <v>5185</v>
      </c>
      <c r="B257" s="1">
        <v>45376</v>
      </c>
      <c r="C257" t="s">
        <v>4925</v>
      </c>
      <c r="D257" t="s">
        <v>4926</v>
      </c>
      <c r="E257">
        <v>90.402299999999997</v>
      </c>
      <c r="F257" t="s">
        <v>4927</v>
      </c>
      <c r="G257" t="s">
        <v>4928</v>
      </c>
      <c r="H257" t="s">
        <v>4929</v>
      </c>
    </row>
    <row r="258" spans="1:8" x14ac:dyDescent="0.3">
      <c r="A258" t="s">
        <v>5186</v>
      </c>
      <c r="B258" s="1">
        <v>45377</v>
      </c>
      <c r="C258" t="s">
        <v>4925</v>
      </c>
      <c r="D258" t="s">
        <v>4926</v>
      </c>
      <c r="E258">
        <v>90.227199999999996</v>
      </c>
      <c r="F258" t="s">
        <v>4927</v>
      </c>
      <c r="G258" t="s">
        <v>4928</v>
      </c>
      <c r="H258" t="s">
        <v>4929</v>
      </c>
    </row>
    <row r="259" spans="1:8" x14ac:dyDescent="0.3">
      <c r="A259" t="s">
        <v>5187</v>
      </c>
      <c r="B259" s="1">
        <v>45378</v>
      </c>
      <c r="C259" t="s">
        <v>4925</v>
      </c>
      <c r="D259" t="s">
        <v>4926</v>
      </c>
      <c r="E259">
        <v>90.182199999999995</v>
      </c>
      <c r="F259" t="s">
        <v>4927</v>
      </c>
      <c r="G259" t="s">
        <v>4928</v>
      </c>
      <c r="H259" t="s">
        <v>4929</v>
      </c>
    </row>
    <row r="260" spans="1:8" x14ac:dyDescent="0.3">
      <c r="A260" t="s">
        <v>5188</v>
      </c>
      <c r="B260" s="1">
        <v>45379</v>
      </c>
      <c r="C260" t="s">
        <v>4925</v>
      </c>
      <c r="D260" t="s">
        <v>4926</v>
      </c>
      <c r="E260">
        <v>90.026300000000006</v>
      </c>
      <c r="F260" t="s">
        <v>4927</v>
      </c>
      <c r="G260" t="s">
        <v>4928</v>
      </c>
      <c r="H260" t="s">
        <v>4929</v>
      </c>
    </row>
    <row r="261" spans="1:8" x14ac:dyDescent="0.3">
      <c r="A261" t="s">
        <v>5189</v>
      </c>
      <c r="B261" s="1">
        <v>45380</v>
      </c>
      <c r="C261" t="s">
        <v>4925</v>
      </c>
      <c r="D261" t="s">
        <v>4926</v>
      </c>
      <c r="E261">
        <v>89.932199999999995</v>
      </c>
      <c r="F261" t="s">
        <v>4927</v>
      </c>
      <c r="G261" t="s">
        <v>4928</v>
      </c>
      <c r="H261" t="s">
        <v>4929</v>
      </c>
    </row>
    <row r="262" spans="1:8" x14ac:dyDescent="0.3">
      <c r="A262" t="s">
        <v>5190</v>
      </c>
      <c r="B262" s="1">
        <v>45383</v>
      </c>
      <c r="C262" t="s">
        <v>4925</v>
      </c>
      <c r="D262" t="s">
        <v>4926</v>
      </c>
      <c r="E262">
        <v>89.470299999999995</v>
      </c>
      <c r="F262" t="s">
        <v>4927</v>
      </c>
      <c r="G262" t="s">
        <v>4928</v>
      </c>
      <c r="H262" t="s">
        <v>4929</v>
      </c>
    </row>
    <row r="263" spans="1:8" x14ac:dyDescent="0.3">
      <c r="A263" t="s">
        <v>5191</v>
      </c>
      <c r="B263" s="1">
        <v>45384</v>
      </c>
      <c r="C263" t="s">
        <v>4925</v>
      </c>
      <c r="D263" t="s">
        <v>4926</v>
      </c>
      <c r="E263">
        <v>89.7273</v>
      </c>
      <c r="F263" t="s">
        <v>4927</v>
      </c>
      <c r="G263" t="s">
        <v>4928</v>
      </c>
      <c r="H263" t="s">
        <v>4929</v>
      </c>
    </row>
    <row r="264" spans="1:8" x14ac:dyDescent="0.3">
      <c r="A264" t="s">
        <v>5192</v>
      </c>
      <c r="B264" s="1">
        <v>45385</v>
      </c>
      <c r="C264" t="s">
        <v>4925</v>
      </c>
      <c r="D264" t="s">
        <v>4926</v>
      </c>
      <c r="E264">
        <v>90.329700000000003</v>
      </c>
      <c r="F264" t="s">
        <v>4927</v>
      </c>
      <c r="G264" t="s">
        <v>4928</v>
      </c>
      <c r="H264" t="s">
        <v>4929</v>
      </c>
    </row>
    <row r="265" spans="1:8" x14ac:dyDescent="0.3">
      <c r="A265" t="s">
        <v>5193</v>
      </c>
      <c r="B265" s="1">
        <v>45386</v>
      </c>
      <c r="C265" t="s">
        <v>4925</v>
      </c>
      <c r="D265" t="s">
        <v>4926</v>
      </c>
      <c r="E265">
        <v>90.657600000000002</v>
      </c>
      <c r="F265" t="s">
        <v>4927</v>
      </c>
      <c r="G265" t="s">
        <v>4928</v>
      </c>
      <c r="H265" t="s">
        <v>4929</v>
      </c>
    </row>
    <row r="266" spans="1:8" x14ac:dyDescent="0.3">
      <c r="A266" t="s">
        <v>5194</v>
      </c>
      <c r="B266" s="1">
        <v>45387</v>
      </c>
      <c r="C266" t="s">
        <v>4925</v>
      </c>
      <c r="D266" t="s">
        <v>4926</v>
      </c>
      <c r="E266">
        <v>90.294700000000006</v>
      </c>
      <c r="F266" t="s">
        <v>4927</v>
      </c>
      <c r="G266" t="s">
        <v>4928</v>
      </c>
      <c r="H266" t="s">
        <v>4929</v>
      </c>
    </row>
    <row r="267" spans="1:8" x14ac:dyDescent="0.3">
      <c r="A267" t="s">
        <v>5195</v>
      </c>
      <c r="B267" s="1">
        <v>45390</v>
      </c>
      <c r="C267" t="s">
        <v>4925</v>
      </c>
      <c r="D267" t="s">
        <v>4926</v>
      </c>
      <c r="E267">
        <v>90.351200000000006</v>
      </c>
      <c r="F267" t="s">
        <v>4927</v>
      </c>
      <c r="G267" t="s">
        <v>4928</v>
      </c>
      <c r="H267" t="s">
        <v>4929</v>
      </c>
    </row>
    <row r="268" spans="1:8" x14ac:dyDescent="0.3">
      <c r="A268" t="s">
        <v>5196</v>
      </c>
      <c r="B268" s="1">
        <v>45391</v>
      </c>
      <c r="C268" t="s">
        <v>4925</v>
      </c>
      <c r="D268" t="s">
        <v>4926</v>
      </c>
      <c r="E268">
        <v>90.300200000000004</v>
      </c>
      <c r="F268" t="s">
        <v>4927</v>
      </c>
      <c r="G268" t="s">
        <v>4928</v>
      </c>
      <c r="H268" t="s">
        <v>4929</v>
      </c>
    </row>
    <row r="269" spans="1:8" x14ac:dyDescent="0.3">
      <c r="A269" t="s">
        <v>5197</v>
      </c>
      <c r="B269" s="1">
        <v>45392</v>
      </c>
      <c r="C269" t="s">
        <v>4925</v>
      </c>
      <c r="D269" t="s">
        <v>4926</v>
      </c>
      <c r="E269">
        <v>89.514399999999995</v>
      </c>
      <c r="F269" t="s">
        <v>4927</v>
      </c>
      <c r="G269" t="s">
        <v>4928</v>
      </c>
      <c r="H269" t="s">
        <v>4929</v>
      </c>
    </row>
    <row r="270" spans="1:8" x14ac:dyDescent="0.3">
      <c r="A270" t="s">
        <v>5198</v>
      </c>
      <c r="B270" s="1">
        <v>45393</v>
      </c>
      <c r="C270" t="s">
        <v>4925</v>
      </c>
      <c r="D270" t="s">
        <v>4926</v>
      </c>
      <c r="E270">
        <v>89.196299999999994</v>
      </c>
      <c r="F270" t="s">
        <v>4927</v>
      </c>
      <c r="G270" t="s">
        <v>4928</v>
      </c>
      <c r="H270" t="s">
        <v>4929</v>
      </c>
    </row>
    <row r="271" spans="1:8" x14ac:dyDescent="0.3">
      <c r="A271" t="s">
        <v>5199</v>
      </c>
      <c r="B271" s="1">
        <v>45394</v>
      </c>
      <c r="C271" t="s">
        <v>4925</v>
      </c>
      <c r="D271" t="s">
        <v>4926</v>
      </c>
      <c r="E271">
        <v>88.9983</v>
      </c>
      <c r="F271" t="s">
        <v>4927</v>
      </c>
      <c r="G271" t="s">
        <v>4928</v>
      </c>
      <c r="H271" t="s">
        <v>4929</v>
      </c>
    </row>
    <row r="272" spans="1:8" x14ac:dyDescent="0.3">
      <c r="A272" t="s">
        <v>5200</v>
      </c>
      <c r="B272" s="1">
        <v>45397</v>
      </c>
      <c r="C272" t="s">
        <v>4925</v>
      </c>
      <c r="D272" t="s">
        <v>4926</v>
      </c>
      <c r="E272">
        <v>88.856099999999998</v>
      </c>
      <c r="F272" t="s">
        <v>4927</v>
      </c>
      <c r="G272" t="s">
        <v>4928</v>
      </c>
      <c r="H272" t="s">
        <v>4929</v>
      </c>
    </row>
    <row r="273" spans="1:8" x14ac:dyDescent="0.3">
      <c r="A273" t="s">
        <v>5201</v>
      </c>
      <c r="B273" s="1">
        <v>45398</v>
      </c>
      <c r="C273" t="s">
        <v>4925</v>
      </c>
      <c r="D273" t="s">
        <v>4926</v>
      </c>
      <c r="E273">
        <v>88.786299999999997</v>
      </c>
      <c r="F273" t="s">
        <v>4927</v>
      </c>
      <c r="G273" t="s">
        <v>4928</v>
      </c>
      <c r="H273" t="s">
        <v>4929</v>
      </c>
    </row>
    <row r="274" spans="1:8" x14ac:dyDescent="0.3">
      <c r="A274" t="s">
        <v>5202</v>
      </c>
      <c r="B274" s="1">
        <v>45399</v>
      </c>
      <c r="C274" t="s">
        <v>4925</v>
      </c>
      <c r="D274" t="s">
        <v>4926</v>
      </c>
      <c r="E274">
        <v>88.92</v>
      </c>
      <c r="F274" t="s">
        <v>4927</v>
      </c>
      <c r="G274" t="s">
        <v>4928</v>
      </c>
      <c r="H274" t="s">
        <v>4929</v>
      </c>
    </row>
    <row r="275" spans="1:8" x14ac:dyDescent="0.3">
      <c r="A275" t="s">
        <v>5203</v>
      </c>
      <c r="B275" s="1">
        <v>45400</v>
      </c>
      <c r="C275" t="s">
        <v>4925</v>
      </c>
      <c r="D275" t="s">
        <v>4926</v>
      </c>
      <c r="E275">
        <v>89.043000000000006</v>
      </c>
      <c r="F275" t="s">
        <v>4927</v>
      </c>
      <c r="G275" t="s">
        <v>4928</v>
      </c>
      <c r="H275" t="s">
        <v>4929</v>
      </c>
    </row>
    <row r="276" spans="1:8" x14ac:dyDescent="0.3">
      <c r="A276" t="s">
        <v>5204</v>
      </c>
      <c r="B276" s="1">
        <v>45401</v>
      </c>
      <c r="C276" t="s">
        <v>4925</v>
      </c>
      <c r="D276" t="s">
        <v>4926</v>
      </c>
      <c r="E276">
        <v>88.926599999999993</v>
      </c>
      <c r="F276" t="s">
        <v>4927</v>
      </c>
      <c r="G276" t="s">
        <v>4928</v>
      </c>
      <c r="H276" t="s">
        <v>4929</v>
      </c>
    </row>
    <row r="277" spans="1:8" x14ac:dyDescent="0.3">
      <c r="A277" t="s">
        <v>5205</v>
      </c>
      <c r="B277" s="1">
        <v>45404</v>
      </c>
      <c r="C277" t="s">
        <v>4925</v>
      </c>
      <c r="D277" t="s">
        <v>4926</v>
      </c>
      <c r="E277">
        <v>88.937299999999993</v>
      </c>
      <c r="F277" t="s">
        <v>4927</v>
      </c>
      <c r="G277" t="s">
        <v>4928</v>
      </c>
      <c r="H277" t="s">
        <v>4929</v>
      </c>
    </row>
    <row r="278" spans="1:8" x14ac:dyDescent="0.3">
      <c r="A278" t="s">
        <v>5206</v>
      </c>
      <c r="B278" s="1">
        <v>45405</v>
      </c>
      <c r="C278" t="s">
        <v>4925</v>
      </c>
      <c r="D278" t="s">
        <v>4926</v>
      </c>
      <c r="E278">
        <v>89.153499999999994</v>
      </c>
      <c r="F278" t="s">
        <v>4927</v>
      </c>
      <c r="G278" t="s">
        <v>4928</v>
      </c>
      <c r="H278" t="s">
        <v>4929</v>
      </c>
    </row>
    <row r="279" spans="1:8" x14ac:dyDescent="0.3">
      <c r="A279" t="s">
        <v>5207</v>
      </c>
      <c r="B279" s="1">
        <v>45406</v>
      </c>
      <c r="C279" t="s">
        <v>4925</v>
      </c>
      <c r="D279" t="s">
        <v>4926</v>
      </c>
      <c r="E279">
        <v>89.0655</v>
      </c>
      <c r="F279" t="s">
        <v>4927</v>
      </c>
      <c r="G279" t="s">
        <v>4928</v>
      </c>
      <c r="H279" t="s">
        <v>4929</v>
      </c>
    </row>
    <row r="280" spans="1:8" x14ac:dyDescent="0.3">
      <c r="A280" t="s">
        <v>5208</v>
      </c>
      <c r="B280" s="1">
        <v>45407</v>
      </c>
      <c r="C280" t="s">
        <v>4925</v>
      </c>
      <c r="D280" t="s">
        <v>4926</v>
      </c>
      <c r="E280">
        <v>89.316699999999997</v>
      </c>
      <c r="F280" t="s">
        <v>4927</v>
      </c>
      <c r="G280" t="s">
        <v>4928</v>
      </c>
      <c r="H280" t="s">
        <v>4929</v>
      </c>
    </row>
    <row r="281" spans="1:8" x14ac:dyDescent="0.3">
      <c r="A281" t="s">
        <v>5209</v>
      </c>
      <c r="B281" s="1">
        <v>45408</v>
      </c>
      <c r="C281" t="s">
        <v>4925</v>
      </c>
      <c r="D281" t="s">
        <v>4926</v>
      </c>
      <c r="E281">
        <v>89.099900000000005</v>
      </c>
      <c r="F281" t="s">
        <v>4927</v>
      </c>
      <c r="G281" t="s">
        <v>4928</v>
      </c>
      <c r="H281" t="s">
        <v>4929</v>
      </c>
    </row>
    <row r="282" spans="1:8" x14ac:dyDescent="0.3">
      <c r="A282" t="s">
        <v>5210</v>
      </c>
      <c r="B282" s="1">
        <v>45411</v>
      </c>
      <c r="C282" t="s">
        <v>4925</v>
      </c>
      <c r="D282" t="s">
        <v>4926</v>
      </c>
      <c r="E282">
        <v>89.444100000000006</v>
      </c>
      <c r="F282" t="s">
        <v>4927</v>
      </c>
      <c r="G282" t="s">
        <v>4928</v>
      </c>
      <c r="H282" t="s">
        <v>4929</v>
      </c>
    </row>
    <row r="283" spans="1:8" x14ac:dyDescent="0.3">
      <c r="A283" t="s">
        <v>5211</v>
      </c>
      <c r="B283" s="1">
        <v>45412</v>
      </c>
      <c r="C283" t="s">
        <v>4925</v>
      </c>
      <c r="D283" t="s">
        <v>4926</v>
      </c>
      <c r="E283">
        <v>89.147300000000001</v>
      </c>
      <c r="F283" t="s">
        <v>4927</v>
      </c>
      <c r="G283" t="s">
        <v>4928</v>
      </c>
      <c r="H283" t="s">
        <v>4929</v>
      </c>
    </row>
    <row r="284" spans="1:8" x14ac:dyDescent="0.3">
      <c r="A284" t="s">
        <v>5212</v>
      </c>
      <c r="B284" s="1">
        <v>45413</v>
      </c>
      <c r="C284" t="s">
        <v>4925</v>
      </c>
      <c r="D284" t="s">
        <v>4926</v>
      </c>
      <c r="E284">
        <v>89.124600000000001</v>
      </c>
      <c r="F284" t="s">
        <v>4927</v>
      </c>
      <c r="G284" t="s">
        <v>4928</v>
      </c>
      <c r="H284" t="s">
        <v>4929</v>
      </c>
    </row>
    <row r="285" spans="1:8" x14ac:dyDescent="0.3">
      <c r="A285" t="s">
        <v>5213</v>
      </c>
      <c r="B285" s="1">
        <v>45414</v>
      </c>
      <c r="C285" t="s">
        <v>4925</v>
      </c>
      <c r="D285" t="s">
        <v>4926</v>
      </c>
      <c r="E285">
        <v>89.3309</v>
      </c>
      <c r="F285" t="s">
        <v>4927</v>
      </c>
      <c r="G285" t="s">
        <v>4928</v>
      </c>
      <c r="H285" t="s">
        <v>4929</v>
      </c>
    </row>
    <row r="286" spans="1:8" x14ac:dyDescent="0.3">
      <c r="A286" t="s">
        <v>5214</v>
      </c>
      <c r="B286" s="1">
        <v>45415</v>
      </c>
      <c r="C286" t="s">
        <v>4925</v>
      </c>
      <c r="D286" t="s">
        <v>4926</v>
      </c>
      <c r="E286">
        <v>89.854100000000003</v>
      </c>
      <c r="F286" t="s">
        <v>4927</v>
      </c>
      <c r="G286" t="s">
        <v>4928</v>
      </c>
      <c r="H286" t="s">
        <v>4929</v>
      </c>
    </row>
    <row r="287" spans="1:8" x14ac:dyDescent="0.3">
      <c r="A287" t="s">
        <v>5215</v>
      </c>
      <c r="B287" s="1">
        <v>45418</v>
      </c>
      <c r="C287" t="s">
        <v>4925</v>
      </c>
      <c r="D287" t="s">
        <v>4926</v>
      </c>
      <c r="E287">
        <v>89.983099999999993</v>
      </c>
      <c r="F287" t="s">
        <v>4927</v>
      </c>
      <c r="G287" t="s">
        <v>4928</v>
      </c>
      <c r="H287" t="s">
        <v>4929</v>
      </c>
    </row>
    <row r="288" spans="1:8" x14ac:dyDescent="0.3">
      <c r="A288" t="s">
        <v>5216</v>
      </c>
      <c r="B288" s="1">
        <v>45419</v>
      </c>
      <c r="C288" t="s">
        <v>4925</v>
      </c>
      <c r="D288" t="s">
        <v>4926</v>
      </c>
      <c r="E288">
        <v>89.915199999999999</v>
      </c>
      <c r="F288" t="s">
        <v>4927</v>
      </c>
      <c r="G288" t="s">
        <v>4928</v>
      </c>
      <c r="H288" t="s">
        <v>4929</v>
      </c>
    </row>
    <row r="289" spans="1:8" x14ac:dyDescent="0.3">
      <c r="A289" t="s">
        <v>5217</v>
      </c>
      <c r="B289" s="1">
        <v>45420</v>
      </c>
      <c r="C289" t="s">
        <v>4925</v>
      </c>
      <c r="D289" t="s">
        <v>4926</v>
      </c>
      <c r="E289">
        <v>89.750500000000002</v>
      </c>
      <c r="F289" t="s">
        <v>4927</v>
      </c>
      <c r="G289" t="s">
        <v>4928</v>
      </c>
      <c r="H289" t="s">
        <v>4929</v>
      </c>
    </row>
    <row r="290" spans="1:8" x14ac:dyDescent="0.3">
      <c r="A290" t="s">
        <v>5218</v>
      </c>
      <c r="B290" s="1">
        <v>45421</v>
      </c>
      <c r="C290" t="s">
        <v>4925</v>
      </c>
      <c r="D290" t="s">
        <v>4926</v>
      </c>
      <c r="E290">
        <v>89.948599999999999</v>
      </c>
      <c r="F290" t="s">
        <v>4927</v>
      </c>
      <c r="G290" t="s">
        <v>4928</v>
      </c>
      <c r="H290" t="s">
        <v>4929</v>
      </c>
    </row>
    <row r="291" spans="1:8" x14ac:dyDescent="0.3">
      <c r="A291" t="s">
        <v>5219</v>
      </c>
      <c r="B291" s="1">
        <v>45422</v>
      </c>
      <c r="C291" t="s">
        <v>4925</v>
      </c>
      <c r="D291" t="s">
        <v>4926</v>
      </c>
      <c r="E291">
        <v>89.997600000000006</v>
      </c>
      <c r="F291" t="s">
        <v>4927</v>
      </c>
      <c r="G291" t="s">
        <v>4928</v>
      </c>
      <c r="H291" t="s">
        <v>4929</v>
      </c>
    </row>
    <row r="292" spans="1:8" x14ac:dyDescent="0.3">
      <c r="A292" t="s">
        <v>5220</v>
      </c>
      <c r="B292" s="1">
        <v>45425</v>
      </c>
      <c r="C292" t="s">
        <v>4925</v>
      </c>
      <c r="D292" t="s">
        <v>4926</v>
      </c>
      <c r="E292">
        <v>90.125</v>
      </c>
      <c r="F292" t="s">
        <v>4927</v>
      </c>
      <c r="G292" t="s">
        <v>4928</v>
      </c>
      <c r="H292" t="s">
        <v>4929</v>
      </c>
    </row>
    <row r="293" spans="1:8" x14ac:dyDescent="0.3">
      <c r="A293" t="s">
        <v>5221</v>
      </c>
      <c r="B293" s="1">
        <v>45426</v>
      </c>
      <c r="C293" t="s">
        <v>4925</v>
      </c>
      <c r="D293" t="s">
        <v>4926</v>
      </c>
      <c r="E293">
        <v>90.330299999999994</v>
      </c>
      <c r="F293" t="s">
        <v>4927</v>
      </c>
      <c r="G293" t="s">
        <v>4928</v>
      </c>
      <c r="H293" t="s">
        <v>4929</v>
      </c>
    </row>
    <row r="294" spans="1:8" x14ac:dyDescent="0.3">
      <c r="A294" t="s">
        <v>5222</v>
      </c>
      <c r="B294" s="1">
        <v>45427</v>
      </c>
      <c r="C294" t="s">
        <v>4925</v>
      </c>
      <c r="D294" t="s">
        <v>4926</v>
      </c>
      <c r="E294">
        <v>90.637600000000006</v>
      </c>
      <c r="F294" t="s">
        <v>4927</v>
      </c>
      <c r="G294" t="s">
        <v>4928</v>
      </c>
      <c r="H294" t="s">
        <v>4929</v>
      </c>
    </row>
    <row r="295" spans="1:8" x14ac:dyDescent="0.3">
      <c r="A295" t="s">
        <v>5223</v>
      </c>
      <c r="B295" s="1">
        <v>45428</v>
      </c>
      <c r="C295" t="s">
        <v>4925</v>
      </c>
      <c r="D295" t="s">
        <v>4926</v>
      </c>
      <c r="E295">
        <v>90.762699999999995</v>
      </c>
      <c r="F295" t="s">
        <v>4927</v>
      </c>
      <c r="G295" t="s">
        <v>4928</v>
      </c>
      <c r="H295" t="s">
        <v>4929</v>
      </c>
    </row>
    <row r="296" spans="1:8" x14ac:dyDescent="0.3">
      <c r="A296" t="s">
        <v>5224</v>
      </c>
      <c r="B296" s="1">
        <v>45429</v>
      </c>
      <c r="C296" t="s">
        <v>4925</v>
      </c>
      <c r="D296" t="s">
        <v>4926</v>
      </c>
      <c r="E296">
        <v>90.5822</v>
      </c>
      <c r="F296" t="s">
        <v>4927</v>
      </c>
      <c r="G296" t="s">
        <v>4928</v>
      </c>
      <c r="H296" t="s">
        <v>4929</v>
      </c>
    </row>
    <row r="297" spans="1:8" x14ac:dyDescent="0.3">
      <c r="A297" t="s">
        <v>5225</v>
      </c>
      <c r="B297" s="1">
        <v>45432</v>
      </c>
      <c r="C297" t="s">
        <v>4925</v>
      </c>
      <c r="D297" t="s">
        <v>4926</v>
      </c>
      <c r="E297">
        <v>90.515600000000006</v>
      </c>
      <c r="F297" t="s">
        <v>4927</v>
      </c>
      <c r="G297" t="s">
        <v>4928</v>
      </c>
      <c r="H297" t="s">
        <v>4929</v>
      </c>
    </row>
    <row r="298" spans="1:8" x14ac:dyDescent="0.3">
      <c r="A298" t="s">
        <v>5226</v>
      </c>
      <c r="B298" s="1">
        <v>45433</v>
      </c>
      <c r="C298" t="s">
        <v>4925</v>
      </c>
      <c r="D298" t="s">
        <v>4926</v>
      </c>
      <c r="E298">
        <v>90.433000000000007</v>
      </c>
      <c r="F298" t="s">
        <v>4927</v>
      </c>
      <c r="G298" t="s">
        <v>4928</v>
      </c>
      <c r="H298" t="s">
        <v>4929</v>
      </c>
    </row>
    <row r="299" spans="1:8" x14ac:dyDescent="0.3">
      <c r="A299" t="s">
        <v>5227</v>
      </c>
      <c r="B299" s="1">
        <v>45434</v>
      </c>
      <c r="C299" t="s">
        <v>4925</v>
      </c>
      <c r="D299" t="s">
        <v>4926</v>
      </c>
      <c r="E299">
        <v>90.220500000000001</v>
      </c>
      <c r="F299" t="s">
        <v>4927</v>
      </c>
      <c r="G299" t="s">
        <v>4928</v>
      </c>
      <c r="H299" t="s">
        <v>4929</v>
      </c>
    </row>
    <row r="300" spans="1:8" x14ac:dyDescent="0.3">
      <c r="A300" t="s">
        <v>5228</v>
      </c>
      <c r="B300" s="1">
        <v>45435</v>
      </c>
      <c r="C300" t="s">
        <v>4925</v>
      </c>
      <c r="D300" t="s">
        <v>4926</v>
      </c>
      <c r="E300">
        <v>90.156400000000005</v>
      </c>
      <c r="F300" t="s">
        <v>4927</v>
      </c>
      <c r="G300" t="s">
        <v>4928</v>
      </c>
      <c r="H300" t="s">
        <v>4929</v>
      </c>
    </row>
    <row r="301" spans="1:8" x14ac:dyDescent="0.3">
      <c r="A301" t="s">
        <v>5229</v>
      </c>
      <c r="B301" s="1">
        <v>45436</v>
      </c>
      <c r="C301" t="s">
        <v>4925</v>
      </c>
      <c r="D301" t="s">
        <v>4926</v>
      </c>
      <c r="E301">
        <v>90.169300000000007</v>
      </c>
      <c r="F301" t="s">
        <v>4927</v>
      </c>
      <c r="G301" t="s">
        <v>4928</v>
      </c>
      <c r="H301" t="s">
        <v>4929</v>
      </c>
    </row>
    <row r="302" spans="1:8" x14ac:dyDescent="0.3">
      <c r="A302" t="s">
        <v>5230</v>
      </c>
      <c r="B302" s="1">
        <v>45439</v>
      </c>
      <c r="C302" t="s">
        <v>4925</v>
      </c>
      <c r="D302" t="s">
        <v>4926</v>
      </c>
      <c r="E302">
        <v>90.169300000000007</v>
      </c>
      <c r="F302" t="s">
        <v>4927</v>
      </c>
      <c r="G302" t="s">
        <v>4928</v>
      </c>
      <c r="H302" t="s">
        <v>4970</v>
      </c>
    </row>
    <row r="303" spans="1:8" x14ac:dyDescent="0.3">
      <c r="A303" t="s">
        <v>5231</v>
      </c>
      <c r="B303" s="1">
        <v>45440</v>
      </c>
      <c r="C303" t="s">
        <v>4925</v>
      </c>
      <c r="D303" t="s">
        <v>4926</v>
      </c>
      <c r="E303">
        <v>90.469800000000006</v>
      </c>
      <c r="F303" t="s">
        <v>4927</v>
      </c>
      <c r="G303" t="s">
        <v>4928</v>
      </c>
      <c r="H303" t="s">
        <v>4929</v>
      </c>
    </row>
    <row r="304" spans="1:8" x14ac:dyDescent="0.3">
      <c r="A304" t="s">
        <v>5232</v>
      </c>
      <c r="B304" s="1">
        <v>45441</v>
      </c>
      <c r="C304" t="s">
        <v>4925</v>
      </c>
      <c r="D304" t="s">
        <v>4926</v>
      </c>
      <c r="E304">
        <v>90.088099999999997</v>
      </c>
      <c r="F304" t="s">
        <v>4927</v>
      </c>
      <c r="G304" t="s">
        <v>4928</v>
      </c>
      <c r="H304" t="s">
        <v>4929</v>
      </c>
    </row>
    <row r="305" spans="1:8" x14ac:dyDescent="0.3">
      <c r="A305" t="s">
        <v>5233</v>
      </c>
      <c r="B305" s="1">
        <v>45442</v>
      </c>
      <c r="C305" t="s">
        <v>4925</v>
      </c>
      <c r="D305" t="s">
        <v>4926</v>
      </c>
      <c r="E305">
        <v>90.250500000000002</v>
      </c>
      <c r="F305" t="s">
        <v>4927</v>
      </c>
      <c r="G305" t="s">
        <v>4928</v>
      </c>
      <c r="H305" t="s">
        <v>4929</v>
      </c>
    </row>
    <row r="306" spans="1:8" x14ac:dyDescent="0.3">
      <c r="A306" t="s">
        <v>5234</v>
      </c>
      <c r="B306" s="1">
        <v>45443</v>
      </c>
      <c r="C306" t="s">
        <v>4925</v>
      </c>
      <c r="D306" t="s">
        <v>4926</v>
      </c>
      <c r="E306">
        <v>90.488200000000006</v>
      </c>
      <c r="F306" t="s">
        <v>4927</v>
      </c>
      <c r="G306" t="s">
        <v>4928</v>
      </c>
      <c r="H306" t="s">
        <v>4929</v>
      </c>
    </row>
    <row r="307" spans="1:8" x14ac:dyDescent="0.3">
      <c r="A307" t="s">
        <v>5235</v>
      </c>
      <c r="B307" s="1">
        <v>45446</v>
      </c>
      <c r="C307" t="s">
        <v>4925</v>
      </c>
      <c r="D307" t="s">
        <v>4926</v>
      </c>
      <c r="E307">
        <v>90.539500000000004</v>
      </c>
      <c r="F307" t="s">
        <v>4927</v>
      </c>
      <c r="G307" t="s">
        <v>4928</v>
      </c>
      <c r="H307" t="s">
        <v>4929</v>
      </c>
    </row>
    <row r="308" spans="1:8" x14ac:dyDescent="0.3">
      <c r="A308" t="s">
        <v>5236</v>
      </c>
      <c r="B308" s="1">
        <v>45447</v>
      </c>
      <c r="C308" t="s">
        <v>4925</v>
      </c>
      <c r="D308" t="s">
        <v>4926</v>
      </c>
      <c r="E308">
        <v>90.853099999999998</v>
      </c>
      <c r="F308" t="s">
        <v>4927</v>
      </c>
      <c r="G308" t="s">
        <v>4928</v>
      </c>
      <c r="H308" t="s">
        <v>4929</v>
      </c>
    </row>
    <row r="309" spans="1:8" x14ac:dyDescent="0.3">
      <c r="A309" t="s">
        <v>5237</v>
      </c>
      <c r="B309" s="1">
        <v>45448</v>
      </c>
      <c r="C309" t="s">
        <v>4925</v>
      </c>
      <c r="D309" t="s">
        <v>4926</v>
      </c>
      <c r="E309">
        <v>90.581500000000005</v>
      </c>
      <c r="F309" t="s">
        <v>4927</v>
      </c>
      <c r="G309" t="s">
        <v>4928</v>
      </c>
      <c r="H309" t="s">
        <v>4929</v>
      </c>
    </row>
    <row r="310" spans="1:8" x14ac:dyDescent="0.3">
      <c r="A310" t="s">
        <v>5238</v>
      </c>
      <c r="B310" s="1">
        <v>45449</v>
      </c>
      <c r="C310" t="s">
        <v>4925</v>
      </c>
      <c r="D310" t="s">
        <v>4926</v>
      </c>
      <c r="E310">
        <v>90.840400000000002</v>
      </c>
      <c r="F310" t="s">
        <v>4927</v>
      </c>
      <c r="G310" t="s">
        <v>4928</v>
      </c>
      <c r="H310" t="s">
        <v>4929</v>
      </c>
    </row>
    <row r="311" spans="1:8" x14ac:dyDescent="0.3">
      <c r="A311" t="s">
        <v>5239</v>
      </c>
      <c r="B311" s="1">
        <v>45450</v>
      </c>
      <c r="C311" t="s">
        <v>4925</v>
      </c>
      <c r="D311" t="s">
        <v>4926</v>
      </c>
      <c r="E311">
        <v>90.108800000000002</v>
      </c>
      <c r="F311" t="s">
        <v>4927</v>
      </c>
      <c r="G311" t="s">
        <v>4928</v>
      </c>
      <c r="H311" t="s">
        <v>4929</v>
      </c>
    </row>
    <row r="312" spans="1:8" x14ac:dyDescent="0.3">
      <c r="A312" t="s">
        <v>5240</v>
      </c>
      <c r="B312" s="1">
        <v>45453</v>
      </c>
      <c r="C312" t="s">
        <v>4925</v>
      </c>
      <c r="D312" t="s">
        <v>4926</v>
      </c>
      <c r="E312">
        <v>89.770799999999994</v>
      </c>
      <c r="F312" t="s">
        <v>4927</v>
      </c>
      <c r="G312" t="s">
        <v>4928</v>
      </c>
      <c r="H312" t="s">
        <v>4929</v>
      </c>
    </row>
    <row r="313" spans="1:8" x14ac:dyDescent="0.3">
      <c r="A313" t="s">
        <v>5241</v>
      </c>
      <c r="B313" s="1">
        <v>45454</v>
      </c>
      <c r="C313" t="s">
        <v>4925</v>
      </c>
      <c r="D313" t="s">
        <v>4926</v>
      </c>
      <c r="E313">
        <v>89.620599999999996</v>
      </c>
      <c r="F313" t="s">
        <v>4927</v>
      </c>
      <c r="G313" t="s">
        <v>4928</v>
      </c>
      <c r="H313" t="s">
        <v>4929</v>
      </c>
    </row>
    <row r="314" spans="1:8" x14ac:dyDescent="0.3">
      <c r="A314" t="s">
        <v>5242</v>
      </c>
      <c r="B314" s="1">
        <v>45455</v>
      </c>
      <c r="C314" t="s">
        <v>4925</v>
      </c>
      <c r="D314" t="s">
        <v>4926</v>
      </c>
      <c r="E314">
        <v>90.614999999999995</v>
      </c>
      <c r="F314" t="s">
        <v>4927</v>
      </c>
      <c r="G314" t="s">
        <v>4928</v>
      </c>
      <c r="H314" t="s">
        <v>4929</v>
      </c>
    </row>
    <row r="315" spans="1:8" x14ac:dyDescent="0.3">
      <c r="A315" t="s">
        <v>5243</v>
      </c>
      <c r="B315" s="1">
        <v>45456</v>
      </c>
      <c r="C315" t="s">
        <v>4925</v>
      </c>
      <c r="D315" t="s">
        <v>4926</v>
      </c>
      <c r="E315">
        <v>89.834100000000007</v>
      </c>
      <c r="F315" t="s">
        <v>4927</v>
      </c>
      <c r="G315" t="s">
        <v>4928</v>
      </c>
      <c r="H315" t="s">
        <v>4929</v>
      </c>
    </row>
    <row r="316" spans="1:8" x14ac:dyDescent="0.3">
      <c r="A316" t="s">
        <v>5244</v>
      </c>
      <c r="B316" s="1">
        <v>45457</v>
      </c>
      <c r="C316" t="s">
        <v>4925</v>
      </c>
      <c r="D316" t="s">
        <v>4926</v>
      </c>
      <c r="E316">
        <v>89.379400000000004</v>
      </c>
      <c r="F316" t="s">
        <v>4927</v>
      </c>
      <c r="G316" t="s">
        <v>4928</v>
      </c>
      <c r="H316" t="s">
        <v>4929</v>
      </c>
    </row>
    <row r="317" spans="1:8" x14ac:dyDescent="0.3">
      <c r="A317" t="s">
        <v>5245</v>
      </c>
      <c r="B317" s="1">
        <v>45460</v>
      </c>
      <c r="C317" t="s">
        <v>4925</v>
      </c>
      <c r="D317" t="s">
        <v>4926</v>
      </c>
      <c r="E317">
        <v>89.558499999999995</v>
      </c>
      <c r="F317" t="s">
        <v>4927</v>
      </c>
      <c r="G317" t="s">
        <v>4928</v>
      </c>
      <c r="H317" t="s">
        <v>4929</v>
      </c>
    </row>
    <row r="318" spans="1:8" x14ac:dyDescent="0.3">
      <c r="A318" t="s">
        <v>5246</v>
      </c>
      <c r="B318" s="1">
        <v>45461</v>
      </c>
      <c r="C318" t="s">
        <v>4925</v>
      </c>
      <c r="D318" t="s">
        <v>4926</v>
      </c>
      <c r="E318">
        <v>89.584699999999998</v>
      </c>
      <c r="F318" t="s">
        <v>4927</v>
      </c>
      <c r="G318" t="s">
        <v>4928</v>
      </c>
      <c r="H318" t="s">
        <v>4929</v>
      </c>
    </row>
    <row r="319" spans="1:8" x14ac:dyDescent="0.3">
      <c r="A319" t="s">
        <v>5247</v>
      </c>
      <c r="B319" s="1">
        <v>45462</v>
      </c>
      <c r="C319" t="s">
        <v>4925</v>
      </c>
      <c r="D319" t="s">
        <v>4926</v>
      </c>
      <c r="E319">
        <v>89.584699999999998</v>
      </c>
      <c r="F319" t="s">
        <v>4927</v>
      </c>
      <c r="G319" t="s">
        <v>4928</v>
      </c>
      <c r="H319" t="s">
        <v>4970</v>
      </c>
    </row>
    <row r="320" spans="1:8" x14ac:dyDescent="0.3">
      <c r="A320" t="s">
        <v>5248</v>
      </c>
      <c r="B320" s="1">
        <v>45463</v>
      </c>
      <c r="C320" t="s">
        <v>4925</v>
      </c>
      <c r="D320" t="s">
        <v>4926</v>
      </c>
      <c r="E320">
        <v>89.540300000000002</v>
      </c>
      <c r="F320" t="s">
        <v>4927</v>
      </c>
      <c r="G320" t="s">
        <v>4928</v>
      </c>
      <c r="H320" t="s">
        <v>4929</v>
      </c>
    </row>
    <row r="321" spans="1:8" x14ac:dyDescent="0.3">
      <c r="A321" t="s">
        <v>5249</v>
      </c>
      <c r="B321" s="1">
        <v>45464</v>
      </c>
      <c r="C321" t="s">
        <v>4925</v>
      </c>
      <c r="D321" t="s">
        <v>4926</v>
      </c>
      <c r="E321">
        <v>89.326999999999998</v>
      </c>
      <c r="F321" t="s">
        <v>4927</v>
      </c>
      <c r="G321" t="s">
        <v>4928</v>
      </c>
      <c r="H321" t="s">
        <v>4929</v>
      </c>
    </row>
    <row r="322" spans="1:8" x14ac:dyDescent="0.3">
      <c r="A322" t="s">
        <v>5250</v>
      </c>
      <c r="B322" s="1">
        <v>45467</v>
      </c>
      <c r="C322" t="s">
        <v>4925</v>
      </c>
      <c r="D322" t="s">
        <v>4926</v>
      </c>
      <c r="E322">
        <v>89.4846</v>
      </c>
      <c r="F322" t="s">
        <v>4927</v>
      </c>
      <c r="G322" t="s">
        <v>4928</v>
      </c>
      <c r="H322" t="s">
        <v>4929</v>
      </c>
    </row>
    <row r="323" spans="1:8" x14ac:dyDescent="0.3">
      <c r="A323" t="s">
        <v>5251</v>
      </c>
      <c r="B323" s="1">
        <v>45468</v>
      </c>
      <c r="C323" t="s">
        <v>4925</v>
      </c>
      <c r="D323" t="s">
        <v>4926</v>
      </c>
      <c r="E323">
        <v>89.279700000000005</v>
      </c>
      <c r="F323" t="s">
        <v>4927</v>
      </c>
      <c r="G323" t="s">
        <v>4928</v>
      </c>
      <c r="H323" t="s">
        <v>4929</v>
      </c>
    </row>
    <row r="324" spans="1:8" x14ac:dyDescent="0.3">
      <c r="A324" t="s">
        <v>5252</v>
      </c>
      <c r="B324" s="1">
        <v>45469</v>
      </c>
      <c r="C324" t="s">
        <v>4925</v>
      </c>
      <c r="D324" t="s">
        <v>4926</v>
      </c>
      <c r="E324">
        <v>89.248099999999994</v>
      </c>
      <c r="F324" t="s">
        <v>4927</v>
      </c>
      <c r="G324" t="s">
        <v>4928</v>
      </c>
      <c r="H324" t="s">
        <v>4929</v>
      </c>
    </row>
    <row r="325" spans="1:8" x14ac:dyDescent="0.3">
      <c r="A325" t="s">
        <v>5253</v>
      </c>
      <c r="B325" s="1">
        <v>45470</v>
      </c>
      <c r="C325" t="s">
        <v>4925</v>
      </c>
      <c r="D325" t="s">
        <v>4926</v>
      </c>
      <c r="E325">
        <v>89.3476</v>
      </c>
      <c r="F325" t="s">
        <v>4927</v>
      </c>
      <c r="G325" t="s">
        <v>4928</v>
      </c>
      <c r="H325" t="s">
        <v>4929</v>
      </c>
    </row>
    <row r="326" spans="1:8" x14ac:dyDescent="0.3">
      <c r="A326" t="s">
        <v>5254</v>
      </c>
      <c r="B326" s="1">
        <v>45471</v>
      </c>
      <c r="C326" t="s">
        <v>4925</v>
      </c>
      <c r="D326" t="s">
        <v>4926</v>
      </c>
      <c r="E326">
        <v>89.254800000000003</v>
      </c>
      <c r="F326" t="s">
        <v>4927</v>
      </c>
      <c r="G326" t="s">
        <v>4928</v>
      </c>
      <c r="H326" t="s">
        <v>4929</v>
      </c>
    </row>
    <row r="327" spans="1:8" x14ac:dyDescent="0.3">
      <c r="A327" t="s">
        <v>5255</v>
      </c>
      <c r="B327" s="1">
        <v>45474</v>
      </c>
      <c r="C327" t="s">
        <v>4925</v>
      </c>
      <c r="D327" t="s">
        <v>4926</v>
      </c>
      <c r="E327">
        <v>89.514399999999995</v>
      </c>
      <c r="F327" t="s">
        <v>4927</v>
      </c>
      <c r="G327" t="s">
        <v>4928</v>
      </c>
      <c r="H327" t="s">
        <v>4929</v>
      </c>
    </row>
    <row r="328" spans="1:8" x14ac:dyDescent="0.3">
      <c r="A328" t="s">
        <v>5256</v>
      </c>
      <c r="B328" s="1">
        <v>45475</v>
      </c>
      <c r="C328" t="s">
        <v>4925</v>
      </c>
      <c r="D328" t="s">
        <v>4926</v>
      </c>
      <c r="E328">
        <v>89.653999999999996</v>
      </c>
      <c r="F328" t="s">
        <v>4927</v>
      </c>
      <c r="G328" t="s">
        <v>4928</v>
      </c>
      <c r="H328" t="s">
        <v>4929</v>
      </c>
    </row>
    <row r="329" spans="1:8" x14ac:dyDescent="0.3">
      <c r="A329" t="s">
        <v>5257</v>
      </c>
      <c r="B329" s="1">
        <v>45476</v>
      </c>
      <c r="C329" t="s">
        <v>4925</v>
      </c>
      <c r="D329" t="s">
        <v>4926</v>
      </c>
      <c r="E329">
        <v>90.150099999999995</v>
      </c>
      <c r="F329" t="s">
        <v>4927</v>
      </c>
      <c r="G329" t="s">
        <v>4928</v>
      </c>
      <c r="H329" t="s">
        <v>4929</v>
      </c>
    </row>
    <row r="330" spans="1:8" x14ac:dyDescent="0.3">
      <c r="A330" t="s">
        <v>5258</v>
      </c>
      <c r="B330" s="1">
        <v>45477</v>
      </c>
      <c r="C330" t="s">
        <v>4925</v>
      </c>
      <c r="D330" t="s">
        <v>4926</v>
      </c>
      <c r="E330">
        <v>90.150099999999995</v>
      </c>
      <c r="F330" t="s">
        <v>4927</v>
      </c>
      <c r="G330" t="s">
        <v>4928</v>
      </c>
      <c r="H330" t="s">
        <v>4970</v>
      </c>
    </row>
    <row r="331" spans="1:8" x14ac:dyDescent="0.3">
      <c r="A331" t="s">
        <v>5259</v>
      </c>
      <c r="B331" s="1">
        <v>45478</v>
      </c>
      <c r="C331" t="s">
        <v>4925</v>
      </c>
      <c r="D331" t="s">
        <v>4926</v>
      </c>
      <c r="E331">
        <v>90.381299999999996</v>
      </c>
      <c r="F331" t="s">
        <v>4927</v>
      </c>
      <c r="G331" t="s">
        <v>4928</v>
      </c>
      <c r="H331" t="s">
        <v>4929</v>
      </c>
    </row>
    <row r="332" spans="1:8" x14ac:dyDescent="0.3">
      <c r="A332" t="s">
        <v>5260</v>
      </c>
      <c r="B332" s="1">
        <v>45481</v>
      </c>
      <c r="C332" t="s">
        <v>4925</v>
      </c>
      <c r="D332" t="s">
        <v>4926</v>
      </c>
      <c r="E332">
        <v>90.418099999999995</v>
      </c>
      <c r="F332" t="s">
        <v>4927</v>
      </c>
      <c r="G332" t="s">
        <v>4928</v>
      </c>
      <c r="H332" t="s">
        <v>4929</v>
      </c>
    </row>
    <row r="333" spans="1:8" x14ac:dyDescent="0.3">
      <c r="A333" t="s">
        <v>5261</v>
      </c>
      <c r="B333" s="1">
        <v>45482</v>
      </c>
      <c r="C333" t="s">
        <v>4925</v>
      </c>
      <c r="D333" t="s">
        <v>4926</v>
      </c>
      <c r="E333">
        <v>90.256100000000004</v>
      </c>
      <c r="F333" t="s">
        <v>4927</v>
      </c>
      <c r="G333" t="s">
        <v>4928</v>
      </c>
      <c r="H333" t="s">
        <v>4929</v>
      </c>
    </row>
    <row r="334" spans="1:8" x14ac:dyDescent="0.3">
      <c r="A334" t="s">
        <v>5262</v>
      </c>
      <c r="B334" s="1">
        <v>45483</v>
      </c>
      <c r="C334" t="s">
        <v>4925</v>
      </c>
      <c r="D334" t="s">
        <v>4926</v>
      </c>
      <c r="E334">
        <v>90.372</v>
      </c>
      <c r="F334" t="s">
        <v>4927</v>
      </c>
      <c r="G334" t="s">
        <v>4928</v>
      </c>
      <c r="H334" t="s">
        <v>4929</v>
      </c>
    </row>
    <row r="335" spans="1:8" x14ac:dyDescent="0.3">
      <c r="A335" t="s">
        <v>5263</v>
      </c>
      <c r="B335" s="1">
        <v>45484</v>
      </c>
      <c r="C335" t="s">
        <v>4925</v>
      </c>
      <c r="D335" t="s">
        <v>4926</v>
      </c>
      <c r="E335">
        <v>90.840599999999995</v>
      </c>
      <c r="F335" t="s">
        <v>4927</v>
      </c>
      <c r="G335" t="s">
        <v>4928</v>
      </c>
      <c r="H335" t="s">
        <v>4929</v>
      </c>
    </row>
    <row r="336" spans="1:8" x14ac:dyDescent="0.3">
      <c r="A336" t="s">
        <v>5264</v>
      </c>
      <c r="B336" s="1">
        <v>45485</v>
      </c>
      <c r="C336" t="s">
        <v>4925</v>
      </c>
      <c r="D336" t="s">
        <v>4926</v>
      </c>
      <c r="E336">
        <v>91.009900000000002</v>
      </c>
      <c r="F336" t="s">
        <v>4927</v>
      </c>
      <c r="G336" t="s">
        <v>4928</v>
      </c>
      <c r="H336" t="s">
        <v>4929</v>
      </c>
    </row>
    <row r="337" spans="1:8" x14ac:dyDescent="0.3">
      <c r="A337" t="s">
        <v>5265</v>
      </c>
      <c r="B337" s="1">
        <v>45488</v>
      </c>
      <c r="C337" t="s">
        <v>4925</v>
      </c>
      <c r="D337" t="s">
        <v>4926</v>
      </c>
      <c r="E337">
        <v>91.169799999999995</v>
      </c>
      <c r="F337" t="s">
        <v>4927</v>
      </c>
      <c r="G337" t="s">
        <v>4928</v>
      </c>
      <c r="H337" t="s">
        <v>4929</v>
      </c>
    </row>
    <row r="338" spans="1:8" x14ac:dyDescent="0.3">
      <c r="A338" t="s">
        <v>5266</v>
      </c>
      <c r="B338" s="1">
        <v>45489</v>
      </c>
      <c r="C338" t="s">
        <v>4925</v>
      </c>
      <c r="D338" t="s">
        <v>4926</v>
      </c>
      <c r="E338">
        <v>90.998599999999996</v>
      </c>
      <c r="F338" t="s">
        <v>4927</v>
      </c>
      <c r="G338" t="s">
        <v>4928</v>
      </c>
      <c r="H338" t="s">
        <v>4929</v>
      </c>
    </row>
    <row r="339" spans="1:8" x14ac:dyDescent="0.3">
      <c r="A339" t="s">
        <v>5267</v>
      </c>
      <c r="B339" s="1">
        <v>45490</v>
      </c>
      <c r="C339" t="s">
        <v>4925</v>
      </c>
      <c r="D339" t="s">
        <v>4926</v>
      </c>
      <c r="E339">
        <v>91.345200000000006</v>
      </c>
      <c r="F339" t="s">
        <v>4927</v>
      </c>
      <c r="G339" t="s">
        <v>4928</v>
      </c>
      <c r="H339" t="s">
        <v>4929</v>
      </c>
    </row>
    <row r="340" spans="1:8" x14ac:dyDescent="0.3">
      <c r="A340" t="s">
        <v>5268</v>
      </c>
      <c r="B340" s="1">
        <v>45491</v>
      </c>
      <c r="C340" t="s">
        <v>4925</v>
      </c>
      <c r="D340" t="s">
        <v>4926</v>
      </c>
      <c r="E340">
        <v>91.210899999999995</v>
      </c>
      <c r="F340" t="s">
        <v>4927</v>
      </c>
      <c r="G340" t="s">
        <v>4928</v>
      </c>
      <c r="H340" t="s">
        <v>4929</v>
      </c>
    </row>
    <row r="341" spans="1:8" x14ac:dyDescent="0.3">
      <c r="A341" t="s">
        <v>5269</v>
      </c>
      <c r="B341" s="1">
        <v>45492</v>
      </c>
      <c r="C341" t="s">
        <v>4925</v>
      </c>
      <c r="D341" t="s">
        <v>4926</v>
      </c>
      <c r="E341">
        <v>91.132599999999996</v>
      </c>
      <c r="F341" t="s">
        <v>4927</v>
      </c>
      <c r="G341" t="s">
        <v>4928</v>
      </c>
      <c r="H341" t="s">
        <v>4929</v>
      </c>
    </row>
    <row r="342" spans="1:8" x14ac:dyDescent="0.3">
      <c r="A342" t="s">
        <v>5270</v>
      </c>
      <c r="B342" s="1">
        <v>45495</v>
      </c>
      <c r="C342" t="s">
        <v>4925</v>
      </c>
      <c r="D342" t="s">
        <v>4926</v>
      </c>
      <c r="E342">
        <v>91.011200000000002</v>
      </c>
      <c r="F342" t="s">
        <v>4927</v>
      </c>
      <c r="G342" t="s">
        <v>4928</v>
      </c>
      <c r="H342" t="s">
        <v>4929</v>
      </c>
    </row>
    <row r="343" spans="1:8" x14ac:dyDescent="0.3">
      <c r="A343" t="s">
        <v>5271</v>
      </c>
      <c r="B343" s="1">
        <v>45496</v>
      </c>
      <c r="C343" t="s">
        <v>4925</v>
      </c>
      <c r="D343" t="s">
        <v>4926</v>
      </c>
      <c r="E343">
        <v>90.834599999999995</v>
      </c>
      <c r="F343" t="s">
        <v>4927</v>
      </c>
      <c r="G343" t="s">
        <v>4928</v>
      </c>
      <c r="H343" t="s">
        <v>4929</v>
      </c>
    </row>
    <row r="344" spans="1:8" x14ac:dyDescent="0.3">
      <c r="A344" t="s">
        <v>5272</v>
      </c>
      <c r="B344" s="1">
        <v>45497</v>
      </c>
      <c r="C344" t="s">
        <v>4925</v>
      </c>
      <c r="D344" t="s">
        <v>4926</v>
      </c>
      <c r="E344">
        <v>90.8613</v>
      </c>
      <c r="F344" t="s">
        <v>4927</v>
      </c>
      <c r="G344" t="s">
        <v>4928</v>
      </c>
      <c r="H344" t="s">
        <v>4929</v>
      </c>
    </row>
    <row r="345" spans="1:8" x14ac:dyDescent="0.3">
      <c r="A345" t="s">
        <v>5273</v>
      </c>
      <c r="B345" s="1">
        <v>45498</v>
      </c>
      <c r="C345" t="s">
        <v>4925</v>
      </c>
      <c r="D345" t="s">
        <v>4926</v>
      </c>
      <c r="E345">
        <v>90.906599999999997</v>
      </c>
      <c r="F345" t="s">
        <v>4927</v>
      </c>
      <c r="G345" t="s">
        <v>4928</v>
      </c>
      <c r="H345" t="s">
        <v>4929</v>
      </c>
    </row>
    <row r="346" spans="1:8" x14ac:dyDescent="0.3">
      <c r="A346" t="s">
        <v>5274</v>
      </c>
      <c r="B346" s="1">
        <v>45499</v>
      </c>
      <c r="C346" t="s">
        <v>4925</v>
      </c>
      <c r="D346" t="s">
        <v>4926</v>
      </c>
      <c r="E346">
        <v>90.889799999999994</v>
      </c>
      <c r="F346" t="s">
        <v>4927</v>
      </c>
      <c r="G346" t="s">
        <v>4928</v>
      </c>
      <c r="H346" t="s">
        <v>4929</v>
      </c>
    </row>
    <row r="347" spans="1:8" x14ac:dyDescent="0.3">
      <c r="A347" t="s">
        <v>5275</v>
      </c>
      <c r="B347" s="1">
        <v>45502</v>
      </c>
      <c r="C347" t="s">
        <v>4925</v>
      </c>
      <c r="D347" t="s">
        <v>4926</v>
      </c>
      <c r="E347">
        <v>90.609099999999998</v>
      </c>
      <c r="F347" t="s">
        <v>4927</v>
      </c>
      <c r="G347" t="s">
        <v>4928</v>
      </c>
      <c r="H347" t="s">
        <v>4929</v>
      </c>
    </row>
    <row r="348" spans="1:8" x14ac:dyDescent="0.3">
      <c r="A348" t="s">
        <v>5276</v>
      </c>
      <c r="B348" s="1">
        <v>45503</v>
      </c>
      <c r="C348" t="s">
        <v>4925</v>
      </c>
      <c r="D348" t="s">
        <v>4926</v>
      </c>
      <c r="E348">
        <v>90.471299999999999</v>
      </c>
      <c r="F348" t="s">
        <v>4927</v>
      </c>
      <c r="G348" t="s">
        <v>4928</v>
      </c>
      <c r="H348" t="s">
        <v>4929</v>
      </c>
    </row>
    <row r="349" spans="1:8" x14ac:dyDescent="0.3">
      <c r="A349" t="s">
        <v>5277</v>
      </c>
      <c r="B349" s="1">
        <v>45504</v>
      </c>
      <c r="C349" t="s">
        <v>4925</v>
      </c>
      <c r="D349" t="s">
        <v>4926</v>
      </c>
      <c r="E349">
        <v>90.620999999999995</v>
      </c>
      <c r="F349" t="s">
        <v>4927</v>
      </c>
      <c r="G349" t="s">
        <v>4928</v>
      </c>
      <c r="H349" t="s">
        <v>4929</v>
      </c>
    </row>
    <row r="350" spans="1:8" x14ac:dyDescent="0.3">
      <c r="A350" t="s">
        <v>5278</v>
      </c>
      <c r="B350" s="1">
        <v>45505</v>
      </c>
      <c r="C350" t="s">
        <v>4925</v>
      </c>
      <c r="D350" t="s">
        <v>4926</v>
      </c>
      <c r="E350">
        <v>90.303899999999999</v>
      </c>
      <c r="F350" t="s">
        <v>4927</v>
      </c>
      <c r="G350" t="s">
        <v>4928</v>
      </c>
      <c r="H350" t="s">
        <v>4929</v>
      </c>
    </row>
    <row r="351" spans="1:8" x14ac:dyDescent="0.3">
      <c r="A351" t="s">
        <v>5279</v>
      </c>
      <c r="B351" s="1">
        <v>45506</v>
      </c>
      <c r="C351" t="s">
        <v>4925</v>
      </c>
      <c r="D351" t="s">
        <v>4926</v>
      </c>
      <c r="E351">
        <v>91.448400000000007</v>
      </c>
      <c r="F351" t="s">
        <v>4927</v>
      </c>
      <c r="G351" t="s">
        <v>4928</v>
      </c>
      <c r="H351" t="s">
        <v>4929</v>
      </c>
    </row>
    <row r="352" spans="1:8" x14ac:dyDescent="0.3">
      <c r="A352" t="s">
        <v>5280</v>
      </c>
      <c r="B352" s="1">
        <v>45509</v>
      </c>
      <c r="C352" t="s">
        <v>4925</v>
      </c>
      <c r="D352" t="s">
        <v>4926</v>
      </c>
      <c r="E352">
        <v>91.852500000000006</v>
      </c>
      <c r="F352" t="s">
        <v>4927</v>
      </c>
      <c r="G352" t="s">
        <v>4928</v>
      </c>
      <c r="H352" t="s">
        <v>4929</v>
      </c>
    </row>
    <row r="353" spans="1:8" x14ac:dyDescent="0.3">
      <c r="A353" t="s">
        <v>5281</v>
      </c>
      <c r="B353" s="1">
        <v>45510</v>
      </c>
      <c r="C353" t="s">
        <v>4925</v>
      </c>
      <c r="D353" t="s">
        <v>4926</v>
      </c>
      <c r="E353">
        <v>91.680099999999996</v>
      </c>
      <c r="F353" t="s">
        <v>4927</v>
      </c>
      <c r="G353" t="s">
        <v>4928</v>
      </c>
      <c r="H353" t="s">
        <v>4929</v>
      </c>
    </row>
    <row r="354" spans="1:8" x14ac:dyDescent="0.3">
      <c r="A354" t="s">
        <v>5282</v>
      </c>
      <c r="B354" s="1">
        <v>45511</v>
      </c>
      <c r="C354" t="s">
        <v>4925</v>
      </c>
      <c r="D354" t="s">
        <v>4926</v>
      </c>
      <c r="E354">
        <v>91.726299999999995</v>
      </c>
      <c r="F354" t="s">
        <v>4927</v>
      </c>
      <c r="G354" t="s">
        <v>4928</v>
      </c>
      <c r="H354" t="s">
        <v>4929</v>
      </c>
    </row>
    <row r="355" spans="1:8" x14ac:dyDescent="0.3">
      <c r="A355" t="s">
        <v>5283</v>
      </c>
      <c r="B355" s="1">
        <v>45512</v>
      </c>
      <c r="C355" t="s">
        <v>4925</v>
      </c>
      <c r="D355" t="s">
        <v>4926</v>
      </c>
      <c r="E355">
        <v>91.623000000000005</v>
      </c>
      <c r="F355" t="s">
        <v>4927</v>
      </c>
      <c r="G355" t="s">
        <v>4928</v>
      </c>
      <c r="H355" t="s">
        <v>4929</v>
      </c>
    </row>
    <row r="356" spans="1:8" x14ac:dyDescent="0.3">
      <c r="A356" t="s">
        <v>5284</v>
      </c>
      <c r="B356" s="1">
        <v>45513</v>
      </c>
      <c r="C356" t="s">
        <v>4925</v>
      </c>
      <c r="D356" t="s">
        <v>4926</v>
      </c>
      <c r="E356">
        <v>91.682599999999994</v>
      </c>
      <c r="F356" t="s">
        <v>4927</v>
      </c>
      <c r="G356" t="s">
        <v>4928</v>
      </c>
      <c r="H356" t="s">
        <v>4929</v>
      </c>
    </row>
    <row r="357" spans="1:8" x14ac:dyDescent="0.3">
      <c r="A357" t="s">
        <v>5285</v>
      </c>
      <c r="B357" s="1">
        <v>45516</v>
      </c>
      <c r="C357" t="s">
        <v>4925</v>
      </c>
      <c r="D357" t="s">
        <v>4926</v>
      </c>
      <c r="E357">
        <v>91.707800000000006</v>
      </c>
      <c r="F357" t="s">
        <v>4927</v>
      </c>
      <c r="G357" t="s">
        <v>4928</v>
      </c>
      <c r="H357" t="s">
        <v>4929</v>
      </c>
    </row>
    <row r="358" spans="1:8" x14ac:dyDescent="0.3">
      <c r="A358" t="s">
        <v>5286</v>
      </c>
      <c r="B358" s="1">
        <v>45517</v>
      </c>
      <c r="C358" t="s">
        <v>4925</v>
      </c>
      <c r="D358" t="s">
        <v>4926</v>
      </c>
      <c r="E358">
        <v>91.980699999999999</v>
      </c>
      <c r="F358" t="s">
        <v>4927</v>
      </c>
      <c r="G358" t="s">
        <v>4928</v>
      </c>
      <c r="H358" t="s">
        <v>4929</v>
      </c>
    </row>
    <row r="359" spans="1:8" x14ac:dyDescent="0.3">
      <c r="A359" t="s">
        <v>5287</v>
      </c>
      <c r="B359" s="1">
        <v>45518</v>
      </c>
      <c r="C359" t="s">
        <v>4925</v>
      </c>
      <c r="D359" t="s">
        <v>4926</v>
      </c>
      <c r="E359">
        <v>92.502399999999994</v>
      </c>
      <c r="F359" t="s">
        <v>4927</v>
      </c>
      <c r="G359" t="s">
        <v>4928</v>
      </c>
      <c r="H359" t="s">
        <v>4929</v>
      </c>
    </row>
    <row r="360" spans="1:8" x14ac:dyDescent="0.3">
      <c r="A360" t="s">
        <v>5288</v>
      </c>
      <c r="B360" s="1">
        <v>45519</v>
      </c>
      <c r="C360" t="s">
        <v>4925</v>
      </c>
      <c r="D360" t="s">
        <v>4926</v>
      </c>
      <c r="E360">
        <v>92.216499999999996</v>
      </c>
      <c r="F360" t="s">
        <v>4927</v>
      </c>
      <c r="G360" t="s">
        <v>4928</v>
      </c>
      <c r="H360" t="s">
        <v>4929</v>
      </c>
    </row>
    <row r="361" spans="1:8" x14ac:dyDescent="0.3">
      <c r="A361" t="s">
        <v>5289</v>
      </c>
      <c r="B361" s="1">
        <v>45520</v>
      </c>
      <c r="C361" t="s">
        <v>4925</v>
      </c>
      <c r="D361" t="s">
        <v>4926</v>
      </c>
      <c r="E361">
        <v>92.311400000000006</v>
      </c>
      <c r="F361" t="s">
        <v>4927</v>
      </c>
      <c r="G361" t="s">
        <v>4928</v>
      </c>
      <c r="H361" t="s">
        <v>4929</v>
      </c>
    </row>
    <row r="362" spans="1:8" x14ac:dyDescent="0.3">
      <c r="A362" t="s">
        <v>5290</v>
      </c>
      <c r="B362" s="1">
        <v>45523</v>
      </c>
      <c r="C362" t="s">
        <v>4925</v>
      </c>
      <c r="D362" t="s">
        <v>4926</v>
      </c>
      <c r="E362">
        <v>92.788700000000006</v>
      </c>
      <c r="F362" t="s">
        <v>4927</v>
      </c>
      <c r="G362" t="s">
        <v>4928</v>
      </c>
      <c r="H362" t="s">
        <v>4929</v>
      </c>
    </row>
    <row r="363" spans="1:8" x14ac:dyDescent="0.3">
      <c r="A363" t="s">
        <v>5291</v>
      </c>
      <c r="B363" s="1">
        <v>45524</v>
      </c>
      <c r="C363" t="s">
        <v>4925</v>
      </c>
      <c r="D363" t="s">
        <v>4926</v>
      </c>
      <c r="E363">
        <v>93.057199999999995</v>
      </c>
      <c r="F363" t="s">
        <v>4927</v>
      </c>
      <c r="G363" t="s">
        <v>4928</v>
      </c>
      <c r="H363" t="s">
        <v>4929</v>
      </c>
    </row>
    <row r="364" spans="1:8" x14ac:dyDescent="0.3">
      <c r="A364" t="s">
        <v>5292</v>
      </c>
      <c r="B364" s="1">
        <v>45525</v>
      </c>
      <c r="C364" t="s">
        <v>4925</v>
      </c>
      <c r="D364" t="s">
        <v>4926</v>
      </c>
      <c r="E364">
        <v>93.523200000000003</v>
      </c>
      <c r="F364" t="s">
        <v>4927</v>
      </c>
      <c r="G364" t="s">
        <v>4928</v>
      </c>
      <c r="H364" t="s">
        <v>4929</v>
      </c>
    </row>
    <row r="365" spans="1:8" x14ac:dyDescent="0.3">
      <c r="A365" t="s">
        <v>5293</v>
      </c>
      <c r="B365" s="1">
        <v>45526</v>
      </c>
      <c r="C365" t="s">
        <v>4925</v>
      </c>
      <c r="D365" t="s">
        <v>4926</v>
      </c>
      <c r="E365">
        <v>93.279799999999994</v>
      </c>
      <c r="F365" t="s">
        <v>4927</v>
      </c>
      <c r="G365" t="s">
        <v>4928</v>
      </c>
      <c r="H365" t="s">
        <v>4929</v>
      </c>
    </row>
    <row r="366" spans="1:8" x14ac:dyDescent="0.3">
      <c r="A366" t="s">
        <v>5294</v>
      </c>
      <c r="B366" s="1">
        <v>45527</v>
      </c>
      <c r="C366" t="s">
        <v>4925</v>
      </c>
      <c r="D366" t="s">
        <v>4926</v>
      </c>
      <c r="E366">
        <v>93.777799999999999</v>
      </c>
      <c r="F366" t="s">
        <v>4927</v>
      </c>
      <c r="G366" t="s">
        <v>4928</v>
      </c>
      <c r="H366" t="s">
        <v>4929</v>
      </c>
    </row>
    <row r="367" spans="1:8" x14ac:dyDescent="0.3">
      <c r="A367" t="s">
        <v>5295</v>
      </c>
      <c r="B367" s="1">
        <v>45530</v>
      </c>
      <c r="C367" t="s">
        <v>4925</v>
      </c>
      <c r="D367" t="s">
        <v>4926</v>
      </c>
      <c r="E367">
        <v>93.632499999999993</v>
      </c>
      <c r="F367" t="s">
        <v>4927</v>
      </c>
      <c r="G367" t="s">
        <v>4928</v>
      </c>
      <c r="H367" t="s">
        <v>4929</v>
      </c>
    </row>
    <row r="368" spans="1:8" x14ac:dyDescent="0.3">
      <c r="A368" t="s">
        <v>5296</v>
      </c>
      <c r="B368" s="1">
        <v>45531</v>
      </c>
      <c r="C368" t="s">
        <v>4925</v>
      </c>
      <c r="D368" t="s">
        <v>4926</v>
      </c>
      <c r="E368">
        <v>93.643600000000006</v>
      </c>
      <c r="F368" t="s">
        <v>4927</v>
      </c>
      <c r="G368" t="s">
        <v>4928</v>
      </c>
      <c r="H368" t="s">
        <v>4929</v>
      </c>
    </row>
    <row r="369" spans="1:8" x14ac:dyDescent="0.3">
      <c r="A369" t="s">
        <v>5297</v>
      </c>
      <c r="B369" s="1">
        <v>45532</v>
      </c>
      <c r="C369" t="s">
        <v>4925</v>
      </c>
      <c r="D369" t="s">
        <v>4926</v>
      </c>
      <c r="E369">
        <v>93.355500000000006</v>
      </c>
      <c r="F369" t="s">
        <v>4927</v>
      </c>
      <c r="G369" t="s">
        <v>4928</v>
      </c>
      <c r="H369" t="s">
        <v>4929</v>
      </c>
    </row>
    <row r="370" spans="1:8" x14ac:dyDescent="0.3">
      <c r="A370" t="s">
        <v>5298</v>
      </c>
      <c r="B370" s="1">
        <v>45533</v>
      </c>
      <c r="C370" t="s">
        <v>4925</v>
      </c>
      <c r="D370" t="s">
        <v>4926</v>
      </c>
      <c r="E370">
        <v>92.944999999999993</v>
      </c>
      <c r="F370" t="s">
        <v>4927</v>
      </c>
      <c r="G370" t="s">
        <v>4928</v>
      </c>
      <c r="H370" t="s">
        <v>4929</v>
      </c>
    </row>
    <row r="371" spans="1:8" x14ac:dyDescent="0.3">
      <c r="A371" t="s">
        <v>5299</v>
      </c>
      <c r="B371" s="1">
        <v>45534</v>
      </c>
      <c r="C371" t="s">
        <v>4925</v>
      </c>
      <c r="D371" t="s">
        <v>4926</v>
      </c>
      <c r="E371">
        <v>92.715999999999994</v>
      </c>
      <c r="F371" t="s">
        <v>4927</v>
      </c>
      <c r="G371" t="s">
        <v>4928</v>
      </c>
      <c r="H371" t="s">
        <v>4929</v>
      </c>
    </row>
    <row r="372" spans="1:8" x14ac:dyDescent="0.3">
      <c r="A372" t="s">
        <v>5300</v>
      </c>
      <c r="B372" s="1">
        <v>45537</v>
      </c>
      <c r="C372" t="s">
        <v>4925</v>
      </c>
      <c r="D372" t="s">
        <v>4926</v>
      </c>
      <c r="E372">
        <v>92.715999999999994</v>
      </c>
      <c r="F372" t="s">
        <v>4927</v>
      </c>
      <c r="G372" t="s">
        <v>4928</v>
      </c>
      <c r="H372" t="s">
        <v>4970</v>
      </c>
    </row>
    <row r="373" spans="1:8" x14ac:dyDescent="0.3">
      <c r="A373" t="s">
        <v>5301</v>
      </c>
      <c r="B373" s="1">
        <v>45538</v>
      </c>
      <c r="C373" t="s">
        <v>4925</v>
      </c>
      <c r="D373" t="s">
        <v>4926</v>
      </c>
      <c r="E373">
        <v>92.694900000000004</v>
      </c>
      <c r="F373" t="s">
        <v>4927</v>
      </c>
      <c r="G373" t="s">
        <v>4928</v>
      </c>
      <c r="H373" t="s">
        <v>4929</v>
      </c>
    </row>
    <row r="374" spans="1:8" x14ac:dyDescent="0.3">
      <c r="A374" t="s">
        <v>5302</v>
      </c>
      <c r="B374" s="1">
        <v>45539</v>
      </c>
      <c r="C374" t="s">
        <v>4925</v>
      </c>
      <c r="D374" t="s">
        <v>4926</v>
      </c>
      <c r="E374">
        <v>93.025000000000006</v>
      </c>
      <c r="F374" t="s">
        <v>4927</v>
      </c>
      <c r="G374" t="s">
        <v>4928</v>
      </c>
      <c r="H374" t="s">
        <v>4929</v>
      </c>
    </row>
    <row r="375" spans="1:8" x14ac:dyDescent="0.3">
      <c r="A375" t="s">
        <v>5303</v>
      </c>
      <c r="B375" s="1">
        <v>45540</v>
      </c>
      <c r="C375" t="s">
        <v>4925</v>
      </c>
      <c r="D375" t="s">
        <v>4926</v>
      </c>
      <c r="E375">
        <v>93.162000000000006</v>
      </c>
      <c r="F375" t="s">
        <v>4927</v>
      </c>
      <c r="G375" t="s">
        <v>4928</v>
      </c>
      <c r="H375" t="s">
        <v>4929</v>
      </c>
    </row>
    <row r="376" spans="1:8" x14ac:dyDescent="0.3">
      <c r="A376" t="s">
        <v>5304</v>
      </c>
      <c r="B376" s="1">
        <v>45541</v>
      </c>
      <c r="C376" t="s">
        <v>4925</v>
      </c>
      <c r="D376" t="s">
        <v>4926</v>
      </c>
      <c r="E376">
        <v>93.022599999999997</v>
      </c>
      <c r="F376" t="s">
        <v>4927</v>
      </c>
      <c r="G376" t="s">
        <v>4928</v>
      </c>
      <c r="H376" t="s">
        <v>4929</v>
      </c>
    </row>
    <row r="377" spans="1:8" x14ac:dyDescent="0.3">
      <c r="A377" t="s">
        <v>5305</v>
      </c>
      <c r="B377" s="1">
        <v>45544</v>
      </c>
      <c r="C377" t="s">
        <v>4925</v>
      </c>
      <c r="D377" t="s">
        <v>4926</v>
      </c>
      <c r="E377">
        <v>92.6755</v>
      </c>
      <c r="F377" t="s">
        <v>4927</v>
      </c>
      <c r="G377" t="s">
        <v>4928</v>
      </c>
      <c r="H377" t="s">
        <v>4929</v>
      </c>
    </row>
    <row r="378" spans="1:8" x14ac:dyDescent="0.3">
      <c r="A378" t="s">
        <v>5306</v>
      </c>
      <c r="B378" s="1">
        <v>45545</v>
      </c>
      <c r="C378" t="s">
        <v>4925</v>
      </c>
      <c r="D378" t="s">
        <v>4926</v>
      </c>
      <c r="E378">
        <v>92.554900000000004</v>
      </c>
      <c r="F378" t="s">
        <v>4927</v>
      </c>
      <c r="G378" t="s">
        <v>4928</v>
      </c>
      <c r="H378" t="s">
        <v>4929</v>
      </c>
    </row>
    <row r="379" spans="1:8" x14ac:dyDescent="0.3">
      <c r="A379" t="s">
        <v>5307</v>
      </c>
      <c r="B379" s="1">
        <v>45546</v>
      </c>
      <c r="C379" t="s">
        <v>4925</v>
      </c>
      <c r="D379" t="s">
        <v>4926</v>
      </c>
      <c r="E379">
        <v>92.445700000000002</v>
      </c>
      <c r="F379" t="s">
        <v>4927</v>
      </c>
      <c r="G379" t="s">
        <v>4928</v>
      </c>
      <c r="H379" t="s">
        <v>4929</v>
      </c>
    </row>
    <row r="380" spans="1:8" x14ac:dyDescent="0.3">
      <c r="A380" t="s">
        <v>5308</v>
      </c>
      <c r="B380" s="1">
        <v>45547</v>
      </c>
      <c r="C380" t="s">
        <v>4925</v>
      </c>
      <c r="D380" t="s">
        <v>4926</v>
      </c>
      <c r="E380">
        <v>92.656099999999995</v>
      </c>
      <c r="F380" t="s">
        <v>4927</v>
      </c>
      <c r="G380" t="s">
        <v>4928</v>
      </c>
      <c r="H380" t="s">
        <v>4929</v>
      </c>
    </row>
    <row r="381" spans="1:8" x14ac:dyDescent="0.3">
      <c r="A381" t="s">
        <v>5309</v>
      </c>
      <c r="B381" s="1">
        <v>45548</v>
      </c>
      <c r="C381" t="s">
        <v>4925</v>
      </c>
      <c r="D381" t="s">
        <v>4926</v>
      </c>
      <c r="E381">
        <v>92.980999999999995</v>
      </c>
      <c r="F381" t="s">
        <v>4927</v>
      </c>
      <c r="G381" t="s">
        <v>4928</v>
      </c>
      <c r="H381" t="s">
        <v>4929</v>
      </c>
    </row>
    <row r="382" spans="1:8" x14ac:dyDescent="0.3">
      <c r="A382" t="s">
        <v>5310</v>
      </c>
      <c r="B382" s="1">
        <v>45551</v>
      </c>
      <c r="C382" t="s">
        <v>4925</v>
      </c>
      <c r="D382" t="s">
        <v>4926</v>
      </c>
      <c r="E382">
        <v>93.3108</v>
      </c>
      <c r="F382" t="s">
        <v>4927</v>
      </c>
      <c r="G382" t="s">
        <v>4928</v>
      </c>
      <c r="H382" t="s">
        <v>4929</v>
      </c>
    </row>
    <row r="383" spans="1:8" x14ac:dyDescent="0.3">
      <c r="A383" t="s">
        <v>5311</v>
      </c>
      <c r="B383" s="1">
        <v>45552</v>
      </c>
      <c r="C383" t="s">
        <v>4925</v>
      </c>
      <c r="D383" t="s">
        <v>4926</v>
      </c>
      <c r="E383">
        <v>93.113200000000006</v>
      </c>
      <c r="F383" t="s">
        <v>4927</v>
      </c>
      <c r="G383" t="s">
        <v>4928</v>
      </c>
      <c r="H383" t="s">
        <v>4929</v>
      </c>
    </row>
    <row r="384" spans="1:8" x14ac:dyDescent="0.3">
      <c r="A384" t="s">
        <v>5312</v>
      </c>
      <c r="B384" s="1">
        <v>45553</v>
      </c>
      <c r="C384" t="s">
        <v>4925</v>
      </c>
      <c r="D384" t="s">
        <v>4926</v>
      </c>
      <c r="E384">
        <v>93.096500000000006</v>
      </c>
      <c r="F384" t="s">
        <v>4927</v>
      </c>
      <c r="G384" t="s">
        <v>4928</v>
      </c>
      <c r="H384" t="s">
        <v>4929</v>
      </c>
    </row>
    <row r="385" spans="1:8" x14ac:dyDescent="0.3">
      <c r="A385" t="s">
        <v>5313</v>
      </c>
      <c r="B385" s="1">
        <v>45554</v>
      </c>
      <c r="C385" t="s">
        <v>4925</v>
      </c>
      <c r="D385" t="s">
        <v>4926</v>
      </c>
      <c r="E385">
        <v>93.278099999999995</v>
      </c>
      <c r="F385" t="s">
        <v>4927</v>
      </c>
      <c r="G385" t="s">
        <v>4928</v>
      </c>
      <c r="H385" t="s">
        <v>4929</v>
      </c>
    </row>
    <row r="386" spans="1:8" x14ac:dyDescent="0.3">
      <c r="A386" t="s">
        <v>5314</v>
      </c>
      <c r="B386" s="1">
        <v>45555</v>
      </c>
      <c r="C386" t="s">
        <v>4925</v>
      </c>
      <c r="D386" t="s">
        <v>4926</v>
      </c>
      <c r="E386">
        <v>93.255799999999994</v>
      </c>
      <c r="F386" t="s">
        <v>4927</v>
      </c>
      <c r="G386" t="s">
        <v>4928</v>
      </c>
      <c r="H386" t="s">
        <v>4929</v>
      </c>
    </row>
    <row r="387" spans="1:8" x14ac:dyDescent="0.3">
      <c r="A387" t="s">
        <v>5315</v>
      </c>
      <c r="B387" s="1">
        <v>45558</v>
      </c>
      <c r="C387" t="s">
        <v>4925</v>
      </c>
      <c r="D387" t="s">
        <v>4926</v>
      </c>
      <c r="E387">
        <v>92.968900000000005</v>
      </c>
      <c r="F387" t="s">
        <v>4927</v>
      </c>
      <c r="G387" t="s">
        <v>4928</v>
      </c>
      <c r="H387" t="s">
        <v>4929</v>
      </c>
    </row>
    <row r="388" spans="1:8" x14ac:dyDescent="0.3">
      <c r="A388" t="s">
        <v>5316</v>
      </c>
      <c r="B388" s="1">
        <v>45559</v>
      </c>
      <c r="C388" t="s">
        <v>4925</v>
      </c>
      <c r="D388" t="s">
        <v>4926</v>
      </c>
      <c r="E388">
        <v>93.280900000000003</v>
      </c>
      <c r="F388" t="s">
        <v>4927</v>
      </c>
      <c r="G388" t="s">
        <v>4928</v>
      </c>
      <c r="H388" t="s">
        <v>4929</v>
      </c>
    </row>
    <row r="389" spans="1:8" x14ac:dyDescent="0.3">
      <c r="A389" t="s">
        <v>5317</v>
      </c>
      <c r="B389" s="1">
        <v>45560</v>
      </c>
      <c r="C389" t="s">
        <v>4925</v>
      </c>
      <c r="D389" t="s">
        <v>4926</v>
      </c>
      <c r="E389">
        <v>93.110900000000001</v>
      </c>
      <c r="F389" t="s">
        <v>4927</v>
      </c>
      <c r="G389" t="s">
        <v>4928</v>
      </c>
      <c r="H389" t="s">
        <v>4929</v>
      </c>
    </row>
    <row r="390" spans="1:8" x14ac:dyDescent="0.3">
      <c r="A390" t="s">
        <v>5318</v>
      </c>
      <c r="B390" s="1">
        <v>45561</v>
      </c>
      <c r="C390" t="s">
        <v>4925</v>
      </c>
      <c r="D390" t="s">
        <v>4926</v>
      </c>
      <c r="E390">
        <v>93.498199999999997</v>
      </c>
      <c r="F390" t="s">
        <v>4927</v>
      </c>
      <c r="G390" t="s">
        <v>4928</v>
      </c>
      <c r="H390" t="s">
        <v>4929</v>
      </c>
    </row>
    <row r="391" spans="1:8" x14ac:dyDescent="0.3">
      <c r="A391" t="s">
        <v>5319</v>
      </c>
      <c r="B391" s="1">
        <v>45562</v>
      </c>
      <c r="C391" t="s">
        <v>4925</v>
      </c>
      <c r="D391" t="s">
        <v>4926</v>
      </c>
      <c r="E391">
        <v>93.378500000000003</v>
      </c>
      <c r="F391" t="s">
        <v>4927</v>
      </c>
      <c r="G391" t="s">
        <v>4928</v>
      </c>
      <c r="H391" t="s">
        <v>4929</v>
      </c>
    </row>
    <row r="392" spans="1:8" x14ac:dyDescent="0.3">
      <c r="A392" t="s">
        <v>5320</v>
      </c>
      <c r="B392" s="1">
        <v>45565</v>
      </c>
      <c r="C392" t="s">
        <v>4925</v>
      </c>
      <c r="D392" t="s">
        <v>4926</v>
      </c>
      <c r="E392">
        <v>93.350499999999997</v>
      </c>
      <c r="F392" t="s">
        <v>4927</v>
      </c>
      <c r="G392" t="s">
        <v>4928</v>
      </c>
      <c r="H392" t="s">
        <v>4929</v>
      </c>
    </row>
    <row r="393" spans="1:8" x14ac:dyDescent="0.3">
      <c r="A393" t="s">
        <v>5321</v>
      </c>
      <c r="B393" s="1">
        <v>45566</v>
      </c>
      <c r="C393" t="s">
        <v>4925</v>
      </c>
      <c r="D393" t="s">
        <v>4926</v>
      </c>
      <c r="E393">
        <v>92.752499999999998</v>
      </c>
      <c r="F393" t="s">
        <v>4927</v>
      </c>
      <c r="G393" t="s">
        <v>4928</v>
      </c>
      <c r="H393" t="s">
        <v>4929</v>
      </c>
    </row>
    <row r="394" spans="1:8" x14ac:dyDescent="0.3">
      <c r="A394" t="s">
        <v>5322</v>
      </c>
      <c r="B394" s="1">
        <v>45567</v>
      </c>
      <c r="C394" t="s">
        <v>4925</v>
      </c>
      <c r="D394" t="s">
        <v>4926</v>
      </c>
      <c r="E394">
        <v>92.61</v>
      </c>
      <c r="F394" t="s">
        <v>4927</v>
      </c>
      <c r="G394" t="s">
        <v>4928</v>
      </c>
      <c r="H394" t="s">
        <v>4929</v>
      </c>
    </row>
    <row r="395" spans="1:8" x14ac:dyDescent="0.3">
      <c r="A395" t="s">
        <v>5323</v>
      </c>
      <c r="B395" s="1">
        <v>45568</v>
      </c>
      <c r="C395" t="s">
        <v>4925</v>
      </c>
      <c r="D395" t="s">
        <v>4926</v>
      </c>
      <c r="E395">
        <v>92.525999999999996</v>
      </c>
      <c r="F395" t="s">
        <v>4927</v>
      </c>
      <c r="G395" t="s">
        <v>4928</v>
      </c>
      <c r="H395" t="s">
        <v>4929</v>
      </c>
    </row>
    <row r="396" spans="1:8" x14ac:dyDescent="0.3">
      <c r="A396" t="s">
        <v>5324</v>
      </c>
      <c r="B396" s="1">
        <v>45569</v>
      </c>
      <c r="C396" t="s">
        <v>4925</v>
      </c>
      <c r="D396" t="s">
        <v>4926</v>
      </c>
      <c r="E396">
        <v>92.061400000000006</v>
      </c>
      <c r="F396" t="s">
        <v>4927</v>
      </c>
      <c r="G396" t="s">
        <v>4928</v>
      </c>
      <c r="H396" t="s">
        <v>4929</v>
      </c>
    </row>
    <row r="397" spans="1:8" x14ac:dyDescent="0.3">
      <c r="A397" t="s">
        <v>5325</v>
      </c>
      <c r="B397" s="1">
        <v>45572</v>
      </c>
      <c r="C397" t="s">
        <v>4925</v>
      </c>
      <c r="D397" t="s">
        <v>4926</v>
      </c>
      <c r="E397">
        <v>92.154499999999999</v>
      </c>
      <c r="F397" t="s">
        <v>4927</v>
      </c>
      <c r="G397" t="s">
        <v>4928</v>
      </c>
      <c r="H397" t="s">
        <v>4929</v>
      </c>
    </row>
    <row r="398" spans="1:8" x14ac:dyDescent="0.3">
      <c r="A398" t="s">
        <v>5326</v>
      </c>
      <c r="B398" s="1">
        <v>45573</v>
      </c>
      <c r="C398" t="s">
        <v>4925</v>
      </c>
      <c r="D398" t="s">
        <v>4926</v>
      </c>
      <c r="E398">
        <v>92.093199999999996</v>
      </c>
      <c r="F398" t="s">
        <v>4927</v>
      </c>
      <c r="G398" t="s">
        <v>4928</v>
      </c>
      <c r="H398" t="s">
        <v>4929</v>
      </c>
    </row>
    <row r="399" spans="1:8" x14ac:dyDescent="0.3">
      <c r="A399" t="s">
        <v>5327</v>
      </c>
      <c r="B399" s="1">
        <v>45574</v>
      </c>
      <c r="C399" t="s">
        <v>4925</v>
      </c>
      <c r="D399" t="s">
        <v>4926</v>
      </c>
      <c r="E399">
        <v>91.911699999999996</v>
      </c>
      <c r="F399" t="s">
        <v>4927</v>
      </c>
      <c r="G399" t="s">
        <v>4928</v>
      </c>
      <c r="H399" t="s">
        <v>4929</v>
      </c>
    </row>
    <row r="400" spans="1:8" x14ac:dyDescent="0.3">
      <c r="A400" t="s">
        <v>5328</v>
      </c>
      <c r="B400" s="1">
        <v>45575</v>
      </c>
      <c r="C400" t="s">
        <v>4925</v>
      </c>
      <c r="D400" t="s">
        <v>4926</v>
      </c>
      <c r="E400">
        <v>91.704400000000007</v>
      </c>
      <c r="F400" t="s">
        <v>4927</v>
      </c>
      <c r="G400" t="s">
        <v>4928</v>
      </c>
      <c r="H400" t="s">
        <v>4929</v>
      </c>
    </row>
    <row r="401" spans="1:8" x14ac:dyDescent="0.3">
      <c r="A401" t="s">
        <v>5329</v>
      </c>
      <c r="B401" s="1">
        <v>45576</v>
      </c>
      <c r="C401" t="s">
        <v>4925</v>
      </c>
      <c r="D401" t="s">
        <v>4926</v>
      </c>
      <c r="E401">
        <v>92.000299999999996</v>
      </c>
      <c r="F401" t="s">
        <v>4927</v>
      </c>
      <c r="G401" t="s">
        <v>4928</v>
      </c>
      <c r="H401" t="s">
        <v>4929</v>
      </c>
    </row>
    <row r="402" spans="1:8" x14ac:dyDescent="0.3">
      <c r="A402" t="s">
        <v>5330</v>
      </c>
      <c r="B402" s="1">
        <v>45579</v>
      </c>
      <c r="C402" t="s">
        <v>4925</v>
      </c>
      <c r="D402" t="s">
        <v>4926</v>
      </c>
      <c r="E402">
        <v>92.000299999999996</v>
      </c>
      <c r="F402" t="s">
        <v>4927</v>
      </c>
      <c r="G402" t="s">
        <v>4928</v>
      </c>
      <c r="H402" t="s">
        <v>4970</v>
      </c>
    </row>
    <row r="403" spans="1:8" x14ac:dyDescent="0.3">
      <c r="A403" t="s">
        <v>5331</v>
      </c>
      <c r="B403" s="1">
        <v>45580</v>
      </c>
      <c r="C403" t="s">
        <v>4925</v>
      </c>
      <c r="D403" t="s">
        <v>4926</v>
      </c>
      <c r="E403">
        <v>91.595200000000006</v>
      </c>
      <c r="F403" t="s">
        <v>4927</v>
      </c>
      <c r="G403" t="s">
        <v>4928</v>
      </c>
      <c r="H403" t="s">
        <v>4929</v>
      </c>
    </row>
    <row r="404" spans="1:8" x14ac:dyDescent="0.3">
      <c r="A404" t="s">
        <v>5332</v>
      </c>
      <c r="B404" s="1">
        <v>45581</v>
      </c>
      <c r="C404" t="s">
        <v>4925</v>
      </c>
      <c r="D404" t="s">
        <v>4926</v>
      </c>
      <c r="E404">
        <v>91.344099999999997</v>
      </c>
      <c r="F404" t="s">
        <v>4927</v>
      </c>
      <c r="G404" t="s">
        <v>4928</v>
      </c>
      <c r="H404" t="s">
        <v>4929</v>
      </c>
    </row>
    <row r="405" spans="1:8" x14ac:dyDescent="0.3">
      <c r="A405" t="s">
        <v>5333</v>
      </c>
      <c r="B405" s="1">
        <v>45582</v>
      </c>
      <c r="C405" t="s">
        <v>4925</v>
      </c>
      <c r="D405" t="s">
        <v>4926</v>
      </c>
      <c r="E405">
        <v>91.074100000000001</v>
      </c>
      <c r="F405" t="s">
        <v>4927</v>
      </c>
      <c r="G405" t="s">
        <v>4928</v>
      </c>
      <c r="H405" t="s">
        <v>4929</v>
      </c>
    </row>
    <row r="406" spans="1:8" x14ac:dyDescent="0.3">
      <c r="A406" t="s">
        <v>5334</v>
      </c>
      <c r="B406" s="1">
        <v>45583</v>
      </c>
      <c r="C406" t="s">
        <v>4925</v>
      </c>
      <c r="D406" t="s">
        <v>4926</v>
      </c>
      <c r="E406">
        <v>91.206199999999995</v>
      </c>
      <c r="F406" t="s">
        <v>4927</v>
      </c>
      <c r="G406" t="s">
        <v>4928</v>
      </c>
      <c r="H406" t="s">
        <v>4929</v>
      </c>
    </row>
    <row r="407" spans="1:8" x14ac:dyDescent="0.3">
      <c r="A407" t="s">
        <v>5335</v>
      </c>
      <c r="B407" s="1">
        <v>45586</v>
      </c>
      <c r="C407" t="s">
        <v>4925</v>
      </c>
      <c r="D407" t="s">
        <v>4926</v>
      </c>
      <c r="E407">
        <v>90.963700000000003</v>
      </c>
      <c r="F407" t="s">
        <v>4927</v>
      </c>
      <c r="G407" t="s">
        <v>4928</v>
      </c>
      <c r="H407" t="s">
        <v>4929</v>
      </c>
    </row>
    <row r="408" spans="1:8" x14ac:dyDescent="0.3">
      <c r="A408" t="s">
        <v>5336</v>
      </c>
      <c r="B408" s="1">
        <v>45587</v>
      </c>
      <c r="C408" t="s">
        <v>4925</v>
      </c>
      <c r="D408" t="s">
        <v>4926</v>
      </c>
      <c r="E408">
        <v>90.826800000000006</v>
      </c>
      <c r="F408" t="s">
        <v>4927</v>
      </c>
      <c r="G408" t="s">
        <v>4928</v>
      </c>
      <c r="H408" t="s">
        <v>4929</v>
      </c>
    </row>
    <row r="409" spans="1:8" x14ac:dyDescent="0.3">
      <c r="A409" t="s">
        <v>5337</v>
      </c>
      <c r="B409" s="1">
        <v>45588</v>
      </c>
      <c r="C409" t="s">
        <v>4925</v>
      </c>
      <c r="D409" t="s">
        <v>4926</v>
      </c>
      <c r="E409">
        <v>90.6083</v>
      </c>
      <c r="F409" t="s">
        <v>4927</v>
      </c>
      <c r="G409" t="s">
        <v>4928</v>
      </c>
      <c r="H409" t="s">
        <v>4929</v>
      </c>
    </row>
    <row r="410" spans="1:8" x14ac:dyDescent="0.3">
      <c r="A410" t="s">
        <v>5338</v>
      </c>
      <c r="B410" s="1">
        <v>45589</v>
      </c>
      <c r="C410" t="s">
        <v>4925</v>
      </c>
      <c r="D410" t="s">
        <v>4926</v>
      </c>
      <c r="E410">
        <v>90.824399999999997</v>
      </c>
      <c r="F410" t="s">
        <v>4927</v>
      </c>
      <c r="G410" t="s">
        <v>4928</v>
      </c>
      <c r="H410" t="s">
        <v>4929</v>
      </c>
    </row>
    <row r="411" spans="1:8" x14ac:dyDescent="0.3">
      <c r="A411" t="s">
        <v>5339</v>
      </c>
      <c r="B411" s="1">
        <v>45590</v>
      </c>
      <c r="C411" t="s">
        <v>4925</v>
      </c>
      <c r="D411" t="s">
        <v>4926</v>
      </c>
      <c r="E411">
        <v>90.894099999999995</v>
      </c>
      <c r="F411" t="s">
        <v>4927</v>
      </c>
      <c r="G411" t="s">
        <v>4928</v>
      </c>
      <c r="H411" t="s">
        <v>4929</v>
      </c>
    </row>
    <row r="412" spans="1:8" x14ac:dyDescent="0.3">
      <c r="A412" t="s">
        <v>5340</v>
      </c>
      <c r="B412" s="1">
        <v>45593</v>
      </c>
      <c r="C412" t="s">
        <v>4925</v>
      </c>
      <c r="D412" t="s">
        <v>4926</v>
      </c>
      <c r="E412">
        <v>90.933700000000002</v>
      </c>
      <c r="F412" t="s">
        <v>4927</v>
      </c>
      <c r="G412" t="s">
        <v>4928</v>
      </c>
      <c r="H412" t="s">
        <v>4929</v>
      </c>
    </row>
    <row r="413" spans="1:8" x14ac:dyDescent="0.3">
      <c r="A413" t="s">
        <v>5341</v>
      </c>
      <c r="B413" s="1">
        <v>45594</v>
      </c>
      <c r="C413" t="s">
        <v>4925</v>
      </c>
      <c r="D413" t="s">
        <v>4926</v>
      </c>
      <c r="E413">
        <v>90.746399999999994</v>
      </c>
      <c r="F413" t="s">
        <v>4927</v>
      </c>
      <c r="G413" t="s">
        <v>4928</v>
      </c>
      <c r="H413" t="s">
        <v>4929</v>
      </c>
    </row>
    <row r="414" spans="1:8" x14ac:dyDescent="0.3">
      <c r="A414" t="s">
        <v>5342</v>
      </c>
      <c r="B414" s="1">
        <v>45595</v>
      </c>
      <c r="C414" t="s">
        <v>4925</v>
      </c>
      <c r="D414" t="s">
        <v>4926</v>
      </c>
      <c r="E414">
        <v>91.333600000000004</v>
      </c>
      <c r="F414" t="s">
        <v>4927</v>
      </c>
      <c r="G414" t="s">
        <v>4928</v>
      </c>
      <c r="H414" t="s">
        <v>4929</v>
      </c>
    </row>
    <row r="415" spans="1:8" x14ac:dyDescent="0.3">
      <c r="A415" t="s">
        <v>5343</v>
      </c>
      <c r="B415" s="1">
        <v>45596</v>
      </c>
      <c r="C415" t="s">
        <v>4925</v>
      </c>
      <c r="D415" t="s">
        <v>4926</v>
      </c>
      <c r="E415">
        <v>91.247100000000003</v>
      </c>
      <c r="F415" t="s">
        <v>4927</v>
      </c>
      <c r="G415" t="s">
        <v>4928</v>
      </c>
      <c r="H415" t="s">
        <v>4929</v>
      </c>
    </row>
    <row r="416" spans="1:8" x14ac:dyDescent="0.3">
      <c r="A416" t="s">
        <v>5344</v>
      </c>
      <c r="B416" s="1">
        <v>45597</v>
      </c>
      <c r="C416" t="s">
        <v>4925</v>
      </c>
      <c r="D416" t="s">
        <v>4926</v>
      </c>
      <c r="E416">
        <v>91.155699999999996</v>
      </c>
      <c r="F416" t="s">
        <v>4927</v>
      </c>
      <c r="G416" t="s">
        <v>4928</v>
      </c>
      <c r="H416" t="s">
        <v>4929</v>
      </c>
    </row>
    <row r="417" spans="1:8" x14ac:dyDescent="0.3">
      <c r="A417" t="s">
        <v>5345</v>
      </c>
      <c r="B417" s="1">
        <v>45600</v>
      </c>
      <c r="C417" t="s">
        <v>4925</v>
      </c>
      <c r="D417" t="s">
        <v>4926</v>
      </c>
      <c r="E417">
        <v>91.545299999999997</v>
      </c>
      <c r="F417" t="s">
        <v>4927</v>
      </c>
      <c r="G417" t="s">
        <v>4928</v>
      </c>
      <c r="H417" t="s">
        <v>4929</v>
      </c>
    </row>
    <row r="418" spans="1:8" x14ac:dyDescent="0.3">
      <c r="A418" t="s">
        <v>5346</v>
      </c>
      <c r="B418" s="1">
        <v>45601</v>
      </c>
      <c r="C418" t="s">
        <v>4925</v>
      </c>
      <c r="D418" t="s">
        <v>4926</v>
      </c>
      <c r="E418">
        <v>91.837199999999996</v>
      </c>
      <c r="F418" t="s">
        <v>4927</v>
      </c>
      <c r="G418" t="s">
        <v>4928</v>
      </c>
      <c r="H418" t="s">
        <v>4929</v>
      </c>
    </row>
    <row r="419" spans="1:8" x14ac:dyDescent="0.3">
      <c r="A419" t="s">
        <v>5347</v>
      </c>
      <c r="B419" s="1">
        <v>45602</v>
      </c>
      <c r="C419" t="s">
        <v>4925</v>
      </c>
      <c r="D419" t="s">
        <v>4926</v>
      </c>
      <c r="E419">
        <v>90.481499999999997</v>
      </c>
      <c r="F419" t="s">
        <v>4927</v>
      </c>
      <c r="G419" t="s">
        <v>4928</v>
      </c>
      <c r="H419" t="s">
        <v>4929</v>
      </c>
    </row>
    <row r="420" spans="1:8" x14ac:dyDescent="0.3">
      <c r="A420" t="s">
        <v>5348</v>
      </c>
      <c r="B420" s="1">
        <v>45603</v>
      </c>
      <c r="C420" t="s">
        <v>4925</v>
      </c>
      <c r="D420" t="s">
        <v>4926</v>
      </c>
      <c r="E420">
        <v>91.052099999999996</v>
      </c>
      <c r="F420" t="s">
        <v>4927</v>
      </c>
      <c r="G420" t="s">
        <v>4928</v>
      </c>
      <c r="H420" t="s">
        <v>4929</v>
      </c>
    </row>
    <row r="421" spans="1:8" x14ac:dyDescent="0.3">
      <c r="A421" t="s">
        <v>5349</v>
      </c>
      <c r="B421" s="1">
        <v>45604</v>
      </c>
      <c r="C421" t="s">
        <v>4925</v>
      </c>
      <c r="D421" t="s">
        <v>4926</v>
      </c>
      <c r="E421">
        <v>90.328100000000006</v>
      </c>
      <c r="F421" t="s">
        <v>4927</v>
      </c>
      <c r="G421" t="s">
        <v>4928</v>
      </c>
      <c r="H421" t="s">
        <v>4929</v>
      </c>
    </row>
    <row r="422" spans="1:8" x14ac:dyDescent="0.3">
      <c r="A422" t="s">
        <v>5350</v>
      </c>
      <c r="B422" s="1">
        <v>45607</v>
      </c>
      <c r="C422" t="s">
        <v>4925</v>
      </c>
      <c r="D422" t="s">
        <v>4926</v>
      </c>
      <c r="E422">
        <v>90.328100000000006</v>
      </c>
      <c r="F422" t="s">
        <v>4927</v>
      </c>
      <c r="G422" t="s">
        <v>4928</v>
      </c>
      <c r="H422" t="s">
        <v>4970</v>
      </c>
    </row>
    <row r="423" spans="1:8" x14ac:dyDescent="0.3">
      <c r="A423" t="s">
        <v>5351</v>
      </c>
      <c r="B423" s="1">
        <v>45608</v>
      </c>
      <c r="C423" t="s">
        <v>4925</v>
      </c>
      <c r="D423" t="s">
        <v>4926</v>
      </c>
      <c r="E423">
        <v>89.425899999999999</v>
      </c>
      <c r="F423" t="s">
        <v>4927</v>
      </c>
      <c r="G423" t="s">
        <v>4928</v>
      </c>
      <c r="H423" t="s">
        <v>4929</v>
      </c>
    </row>
    <row r="424" spans="1:8" x14ac:dyDescent="0.3">
      <c r="A424" t="s">
        <v>5352</v>
      </c>
      <c r="B424" s="1">
        <v>45609</v>
      </c>
      <c r="C424" t="s">
        <v>4925</v>
      </c>
      <c r="D424" t="s">
        <v>4926</v>
      </c>
      <c r="E424">
        <v>89.174899999999994</v>
      </c>
      <c r="F424" t="s">
        <v>4927</v>
      </c>
      <c r="G424" t="s">
        <v>4928</v>
      </c>
      <c r="H424" t="s">
        <v>4929</v>
      </c>
    </row>
    <row r="425" spans="1:8" x14ac:dyDescent="0.3">
      <c r="A425" t="s">
        <v>5353</v>
      </c>
      <c r="B425" s="1">
        <v>45610</v>
      </c>
      <c r="C425" t="s">
        <v>4925</v>
      </c>
      <c r="D425" t="s">
        <v>4926</v>
      </c>
      <c r="E425">
        <v>89.164400000000001</v>
      </c>
      <c r="F425" t="s">
        <v>4927</v>
      </c>
      <c r="G425" t="s">
        <v>4928</v>
      </c>
      <c r="H425" t="s">
        <v>4929</v>
      </c>
    </row>
    <row r="426" spans="1:8" x14ac:dyDescent="0.3">
      <c r="A426" t="s">
        <v>5354</v>
      </c>
      <c r="B426" s="1">
        <v>45611</v>
      </c>
      <c r="C426" t="s">
        <v>4925</v>
      </c>
      <c r="D426" t="s">
        <v>4926</v>
      </c>
      <c r="E426">
        <v>89.069400000000002</v>
      </c>
      <c r="F426" t="s">
        <v>4927</v>
      </c>
      <c r="G426" t="s">
        <v>4928</v>
      </c>
      <c r="H426" t="s">
        <v>4929</v>
      </c>
    </row>
    <row r="427" spans="1:8" x14ac:dyDescent="0.3">
      <c r="A427" t="s">
        <v>5355</v>
      </c>
      <c r="B427" s="1">
        <v>45614</v>
      </c>
      <c r="C427" t="s">
        <v>4925</v>
      </c>
      <c r="D427" t="s">
        <v>4926</v>
      </c>
      <c r="E427">
        <v>89.314099999999996</v>
      </c>
      <c r="F427" t="s">
        <v>4927</v>
      </c>
      <c r="G427" t="s">
        <v>4928</v>
      </c>
      <c r="H427" t="s">
        <v>4929</v>
      </c>
    </row>
    <row r="428" spans="1:8" x14ac:dyDescent="0.3">
      <c r="A428" t="s">
        <v>5356</v>
      </c>
      <c r="B428" s="1">
        <v>45615</v>
      </c>
      <c r="C428" t="s">
        <v>4925</v>
      </c>
      <c r="D428" t="s">
        <v>4926</v>
      </c>
      <c r="E428">
        <v>89.236000000000004</v>
      </c>
      <c r="F428" t="s">
        <v>4927</v>
      </c>
      <c r="G428" t="s">
        <v>4928</v>
      </c>
      <c r="H428" t="s">
        <v>4929</v>
      </c>
    </row>
    <row r="429" spans="1:8" x14ac:dyDescent="0.3">
      <c r="A429" t="s">
        <v>5357</v>
      </c>
      <c r="B429" s="1">
        <v>45616</v>
      </c>
      <c r="C429" t="s">
        <v>4925</v>
      </c>
      <c r="D429" t="s">
        <v>4926</v>
      </c>
      <c r="E429">
        <v>88.8078</v>
      </c>
      <c r="F429" t="s">
        <v>4927</v>
      </c>
      <c r="G429" t="s">
        <v>4928</v>
      </c>
      <c r="H429" t="s">
        <v>4929</v>
      </c>
    </row>
    <row r="430" spans="1:8" x14ac:dyDescent="0.3">
      <c r="A430" t="s">
        <v>5358</v>
      </c>
      <c r="B430" s="1">
        <v>45617</v>
      </c>
      <c r="C430" t="s">
        <v>4925</v>
      </c>
      <c r="D430" t="s">
        <v>4926</v>
      </c>
      <c r="E430">
        <v>88.492800000000003</v>
      </c>
      <c r="F430" t="s">
        <v>4927</v>
      </c>
      <c r="G430" t="s">
        <v>4928</v>
      </c>
      <c r="H430" t="s">
        <v>4929</v>
      </c>
    </row>
    <row r="431" spans="1:8" x14ac:dyDescent="0.3">
      <c r="A431" t="s">
        <v>5359</v>
      </c>
      <c r="B431" s="1">
        <v>45618</v>
      </c>
      <c r="C431" t="s">
        <v>4925</v>
      </c>
      <c r="D431" t="s">
        <v>4926</v>
      </c>
      <c r="E431">
        <v>87.809200000000004</v>
      </c>
      <c r="F431" t="s">
        <v>4927</v>
      </c>
      <c r="G431" t="s">
        <v>4928</v>
      </c>
      <c r="H431" t="s">
        <v>4929</v>
      </c>
    </row>
    <row r="432" spans="1:8" x14ac:dyDescent="0.3">
      <c r="A432" t="s">
        <v>5360</v>
      </c>
      <c r="B432" s="1">
        <v>45621</v>
      </c>
      <c r="C432" t="s">
        <v>4925</v>
      </c>
      <c r="D432" t="s">
        <v>4926</v>
      </c>
      <c r="E432">
        <v>88.2667</v>
      </c>
      <c r="F432" t="s">
        <v>4927</v>
      </c>
      <c r="G432" t="s">
        <v>4928</v>
      </c>
      <c r="H432" t="s">
        <v>4929</v>
      </c>
    </row>
    <row r="433" spans="1:8" x14ac:dyDescent="0.3">
      <c r="A433" t="s">
        <v>5361</v>
      </c>
      <c r="B433" s="1">
        <v>45622</v>
      </c>
      <c r="C433" t="s">
        <v>4925</v>
      </c>
      <c r="D433" t="s">
        <v>4926</v>
      </c>
      <c r="E433">
        <v>88.323400000000007</v>
      </c>
      <c r="F433" t="s">
        <v>4927</v>
      </c>
      <c r="G433" t="s">
        <v>4928</v>
      </c>
      <c r="H433" t="s">
        <v>4929</v>
      </c>
    </row>
    <row r="434" spans="1:8" x14ac:dyDescent="0.3">
      <c r="A434" t="s">
        <v>5362</v>
      </c>
      <c r="B434" s="1">
        <v>45623</v>
      </c>
      <c r="C434" t="s">
        <v>4925</v>
      </c>
      <c r="D434" t="s">
        <v>4926</v>
      </c>
      <c r="E434">
        <v>89.263599999999997</v>
      </c>
      <c r="F434" t="s">
        <v>4927</v>
      </c>
      <c r="G434" t="s">
        <v>4928</v>
      </c>
      <c r="H434" t="s">
        <v>4929</v>
      </c>
    </row>
    <row r="435" spans="1:8" x14ac:dyDescent="0.3">
      <c r="A435" t="s">
        <v>5363</v>
      </c>
      <c r="B435" s="1">
        <v>45624</v>
      </c>
      <c r="C435" t="s">
        <v>4925</v>
      </c>
      <c r="D435" t="s">
        <v>4926</v>
      </c>
      <c r="E435">
        <v>89.263599999999997</v>
      </c>
      <c r="F435" t="s">
        <v>4927</v>
      </c>
      <c r="G435" t="s">
        <v>4928</v>
      </c>
      <c r="H435" t="s">
        <v>4970</v>
      </c>
    </row>
    <row r="436" spans="1:8" x14ac:dyDescent="0.3">
      <c r="A436" t="s">
        <v>5364</v>
      </c>
      <c r="B436" s="1">
        <v>45625</v>
      </c>
      <c r="C436" t="s">
        <v>4925</v>
      </c>
      <c r="D436" t="s">
        <v>4926</v>
      </c>
      <c r="E436">
        <v>89.101100000000002</v>
      </c>
      <c r="F436" t="s">
        <v>4927</v>
      </c>
      <c r="G436" t="s">
        <v>4928</v>
      </c>
      <c r="H436" t="s">
        <v>4929</v>
      </c>
    </row>
    <row r="437" spans="1:8" x14ac:dyDescent="0.3">
      <c r="A437" t="s">
        <v>5365</v>
      </c>
      <c r="B437" s="1">
        <v>45628</v>
      </c>
      <c r="C437" t="s">
        <v>4925</v>
      </c>
      <c r="D437" t="s">
        <v>4926</v>
      </c>
      <c r="E437">
        <v>88.841399999999993</v>
      </c>
      <c r="F437" t="s">
        <v>4927</v>
      </c>
      <c r="G437" t="s">
        <v>4928</v>
      </c>
      <c r="H437" t="s">
        <v>4929</v>
      </c>
    </row>
    <row r="438" spans="1:8" x14ac:dyDescent="0.3">
      <c r="A438" t="s">
        <v>5366</v>
      </c>
      <c r="B438" s="1">
        <v>45629</v>
      </c>
      <c r="C438" t="s">
        <v>4925</v>
      </c>
      <c r="D438" t="s">
        <v>4926</v>
      </c>
      <c r="E438">
        <v>89.066400000000002</v>
      </c>
      <c r="F438" t="s">
        <v>4927</v>
      </c>
      <c r="G438" t="s">
        <v>4928</v>
      </c>
      <c r="H438" t="s">
        <v>4929</v>
      </c>
    </row>
    <row r="439" spans="1:8" x14ac:dyDescent="0.3">
      <c r="A439" t="s">
        <v>5367</v>
      </c>
      <c r="B439" s="1">
        <v>45630</v>
      </c>
      <c r="C439" t="s">
        <v>4925</v>
      </c>
      <c r="D439" t="s">
        <v>4926</v>
      </c>
      <c r="E439">
        <v>89.153199999999998</v>
      </c>
      <c r="F439" t="s">
        <v>4927</v>
      </c>
      <c r="G439" t="s">
        <v>4928</v>
      </c>
      <c r="H439" t="s">
        <v>4929</v>
      </c>
    </row>
    <row r="440" spans="1:8" x14ac:dyDescent="0.3">
      <c r="A440" t="s">
        <v>5368</v>
      </c>
      <c r="B440" s="1">
        <v>45631</v>
      </c>
      <c r="C440" t="s">
        <v>4925</v>
      </c>
      <c r="D440" t="s">
        <v>4926</v>
      </c>
      <c r="E440">
        <v>89.515199999999993</v>
      </c>
      <c r="F440" t="s">
        <v>4927</v>
      </c>
      <c r="G440" t="s">
        <v>4928</v>
      </c>
      <c r="H440" t="s">
        <v>4929</v>
      </c>
    </row>
    <row r="441" spans="1:8" x14ac:dyDescent="0.3">
      <c r="A441" t="s">
        <v>5369</v>
      </c>
      <c r="B441" s="1">
        <v>45632</v>
      </c>
      <c r="C441" t="s">
        <v>4925</v>
      </c>
      <c r="D441" t="s">
        <v>4926</v>
      </c>
      <c r="E441">
        <v>89.436899999999994</v>
      </c>
      <c r="F441" t="s">
        <v>4927</v>
      </c>
      <c r="G441" t="s">
        <v>4928</v>
      </c>
      <c r="H441" t="s">
        <v>4929</v>
      </c>
    </row>
    <row r="442" spans="1:8" x14ac:dyDescent="0.3">
      <c r="A442" t="s">
        <v>5370</v>
      </c>
      <c r="B442" s="1">
        <v>45635</v>
      </c>
      <c r="C442" t="s">
        <v>4925</v>
      </c>
      <c r="D442" t="s">
        <v>4926</v>
      </c>
      <c r="E442">
        <v>89.549000000000007</v>
      </c>
      <c r="F442" t="s">
        <v>4927</v>
      </c>
      <c r="G442" t="s">
        <v>4928</v>
      </c>
      <c r="H442" t="s">
        <v>4929</v>
      </c>
    </row>
    <row r="443" spans="1:8" x14ac:dyDescent="0.3">
      <c r="A443" t="s">
        <v>5371</v>
      </c>
      <c r="B443" s="1">
        <v>45636</v>
      </c>
      <c r="C443" t="s">
        <v>4925</v>
      </c>
      <c r="D443" t="s">
        <v>4926</v>
      </c>
      <c r="E443">
        <v>89.183800000000005</v>
      </c>
      <c r="F443" t="s">
        <v>4927</v>
      </c>
      <c r="G443" t="s">
        <v>4928</v>
      </c>
      <c r="H443" t="s">
        <v>4929</v>
      </c>
    </row>
    <row r="444" spans="1:8" x14ac:dyDescent="0.3">
      <c r="A444" t="s">
        <v>5372</v>
      </c>
      <c r="B444" s="1">
        <v>45637</v>
      </c>
      <c r="C444" t="s">
        <v>4925</v>
      </c>
      <c r="D444" t="s">
        <v>4926</v>
      </c>
      <c r="E444">
        <v>89.107799999999997</v>
      </c>
      <c r="F444" t="s">
        <v>4927</v>
      </c>
      <c r="G444" t="s">
        <v>4928</v>
      </c>
      <c r="H444" t="s">
        <v>4929</v>
      </c>
    </row>
    <row r="445" spans="1:8" x14ac:dyDescent="0.3">
      <c r="A445" t="s">
        <v>5373</v>
      </c>
      <c r="B445" s="1">
        <v>45638</v>
      </c>
      <c r="C445" t="s">
        <v>4925</v>
      </c>
      <c r="D445" t="s">
        <v>4926</v>
      </c>
      <c r="E445">
        <v>89.200800000000001</v>
      </c>
      <c r="F445" t="s">
        <v>4927</v>
      </c>
      <c r="G445" t="s">
        <v>4928</v>
      </c>
      <c r="H445" t="s">
        <v>4929</v>
      </c>
    </row>
    <row r="446" spans="1:8" x14ac:dyDescent="0.3">
      <c r="A446" t="s">
        <v>5374</v>
      </c>
      <c r="B446" s="1">
        <v>45639</v>
      </c>
      <c r="C446" t="s">
        <v>4925</v>
      </c>
      <c r="D446" t="s">
        <v>4926</v>
      </c>
      <c r="E446">
        <v>89.001999999999995</v>
      </c>
      <c r="F446" t="s">
        <v>4927</v>
      </c>
      <c r="G446" t="s">
        <v>4928</v>
      </c>
      <c r="H446" t="s">
        <v>4929</v>
      </c>
    </row>
    <row r="447" spans="1:8" x14ac:dyDescent="0.3">
      <c r="A447" t="s">
        <v>5375</v>
      </c>
      <c r="B447" s="1">
        <v>45642</v>
      </c>
      <c r="C447" t="s">
        <v>4925</v>
      </c>
      <c r="D447" t="s">
        <v>4926</v>
      </c>
      <c r="E447">
        <v>89.236400000000003</v>
      </c>
      <c r="F447" t="s">
        <v>4927</v>
      </c>
      <c r="G447" t="s">
        <v>4928</v>
      </c>
      <c r="H447" t="s">
        <v>4929</v>
      </c>
    </row>
    <row r="448" spans="1:8" x14ac:dyDescent="0.3">
      <c r="A448" t="s">
        <v>5376</v>
      </c>
      <c r="B448" s="1">
        <v>45643</v>
      </c>
      <c r="C448" t="s">
        <v>4925</v>
      </c>
      <c r="D448" t="s">
        <v>4926</v>
      </c>
      <c r="E448">
        <v>89.206400000000002</v>
      </c>
      <c r="F448" t="s">
        <v>4927</v>
      </c>
      <c r="G448" t="s">
        <v>4928</v>
      </c>
      <c r="H448" t="s">
        <v>4929</v>
      </c>
    </row>
    <row r="449" spans="1:8" x14ac:dyDescent="0.3">
      <c r="A449" t="s">
        <v>5377</v>
      </c>
      <c r="B449" s="1">
        <v>45644</v>
      </c>
      <c r="C449" t="s">
        <v>4925</v>
      </c>
      <c r="D449" t="s">
        <v>4926</v>
      </c>
      <c r="E449">
        <v>88.934200000000004</v>
      </c>
      <c r="F449" t="s">
        <v>4927</v>
      </c>
      <c r="G449" t="s">
        <v>4928</v>
      </c>
      <c r="H449" t="s">
        <v>4929</v>
      </c>
    </row>
    <row r="450" spans="1:8" x14ac:dyDescent="0.3">
      <c r="A450" t="s">
        <v>5378</v>
      </c>
      <c r="B450" s="1">
        <v>45645</v>
      </c>
      <c r="C450" t="s">
        <v>4925</v>
      </c>
      <c r="D450" t="s">
        <v>4926</v>
      </c>
      <c r="E450">
        <v>88.127700000000004</v>
      </c>
      <c r="F450" t="s">
        <v>4927</v>
      </c>
      <c r="G450" t="s">
        <v>4928</v>
      </c>
      <c r="H450" t="s">
        <v>4929</v>
      </c>
    </row>
    <row r="451" spans="1:8" x14ac:dyDescent="0.3">
      <c r="A451" t="s">
        <v>5379</v>
      </c>
      <c r="B451" s="1">
        <v>45646</v>
      </c>
      <c r="C451" t="s">
        <v>4925</v>
      </c>
      <c r="D451" t="s">
        <v>4926</v>
      </c>
      <c r="E451">
        <v>88.675899999999999</v>
      </c>
      <c r="F451" t="s">
        <v>4927</v>
      </c>
      <c r="G451" t="s">
        <v>4928</v>
      </c>
      <c r="H451" t="s">
        <v>4929</v>
      </c>
    </row>
    <row r="452" spans="1:8" x14ac:dyDescent="0.3">
      <c r="A452" t="s">
        <v>5380</v>
      </c>
      <c r="B452" s="1">
        <v>45649</v>
      </c>
      <c r="C452" t="s">
        <v>4925</v>
      </c>
      <c r="D452" t="s">
        <v>4926</v>
      </c>
      <c r="E452">
        <v>88.580600000000004</v>
      </c>
      <c r="F452" t="s">
        <v>4927</v>
      </c>
      <c r="G452" t="s">
        <v>4928</v>
      </c>
      <c r="H452" t="s">
        <v>4929</v>
      </c>
    </row>
    <row r="453" spans="1:8" x14ac:dyDescent="0.3">
      <c r="A453" t="s">
        <v>5381</v>
      </c>
      <c r="B453" s="1">
        <v>45650</v>
      </c>
      <c r="C453" t="s">
        <v>4925</v>
      </c>
      <c r="D453" t="s">
        <v>4926</v>
      </c>
      <c r="E453">
        <v>88.443399999999997</v>
      </c>
      <c r="F453" t="s">
        <v>4927</v>
      </c>
      <c r="G453" t="s">
        <v>4928</v>
      </c>
      <c r="H453" t="s">
        <v>4929</v>
      </c>
    </row>
    <row r="454" spans="1:8" x14ac:dyDescent="0.3">
      <c r="A454" t="s">
        <v>5382</v>
      </c>
      <c r="B454" s="1">
        <v>45651</v>
      </c>
      <c r="C454" t="s">
        <v>4925</v>
      </c>
      <c r="D454" t="s">
        <v>4926</v>
      </c>
      <c r="E454">
        <v>88.443399999999997</v>
      </c>
      <c r="F454" t="s">
        <v>4927</v>
      </c>
      <c r="G454" t="s">
        <v>4928</v>
      </c>
      <c r="H454" t="s">
        <v>4970</v>
      </c>
    </row>
    <row r="455" spans="1:8" x14ac:dyDescent="0.3">
      <c r="A455" t="s">
        <v>5383</v>
      </c>
      <c r="B455" s="1">
        <v>45652</v>
      </c>
      <c r="C455" t="s">
        <v>4925</v>
      </c>
      <c r="D455" t="s">
        <v>4926</v>
      </c>
      <c r="E455">
        <v>88.856099999999998</v>
      </c>
      <c r="F455" t="s">
        <v>4927</v>
      </c>
      <c r="G455" t="s">
        <v>4928</v>
      </c>
      <c r="H455" t="s">
        <v>4929</v>
      </c>
    </row>
    <row r="456" spans="1:8" x14ac:dyDescent="0.3">
      <c r="A456" t="s">
        <v>5384</v>
      </c>
      <c r="B456" s="1">
        <v>45653</v>
      </c>
      <c r="C456" t="s">
        <v>4925</v>
      </c>
      <c r="D456" t="s">
        <v>4926</v>
      </c>
      <c r="E456">
        <v>89.147900000000007</v>
      </c>
      <c r="F456" t="s">
        <v>4927</v>
      </c>
      <c r="G456" t="s">
        <v>4928</v>
      </c>
      <c r="H456" t="s">
        <v>4929</v>
      </c>
    </row>
    <row r="457" spans="1:8" x14ac:dyDescent="0.3">
      <c r="A457" t="s">
        <v>5385</v>
      </c>
      <c r="B457" s="1">
        <v>45656</v>
      </c>
      <c r="C457" t="s">
        <v>4925</v>
      </c>
      <c r="D457" t="s">
        <v>4926</v>
      </c>
      <c r="E457">
        <v>88.769099999999995</v>
      </c>
      <c r="F457" t="s">
        <v>4927</v>
      </c>
      <c r="G457" t="s">
        <v>4928</v>
      </c>
      <c r="H457" t="s">
        <v>4929</v>
      </c>
    </row>
    <row r="458" spans="1:8" x14ac:dyDescent="0.3">
      <c r="A458" t="s">
        <v>5386</v>
      </c>
      <c r="B458" s="1">
        <v>45657</v>
      </c>
      <c r="C458" t="s">
        <v>4925</v>
      </c>
      <c r="D458" t="s">
        <v>4926</v>
      </c>
      <c r="E458">
        <v>88.552800000000005</v>
      </c>
      <c r="F458" t="s">
        <v>4927</v>
      </c>
      <c r="G458" t="s">
        <v>4928</v>
      </c>
      <c r="H458" t="s">
        <v>4929</v>
      </c>
    </row>
    <row r="459" spans="1:8" x14ac:dyDescent="0.3">
      <c r="A459" t="s">
        <v>5387</v>
      </c>
      <c r="B459" s="1">
        <v>45658</v>
      </c>
      <c r="C459" t="s">
        <v>4925</v>
      </c>
      <c r="D459" t="s">
        <v>4926</v>
      </c>
      <c r="E459">
        <v>88.552800000000005</v>
      </c>
      <c r="F459" t="s">
        <v>4927</v>
      </c>
      <c r="G459" t="s">
        <v>4928</v>
      </c>
      <c r="H459" t="s">
        <v>4970</v>
      </c>
    </row>
    <row r="460" spans="1:8" x14ac:dyDescent="0.3">
      <c r="A460" t="s">
        <v>5388</v>
      </c>
      <c r="B460" s="1">
        <v>45659</v>
      </c>
      <c r="C460" t="s">
        <v>4925</v>
      </c>
      <c r="D460" t="s">
        <v>4926</v>
      </c>
      <c r="E460">
        <v>87.988100000000003</v>
      </c>
      <c r="F460" t="s">
        <v>4927</v>
      </c>
      <c r="G460" t="s">
        <v>4928</v>
      </c>
      <c r="H460" t="s">
        <v>4929</v>
      </c>
    </row>
    <row r="461" spans="1:8" x14ac:dyDescent="0.3">
      <c r="A461" t="s">
        <v>5389</v>
      </c>
      <c r="B461" s="1">
        <v>45660</v>
      </c>
      <c r="C461" t="s">
        <v>4925</v>
      </c>
      <c r="D461" t="s">
        <v>4926</v>
      </c>
      <c r="E461">
        <v>88.253900000000002</v>
      </c>
      <c r="F461" t="s">
        <v>4927</v>
      </c>
      <c r="G461" t="s">
        <v>4928</v>
      </c>
      <c r="H461" t="s">
        <v>4929</v>
      </c>
    </row>
    <row r="462" spans="1:8" x14ac:dyDescent="0.3">
      <c r="A462" t="s">
        <v>5390</v>
      </c>
      <c r="B462" s="1">
        <v>45663</v>
      </c>
      <c r="C462" t="s">
        <v>4925</v>
      </c>
      <c r="D462" t="s">
        <v>4926</v>
      </c>
      <c r="E462">
        <v>89.1023</v>
      </c>
      <c r="F462" t="s">
        <v>4927</v>
      </c>
      <c r="G462" t="s">
        <v>4928</v>
      </c>
      <c r="H462" t="s">
        <v>4929</v>
      </c>
    </row>
    <row r="463" spans="1:8" x14ac:dyDescent="0.3">
      <c r="A463" t="s">
        <v>5391</v>
      </c>
      <c r="B463" s="1">
        <v>45664</v>
      </c>
      <c r="C463" t="s">
        <v>4925</v>
      </c>
      <c r="D463" t="s">
        <v>4926</v>
      </c>
      <c r="E463">
        <v>88.903800000000004</v>
      </c>
      <c r="F463" t="s">
        <v>4927</v>
      </c>
      <c r="G463" t="s">
        <v>4928</v>
      </c>
      <c r="H463" t="s">
        <v>4929</v>
      </c>
    </row>
    <row r="464" spans="1:8" x14ac:dyDescent="0.3">
      <c r="A464" t="s">
        <v>5392</v>
      </c>
      <c r="B464" s="1">
        <v>45665</v>
      </c>
      <c r="C464" t="s">
        <v>4925</v>
      </c>
      <c r="D464" t="s">
        <v>4926</v>
      </c>
      <c r="E464">
        <v>88.578400000000002</v>
      </c>
      <c r="F464" t="s">
        <v>4927</v>
      </c>
      <c r="G464" t="s">
        <v>4928</v>
      </c>
      <c r="H464" t="s">
        <v>4929</v>
      </c>
    </row>
    <row r="465" spans="1:8" x14ac:dyDescent="0.3">
      <c r="A465" t="s">
        <v>5393</v>
      </c>
      <c r="B465" s="1">
        <v>45666</v>
      </c>
      <c r="C465" t="s">
        <v>4925</v>
      </c>
      <c r="D465" t="s">
        <v>4926</v>
      </c>
      <c r="E465">
        <v>88.428899999999999</v>
      </c>
      <c r="F465" t="s">
        <v>4927</v>
      </c>
      <c r="G465" t="s">
        <v>4928</v>
      </c>
      <c r="H465" t="s">
        <v>4929</v>
      </c>
    </row>
    <row r="466" spans="1:8" x14ac:dyDescent="0.3">
      <c r="A466" t="s">
        <v>5394</v>
      </c>
      <c r="B466" s="1">
        <v>45667</v>
      </c>
      <c r="C466" t="s">
        <v>4925</v>
      </c>
      <c r="D466" t="s">
        <v>4926</v>
      </c>
      <c r="E466">
        <v>88.005799999999994</v>
      </c>
      <c r="F466" t="s">
        <v>4927</v>
      </c>
      <c r="G466" t="s">
        <v>4928</v>
      </c>
      <c r="H466" t="s">
        <v>4929</v>
      </c>
    </row>
    <row r="467" spans="1:8" x14ac:dyDescent="0.3">
      <c r="A467" t="s">
        <v>5395</v>
      </c>
      <c r="B467" s="1">
        <v>45670</v>
      </c>
      <c r="C467" t="s">
        <v>4925</v>
      </c>
      <c r="D467" t="s">
        <v>4926</v>
      </c>
      <c r="E467">
        <v>88.501800000000003</v>
      </c>
      <c r="F467" t="s">
        <v>4927</v>
      </c>
      <c r="G467" t="s">
        <v>4928</v>
      </c>
      <c r="H467" t="s">
        <v>4929</v>
      </c>
    </row>
    <row r="468" spans="1:8" x14ac:dyDescent="0.3">
      <c r="A468" t="s">
        <v>5396</v>
      </c>
      <c r="B468" s="1">
        <v>45671</v>
      </c>
      <c r="C468" t="s">
        <v>4925</v>
      </c>
      <c r="D468" t="s">
        <v>4926</v>
      </c>
      <c r="E468">
        <v>89.159599999999998</v>
      </c>
      <c r="F468" t="s">
        <v>4927</v>
      </c>
      <c r="G468" t="s">
        <v>4928</v>
      </c>
      <c r="H468" t="s">
        <v>4929</v>
      </c>
    </row>
    <row r="469" spans="1:8" x14ac:dyDescent="0.3">
      <c r="A469" t="s">
        <v>5397</v>
      </c>
      <c r="B469" s="1">
        <v>45672</v>
      </c>
      <c r="C469" t="s">
        <v>4925</v>
      </c>
      <c r="D469" t="s">
        <v>4926</v>
      </c>
      <c r="E469">
        <v>88.805599999999998</v>
      </c>
      <c r="F469" t="s">
        <v>4927</v>
      </c>
      <c r="G469" t="s">
        <v>4928</v>
      </c>
      <c r="H469" t="s">
        <v>4929</v>
      </c>
    </row>
    <row r="470" spans="1:8" x14ac:dyDescent="0.3">
      <c r="A470" t="s">
        <v>5398</v>
      </c>
      <c r="B470" s="1">
        <v>45673</v>
      </c>
      <c r="C470" t="s">
        <v>4925</v>
      </c>
      <c r="D470" t="s">
        <v>4926</v>
      </c>
      <c r="E470">
        <v>89.193100000000001</v>
      </c>
      <c r="F470" t="s">
        <v>4927</v>
      </c>
      <c r="G470" t="s">
        <v>4928</v>
      </c>
      <c r="H470" t="s">
        <v>4929</v>
      </c>
    </row>
    <row r="471" spans="1:8" x14ac:dyDescent="0.3">
      <c r="A471" t="s">
        <v>5399</v>
      </c>
      <c r="B471" s="1">
        <v>45674</v>
      </c>
      <c r="C471" t="s">
        <v>4925</v>
      </c>
      <c r="D471" t="s">
        <v>4926</v>
      </c>
      <c r="E471">
        <v>89.034000000000006</v>
      </c>
      <c r="F471" t="s">
        <v>4927</v>
      </c>
      <c r="G471" t="s">
        <v>4928</v>
      </c>
      <c r="H471" t="s">
        <v>4929</v>
      </c>
    </row>
    <row r="472" spans="1:8" x14ac:dyDescent="0.3">
      <c r="A472" t="s">
        <v>5400</v>
      </c>
      <c r="B472" s="1">
        <v>45677</v>
      </c>
      <c r="C472" t="s">
        <v>4925</v>
      </c>
      <c r="D472" t="s">
        <v>4926</v>
      </c>
      <c r="E472">
        <v>89.034000000000006</v>
      </c>
      <c r="F472" t="s">
        <v>4927</v>
      </c>
      <c r="G472" t="s">
        <v>4928</v>
      </c>
      <c r="H472" t="s">
        <v>4970</v>
      </c>
    </row>
    <row r="473" spans="1:8" x14ac:dyDescent="0.3">
      <c r="A473" t="s">
        <v>5401</v>
      </c>
      <c r="B473" s="1">
        <v>45678</v>
      </c>
      <c r="C473" t="s">
        <v>4925</v>
      </c>
      <c r="D473" t="s">
        <v>4926</v>
      </c>
      <c r="E473">
        <v>90.2423</v>
      </c>
      <c r="F473" t="s">
        <v>4927</v>
      </c>
      <c r="G473" t="s">
        <v>4928</v>
      </c>
      <c r="H473" t="s">
        <v>4929</v>
      </c>
    </row>
    <row r="474" spans="1:8" x14ac:dyDescent="0.3">
      <c r="A474" t="s">
        <v>5402</v>
      </c>
      <c r="B474" s="1">
        <v>45679</v>
      </c>
      <c r="C474" t="s">
        <v>4925</v>
      </c>
      <c r="D474" t="s">
        <v>4926</v>
      </c>
      <c r="E474">
        <v>89.966300000000004</v>
      </c>
      <c r="F474" t="s">
        <v>4927</v>
      </c>
      <c r="G474" t="s">
        <v>4928</v>
      </c>
      <c r="H474" t="s">
        <v>4929</v>
      </c>
    </row>
    <row r="475" spans="1:8" x14ac:dyDescent="0.3">
      <c r="A475" t="s">
        <v>5403</v>
      </c>
      <c r="B475" s="1">
        <v>45680</v>
      </c>
      <c r="C475" t="s">
        <v>4925</v>
      </c>
      <c r="D475" t="s">
        <v>4926</v>
      </c>
      <c r="E475">
        <v>90.049599999999998</v>
      </c>
      <c r="F475" t="s">
        <v>4927</v>
      </c>
      <c r="G475" t="s">
        <v>4928</v>
      </c>
      <c r="H475" t="s">
        <v>4929</v>
      </c>
    </row>
    <row r="476" spans="1:8" x14ac:dyDescent="0.3">
      <c r="A476" t="s">
        <v>5404</v>
      </c>
      <c r="B476" s="1">
        <v>45681</v>
      </c>
      <c r="C476" t="s">
        <v>4925</v>
      </c>
      <c r="D476" t="s">
        <v>4926</v>
      </c>
      <c r="E476">
        <v>90.639300000000006</v>
      </c>
      <c r="F476" t="s">
        <v>4927</v>
      </c>
      <c r="G476" t="s">
        <v>4928</v>
      </c>
      <c r="H476" t="s">
        <v>4929</v>
      </c>
    </row>
    <row r="477" spans="1:8" x14ac:dyDescent="0.3">
      <c r="A477" t="s">
        <v>5405</v>
      </c>
      <c r="B477" s="1">
        <v>45684</v>
      </c>
      <c r="C477" t="s">
        <v>4925</v>
      </c>
      <c r="D477" t="s">
        <v>4926</v>
      </c>
      <c r="E477">
        <v>90.587900000000005</v>
      </c>
      <c r="F477" t="s">
        <v>4927</v>
      </c>
      <c r="G477" t="s">
        <v>4928</v>
      </c>
      <c r="H477" t="s">
        <v>4929</v>
      </c>
    </row>
    <row r="478" spans="1:8" x14ac:dyDescent="0.3">
      <c r="A478" t="s">
        <v>5406</v>
      </c>
      <c r="B478" s="1">
        <v>45685</v>
      </c>
      <c r="C478" t="s">
        <v>4925</v>
      </c>
      <c r="D478" t="s">
        <v>4926</v>
      </c>
      <c r="E478">
        <v>90.214399999999998</v>
      </c>
      <c r="F478" t="s">
        <v>4927</v>
      </c>
      <c r="G478" t="s">
        <v>4928</v>
      </c>
      <c r="H478" t="s">
        <v>4929</v>
      </c>
    </row>
    <row r="479" spans="1:8" x14ac:dyDescent="0.3">
      <c r="A479" t="s">
        <v>5407</v>
      </c>
      <c r="B479" s="1">
        <v>45686</v>
      </c>
      <c r="C479" t="s">
        <v>4925</v>
      </c>
      <c r="D479" t="s">
        <v>4926</v>
      </c>
      <c r="E479">
        <v>90.212999999999994</v>
      </c>
      <c r="F479" t="s">
        <v>4927</v>
      </c>
      <c r="G479" t="s">
        <v>4928</v>
      </c>
      <c r="H479" t="s">
        <v>4929</v>
      </c>
    </row>
    <row r="480" spans="1:8" x14ac:dyDescent="0.3">
      <c r="A480" t="s">
        <v>5408</v>
      </c>
      <c r="B480" s="1">
        <v>45687</v>
      </c>
      <c r="C480" t="s">
        <v>4925</v>
      </c>
      <c r="D480" t="s">
        <v>4926</v>
      </c>
      <c r="E480">
        <v>90.185100000000006</v>
      </c>
      <c r="F480" t="s">
        <v>4927</v>
      </c>
      <c r="G480" t="s">
        <v>4928</v>
      </c>
      <c r="H480" t="s">
        <v>4929</v>
      </c>
    </row>
    <row r="481" spans="1:8" x14ac:dyDescent="0.3">
      <c r="A481" t="s">
        <v>5409</v>
      </c>
      <c r="B481" s="1">
        <v>45688</v>
      </c>
      <c r="C481" t="s">
        <v>4925</v>
      </c>
      <c r="D481" t="s">
        <v>4926</v>
      </c>
      <c r="E481">
        <v>90.001599999999996</v>
      </c>
      <c r="F481" t="s">
        <v>4927</v>
      </c>
      <c r="G481" t="s">
        <v>4928</v>
      </c>
      <c r="H481" t="s">
        <v>4929</v>
      </c>
    </row>
    <row r="482" spans="1:8" x14ac:dyDescent="0.3">
      <c r="A482" t="s">
        <v>5410</v>
      </c>
      <c r="B482" s="1">
        <v>45691</v>
      </c>
      <c r="C482" t="s">
        <v>4925</v>
      </c>
      <c r="D482" t="s">
        <v>4926</v>
      </c>
      <c r="E482">
        <v>89.605199999999996</v>
      </c>
      <c r="F482" t="s">
        <v>4927</v>
      </c>
      <c r="G482" t="s">
        <v>4928</v>
      </c>
      <c r="H482" t="s">
        <v>4929</v>
      </c>
    </row>
    <row r="483" spans="1:8" x14ac:dyDescent="0.3">
      <c r="A483" t="s">
        <v>5411</v>
      </c>
      <c r="B483" s="1">
        <v>45692</v>
      </c>
      <c r="C483" t="s">
        <v>4925</v>
      </c>
      <c r="D483" t="s">
        <v>4926</v>
      </c>
      <c r="E483">
        <v>90.3596</v>
      </c>
      <c r="F483" t="s">
        <v>4927</v>
      </c>
      <c r="G483" t="s">
        <v>4928</v>
      </c>
      <c r="H483" t="s">
        <v>4929</v>
      </c>
    </row>
    <row r="484" spans="1:8" x14ac:dyDescent="0.3">
      <c r="A484" t="s">
        <v>5412</v>
      </c>
      <c r="B484" s="1">
        <v>45693</v>
      </c>
      <c r="C484" t="s">
        <v>4925</v>
      </c>
      <c r="D484" t="s">
        <v>4926</v>
      </c>
      <c r="E484">
        <v>90.728700000000003</v>
      </c>
      <c r="F484" t="s">
        <v>4927</v>
      </c>
      <c r="G484" t="s">
        <v>4928</v>
      </c>
      <c r="H484" t="s">
        <v>4929</v>
      </c>
    </row>
    <row r="485" spans="1:8" x14ac:dyDescent="0.3">
      <c r="A485" t="s">
        <v>5413</v>
      </c>
      <c r="B485" s="1">
        <v>45694</v>
      </c>
      <c r="C485" t="s">
        <v>4925</v>
      </c>
      <c r="D485" t="s">
        <v>4926</v>
      </c>
      <c r="E485">
        <v>90.792599999999993</v>
      </c>
      <c r="F485" t="s">
        <v>4927</v>
      </c>
      <c r="G485" t="s">
        <v>4928</v>
      </c>
      <c r="H485" t="s">
        <v>4929</v>
      </c>
    </row>
    <row r="486" spans="1:8" x14ac:dyDescent="0.3">
      <c r="A486" t="s">
        <v>5414</v>
      </c>
      <c r="B486" s="1">
        <v>45695</v>
      </c>
      <c r="C486" t="s">
        <v>4925</v>
      </c>
      <c r="D486" t="s">
        <v>4926</v>
      </c>
      <c r="E486">
        <v>90.306399999999996</v>
      </c>
      <c r="F486" t="s">
        <v>4927</v>
      </c>
      <c r="G486" t="s">
        <v>4928</v>
      </c>
      <c r="H486" t="s">
        <v>4929</v>
      </c>
    </row>
    <row r="487" spans="1:8" x14ac:dyDescent="0.3">
      <c r="A487" t="s">
        <v>5415</v>
      </c>
      <c r="B487" s="1">
        <v>45698</v>
      </c>
      <c r="C487" t="s">
        <v>4925</v>
      </c>
      <c r="D487" t="s">
        <v>4926</v>
      </c>
      <c r="E487">
        <v>90.178399999999996</v>
      </c>
      <c r="F487" t="s">
        <v>4927</v>
      </c>
      <c r="G487" t="s">
        <v>4928</v>
      </c>
      <c r="H487" t="s">
        <v>4929</v>
      </c>
    </row>
    <row r="488" spans="1:8" x14ac:dyDescent="0.3">
      <c r="A488" t="s">
        <v>5416</v>
      </c>
      <c r="B488" s="1">
        <v>45699</v>
      </c>
      <c r="C488" t="s">
        <v>4925</v>
      </c>
      <c r="D488" t="s">
        <v>4926</v>
      </c>
      <c r="E488">
        <v>89.761899999999997</v>
      </c>
      <c r="F488" t="s">
        <v>4927</v>
      </c>
      <c r="G488" t="s">
        <v>4928</v>
      </c>
      <c r="H488" t="s">
        <v>4929</v>
      </c>
    </row>
    <row r="489" spans="1:8" x14ac:dyDescent="0.3">
      <c r="A489" t="s">
        <v>5417</v>
      </c>
      <c r="B489" s="1">
        <v>45700</v>
      </c>
      <c r="C489" t="s">
        <v>4925</v>
      </c>
      <c r="D489" t="s">
        <v>4926</v>
      </c>
      <c r="E489">
        <v>90.3065</v>
      </c>
      <c r="F489" t="s">
        <v>4927</v>
      </c>
      <c r="G489" t="s">
        <v>4928</v>
      </c>
      <c r="H489" t="s">
        <v>4929</v>
      </c>
    </row>
    <row r="490" spans="1:8" x14ac:dyDescent="0.3">
      <c r="A490" t="s">
        <v>5418</v>
      </c>
      <c r="B490" s="1">
        <v>45701</v>
      </c>
      <c r="C490" t="s">
        <v>4925</v>
      </c>
      <c r="D490" t="s">
        <v>4926</v>
      </c>
      <c r="E490">
        <v>90.608900000000006</v>
      </c>
      <c r="F490" t="s">
        <v>4927</v>
      </c>
      <c r="G490" t="s">
        <v>4928</v>
      </c>
      <c r="H490" t="s">
        <v>4929</v>
      </c>
    </row>
    <row r="491" spans="1:8" x14ac:dyDescent="0.3">
      <c r="A491" t="s">
        <v>5419</v>
      </c>
      <c r="B491" s="1">
        <v>45702</v>
      </c>
      <c r="C491" t="s">
        <v>4925</v>
      </c>
      <c r="D491" t="s">
        <v>4926</v>
      </c>
      <c r="E491">
        <v>91.143600000000006</v>
      </c>
      <c r="F491" t="s">
        <v>4927</v>
      </c>
      <c r="G491" t="s">
        <v>4928</v>
      </c>
      <c r="H491" t="s">
        <v>4929</v>
      </c>
    </row>
    <row r="492" spans="1:8" x14ac:dyDescent="0.3">
      <c r="A492" t="s">
        <v>5420</v>
      </c>
      <c r="B492" s="1">
        <v>45705</v>
      </c>
      <c r="C492" t="s">
        <v>4925</v>
      </c>
      <c r="D492" t="s">
        <v>4926</v>
      </c>
      <c r="E492">
        <v>91.143600000000006</v>
      </c>
      <c r="F492" t="s">
        <v>4927</v>
      </c>
      <c r="G492" t="s">
        <v>4928</v>
      </c>
      <c r="H492" t="s">
        <v>4970</v>
      </c>
    </row>
    <row r="493" spans="1:8" x14ac:dyDescent="0.3">
      <c r="A493" t="s">
        <v>5421</v>
      </c>
      <c r="B493" s="1">
        <v>45706</v>
      </c>
      <c r="C493" t="s">
        <v>4925</v>
      </c>
      <c r="D493" t="s">
        <v>4926</v>
      </c>
      <c r="E493">
        <v>90.934100000000001</v>
      </c>
      <c r="F493" t="s">
        <v>4927</v>
      </c>
      <c r="G493" t="s">
        <v>4928</v>
      </c>
      <c r="H493" t="s">
        <v>4929</v>
      </c>
    </row>
    <row r="494" spans="1:8" x14ac:dyDescent="0.3">
      <c r="A494" t="s">
        <v>5422</v>
      </c>
      <c r="B494" s="1">
        <v>45707</v>
      </c>
      <c r="C494" t="s">
        <v>4925</v>
      </c>
      <c r="D494" t="s">
        <v>4926</v>
      </c>
      <c r="E494">
        <v>90.490600000000001</v>
      </c>
      <c r="F494" t="s">
        <v>4927</v>
      </c>
      <c r="G494" t="s">
        <v>4928</v>
      </c>
      <c r="H494" t="s">
        <v>4929</v>
      </c>
    </row>
    <row r="495" spans="1:8" x14ac:dyDescent="0.3">
      <c r="A495" t="s">
        <v>5423</v>
      </c>
      <c r="B495" s="1">
        <v>45708</v>
      </c>
      <c r="C495" t="s">
        <v>4925</v>
      </c>
      <c r="D495" t="s">
        <v>4926</v>
      </c>
      <c r="E495">
        <v>90.765900000000002</v>
      </c>
      <c r="F495" t="s">
        <v>4927</v>
      </c>
      <c r="G495" t="s">
        <v>4928</v>
      </c>
      <c r="H495" t="s">
        <v>4929</v>
      </c>
    </row>
    <row r="496" spans="1:8" x14ac:dyDescent="0.3">
      <c r="A496" t="s">
        <v>5424</v>
      </c>
      <c r="B496" s="1">
        <v>45709</v>
      </c>
      <c r="C496" t="s">
        <v>4925</v>
      </c>
      <c r="D496" t="s">
        <v>4926</v>
      </c>
      <c r="E496">
        <v>90.644800000000004</v>
      </c>
      <c r="F496" t="s">
        <v>4927</v>
      </c>
      <c r="G496" t="s">
        <v>4928</v>
      </c>
      <c r="H496" t="s">
        <v>4929</v>
      </c>
    </row>
    <row r="497" spans="1:8" x14ac:dyDescent="0.3">
      <c r="A497" t="s">
        <v>5425</v>
      </c>
      <c r="B497" s="1">
        <v>45712</v>
      </c>
      <c r="C497" t="s">
        <v>4925</v>
      </c>
      <c r="D497" t="s">
        <v>4926</v>
      </c>
      <c r="E497">
        <v>90.865200000000002</v>
      </c>
      <c r="F497" t="s">
        <v>4927</v>
      </c>
      <c r="G497" t="s">
        <v>4928</v>
      </c>
      <c r="H497" t="s">
        <v>4929</v>
      </c>
    </row>
    <row r="498" spans="1:8" x14ac:dyDescent="0.3">
      <c r="A498" t="s">
        <v>5426</v>
      </c>
      <c r="B498" s="1">
        <v>45713</v>
      </c>
      <c r="C498" t="s">
        <v>4925</v>
      </c>
      <c r="D498" t="s">
        <v>4926</v>
      </c>
      <c r="E498">
        <v>91.542599999999993</v>
      </c>
      <c r="F498" t="s">
        <v>4927</v>
      </c>
      <c r="G498" t="s">
        <v>4928</v>
      </c>
      <c r="H498" t="s">
        <v>4929</v>
      </c>
    </row>
    <row r="499" spans="1:8" x14ac:dyDescent="0.3">
      <c r="A499" t="s">
        <v>5427</v>
      </c>
      <c r="B499" s="1">
        <v>45714</v>
      </c>
      <c r="C499" t="s">
        <v>4925</v>
      </c>
      <c r="D499" t="s">
        <v>4926</v>
      </c>
      <c r="E499">
        <v>91.682100000000005</v>
      </c>
      <c r="F499" t="s">
        <v>4927</v>
      </c>
      <c r="G499" t="s">
        <v>4928</v>
      </c>
      <c r="H499" t="s">
        <v>4929</v>
      </c>
    </row>
    <row r="500" spans="1:8" x14ac:dyDescent="0.3">
      <c r="A500" t="s">
        <v>5428</v>
      </c>
      <c r="B500" s="1">
        <v>45715</v>
      </c>
      <c r="C500" t="s">
        <v>4925</v>
      </c>
      <c r="D500" t="s">
        <v>4926</v>
      </c>
      <c r="E500">
        <v>90.778800000000004</v>
      </c>
      <c r="F500" t="s">
        <v>4927</v>
      </c>
      <c r="G500" t="s">
        <v>4928</v>
      </c>
      <c r="H500" t="s">
        <v>4929</v>
      </c>
    </row>
    <row r="501" spans="1:8" x14ac:dyDescent="0.3">
      <c r="A501" t="s">
        <v>5429</v>
      </c>
      <c r="B501" s="1">
        <v>45716</v>
      </c>
      <c r="C501" t="s">
        <v>4925</v>
      </c>
      <c r="D501" t="s">
        <v>4926</v>
      </c>
      <c r="E501">
        <v>91.017499999999998</v>
      </c>
      <c r="F501" t="s">
        <v>4927</v>
      </c>
      <c r="G501" t="s">
        <v>4928</v>
      </c>
      <c r="H501" t="s">
        <v>4929</v>
      </c>
    </row>
    <row r="502" spans="1:8" x14ac:dyDescent="0.3">
      <c r="A502" t="s">
        <v>5430</v>
      </c>
      <c r="B502" s="1">
        <v>45719</v>
      </c>
      <c r="C502" t="s">
        <v>4925</v>
      </c>
      <c r="D502" t="s">
        <v>4926</v>
      </c>
      <c r="E502">
        <v>91.682599999999994</v>
      </c>
      <c r="F502" t="s">
        <v>4927</v>
      </c>
      <c r="G502" t="s">
        <v>4928</v>
      </c>
      <c r="H502" t="s">
        <v>4929</v>
      </c>
    </row>
    <row r="503" spans="1:8" x14ac:dyDescent="0.3">
      <c r="A503" t="s">
        <v>5431</v>
      </c>
      <c r="B503" s="1">
        <v>45720</v>
      </c>
      <c r="C503" t="s">
        <v>4925</v>
      </c>
      <c r="D503" t="s">
        <v>4926</v>
      </c>
      <c r="E503">
        <v>91.919700000000006</v>
      </c>
      <c r="F503" t="s">
        <v>4927</v>
      </c>
      <c r="G503" t="s">
        <v>4928</v>
      </c>
      <c r="H503" t="s">
        <v>4929</v>
      </c>
    </row>
    <row r="504" spans="1:8" x14ac:dyDescent="0.3">
      <c r="A504" t="s">
        <v>5432</v>
      </c>
      <c r="B504" s="1">
        <v>45721</v>
      </c>
      <c r="C504" t="s">
        <v>4925</v>
      </c>
      <c r="D504" t="s">
        <v>4926</v>
      </c>
      <c r="E504">
        <v>93.627799999999993</v>
      </c>
      <c r="F504" t="s">
        <v>4927</v>
      </c>
      <c r="G504" t="s">
        <v>4928</v>
      </c>
      <c r="H504" t="s">
        <v>4929</v>
      </c>
    </row>
    <row r="505" spans="1:8" x14ac:dyDescent="0.3">
      <c r="A505" t="s">
        <v>5433</v>
      </c>
      <c r="B505" s="1">
        <v>45722</v>
      </c>
      <c r="C505" t="s">
        <v>4925</v>
      </c>
      <c r="D505" t="s">
        <v>4926</v>
      </c>
      <c r="E505">
        <v>94.235600000000005</v>
      </c>
      <c r="F505" t="s">
        <v>4927</v>
      </c>
      <c r="G505" t="s">
        <v>4928</v>
      </c>
      <c r="H505" t="s">
        <v>4929</v>
      </c>
    </row>
    <row r="506" spans="1:8" x14ac:dyDescent="0.3">
      <c r="A506" t="s">
        <v>5434</v>
      </c>
      <c r="B506" s="1">
        <v>45723</v>
      </c>
      <c r="C506" t="s">
        <v>4925</v>
      </c>
      <c r="D506" t="s">
        <v>4926</v>
      </c>
      <c r="E506">
        <v>94.343000000000004</v>
      </c>
      <c r="F506" t="s">
        <v>4927</v>
      </c>
      <c r="G506" t="s">
        <v>4928</v>
      </c>
      <c r="H506" t="s">
        <v>4929</v>
      </c>
    </row>
    <row r="507" spans="1:8" x14ac:dyDescent="0.3">
      <c r="A507" t="s">
        <v>5435</v>
      </c>
      <c r="B507" s="1">
        <v>45726</v>
      </c>
      <c r="C507" t="s">
        <v>4925</v>
      </c>
      <c r="D507" t="s">
        <v>4926</v>
      </c>
      <c r="E507">
        <v>94.5745</v>
      </c>
      <c r="F507" t="s">
        <v>4927</v>
      </c>
      <c r="G507" t="s">
        <v>4928</v>
      </c>
      <c r="H507" t="s">
        <v>4929</v>
      </c>
    </row>
    <row r="508" spans="1:8" x14ac:dyDescent="0.3">
      <c r="A508" t="s">
        <v>5436</v>
      </c>
      <c r="B508" s="1">
        <v>45727</v>
      </c>
      <c r="C508" t="s">
        <v>4925</v>
      </c>
      <c r="D508" t="s">
        <v>4926</v>
      </c>
      <c r="E508">
        <v>95.239699999999999</v>
      </c>
      <c r="F508" t="s">
        <v>4927</v>
      </c>
      <c r="G508" t="s">
        <v>4928</v>
      </c>
      <c r="H508" t="s">
        <v>4929</v>
      </c>
    </row>
    <row r="509" spans="1:8" x14ac:dyDescent="0.3">
      <c r="A509" t="s">
        <v>5437</v>
      </c>
      <c r="B509" s="1">
        <v>45728</v>
      </c>
      <c r="C509" t="s">
        <v>4925</v>
      </c>
      <c r="D509" t="s">
        <v>4926</v>
      </c>
      <c r="E509">
        <v>95.222300000000004</v>
      </c>
      <c r="F509" t="s">
        <v>4927</v>
      </c>
      <c r="G509" t="s">
        <v>4928</v>
      </c>
      <c r="H509" t="s">
        <v>4929</v>
      </c>
    </row>
    <row r="510" spans="1:8" x14ac:dyDescent="0.3">
      <c r="A510" t="s">
        <v>5438</v>
      </c>
      <c r="B510" s="1">
        <v>45729</v>
      </c>
      <c r="C510" t="s">
        <v>4925</v>
      </c>
      <c r="D510" t="s">
        <v>4926</v>
      </c>
      <c r="E510">
        <v>94.473299999999995</v>
      </c>
      <c r="F510" t="s">
        <v>4927</v>
      </c>
      <c r="G510" t="s">
        <v>4928</v>
      </c>
      <c r="H510" t="s">
        <v>4929</v>
      </c>
    </row>
    <row r="511" spans="1:8" x14ac:dyDescent="0.3">
      <c r="A511" t="s">
        <v>5439</v>
      </c>
      <c r="B511" s="1">
        <v>45730</v>
      </c>
      <c r="C511" t="s">
        <v>4925</v>
      </c>
      <c r="D511" t="s">
        <v>4926</v>
      </c>
      <c r="E511">
        <v>94.586399999999998</v>
      </c>
      <c r="F511" t="s">
        <v>4927</v>
      </c>
      <c r="G511" t="s">
        <v>4928</v>
      </c>
      <c r="H511" t="s">
        <v>4929</v>
      </c>
    </row>
    <row r="512" spans="1:8" x14ac:dyDescent="0.3">
      <c r="A512" t="s">
        <v>5440</v>
      </c>
      <c r="B512" s="1">
        <v>45733</v>
      </c>
      <c r="C512" t="s">
        <v>4925</v>
      </c>
      <c r="D512" t="s">
        <v>4926</v>
      </c>
      <c r="E512">
        <v>94.792000000000002</v>
      </c>
      <c r="F512" t="s">
        <v>4927</v>
      </c>
      <c r="G512" t="s">
        <v>4928</v>
      </c>
      <c r="H512" t="s">
        <v>4929</v>
      </c>
    </row>
    <row r="513" spans="1:8" x14ac:dyDescent="0.3">
      <c r="A513" t="s">
        <v>5441</v>
      </c>
      <c r="B513" s="1">
        <v>45734</v>
      </c>
      <c r="C513" t="s">
        <v>4925</v>
      </c>
      <c r="D513" t="s">
        <v>4926</v>
      </c>
      <c r="E513">
        <v>94.518600000000006</v>
      </c>
      <c r="F513" t="s">
        <v>4927</v>
      </c>
      <c r="G513" t="s">
        <v>4928</v>
      </c>
      <c r="H513" t="s">
        <v>4929</v>
      </c>
    </row>
    <row r="514" spans="1:8" x14ac:dyDescent="0.3">
      <c r="A514" t="s">
        <v>5442</v>
      </c>
      <c r="B514" s="1">
        <v>45735</v>
      </c>
      <c r="C514" t="s">
        <v>4925</v>
      </c>
      <c r="D514" t="s">
        <v>4926</v>
      </c>
      <c r="E514">
        <v>94.009900000000002</v>
      </c>
      <c r="F514" t="s">
        <v>4927</v>
      </c>
      <c r="G514" t="s">
        <v>4928</v>
      </c>
      <c r="H514" t="s">
        <v>4929</v>
      </c>
    </row>
    <row r="515" spans="1:8" x14ac:dyDescent="0.3">
      <c r="A515" t="s">
        <v>5443</v>
      </c>
      <c r="B515" s="1">
        <v>45736</v>
      </c>
      <c r="C515" t="s">
        <v>4925</v>
      </c>
      <c r="D515" t="s">
        <v>4926</v>
      </c>
      <c r="E515">
        <v>93.629099999999994</v>
      </c>
      <c r="F515" t="s">
        <v>4927</v>
      </c>
      <c r="G515" t="s">
        <v>4928</v>
      </c>
      <c r="H515" t="s">
        <v>4929</v>
      </c>
    </row>
    <row r="516" spans="1:8" x14ac:dyDescent="0.3">
      <c r="A516" t="s">
        <v>5444</v>
      </c>
      <c r="B516" s="1">
        <v>45737</v>
      </c>
      <c r="C516" t="s">
        <v>4925</v>
      </c>
      <c r="D516" t="s">
        <v>4926</v>
      </c>
      <c r="E516">
        <v>92.942400000000006</v>
      </c>
      <c r="F516" t="s">
        <v>4927</v>
      </c>
      <c r="G516" t="s">
        <v>4928</v>
      </c>
      <c r="H516" t="s">
        <v>4929</v>
      </c>
    </row>
    <row r="517" spans="1:8" x14ac:dyDescent="0.3">
      <c r="A517" t="s">
        <v>5445</v>
      </c>
      <c r="B517" s="1">
        <v>45740</v>
      </c>
      <c r="C517" t="s">
        <v>4925</v>
      </c>
      <c r="D517" t="s">
        <v>4926</v>
      </c>
      <c r="E517">
        <v>92.353499999999997</v>
      </c>
      <c r="F517" t="s">
        <v>4927</v>
      </c>
      <c r="G517" t="s">
        <v>4928</v>
      </c>
      <c r="H517" t="s">
        <v>4929</v>
      </c>
    </row>
    <row r="518" spans="1:8" x14ac:dyDescent="0.3">
      <c r="A518" t="s">
        <v>5446</v>
      </c>
      <c r="B518" s="1">
        <v>45741</v>
      </c>
      <c r="C518" t="s">
        <v>4925</v>
      </c>
      <c r="D518" t="s">
        <v>4926</v>
      </c>
      <c r="E518">
        <v>92.665899999999993</v>
      </c>
      <c r="F518" t="s">
        <v>4927</v>
      </c>
      <c r="G518" t="s">
        <v>4928</v>
      </c>
      <c r="H518" t="s">
        <v>4929</v>
      </c>
    </row>
    <row r="519" spans="1:8" x14ac:dyDescent="0.3">
      <c r="A519" t="s">
        <v>5447</v>
      </c>
      <c r="B519" s="1">
        <v>45742</v>
      </c>
      <c r="C519" t="s">
        <v>4925</v>
      </c>
      <c r="D519" t="s">
        <v>4926</v>
      </c>
      <c r="E519">
        <v>92.403999999999996</v>
      </c>
      <c r="F519" t="s">
        <v>4927</v>
      </c>
      <c r="G519" t="s">
        <v>4928</v>
      </c>
      <c r="H519" t="s">
        <v>4929</v>
      </c>
    </row>
    <row r="520" spans="1:8" x14ac:dyDescent="0.3">
      <c r="A520" t="s">
        <v>5448</v>
      </c>
      <c r="B520" s="1">
        <v>45743</v>
      </c>
      <c r="C520" t="s">
        <v>4925</v>
      </c>
      <c r="D520" t="s">
        <v>4926</v>
      </c>
      <c r="E520">
        <v>92.653199999999998</v>
      </c>
      <c r="F520" t="s">
        <v>4927</v>
      </c>
      <c r="G520" t="s">
        <v>4928</v>
      </c>
      <c r="H520" t="s">
        <v>4929</v>
      </c>
    </row>
    <row r="521" spans="1:8" x14ac:dyDescent="0.3">
      <c r="A521" t="s">
        <v>5449</v>
      </c>
      <c r="B521" s="1">
        <v>45744</v>
      </c>
      <c r="C521" t="s">
        <v>4925</v>
      </c>
      <c r="D521" t="s">
        <v>4926</v>
      </c>
      <c r="E521">
        <v>92.573099999999997</v>
      </c>
      <c r="F521" t="s">
        <v>4927</v>
      </c>
      <c r="G521" t="s">
        <v>4928</v>
      </c>
      <c r="H521" t="s">
        <v>4929</v>
      </c>
    </row>
    <row r="522" spans="1:8" x14ac:dyDescent="0.3">
      <c r="A522" t="s">
        <v>5450</v>
      </c>
      <c r="B522" s="1">
        <v>45747</v>
      </c>
      <c r="C522" t="s">
        <v>4925</v>
      </c>
      <c r="D522" t="s">
        <v>4926</v>
      </c>
      <c r="E522">
        <v>92.230199999999996</v>
      </c>
      <c r="F522" t="s">
        <v>4927</v>
      </c>
      <c r="G522" t="s">
        <v>4928</v>
      </c>
      <c r="H522" t="s">
        <v>4929</v>
      </c>
    </row>
    <row r="523" spans="1:8" x14ac:dyDescent="0.3">
      <c r="A523" t="s">
        <v>5451</v>
      </c>
      <c r="B523" s="1">
        <v>45019</v>
      </c>
      <c r="C523" t="s">
        <v>5452</v>
      </c>
      <c r="D523" t="s">
        <v>4926</v>
      </c>
      <c r="E523">
        <v>82.24</v>
      </c>
      <c r="F523" t="s">
        <v>5453</v>
      </c>
      <c r="G523" t="s">
        <v>5454</v>
      </c>
      <c r="H523" t="s">
        <v>4929</v>
      </c>
    </row>
    <row r="524" spans="1:8" x14ac:dyDescent="0.3">
      <c r="A524" t="s">
        <v>5455</v>
      </c>
      <c r="B524" s="1">
        <v>45020</v>
      </c>
      <c r="C524" t="s">
        <v>5452</v>
      </c>
      <c r="D524" t="s">
        <v>4926</v>
      </c>
      <c r="E524">
        <v>82.33</v>
      </c>
      <c r="F524" t="s">
        <v>5453</v>
      </c>
      <c r="G524" t="s">
        <v>5454</v>
      </c>
      <c r="H524" t="s">
        <v>4929</v>
      </c>
    </row>
    <row r="525" spans="1:8" x14ac:dyDescent="0.3">
      <c r="A525" t="s">
        <v>5456</v>
      </c>
      <c r="B525" s="1">
        <v>45021</v>
      </c>
      <c r="C525" t="s">
        <v>5452</v>
      </c>
      <c r="D525" t="s">
        <v>4926</v>
      </c>
      <c r="E525">
        <v>81.89</v>
      </c>
      <c r="F525" t="s">
        <v>5453</v>
      </c>
      <c r="G525" t="s">
        <v>5454</v>
      </c>
      <c r="H525" t="s">
        <v>4929</v>
      </c>
    </row>
    <row r="526" spans="1:8" x14ac:dyDescent="0.3">
      <c r="A526" t="s">
        <v>5457</v>
      </c>
      <c r="B526" s="1">
        <v>45022</v>
      </c>
      <c r="C526" t="s">
        <v>5452</v>
      </c>
      <c r="D526" t="s">
        <v>4926</v>
      </c>
      <c r="E526">
        <v>81.86</v>
      </c>
      <c r="F526" t="s">
        <v>5453</v>
      </c>
      <c r="G526" t="s">
        <v>5454</v>
      </c>
      <c r="H526" t="s">
        <v>4929</v>
      </c>
    </row>
    <row r="527" spans="1:8" x14ac:dyDescent="0.3">
      <c r="A527" t="s">
        <v>5458</v>
      </c>
      <c r="B527" s="1">
        <v>45023</v>
      </c>
      <c r="C527" t="s">
        <v>5452</v>
      </c>
      <c r="D527" t="s">
        <v>4926</v>
      </c>
      <c r="E527">
        <v>81.849999999999994</v>
      </c>
      <c r="F527" t="s">
        <v>5453</v>
      </c>
      <c r="G527" t="s">
        <v>5454</v>
      </c>
      <c r="H527" t="s">
        <v>4929</v>
      </c>
    </row>
    <row r="528" spans="1:8" x14ac:dyDescent="0.3">
      <c r="A528" t="s">
        <v>5459</v>
      </c>
      <c r="B528" s="1">
        <v>45026</v>
      </c>
      <c r="C528" t="s">
        <v>5452</v>
      </c>
      <c r="D528" t="s">
        <v>4926</v>
      </c>
      <c r="E528">
        <v>82.01</v>
      </c>
      <c r="F528" t="s">
        <v>5453</v>
      </c>
      <c r="G528" t="s">
        <v>5454</v>
      </c>
      <c r="H528" t="s">
        <v>4929</v>
      </c>
    </row>
    <row r="529" spans="1:8" x14ac:dyDescent="0.3">
      <c r="A529" t="s">
        <v>5460</v>
      </c>
      <c r="B529" s="1">
        <v>45027</v>
      </c>
      <c r="C529" t="s">
        <v>5452</v>
      </c>
      <c r="D529" t="s">
        <v>4926</v>
      </c>
      <c r="E529">
        <v>82.04</v>
      </c>
      <c r="F529" t="s">
        <v>5453</v>
      </c>
      <c r="G529" t="s">
        <v>5454</v>
      </c>
      <c r="H529" t="s">
        <v>4929</v>
      </c>
    </row>
    <row r="530" spans="1:8" x14ac:dyDescent="0.3">
      <c r="A530" t="s">
        <v>5461</v>
      </c>
      <c r="B530" s="1">
        <v>45028</v>
      </c>
      <c r="C530" t="s">
        <v>5452</v>
      </c>
      <c r="D530" t="s">
        <v>4926</v>
      </c>
      <c r="E530">
        <v>81.98</v>
      </c>
      <c r="F530" t="s">
        <v>5453</v>
      </c>
      <c r="G530" t="s">
        <v>5454</v>
      </c>
      <c r="H530" t="s">
        <v>4929</v>
      </c>
    </row>
    <row r="531" spans="1:8" x14ac:dyDescent="0.3">
      <c r="A531" t="s">
        <v>5462</v>
      </c>
      <c r="B531" s="1">
        <v>45029</v>
      </c>
      <c r="C531" t="s">
        <v>5452</v>
      </c>
      <c r="D531" t="s">
        <v>4926</v>
      </c>
      <c r="E531">
        <v>81.650000000000006</v>
      </c>
      <c r="F531" t="s">
        <v>5453</v>
      </c>
      <c r="G531" t="s">
        <v>5454</v>
      </c>
      <c r="H531" t="s">
        <v>4929</v>
      </c>
    </row>
    <row r="532" spans="1:8" x14ac:dyDescent="0.3">
      <c r="A532" t="s">
        <v>5463</v>
      </c>
      <c r="B532" s="1">
        <v>45030</v>
      </c>
      <c r="C532" t="s">
        <v>5452</v>
      </c>
      <c r="D532" t="s">
        <v>4926</v>
      </c>
      <c r="E532">
        <v>81.88</v>
      </c>
      <c r="F532" t="s">
        <v>5453</v>
      </c>
      <c r="G532" t="s">
        <v>5454</v>
      </c>
      <c r="H532" t="s">
        <v>4929</v>
      </c>
    </row>
    <row r="533" spans="1:8" x14ac:dyDescent="0.3">
      <c r="A533" t="s">
        <v>5464</v>
      </c>
      <c r="B533" s="1">
        <v>45033</v>
      </c>
      <c r="C533" t="s">
        <v>5452</v>
      </c>
      <c r="D533" t="s">
        <v>4926</v>
      </c>
      <c r="E533">
        <v>81.98</v>
      </c>
      <c r="F533" t="s">
        <v>5453</v>
      </c>
      <c r="G533" t="s">
        <v>5454</v>
      </c>
      <c r="H533" t="s">
        <v>4929</v>
      </c>
    </row>
    <row r="534" spans="1:8" x14ac:dyDescent="0.3">
      <c r="A534" t="s">
        <v>5465</v>
      </c>
      <c r="B534" s="1">
        <v>45034</v>
      </c>
      <c r="C534" t="s">
        <v>5452</v>
      </c>
      <c r="D534" t="s">
        <v>4926</v>
      </c>
      <c r="E534">
        <v>82.08</v>
      </c>
      <c r="F534" t="s">
        <v>5453</v>
      </c>
      <c r="G534" t="s">
        <v>5454</v>
      </c>
      <c r="H534" t="s">
        <v>4929</v>
      </c>
    </row>
    <row r="535" spans="1:8" x14ac:dyDescent="0.3">
      <c r="A535" t="s">
        <v>5466</v>
      </c>
      <c r="B535" s="1">
        <v>45035</v>
      </c>
      <c r="C535" t="s">
        <v>5452</v>
      </c>
      <c r="D535" t="s">
        <v>4926</v>
      </c>
      <c r="E535">
        <v>82.18</v>
      </c>
      <c r="F535" t="s">
        <v>5453</v>
      </c>
      <c r="G535" t="s">
        <v>5454</v>
      </c>
      <c r="H535" t="s">
        <v>4929</v>
      </c>
    </row>
    <row r="536" spans="1:8" x14ac:dyDescent="0.3">
      <c r="A536" t="s">
        <v>5467</v>
      </c>
      <c r="B536" s="1">
        <v>45036</v>
      </c>
      <c r="C536" t="s">
        <v>5452</v>
      </c>
      <c r="D536" t="s">
        <v>4926</v>
      </c>
      <c r="E536">
        <v>82.1</v>
      </c>
      <c r="F536" t="s">
        <v>5453</v>
      </c>
      <c r="G536" t="s">
        <v>5454</v>
      </c>
      <c r="H536" t="s">
        <v>4929</v>
      </c>
    </row>
    <row r="537" spans="1:8" x14ac:dyDescent="0.3">
      <c r="A537" t="s">
        <v>5468</v>
      </c>
      <c r="B537" s="1">
        <v>45037</v>
      </c>
      <c r="C537" t="s">
        <v>5452</v>
      </c>
      <c r="D537" t="s">
        <v>4926</v>
      </c>
      <c r="E537">
        <v>82.06</v>
      </c>
      <c r="F537" t="s">
        <v>5453</v>
      </c>
      <c r="G537" t="s">
        <v>5454</v>
      </c>
      <c r="H537" t="s">
        <v>4929</v>
      </c>
    </row>
    <row r="538" spans="1:8" x14ac:dyDescent="0.3">
      <c r="A538" t="s">
        <v>5469</v>
      </c>
      <c r="B538" s="1">
        <v>45040</v>
      </c>
      <c r="C538" t="s">
        <v>5452</v>
      </c>
      <c r="D538" t="s">
        <v>4926</v>
      </c>
      <c r="E538">
        <v>81.900000000000006</v>
      </c>
      <c r="F538" t="s">
        <v>5453</v>
      </c>
      <c r="G538" t="s">
        <v>5454</v>
      </c>
      <c r="H538" t="s">
        <v>4929</v>
      </c>
    </row>
    <row r="539" spans="1:8" x14ac:dyDescent="0.3">
      <c r="A539" t="s">
        <v>5470</v>
      </c>
      <c r="B539" s="1">
        <v>45041</v>
      </c>
      <c r="C539" t="s">
        <v>5452</v>
      </c>
      <c r="D539" t="s">
        <v>4926</v>
      </c>
      <c r="E539">
        <v>81.92</v>
      </c>
      <c r="F539" t="s">
        <v>5453</v>
      </c>
      <c r="G539" t="s">
        <v>5454</v>
      </c>
      <c r="H539" t="s">
        <v>4929</v>
      </c>
    </row>
    <row r="540" spans="1:8" x14ac:dyDescent="0.3">
      <c r="A540" t="s">
        <v>5471</v>
      </c>
      <c r="B540" s="1">
        <v>45042</v>
      </c>
      <c r="C540" t="s">
        <v>5452</v>
      </c>
      <c r="D540" t="s">
        <v>4926</v>
      </c>
      <c r="E540">
        <v>81.739999999999995</v>
      </c>
      <c r="F540" t="s">
        <v>5453</v>
      </c>
      <c r="G540" t="s">
        <v>5454</v>
      </c>
      <c r="H540" t="s">
        <v>4929</v>
      </c>
    </row>
    <row r="541" spans="1:8" x14ac:dyDescent="0.3">
      <c r="A541" t="s">
        <v>5472</v>
      </c>
      <c r="B541" s="1">
        <v>45043</v>
      </c>
      <c r="C541" t="s">
        <v>5452</v>
      </c>
      <c r="D541" t="s">
        <v>4926</v>
      </c>
      <c r="E541">
        <v>81.84</v>
      </c>
      <c r="F541" t="s">
        <v>5453</v>
      </c>
      <c r="G541" t="s">
        <v>5454</v>
      </c>
      <c r="H541" t="s">
        <v>4929</v>
      </c>
    </row>
    <row r="542" spans="1:8" x14ac:dyDescent="0.3">
      <c r="A542" t="s">
        <v>5473</v>
      </c>
      <c r="B542" s="1">
        <v>45044</v>
      </c>
      <c r="C542" t="s">
        <v>5452</v>
      </c>
      <c r="D542" t="s">
        <v>4926</v>
      </c>
      <c r="E542">
        <v>81.84</v>
      </c>
      <c r="F542" t="s">
        <v>5453</v>
      </c>
      <c r="G542" t="s">
        <v>5454</v>
      </c>
      <c r="H542" t="s">
        <v>4929</v>
      </c>
    </row>
    <row r="543" spans="1:8" x14ac:dyDescent="0.3">
      <c r="A543" t="s">
        <v>5474</v>
      </c>
      <c r="B543" s="1">
        <v>45047</v>
      </c>
      <c r="C543" t="s">
        <v>5452</v>
      </c>
      <c r="D543" t="s">
        <v>4926</v>
      </c>
      <c r="E543">
        <v>81.84</v>
      </c>
      <c r="F543" t="s">
        <v>5453</v>
      </c>
      <c r="G543" t="s">
        <v>5454</v>
      </c>
      <c r="H543" t="s">
        <v>4929</v>
      </c>
    </row>
    <row r="544" spans="1:8" x14ac:dyDescent="0.3">
      <c r="A544" t="s">
        <v>5475</v>
      </c>
      <c r="B544" s="1">
        <v>45048</v>
      </c>
      <c r="C544" t="s">
        <v>5452</v>
      </c>
      <c r="D544" t="s">
        <v>4926</v>
      </c>
      <c r="E544">
        <v>81.89</v>
      </c>
      <c r="F544" t="s">
        <v>5453</v>
      </c>
      <c r="G544" t="s">
        <v>5454</v>
      </c>
      <c r="H544" t="s">
        <v>4929</v>
      </c>
    </row>
    <row r="545" spans="1:8" x14ac:dyDescent="0.3">
      <c r="A545" t="s">
        <v>5476</v>
      </c>
      <c r="B545" s="1">
        <v>45049</v>
      </c>
      <c r="C545" t="s">
        <v>5452</v>
      </c>
      <c r="D545" t="s">
        <v>4926</v>
      </c>
      <c r="E545">
        <v>81.83</v>
      </c>
      <c r="F545" t="s">
        <v>5453</v>
      </c>
      <c r="G545" t="s">
        <v>5454</v>
      </c>
      <c r="H545" t="s">
        <v>4929</v>
      </c>
    </row>
    <row r="546" spans="1:8" x14ac:dyDescent="0.3">
      <c r="A546" t="s">
        <v>5477</v>
      </c>
      <c r="B546" s="1">
        <v>45050</v>
      </c>
      <c r="C546" t="s">
        <v>5452</v>
      </c>
      <c r="D546" t="s">
        <v>4926</v>
      </c>
      <c r="E546">
        <v>81.73</v>
      </c>
      <c r="F546" t="s">
        <v>5453</v>
      </c>
      <c r="G546" t="s">
        <v>5454</v>
      </c>
      <c r="H546" t="s">
        <v>4929</v>
      </c>
    </row>
    <row r="547" spans="1:8" x14ac:dyDescent="0.3">
      <c r="A547" t="s">
        <v>5478</v>
      </c>
      <c r="B547" s="1">
        <v>45051</v>
      </c>
      <c r="C547" t="s">
        <v>5452</v>
      </c>
      <c r="D547" t="s">
        <v>4926</v>
      </c>
      <c r="E547">
        <v>81.81</v>
      </c>
      <c r="F547" t="s">
        <v>5453</v>
      </c>
      <c r="G547" t="s">
        <v>5454</v>
      </c>
      <c r="H547" t="s">
        <v>4929</v>
      </c>
    </row>
    <row r="548" spans="1:8" x14ac:dyDescent="0.3">
      <c r="A548" t="s">
        <v>5479</v>
      </c>
      <c r="B548" s="1">
        <v>45054</v>
      </c>
      <c r="C548" t="s">
        <v>5452</v>
      </c>
      <c r="D548" t="s">
        <v>4926</v>
      </c>
      <c r="E548">
        <v>81.78</v>
      </c>
      <c r="F548" t="s">
        <v>5453</v>
      </c>
      <c r="G548" t="s">
        <v>5454</v>
      </c>
      <c r="H548" t="s">
        <v>4929</v>
      </c>
    </row>
    <row r="549" spans="1:8" x14ac:dyDescent="0.3">
      <c r="A549" t="s">
        <v>5480</v>
      </c>
      <c r="B549" s="1">
        <v>45055</v>
      </c>
      <c r="C549" t="s">
        <v>5452</v>
      </c>
      <c r="D549" t="s">
        <v>4926</v>
      </c>
      <c r="E549">
        <v>82.04</v>
      </c>
      <c r="F549" t="s">
        <v>5453</v>
      </c>
      <c r="G549" t="s">
        <v>5454</v>
      </c>
      <c r="H549" t="s">
        <v>4929</v>
      </c>
    </row>
    <row r="550" spans="1:8" x14ac:dyDescent="0.3">
      <c r="A550" t="s">
        <v>5481</v>
      </c>
      <c r="B550" s="1">
        <v>45056</v>
      </c>
      <c r="C550" t="s">
        <v>5452</v>
      </c>
      <c r="D550" t="s">
        <v>4926</v>
      </c>
      <c r="E550">
        <v>81.94</v>
      </c>
      <c r="F550" t="s">
        <v>5453</v>
      </c>
      <c r="G550" t="s">
        <v>5454</v>
      </c>
      <c r="H550" t="s">
        <v>4929</v>
      </c>
    </row>
    <row r="551" spans="1:8" x14ac:dyDescent="0.3">
      <c r="A551" t="s">
        <v>5482</v>
      </c>
      <c r="B551" s="1">
        <v>45057</v>
      </c>
      <c r="C551" t="s">
        <v>5452</v>
      </c>
      <c r="D551" t="s">
        <v>4926</v>
      </c>
      <c r="E551">
        <v>82.13</v>
      </c>
      <c r="F551" t="s">
        <v>5453</v>
      </c>
      <c r="G551" t="s">
        <v>5454</v>
      </c>
      <c r="H551" t="s">
        <v>4929</v>
      </c>
    </row>
    <row r="552" spans="1:8" x14ac:dyDescent="0.3">
      <c r="A552" t="s">
        <v>5483</v>
      </c>
      <c r="B552" s="1">
        <v>45058</v>
      </c>
      <c r="C552" t="s">
        <v>5452</v>
      </c>
      <c r="D552" t="s">
        <v>4926</v>
      </c>
      <c r="E552">
        <v>82.17</v>
      </c>
      <c r="F552" t="s">
        <v>5453</v>
      </c>
      <c r="G552" t="s">
        <v>5454</v>
      </c>
      <c r="H552" t="s">
        <v>4929</v>
      </c>
    </row>
    <row r="553" spans="1:8" x14ac:dyDescent="0.3">
      <c r="A553" t="s">
        <v>5484</v>
      </c>
      <c r="B553" s="1">
        <v>45061</v>
      </c>
      <c r="C553" t="s">
        <v>5452</v>
      </c>
      <c r="D553" t="s">
        <v>4926</v>
      </c>
      <c r="E553">
        <v>82.3</v>
      </c>
      <c r="F553" t="s">
        <v>5453</v>
      </c>
      <c r="G553" t="s">
        <v>5454</v>
      </c>
      <c r="H553" t="s">
        <v>4929</v>
      </c>
    </row>
    <row r="554" spans="1:8" x14ac:dyDescent="0.3">
      <c r="A554" t="s">
        <v>5485</v>
      </c>
      <c r="B554" s="1">
        <v>45062</v>
      </c>
      <c r="C554" t="s">
        <v>5452</v>
      </c>
      <c r="D554" t="s">
        <v>4926</v>
      </c>
      <c r="E554">
        <v>82.26</v>
      </c>
      <c r="F554" t="s">
        <v>5453</v>
      </c>
      <c r="G554" t="s">
        <v>5454</v>
      </c>
      <c r="H554" t="s">
        <v>4929</v>
      </c>
    </row>
    <row r="555" spans="1:8" x14ac:dyDescent="0.3">
      <c r="A555" t="s">
        <v>5486</v>
      </c>
      <c r="B555" s="1">
        <v>45063</v>
      </c>
      <c r="C555" t="s">
        <v>5452</v>
      </c>
      <c r="D555" t="s">
        <v>4926</v>
      </c>
      <c r="E555">
        <v>82.39</v>
      </c>
      <c r="F555" t="s">
        <v>5453</v>
      </c>
      <c r="G555" t="s">
        <v>5454</v>
      </c>
      <c r="H555" t="s">
        <v>4929</v>
      </c>
    </row>
    <row r="556" spans="1:8" x14ac:dyDescent="0.3">
      <c r="A556" t="s">
        <v>5487</v>
      </c>
      <c r="B556" s="1">
        <v>45064</v>
      </c>
      <c r="C556" t="s">
        <v>5452</v>
      </c>
      <c r="D556" t="s">
        <v>4926</v>
      </c>
      <c r="E556">
        <v>82.77</v>
      </c>
      <c r="F556" t="s">
        <v>5453</v>
      </c>
      <c r="G556" t="s">
        <v>5454</v>
      </c>
      <c r="H556" t="s">
        <v>4929</v>
      </c>
    </row>
    <row r="557" spans="1:8" x14ac:dyDescent="0.3">
      <c r="A557" t="s">
        <v>5488</v>
      </c>
      <c r="B557" s="1">
        <v>45065</v>
      </c>
      <c r="C557" t="s">
        <v>5452</v>
      </c>
      <c r="D557" t="s">
        <v>4926</v>
      </c>
      <c r="E557">
        <v>82.65</v>
      </c>
      <c r="F557" t="s">
        <v>5453</v>
      </c>
      <c r="G557" t="s">
        <v>5454</v>
      </c>
      <c r="H557" t="s">
        <v>4929</v>
      </c>
    </row>
    <row r="558" spans="1:8" x14ac:dyDescent="0.3">
      <c r="A558" t="s">
        <v>5489</v>
      </c>
      <c r="B558" s="1">
        <v>45068</v>
      </c>
      <c r="C558" t="s">
        <v>5452</v>
      </c>
      <c r="D558" t="s">
        <v>4926</v>
      </c>
      <c r="E558">
        <v>82.83</v>
      </c>
      <c r="F558" t="s">
        <v>5453</v>
      </c>
      <c r="G558" t="s">
        <v>5454</v>
      </c>
      <c r="H558" t="s">
        <v>4929</v>
      </c>
    </row>
    <row r="559" spans="1:8" x14ac:dyDescent="0.3">
      <c r="A559" t="s">
        <v>5490</v>
      </c>
      <c r="B559" s="1">
        <v>45069</v>
      </c>
      <c r="C559" t="s">
        <v>5452</v>
      </c>
      <c r="D559" t="s">
        <v>4926</v>
      </c>
      <c r="E559">
        <v>82.84</v>
      </c>
      <c r="F559" t="s">
        <v>5453</v>
      </c>
      <c r="G559" t="s">
        <v>5454</v>
      </c>
      <c r="H559" t="s">
        <v>4929</v>
      </c>
    </row>
    <row r="560" spans="1:8" x14ac:dyDescent="0.3">
      <c r="A560" t="s">
        <v>5491</v>
      </c>
      <c r="B560" s="1">
        <v>45070</v>
      </c>
      <c r="C560" t="s">
        <v>5452</v>
      </c>
      <c r="D560" t="s">
        <v>4926</v>
      </c>
      <c r="E560">
        <v>82.66</v>
      </c>
      <c r="F560" t="s">
        <v>5453</v>
      </c>
      <c r="G560" t="s">
        <v>5454</v>
      </c>
      <c r="H560" t="s">
        <v>4929</v>
      </c>
    </row>
    <row r="561" spans="1:8" x14ac:dyDescent="0.3">
      <c r="A561" t="s">
        <v>5492</v>
      </c>
      <c r="B561" s="1">
        <v>45071</v>
      </c>
      <c r="C561" t="s">
        <v>5452</v>
      </c>
      <c r="D561" t="s">
        <v>4926</v>
      </c>
      <c r="E561">
        <v>82.76</v>
      </c>
      <c r="F561" t="s">
        <v>5453</v>
      </c>
      <c r="G561" t="s">
        <v>5454</v>
      </c>
      <c r="H561" t="s">
        <v>4929</v>
      </c>
    </row>
    <row r="562" spans="1:8" x14ac:dyDescent="0.3">
      <c r="A562" t="s">
        <v>5493</v>
      </c>
      <c r="B562" s="1">
        <v>45072</v>
      </c>
      <c r="C562" t="s">
        <v>5452</v>
      </c>
      <c r="D562" t="s">
        <v>4926</v>
      </c>
      <c r="E562">
        <v>82.58</v>
      </c>
      <c r="F562" t="s">
        <v>5453</v>
      </c>
      <c r="G562" t="s">
        <v>5454</v>
      </c>
      <c r="H562" t="s">
        <v>4929</v>
      </c>
    </row>
    <row r="563" spans="1:8" x14ac:dyDescent="0.3">
      <c r="A563" t="s">
        <v>5494</v>
      </c>
      <c r="B563" s="1">
        <v>45075</v>
      </c>
      <c r="C563" t="s">
        <v>5452</v>
      </c>
      <c r="D563" t="s">
        <v>4926</v>
      </c>
      <c r="E563">
        <v>82.58</v>
      </c>
      <c r="F563" t="s">
        <v>5453</v>
      </c>
      <c r="G563" t="s">
        <v>5454</v>
      </c>
      <c r="H563" t="s">
        <v>4970</v>
      </c>
    </row>
    <row r="564" spans="1:8" x14ac:dyDescent="0.3">
      <c r="A564" t="s">
        <v>5495</v>
      </c>
      <c r="B564" s="1">
        <v>45076</v>
      </c>
      <c r="C564" t="s">
        <v>5452</v>
      </c>
      <c r="D564" t="s">
        <v>4926</v>
      </c>
      <c r="E564">
        <v>82.67</v>
      </c>
      <c r="F564" t="s">
        <v>5453</v>
      </c>
      <c r="G564" t="s">
        <v>5454</v>
      </c>
      <c r="H564" t="s">
        <v>4929</v>
      </c>
    </row>
    <row r="565" spans="1:8" x14ac:dyDescent="0.3">
      <c r="A565" t="s">
        <v>5496</v>
      </c>
      <c r="B565" s="1">
        <v>45077</v>
      </c>
      <c r="C565" t="s">
        <v>5452</v>
      </c>
      <c r="D565" t="s">
        <v>4926</v>
      </c>
      <c r="E565">
        <v>82.68</v>
      </c>
      <c r="F565" t="s">
        <v>5453</v>
      </c>
      <c r="G565" t="s">
        <v>5454</v>
      </c>
      <c r="H565" t="s">
        <v>4929</v>
      </c>
    </row>
    <row r="566" spans="1:8" x14ac:dyDescent="0.3">
      <c r="A566" t="s">
        <v>5497</v>
      </c>
      <c r="B566" s="1">
        <v>45078</v>
      </c>
      <c r="C566" t="s">
        <v>5452</v>
      </c>
      <c r="D566" t="s">
        <v>4926</v>
      </c>
      <c r="E566">
        <v>82.41</v>
      </c>
      <c r="F566" t="s">
        <v>5453</v>
      </c>
      <c r="G566" t="s">
        <v>5454</v>
      </c>
      <c r="H566" t="s">
        <v>4929</v>
      </c>
    </row>
    <row r="567" spans="1:8" x14ac:dyDescent="0.3">
      <c r="A567" t="s">
        <v>5498</v>
      </c>
      <c r="B567" s="1">
        <v>45079</v>
      </c>
      <c r="C567" t="s">
        <v>5452</v>
      </c>
      <c r="D567" t="s">
        <v>4926</v>
      </c>
      <c r="E567">
        <v>82.35</v>
      </c>
      <c r="F567" t="s">
        <v>5453</v>
      </c>
      <c r="G567" t="s">
        <v>5454</v>
      </c>
      <c r="H567" t="s">
        <v>4929</v>
      </c>
    </row>
    <row r="568" spans="1:8" x14ac:dyDescent="0.3">
      <c r="A568" t="s">
        <v>5499</v>
      </c>
      <c r="B568" s="1">
        <v>45082</v>
      </c>
      <c r="C568" t="s">
        <v>5452</v>
      </c>
      <c r="D568" t="s">
        <v>4926</v>
      </c>
      <c r="E568">
        <v>82.67</v>
      </c>
      <c r="F568" t="s">
        <v>5453</v>
      </c>
      <c r="G568" t="s">
        <v>5454</v>
      </c>
      <c r="H568" t="s">
        <v>4929</v>
      </c>
    </row>
    <row r="569" spans="1:8" x14ac:dyDescent="0.3">
      <c r="A569" t="s">
        <v>5500</v>
      </c>
      <c r="B569" s="1">
        <v>45083</v>
      </c>
      <c r="C569" t="s">
        <v>5452</v>
      </c>
      <c r="D569" t="s">
        <v>4926</v>
      </c>
      <c r="E569">
        <v>82.61</v>
      </c>
      <c r="F569" t="s">
        <v>5453</v>
      </c>
      <c r="G569" t="s">
        <v>5454</v>
      </c>
      <c r="H569" t="s">
        <v>4929</v>
      </c>
    </row>
    <row r="570" spans="1:8" x14ac:dyDescent="0.3">
      <c r="A570" t="s">
        <v>5501</v>
      </c>
      <c r="B570" s="1">
        <v>45084</v>
      </c>
      <c r="C570" t="s">
        <v>5452</v>
      </c>
      <c r="D570" t="s">
        <v>4926</v>
      </c>
      <c r="E570">
        <v>82.5</v>
      </c>
      <c r="F570" t="s">
        <v>5453</v>
      </c>
      <c r="G570" t="s">
        <v>5454</v>
      </c>
      <c r="H570" t="s">
        <v>4929</v>
      </c>
    </row>
    <row r="571" spans="1:8" x14ac:dyDescent="0.3">
      <c r="A571" t="s">
        <v>5502</v>
      </c>
      <c r="B571" s="1">
        <v>45085</v>
      </c>
      <c r="C571" t="s">
        <v>5452</v>
      </c>
      <c r="D571" t="s">
        <v>4926</v>
      </c>
      <c r="E571">
        <v>82.57</v>
      </c>
      <c r="F571" t="s">
        <v>5453</v>
      </c>
      <c r="G571" t="s">
        <v>5454</v>
      </c>
      <c r="H571" t="s">
        <v>4929</v>
      </c>
    </row>
    <row r="572" spans="1:8" x14ac:dyDescent="0.3">
      <c r="A572" t="s">
        <v>5503</v>
      </c>
      <c r="B572" s="1">
        <v>45086</v>
      </c>
      <c r="C572" t="s">
        <v>5452</v>
      </c>
      <c r="D572" t="s">
        <v>4926</v>
      </c>
      <c r="E572">
        <v>82.46</v>
      </c>
      <c r="F572" t="s">
        <v>5453</v>
      </c>
      <c r="G572" t="s">
        <v>5454</v>
      </c>
      <c r="H572" t="s">
        <v>4929</v>
      </c>
    </row>
    <row r="573" spans="1:8" x14ac:dyDescent="0.3">
      <c r="A573" t="s">
        <v>5504</v>
      </c>
      <c r="B573" s="1">
        <v>45089</v>
      </c>
      <c r="C573" t="s">
        <v>5452</v>
      </c>
      <c r="D573" t="s">
        <v>4926</v>
      </c>
      <c r="E573">
        <v>82.43</v>
      </c>
      <c r="F573" t="s">
        <v>5453</v>
      </c>
      <c r="G573" t="s">
        <v>5454</v>
      </c>
      <c r="H573" t="s">
        <v>4929</v>
      </c>
    </row>
    <row r="574" spans="1:8" x14ac:dyDescent="0.3">
      <c r="A574" t="s">
        <v>5505</v>
      </c>
      <c r="B574" s="1">
        <v>45090</v>
      </c>
      <c r="C574" t="s">
        <v>5452</v>
      </c>
      <c r="D574" t="s">
        <v>4926</v>
      </c>
      <c r="E574">
        <v>82.38</v>
      </c>
      <c r="F574" t="s">
        <v>5453</v>
      </c>
      <c r="G574" t="s">
        <v>5454</v>
      </c>
      <c r="H574" t="s">
        <v>4929</v>
      </c>
    </row>
    <row r="575" spans="1:8" x14ac:dyDescent="0.3">
      <c r="A575" t="s">
        <v>5506</v>
      </c>
      <c r="B575" s="1">
        <v>45091</v>
      </c>
      <c r="C575" t="s">
        <v>5452</v>
      </c>
      <c r="D575" t="s">
        <v>4926</v>
      </c>
      <c r="E575">
        <v>82.1</v>
      </c>
      <c r="F575" t="s">
        <v>5453</v>
      </c>
      <c r="G575" t="s">
        <v>5454</v>
      </c>
      <c r="H575" t="s">
        <v>4929</v>
      </c>
    </row>
    <row r="576" spans="1:8" x14ac:dyDescent="0.3">
      <c r="A576" t="s">
        <v>5507</v>
      </c>
      <c r="B576" s="1">
        <v>45092</v>
      </c>
      <c r="C576" t="s">
        <v>5452</v>
      </c>
      <c r="D576" t="s">
        <v>4926</v>
      </c>
      <c r="E576">
        <v>82.18</v>
      </c>
      <c r="F576" t="s">
        <v>5453</v>
      </c>
      <c r="G576" t="s">
        <v>5454</v>
      </c>
      <c r="H576" t="s">
        <v>4929</v>
      </c>
    </row>
    <row r="577" spans="1:8" x14ac:dyDescent="0.3">
      <c r="A577" t="s">
        <v>5508</v>
      </c>
      <c r="B577" s="1">
        <v>45093</v>
      </c>
      <c r="C577" t="s">
        <v>5452</v>
      </c>
      <c r="D577" t="s">
        <v>4926</v>
      </c>
      <c r="E577">
        <v>81.89</v>
      </c>
      <c r="F577" t="s">
        <v>5453</v>
      </c>
      <c r="G577" t="s">
        <v>5454</v>
      </c>
      <c r="H577" t="s">
        <v>4929</v>
      </c>
    </row>
    <row r="578" spans="1:8" x14ac:dyDescent="0.3">
      <c r="A578" t="s">
        <v>5509</v>
      </c>
      <c r="B578" s="1">
        <v>45096</v>
      </c>
      <c r="C578" t="s">
        <v>5452</v>
      </c>
      <c r="D578" t="s">
        <v>4926</v>
      </c>
      <c r="E578">
        <v>81.89</v>
      </c>
      <c r="F578" t="s">
        <v>5453</v>
      </c>
      <c r="G578" t="s">
        <v>5454</v>
      </c>
      <c r="H578" t="s">
        <v>4970</v>
      </c>
    </row>
    <row r="579" spans="1:8" x14ac:dyDescent="0.3">
      <c r="A579" t="s">
        <v>5510</v>
      </c>
      <c r="B579" s="1">
        <v>45097</v>
      </c>
      <c r="C579" t="s">
        <v>5452</v>
      </c>
      <c r="D579" t="s">
        <v>4926</v>
      </c>
      <c r="E579">
        <v>82.11</v>
      </c>
      <c r="F579" t="s">
        <v>5453</v>
      </c>
      <c r="G579" t="s">
        <v>5454</v>
      </c>
      <c r="H579" t="s">
        <v>4929</v>
      </c>
    </row>
    <row r="580" spans="1:8" x14ac:dyDescent="0.3">
      <c r="A580" t="s">
        <v>5511</v>
      </c>
      <c r="B580" s="1">
        <v>45098</v>
      </c>
      <c r="C580" t="s">
        <v>5452</v>
      </c>
      <c r="D580" t="s">
        <v>4926</v>
      </c>
      <c r="E580">
        <v>82.04</v>
      </c>
      <c r="F580" t="s">
        <v>5453</v>
      </c>
      <c r="G580" t="s">
        <v>5454</v>
      </c>
      <c r="H580" t="s">
        <v>4929</v>
      </c>
    </row>
    <row r="581" spans="1:8" x14ac:dyDescent="0.3">
      <c r="A581" t="s">
        <v>5512</v>
      </c>
      <c r="B581" s="1">
        <v>45099</v>
      </c>
      <c r="C581" t="s">
        <v>5452</v>
      </c>
      <c r="D581" t="s">
        <v>4926</v>
      </c>
      <c r="E581">
        <v>81.93</v>
      </c>
      <c r="F581" t="s">
        <v>5453</v>
      </c>
      <c r="G581" t="s">
        <v>5454</v>
      </c>
      <c r="H581" t="s">
        <v>4929</v>
      </c>
    </row>
    <row r="582" spans="1:8" x14ac:dyDescent="0.3">
      <c r="A582" t="s">
        <v>5513</v>
      </c>
      <c r="B582" s="1">
        <v>45100</v>
      </c>
      <c r="C582" t="s">
        <v>5452</v>
      </c>
      <c r="D582" t="s">
        <v>4926</v>
      </c>
      <c r="E582">
        <v>82.01</v>
      </c>
      <c r="F582" t="s">
        <v>5453</v>
      </c>
      <c r="G582" t="s">
        <v>5454</v>
      </c>
      <c r="H582" t="s">
        <v>4929</v>
      </c>
    </row>
    <row r="583" spans="1:8" x14ac:dyDescent="0.3">
      <c r="A583" t="s">
        <v>5514</v>
      </c>
      <c r="B583" s="1">
        <v>45103</v>
      </c>
      <c r="C583" t="s">
        <v>5452</v>
      </c>
      <c r="D583" t="s">
        <v>4926</v>
      </c>
      <c r="E583">
        <v>82</v>
      </c>
      <c r="F583" t="s">
        <v>5453</v>
      </c>
      <c r="G583" t="s">
        <v>5454</v>
      </c>
      <c r="H583" t="s">
        <v>4929</v>
      </c>
    </row>
    <row r="584" spans="1:8" x14ac:dyDescent="0.3">
      <c r="A584" t="s">
        <v>5515</v>
      </c>
      <c r="B584" s="1">
        <v>45104</v>
      </c>
      <c r="C584" t="s">
        <v>5452</v>
      </c>
      <c r="D584" t="s">
        <v>4926</v>
      </c>
      <c r="E584">
        <v>81.98</v>
      </c>
      <c r="F584" t="s">
        <v>5453</v>
      </c>
      <c r="G584" t="s">
        <v>5454</v>
      </c>
      <c r="H584" t="s">
        <v>4929</v>
      </c>
    </row>
    <row r="585" spans="1:8" x14ac:dyDescent="0.3">
      <c r="A585" t="s">
        <v>5516</v>
      </c>
      <c r="B585" s="1">
        <v>45105</v>
      </c>
      <c r="C585" t="s">
        <v>5452</v>
      </c>
      <c r="D585" t="s">
        <v>4926</v>
      </c>
      <c r="E585">
        <v>82</v>
      </c>
      <c r="F585" t="s">
        <v>5453</v>
      </c>
      <c r="G585" t="s">
        <v>5454</v>
      </c>
      <c r="H585" t="s">
        <v>4929</v>
      </c>
    </row>
    <row r="586" spans="1:8" x14ac:dyDescent="0.3">
      <c r="A586" t="s">
        <v>5517</v>
      </c>
      <c r="B586" s="1">
        <v>45106</v>
      </c>
      <c r="C586" t="s">
        <v>5452</v>
      </c>
      <c r="D586" t="s">
        <v>4926</v>
      </c>
      <c r="E586">
        <v>82.05</v>
      </c>
      <c r="F586" t="s">
        <v>5453</v>
      </c>
      <c r="G586" t="s">
        <v>5454</v>
      </c>
      <c r="H586" t="s">
        <v>4929</v>
      </c>
    </row>
    <row r="587" spans="1:8" x14ac:dyDescent="0.3">
      <c r="A587" t="s">
        <v>5518</v>
      </c>
      <c r="B587" s="1">
        <v>45107</v>
      </c>
      <c r="C587" t="s">
        <v>5452</v>
      </c>
      <c r="D587" t="s">
        <v>4926</v>
      </c>
      <c r="E587">
        <v>82.06</v>
      </c>
      <c r="F587" t="s">
        <v>5453</v>
      </c>
      <c r="G587" t="s">
        <v>5454</v>
      </c>
      <c r="H587" t="s">
        <v>4929</v>
      </c>
    </row>
    <row r="588" spans="1:8" x14ac:dyDescent="0.3">
      <c r="A588" t="s">
        <v>5519</v>
      </c>
      <c r="B588" s="1">
        <v>45110</v>
      </c>
      <c r="C588" t="s">
        <v>5452</v>
      </c>
      <c r="D588" t="s">
        <v>4926</v>
      </c>
      <c r="E588">
        <v>81.96</v>
      </c>
      <c r="F588" t="s">
        <v>5453</v>
      </c>
      <c r="G588" t="s">
        <v>5454</v>
      </c>
      <c r="H588" t="s">
        <v>4929</v>
      </c>
    </row>
    <row r="589" spans="1:8" x14ac:dyDescent="0.3">
      <c r="A589" t="s">
        <v>5520</v>
      </c>
      <c r="B589" s="1">
        <v>45111</v>
      </c>
      <c r="C589" t="s">
        <v>5452</v>
      </c>
      <c r="D589" t="s">
        <v>4926</v>
      </c>
      <c r="E589">
        <v>81.96</v>
      </c>
      <c r="F589" t="s">
        <v>5453</v>
      </c>
      <c r="G589" t="s">
        <v>5454</v>
      </c>
      <c r="H589" t="s">
        <v>4970</v>
      </c>
    </row>
    <row r="590" spans="1:8" x14ac:dyDescent="0.3">
      <c r="A590" t="s">
        <v>5521</v>
      </c>
      <c r="B590" s="1">
        <v>45112</v>
      </c>
      <c r="C590" t="s">
        <v>5452</v>
      </c>
      <c r="D590" t="s">
        <v>4926</v>
      </c>
      <c r="E590">
        <v>82.34</v>
      </c>
      <c r="F590" t="s">
        <v>5453</v>
      </c>
      <c r="G590" t="s">
        <v>5454</v>
      </c>
      <c r="H590" t="s">
        <v>4929</v>
      </c>
    </row>
    <row r="591" spans="1:8" x14ac:dyDescent="0.3">
      <c r="A591" t="s">
        <v>5522</v>
      </c>
      <c r="B591" s="1">
        <v>45113</v>
      </c>
      <c r="C591" t="s">
        <v>5452</v>
      </c>
      <c r="D591" t="s">
        <v>4926</v>
      </c>
      <c r="E591">
        <v>82.49</v>
      </c>
      <c r="F591" t="s">
        <v>5453</v>
      </c>
      <c r="G591" t="s">
        <v>5454</v>
      </c>
      <c r="H591" t="s">
        <v>4929</v>
      </c>
    </row>
    <row r="592" spans="1:8" x14ac:dyDescent="0.3">
      <c r="A592" t="s">
        <v>5523</v>
      </c>
      <c r="B592" s="1">
        <v>45114</v>
      </c>
      <c r="C592" t="s">
        <v>5452</v>
      </c>
      <c r="D592" t="s">
        <v>4926</v>
      </c>
      <c r="E592">
        <v>82.74</v>
      </c>
      <c r="F592" t="s">
        <v>5453</v>
      </c>
      <c r="G592" t="s">
        <v>5454</v>
      </c>
      <c r="H592" t="s">
        <v>4929</v>
      </c>
    </row>
    <row r="593" spans="1:8" x14ac:dyDescent="0.3">
      <c r="A593" t="s">
        <v>5524</v>
      </c>
      <c r="B593" s="1">
        <v>45117</v>
      </c>
      <c r="C593" t="s">
        <v>5452</v>
      </c>
      <c r="D593" t="s">
        <v>4926</v>
      </c>
      <c r="E593">
        <v>82.57</v>
      </c>
      <c r="F593" t="s">
        <v>5453</v>
      </c>
      <c r="G593" t="s">
        <v>5454</v>
      </c>
      <c r="H593" t="s">
        <v>4929</v>
      </c>
    </row>
    <row r="594" spans="1:8" x14ac:dyDescent="0.3">
      <c r="A594" t="s">
        <v>5525</v>
      </c>
      <c r="B594" s="1">
        <v>45118</v>
      </c>
      <c r="C594" t="s">
        <v>5452</v>
      </c>
      <c r="D594" t="s">
        <v>4926</v>
      </c>
      <c r="E594">
        <v>82.39</v>
      </c>
      <c r="F594" t="s">
        <v>5453</v>
      </c>
      <c r="G594" t="s">
        <v>5454</v>
      </c>
      <c r="H594" t="s">
        <v>4929</v>
      </c>
    </row>
    <row r="595" spans="1:8" x14ac:dyDescent="0.3">
      <c r="A595" t="s">
        <v>5526</v>
      </c>
      <c r="B595" s="1">
        <v>45119</v>
      </c>
      <c r="C595" t="s">
        <v>5452</v>
      </c>
      <c r="D595" t="s">
        <v>4926</v>
      </c>
      <c r="E595">
        <v>82.03</v>
      </c>
      <c r="F595" t="s">
        <v>5453</v>
      </c>
      <c r="G595" t="s">
        <v>5454</v>
      </c>
      <c r="H595" t="s">
        <v>4929</v>
      </c>
    </row>
    <row r="596" spans="1:8" x14ac:dyDescent="0.3">
      <c r="A596" t="s">
        <v>5527</v>
      </c>
      <c r="B596" s="1">
        <v>45120</v>
      </c>
      <c r="C596" t="s">
        <v>5452</v>
      </c>
      <c r="D596" t="s">
        <v>4926</v>
      </c>
      <c r="E596">
        <v>82.04</v>
      </c>
      <c r="F596" t="s">
        <v>5453</v>
      </c>
      <c r="G596" t="s">
        <v>5454</v>
      </c>
      <c r="H596" t="s">
        <v>4929</v>
      </c>
    </row>
    <row r="597" spans="1:8" x14ac:dyDescent="0.3">
      <c r="A597" t="s">
        <v>5528</v>
      </c>
      <c r="B597" s="1">
        <v>45121</v>
      </c>
      <c r="C597" t="s">
        <v>5452</v>
      </c>
      <c r="D597" t="s">
        <v>4926</v>
      </c>
      <c r="E597">
        <v>82.16</v>
      </c>
      <c r="F597" t="s">
        <v>5453</v>
      </c>
      <c r="G597" t="s">
        <v>5454</v>
      </c>
      <c r="H597" t="s">
        <v>4929</v>
      </c>
    </row>
    <row r="598" spans="1:8" x14ac:dyDescent="0.3">
      <c r="A598" t="s">
        <v>5529</v>
      </c>
      <c r="B598" s="1">
        <v>45124</v>
      </c>
      <c r="C598" t="s">
        <v>5452</v>
      </c>
      <c r="D598" t="s">
        <v>4926</v>
      </c>
      <c r="E598">
        <v>82.03</v>
      </c>
      <c r="F598" t="s">
        <v>5453</v>
      </c>
      <c r="G598" t="s">
        <v>5454</v>
      </c>
      <c r="H598" t="s">
        <v>4929</v>
      </c>
    </row>
    <row r="599" spans="1:8" x14ac:dyDescent="0.3">
      <c r="A599" t="s">
        <v>5530</v>
      </c>
      <c r="B599" s="1">
        <v>45125</v>
      </c>
      <c r="C599" t="s">
        <v>5452</v>
      </c>
      <c r="D599" t="s">
        <v>4926</v>
      </c>
      <c r="E599">
        <v>82.03</v>
      </c>
      <c r="F599" t="s">
        <v>5453</v>
      </c>
      <c r="G599" t="s">
        <v>5454</v>
      </c>
      <c r="H599" t="s">
        <v>4929</v>
      </c>
    </row>
    <row r="600" spans="1:8" x14ac:dyDescent="0.3">
      <c r="A600" t="s">
        <v>5531</v>
      </c>
      <c r="B600" s="1">
        <v>45126</v>
      </c>
      <c r="C600" t="s">
        <v>5452</v>
      </c>
      <c r="D600" t="s">
        <v>4926</v>
      </c>
      <c r="E600">
        <v>82.09</v>
      </c>
      <c r="F600" t="s">
        <v>5453</v>
      </c>
      <c r="G600" t="s">
        <v>5454</v>
      </c>
      <c r="H600" t="s">
        <v>4929</v>
      </c>
    </row>
    <row r="601" spans="1:8" x14ac:dyDescent="0.3">
      <c r="A601" t="s">
        <v>5532</v>
      </c>
      <c r="B601" s="1">
        <v>45127</v>
      </c>
      <c r="C601" t="s">
        <v>5452</v>
      </c>
      <c r="D601" t="s">
        <v>4926</v>
      </c>
      <c r="E601">
        <v>81.99</v>
      </c>
      <c r="F601" t="s">
        <v>5453</v>
      </c>
      <c r="G601" t="s">
        <v>5454</v>
      </c>
      <c r="H601" t="s">
        <v>4929</v>
      </c>
    </row>
    <row r="602" spans="1:8" x14ac:dyDescent="0.3">
      <c r="A602" t="s">
        <v>5533</v>
      </c>
      <c r="B602" s="1">
        <v>45128</v>
      </c>
      <c r="C602" t="s">
        <v>5452</v>
      </c>
      <c r="D602" t="s">
        <v>4926</v>
      </c>
      <c r="E602">
        <v>81.99</v>
      </c>
      <c r="F602" t="s">
        <v>5453</v>
      </c>
      <c r="G602" t="s">
        <v>5454</v>
      </c>
      <c r="H602" t="s">
        <v>4929</v>
      </c>
    </row>
    <row r="603" spans="1:8" x14ac:dyDescent="0.3">
      <c r="A603" t="s">
        <v>5534</v>
      </c>
      <c r="B603" s="1">
        <v>45131</v>
      </c>
      <c r="C603" t="s">
        <v>5452</v>
      </c>
      <c r="D603" t="s">
        <v>4926</v>
      </c>
      <c r="E603">
        <v>81.81</v>
      </c>
      <c r="F603" t="s">
        <v>5453</v>
      </c>
      <c r="G603" t="s">
        <v>5454</v>
      </c>
      <c r="H603" t="s">
        <v>4929</v>
      </c>
    </row>
    <row r="604" spans="1:8" x14ac:dyDescent="0.3">
      <c r="A604" t="s">
        <v>5535</v>
      </c>
      <c r="B604" s="1">
        <v>45132</v>
      </c>
      <c r="C604" t="s">
        <v>5452</v>
      </c>
      <c r="D604" t="s">
        <v>4926</v>
      </c>
      <c r="E604">
        <v>81.87</v>
      </c>
      <c r="F604" t="s">
        <v>5453</v>
      </c>
      <c r="G604" t="s">
        <v>5454</v>
      </c>
      <c r="H604" t="s">
        <v>4929</v>
      </c>
    </row>
    <row r="605" spans="1:8" x14ac:dyDescent="0.3">
      <c r="A605" t="s">
        <v>5536</v>
      </c>
      <c r="B605" s="1">
        <v>45133</v>
      </c>
      <c r="C605" t="s">
        <v>5452</v>
      </c>
      <c r="D605" t="s">
        <v>4926</v>
      </c>
      <c r="E605">
        <v>81.99</v>
      </c>
      <c r="F605" t="s">
        <v>5453</v>
      </c>
      <c r="G605" t="s">
        <v>5454</v>
      </c>
      <c r="H605" t="s">
        <v>4929</v>
      </c>
    </row>
    <row r="606" spans="1:8" x14ac:dyDescent="0.3">
      <c r="A606" t="s">
        <v>5537</v>
      </c>
      <c r="B606" s="1">
        <v>45134</v>
      </c>
      <c r="C606" t="s">
        <v>5452</v>
      </c>
      <c r="D606" t="s">
        <v>4926</v>
      </c>
      <c r="E606">
        <v>82.15</v>
      </c>
      <c r="F606" t="s">
        <v>5453</v>
      </c>
      <c r="G606" t="s">
        <v>5454</v>
      </c>
      <c r="H606" t="s">
        <v>4929</v>
      </c>
    </row>
    <row r="607" spans="1:8" x14ac:dyDescent="0.3">
      <c r="A607" t="s">
        <v>5538</v>
      </c>
      <c r="B607" s="1">
        <v>45135</v>
      </c>
      <c r="C607" t="s">
        <v>5452</v>
      </c>
      <c r="D607" t="s">
        <v>4926</v>
      </c>
      <c r="E607">
        <v>82.22</v>
      </c>
      <c r="F607" t="s">
        <v>5453</v>
      </c>
      <c r="G607" t="s">
        <v>5454</v>
      </c>
      <c r="H607" t="s">
        <v>4929</v>
      </c>
    </row>
    <row r="608" spans="1:8" x14ac:dyDescent="0.3">
      <c r="A608" t="s">
        <v>5539</v>
      </c>
      <c r="B608" s="1">
        <v>45138</v>
      </c>
      <c r="C608" t="s">
        <v>5452</v>
      </c>
      <c r="D608" t="s">
        <v>4926</v>
      </c>
      <c r="E608">
        <v>82.24</v>
      </c>
      <c r="F608" t="s">
        <v>5453</v>
      </c>
      <c r="G608" t="s">
        <v>5454</v>
      </c>
      <c r="H608" t="s">
        <v>4929</v>
      </c>
    </row>
    <row r="609" spans="1:8" x14ac:dyDescent="0.3">
      <c r="A609" t="s">
        <v>5540</v>
      </c>
      <c r="B609" s="1">
        <v>45139</v>
      </c>
      <c r="C609" t="s">
        <v>5452</v>
      </c>
      <c r="D609" t="s">
        <v>4926</v>
      </c>
      <c r="E609">
        <v>82.25</v>
      </c>
      <c r="F609" t="s">
        <v>5453</v>
      </c>
      <c r="G609" t="s">
        <v>5454</v>
      </c>
      <c r="H609" t="s">
        <v>4929</v>
      </c>
    </row>
    <row r="610" spans="1:8" x14ac:dyDescent="0.3">
      <c r="A610" t="s">
        <v>5541</v>
      </c>
      <c r="B610" s="1">
        <v>45140</v>
      </c>
      <c r="C610" t="s">
        <v>5452</v>
      </c>
      <c r="D610" t="s">
        <v>4926</v>
      </c>
      <c r="E610">
        <v>82.58</v>
      </c>
      <c r="F610" t="s">
        <v>5453</v>
      </c>
      <c r="G610" t="s">
        <v>5454</v>
      </c>
      <c r="H610" t="s">
        <v>4929</v>
      </c>
    </row>
    <row r="611" spans="1:8" x14ac:dyDescent="0.3">
      <c r="A611" t="s">
        <v>5542</v>
      </c>
      <c r="B611" s="1">
        <v>45141</v>
      </c>
      <c r="C611" t="s">
        <v>5452</v>
      </c>
      <c r="D611" t="s">
        <v>4926</v>
      </c>
      <c r="E611">
        <v>82.74</v>
      </c>
      <c r="F611" t="s">
        <v>5453</v>
      </c>
      <c r="G611" t="s">
        <v>5454</v>
      </c>
      <c r="H611" t="s">
        <v>4929</v>
      </c>
    </row>
    <row r="612" spans="1:8" x14ac:dyDescent="0.3">
      <c r="A612" t="s">
        <v>5543</v>
      </c>
      <c r="B612" s="1">
        <v>45142</v>
      </c>
      <c r="C612" t="s">
        <v>5452</v>
      </c>
      <c r="D612" t="s">
        <v>4926</v>
      </c>
      <c r="E612">
        <v>82.83</v>
      </c>
      <c r="F612" t="s">
        <v>5453</v>
      </c>
      <c r="G612" t="s">
        <v>5454</v>
      </c>
      <c r="H612" t="s">
        <v>4929</v>
      </c>
    </row>
    <row r="613" spans="1:8" x14ac:dyDescent="0.3">
      <c r="A613" t="s">
        <v>5544</v>
      </c>
      <c r="B613" s="1">
        <v>45145</v>
      </c>
      <c r="C613" t="s">
        <v>5452</v>
      </c>
      <c r="D613" t="s">
        <v>4926</v>
      </c>
      <c r="E613">
        <v>82.75</v>
      </c>
      <c r="F613" t="s">
        <v>5453</v>
      </c>
      <c r="G613" t="s">
        <v>5454</v>
      </c>
      <c r="H613" t="s">
        <v>4929</v>
      </c>
    </row>
    <row r="614" spans="1:8" x14ac:dyDescent="0.3">
      <c r="A614" t="s">
        <v>5545</v>
      </c>
      <c r="B614" s="1">
        <v>45146</v>
      </c>
      <c r="C614" t="s">
        <v>5452</v>
      </c>
      <c r="D614" t="s">
        <v>4926</v>
      </c>
      <c r="E614">
        <v>82.85</v>
      </c>
      <c r="F614" t="s">
        <v>5453</v>
      </c>
      <c r="G614" t="s">
        <v>5454</v>
      </c>
      <c r="H614" t="s">
        <v>4929</v>
      </c>
    </row>
    <row r="615" spans="1:8" x14ac:dyDescent="0.3">
      <c r="A615" t="s">
        <v>5546</v>
      </c>
      <c r="B615" s="1">
        <v>45147</v>
      </c>
      <c r="C615" t="s">
        <v>5452</v>
      </c>
      <c r="D615" t="s">
        <v>4926</v>
      </c>
      <c r="E615">
        <v>82.84</v>
      </c>
      <c r="F615" t="s">
        <v>5453</v>
      </c>
      <c r="G615" t="s">
        <v>5454</v>
      </c>
      <c r="H615" t="s">
        <v>4929</v>
      </c>
    </row>
    <row r="616" spans="1:8" x14ac:dyDescent="0.3">
      <c r="A616" t="s">
        <v>5547</v>
      </c>
      <c r="B616" s="1">
        <v>45148</v>
      </c>
      <c r="C616" t="s">
        <v>5452</v>
      </c>
      <c r="D616" t="s">
        <v>4926</v>
      </c>
      <c r="E616">
        <v>82.69</v>
      </c>
      <c r="F616" t="s">
        <v>5453</v>
      </c>
      <c r="G616" t="s">
        <v>5454</v>
      </c>
      <c r="H616" t="s">
        <v>4929</v>
      </c>
    </row>
    <row r="617" spans="1:8" x14ac:dyDescent="0.3">
      <c r="A617" t="s">
        <v>5548</v>
      </c>
      <c r="B617" s="1">
        <v>45149</v>
      </c>
      <c r="C617" t="s">
        <v>5452</v>
      </c>
      <c r="D617" t="s">
        <v>4926</v>
      </c>
      <c r="E617">
        <v>82.87</v>
      </c>
      <c r="F617" t="s">
        <v>5453</v>
      </c>
      <c r="G617" t="s">
        <v>5454</v>
      </c>
      <c r="H617" t="s">
        <v>4929</v>
      </c>
    </row>
    <row r="618" spans="1:8" x14ac:dyDescent="0.3">
      <c r="A618" t="s">
        <v>5549</v>
      </c>
      <c r="B618" s="1">
        <v>45152</v>
      </c>
      <c r="C618" t="s">
        <v>5452</v>
      </c>
      <c r="D618" t="s">
        <v>4926</v>
      </c>
      <c r="E618">
        <v>83.17</v>
      </c>
      <c r="F618" t="s">
        <v>5453</v>
      </c>
      <c r="G618" t="s">
        <v>5454</v>
      </c>
      <c r="H618" t="s">
        <v>4929</v>
      </c>
    </row>
    <row r="619" spans="1:8" x14ac:dyDescent="0.3">
      <c r="A619" t="s">
        <v>5550</v>
      </c>
      <c r="B619" s="1">
        <v>45153</v>
      </c>
      <c r="C619" t="s">
        <v>5452</v>
      </c>
      <c r="D619" t="s">
        <v>4926</v>
      </c>
      <c r="E619">
        <v>82.94</v>
      </c>
      <c r="F619" t="s">
        <v>5453</v>
      </c>
      <c r="G619" t="s">
        <v>5454</v>
      </c>
      <c r="H619" t="s">
        <v>4929</v>
      </c>
    </row>
    <row r="620" spans="1:8" x14ac:dyDescent="0.3">
      <c r="A620" t="s">
        <v>5551</v>
      </c>
      <c r="B620" s="1">
        <v>45154</v>
      </c>
      <c r="C620" t="s">
        <v>5452</v>
      </c>
      <c r="D620" t="s">
        <v>4926</v>
      </c>
      <c r="E620">
        <v>83.19</v>
      </c>
      <c r="F620" t="s">
        <v>5453</v>
      </c>
      <c r="G620" t="s">
        <v>5454</v>
      </c>
      <c r="H620" t="s">
        <v>4929</v>
      </c>
    </row>
    <row r="621" spans="1:8" x14ac:dyDescent="0.3">
      <c r="A621" t="s">
        <v>5552</v>
      </c>
      <c r="B621" s="1">
        <v>45155</v>
      </c>
      <c r="C621" t="s">
        <v>5452</v>
      </c>
      <c r="D621" t="s">
        <v>4926</v>
      </c>
      <c r="E621">
        <v>83.09</v>
      </c>
      <c r="F621" t="s">
        <v>5453</v>
      </c>
      <c r="G621" t="s">
        <v>5454</v>
      </c>
      <c r="H621" t="s">
        <v>4929</v>
      </c>
    </row>
    <row r="622" spans="1:8" x14ac:dyDescent="0.3">
      <c r="A622" t="s">
        <v>5553</v>
      </c>
      <c r="B622" s="1">
        <v>45156</v>
      </c>
      <c r="C622" t="s">
        <v>5452</v>
      </c>
      <c r="D622" t="s">
        <v>4926</v>
      </c>
      <c r="E622">
        <v>83.14</v>
      </c>
      <c r="F622" t="s">
        <v>5453</v>
      </c>
      <c r="G622" t="s">
        <v>5454</v>
      </c>
      <c r="H622" t="s">
        <v>4929</v>
      </c>
    </row>
    <row r="623" spans="1:8" x14ac:dyDescent="0.3">
      <c r="A623" t="s">
        <v>5554</v>
      </c>
      <c r="B623" s="1">
        <v>45159</v>
      </c>
      <c r="C623" t="s">
        <v>5452</v>
      </c>
      <c r="D623" t="s">
        <v>4926</v>
      </c>
      <c r="E623">
        <v>83.1</v>
      </c>
      <c r="F623" t="s">
        <v>5453</v>
      </c>
      <c r="G623" t="s">
        <v>5454</v>
      </c>
      <c r="H623" t="s">
        <v>4929</v>
      </c>
    </row>
    <row r="624" spans="1:8" x14ac:dyDescent="0.3">
      <c r="A624" t="s">
        <v>5555</v>
      </c>
      <c r="B624" s="1">
        <v>45160</v>
      </c>
      <c r="C624" t="s">
        <v>5452</v>
      </c>
      <c r="D624" t="s">
        <v>4926</v>
      </c>
      <c r="E624">
        <v>82.94</v>
      </c>
      <c r="F624" t="s">
        <v>5453</v>
      </c>
      <c r="G624" t="s">
        <v>5454</v>
      </c>
      <c r="H624" t="s">
        <v>4929</v>
      </c>
    </row>
    <row r="625" spans="1:8" x14ac:dyDescent="0.3">
      <c r="A625" t="s">
        <v>5556</v>
      </c>
      <c r="B625" s="1">
        <v>45161</v>
      </c>
      <c r="C625" t="s">
        <v>5452</v>
      </c>
      <c r="D625" t="s">
        <v>4926</v>
      </c>
      <c r="E625">
        <v>82.69</v>
      </c>
      <c r="F625" t="s">
        <v>5453</v>
      </c>
      <c r="G625" t="s">
        <v>5454</v>
      </c>
      <c r="H625" t="s">
        <v>4929</v>
      </c>
    </row>
    <row r="626" spans="1:8" x14ac:dyDescent="0.3">
      <c r="A626" t="s">
        <v>5557</v>
      </c>
      <c r="B626" s="1">
        <v>45162</v>
      </c>
      <c r="C626" t="s">
        <v>5452</v>
      </c>
      <c r="D626" t="s">
        <v>4926</v>
      </c>
      <c r="E626">
        <v>82.57</v>
      </c>
      <c r="F626" t="s">
        <v>5453</v>
      </c>
      <c r="G626" t="s">
        <v>5454</v>
      </c>
      <c r="H626" t="s">
        <v>4929</v>
      </c>
    </row>
    <row r="627" spans="1:8" x14ac:dyDescent="0.3">
      <c r="A627" t="s">
        <v>5558</v>
      </c>
      <c r="B627" s="1">
        <v>45163</v>
      </c>
      <c r="C627" t="s">
        <v>5452</v>
      </c>
      <c r="D627" t="s">
        <v>4926</v>
      </c>
      <c r="E627">
        <v>82.64</v>
      </c>
      <c r="F627" t="s">
        <v>5453</v>
      </c>
      <c r="G627" t="s">
        <v>5454</v>
      </c>
      <c r="H627" t="s">
        <v>4929</v>
      </c>
    </row>
    <row r="628" spans="1:8" x14ac:dyDescent="0.3">
      <c r="A628" t="s">
        <v>5559</v>
      </c>
      <c r="B628" s="1">
        <v>45166</v>
      </c>
      <c r="C628" t="s">
        <v>5452</v>
      </c>
      <c r="D628" t="s">
        <v>4926</v>
      </c>
      <c r="E628">
        <v>82.6</v>
      </c>
      <c r="F628" t="s">
        <v>5453</v>
      </c>
      <c r="G628" t="s">
        <v>5454</v>
      </c>
      <c r="H628" t="s">
        <v>4929</v>
      </c>
    </row>
    <row r="629" spans="1:8" x14ac:dyDescent="0.3">
      <c r="A629" t="s">
        <v>5560</v>
      </c>
      <c r="B629" s="1">
        <v>45167</v>
      </c>
      <c r="C629" t="s">
        <v>5452</v>
      </c>
      <c r="D629" t="s">
        <v>4926</v>
      </c>
      <c r="E629">
        <v>82.7</v>
      </c>
      <c r="F629" t="s">
        <v>5453</v>
      </c>
      <c r="G629" t="s">
        <v>5454</v>
      </c>
      <c r="H629" t="s">
        <v>4929</v>
      </c>
    </row>
    <row r="630" spans="1:8" x14ac:dyDescent="0.3">
      <c r="A630" t="s">
        <v>5561</v>
      </c>
      <c r="B630" s="1">
        <v>45168</v>
      </c>
      <c r="C630" t="s">
        <v>5452</v>
      </c>
      <c r="D630" t="s">
        <v>4926</v>
      </c>
      <c r="E630">
        <v>82.73</v>
      </c>
      <c r="F630" t="s">
        <v>5453</v>
      </c>
      <c r="G630" t="s">
        <v>5454</v>
      </c>
      <c r="H630" t="s">
        <v>4929</v>
      </c>
    </row>
    <row r="631" spans="1:8" x14ac:dyDescent="0.3">
      <c r="A631" t="s">
        <v>5562</v>
      </c>
      <c r="B631" s="1">
        <v>45169</v>
      </c>
      <c r="C631" t="s">
        <v>5452</v>
      </c>
      <c r="D631" t="s">
        <v>4926</v>
      </c>
      <c r="E631">
        <v>82.78</v>
      </c>
      <c r="F631" t="s">
        <v>5453</v>
      </c>
      <c r="G631" t="s">
        <v>5454</v>
      </c>
      <c r="H631" t="s">
        <v>4929</v>
      </c>
    </row>
    <row r="632" spans="1:8" x14ac:dyDescent="0.3">
      <c r="A632" t="s">
        <v>5563</v>
      </c>
      <c r="B632" s="1">
        <v>45170</v>
      </c>
      <c r="C632" t="s">
        <v>5452</v>
      </c>
      <c r="D632" t="s">
        <v>4926</v>
      </c>
      <c r="E632">
        <v>82.69</v>
      </c>
      <c r="F632" t="s">
        <v>5453</v>
      </c>
      <c r="G632" t="s">
        <v>5454</v>
      </c>
      <c r="H632" t="s">
        <v>4929</v>
      </c>
    </row>
    <row r="633" spans="1:8" x14ac:dyDescent="0.3">
      <c r="A633" t="s">
        <v>5564</v>
      </c>
      <c r="B633" s="1">
        <v>45173</v>
      </c>
      <c r="C633" t="s">
        <v>5452</v>
      </c>
      <c r="D633" t="s">
        <v>4926</v>
      </c>
      <c r="E633">
        <v>82.69</v>
      </c>
      <c r="F633" t="s">
        <v>5453</v>
      </c>
      <c r="G633" t="s">
        <v>5454</v>
      </c>
      <c r="H633" t="s">
        <v>4970</v>
      </c>
    </row>
    <row r="634" spans="1:8" x14ac:dyDescent="0.3">
      <c r="A634" t="s">
        <v>5565</v>
      </c>
      <c r="B634" s="1">
        <v>45174</v>
      </c>
      <c r="C634" t="s">
        <v>5452</v>
      </c>
      <c r="D634" t="s">
        <v>4926</v>
      </c>
      <c r="E634">
        <v>83.03</v>
      </c>
      <c r="F634" t="s">
        <v>5453</v>
      </c>
      <c r="G634" t="s">
        <v>5454</v>
      </c>
      <c r="H634" t="s">
        <v>4929</v>
      </c>
    </row>
    <row r="635" spans="1:8" x14ac:dyDescent="0.3">
      <c r="A635" t="s">
        <v>5566</v>
      </c>
      <c r="B635" s="1">
        <v>45175</v>
      </c>
      <c r="C635" t="s">
        <v>5452</v>
      </c>
      <c r="D635" t="s">
        <v>4926</v>
      </c>
      <c r="E635">
        <v>83.14</v>
      </c>
      <c r="F635" t="s">
        <v>5453</v>
      </c>
      <c r="G635" t="s">
        <v>5454</v>
      </c>
      <c r="H635" t="s">
        <v>4929</v>
      </c>
    </row>
    <row r="636" spans="1:8" x14ac:dyDescent="0.3">
      <c r="A636" t="s">
        <v>5567</v>
      </c>
      <c r="B636" s="1">
        <v>45176</v>
      </c>
      <c r="C636" t="s">
        <v>5452</v>
      </c>
      <c r="D636" t="s">
        <v>4926</v>
      </c>
      <c r="E636">
        <v>83.21</v>
      </c>
      <c r="F636" t="s">
        <v>5453</v>
      </c>
      <c r="G636" t="s">
        <v>5454</v>
      </c>
      <c r="H636" t="s">
        <v>4929</v>
      </c>
    </row>
    <row r="637" spans="1:8" x14ac:dyDescent="0.3">
      <c r="A637" t="s">
        <v>5568</v>
      </c>
      <c r="B637" s="1">
        <v>45177</v>
      </c>
      <c r="C637" t="s">
        <v>5452</v>
      </c>
      <c r="D637" t="s">
        <v>4926</v>
      </c>
      <c r="E637">
        <v>82.93</v>
      </c>
      <c r="F637" t="s">
        <v>5453</v>
      </c>
      <c r="G637" t="s">
        <v>5454</v>
      </c>
      <c r="H637" t="s">
        <v>4929</v>
      </c>
    </row>
    <row r="638" spans="1:8" x14ac:dyDescent="0.3">
      <c r="A638" t="s">
        <v>5569</v>
      </c>
      <c r="B638" s="1">
        <v>45180</v>
      </c>
      <c r="C638" t="s">
        <v>5452</v>
      </c>
      <c r="D638" t="s">
        <v>4926</v>
      </c>
      <c r="E638">
        <v>83.03</v>
      </c>
      <c r="F638" t="s">
        <v>5453</v>
      </c>
      <c r="G638" t="s">
        <v>5454</v>
      </c>
      <c r="H638" t="s">
        <v>4929</v>
      </c>
    </row>
    <row r="639" spans="1:8" x14ac:dyDescent="0.3">
      <c r="A639" t="s">
        <v>5570</v>
      </c>
      <c r="B639" s="1">
        <v>45181</v>
      </c>
      <c r="C639" t="s">
        <v>5452</v>
      </c>
      <c r="D639" t="s">
        <v>4926</v>
      </c>
      <c r="E639">
        <v>82.86</v>
      </c>
      <c r="F639" t="s">
        <v>5453</v>
      </c>
      <c r="G639" t="s">
        <v>5454</v>
      </c>
      <c r="H639" t="s">
        <v>4929</v>
      </c>
    </row>
    <row r="640" spans="1:8" x14ac:dyDescent="0.3">
      <c r="A640" t="s">
        <v>5571</v>
      </c>
      <c r="B640" s="1">
        <v>45182</v>
      </c>
      <c r="C640" t="s">
        <v>5452</v>
      </c>
      <c r="D640" t="s">
        <v>4926</v>
      </c>
      <c r="E640">
        <v>82.93</v>
      </c>
      <c r="F640" t="s">
        <v>5453</v>
      </c>
      <c r="G640" t="s">
        <v>5454</v>
      </c>
      <c r="H640" t="s">
        <v>4929</v>
      </c>
    </row>
    <row r="641" spans="1:8" x14ac:dyDescent="0.3">
      <c r="A641" t="s">
        <v>5572</v>
      </c>
      <c r="B641" s="1">
        <v>45183</v>
      </c>
      <c r="C641" t="s">
        <v>5452</v>
      </c>
      <c r="D641" t="s">
        <v>4926</v>
      </c>
      <c r="E641">
        <v>83.02</v>
      </c>
      <c r="F641" t="s">
        <v>5453</v>
      </c>
      <c r="G641" t="s">
        <v>5454</v>
      </c>
      <c r="H641" t="s">
        <v>4929</v>
      </c>
    </row>
    <row r="642" spans="1:8" x14ac:dyDescent="0.3">
      <c r="A642" t="s">
        <v>5573</v>
      </c>
      <c r="B642" s="1">
        <v>45184</v>
      </c>
      <c r="C642" t="s">
        <v>5452</v>
      </c>
      <c r="D642" t="s">
        <v>4926</v>
      </c>
      <c r="E642">
        <v>83.15</v>
      </c>
      <c r="F642" t="s">
        <v>5453</v>
      </c>
      <c r="G642" t="s">
        <v>5454</v>
      </c>
      <c r="H642" t="s">
        <v>4929</v>
      </c>
    </row>
    <row r="643" spans="1:8" x14ac:dyDescent="0.3">
      <c r="A643" t="s">
        <v>5574</v>
      </c>
      <c r="B643" s="1">
        <v>45187</v>
      </c>
      <c r="C643" t="s">
        <v>5452</v>
      </c>
      <c r="D643" t="s">
        <v>4926</v>
      </c>
      <c r="E643">
        <v>83.27</v>
      </c>
      <c r="F643" t="s">
        <v>5453</v>
      </c>
      <c r="G643" t="s">
        <v>5454</v>
      </c>
      <c r="H643" t="s">
        <v>4929</v>
      </c>
    </row>
    <row r="644" spans="1:8" x14ac:dyDescent="0.3">
      <c r="A644" t="s">
        <v>5575</v>
      </c>
      <c r="B644" s="1">
        <v>45188</v>
      </c>
      <c r="C644" t="s">
        <v>5452</v>
      </c>
      <c r="D644" t="s">
        <v>4926</v>
      </c>
      <c r="E644">
        <v>83.27</v>
      </c>
      <c r="F644" t="s">
        <v>5453</v>
      </c>
      <c r="G644" t="s">
        <v>5454</v>
      </c>
      <c r="H644" t="s">
        <v>4929</v>
      </c>
    </row>
    <row r="645" spans="1:8" x14ac:dyDescent="0.3">
      <c r="A645" t="s">
        <v>5576</v>
      </c>
      <c r="B645" s="1">
        <v>45189</v>
      </c>
      <c r="C645" t="s">
        <v>5452</v>
      </c>
      <c r="D645" t="s">
        <v>4926</v>
      </c>
      <c r="E645">
        <v>83.07</v>
      </c>
      <c r="F645" t="s">
        <v>5453</v>
      </c>
      <c r="G645" t="s">
        <v>5454</v>
      </c>
      <c r="H645" t="s">
        <v>4929</v>
      </c>
    </row>
    <row r="646" spans="1:8" x14ac:dyDescent="0.3">
      <c r="A646" t="s">
        <v>5577</v>
      </c>
      <c r="B646" s="1">
        <v>45190</v>
      </c>
      <c r="C646" t="s">
        <v>5452</v>
      </c>
      <c r="D646" t="s">
        <v>4926</v>
      </c>
      <c r="E646">
        <v>83.11</v>
      </c>
      <c r="F646" t="s">
        <v>5453</v>
      </c>
      <c r="G646" t="s">
        <v>5454</v>
      </c>
      <c r="H646" t="s">
        <v>4929</v>
      </c>
    </row>
    <row r="647" spans="1:8" x14ac:dyDescent="0.3">
      <c r="A647" t="s">
        <v>5578</v>
      </c>
      <c r="B647" s="1">
        <v>45191</v>
      </c>
      <c r="C647" t="s">
        <v>5452</v>
      </c>
      <c r="D647" t="s">
        <v>4926</v>
      </c>
      <c r="E647">
        <v>82.95</v>
      </c>
      <c r="F647" t="s">
        <v>5453</v>
      </c>
      <c r="G647" t="s">
        <v>5454</v>
      </c>
      <c r="H647" t="s">
        <v>4929</v>
      </c>
    </row>
    <row r="648" spans="1:8" x14ac:dyDescent="0.3">
      <c r="A648" t="s">
        <v>5579</v>
      </c>
      <c r="B648" s="1">
        <v>45194</v>
      </c>
      <c r="C648" t="s">
        <v>5452</v>
      </c>
      <c r="D648" t="s">
        <v>4926</v>
      </c>
      <c r="E648">
        <v>83.11</v>
      </c>
      <c r="F648" t="s">
        <v>5453</v>
      </c>
      <c r="G648" t="s">
        <v>5454</v>
      </c>
      <c r="H648" t="s">
        <v>4929</v>
      </c>
    </row>
    <row r="649" spans="1:8" x14ac:dyDescent="0.3">
      <c r="A649" t="s">
        <v>5580</v>
      </c>
      <c r="B649" s="1">
        <v>45195</v>
      </c>
      <c r="C649" t="s">
        <v>5452</v>
      </c>
      <c r="D649" t="s">
        <v>4926</v>
      </c>
      <c r="E649">
        <v>83.24</v>
      </c>
      <c r="F649" t="s">
        <v>5453</v>
      </c>
      <c r="G649" t="s">
        <v>5454</v>
      </c>
      <c r="H649" t="s">
        <v>4929</v>
      </c>
    </row>
    <row r="650" spans="1:8" x14ac:dyDescent="0.3">
      <c r="A650" t="s">
        <v>5581</v>
      </c>
      <c r="B650" s="1">
        <v>45196</v>
      </c>
      <c r="C650" t="s">
        <v>5452</v>
      </c>
      <c r="D650" t="s">
        <v>4926</v>
      </c>
      <c r="E650">
        <v>83.18</v>
      </c>
      <c r="F650" t="s">
        <v>5453</v>
      </c>
      <c r="G650" t="s">
        <v>5454</v>
      </c>
      <c r="H650" t="s">
        <v>4929</v>
      </c>
    </row>
    <row r="651" spans="1:8" x14ac:dyDescent="0.3">
      <c r="A651" t="s">
        <v>5582</v>
      </c>
      <c r="B651" s="1">
        <v>45197</v>
      </c>
      <c r="C651" t="s">
        <v>5452</v>
      </c>
      <c r="D651" t="s">
        <v>4926</v>
      </c>
      <c r="E651">
        <v>83.13</v>
      </c>
      <c r="F651" t="s">
        <v>5453</v>
      </c>
      <c r="G651" t="s">
        <v>5454</v>
      </c>
      <c r="H651" t="s">
        <v>4929</v>
      </c>
    </row>
    <row r="652" spans="1:8" x14ac:dyDescent="0.3">
      <c r="A652" t="s">
        <v>5583</v>
      </c>
      <c r="B652" s="1">
        <v>45198</v>
      </c>
      <c r="C652" t="s">
        <v>5452</v>
      </c>
      <c r="D652" t="s">
        <v>4926</v>
      </c>
      <c r="E652">
        <v>83.08</v>
      </c>
      <c r="F652" t="s">
        <v>5453</v>
      </c>
      <c r="G652" t="s">
        <v>5454</v>
      </c>
      <c r="H652" t="s">
        <v>4929</v>
      </c>
    </row>
    <row r="653" spans="1:8" x14ac:dyDescent="0.3">
      <c r="A653" t="s">
        <v>5584</v>
      </c>
      <c r="B653" s="1">
        <v>45201</v>
      </c>
      <c r="C653" t="s">
        <v>5452</v>
      </c>
      <c r="D653" t="s">
        <v>4926</v>
      </c>
      <c r="E653">
        <v>83.04</v>
      </c>
      <c r="F653" t="s">
        <v>5453</v>
      </c>
      <c r="G653" t="s">
        <v>5454</v>
      </c>
      <c r="H653" t="s">
        <v>4929</v>
      </c>
    </row>
    <row r="654" spans="1:8" x14ac:dyDescent="0.3">
      <c r="A654" t="s">
        <v>5585</v>
      </c>
      <c r="B654" s="1">
        <v>45202</v>
      </c>
      <c r="C654" t="s">
        <v>5452</v>
      </c>
      <c r="D654" t="s">
        <v>4926</v>
      </c>
      <c r="E654">
        <v>83.22</v>
      </c>
      <c r="F654" t="s">
        <v>5453</v>
      </c>
      <c r="G654" t="s">
        <v>5454</v>
      </c>
      <c r="H654" t="s">
        <v>4929</v>
      </c>
    </row>
    <row r="655" spans="1:8" x14ac:dyDescent="0.3">
      <c r="A655" t="s">
        <v>5586</v>
      </c>
      <c r="B655" s="1">
        <v>45203</v>
      </c>
      <c r="C655" t="s">
        <v>5452</v>
      </c>
      <c r="D655" t="s">
        <v>4926</v>
      </c>
      <c r="E655">
        <v>83.25</v>
      </c>
      <c r="F655" t="s">
        <v>5453</v>
      </c>
      <c r="G655" t="s">
        <v>5454</v>
      </c>
      <c r="H655" t="s">
        <v>4929</v>
      </c>
    </row>
    <row r="656" spans="1:8" x14ac:dyDescent="0.3">
      <c r="A656" t="s">
        <v>5587</v>
      </c>
      <c r="B656" s="1">
        <v>45204</v>
      </c>
      <c r="C656" t="s">
        <v>5452</v>
      </c>
      <c r="D656" t="s">
        <v>4926</v>
      </c>
      <c r="E656">
        <v>83.24</v>
      </c>
      <c r="F656" t="s">
        <v>5453</v>
      </c>
      <c r="G656" t="s">
        <v>5454</v>
      </c>
      <c r="H656" t="s">
        <v>4929</v>
      </c>
    </row>
    <row r="657" spans="1:8" x14ac:dyDescent="0.3">
      <c r="A657" t="s">
        <v>5588</v>
      </c>
      <c r="B657" s="1">
        <v>45205</v>
      </c>
      <c r="C657" t="s">
        <v>5452</v>
      </c>
      <c r="D657" t="s">
        <v>4926</v>
      </c>
      <c r="E657">
        <v>83.25</v>
      </c>
      <c r="F657" t="s">
        <v>5453</v>
      </c>
      <c r="G657" t="s">
        <v>5454</v>
      </c>
      <c r="H657" t="s">
        <v>4929</v>
      </c>
    </row>
    <row r="658" spans="1:8" x14ac:dyDescent="0.3">
      <c r="A658" t="s">
        <v>5589</v>
      </c>
      <c r="B658" s="1">
        <v>45208</v>
      </c>
      <c r="C658" t="s">
        <v>5452</v>
      </c>
      <c r="D658" t="s">
        <v>4926</v>
      </c>
      <c r="E658">
        <v>83.25</v>
      </c>
      <c r="F658" t="s">
        <v>5453</v>
      </c>
      <c r="G658" t="s">
        <v>5454</v>
      </c>
      <c r="H658" t="s">
        <v>4970</v>
      </c>
    </row>
    <row r="659" spans="1:8" x14ac:dyDescent="0.3">
      <c r="A659" t="s">
        <v>5590</v>
      </c>
      <c r="B659" s="1">
        <v>45209</v>
      </c>
      <c r="C659" t="s">
        <v>5452</v>
      </c>
      <c r="D659" t="s">
        <v>4926</v>
      </c>
      <c r="E659">
        <v>83.25</v>
      </c>
      <c r="F659" t="s">
        <v>5453</v>
      </c>
      <c r="G659" t="s">
        <v>5454</v>
      </c>
      <c r="H659" t="s">
        <v>4929</v>
      </c>
    </row>
    <row r="660" spans="1:8" x14ac:dyDescent="0.3">
      <c r="A660" t="s">
        <v>5591</v>
      </c>
      <c r="B660" s="1">
        <v>45210</v>
      </c>
      <c r="C660" t="s">
        <v>5452</v>
      </c>
      <c r="D660" t="s">
        <v>4926</v>
      </c>
      <c r="E660">
        <v>83.18</v>
      </c>
      <c r="F660" t="s">
        <v>5453</v>
      </c>
      <c r="G660" t="s">
        <v>5454</v>
      </c>
      <c r="H660" t="s">
        <v>4929</v>
      </c>
    </row>
    <row r="661" spans="1:8" x14ac:dyDescent="0.3">
      <c r="A661" t="s">
        <v>5592</v>
      </c>
      <c r="B661" s="1">
        <v>45211</v>
      </c>
      <c r="C661" t="s">
        <v>5452</v>
      </c>
      <c r="D661" t="s">
        <v>4926</v>
      </c>
      <c r="E661">
        <v>83.28</v>
      </c>
      <c r="F661" t="s">
        <v>5453</v>
      </c>
      <c r="G661" t="s">
        <v>5454</v>
      </c>
      <c r="H661" t="s">
        <v>4929</v>
      </c>
    </row>
    <row r="662" spans="1:8" x14ac:dyDescent="0.3">
      <c r="A662" t="s">
        <v>5593</v>
      </c>
      <c r="B662" s="1">
        <v>45212</v>
      </c>
      <c r="C662" t="s">
        <v>5452</v>
      </c>
      <c r="D662" t="s">
        <v>4926</v>
      </c>
      <c r="E662">
        <v>83.26</v>
      </c>
      <c r="F662" t="s">
        <v>5453</v>
      </c>
      <c r="G662" t="s">
        <v>5454</v>
      </c>
      <c r="H662" t="s">
        <v>4929</v>
      </c>
    </row>
    <row r="663" spans="1:8" x14ac:dyDescent="0.3">
      <c r="A663" t="s">
        <v>5594</v>
      </c>
      <c r="B663" s="1">
        <v>45215</v>
      </c>
      <c r="C663" t="s">
        <v>5452</v>
      </c>
      <c r="D663" t="s">
        <v>4926</v>
      </c>
      <c r="E663">
        <v>83.28</v>
      </c>
      <c r="F663" t="s">
        <v>5453</v>
      </c>
      <c r="G663" t="s">
        <v>5454</v>
      </c>
      <c r="H663" t="s">
        <v>4929</v>
      </c>
    </row>
    <row r="664" spans="1:8" x14ac:dyDescent="0.3">
      <c r="A664" t="s">
        <v>5595</v>
      </c>
      <c r="B664" s="1">
        <v>45216</v>
      </c>
      <c r="C664" t="s">
        <v>5452</v>
      </c>
      <c r="D664" t="s">
        <v>4926</v>
      </c>
      <c r="E664">
        <v>83.22</v>
      </c>
      <c r="F664" t="s">
        <v>5453</v>
      </c>
      <c r="G664" t="s">
        <v>5454</v>
      </c>
      <c r="H664" t="s">
        <v>4929</v>
      </c>
    </row>
    <row r="665" spans="1:8" x14ac:dyDescent="0.3">
      <c r="A665" t="s">
        <v>5596</v>
      </c>
      <c r="B665" s="1">
        <v>45217</v>
      </c>
      <c r="C665" t="s">
        <v>5452</v>
      </c>
      <c r="D665" t="s">
        <v>4926</v>
      </c>
      <c r="E665">
        <v>83.25</v>
      </c>
      <c r="F665" t="s">
        <v>5453</v>
      </c>
      <c r="G665" t="s">
        <v>5454</v>
      </c>
      <c r="H665" t="s">
        <v>4929</v>
      </c>
    </row>
    <row r="666" spans="1:8" x14ac:dyDescent="0.3">
      <c r="A666" t="s">
        <v>5597</v>
      </c>
      <c r="B666" s="1">
        <v>45218</v>
      </c>
      <c r="C666" t="s">
        <v>5452</v>
      </c>
      <c r="D666" t="s">
        <v>4926</v>
      </c>
      <c r="E666">
        <v>83.1</v>
      </c>
      <c r="F666" t="s">
        <v>5453</v>
      </c>
      <c r="G666" t="s">
        <v>5454</v>
      </c>
      <c r="H666" t="s">
        <v>4929</v>
      </c>
    </row>
    <row r="667" spans="1:8" x14ac:dyDescent="0.3">
      <c r="A667" t="s">
        <v>5598</v>
      </c>
      <c r="B667" s="1">
        <v>45219</v>
      </c>
      <c r="C667" t="s">
        <v>5452</v>
      </c>
      <c r="D667" t="s">
        <v>4926</v>
      </c>
      <c r="E667">
        <v>83.14</v>
      </c>
      <c r="F667" t="s">
        <v>5453</v>
      </c>
      <c r="G667" t="s">
        <v>5454</v>
      </c>
      <c r="H667" t="s">
        <v>4929</v>
      </c>
    </row>
    <row r="668" spans="1:8" x14ac:dyDescent="0.3">
      <c r="A668" t="s">
        <v>5599</v>
      </c>
      <c r="B668" s="1">
        <v>45222</v>
      </c>
      <c r="C668" t="s">
        <v>5452</v>
      </c>
      <c r="D668" t="s">
        <v>4926</v>
      </c>
      <c r="E668">
        <v>83.19</v>
      </c>
      <c r="F668" t="s">
        <v>5453</v>
      </c>
      <c r="G668" t="s">
        <v>5454</v>
      </c>
      <c r="H668" t="s">
        <v>4929</v>
      </c>
    </row>
    <row r="669" spans="1:8" x14ac:dyDescent="0.3">
      <c r="A669" t="s">
        <v>5600</v>
      </c>
      <c r="B669" s="1">
        <v>45223</v>
      </c>
      <c r="C669" t="s">
        <v>5452</v>
      </c>
      <c r="D669" t="s">
        <v>4926</v>
      </c>
      <c r="E669">
        <v>83.19</v>
      </c>
      <c r="F669" t="s">
        <v>5453</v>
      </c>
      <c r="G669" t="s">
        <v>5454</v>
      </c>
      <c r="H669" t="s">
        <v>4929</v>
      </c>
    </row>
    <row r="670" spans="1:8" x14ac:dyDescent="0.3">
      <c r="A670" t="s">
        <v>5601</v>
      </c>
      <c r="B670" s="1">
        <v>45224</v>
      </c>
      <c r="C670" t="s">
        <v>5452</v>
      </c>
      <c r="D670" t="s">
        <v>4926</v>
      </c>
      <c r="E670">
        <v>83.18</v>
      </c>
      <c r="F670" t="s">
        <v>5453</v>
      </c>
      <c r="G670" t="s">
        <v>5454</v>
      </c>
      <c r="H670" t="s">
        <v>4929</v>
      </c>
    </row>
    <row r="671" spans="1:8" x14ac:dyDescent="0.3">
      <c r="A671" t="s">
        <v>5602</v>
      </c>
      <c r="B671" s="1">
        <v>45225</v>
      </c>
      <c r="C671" t="s">
        <v>5452</v>
      </c>
      <c r="D671" t="s">
        <v>4926</v>
      </c>
      <c r="E671">
        <v>83.24</v>
      </c>
      <c r="F671" t="s">
        <v>5453</v>
      </c>
      <c r="G671" t="s">
        <v>5454</v>
      </c>
      <c r="H671" t="s">
        <v>4929</v>
      </c>
    </row>
    <row r="672" spans="1:8" x14ac:dyDescent="0.3">
      <c r="A672" t="s">
        <v>5603</v>
      </c>
      <c r="B672" s="1">
        <v>45226</v>
      </c>
      <c r="C672" t="s">
        <v>5452</v>
      </c>
      <c r="D672" t="s">
        <v>4926</v>
      </c>
      <c r="E672">
        <v>83.27</v>
      </c>
      <c r="F672" t="s">
        <v>5453</v>
      </c>
      <c r="G672" t="s">
        <v>5454</v>
      </c>
      <c r="H672" t="s">
        <v>4929</v>
      </c>
    </row>
    <row r="673" spans="1:8" x14ac:dyDescent="0.3">
      <c r="A673" t="s">
        <v>5604</v>
      </c>
      <c r="B673" s="1">
        <v>45229</v>
      </c>
      <c r="C673" t="s">
        <v>5452</v>
      </c>
      <c r="D673" t="s">
        <v>4926</v>
      </c>
      <c r="E673">
        <v>83.25</v>
      </c>
      <c r="F673" t="s">
        <v>5453</v>
      </c>
      <c r="G673" t="s">
        <v>5454</v>
      </c>
      <c r="H673" t="s">
        <v>4929</v>
      </c>
    </row>
    <row r="674" spans="1:8" x14ac:dyDescent="0.3">
      <c r="A674" t="s">
        <v>5605</v>
      </c>
      <c r="B674" s="1">
        <v>45230</v>
      </c>
      <c r="C674" t="s">
        <v>5452</v>
      </c>
      <c r="D674" t="s">
        <v>4926</v>
      </c>
      <c r="E674">
        <v>83.26</v>
      </c>
      <c r="F674" t="s">
        <v>5453</v>
      </c>
      <c r="G674" t="s">
        <v>5454</v>
      </c>
      <c r="H674" t="s">
        <v>4929</v>
      </c>
    </row>
    <row r="675" spans="1:8" x14ac:dyDescent="0.3">
      <c r="A675" t="s">
        <v>5606</v>
      </c>
      <c r="B675" s="1">
        <v>45231</v>
      </c>
      <c r="C675" t="s">
        <v>5452</v>
      </c>
      <c r="D675" t="s">
        <v>4926</v>
      </c>
      <c r="E675">
        <v>83.24</v>
      </c>
      <c r="F675" t="s">
        <v>5453</v>
      </c>
      <c r="G675" t="s">
        <v>5454</v>
      </c>
      <c r="H675" t="s">
        <v>4929</v>
      </c>
    </row>
    <row r="676" spans="1:8" x14ac:dyDescent="0.3">
      <c r="A676" t="s">
        <v>5607</v>
      </c>
      <c r="B676" s="1">
        <v>45232</v>
      </c>
      <c r="C676" t="s">
        <v>5452</v>
      </c>
      <c r="D676" t="s">
        <v>4926</v>
      </c>
      <c r="E676">
        <v>83.22</v>
      </c>
      <c r="F676" t="s">
        <v>5453</v>
      </c>
      <c r="G676" t="s">
        <v>5454</v>
      </c>
      <c r="H676" t="s">
        <v>4929</v>
      </c>
    </row>
    <row r="677" spans="1:8" x14ac:dyDescent="0.3">
      <c r="A677" t="s">
        <v>5608</v>
      </c>
      <c r="B677" s="1">
        <v>45233</v>
      </c>
      <c r="C677" t="s">
        <v>5452</v>
      </c>
      <c r="D677" t="s">
        <v>4926</v>
      </c>
      <c r="E677">
        <v>83.14</v>
      </c>
      <c r="F677" t="s">
        <v>5453</v>
      </c>
      <c r="G677" t="s">
        <v>5454</v>
      </c>
      <c r="H677" t="s">
        <v>4929</v>
      </c>
    </row>
    <row r="678" spans="1:8" x14ac:dyDescent="0.3">
      <c r="A678" t="s">
        <v>5609</v>
      </c>
      <c r="B678" s="1">
        <v>45236</v>
      </c>
      <c r="C678" t="s">
        <v>5452</v>
      </c>
      <c r="D678" t="s">
        <v>4926</v>
      </c>
      <c r="E678">
        <v>83.19</v>
      </c>
      <c r="F678" t="s">
        <v>5453</v>
      </c>
      <c r="G678" t="s">
        <v>5454</v>
      </c>
      <c r="H678" t="s">
        <v>4929</v>
      </c>
    </row>
    <row r="679" spans="1:8" x14ac:dyDescent="0.3">
      <c r="A679" t="s">
        <v>5610</v>
      </c>
      <c r="B679" s="1">
        <v>45237</v>
      </c>
      <c r="C679" t="s">
        <v>5452</v>
      </c>
      <c r="D679" t="s">
        <v>4926</v>
      </c>
      <c r="E679">
        <v>83.22</v>
      </c>
      <c r="F679" t="s">
        <v>5453</v>
      </c>
      <c r="G679" t="s">
        <v>5454</v>
      </c>
      <c r="H679" t="s">
        <v>4929</v>
      </c>
    </row>
    <row r="680" spans="1:8" x14ac:dyDescent="0.3">
      <c r="A680" t="s">
        <v>5611</v>
      </c>
      <c r="B680" s="1">
        <v>45238</v>
      </c>
      <c r="C680" t="s">
        <v>5452</v>
      </c>
      <c r="D680" t="s">
        <v>4926</v>
      </c>
      <c r="E680">
        <v>83.28</v>
      </c>
      <c r="F680" t="s">
        <v>5453</v>
      </c>
      <c r="G680" t="s">
        <v>5454</v>
      </c>
      <c r="H680" t="s">
        <v>4929</v>
      </c>
    </row>
    <row r="681" spans="1:8" x14ac:dyDescent="0.3">
      <c r="A681" t="s">
        <v>5612</v>
      </c>
      <c r="B681" s="1">
        <v>45239</v>
      </c>
      <c r="C681" t="s">
        <v>5452</v>
      </c>
      <c r="D681" t="s">
        <v>4926</v>
      </c>
      <c r="E681">
        <v>83.25</v>
      </c>
      <c r="F681" t="s">
        <v>5453</v>
      </c>
      <c r="G681" t="s">
        <v>5454</v>
      </c>
      <c r="H681" t="s">
        <v>4929</v>
      </c>
    </row>
    <row r="682" spans="1:8" x14ac:dyDescent="0.3">
      <c r="A682" t="s">
        <v>5613</v>
      </c>
      <c r="B682" s="1">
        <v>45240</v>
      </c>
      <c r="C682" t="s">
        <v>5452</v>
      </c>
      <c r="D682" t="s">
        <v>4926</v>
      </c>
      <c r="E682">
        <v>83.25</v>
      </c>
      <c r="F682" t="s">
        <v>5453</v>
      </c>
      <c r="G682" t="s">
        <v>5454</v>
      </c>
      <c r="H682" t="s">
        <v>4970</v>
      </c>
    </row>
    <row r="683" spans="1:8" x14ac:dyDescent="0.3">
      <c r="A683" t="s">
        <v>5614</v>
      </c>
      <c r="B683" s="1">
        <v>45243</v>
      </c>
      <c r="C683" t="s">
        <v>5452</v>
      </c>
      <c r="D683" t="s">
        <v>4926</v>
      </c>
      <c r="E683">
        <v>83.32</v>
      </c>
      <c r="F683" t="s">
        <v>5453</v>
      </c>
      <c r="G683" t="s">
        <v>5454</v>
      </c>
      <c r="H683" t="s">
        <v>4929</v>
      </c>
    </row>
    <row r="684" spans="1:8" x14ac:dyDescent="0.3">
      <c r="A684" t="s">
        <v>5615</v>
      </c>
      <c r="B684" s="1">
        <v>45244</v>
      </c>
      <c r="C684" t="s">
        <v>5452</v>
      </c>
      <c r="D684" t="s">
        <v>4926</v>
      </c>
      <c r="E684">
        <v>83.32</v>
      </c>
      <c r="F684" t="s">
        <v>5453</v>
      </c>
      <c r="G684" t="s">
        <v>5454</v>
      </c>
      <c r="H684" t="s">
        <v>4929</v>
      </c>
    </row>
    <row r="685" spans="1:8" x14ac:dyDescent="0.3">
      <c r="A685" t="s">
        <v>5616</v>
      </c>
      <c r="B685" s="1">
        <v>45245</v>
      </c>
      <c r="C685" t="s">
        <v>5452</v>
      </c>
      <c r="D685" t="s">
        <v>4926</v>
      </c>
      <c r="E685">
        <v>83.11</v>
      </c>
      <c r="F685" t="s">
        <v>5453</v>
      </c>
      <c r="G685" t="s">
        <v>5454</v>
      </c>
      <c r="H685" t="s">
        <v>4929</v>
      </c>
    </row>
    <row r="686" spans="1:8" x14ac:dyDescent="0.3">
      <c r="A686" t="s">
        <v>5617</v>
      </c>
      <c r="B686" s="1">
        <v>45246</v>
      </c>
      <c r="C686" t="s">
        <v>5452</v>
      </c>
      <c r="D686" t="s">
        <v>4926</v>
      </c>
      <c r="E686">
        <v>83.22</v>
      </c>
      <c r="F686" t="s">
        <v>5453</v>
      </c>
      <c r="G686" t="s">
        <v>5454</v>
      </c>
      <c r="H686" t="s">
        <v>4929</v>
      </c>
    </row>
    <row r="687" spans="1:8" x14ac:dyDescent="0.3">
      <c r="A687" t="s">
        <v>5618</v>
      </c>
      <c r="B687" s="1">
        <v>45247</v>
      </c>
      <c r="C687" t="s">
        <v>5452</v>
      </c>
      <c r="D687" t="s">
        <v>4926</v>
      </c>
      <c r="E687">
        <v>83.25</v>
      </c>
      <c r="F687" t="s">
        <v>5453</v>
      </c>
      <c r="G687" t="s">
        <v>5454</v>
      </c>
      <c r="H687" t="s">
        <v>4929</v>
      </c>
    </row>
    <row r="688" spans="1:8" x14ac:dyDescent="0.3">
      <c r="A688" t="s">
        <v>5619</v>
      </c>
      <c r="B688" s="1">
        <v>45250</v>
      </c>
      <c r="C688" t="s">
        <v>5452</v>
      </c>
      <c r="D688" t="s">
        <v>4926</v>
      </c>
      <c r="E688">
        <v>83.33</v>
      </c>
      <c r="F688" t="s">
        <v>5453</v>
      </c>
      <c r="G688" t="s">
        <v>5454</v>
      </c>
      <c r="H688" t="s">
        <v>4929</v>
      </c>
    </row>
    <row r="689" spans="1:8" x14ac:dyDescent="0.3">
      <c r="A689" t="s">
        <v>5620</v>
      </c>
      <c r="B689" s="1">
        <v>45251</v>
      </c>
      <c r="C689" t="s">
        <v>5452</v>
      </c>
      <c r="D689" t="s">
        <v>4926</v>
      </c>
      <c r="E689">
        <v>83.26</v>
      </c>
      <c r="F689" t="s">
        <v>5453</v>
      </c>
      <c r="G689" t="s">
        <v>5454</v>
      </c>
      <c r="H689" t="s">
        <v>4929</v>
      </c>
    </row>
    <row r="690" spans="1:8" x14ac:dyDescent="0.3">
      <c r="A690" t="s">
        <v>5621</v>
      </c>
      <c r="B690" s="1">
        <v>45252</v>
      </c>
      <c r="C690" t="s">
        <v>5452</v>
      </c>
      <c r="D690" t="s">
        <v>4926</v>
      </c>
      <c r="E690">
        <v>83.29</v>
      </c>
      <c r="F690" t="s">
        <v>5453</v>
      </c>
      <c r="G690" t="s">
        <v>5454</v>
      </c>
      <c r="H690" t="s">
        <v>4929</v>
      </c>
    </row>
    <row r="691" spans="1:8" x14ac:dyDescent="0.3">
      <c r="A691" t="s">
        <v>5622</v>
      </c>
      <c r="B691" s="1">
        <v>45253</v>
      </c>
      <c r="C691" t="s">
        <v>5452</v>
      </c>
      <c r="D691" t="s">
        <v>4926</v>
      </c>
      <c r="E691">
        <v>83.29</v>
      </c>
      <c r="F691" t="s">
        <v>5453</v>
      </c>
      <c r="G691" t="s">
        <v>5454</v>
      </c>
      <c r="H691" t="s">
        <v>4970</v>
      </c>
    </row>
    <row r="692" spans="1:8" x14ac:dyDescent="0.3">
      <c r="A692" t="s">
        <v>5623</v>
      </c>
      <c r="B692" s="1">
        <v>45254</v>
      </c>
      <c r="C692" t="s">
        <v>5452</v>
      </c>
      <c r="D692" t="s">
        <v>4926</v>
      </c>
      <c r="E692">
        <v>83.34</v>
      </c>
      <c r="F692" t="s">
        <v>5453</v>
      </c>
      <c r="G692" t="s">
        <v>5454</v>
      </c>
      <c r="H692" t="s">
        <v>4929</v>
      </c>
    </row>
    <row r="693" spans="1:8" x14ac:dyDescent="0.3">
      <c r="A693" t="s">
        <v>5624</v>
      </c>
      <c r="B693" s="1">
        <v>45257</v>
      </c>
      <c r="C693" t="s">
        <v>5452</v>
      </c>
      <c r="D693" t="s">
        <v>4926</v>
      </c>
      <c r="E693">
        <v>83.34</v>
      </c>
      <c r="F693" t="s">
        <v>5453</v>
      </c>
      <c r="G693" t="s">
        <v>5454</v>
      </c>
      <c r="H693" t="s">
        <v>4929</v>
      </c>
    </row>
    <row r="694" spans="1:8" x14ac:dyDescent="0.3">
      <c r="A694" t="s">
        <v>5625</v>
      </c>
      <c r="B694" s="1">
        <v>45258</v>
      </c>
      <c r="C694" t="s">
        <v>5452</v>
      </c>
      <c r="D694" t="s">
        <v>4926</v>
      </c>
      <c r="E694">
        <v>83.33</v>
      </c>
      <c r="F694" t="s">
        <v>5453</v>
      </c>
      <c r="G694" t="s">
        <v>5454</v>
      </c>
      <c r="H694" t="s">
        <v>4929</v>
      </c>
    </row>
    <row r="695" spans="1:8" x14ac:dyDescent="0.3">
      <c r="A695" t="s">
        <v>5626</v>
      </c>
      <c r="B695" s="1">
        <v>45259</v>
      </c>
      <c r="C695" t="s">
        <v>5452</v>
      </c>
      <c r="D695" t="s">
        <v>4926</v>
      </c>
      <c r="E695">
        <v>83.31</v>
      </c>
      <c r="F695" t="s">
        <v>5453</v>
      </c>
      <c r="G695" t="s">
        <v>5454</v>
      </c>
      <c r="H695" t="s">
        <v>4929</v>
      </c>
    </row>
    <row r="696" spans="1:8" x14ac:dyDescent="0.3">
      <c r="A696" t="s">
        <v>5627</v>
      </c>
      <c r="B696" s="1">
        <v>45260</v>
      </c>
      <c r="C696" t="s">
        <v>5452</v>
      </c>
      <c r="D696" t="s">
        <v>4926</v>
      </c>
      <c r="E696">
        <v>83.36</v>
      </c>
      <c r="F696" t="s">
        <v>5453</v>
      </c>
      <c r="G696" t="s">
        <v>5454</v>
      </c>
      <c r="H696" t="s">
        <v>4929</v>
      </c>
    </row>
    <row r="697" spans="1:8" x14ac:dyDescent="0.3">
      <c r="A697" t="s">
        <v>5628</v>
      </c>
      <c r="B697" s="1">
        <v>45261</v>
      </c>
      <c r="C697" t="s">
        <v>5452</v>
      </c>
      <c r="D697" t="s">
        <v>4926</v>
      </c>
      <c r="E697">
        <v>83.27</v>
      </c>
      <c r="F697" t="s">
        <v>5453</v>
      </c>
      <c r="G697" t="s">
        <v>5454</v>
      </c>
      <c r="H697" t="s">
        <v>4929</v>
      </c>
    </row>
    <row r="698" spans="1:8" x14ac:dyDescent="0.3">
      <c r="A698" t="s">
        <v>5629</v>
      </c>
      <c r="B698" s="1">
        <v>45264</v>
      </c>
      <c r="C698" t="s">
        <v>5452</v>
      </c>
      <c r="D698" t="s">
        <v>4926</v>
      </c>
      <c r="E698">
        <v>83.4</v>
      </c>
      <c r="F698" t="s">
        <v>5453</v>
      </c>
      <c r="G698" t="s">
        <v>5454</v>
      </c>
      <c r="H698" t="s">
        <v>4929</v>
      </c>
    </row>
    <row r="699" spans="1:8" x14ac:dyDescent="0.3">
      <c r="A699" t="s">
        <v>5630</v>
      </c>
      <c r="B699" s="1">
        <v>45265</v>
      </c>
      <c r="C699" t="s">
        <v>5452</v>
      </c>
      <c r="D699" t="s">
        <v>4926</v>
      </c>
      <c r="E699">
        <v>83.33</v>
      </c>
      <c r="F699" t="s">
        <v>5453</v>
      </c>
      <c r="G699" t="s">
        <v>5454</v>
      </c>
      <c r="H699" t="s">
        <v>4929</v>
      </c>
    </row>
    <row r="700" spans="1:8" x14ac:dyDescent="0.3">
      <c r="A700" t="s">
        <v>5631</v>
      </c>
      <c r="B700" s="1">
        <v>45266</v>
      </c>
      <c r="C700" t="s">
        <v>5452</v>
      </c>
      <c r="D700" t="s">
        <v>4926</v>
      </c>
      <c r="E700">
        <v>83.32</v>
      </c>
      <c r="F700" t="s">
        <v>5453</v>
      </c>
      <c r="G700" t="s">
        <v>5454</v>
      </c>
      <c r="H700" t="s">
        <v>4929</v>
      </c>
    </row>
    <row r="701" spans="1:8" x14ac:dyDescent="0.3">
      <c r="A701" t="s">
        <v>5632</v>
      </c>
      <c r="B701" s="1">
        <v>45267</v>
      </c>
      <c r="C701" t="s">
        <v>5452</v>
      </c>
      <c r="D701" t="s">
        <v>4926</v>
      </c>
      <c r="E701">
        <v>83.32</v>
      </c>
      <c r="F701" t="s">
        <v>5453</v>
      </c>
      <c r="G701" t="s">
        <v>5454</v>
      </c>
      <c r="H701" t="s">
        <v>4929</v>
      </c>
    </row>
    <row r="702" spans="1:8" x14ac:dyDescent="0.3">
      <c r="A702" t="s">
        <v>5633</v>
      </c>
      <c r="B702" s="1">
        <v>45268</v>
      </c>
      <c r="C702" t="s">
        <v>5452</v>
      </c>
      <c r="D702" t="s">
        <v>4926</v>
      </c>
      <c r="E702">
        <v>83.38</v>
      </c>
      <c r="F702" t="s">
        <v>5453</v>
      </c>
      <c r="G702" t="s">
        <v>5454</v>
      </c>
      <c r="H702" t="s">
        <v>4929</v>
      </c>
    </row>
    <row r="703" spans="1:8" x14ac:dyDescent="0.3">
      <c r="A703" t="s">
        <v>5634</v>
      </c>
      <c r="B703" s="1">
        <v>45271</v>
      </c>
      <c r="C703" t="s">
        <v>5452</v>
      </c>
      <c r="D703" t="s">
        <v>4926</v>
      </c>
      <c r="E703">
        <v>83.38</v>
      </c>
      <c r="F703" t="s">
        <v>5453</v>
      </c>
      <c r="G703" t="s">
        <v>5454</v>
      </c>
      <c r="H703" t="s">
        <v>4929</v>
      </c>
    </row>
    <row r="704" spans="1:8" x14ac:dyDescent="0.3">
      <c r="A704" t="s">
        <v>5635</v>
      </c>
      <c r="B704" s="1">
        <v>45272</v>
      </c>
      <c r="C704" t="s">
        <v>5452</v>
      </c>
      <c r="D704" t="s">
        <v>4926</v>
      </c>
      <c r="E704">
        <v>83.37</v>
      </c>
      <c r="F704" t="s">
        <v>5453</v>
      </c>
      <c r="G704" t="s">
        <v>5454</v>
      </c>
      <c r="H704" t="s">
        <v>4929</v>
      </c>
    </row>
    <row r="705" spans="1:8" x14ac:dyDescent="0.3">
      <c r="A705" t="s">
        <v>5636</v>
      </c>
      <c r="B705" s="1">
        <v>45273</v>
      </c>
      <c r="C705" t="s">
        <v>5452</v>
      </c>
      <c r="D705" t="s">
        <v>4926</v>
      </c>
      <c r="E705">
        <v>83.4</v>
      </c>
      <c r="F705" t="s">
        <v>5453</v>
      </c>
      <c r="G705" t="s">
        <v>5454</v>
      </c>
      <c r="H705" t="s">
        <v>4929</v>
      </c>
    </row>
    <row r="706" spans="1:8" x14ac:dyDescent="0.3">
      <c r="A706" t="s">
        <v>5637</v>
      </c>
      <c r="B706" s="1">
        <v>45274</v>
      </c>
      <c r="C706" t="s">
        <v>5452</v>
      </c>
      <c r="D706" t="s">
        <v>4926</v>
      </c>
      <c r="E706">
        <v>83.28</v>
      </c>
      <c r="F706" t="s">
        <v>5453</v>
      </c>
      <c r="G706" t="s">
        <v>5454</v>
      </c>
      <c r="H706" t="s">
        <v>4929</v>
      </c>
    </row>
    <row r="707" spans="1:8" x14ac:dyDescent="0.3">
      <c r="A707" t="s">
        <v>5638</v>
      </c>
      <c r="B707" s="1">
        <v>45275</v>
      </c>
      <c r="C707" t="s">
        <v>5452</v>
      </c>
      <c r="D707" t="s">
        <v>4926</v>
      </c>
      <c r="E707">
        <v>83.02</v>
      </c>
      <c r="F707" t="s">
        <v>5453</v>
      </c>
      <c r="G707" t="s">
        <v>5454</v>
      </c>
      <c r="H707" t="s">
        <v>4929</v>
      </c>
    </row>
    <row r="708" spans="1:8" x14ac:dyDescent="0.3">
      <c r="A708" t="s">
        <v>5639</v>
      </c>
      <c r="B708" s="1">
        <v>45278</v>
      </c>
      <c r="C708" t="s">
        <v>5452</v>
      </c>
      <c r="D708" t="s">
        <v>4926</v>
      </c>
      <c r="E708">
        <v>83.04</v>
      </c>
      <c r="F708" t="s">
        <v>5453</v>
      </c>
      <c r="G708" t="s">
        <v>5454</v>
      </c>
      <c r="H708" t="s">
        <v>4929</v>
      </c>
    </row>
    <row r="709" spans="1:8" x14ac:dyDescent="0.3">
      <c r="A709" t="s">
        <v>5640</v>
      </c>
      <c r="B709" s="1">
        <v>45279</v>
      </c>
      <c r="C709" t="s">
        <v>5452</v>
      </c>
      <c r="D709" t="s">
        <v>4926</v>
      </c>
      <c r="E709">
        <v>83.18</v>
      </c>
      <c r="F709" t="s">
        <v>5453</v>
      </c>
      <c r="G709" t="s">
        <v>5454</v>
      </c>
      <c r="H709" t="s">
        <v>4929</v>
      </c>
    </row>
    <row r="710" spans="1:8" x14ac:dyDescent="0.3">
      <c r="A710" t="s">
        <v>5641</v>
      </c>
      <c r="B710" s="1">
        <v>45280</v>
      </c>
      <c r="C710" t="s">
        <v>5452</v>
      </c>
      <c r="D710" t="s">
        <v>4926</v>
      </c>
      <c r="E710">
        <v>83.14</v>
      </c>
      <c r="F710" t="s">
        <v>5453</v>
      </c>
      <c r="G710" t="s">
        <v>5454</v>
      </c>
      <c r="H710" t="s">
        <v>4929</v>
      </c>
    </row>
    <row r="711" spans="1:8" x14ac:dyDescent="0.3">
      <c r="A711" t="s">
        <v>5642</v>
      </c>
      <c r="B711" s="1">
        <v>45281</v>
      </c>
      <c r="C711" t="s">
        <v>5452</v>
      </c>
      <c r="D711" t="s">
        <v>4926</v>
      </c>
      <c r="E711">
        <v>83.27</v>
      </c>
      <c r="F711" t="s">
        <v>5453</v>
      </c>
      <c r="G711" t="s">
        <v>5454</v>
      </c>
      <c r="H711" t="s">
        <v>4929</v>
      </c>
    </row>
    <row r="712" spans="1:8" x14ac:dyDescent="0.3">
      <c r="A712" t="s">
        <v>5643</v>
      </c>
      <c r="B712" s="1">
        <v>45282</v>
      </c>
      <c r="C712" t="s">
        <v>5452</v>
      </c>
      <c r="D712" t="s">
        <v>4926</v>
      </c>
      <c r="E712">
        <v>83.12</v>
      </c>
      <c r="F712" t="s">
        <v>5453</v>
      </c>
      <c r="G712" t="s">
        <v>5454</v>
      </c>
      <c r="H712" t="s">
        <v>4929</v>
      </c>
    </row>
    <row r="713" spans="1:8" x14ac:dyDescent="0.3">
      <c r="A713" t="s">
        <v>5644</v>
      </c>
      <c r="B713" s="1">
        <v>45285</v>
      </c>
      <c r="C713" t="s">
        <v>5452</v>
      </c>
      <c r="D713" t="s">
        <v>4926</v>
      </c>
      <c r="E713">
        <v>83.12</v>
      </c>
      <c r="F713" t="s">
        <v>5453</v>
      </c>
      <c r="G713" t="s">
        <v>5454</v>
      </c>
      <c r="H713" t="s">
        <v>4970</v>
      </c>
    </row>
    <row r="714" spans="1:8" x14ac:dyDescent="0.3">
      <c r="A714" t="s">
        <v>5645</v>
      </c>
      <c r="B714" s="1">
        <v>45286</v>
      </c>
      <c r="C714" t="s">
        <v>5452</v>
      </c>
      <c r="D714" t="s">
        <v>4926</v>
      </c>
      <c r="E714">
        <v>83.17</v>
      </c>
      <c r="F714" t="s">
        <v>5453</v>
      </c>
      <c r="G714" t="s">
        <v>5454</v>
      </c>
      <c r="H714" t="s">
        <v>4929</v>
      </c>
    </row>
    <row r="715" spans="1:8" x14ac:dyDescent="0.3">
      <c r="A715" t="s">
        <v>5646</v>
      </c>
      <c r="B715" s="1">
        <v>45287</v>
      </c>
      <c r="C715" t="s">
        <v>5452</v>
      </c>
      <c r="D715" t="s">
        <v>4926</v>
      </c>
      <c r="E715">
        <v>83.35</v>
      </c>
      <c r="F715" t="s">
        <v>5453</v>
      </c>
      <c r="G715" t="s">
        <v>5454</v>
      </c>
      <c r="H715" t="s">
        <v>4929</v>
      </c>
    </row>
    <row r="716" spans="1:8" x14ac:dyDescent="0.3">
      <c r="A716" t="s">
        <v>5647</v>
      </c>
      <c r="B716" s="1">
        <v>45288</v>
      </c>
      <c r="C716" t="s">
        <v>5452</v>
      </c>
      <c r="D716" t="s">
        <v>4926</v>
      </c>
      <c r="E716">
        <v>83.15</v>
      </c>
      <c r="F716" t="s">
        <v>5453</v>
      </c>
      <c r="G716" t="s">
        <v>5454</v>
      </c>
      <c r="H716" t="s">
        <v>4929</v>
      </c>
    </row>
    <row r="717" spans="1:8" x14ac:dyDescent="0.3">
      <c r="A717" t="s">
        <v>5648</v>
      </c>
      <c r="B717" s="1">
        <v>45289</v>
      </c>
      <c r="C717" t="s">
        <v>5452</v>
      </c>
      <c r="D717" t="s">
        <v>4926</v>
      </c>
      <c r="E717">
        <v>83.19</v>
      </c>
      <c r="F717" t="s">
        <v>5453</v>
      </c>
      <c r="G717" t="s">
        <v>5454</v>
      </c>
      <c r="H717" t="s">
        <v>4929</v>
      </c>
    </row>
    <row r="718" spans="1:8" x14ac:dyDescent="0.3">
      <c r="A718" t="s">
        <v>5649</v>
      </c>
      <c r="B718" s="1">
        <v>45292</v>
      </c>
      <c r="C718" t="s">
        <v>5452</v>
      </c>
      <c r="D718" t="s">
        <v>4926</v>
      </c>
      <c r="E718">
        <v>83.19</v>
      </c>
      <c r="F718" t="s">
        <v>5453</v>
      </c>
      <c r="G718" t="s">
        <v>5454</v>
      </c>
      <c r="H718" t="s">
        <v>4970</v>
      </c>
    </row>
    <row r="719" spans="1:8" x14ac:dyDescent="0.3">
      <c r="A719" t="s">
        <v>5650</v>
      </c>
      <c r="B719" s="1">
        <v>45293</v>
      </c>
      <c r="C719" t="s">
        <v>5452</v>
      </c>
      <c r="D719" t="s">
        <v>4926</v>
      </c>
      <c r="E719">
        <v>83.31</v>
      </c>
      <c r="F719" t="s">
        <v>5453</v>
      </c>
      <c r="G719" t="s">
        <v>5454</v>
      </c>
      <c r="H719" t="s">
        <v>4929</v>
      </c>
    </row>
    <row r="720" spans="1:8" x14ac:dyDescent="0.3">
      <c r="A720" t="s">
        <v>5651</v>
      </c>
      <c r="B720" s="1">
        <v>45294</v>
      </c>
      <c r="C720" t="s">
        <v>5452</v>
      </c>
      <c r="D720" t="s">
        <v>4926</v>
      </c>
      <c r="E720">
        <v>83.3</v>
      </c>
      <c r="F720" t="s">
        <v>5453</v>
      </c>
      <c r="G720" t="s">
        <v>5454</v>
      </c>
      <c r="H720" t="s">
        <v>4929</v>
      </c>
    </row>
    <row r="721" spans="1:8" x14ac:dyDescent="0.3">
      <c r="A721" t="s">
        <v>5652</v>
      </c>
      <c r="B721" s="1">
        <v>45295</v>
      </c>
      <c r="C721" t="s">
        <v>5452</v>
      </c>
      <c r="D721" t="s">
        <v>4926</v>
      </c>
      <c r="E721">
        <v>83.21</v>
      </c>
      <c r="F721" t="s">
        <v>5453</v>
      </c>
      <c r="G721" t="s">
        <v>5454</v>
      </c>
      <c r="H721" t="s">
        <v>4929</v>
      </c>
    </row>
    <row r="722" spans="1:8" x14ac:dyDescent="0.3">
      <c r="A722" t="s">
        <v>5653</v>
      </c>
      <c r="B722" s="1">
        <v>45296</v>
      </c>
      <c r="C722" t="s">
        <v>5452</v>
      </c>
      <c r="D722" t="s">
        <v>4926</v>
      </c>
      <c r="E722">
        <v>83.16</v>
      </c>
      <c r="F722" t="s">
        <v>5453</v>
      </c>
      <c r="G722" t="s">
        <v>5454</v>
      </c>
      <c r="H722" t="s">
        <v>4929</v>
      </c>
    </row>
    <row r="723" spans="1:8" x14ac:dyDescent="0.3">
      <c r="A723" t="s">
        <v>5654</v>
      </c>
      <c r="B723" s="1">
        <v>45299</v>
      </c>
      <c r="C723" t="s">
        <v>5452</v>
      </c>
      <c r="D723" t="s">
        <v>4926</v>
      </c>
      <c r="E723">
        <v>83.13</v>
      </c>
      <c r="F723" t="s">
        <v>5453</v>
      </c>
      <c r="G723" t="s">
        <v>5454</v>
      </c>
      <c r="H723" t="s">
        <v>4929</v>
      </c>
    </row>
    <row r="724" spans="1:8" x14ac:dyDescent="0.3">
      <c r="A724" t="s">
        <v>5655</v>
      </c>
      <c r="B724" s="1">
        <v>45300</v>
      </c>
      <c r="C724" t="s">
        <v>5452</v>
      </c>
      <c r="D724" t="s">
        <v>4926</v>
      </c>
      <c r="E724">
        <v>83.09</v>
      </c>
      <c r="F724" t="s">
        <v>5453</v>
      </c>
      <c r="G724" t="s">
        <v>5454</v>
      </c>
      <c r="H724" t="s">
        <v>4929</v>
      </c>
    </row>
    <row r="725" spans="1:8" x14ac:dyDescent="0.3">
      <c r="A725" t="s">
        <v>5656</v>
      </c>
      <c r="B725" s="1">
        <v>45301</v>
      </c>
      <c r="C725" t="s">
        <v>5452</v>
      </c>
      <c r="D725" t="s">
        <v>4926</v>
      </c>
      <c r="E725">
        <v>83.01</v>
      </c>
      <c r="F725" t="s">
        <v>5453</v>
      </c>
      <c r="G725" t="s">
        <v>5454</v>
      </c>
      <c r="H725" t="s">
        <v>4929</v>
      </c>
    </row>
    <row r="726" spans="1:8" x14ac:dyDescent="0.3">
      <c r="A726" t="s">
        <v>5657</v>
      </c>
      <c r="B726" s="1">
        <v>45302</v>
      </c>
      <c r="C726" t="s">
        <v>5452</v>
      </c>
      <c r="D726" t="s">
        <v>4926</v>
      </c>
      <c r="E726">
        <v>83.03</v>
      </c>
      <c r="F726" t="s">
        <v>5453</v>
      </c>
      <c r="G726" t="s">
        <v>5454</v>
      </c>
      <c r="H726" t="s">
        <v>4929</v>
      </c>
    </row>
    <row r="727" spans="1:8" x14ac:dyDescent="0.3">
      <c r="A727" t="s">
        <v>5658</v>
      </c>
      <c r="B727" s="1">
        <v>45303</v>
      </c>
      <c r="C727" t="s">
        <v>5452</v>
      </c>
      <c r="D727" t="s">
        <v>4926</v>
      </c>
      <c r="E727">
        <v>82.92</v>
      </c>
      <c r="F727" t="s">
        <v>5453</v>
      </c>
      <c r="G727" t="s">
        <v>5454</v>
      </c>
      <c r="H727" t="s">
        <v>4929</v>
      </c>
    </row>
    <row r="728" spans="1:8" x14ac:dyDescent="0.3">
      <c r="A728" t="s">
        <v>5659</v>
      </c>
      <c r="B728" s="1">
        <v>45306</v>
      </c>
      <c r="C728" t="s">
        <v>5452</v>
      </c>
      <c r="D728" t="s">
        <v>4926</v>
      </c>
      <c r="E728">
        <v>82.92</v>
      </c>
      <c r="F728" t="s">
        <v>5453</v>
      </c>
      <c r="G728" t="s">
        <v>5454</v>
      </c>
      <c r="H728" t="s">
        <v>4970</v>
      </c>
    </row>
    <row r="729" spans="1:8" x14ac:dyDescent="0.3">
      <c r="A729" t="s">
        <v>5660</v>
      </c>
      <c r="B729" s="1">
        <v>45307</v>
      </c>
      <c r="C729" t="s">
        <v>5452</v>
      </c>
      <c r="D729" t="s">
        <v>4926</v>
      </c>
      <c r="E729">
        <v>83.05</v>
      </c>
      <c r="F729" t="s">
        <v>5453</v>
      </c>
      <c r="G729" t="s">
        <v>5454</v>
      </c>
      <c r="H729" t="s">
        <v>4929</v>
      </c>
    </row>
    <row r="730" spans="1:8" x14ac:dyDescent="0.3">
      <c r="A730" t="s">
        <v>5661</v>
      </c>
      <c r="B730" s="1">
        <v>45308</v>
      </c>
      <c r="C730" t="s">
        <v>5452</v>
      </c>
      <c r="D730" t="s">
        <v>4926</v>
      </c>
      <c r="E730">
        <v>83.14</v>
      </c>
      <c r="F730" t="s">
        <v>5453</v>
      </c>
      <c r="G730" t="s">
        <v>5454</v>
      </c>
      <c r="H730" t="s">
        <v>4929</v>
      </c>
    </row>
    <row r="731" spans="1:8" x14ac:dyDescent="0.3">
      <c r="A731" t="s">
        <v>5662</v>
      </c>
      <c r="B731" s="1">
        <v>45309</v>
      </c>
      <c r="C731" t="s">
        <v>5452</v>
      </c>
      <c r="D731" t="s">
        <v>4926</v>
      </c>
      <c r="E731">
        <v>83.15</v>
      </c>
      <c r="F731" t="s">
        <v>5453</v>
      </c>
      <c r="G731" t="s">
        <v>5454</v>
      </c>
      <c r="H731" t="s">
        <v>4929</v>
      </c>
    </row>
    <row r="732" spans="1:8" x14ac:dyDescent="0.3">
      <c r="A732" t="s">
        <v>5663</v>
      </c>
      <c r="B732" s="1">
        <v>45310</v>
      </c>
      <c r="C732" t="s">
        <v>5452</v>
      </c>
      <c r="D732" t="s">
        <v>4926</v>
      </c>
      <c r="E732">
        <v>83.09</v>
      </c>
      <c r="F732" t="s">
        <v>5453</v>
      </c>
      <c r="G732" t="s">
        <v>5454</v>
      </c>
      <c r="H732" t="s">
        <v>4929</v>
      </c>
    </row>
    <row r="733" spans="1:8" x14ac:dyDescent="0.3">
      <c r="A733" t="s">
        <v>5664</v>
      </c>
      <c r="B733" s="1">
        <v>45313</v>
      </c>
      <c r="C733" t="s">
        <v>5452</v>
      </c>
      <c r="D733" t="s">
        <v>4926</v>
      </c>
      <c r="E733">
        <v>83.08</v>
      </c>
      <c r="F733" t="s">
        <v>5453</v>
      </c>
      <c r="G733" t="s">
        <v>5454</v>
      </c>
      <c r="H733" t="s">
        <v>4929</v>
      </c>
    </row>
    <row r="734" spans="1:8" x14ac:dyDescent="0.3">
      <c r="A734" t="s">
        <v>5665</v>
      </c>
      <c r="B734" s="1">
        <v>45314</v>
      </c>
      <c r="C734" t="s">
        <v>5452</v>
      </c>
      <c r="D734" t="s">
        <v>4926</v>
      </c>
      <c r="E734">
        <v>83.15</v>
      </c>
      <c r="F734" t="s">
        <v>5453</v>
      </c>
      <c r="G734" t="s">
        <v>5454</v>
      </c>
      <c r="H734" t="s">
        <v>4929</v>
      </c>
    </row>
    <row r="735" spans="1:8" x14ac:dyDescent="0.3">
      <c r="A735" t="s">
        <v>5666</v>
      </c>
      <c r="B735" s="1">
        <v>45315</v>
      </c>
      <c r="C735" t="s">
        <v>5452</v>
      </c>
      <c r="D735" t="s">
        <v>4926</v>
      </c>
      <c r="E735">
        <v>83.09</v>
      </c>
      <c r="F735" t="s">
        <v>5453</v>
      </c>
      <c r="G735" t="s">
        <v>5454</v>
      </c>
      <c r="H735" t="s">
        <v>4929</v>
      </c>
    </row>
    <row r="736" spans="1:8" x14ac:dyDescent="0.3">
      <c r="A736" t="s">
        <v>5667</v>
      </c>
      <c r="B736" s="1">
        <v>45316</v>
      </c>
      <c r="C736" t="s">
        <v>5452</v>
      </c>
      <c r="D736" t="s">
        <v>4926</v>
      </c>
      <c r="E736">
        <v>83.08</v>
      </c>
      <c r="F736" t="s">
        <v>5453</v>
      </c>
      <c r="G736" t="s">
        <v>5454</v>
      </c>
      <c r="H736" t="s">
        <v>4929</v>
      </c>
    </row>
    <row r="737" spans="1:8" x14ac:dyDescent="0.3">
      <c r="A737" t="s">
        <v>5668</v>
      </c>
      <c r="B737" s="1">
        <v>45317</v>
      </c>
      <c r="C737" t="s">
        <v>5452</v>
      </c>
      <c r="D737" t="s">
        <v>4926</v>
      </c>
      <c r="E737">
        <v>83.11</v>
      </c>
      <c r="F737" t="s">
        <v>5453</v>
      </c>
      <c r="G737" t="s">
        <v>5454</v>
      </c>
      <c r="H737" t="s">
        <v>4929</v>
      </c>
    </row>
    <row r="738" spans="1:8" x14ac:dyDescent="0.3">
      <c r="A738" t="s">
        <v>5669</v>
      </c>
      <c r="B738" s="1">
        <v>45320</v>
      </c>
      <c r="C738" t="s">
        <v>5452</v>
      </c>
      <c r="D738" t="s">
        <v>4926</v>
      </c>
      <c r="E738">
        <v>83.12</v>
      </c>
      <c r="F738" t="s">
        <v>5453</v>
      </c>
      <c r="G738" t="s">
        <v>5454</v>
      </c>
      <c r="H738" t="s">
        <v>4929</v>
      </c>
    </row>
    <row r="739" spans="1:8" x14ac:dyDescent="0.3">
      <c r="A739" t="s">
        <v>5670</v>
      </c>
      <c r="B739" s="1">
        <v>45321</v>
      </c>
      <c r="C739" t="s">
        <v>5452</v>
      </c>
      <c r="D739" t="s">
        <v>4926</v>
      </c>
      <c r="E739">
        <v>83.11</v>
      </c>
      <c r="F739" t="s">
        <v>5453</v>
      </c>
      <c r="G739" t="s">
        <v>5454</v>
      </c>
      <c r="H739" t="s">
        <v>4929</v>
      </c>
    </row>
    <row r="740" spans="1:8" x14ac:dyDescent="0.3">
      <c r="A740" t="s">
        <v>5671</v>
      </c>
      <c r="B740" s="1">
        <v>45322</v>
      </c>
      <c r="C740" t="s">
        <v>5452</v>
      </c>
      <c r="D740" t="s">
        <v>4926</v>
      </c>
      <c r="E740">
        <v>83.02</v>
      </c>
      <c r="F740" t="s">
        <v>5453</v>
      </c>
      <c r="G740" t="s">
        <v>5454</v>
      </c>
      <c r="H740" t="s">
        <v>4929</v>
      </c>
    </row>
    <row r="741" spans="1:8" x14ac:dyDescent="0.3">
      <c r="A741" t="s">
        <v>5672</v>
      </c>
      <c r="B741" s="1">
        <v>45323</v>
      </c>
      <c r="C741" t="s">
        <v>5452</v>
      </c>
      <c r="D741" t="s">
        <v>4926</v>
      </c>
      <c r="E741">
        <v>82.95</v>
      </c>
      <c r="F741" t="s">
        <v>5453</v>
      </c>
      <c r="G741" t="s">
        <v>5454</v>
      </c>
      <c r="H741" t="s">
        <v>4929</v>
      </c>
    </row>
    <row r="742" spans="1:8" x14ac:dyDescent="0.3">
      <c r="A742" t="s">
        <v>5673</v>
      </c>
      <c r="B742" s="1">
        <v>45324</v>
      </c>
      <c r="C742" t="s">
        <v>5452</v>
      </c>
      <c r="D742" t="s">
        <v>4926</v>
      </c>
      <c r="E742">
        <v>82.92</v>
      </c>
      <c r="F742" t="s">
        <v>5453</v>
      </c>
      <c r="G742" t="s">
        <v>5454</v>
      </c>
      <c r="H742" t="s">
        <v>4929</v>
      </c>
    </row>
    <row r="743" spans="1:8" x14ac:dyDescent="0.3">
      <c r="A743" t="s">
        <v>5674</v>
      </c>
      <c r="B743" s="1">
        <v>45327</v>
      </c>
      <c r="C743" t="s">
        <v>5452</v>
      </c>
      <c r="D743" t="s">
        <v>4926</v>
      </c>
      <c r="E743">
        <v>83.04</v>
      </c>
      <c r="F743" t="s">
        <v>5453</v>
      </c>
      <c r="G743" t="s">
        <v>5454</v>
      </c>
      <c r="H743" t="s">
        <v>4929</v>
      </c>
    </row>
    <row r="744" spans="1:8" x14ac:dyDescent="0.3">
      <c r="A744" t="s">
        <v>5675</v>
      </c>
      <c r="B744" s="1">
        <v>45328</v>
      </c>
      <c r="C744" t="s">
        <v>5452</v>
      </c>
      <c r="D744" t="s">
        <v>4926</v>
      </c>
      <c r="E744">
        <v>83.03</v>
      </c>
      <c r="F744" t="s">
        <v>5453</v>
      </c>
      <c r="G744" t="s">
        <v>5454</v>
      </c>
      <c r="H744" t="s">
        <v>4929</v>
      </c>
    </row>
    <row r="745" spans="1:8" x14ac:dyDescent="0.3">
      <c r="A745" t="s">
        <v>5676</v>
      </c>
      <c r="B745" s="1">
        <v>45329</v>
      </c>
      <c r="C745" t="s">
        <v>5452</v>
      </c>
      <c r="D745" t="s">
        <v>4926</v>
      </c>
      <c r="E745">
        <v>82.97</v>
      </c>
      <c r="F745" t="s">
        <v>5453</v>
      </c>
      <c r="G745" t="s">
        <v>5454</v>
      </c>
      <c r="H745" t="s">
        <v>4929</v>
      </c>
    </row>
    <row r="746" spans="1:8" x14ac:dyDescent="0.3">
      <c r="A746" t="s">
        <v>5677</v>
      </c>
      <c r="B746" s="1">
        <v>45330</v>
      </c>
      <c r="C746" t="s">
        <v>5452</v>
      </c>
      <c r="D746" t="s">
        <v>4926</v>
      </c>
      <c r="E746">
        <v>82.97</v>
      </c>
      <c r="F746" t="s">
        <v>5453</v>
      </c>
      <c r="G746" t="s">
        <v>5454</v>
      </c>
      <c r="H746" t="s">
        <v>4929</v>
      </c>
    </row>
    <row r="747" spans="1:8" x14ac:dyDescent="0.3">
      <c r="A747" t="s">
        <v>5678</v>
      </c>
      <c r="B747" s="1">
        <v>45331</v>
      </c>
      <c r="C747" t="s">
        <v>5452</v>
      </c>
      <c r="D747" t="s">
        <v>4926</v>
      </c>
      <c r="E747">
        <v>83</v>
      </c>
      <c r="F747" t="s">
        <v>5453</v>
      </c>
      <c r="G747" t="s">
        <v>5454</v>
      </c>
      <c r="H747" t="s">
        <v>4929</v>
      </c>
    </row>
    <row r="748" spans="1:8" x14ac:dyDescent="0.3">
      <c r="A748" t="s">
        <v>5679</v>
      </c>
      <c r="B748" s="1">
        <v>45334</v>
      </c>
      <c r="C748" t="s">
        <v>5452</v>
      </c>
      <c r="D748" t="s">
        <v>4926</v>
      </c>
      <c r="E748">
        <v>82.95</v>
      </c>
      <c r="F748" t="s">
        <v>5453</v>
      </c>
      <c r="G748" t="s">
        <v>5454</v>
      </c>
      <c r="H748" t="s">
        <v>4929</v>
      </c>
    </row>
    <row r="749" spans="1:8" x14ac:dyDescent="0.3">
      <c r="A749" t="s">
        <v>5680</v>
      </c>
      <c r="B749" s="1">
        <v>45335</v>
      </c>
      <c r="C749" t="s">
        <v>5452</v>
      </c>
      <c r="D749" t="s">
        <v>4926</v>
      </c>
      <c r="E749">
        <v>83.06</v>
      </c>
      <c r="F749" t="s">
        <v>5453</v>
      </c>
      <c r="G749" t="s">
        <v>5454</v>
      </c>
      <c r="H749" t="s">
        <v>4929</v>
      </c>
    </row>
    <row r="750" spans="1:8" x14ac:dyDescent="0.3">
      <c r="A750" t="s">
        <v>5681</v>
      </c>
      <c r="B750" s="1">
        <v>45336</v>
      </c>
      <c r="C750" t="s">
        <v>5452</v>
      </c>
      <c r="D750" t="s">
        <v>4926</v>
      </c>
      <c r="E750">
        <v>83.02</v>
      </c>
      <c r="F750" t="s">
        <v>5453</v>
      </c>
      <c r="G750" t="s">
        <v>5454</v>
      </c>
      <c r="H750" t="s">
        <v>4929</v>
      </c>
    </row>
    <row r="751" spans="1:8" x14ac:dyDescent="0.3">
      <c r="A751" t="s">
        <v>5682</v>
      </c>
      <c r="B751" s="1">
        <v>45337</v>
      </c>
      <c r="C751" t="s">
        <v>5452</v>
      </c>
      <c r="D751" t="s">
        <v>4926</v>
      </c>
      <c r="E751">
        <v>83</v>
      </c>
      <c r="F751" t="s">
        <v>5453</v>
      </c>
      <c r="G751" t="s">
        <v>5454</v>
      </c>
      <c r="H751" t="s">
        <v>4929</v>
      </c>
    </row>
    <row r="752" spans="1:8" x14ac:dyDescent="0.3">
      <c r="A752" t="s">
        <v>5683</v>
      </c>
      <c r="B752" s="1">
        <v>45338</v>
      </c>
      <c r="C752" t="s">
        <v>5452</v>
      </c>
      <c r="D752" t="s">
        <v>4926</v>
      </c>
      <c r="E752">
        <v>83.02</v>
      </c>
      <c r="F752" t="s">
        <v>5453</v>
      </c>
      <c r="G752" t="s">
        <v>5454</v>
      </c>
      <c r="H752" t="s">
        <v>4929</v>
      </c>
    </row>
    <row r="753" spans="1:8" x14ac:dyDescent="0.3">
      <c r="A753" t="s">
        <v>5684</v>
      </c>
      <c r="B753" s="1">
        <v>45341</v>
      </c>
      <c r="C753" t="s">
        <v>5452</v>
      </c>
      <c r="D753" t="s">
        <v>4926</v>
      </c>
      <c r="E753">
        <v>83.02</v>
      </c>
      <c r="F753" t="s">
        <v>5453</v>
      </c>
      <c r="G753" t="s">
        <v>5454</v>
      </c>
      <c r="H753" t="s">
        <v>4970</v>
      </c>
    </row>
    <row r="754" spans="1:8" x14ac:dyDescent="0.3">
      <c r="A754" t="s">
        <v>5685</v>
      </c>
      <c r="B754" s="1">
        <v>45342</v>
      </c>
      <c r="C754" t="s">
        <v>5452</v>
      </c>
      <c r="D754" t="s">
        <v>4926</v>
      </c>
      <c r="E754">
        <v>82.88</v>
      </c>
      <c r="F754" t="s">
        <v>5453</v>
      </c>
      <c r="G754" t="s">
        <v>5454</v>
      </c>
      <c r="H754" t="s">
        <v>4929</v>
      </c>
    </row>
    <row r="755" spans="1:8" x14ac:dyDescent="0.3">
      <c r="A755" t="s">
        <v>5686</v>
      </c>
      <c r="B755" s="1">
        <v>45343</v>
      </c>
      <c r="C755" t="s">
        <v>5452</v>
      </c>
      <c r="D755" t="s">
        <v>4926</v>
      </c>
      <c r="E755">
        <v>82.96</v>
      </c>
      <c r="F755" t="s">
        <v>5453</v>
      </c>
      <c r="G755" t="s">
        <v>5454</v>
      </c>
      <c r="H755" t="s">
        <v>4929</v>
      </c>
    </row>
    <row r="756" spans="1:8" x14ac:dyDescent="0.3">
      <c r="A756" t="s">
        <v>5687</v>
      </c>
      <c r="B756" s="1">
        <v>45344</v>
      </c>
      <c r="C756" t="s">
        <v>5452</v>
      </c>
      <c r="D756" t="s">
        <v>4926</v>
      </c>
      <c r="E756">
        <v>82.86</v>
      </c>
      <c r="F756" t="s">
        <v>5453</v>
      </c>
      <c r="G756" t="s">
        <v>5454</v>
      </c>
      <c r="H756" t="s">
        <v>4929</v>
      </c>
    </row>
    <row r="757" spans="1:8" x14ac:dyDescent="0.3">
      <c r="A757" t="s">
        <v>5688</v>
      </c>
      <c r="B757" s="1">
        <v>45345</v>
      </c>
      <c r="C757" t="s">
        <v>5452</v>
      </c>
      <c r="D757" t="s">
        <v>4926</v>
      </c>
      <c r="E757">
        <v>82.86</v>
      </c>
      <c r="F757" t="s">
        <v>5453</v>
      </c>
      <c r="G757" t="s">
        <v>5454</v>
      </c>
      <c r="H757" t="s">
        <v>4929</v>
      </c>
    </row>
    <row r="758" spans="1:8" x14ac:dyDescent="0.3">
      <c r="A758" t="s">
        <v>5689</v>
      </c>
      <c r="B758" s="1">
        <v>45348</v>
      </c>
      <c r="C758" t="s">
        <v>5452</v>
      </c>
      <c r="D758" t="s">
        <v>4926</v>
      </c>
      <c r="E758">
        <v>82.85</v>
      </c>
      <c r="F758" t="s">
        <v>5453</v>
      </c>
      <c r="G758" t="s">
        <v>5454</v>
      </c>
      <c r="H758" t="s">
        <v>4929</v>
      </c>
    </row>
    <row r="759" spans="1:8" x14ac:dyDescent="0.3">
      <c r="A759" t="s">
        <v>5690</v>
      </c>
      <c r="B759" s="1">
        <v>45349</v>
      </c>
      <c r="C759" t="s">
        <v>5452</v>
      </c>
      <c r="D759" t="s">
        <v>4926</v>
      </c>
      <c r="E759">
        <v>82.88</v>
      </c>
      <c r="F759" t="s">
        <v>5453</v>
      </c>
      <c r="G759" t="s">
        <v>5454</v>
      </c>
      <c r="H759" t="s">
        <v>4929</v>
      </c>
    </row>
    <row r="760" spans="1:8" x14ac:dyDescent="0.3">
      <c r="A760" t="s">
        <v>5691</v>
      </c>
      <c r="B760" s="1">
        <v>45350</v>
      </c>
      <c r="C760" t="s">
        <v>5452</v>
      </c>
      <c r="D760" t="s">
        <v>4926</v>
      </c>
      <c r="E760">
        <v>82.88</v>
      </c>
      <c r="F760" t="s">
        <v>5453</v>
      </c>
      <c r="G760" t="s">
        <v>5454</v>
      </c>
      <c r="H760" t="s">
        <v>4929</v>
      </c>
    </row>
    <row r="761" spans="1:8" x14ac:dyDescent="0.3">
      <c r="A761" t="s">
        <v>5692</v>
      </c>
      <c r="B761" s="1">
        <v>45351</v>
      </c>
      <c r="C761" t="s">
        <v>5452</v>
      </c>
      <c r="D761" t="s">
        <v>4926</v>
      </c>
      <c r="E761">
        <v>82.87</v>
      </c>
      <c r="F761" t="s">
        <v>5453</v>
      </c>
      <c r="G761" t="s">
        <v>5454</v>
      </c>
      <c r="H761" t="s">
        <v>4929</v>
      </c>
    </row>
    <row r="762" spans="1:8" x14ac:dyDescent="0.3">
      <c r="A762" t="s">
        <v>5693</v>
      </c>
      <c r="B762" s="1">
        <v>45352</v>
      </c>
      <c r="C762" t="s">
        <v>5452</v>
      </c>
      <c r="D762" t="s">
        <v>4926</v>
      </c>
      <c r="E762">
        <v>82.91</v>
      </c>
      <c r="F762" t="s">
        <v>5453</v>
      </c>
      <c r="G762" t="s">
        <v>5454</v>
      </c>
      <c r="H762" t="s">
        <v>4929</v>
      </c>
    </row>
    <row r="763" spans="1:8" x14ac:dyDescent="0.3">
      <c r="A763" t="s">
        <v>5694</v>
      </c>
      <c r="B763" s="1">
        <v>45355</v>
      </c>
      <c r="C763" t="s">
        <v>5452</v>
      </c>
      <c r="D763" t="s">
        <v>4926</v>
      </c>
      <c r="E763">
        <v>82.88</v>
      </c>
      <c r="F763" t="s">
        <v>5453</v>
      </c>
      <c r="G763" t="s">
        <v>5454</v>
      </c>
      <c r="H763" t="s">
        <v>4929</v>
      </c>
    </row>
    <row r="764" spans="1:8" x14ac:dyDescent="0.3">
      <c r="A764" t="s">
        <v>5695</v>
      </c>
      <c r="B764" s="1">
        <v>45356</v>
      </c>
      <c r="C764" t="s">
        <v>5452</v>
      </c>
      <c r="D764" t="s">
        <v>4926</v>
      </c>
      <c r="E764">
        <v>82.86</v>
      </c>
      <c r="F764" t="s">
        <v>5453</v>
      </c>
      <c r="G764" t="s">
        <v>5454</v>
      </c>
      <c r="H764" t="s">
        <v>4929</v>
      </c>
    </row>
    <row r="765" spans="1:8" x14ac:dyDescent="0.3">
      <c r="A765" t="s">
        <v>5696</v>
      </c>
      <c r="B765" s="1">
        <v>45357</v>
      </c>
      <c r="C765" t="s">
        <v>5452</v>
      </c>
      <c r="D765" t="s">
        <v>4926</v>
      </c>
      <c r="E765">
        <v>82.78</v>
      </c>
      <c r="F765" t="s">
        <v>5453</v>
      </c>
      <c r="G765" t="s">
        <v>5454</v>
      </c>
      <c r="H765" t="s">
        <v>4929</v>
      </c>
    </row>
    <row r="766" spans="1:8" x14ac:dyDescent="0.3">
      <c r="A766" t="s">
        <v>5697</v>
      </c>
      <c r="B766" s="1">
        <v>45358</v>
      </c>
      <c r="C766" t="s">
        <v>5452</v>
      </c>
      <c r="D766" t="s">
        <v>4926</v>
      </c>
      <c r="E766">
        <v>82.78</v>
      </c>
      <c r="F766" t="s">
        <v>5453</v>
      </c>
      <c r="G766" t="s">
        <v>5454</v>
      </c>
      <c r="H766" t="s">
        <v>4929</v>
      </c>
    </row>
    <row r="767" spans="1:8" x14ac:dyDescent="0.3">
      <c r="A767" t="s">
        <v>5698</v>
      </c>
      <c r="B767" s="1">
        <v>45359</v>
      </c>
      <c r="C767" t="s">
        <v>5452</v>
      </c>
      <c r="D767" t="s">
        <v>4926</v>
      </c>
      <c r="E767">
        <v>82.73</v>
      </c>
      <c r="F767" t="s">
        <v>5453</v>
      </c>
      <c r="G767" t="s">
        <v>5454</v>
      </c>
      <c r="H767" t="s">
        <v>4929</v>
      </c>
    </row>
    <row r="768" spans="1:8" x14ac:dyDescent="0.3">
      <c r="A768" t="s">
        <v>5699</v>
      </c>
      <c r="B768" s="1">
        <v>45362</v>
      </c>
      <c r="C768" t="s">
        <v>5452</v>
      </c>
      <c r="D768" t="s">
        <v>4926</v>
      </c>
      <c r="E768">
        <v>82.72</v>
      </c>
      <c r="F768" t="s">
        <v>5453</v>
      </c>
      <c r="G768" t="s">
        <v>5454</v>
      </c>
      <c r="H768" t="s">
        <v>4929</v>
      </c>
    </row>
    <row r="769" spans="1:8" x14ac:dyDescent="0.3">
      <c r="A769" t="s">
        <v>5700</v>
      </c>
      <c r="B769" s="1">
        <v>45363</v>
      </c>
      <c r="C769" t="s">
        <v>5452</v>
      </c>
      <c r="D769" t="s">
        <v>4926</v>
      </c>
      <c r="E769">
        <v>82.77</v>
      </c>
      <c r="F769" t="s">
        <v>5453</v>
      </c>
      <c r="G769" t="s">
        <v>5454</v>
      </c>
      <c r="H769" t="s">
        <v>4929</v>
      </c>
    </row>
    <row r="770" spans="1:8" x14ac:dyDescent="0.3">
      <c r="A770" t="s">
        <v>5701</v>
      </c>
      <c r="B770" s="1">
        <v>45364</v>
      </c>
      <c r="C770" t="s">
        <v>5452</v>
      </c>
      <c r="D770" t="s">
        <v>4926</v>
      </c>
      <c r="E770">
        <v>82.81</v>
      </c>
      <c r="F770" t="s">
        <v>5453</v>
      </c>
      <c r="G770" t="s">
        <v>5454</v>
      </c>
      <c r="H770" t="s">
        <v>4929</v>
      </c>
    </row>
    <row r="771" spans="1:8" x14ac:dyDescent="0.3">
      <c r="A771" t="s">
        <v>5702</v>
      </c>
      <c r="B771" s="1">
        <v>45365</v>
      </c>
      <c r="C771" t="s">
        <v>5452</v>
      </c>
      <c r="D771" t="s">
        <v>4926</v>
      </c>
      <c r="E771">
        <v>82.82</v>
      </c>
      <c r="F771" t="s">
        <v>5453</v>
      </c>
      <c r="G771" t="s">
        <v>5454</v>
      </c>
      <c r="H771" t="s">
        <v>4929</v>
      </c>
    </row>
    <row r="772" spans="1:8" x14ac:dyDescent="0.3">
      <c r="A772" t="s">
        <v>5703</v>
      </c>
      <c r="B772" s="1">
        <v>45366</v>
      </c>
      <c r="C772" t="s">
        <v>5452</v>
      </c>
      <c r="D772" t="s">
        <v>4926</v>
      </c>
      <c r="E772">
        <v>82.86</v>
      </c>
      <c r="F772" t="s">
        <v>5453</v>
      </c>
      <c r="G772" t="s">
        <v>5454</v>
      </c>
      <c r="H772" t="s">
        <v>4929</v>
      </c>
    </row>
    <row r="773" spans="1:8" x14ac:dyDescent="0.3">
      <c r="A773" t="s">
        <v>5704</v>
      </c>
      <c r="B773" s="1">
        <v>45369</v>
      </c>
      <c r="C773" t="s">
        <v>5452</v>
      </c>
      <c r="D773" t="s">
        <v>4926</v>
      </c>
      <c r="E773">
        <v>82.89</v>
      </c>
      <c r="F773" t="s">
        <v>5453</v>
      </c>
      <c r="G773" t="s">
        <v>5454</v>
      </c>
      <c r="H773" t="s">
        <v>4929</v>
      </c>
    </row>
    <row r="774" spans="1:8" x14ac:dyDescent="0.3">
      <c r="A774" t="s">
        <v>5705</v>
      </c>
      <c r="B774" s="1">
        <v>45370</v>
      </c>
      <c r="C774" t="s">
        <v>5452</v>
      </c>
      <c r="D774" t="s">
        <v>4926</v>
      </c>
      <c r="E774">
        <v>83.01</v>
      </c>
      <c r="F774" t="s">
        <v>5453</v>
      </c>
      <c r="G774" t="s">
        <v>5454</v>
      </c>
      <c r="H774" t="s">
        <v>4929</v>
      </c>
    </row>
    <row r="775" spans="1:8" x14ac:dyDescent="0.3">
      <c r="A775" t="s">
        <v>5706</v>
      </c>
      <c r="B775" s="1">
        <v>45371</v>
      </c>
      <c r="C775" t="s">
        <v>5452</v>
      </c>
      <c r="D775" t="s">
        <v>4926</v>
      </c>
      <c r="E775">
        <v>83.18</v>
      </c>
      <c r="F775" t="s">
        <v>5453</v>
      </c>
      <c r="G775" t="s">
        <v>5454</v>
      </c>
      <c r="H775" t="s">
        <v>4929</v>
      </c>
    </row>
    <row r="776" spans="1:8" x14ac:dyDescent="0.3">
      <c r="A776" t="s">
        <v>5707</v>
      </c>
      <c r="B776" s="1">
        <v>45372</v>
      </c>
      <c r="C776" t="s">
        <v>5452</v>
      </c>
      <c r="D776" t="s">
        <v>4926</v>
      </c>
      <c r="E776">
        <v>83.15</v>
      </c>
      <c r="F776" t="s">
        <v>5453</v>
      </c>
      <c r="G776" t="s">
        <v>5454</v>
      </c>
      <c r="H776" t="s">
        <v>4929</v>
      </c>
    </row>
    <row r="777" spans="1:8" x14ac:dyDescent="0.3">
      <c r="A777" t="s">
        <v>5708</v>
      </c>
      <c r="B777" s="1">
        <v>45373</v>
      </c>
      <c r="C777" t="s">
        <v>5452</v>
      </c>
      <c r="D777" t="s">
        <v>4926</v>
      </c>
      <c r="E777">
        <v>83.53</v>
      </c>
      <c r="F777" t="s">
        <v>5453</v>
      </c>
      <c r="G777" t="s">
        <v>5454</v>
      </c>
      <c r="H777" t="s">
        <v>4929</v>
      </c>
    </row>
    <row r="778" spans="1:8" x14ac:dyDescent="0.3">
      <c r="A778" t="s">
        <v>5709</v>
      </c>
      <c r="B778" s="1">
        <v>45376</v>
      </c>
      <c r="C778" t="s">
        <v>5452</v>
      </c>
      <c r="D778" t="s">
        <v>4926</v>
      </c>
      <c r="E778">
        <v>83.42</v>
      </c>
      <c r="F778" t="s">
        <v>5453</v>
      </c>
      <c r="G778" t="s">
        <v>5454</v>
      </c>
      <c r="H778" t="s">
        <v>4929</v>
      </c>
    </row>
    <row r="779" spans="1:8" x14ac:dyDescent="0.3">
      <c r="A779" t="s">
        <v>5710</v>
      </c>
      <c r="B779" s="1">
        <v>45377</v>
      </c>
      <c r="C779" t="s">
        <v>5452</v>
      </c>
      <c r="D779" t="s">
        <v>4926</v>
      </c>
      <c r="E779">
        <v>83.32</v>
      </c>
      <c r="F779" t="s">
        <v>5453</v>
      </c>
      <c r="G779" t="s">
        <v>5454</v>
      </c>
      <c r="H779" t="s">
        <v>4929</v>
      </c>
    </row>
    <row r="780" spans="1:8" x14ac:dyDescent="0.3">
      <c r="A780" t="s">
        <v>5711</v>
      </c>
      <c r="B780" s="1">
        <v>45378</v>
      </c>
      <c r="C780" t="s">
        <v>5452</v>
      </c>
      <c r="D780" t="s">
        <v>4926</v>
      </c>
      <c r="E780">
        <v>83.34</v>
      </c>
      <c r="F780" t="s">
        <v>5453</v>
      </c>
      <c r="G780" t="s">
        <v>5454</v>
      </c>
      <c r="H780" t="s">
        <v>4929</v>
      </c>
    </row>
    <row r="781" spans="1:8" x14ac:dyDescent="0.3">
      <c r="A781" t="s">
        <v>5712</v>
      </c>
      <c r="B781" s="1">
        <v>45379</v>
      </c>
      <c r="C781" t="s">
        <v>5452</v>
      </c>
      <c r="D781" t="s">
        <v>4926</v>
      </c>
      <c r="E781">
        <v>83.35</v>
      </c>
      <c r="F781" t="s">
        <v>5453</v>
      </c>
      <c r="G781" t="s">
        <v>5454</v>
      </c>
      <c r="H781" t="s">
        <v>4929</v>
      </c>
    </row>
    <row r="782" spans="1:8" x14ac:dyDescent="0.3">
      <c r="A782" t="s">
        <v>5713</v>
      </c>
      <c r="B782" s="1">
        <v>45380</v>
      </c>
      <c r="C782" t="s">
        <v>5452</v>
      </c>
      <c r="D782" t="s">
        <v>4926</v>
      </c>
      <c r="E782">
        <v>83.34</v>
      </c>
      <c r="F782" t="s">
        <v>5453</v>
      </c>
      <c r="G782" t="s">
        <v>5454</v>
      </c>
      <c r="H782" t="s">
        <v>4929</v>
      </c>
    </row>
    <row r="783" spans="1:8" x14ac:dyDescent="0.3">
      <c r="A783" t="s">
        <v>5714</v>
      </c>
      <c r="B783" s="1">
        <v>45383</v>
      </c>
      <c r="C783" t="s">
        <v>5452</v>
      </c>
      <c r="D783" t="s">
        <v>4926</v>
      </c>
      <c r="E783">
        <v>83.36</v>
      </c>
      <c r="F783" t="s">
        <v>5453</v>
      </c>
      <c r="G783" t="s">
        <v>5454</v>
      </c>
      <c r="H783" t="s">
        <v>4929</v>
      </c>
    </row>
    <row r="784" spans="1:8" x14ac:dyDescent="0.3">
      <c r="A784" t="s">
        <v>5715</v>
      </c>
      <c r="B784" s="1">
        <v>45384</v>
      </c>
      <c r="C784" t="s">
        <v>5452</v>
      </c>
      <c r="D784" t="s">
        <v>4926</v>
      </c>
      <c r="E784">
        <v>83.32</v>
      </c>
      <c r="F784" t="s">
        <v>5453</v>
      </c>
      <c r="G784" t="s">
        <v>5454</v>
      </c>
      <c r="H784" t="s">
        <v>4929</v>
      </c>
    </row>
    <row r="785" spans="1:8" x14ac:dyDescent="0.3">
      <c r="A785" t="s">
        <v>5716</v>
      </c>
      <c r="B785" s="1">
        <v>45385</v>
      </c>
      <c r="C785" t="s">
        <v>5452</v>
      </c>
      <c r="D785" t="s">
        <v>4926</v>
      </c>
      <c r="E785">
        <v>83.43</v>
      </c>
      <c r="F785" t="s">
        <v>5453</v>
      </c>
      <c r="G785" t="s">
        <v>5454</v>
      </c>
      <c r="H785" t="s">
        <v>4929</v>
      </c>
    </row>
    <row r="786" spans="1:8" x14ac:dyDescent="0.3">
      <c r="A786" t="s">
        <v>5717</v>
      </c>
      <c r="B786" s="1">
        <v>45386</v>
      </c>
      <c r="C786" t="s">
        <v>5452</v>
      </c>
      <c r="D786" t="s">
        <v>4926</v>
      </c>
      <c r="E786">
        <v>83.44</v>
      </c>
      <c r="F786" t="s">
        <v>5453</v>
      </c>
      <c r="G786" t="s">
        <v>5454</v>
      </c>
      <c r="H786" t="s">
        <v>4929</v>
      </c>
    </row>
    <row r="787" spans="1:8" x14ac:dyDescent="0.3">
      <c r="A787" t="s">
        <v>5718</v>
      </c>
      <c r="B787" s="1">
        <v>45387</v>
      </c>
      <c r="C787" t="s">
        <v>5452</v>
      </c>
      <c r="D787" t="s">
        <v>4926</v>
      </c>
      <c r="E787">
        <v>83.29</v>
      </c>
      <c r="F787" t="s">
        <v>5453</v>
      </c>
      <c r="G787" t="s">
        <v>5454</v>
      </c>
      <c r="H787" t="s">
        <v>4929</v>
      </c>
    </row>
    <row r="788" spans="1:8" x14ac:dyDescent="0.3">
      <c r="A788" t="s">
        <v>5719</v>
      </c>
      <c r="B788" s="1">
        <v>45390</v>
      </c>
      <c r="C788" t="s">
        <v>5452</v>
      </c>
      <c r="D788" t="s">
        <v>4926</v>
      </c>
      <c r="E788">
        <v>83.25</v>
      </c>
      <c r="F788" t="s">
        <v>5453</v>
      </c>
      <c r="G788" t="s">
        <v>5454</v>
      </c>
      <c r="H788" t="s">
        <v>4929</v>
      </c>
    </row>
    <row r="789" spans="1:8" x14ac:dyDescent="0.3">
      <c r="A789" t="s">
        <v>5720</v>
      </c>
      <c r="B789" s="1">
        <v>45391</v>
      </c>
      <c r="C789" t="s">
        <v>5452</v>
      </c>
      <c r="D789" t="s">
        <v>4926</v>
      </c>
      <c r="E789">
        <v>83.18</v>
      </c>
      <c r="F789" t="s">
        <v>5453</v>
      </c>
      <c r="G789" t="s">
        <v>5454</v>
      </c>
      <c r="H789" t="s">
        <v>4929</v>
      </c>
    </row>
    <row r="790" spans="1:8" x14ac:dyDescent="0.3">
      <c r="A790" t="s">
        <v>5721</v>
      </c>
      <c r="B790" s="1">
        <v>45392</v>
      </c>
      <c r="C790" t="s">
        <v>5452</v>
      </c>
      <c r="D790" t="s">
        <v>4926</v>
      </c>
      <c r="E790">
        <v>83.37</v>
      </c>
      <c r="F790" t="s">
        <v>5453</v>
      </c>
      <c r="G790" t="s">
        <v>5454</v>
      </c>
      <c r="H790" t="s">
        <v>4929</v>
      </c>
    </row>
    <row r="791" spans="1:8" x14ac:dyDescent="0.3">
      <c r="A791" t="s">
        <v>5722</v>
      </c>
      <c r="B791" s="1">
        <v>45393</v>
      </c>
      <c r="C791" t="s">
        <v>5452</v>
      </c>
      <c r="D791" t="s">
        <v>4926</v>
      </c>
      <c r="E791">
        <v>83.19</v>
      </c>
      <c r="F791" t="s">
        <v>5453</v>
      </c>
      <c r="G791" t="s">
        <v>5454</v>
      </c>
      <c r="H791" t="s">
        <v>4929</v>
      </c>
    </row>
    <row r="792" spans="1:8" x14ac:dyDescent="0.3">
      <c r="A792" t="s">
        <v>5723</v>
      </c>
      <c r="B792" s="1">
        <v>45394</v>
      </c>
      <c r="C792" t="s">
        <v>5452</v>
      </c>
      <c r="D792" t="s">
        <v>4926</v>
      </c>
      <c r="E792">
        <v>83.59</v>
      </c>
      <c r="F792" t="s">
        <v>5453</v>
      </c>
      <c r="G792" t="s">
        <v>5454</v>
      </c>
      <c r="H792" t="s">
        <v>4929</v>
      </c>
    </row>
    <row r="793" spans="1:8" x14ac:dyDescent="0.3">
      <c r="A793" t="s">
        <v>5724</v>
      </c>
      <c r="B793" s="1">
        <v>45397</v>
      </c>
      <c r="C793" t="s">
        <v>5452</v>
      </c>
      <c r="D793" t="s">
        <v>4926</v>
      </c>
      <c r="E793">
        <v>83.48</v>
      </c>
      <c r="F793" t="s">
        <v>5453</v>
      </c>
      <c r="G793" t="s">
        <v>5454</v>
      </c>
      <c r="H793" t="s">
        <v>4929</v>
      </c>
    </row>
    <row r="794" spans="1:8" x14ac:dyDescent="0.3">
      <c r="A794" t="s">
        <v>5725</v>
      </c>
      <c r="B794" s="1">
        <v>45398</v>
      </c>
      <c r="C794" t="s">
        <v>5452</v>
      </c>
      <c r="D794" t="s">
        <v>4926</v>
      </c>
      <c r="E794">
        <v>83.54</v>
      </c>
      <c r="F794" t="s">
        <v>5453</v>
      </c>
      <c r="G794" t="s">
        <v>5454</v>
      </c>
      <c r="H794" t="s">
        <v>4929</v>
      </c>
    </row>
    <row r="795" spans="1:8" x14ac:dyDescent="0.3">
      <c r="A795" t="s">
        <v>5726</v>
      </c>
      <c r="B795" s="1">
        <v>45399</v>
      </c>
      <c r="C795" t="s">
        <v>5452</v>
      </c>
      <c r="D795" t="s">
        <v>4926</v>
      </c>
      <c r="E795">
        <v>83.54</v>
      </c>
      <c r="F795" t="s">
        <v>5453</v>
      </c>
      <c r="G795" t="s">
        <v>5454</v>
      </c>
      <c r="H795" t="s">
        <v>4929</v>
      </c>
    </row>
    <row r="796" spans="1:8" x14ac:dyDescent="0.3">
      <c r="A796" t="s">
        <v>5727</v>
      </c>
      <c r="B796" s="1">
        <v>45400</v>
      </c>
      <c r="C796" t="s">
        <v>5452</v>
      </c>
      <c r="D796" t="s">
        <v>4926</v>
      </c>
      <c r="E796">
        <v>83.53</v>
      </c>
      <c r="F796" t="s">
        <v>5453</v>
      </c>
      <c r="G796" t="s">
        <v>5454</v>
      </c>
      <c r="H796" t="s">
        <v>4929</v>
      </c>
    </row>
    <row r="797" spans="1:8" x14ac:dyDescent="0.3">
      <c r="A797" t="s">
        <v>5728</v>
      </c>
      <c r="B797" s="1">
        <v>45401</v>
      </c>
      <c r="C797" t="s">
        <v>5452</v>
      </c>
      <c r="D797" t="s">
        <v>4926</v>
      </c>
      <c r="E797">
        <v>83.46</v>
      </c>
      <c r="F797" t="s">
        <v>5453</v>
      </c>
      <c r="G797" t="s">
        <v>5454</v>
      </c>
      <c r="H797" t="s">
        <v>4929</v>
      </c>
    </row>
    <row r="798" spans="1:8" x14ac:dyDescent="0.3">
      <c r="A798" t="s">
        <v>5729</v>
      </c>
      <c r="B798" s="1">
        <v>45404</v>
      </c>
      <c r="C798" t="s">
        <v>5452</v>
      </c>
      <c r="D798" t="s">
        <v>4926</v>
      </c>
      <c r="E798">
        <v>83.47</v>
      </c>
      <c r="F798" t="s">
        <v>5453</v>
      </c>
      <c r="G798" t="s">
        <v>5454</v>
      </c>
      <c r="H798" t="s">
        <v>4929</v>
      </c>
    </row>
    <row r="799" spans="1:8" x14ac:dyDescent="0.3">
      <c r="A799" t="s">
        <v>5730</v>
      </c>
      <c r="B799" s="1">
        <v>45405</v>
      </c>
      <c r="C799" t="s">
        <v>5452</v>
      </c>
      <c r="D799" t="s">
        <v>4926</v>
      </c>
      <c r="E799">
        <v>83.36</v>
      </c>
      <c r="F799" t="s">
        <v>5453</v>
      </c>
      <c r="G799" t="s">
        <v>5454</v>
      </c>
      <c r="H799" t="s">
        <v>4929</v>
      </c>
    </row>
    <row r="800" spans="1:8" x14ac:dyDescent="0.3">
      <c r="A800" t="s">
        <v>5731</v>
      </c>
      <c r="B800" s="1">
        <v>45406</v>
      </c>
      <c r="C800" t="s">
        <v>5452</v>
      </c>
      <c r="D800" t="s">
        <v>4926</v>
      </c>
      <c r="E800">
        <v>83.34</v>
      </c>
      <c r="F800" t="s">
        <v>5453</v>
      </c>
      <c r="G800" t="s">
        <v>5454</v>
      </c>
      <c r="H800" t="s">
        <v>4929</v>
      </c>
    </row>
    <row r="801" spans="1:8" x14ac:dyDescent="0.3">
      <c r="A801" t="s">
        <v>5732</v>
      </c>
      <c r="B801" s="1">
        <v>45407</v>
      </c>
      <c r="C801" t="s">
        <v>5452</v>
      </c>
      <c r="D801" t="s">
        <v>4926</v>
      </c>
      <c r="E801">
        <v>83.31</v>
      </c>
      <c r="F801" t="s">
        <v>5453</v>
      </c>
      <c r="G801" t="s">
        <v>5454</v>
      </c>
      <c r="H801" t="s">
        <v>4929</v>
      </c>
    </row>
    <row r="802" spans="1:8" x14ac:dyDescent="0.3">
      <c r="A802" t="s">
        <v>5733</v>
      </c>
      <c r="B802" s="1">
        <v>45408</v>
      </c>
      <c r="C802" t="s">
        <v>5452</v>
      </c>
      <c r="D802" t="s">
        <v>4926</v>
      </c>
      <c r="E802">
        <v>83.38</v>
      </c>
      <c r="F802" t="s">
        <v>5453</v>
      </c>
      <c r="G802" t="s">
        <v>5454</v>
      </c>
      <c r="H802" t="s">
        <v>4929</v>
      </c>
    </row>
    <row r="803" spans="1:8" x14ac:dyDescent="0.3">
      <c r="A803" t="s">
        <v>5734</v>
      </c>
      <c r="B803" s="1">
        <v>45411</v>
      </c>
      <c r="C803" t="s">
        <v>5452</v>
      </c>
      <c r="D803" t="s">
        <v>4926</v>
      </c>
      <c r="E803">
        <v>83.46</v>
      </c>
      <c r="F803" t="s">
        <v>5453</v>
      </c>
      <c r="G803" t="s">
        <v>5454</v>
      </c>
      <c r="H803" t="s">
        <v>4929</v>
      </c>
    </row>
    <row r="804" spans="1:8" x14ac:dyDescent="0.3">
      <c r="A804" t="s">
        <v>5735</v>
      </c>
      <c r="B804" s="1">
        <v>45412</v>
      </c>
      <c r="C804" t="s">
        <v>5452</v>
      </c>
      <c r="D804" t="s">
        <v>4926</v>
      </c>
      <c r="E804">
        <v>83.44</v>
      </c>
      <c r="F804" t="s">
        <v>5453</v>
      </c>
      <c r="G804" t="s">
        <v>5454</v>
      </c>
      <c r="H804" t="s">
        <v>4929</v>
      </c>
    </row>
    <row r="805" spans="1:8" x14ac:dyDescent="0.3">
      <c r="A805" t="s">
        <v>5736</v>
      </c>
      <c r="B805" s="1">
        <v>45413</v>
      </c>
      <c r="C805" t="s">
        <v>5452</v>
      </c>
      <c r="D805" t="s">
        <v>4926</v>
      </c>
      <c r="E805">
        <v>83.45</v>
      </c>
      <c r="F805" t="s">
        <v>5453</v>
      </c>
      <c r="G805" t="s">
        <v>5454</v>
      </c>
      <c r="H805" t="s">
        <v>4929</v>
      </c>
    </row>
    <row r="806" spans="1:8" x14ac:dyDescent="0.3">
      <c r="A806" t="s">
        <v>5737</v>
      </c>
      <c r="B806" s="1">
        <v>45414</v>
      </c>
      <c r="C806" t="s">
        <v>5452</v>
      </c>
      <c r="D806" t="s">
        <v>4926</v>
      </c>
      <c r="E806">
        <v>83.44</v>
      </c>
      <c r="F806" t="s">
        <v>5453</v>
      </c>
      <c r="G806" t="s">
        <v>5454</v>
      </c>
      <c r="H806" t="s">
        <v>4929</v>
      </c>
    </row>
    <row r="807" spans="1:8" x14ac:dyDescent="0.3">
      <c r="A807" t="s">
        <v>5738</v>
      </c>
      <c r="B807" s="1">
        <v>45415</v>
      </c>
      <c r="C807" t="s">
        <v>5452</v>
      </c>
      <c r="D807" t="s">
        <v>4926</v>
      </c>
      <c r="E807">
        <v>83.43</v>
      </c>
      <c r="F807" t="s">
        <v>5453</v>
      </c>
      <c r="G807" t="s">
        <v>5454</v>
      </c>
      <c r="H807" t="s">
        <v>4929</v>
      </c>
    </row>
    <row r="808" spans="1:8" x14ac:dyDescent="0.3">
      <c r="A808" t="s">
        <v>5739</v>
      </c>
      <c r="B808" s="1">
        <v>45418</v>
      </c>
      <c r="C808" t="s">
        <v>5452</v>
      </c>
      <c r="D808" t="s">
        <v>4926</v>
      </c>
      <c r="E808">
        <v>83.48</v>
      </c>
      <c r="F808" t="s">
        <v>5453</v>
      </c>
      <c r="G808" t="s">
        <v>5454</v>
      </c>
      <c r="H808" t="s">
        <v>4929</v>
      </c>
    </row>
    <row r="809" spans="1:8" x14ac:dyDescent="0.3">
      <c r="A809" t="s">
        <v>5740</v>
      </c>
      <c r="B809" s="1">
        <v>45419</v>
      </c>
      <c r="C809" t="s">
        <v>5452</v>
      </c>
      <c r="D809" t="s">
        <v>4926</v>
      </c>
      <c r="E809">
        <v>83.51</v>
      </c>
      <c r="F809" t="s">
        <v>5453</v>
      </c>
      <c r="G809" t="s">
        <v>5454</v>
      </c>
      <c r="H809" t="s">
        <v>4929</v>
      </c>
    </row>
    <row r="810" spans="1:8" x14ac:dyDescent="0.3">
      <c r="A810" t="s">
        <v>5741</v>
      </c>
      <c r="B810" s="1">
        <v>45420</v>
      </c>
      <c r="C810" t="s">
        <v>5452</v>
      </c>
      <c r="D810" t="s">
        <v>4926</v>
      </c>
      <c r="E810">
        <v>83.45</v>
      </c>
      <c r="F810" t="s">
        <v>5453</v>
      </c>
      <c r="G810" t="s">
        <v>5454</v>
      </c>
      <c r="H810" t="s">
        <v>4929</v>
      </c>
    </row>
    <row r="811" spans="1:8" x14ac:dyDescent="0.3">
      <c r="A811" t="s">
        <v>5742</v>
      </c>
      <c r="B811" s="1">
        <v>45421</v>
      </c>
      <c r="C811" t="s">
        <v>5452</v>
      </c>
      <c r="D811" t="s">
        <v>4926</v>
      </c>
      <c r="E811">
        <v>83.51</v>
      </c>
      <c r="F811" t="s">
        <v>5453</v>
      </c>
      <c r="G811" t="s">
        <v>5454</v>
      </c>
      <c r="H811" t="s">
        <v>4929</v>
      </c>
    </row>
    <row r="812" spans="1:8" x14ac:dyDescent="0.3">
      <c r="A812" t="s">
        <v>5743</v>
      </c>
      <c r="B812" s="1">
        <v>45422</v>
      </c>
      <c r="C812" t="s">
        <v>5452</v>
      </c>
      <c r="D812" t="s">
        <v>4926</v>
      </c>
      <c r="E812">
        <v>83.54</v>
      </c>
      <c r="F812" t="s">
        <v>5453</v>
      </c>
      <c r="G812" t="s">
        <v>5454</v>
      </c>
      <c r="H812" t="s">
        <v>4929</v>
      </c>
    </row>
    <row r="813" spans="1:8" x14ac:dyDescent="0.3">
      <c r="A813" t="s">
        <v>5744</v>
      </c>
      <c r="B813" s="1">
        <v>45425</v>
      </c>
      <c r="C813" t="s">
        <v>5452</v>
      </c>
      <c r="D813" t="s">
        <v>4926</v>
      </c>
      <c r="E813">
        <v>83.48</v>
      </c>
      <c r="F813" t="s">
        <v>5453</v>
      </c>
      <c r="G813" t="s">
        <v>5454</v>
      </c>
      <c r="H813" t="s">
        <v>4929</v>
      </c>
    </row>
    <row r="814" spans="1:8" x14ac:dyDescent="0.3">
      <c r="A814" t="s">
        <v>5745</v>
      </c>
      <c r="B814" s="1">
        <v>45426</v>
      </c>
      <c r="C814" t="s">
        <v>5452</v>
      </c>
      <c r="D814" t="s">
        <v>4926</v>
      </c>
      <c r="E814">
        <v>83.5</v>
      </c>
      <c r="F814" t="s">
        <v>5453</v>
      </c>
      <c r="G814" t="s">
        <v>5454</v>
      </c>
      <c r="H814" t="s">
        <v>4929</v>
      </c>
    </row>
    <row r="815" spans="1:8" x14ac:dyDescent="0.3">
      <c r="A815" t="s">
        <v>5746</v>
      </c>
      <c r="B815" s="1">
        <v>45427</v>
      </c>
      <c r="C815" t="s">
        <v>5452</v>
      </c>
      <c r="D815" t="s">
        <v>4926</v>
      </c>
      <c r="E815">
        <v>83.46</v>
      </c>
      <c r="F815" t="s">
        <v>5453</v>
      </c>
      <c r="G815" t="s">
        <v>5454</v>
      </c>
      <c r="H815" t="s">
        <v>4929</v>
      </c>
    </row>
    <row r="816" spans="1:8" x14ac:dyDescent="0.3">
      <c r="A816" t="s">
        <v>5747</v>
      </c>
      <c r="B816" s="1">
        <v>45428</v>
      </c>
      <c r="C816" t="s">
        <v>5452</v>
      </c>
      <c r="D816" t="s">
        <v>4926</v>
      </c>
      <c r="E816">
        <v>83.46</v>
      </c>
      <c r="F816" t="s">
        <v>5453</v>
      </c>
      <c r="G816" t="s">
        <v>5454</v>
      </c>
      <c r="H816" t="s">
        <v>4929</v>
      </c>
    </row>
    <row r="817" spans="1:8" x14ac:dyDescent="0.3">
      <c r="A817" t="s">
        <v>5748</v>
      </c>
      <c r="B817" s="1">
        <v>45429</v>
      </c>
      <c r="C817" t="s">
        <v>5452</v>
      </c>
      <c r="D817" t="s">
        <v>4926</v>
      </c>
      <c r="E817">
        <v>83.34</v>
      </c>
      <c r="F817" t="s">
        <v>5453</v>
      </c>
      <c r="G817" t="s">
        <v>5454</v>
      </c>
      <c r="H817" t="s">
        <v>4929</v>
      </c>
    </row>
    <row r="818" spans="1:8" x14ac:dyDescent="0.3">
      <c r="A818" t="s">
        <v>5749</v>
      </c>
      <c r="B818" s="1">
        <v>45432</v>
      </c>
      <c r="C818" t="s">
        <v>5452</v>
      </c>
      <c r="D818" t="s">
        <v>4926</v>
      </c>
      <c r="E818">
        <v>83.34</v>
      </c>
      <c r="F818" t="s">
        <v>5453</v>
      </c>
      <c r="G818" t="s">
        <v>5454</v>
      </c>
      <c r="H818" t="s">
        <v>4929</v>
      </c>
    </row>
    <row r="819" spans="1:8" x14ac:dyDescent="0.3">
      <c r="A819" t="s">
        <v>5750</v>
      </c>
      <c r="B819" s="1">
        <v>45433</v>
      </c>
      <c r="C819" t="s">
        <v>5452</v>
      </c>
      <c r="D819" t="s">
        <v>4926</v>
      </c>
      <c r="E819">
        <v>83.31</v>
      </c>
      <c r="F819" t="s">
        <v>5453</v>
      </c>
      <c r="G819" t="s">
        <v>5454</v>
      </c>
      <c r="H819" t="s">
        <v>4929</v>
      </c>
    </row>
    <row r="820" spans="1:8" x14ac:dyDescent="0.3">
      <c r="A820" t="s">
        <v>5751</v>
      </c>
      <c r="B820" s="1">
        <v>45434</v>
      </c>
      <c r="C820" t="s">
        <v>5452</v>
      </c>
      <c r="D820" t="s">
        <v>4926</v>
      </c>
      <c r="E820">
        <v>83.26</v>
      </c>
      <c r="F820" t="s">
        <v>5453</v>
      </c>
      <c r="G820" t="s">
        <v>5454</v>
      </c>
      <c r="H820" t="s">
        <v>4929</v>
      </c>
    </row>
    <row r="821" spans="1:8" x14ac:dyDescent="0.3">
      <c r="A821" t="s">
        <v>5752</v>
      </c>
      <c r="B821" s="1">
        <v>45435</v>
      </c>
      <c r="C821" t="s">
        <v>5452</v>
      </c>
      <c r="D821" t="s">
        <v>4926</v>
      </c>
      <c r="E821">
        <v>83.27</v>
      </c>
      <c r="F821" t="s">
        <v>5453</v>
      </c>
      <c r="G821" t="s">
        <v>5454</v>
      </c>
      <c r="H821" t="s">
        <v>4929</v>
      </c>
    </row>
    <row r="822" spans="1:8" x14ac:dyDescent="0.3">
      <c r="A822" t="s">
        <v>5753</v>
      </c>
      <c r="B822" s="1">
        <v>45436</v>
      </c>
      <c r="C822" t="s">
        <v>5452</v>
      </c>
      <c r="D822" t="s">
        <v>4926</v>
      </c>
      <c r="E822">
        <v>83.09</v>
      </c>
      <c r="F822" t="s">
        <v>5453</v>
      </c>
      <c r="G822" t="s">
        <v>5454</v>
      </c>
      <c r="H822" t="s">
        <v>4929</v>
      </c>
    </row>
    <row r="823" spans="1:8" x14ac:dyDescent="0.3">
      <c r="A823" t="s">
        <v>5754</v>
      </c>
      <c r="B823" s="1">
        <v>45439</v>
      </c>
      <c r="C823" t="s">
        <v>5452</v>
      </c>
      <c r="D823" t="s">
        <v>4926</v>
      </c>
      <c r="E823">
        <v>83.09</v>
      </c>
      <c r="F823" t="s">
        <v>5453</v>
      </c>
      <c r="G823" t="s">
        <v>5454</v>
      </c>
      <c r="H823" t="s">
        <v>4970</v>
      </c>
    </row>
    <row r="824" spans="1:8" x14ac:dyDescent="0.3">
      <c r="A824" t="s">
        <v>5755</v>
      </c>
      <c r="B824" s="1">
        <v>45440</v>
      </c>
      <c r="C824" t="s">
        <v>5452</v>
      </c>
      <c r="D824" t="s">
        <v>4926</v>
      </c>
      <c r="E824">
        <v>83.16</v>
      </c>
      <c r="F824" t="s">
        <v>5453</v>
      </c>
      <c r="G824" t="s">
        <v>5454</v>
      </c>
      <c r="H824" t="s">
        <v>4929</v>
      </c>
    </row>
    <row r="825" spans="1:8" x14ac:dyDescent="0.3">
      <c r="A825" t="s">
        <v>5756</v>
      </c>
      <c r="B825" s="1">
        <v>45441</v>
      </c>
      <c r="C825" t="s">
        <v>5452</v>
      </c>
      <c r="D825" t="s">
        <v>4926</v>
      </c>
      <c r="E825">
        <v>83.33</v>
      </c>
      <c r="F825" t="s">
        <v>5453</v>
      </c>
      <c r="G825" t="s">
        <v>5454</v>
      </c>
      <c r="H825" t="s">
        <v>4929</v>
      </c>
    </row>
    <row r="826" spans="1:8" x14ac:dyDescent="0.3">
      <c r="A826" t="s">
        <v>5757</v>
      </c>
      <c r="B826" s="1">
        <v>45442</v>
      </c>
      <c r="C826" t="s">
        <v>5452</v>
      </c>
      <c r="D826" t="s">
        <v>4926</v>
      </c>
      <c r="E826">
        <v>83.28</v>
      </c>
      <c r="F826" t="s">
        <v>5453</v>
      </c>
      <c r="G826" t="s">
        <v>5454</v>
      </c>
      <c r="H826" t="s">
        <v>4929</v>
      </c>
    </row>
    <row r="827" spans="1:8" x14ac:dyDescent="0.3">
      <c r="A827" t="s">
        <v>5758</v>
      </c>
      <c r="B827" s="1">
        <v>45443</v>
      </c>
      <c r="C827" t="s">
        <v>5452</v>
      </c>
      <c r="D827" t="s">
        <v>4926</v>
      </c>
      <c r="E827">
        <v>83.43</v>
      </c>
      <c r="F827" t="s">
        <v>5453</v>
      </c>
      <c r="G827" t="s">
        <v>5454</v>
      </c>
      <c r="H827" t="s">
        <v>4929</v>
      </c>
    </row>
    <row r="828" spans="1:8" x14ac:dyDescent="0.3">
      <c r="A828" t="s">
        <v>5759</v>
      </c>
      <c r="B828" s="1">
        <v>45446</v>
      </c>
      <c r="C828" t="s">
        <v>5452</v>
      </c>
      <c r="D828" t="s">
        <v>4926</v>
      </c>
      <c r="E828">
        <v>83.14</v>
      </c>
      <c r="F828" t="s">
        <v>5453</v>
      </c>
      <c r="G828" t="s">
        <v>5454</v>
      </c>
      <c r="H828" t="s">
        <v>4929</v>
      </c>
    </row>
    <row r="829" spans="1:8" x14ac:dyDescent="0.3">
      <c r="A829" t="s">
        <v>5760</v>
      </c>
      <c r="B829" s="1">
        <v>45447</v>
      </c>
      <c r="C829" t="s">
        <v>5452</v>
      </c>
      <c r="D829" t="s">
        <v>4926</v>
      </c>
      <c r="E829">
        <v>83.52</v>
      </c>
      <c r="F829" t="s">
        <v>5453</v>
      </c>
      <c r="G829" t="s">
        <v>5454</v>
      </c>
      <c r="H829" t="s">
        <v>4929</v>
      </c>
    </row>
    <row r="830" spans="1:8" x14ac:dyDescent="0.3">
      <c r="A830" t="s">
        <v>5761</v>
      </c>
      <c r="B830" s="1">
        <v>45448</v>
      </c>
      <c r="C830" t="s">
        <v>5452</v>
      </c>
      <c r="D830" t="s">
        <v>4926</v>
      </c>
      <c r="E830">
        <v>83.37</v>
      </c>
      <c r="F830" t="s">
        <v>5453</v>
      </c>
      <c r="G830" t="s">
        <v>5454</v>
      </c>
      <c r="H830" t="s">
        <v>4929</v>
      </c>
    </row>
    <row r="831" spans="1:8" x14ac:dyDescent="0.3">
      <c r="A831" t="s">
        <v>5762</v>
      </c>
      <c r="B831" s="1">
        <v>45449</v>
      </c>
      <c r="C831" t="s">
        <v>5452</v>
      </c>
      <c r="D831" t="s">
        <v>4926</v>
      </c>
      <c r="E831">
        <v>83.47</v>
      </c>
      <c r="F831" t="s">
        <v>5453</v>
      </c>
      <c r="G831" t="s">
        <v>5454</v>
      </c>
      <c r="H831" t="s">
        <v>4929</v>
      </c>
    </row>
    <row r="832" spans="1:8" x14ac:dyDescent="0.3">
      <c r="A832" t="s">
        <v>5763</v>
      </c>
      <c r="B832" s="1">
        <v>45450</v>
      </c>
      <c r="C832" t="s">
        <v>5452</v>
      </c>
      <c r="D832" t="s">
        <v>4926</v>
      </c>
      <c r="E832">
        <v>83.38</v>
      </c>
      <c r="F832" t="s">
        <v>5453</v>
      </c>
      <c r="G832" t="s">
        <v>5454</v>
      </c>
      <c r="H832" t="s">
        <v>4929</v>
      </c>
    </row>
    <row r="833" spans="1:8" x14ac:dyDescent="0.3">
      <c r="A833" t="s">
        <v>5764</v>
      </c>
      <c r="B833" s="1">
        <v>45453</v>
      </c>
      <c r="C833" t="s">
        <v>5452</v>
      </c>
      <c r="D833" t="s">
        <v>4926</v>
      </c>
      <c r="E833">
        <v>83.5</v>
      </c>
      <c r="F833" t="s">
        <v>5453</v>
      </c>
      <c r="G833" t="s">
        <v>5454</v>
      </c>
      <c r="H833" t="s">
        <v>4929</v>
      </c>
    </row>
    <row r="834" spans="1:8" x14ac:dyDescent="0.3">
      <c r="A834" t="s">
        <v>5765</v>
      </c>
      <c r="B834" s="1">
        <v>45454</v>
      </c>
      <c r="C834" t="s">
        <v>5452</v>
      </c>
      <c r="D834" t="s">
        <v>4926</v>
      </c>
      <c r="E834">
        <v>83.5</v>
      </c>
      <c r="F834" t="s">
        <v>5453</v>
      </c>
      <c r="G834" t="s">
        <v>5454</v>
      </c>
      <c r="H834" t="s">
        <v>4929</v>
      </c>
    </row>
    <row r="835" spans="1:8" x14ac:dyDescent="0.3">
      <c r="A835" t="s">
        <v>5766</v>
      </c>
      <c r="B835" s="1">
        <v>45455</v>
      </c>
      <c r="C835" t="s">
        <v>5452</v>
      </c>
      <c r="D835" t="s">
        <v>4926</v>
      </c>
      <c r="E835">
        <v>83.57</v>
      </c>
      <c r="F835" t="s">
        <v>5453</v>
      </c>
      <c r="G835" t="s">
        <v>5454</v>
      </c>
      <c r="H835" t="s">
        <v>4929</v>
      </c>
    </row>
    <row r="836" spans="1:8" x14ac:dyDescent="0.3">
      <c r="A836" t="s">
        <v>5767</v>
      </c>
      <c r="B836" s="1">
        <v>45456</v>
      </c>
      <c r="C836" t="s">
        <v>5452</v>
      </c>
      <c r="D836" t="s">
        <v>4926</v>
      </c>
      <c r="E836">
        <v>83.52</v>
      </c>
      <c r="F836" t="s">
        <v>5453</v>
      </c>
      <c r="G836" t="s">
        <v>5454</v>
      </c>
      <c r="H836" t="s">
        <v>4929</v>
      </c>
    </row>
    <row r="837" spans="1:8" x14ac:dyDescent="0.3">
      <c r="A837" t="s">
        <v>5768</v>
      </c>
      <c r="B837" s="1">
        <v>45457</v>
      </c>
      <c r="C837" t="s">
        <v>5452</v>
      </c>
      <c r="D837" t="s">
        <v>4926</v>
      </c>
      <c r="E837">
        <v>83.54</v>
      </c>
      <c r="F837" t="s">
        <v>5453</v>
      </c>
      <c r="G837" t="s">
        <v>5454</v>
      </c>
      <c r="H837" t="s">
        <v>4929</v>
      </c>
    </row>
    <row r="838" spans="1:8" x14ac:dyDescent="0.3">
      <c r="A838" t="s">
        <v>5769</v>
      </c>
      <c r="B838" s="1">
        <v>45460</v>
      </c>
      <c r="C838" t="s">
        <v>5452</v>
      </c>
      <c r="D838" t="s">
        <v>4926</v>
      </c>
      <c r="E838">
        <v>83.52</v>
      </c>
      <c r="F838" t="s">
        <v>5453</v>
      </c>
      <c r="G838" t="s">
        <v>5454</v>
      </c>
      <c r="H838" t="s">
        <v>4929</v>
      </c>
    </row>
    <row r="839" spans="1:8" x14ac:dyDescent="0.3">
      <c r="A839" t="s">
        <v>5770</v>
      </c>
      <c r="B839" s="1">
        <v>45461</v>
      </c>
      <c r="C839" t="s">
        <v>5452</v>
      </c>
      <c r="D839" t="s">
        <v>4926</v>
      </c>
      <c r="E839">
        <v>83.42</v>
      </c>
      <c r="F839" t="s">
        <v>5453</v>
      </c>
      <c r="G839" t="s">
        <v>5454</v>
      </c>
      <c r="H839" t="s">
        <v>4929</v>
      </c>
    </row>
    <row r="840" spans="1:8" x14ac:dyDescent="0.3">
      <c r="A840" t="s">
        <v>5771</v>
      </c>
      <c r="B840" s="1">
        <v>45462</v>
      </c>
      <c r="C840" t="s">
        <v>5452</v>
      </c>
      <c r="D840" t="s">
        <v>4926</v>
      </c>
      <c r="E840">
        <v>83.42</v>
      </c>
      <c r="F840" t="s">
        <v>5453</v>
      </c>
      <c r="G840" t="s">
        <v>5454</v>
      </c>
      <c r="H840" t="s">
        <v>4970</v>
      </c>
    </row>
    <row r="841" spans="1:8" x14ac:dyDescent="0.3">
      <c r="A841" t="s">
        <v>5772</v>
      </c>
      <c r="B841" s="1">
        <v>45463</v>
      </c>
      <c r="C841" t="s">
        <v>5452</v>
      </c>
      <c r="D841" t="s">
        <v>4926</v>
      </c>
      <c r="E841">
        <v>83.62</v>
      </c>
      <c r="F841" t="s">
        <v>5453</v>
      </c>
      <c r="G841" t="s">
        <v>5454</v>
      </c>
      <c r="H841" t="s">
        <v>4929</v>
      </c>
    </row>
    <row r="842" spans="1:8" x14ac:dyDescent="0.3">
      <c r="A842" t="s">
        <v>5773</v>
      </c>
      <c r="B842" s="1">
        <v>45464</v>
      </c>
      <c r="C842" t="s">
        <v>5452</v>
      </c>
      <c r="D842" t="s">
        <v>4926</v>
      </c>
      <c r="E842">
        <v>83.53</v>
      </c>
      <c r="F842" t="s">
        <v>5453</v>
      </c>
      <c r="G842" t="s">
        <v>5454</v>
      </c>
      <c r="H842" t="s">
        <v>4929</v>
      </c>
    </row>
    <row r="843" spans="1:8" x14ac:dyDescent="0.3">
      <c r="A843" t="s">
        <v>5774</v>
      </c>
      <c r="B843" s="1">
        <v>45467</v>
      </c>
      <c r="C843" t="s">
        <v>5452</v>
      </c>
      <c r="D843" t="s">
        <v>4926</v>
      </c>
      <c r="E843">
        <v>83.42</v>
      </c>
      <c r="F843" t="s">
        <v>5453</v>
      </c>
      <c r="G843" t="s">
        <v>5454</v>
      </c>
      <c r="H843" t="s">
        <v>4929</v>
      </c>
    </row>
    <row r="844" spans="1:8" x14ac:dyDescent="0.3">
      <c r="A844" t="s">
        <v>5775</v>
      </c>
      <c r="B844" s="1">
        <v>45468</v>
      </c>
      <c r="C844" t="s">
        <v>5452</v>
      </c>
      <c r="D844" t="s">
        <v>4926</v>
      </c>
      <c r="E844">
        <v>83.4</v>
      </c>
      <c r="F844" t="s">
        <v>5453</v>
      </c>
      <c r="G844" t="s">
        <v>5454</v>
      </c>
      <c r="H844" t="s">
        <v>4929</v>
      </c>
    </row>
    <row r="845" spans="1:8" x14ac:dyDescent="0.3">
      <c r="A845" t="s">
        <v>5776</v>
      </c>
      <c r="B845" s="1">
        <v>45469</v>
      </c>
      <c r="C845" t="s">
        <v>5452</v>
      </c>
      <c r="D845" t="s">
        <v>4926</v>
      </c>
      <c r="E845">
        <v>83.55</v>
      </c>
      <c r="F845" t="s">
        <v>5453</v>
      </c>
      <c r="G845" t="s">
        <v>5454</v>
      </c>
      <c r="H845" t="s">
        <v>4929</v>
      </c>
    </row>
    <row r="846" spans="1:8" x14ac:dyDescent="0.3">
      <c r="A846" t="s">
        <v>5777</v>
      </c>
      <c r="B846" s="1">
        <v>45470</v>
      </c>
      <c r="C846" t="s">
        <v>5452</v>
      </c>
      <c r="D846" t="s">
        <v>4926</v>
      </c>
      <c r="E846">
        <v>83.44</v>
      </c>
      <c r="F846" t="s">
        <v>5453</v>
      </c>
      <c r="G846" t="s">
        <v>5454</v>
      </c>
      <c r="H846" t="s">
        <v>4929</v>
      </c>
    </row>
    <row r="847" spans="1:8" x14ac:dyDescent="0.3">
      <c r="A847" t="s">
        <v>5778</v>
      </c>
      <c r="B847" s="1">
        <v>45471</v>
      </c>
      <c r="C847" t="s">
        <v>5452</v>
      </c>
      <c r="D847" t="s">
        <v>4926</v>
      </c>
      <c r="E847">
        <v>83.33</v>
      </c>
      <c r="F847" t="s">
        <v>5453</v>
      </c>
      <c r="G847" t="s">
        <v>5454</v>
      </c>
      <c r="H847" t="s">
        <v>4929</v>
      </c>
    </row>
    <row r="848" spans="1:8" x14ac:dyDescent="0.3">
      <c r="A848" t="s">
        <v>5779</v>
      </c>
      <c r="B848" s="1">
        <v>45474</v>
      </c>
      <c r="C848" t="s">
        <v>5452</v>
      </c>
      <c r="D848" t="s">
        <v>4926</v>
      </c>
      <c r="E848">
        <v>83.44</v>
      </c>
      <c r="F848" t="s">
        <v>5453</v>
      </c>
      <c r="G848" t="s">
        <v>5454</v>
      </c>
      <c r="H848" t="s">
        <v>4929</v>
      </c>
    </row>
    <row r="849" spans="1:8" x14ac:dyDescent="0.3">
      <c r="A849" t="s">
        <v>5780</v>
      </c>
      <c r="B849" s="1">
        <v>45475</v>
      </c>
      <c r="C849" t="s">
        <v>5452</v>
      </c>
      <c r="D849" t="s">
        <v>4926</v>
      </c>
      <c r="E849">
        <v>83.5</v>
      </c>
      <c r="F849" t="s">
        <v>5453</v>
      </c>
      <c r="G849" t="s">
        <v>5454</v>
      </c>
      <c r="H849" t="s">
        <v>4929</v>
      </c>
    </row>
    <row r="850" spans="1:8" x14ac:dyDescent="0.3">
      <c r="A850" t="s">
        <v>5781</v>
      </c>
      <c r="B850" s="1">
        <v>45476</v>
      </c>
      <c r="C850" t="s">
        <v>5452</v>
      </c>
      <c r="D850" t="s">
        <v>4926</v>
      </c>
      <c r="E850">
        <v>83.48</v>
      </c>
      <c r="F850" t="s">
        <v>5453</v>
      </c>
      <c r="G850" t="s">
        <v>5454</v>
      </c>
      <c r="H850" t="s">
        <v>4929</v>
      </c>
    </row>
    <row r="851" spans="1:8" x14ac:dyDescent="0.3">
      <c r="A851" t="s">
        <v>5782</v>
      </c>
      <c r="B851" s="1">
        <v>45477</v>
      </c>
      <c r="C851" t="s">
        <v>5452</v>
      </c>
      <c r="D851" t="s">
        <v>4926</v>
      </c>
      <c r="E851">
        <v>83.48</v>
      </c>
      <c r="F851" t="s">
        <v>5453</v>
      </c>
      <c r="G851" t="s">
        <v>5454</v>
      </c>
      <c r="H851" t="s">
        <v>4970</v>
      </c>
    </row>
    <row r="852" spans="1:8" x14ac:dyDescent="0.3">
      <c r="A852" t="s">
        <v>5783</v>
      </c>
      <c r="B852" s="1">
        <v>45478</v>
      </c>
      <c r="C852" t="s">
        <v>5452</v>
      </c>
      <c r="D852" t="s">
        <v>4926</v>
      </c>
      <c r="E852">
        <v>83.47</v>
      </c>
      <c r="F852" t="s">
        <v>5453</v>
      </c>
      <c r="G852" t="s">
        <v>5454</v>
      </c>
      <c r="H852" t="s">
        <v>4929</v>
      </c>
    </row>
    <row r="853" spans="1:8" x14ac:dyDescent="0.3">
      <c r="A853" t="s">
        <v>5784</v>
      </c>
      <c r="B853" s="1">
        <v>45481</v>
      </c>
      <c r="C853" t="s">
        <v>5452</v>
      </c>
      <c r="D853" t="s">
        <v>4926</v>
      </c>
      <c r="E853">
        <v>83.45</v>
      </c>
      <c r="F853" t="s">
        <v>5453</v>
      </c>
      <c r="G853" t="s">
        <v>5454</v>
      </c>
      <c r="H853" t="s">
        <v>4929</v>
      </c>
    </row>
    <row r="854" spans="1:8" x14ac:dyDescent="0.3">
      <c r="A854" t="s">
        <v>5785</v>
      </c>
      <c r="B854" s="1">
        <v>45482</v>
      </c>
      <c r="C854" t="s">
        <v>5452</v>
      </c>
      <c r="D854" t="s">
        <v>4926</v>
      </c>
      <c r="E854">
        <v>83.47</v>
      </c>
      <c r="F854" t="s">
        <v>5453</v>
      </c>
      <c r="G854" t="s">
        <v>5454</v>
      </c>
      <c r="H854" t="s">
        <v>4929</v>
      </c>
    </row>
    <row r="855" spans="1:8" x14ac:dyDescent="0.3">
      <c r="A855" t="s">
        <v>5786</v>
      </c>
      <c r="B855" s="1">
        <v>45483</v>
      </c>
      <c r="C855" t="s">
        <v>5452</v>
      </c>
      <c r="D855" t="s">
        <v>4926</v>
      </c>
      <c r="E855">
        <v>83.5</v>
      </c>
      <c r="F855" t="s">
        <v>5453</v>
      </c>
      <c r="G855" t="s">
        <v>5454</v>
      </c>
      <c r="H855" t="s">
        <v>4929</v>
      </c>
    </row>
    <row r="856" spans="1:8" x14ac:dyDescent="0.3">
      <c r="A856" t="s">
        <v>5787</v>
      </c>
      <c r="B856" s="1">
        <v>45484</v>
      </c>
      <c r="C856" t="s">
        <v>5452</v>
      </c>
      <c r="D856" t="s">
        <v>4926</v>
      </c>
      <c r="E856">
        <v>83.57</v>
      </c>
      <c r="F856" t="s">
        <v>5453</v>
      </c>
      <c r="G856" t="s">
        <v>5454</v>
      </c>
      <c r="H856" t="s">
        <v>4929</v>
      </c>
    </row>
    <row r="857" spans="1:8" x14ac:dyDescent="0.3">
      <c r="A857" t="s">
        <v>5788</v>
      </c>
      <c r="B857" s="1">
        <v>45485</v>
      </c>
      <c r="C857" t="s">
        <v>5452</v>
      </c>
      <c r="D857" t="s">
        <v>4926</v>
      </c>
      <c r="E857">
        <v>83.48</v>
      </c>
      <c r="F857" t="s">
        <v>5453</v>
      </c>
      <c r="G857" t="s">
        <v>5454</v>
      </c>
      <c r="H857" t="s">
        <v>4929</v>
      </c>
    </row>
    <row r="858" spans="1:8" x14ac:dyDescent="0.3">
      <c r="A858" t="s">
        <v>5789</v>
      </c>
      <c r="B858" s="1">
        <v>45488</v>
      </c>
      <c r="C858" t="s">
        <v>5452</v>
      </c>
      <c r="D858" t="s">
        <v>4926</v>
      </c>
      <c r="E858">
        <v>83.55</v>
      </c>
      <c r="F858" t="s">
        <v>5453</v>
      </c>
      <c r="G858" t="s">
        <v>5454</v>
      </c>
      <c r="H858" t="s">
        <v>4929</v>
      </c>
    </row>
    <row r="859" spans="1:8" x14ac:dyDescent="0.3">
      <c r="A859" t="s">
        <v>5790</v>
      </c>
      <c r="B859" s="1">
        <v>45489</v>
      </c>
      <c r="C859" t="s">
        <v>5452</v>
      </c>
      <c r="D859" t="s">
        <v>4926</v>
      </c>
      <c r="E859">
        <v>83.6</v>
      </c>
      <c r="F859" t="s">
        <v>5453</v>
      </c>
      <c r="G859" t="s">
        <v>5454</v>
      </c>
      <c r="H859" t="s">
        <v>4929</v>
      </c>
    </row>
    <row r="860" spans="1:8" x14ac:dyDescent="0.3">
      <c r="A860" t="s">
        <v>5791</v>
      </c>
      <c r="B860" s="1">
        <v>45490</v>
      </c>
      <c r="C860" t="s">
        <v>5452</v>
      </c>
      <c r="D860" t="s">
        <v>4926</v>
      </c>
      <c r="E860">
        <v>83.55</v>
      </c>
      <c r="F860" t="s">
        <v>5453</v>
      </c>
      <c r="G860" t="s">
        <v>5454</v>
      </c>
      <c r="H860" t="s">
        <v>4929</v>
      </c>
    </row>
    <row r="861" spans="1:8" x14ac:dyDescent="0.3">
      <c r="A861" t="s">
        <v>5792</v>
      </c>
      <c r="B861" s="1">
        <v>45491</v>
      </c>
      <c r="C861" t="s">
        <v>5452</v>
      </c>
      <c r="D861" t="s">
        <v>4926</v>
      </c>
      <c r="E861">
        <v>83.58</v>
      </c>
      <c r="F861" t="s">
        <v>5453</v>
      </c>
      <c r="G861" t="s">
        <v>5454</v>
      </c>
      <c r="H861" t="s">
        <v>4929</v>
      </c>
    </row>
    <row r="862" spans="1:8" x14ac:dyDescent="0.3">
      <c r="A862" t="s">
        <v>5793</v>
      </c>
      <c r="B862" s="1">
        <v>45492</v>
      </c>
      <c r="C862" t="s">
        <v>5452</v>
      </c>
      <c r="D862" t="s">
        <v>4926</v>
      </c>
      <c r="E862">
        <v>83.7</v>
      </c>
      <c r="F862" t="s">
        <v>5453</v>
      </c>
      <c r="G862" t="s">
        <v>5454</v>
      </c>
      <c r="H862" t="s">
        <v>4929</v>
      </c>
    </row>
    <row r="863" spans="1:8" x14ac:dyDescent="0.3">
      <c r="A863" t="s">
        <v>5794</v>
      </c>
      <c r="B863" s="1">
        <v>45495</v>
      </c>
      <c r="C863" t="s">
        <v>5452</v>
      </c>
      <c r="D863" t="s">
        <v>4926</v>
      </c>
      <c r="E863">
        <v>83.65</v>
      </c>
      <c r="F863" t="s">
        <v>5453</v>
      </c>
      <c r="G863" t="s">
        <v>5454</v>
      </c>
      <c r="H863" t="s">
        <v>4929</v>
      </c>
    </row>
    <row r="864" spans="1:8" x14ac:dyDescent="0.3">
      <c r="A864" t="s">
        <v>5795</v>
      </c>
      <c r="B864" s="1">
        <v>45496</v>
      </c>
      <c r="C864" t="s">
        <v>5452</v>
      </c>
      <c r="D864" t="s">
        <v>4926</v>
      </c>
      <c r="E864">
        <v>83.68</v>
      </c>
      <c r="F864" t="s">
        <v>5453</v>
      </c>
      <c r="G864" t="s">
        <v>5454</v>
      </c>
      <c r="H864" t="s">
        <v>4929</v>
      </c>
    </row>
    <row r="865" spans="1:8" x14ac:dyDescent="0.3">
      <c r="A865" t="s">
        <v>5796</v>
      </c>
      <c r="B865" s="1">
        <v>45497</v>
      </c>
      <c r="C865" t="s">
        <v>5452</v>
      </c>
      <c r="D865" t="s">
        <v>4926</v>
      </c>
      <c r="E865">
        <v>83.72</v>
      </c>
      <c r="F865" t="s">
        <v>5453</v>
      </c>
      <c r="G865" t="s">
        <v>5454</v>
      </c>
      <c r="H865" t="s">
        <v>4929</v>
      </c>
    </row>
    <row r="866" spans="1:8" x14ac:dyDescent="0.3">
      <c r="A866" t="s">
        <v>5797</v>
      </c>
      <c r="B866" s="1">
        <v>45498</v>
      </c>
      <c r="C866" t="s">
        <v>5452</v>
      </c>
      <c r="D866" t="s">
        <v>4926</v>
      </c>
      <c r="E866">
        <v>83.7</v>
      </c>
      <c r="F866" t="s">
        <v>5453</v>
      </c>
      <c r="G866" t="s">
        <v>5454</v>
      </c>
      <c r="H866" t="s">
        <v>4929</v>
      </c>
    </row>
    <row r="867" spans="1:8" x14ac:dyDescent="0.3">
      <c r="A867" t="s">
        <v>5798</v>
      </c>
      <c r="B867" s="1">
        <v>45499</v>
      </c>
      <c r="C867" t="s">
        <v>5452</v>
      </c>
      <c r="D867" t="s">
        <v>4926</v>
      </c>
      <c r="E867">
        <v>83.7</v>
      </c>
      <c r="F867" t="s">
        <v>5453</v>
      </c>
      <c r="G867" t="s">
        <v>5454</v>
      </c>
      <c r="H867" t="s">
        <v>4929</v>
      </c>
    </row>
    <row r="868" spans="1:8" x14ac:dyDescent="0.3">
      <c r="A868" t="s">
        <v>5799</v>
      </c>
      <c r="B868" s="1">
        <v>45502</v>
      </c>
      <c r="C868" t="s">
        <v>5452</v>
      </c>
      <c r="D868" t="s">
        <v>4926</v>
      </c>
      <c r="E868">
        <v>83.75</v>
      </c>
      <c r="F868" t="s">
        <v>5453</v>
      </c>
      <c r="G868" t="s">
        <v>5454</v>
      </c>
      <c r="H868" t="s">
        <v>4929</v>
      </c>
    </row>
    <row r="869" spans="1:8" x14ac:dyDescent="0.3">
      <c r="A869" t="s">
        <v>5800</v>
      </c>
      <c r="B869" s="1">
        <v>45503</v>
      </c>
      <c r="C869" t="s">
        <v>5452</v>
      </c>
      <c r="D869" t="s">
        <v>4926</v>
      </c>
      <c r="E869">
        <v>83.7</v>
      </c>
      <c r="F869" t="s">
        <v>5453</v>
      </c>
      <c r="G869" t="s">
        <v>5454</v>
      </c>
      <c r="H869" t="s">
        <v>4929</v>
      </c>
    </row>
    <row r="870" spans="1:8" x14ac:dyDescent="0.3">
      <c r="A870" t="s">
        <v>5801</v>
      </c>
      <c r="B870" s="1">
        <v>45504</v>
      </c>
      <c r="C870" t="s">
        <v>5452</v>
      </c>
      <c r="D870" t="s">
        <v>4926</v>
      </c>
      <c r="E870">
        <v>83.73</v>
      </c>
      <c r="F870" t="s">
        <v>5453</v>
      </c>
      <c r="G870" t="s">
        <v>5454</v>
      </c>
      <c r="H870" t="s">
        <v>4929</v>
      </c>
    </row>
    <row r="871" spans="1:8" x14ac:dyDescent="0.3">
      <c r="A871" t="s">
        <v>5802</v>
      </c>
      <c r="B871" s="1">
        <v>45505</v>
      </c>
      <c r="C871" t="s">
        <v>5452</v>
      </c>
      <c r="D871" t="s">
        <v>4926</v>
      </c>
      <c r="E871">
        <v>83.7</v>
      </c>
      <c r="F871" t="s">
        <v>5453</v>
      </c>
      <c r="G871" t="s">
        <v>5454</v>
      </c>
      <c r="H871" t="s">
        <v>4929</v>
      </c>
    </row>
    <row r="872" spans="1:8" x14ac:dyDescent="0.3">
      <c r="A872" t="s">
        <v>5803</v>
      </c>
      <c r="B872" s="1">
        <v>45506</v>
      </c>
      <c r="C872" t="s">
        <v>5452</v>
      </c>
      <c r="D872" t="s">
        <v>4926</v>
      </c>
      <c r="E872">
        <v>83.79</v>
      </c>
      <c r="F872" t="s">
        <v>5453</v>
      </c>
      <c r="G872" t="s">
        <v>5454</v>
      </c>
      <c r="H872" t="s">
        <v>4929</v>
      </c>
    </row>
    <row r="873" spans="1:8" x14ac:dyDescent="0.3">
      <c r="A873" t="s">
        <v>5804</v>
      </c>
      <c r="B873" s="1">
        <v>45509</v>
      </c>
      <c r="C873" t="s">
        <v>5452</v>
      </c>
      <c r="D873" t="s">
        <v>4926</v>
      </c>
      <c r="E873">
        <v>83.83</v>
      </c>
      <c r="F873" t="s">
        <v>5453</v>
      </c>
      <c r="G873" t="s">
        <v>5454</v>
      </c>
      <c r="H873" t="s">
        <v>4929</v>
      </c>
    </row>
    <row r="874" spans="1:8" x14ac:dyDescent="0.3">
      <c r="A874" t="s">
        <v>5805</v>
      </c>
      <c r="B874" s="1">
        <v>45510</v>
      </c>
      <c r="C874" t="s">
        <v>5452</v>
      </c>
      <c r="D874" t="s">
        <v>4926</v>
      </c>
      <c r="E874">
        <v>83.91</v>
      </c>
      <c r="F874" t="s">
        <v>5453</v>
      </c>
      <c r="G874" t="s">
        <v>5454</v>
      </c>
      <c r="H874" t="s">
        <v>4929</v>
      </c>
    </row>
    <row r="875" spans="1:8" x14ac:dyDescent="0.3">
      <c r="A875" t="s">
        <v>5806</v>
      </c>
      <c r="B875" s="1">
        <v>45511</v>
      </c>
      <c r="C875" t="s">
        <v>5452</v>
      </c>
      <c r="D875" t="s">
        <v>4926</v>
      </c>
      <c r="E875">
        <v>83.96</v>
      </c>
      <c r="F875" t="s">
        <v>5453</v>
      </c>
      <c r="G875" t="s">
        <v>5454</v>
      </c>
      <c r="H875" t="s">
        <v>4929</v>
      </c>
    </row>
    <row r="876" spans="1:8" x14ac:dyDescent="0.3">
      <c r="A876" t="s">
        <v>5807</v>
      </c>
      <c r="B876" s="1">
        <v>45512</v>
      </c>
      <c r="C876" t="s">
        <v>5452</v>
      </c>
      <c r="D876" t="s">
        <v>4926</v>
      </c>
      <c r="E876">
        <v>83.95</v>
      </c>
      <c r="F876" t="s">
        <v>5453</v>
      </c>
      <c r="G876" t="s">
        <v>5454</v>
      </c>
      <c r="H876" t="s">
        <v>4929</v>
      </c>
    </row>
    <row r="877" spans="1:8" x14ac:dyDescent="0.3">
      <c r="A877" t="s">
        <v>5808</v>
      </c>
      <c r="B877" s="1">
        <v>45513</v>
      </c>
      <c r="C877" t="s">
        <v>5452</v>
      </c>
      <c r="D877" t="s">
        <v>4926</v>
      </c>
      <c r="E877">
        <v>83.92</v>
      </c>
      <c r="F877" t="s">
        <v>5453</v>
      </c>
      <c r="G877" t="s">
        <v>5454</v>
      </c>
      <c r="H877" t="s">
        <v>4929</v>
      </c>
    </row>
    <row r="878" spans="1:8" x14ac:dyDescent="0.3">
      <c r="A878" t="s">
        <v>5809</v>
      </c>
      <c r="B878" s="1">
        <v>45516</v>
      </c>
      <c r="C878" t="s">
        <v>5452</v>
      </c>
      <c r="D878" t="s">
        <v>4926</v>
      </c>
      <c r="E878">
        <v>83.92</v>
      </c>
      <c r="F878" t="s">
        <v>5453</v>
      </c>
      <c r="G878" t="s">
        <v>5454</v>
      </c>
      <c r="H878" t="s">
        <v>4929</v>
      </c>
    </row>
    <row r="879" spans="1:8" x14ac:dyDescent="0.3">
      <c r="A879" t="s">
        <v>5810</v>
      </c>
      <c r="B879" s="1">
        <v>45517</v>
      </c>
      <c r="C879" t="s">
        <v>5452</v>
      </c>
      <c r="D879" t="s">
        <v>4926</v>
      </c>
      <c r="E879">
        <v>83.97</v>
      </c>
      <c r="F879" t="s">
        <v>5453</v>
      </c>
      <c r="G879" t="s">
        <v>5454</v>
      </c>
      <c r="H879" t="s">
        <v>4929</v>
      </c>
    </row>
    <row r="880" spans="1:8" x14ac:dyDescent="0.3">
      <c r="A880" t="s">
        <v>5811</v>
      </c>
      <c r="B880" s="1">
        <v>45518</v>
      </c>
      <c r="C880" t="s">
        <v>5452</v>
      </c>
      <c r="D880" t="s">
        <v>4926</v>
      </c>
      <c r="E880">
        <v>83.91</v>
      </c>
      <c r="F880" t="s">
        <v>5453</v>
      </c>
      <c r="G880" t="s">
        <v>5454</v>
      </c>
      <c r="H880" t="s">
        <v>4929</v>
      </c>
    </row>
    <row r="881" spans="1:8" x14ac:dyDescent="0.3">
      <c r="A881" t="s">
        <v>5812</v>
      </c>
      <c r="B881" s="1">
        <v>45519</v>
      </c>
      <c r="C881" t="s">
        <v>5452</v>
      </c>
      <c r="D881" t="s">
        <v>4926</v>
      </c>
      <c r="E881">
        <v>83.94</v>
      </c>
      <c r="F881" t="s">
        <v>5453</v>
      </c>
      <c r="G881" t="s">
        <v>5454</v>
      </c>
      <c r="H881" t="s">
        <v>4929</v>
      </c>
    </row>
    <row r="882" spans="1:8" x14ac:dyDescent="0.3">
      <c r="A882" t="s">
        <v>5813</v>
      </c>
      <c r="B882" s="1">
        <v>45520</v>
      </c>
      <c r="C882" t="s">
        <v>5452</v>
      </c>
      <c r="D882" t="s">
        <v>4926</v>
      </c>
      <c r="E882">
        <v>83.95</v>
      </c>
      <c r="F882" t="s">
        <v>5453</v>
      </c>
      <c r="G882" t="s">
        <v>5454</v>
      </c>
      <c r="H882" t="s">
        <v>4929</v>
      </c>
    </row>
    <row r="883" spans="1:8" x14ac:dyDescent="0.3">
      <c r="A883" t="s">
        <v>5814</v>
      </c>
      <c r="B883" s="1">
        <v>45523</v>
      </c>
      <c r="C883" t="s">
        <v>5452</v>
      </c>
      <c r="D883" t="s">
        <v>4926</v>
      </c>
      <c r="E883">
        <v>83.82</v>
      </c>
      <c r="F883" t="s">
        <v>5453</v>
      </c>
      <c r="G883" t="s">
        <v>5454</v>
      </c>
      <c r="H883" t="s">
        <v>4929</v>
      </c>
    </row>
    <row r="884" spans="1:8" x14ac:dyDescent="0.3">
      <c r="A884" t="s">
        <v>5815</v>
      </c>
      <c r="B884" s="1">
        <v>45524</v>
      </c>
      <c r="C884" t="s">
        <v>5452</v>
      </c>
      <c r="D884" t="s">
        <v>4926</v>
      </c>
      <c r="E884">
        <v>83.79</v>
      </c>
      <c r="F884" t="s">
        <v>5453</v>
      </c>
      <c r="G884" t="s">
        <v>5454</v>
      </c>
      <c r="H884" t="s">
        <v>4929</v>
      </c>
    </row>
    <row r="885" spans="1:8" x14ac:dyDescent="0.3">
      <c r="A885" t="s">
        <v>5816</v>
      </c>
      <c r="B885" s="1">
        <v>45525</v>
      </c>
      <c r="C885" t="s">
        <v>5452</v>
      </c>
      <c r="D885" t="s">
        <v>4926</v>
      </c>
      <c r="E885">
        <v>83.93</v>
      </c>
      <c r="F885" t="s">
        <v>5453</v>
      </c>
      <c r="G885" t="s">
        <v>5454</v>
      </c>
      <c r="H885" t="s">
        <v>4929</v>
      </c>
    </row>
    <row r="886" spans="1:8" x14ac:dyDescent="0.3">
      <c r="A886" t="s">
        <v>5817</v>
      </c>
      <c r="B886" s="1">
        <v>45526</v>
      </c>
      <c r="C886" t="s">
        <v>5452</v>
      </c>
      <c r="D886" t="s">
        <v>4926</v>
      </c>
      <c r="E886">
        <v>83.93</v>
      </c>
      <c r="F886" t="s">
        <v>5453</v>
      </c>
      <c r="G886" t="s">
        <v>5454</v>
      </c>
      <c r="H886" t="s">
        <v>4929</v>
      </c>
    </row>
    <row r="887" spans="1:8" x14ac:dyDescent="0.3">
      <c r="A887" t="s">
        <v>5818</v>
      </c>
      <c r="B887" s="1">
        <v>45527</v>
      </c>
      <c r="C887" t="s">
        <v>5452</v>
      </c>
      <c r="D887" t="s">
        <v>4926</v>
      </c>
      <c r="E887">
        <v>83.91</v>
      </c>
      <c r="F887" t="s">
        <v>5453</v>
      </c>
      <c r="G887" t="s">
        <v>5454</v>
      </c>
      <c r="H887" t="s">
        <v>4929</v>
      </c>
    </row>
    <row r="888" spans="1:8" x14ac:dyDescent="0.3">
      <c r="A888" t="s">
        <v>5819</v>
      </c>
      <c r="B888" s="1">
        <v>45530</v>
      </c>
      <c r="C888" t="s">
        <v>5452</v>
      </c>
      <c r="D888" t="s">
        <v>4926</v>
      </c>
      <c r="E888">
        <v>83.87</v>
      </c>
      <c r="F888" t="s">
        <v>5453</v>
      </c>
      <c r="G888" t="s">
        <v>5454</v>
      </c>
      <c r="H888" t="s">
        <v>4929</v>
      </c>
    </row>
    <row r="889" spans="1:8" x14ac:dyDescent="0.3">
      <c r="A889" t="s">
        <v>5820</v>
      </c>
      <c r="B889" s="1">
        <v>45531</v>
      </c>
      <c r="C889" t="s">
        <v>5452</v>
      </c>
      <c r="D889" t="s">
        <v>4926</v>
      </c>
      <c r="E889">
        <v>83.91</v>
      </c>
      <c r="F889" t="s">
        <v>5453</v>
      </c>
      <c r="G889" t="s">
        <v>5454</v>
      </c>
      <c r="H889" t="s">
        <v>4929</v>
      </c>
    </row>
    <row r="890" spans="1:8" x14ac:dyDescent="0.3">
      <c r="A890" t="s">
        <v>5821</v>
      </c>
      <c r="B890" s="1">
        <v>45532</v>
      </c>
      <c r="C890" t="s">
        <v>5452</v>
      </c>
      <c r="D890" t="s">
        <v>4926</v>
      </c>
      <c r="E890">
        <v>83.9</v>
      </c>
      <c r="F890" t="s">
        <v>5453</v>
      </c>
      <c r="G890" t="s">
        <v>5454</v>
      </c>
      <c r="H890" t="s">
        <v>4929</v>
      </c>
    </row>
    <row r="891" spans="1:8" x14ac:dyDescent="0.3">
      <c r="A891" t="s">
        <v>5822</v>
      </c>
      <c r="B891" s="1">
        <v>45533</v>
      </c>
      <c r="C891" t="s">
        <v>5452</v>
      </c>
      <c r="D891" t="s">
        <v>4926</v>
      </c>
      <c r="E891">
        <v>83.84</v>
      </c>
      <c r="F891" t="s">
        <v>5453</v>
      </c>
      <c r="G891" t="s">
        <v>5454</v>
      </c>
      <c r="H891" t="s">
        <v>4929</v>
      </c>
    </row>
    <row r="892" spans="1:8" x14ac:dyDescent="0.3">
      <c r="A892" t="s">
        <v>5823</v>
      </c>
      <c r="B892" s="1">
        <v>45534</v>
      </c>
      <c r="C892" t="s">
        <v>5452</v>
      </c>
      <c r="D892" t="s">
        <v>4926</v>
      </c>
      <c r="E892">
        <v>83.83</v>
      </c>
      <c r="F892" t="s">
        <v>5453</v>
      </c>
      <c r="G892" t="s">
        <v>5454</v>
      </c>
      <c r="H892" t="s">
        <v>4929</v>
      </c>
    </row>
    <row r="893" spans="1:8" x14ac:dyDescent="0.3">
      <c r="A893" t="s">
        <v>5824</v>
      </c>
      <c r="B893" s="1">
        <v>45537</v>
      </c>
      <c r="C893" t="s">
        <v>5452</v>
      </c>
      <c r="D893" t="s">
        <v>4926</v>
      </c>
      <c r="E893">
        <v>83.83</v>
      </c>
      <c r="F893" t="s">
        <v>5453</v>
      </c>
      <c r="G893" t="s">
        <v>5454</v>
      </c>
      <c r="H893" t="s">
        <v>4970</v>
      </c>
    </row>
    <row r="894" spans="1:8" x14ac:dyDescent="0.3">
      <c r="A894" t="s">
        <v>5825</v>
      </c>
      <c r="B894" s="1">
        <v>45538</v>
      </c>
      <c r="C894" t="s">
        <v>5452</v>
      </c>
      <c r="D894" t="s">
        <v>4926</v>
      </c>
      <c r="E894">
        <v>83.94</v>
      </c>
      <c r="F894" t="s">
        <v>5453</v>
      </c>
      <c r="G894" t="s">
        <v>5454</v>
      </c>
      <c r="H894" t="s">
        <v>4929</v>
      </c>
    </row>
    <row r="895" spans="1:8" x14ac:dyDescent="0.3">
      <c r="A895" t="s">
        <v>5826</v>
      </c>
      <c r="B895" s="1">
        <v>45539</v>
      </c>
      <c r="C895" t="s">
        <v>5452</v>
      </c>
      <c r="D895" t="s">
        <v>4926</v>
      </c>
      <c r="E895">
        <v>83.95</v>
      </c>
      <c r="F895" t="s">
        <v>5453</v>
      </c>
      <c r="G895" t="s">
        <v>5454</v>
      </c>
      <c r="H895" t="s">
        <v>4929</v>
      </c>
    </row>
    <row r="896" spans="1:8" x14ac:dyDescent="0.3">
      <c r="A896" t="s">
        <v>5827</v>
      </c>
      <c r="B896" s="1">
        <v>45540</v>
      </c>
      <c r="C896" t="s">
        <v>5452</v>
      </c>
      <c r="D896" t="s">
        <v>4926</v>
      </c>
      <c r="E896">
        <v>83.96</v>
      </c>
      <c r="F896" t="s">
        <v>5453</v>
      </c>
      <c r="G896" t="s">
        <v>5454</v>
      </c>
      <c r="H896" t="s">
        <v>4929</v>
      </c>
    </row>
    <row r="897" spans="1:8" x14ac:dyDescent="0.3">
      <c r="A897" t="s">
        <v>5828</v>
      </c>
      <c r="B897" s="1">
        <v>45541</v>
      </c>
      <c r="C897" t="s">
        <v>5452</v>
      </c>
      <c r="D897" t="s">
        <v>4926</v>
      </c>
      <c r="E897">
        <v>83.91</v>
      </c>
      <c r="F897" t="s">
        <v>5453</v>
      </c>
      <c r="G897" t="s">
        <v>5454</v>
      </c>
      <c r="H897" t="s">
        <v>4929</v>
      </c>
    </row>
    <row r="898" spans="1:8" x14ac:dyDescent="0.3">
      <c r="A898" t="s">
        <v>5829</v>
      </c>
      <c r="B898" s="1">
        <v>45544</v>
      </c>
      <c r="C898" t="s">
        <v>5452</v>
      </c>
      <c r="D898" t="s">
        <v>4926</v>
      </c>
      <c r="E898">
        <v>83.93</v>
      </c>
      <c r="F898" t="s">
        <v>5453</v>
      </c>
      <c r="G898" t="s">
        <v>5454</v>
      </c>
      <c r="H898" t="s">
        <v>4929</v>
      </c>
    </row>
    <row r="899" spans="1:8" x14ac:dyDescent="0.3">
      <c r="A899" t="s">
        <v>5830</v>
      </c>
      <c r="B899" s="1">
        <v>45545</v>
      </c>
      <c r="C899" t="s">
        <v>5452</v>
      </c>
      <c r="D899" t="s">
        <v>4926</v>
      </c>
      <c r="E899">
        <v>83.95</v>
      </c>
      <c r="F899" t="s">
        <v>5453</v>
      </c>
      <c r="G899" t="s">
        <v>5454</v>
      </c>
      <c r="H899" t="s">
        <v>4929</v>
      </c>
    </row>
    <row r="900" spans="1:8" x14ac:dyDescent="0.3">
      <c r="A900" t="s">
        <v>5831</v>
      </c>
      <c r="B900" s="1">
        <v>45546</v>
      </c>
      <c r="C900" t="s">
        <v>5452</v>
      </c>
      <c r="D900" t="s">
        <v>4926</v>
      </c>
      <c r="E900">
        <v>83.95</v>
      </c>
      <c r="F900" t="s">
        <v>5453</v>
      </c>
      <c r="G900" t="s">
        <v>5454</v>
      </c>
      <c r="H900" t="s">
        <v>4929</v>
      </c>
    </row>
    <row r="901" spans="1:8" x14ac:dyDescent="0.3">
      <c r="A901" t="s">
        <v>5832</v>
      </c>
      <c r="B901" s="1">
        <v>45547</v>
      </c>
      <c r="C901" t="s">
        <v>5452</v>
      </c>
      <c r="D901" t="s">
        <v>4926</v>
      </c>
      <c r="E901">
        <v>83.92</v>
      </c>
      <c r="F901" t="s">
        <v>5453</v>
      </c>
      <c r="G901" t="s">
        <v>5454</v>
      </c>
      <c r="H901" t="s">
        <v>4929</v>
      </c>
    </row>
    <row r="902" spans="1:8" x14ac:dyDescent="0.3">
      <c r="A902" t="s">
        <v>5833</v>
      </c>
      <c r="B902" s="1">
        <v>45548</v>
      </c>
      <c r="C902" t="s">
        <v>5452</v>
      </c>
      <c r="D902" t="s">
        <v>4926</v>
      </c>
      <c r="E902">
        <v>83.88</v>
      </c>
      <c r="F902" t="s">
        <v>5453</v>
      </c>
      <c r="G902" t="s">
        <v>5454</v>
      </c>
      <c r="H902" t="s">
        <v>4929</v>
      </c>
    </row>
    <row r="903" spans="1:8" x14ac:dyDescent="0.3">
      <c r="A903" t="s">
        <v>5834</v>
      </c>
      <c r="B903" s="1">
        <v>45551</v>
      </c>
      <c r="C903" t="s">
        <v>5452</v>
      </c>
      <c r="D903" t="s">
        <v>4926</v>
      </c>
      <c r="E903">
        <v>83.89</v>
      </c>
      <c r="F903" t="s">
        <v>5453</v>
      </c>
      <c r="G903" t="s">
        <v>5454</v>
      </c>
      <c r="H903" t="s">
        <v>4929</v>
      </c>
    </row>
    <row r="904" spans="1:8" x14ac:dyDescent="0.3">
      <c r="A904" t="s">
        <v>5835</v>
      </c>
      <c r="B904" s="1">
        <v>45552</v>
      </c>
      <c r="C904" t="s">
        <v>5452</v>
      </c>
      <c r="D904" t="s">
        <v>4926</v>
      </c>
      <c r="E904">
        <v>83.75</v>
      </c>
      <c r="F904" t="s">
        <v>5453</v>
      </c>
      <c r="G904" t="s">
        <v>5454</v>
      </c>
      <c r="H904" t="s">
        <v>4929</v>
      </c>
    </row>
    <row r="905" spans="1:8" x14ac:dyDescent="0.3">
      <c r="A905" t="s">
        <v>5836</v>
      </c>
      <c r="B905" s="1">
        <v>45553</v>
      </c>
      <c r="C905" t="s">
        <v>5452</v>
      </c>
      <c r="D905" t="s">
        <v>4926</v>
      </c>
      <c r="E905">
        <v>83.75</v>
      </c>
      <c r="F905" t="s">
        <v>5453</v>
      </c>
      <c r="G905" t="s">
        <v>5454</v>
      </c>
      <c r="H905" t="s">
        <v>4929</v>
      </c>
    </row>
    <row r="906" spans="1:8" x14ac:dyDescent="0.3">
      <c r="A906" t="s">
        <v>5837</v>
      </c>
      <c r="B906" s="1">
        <v>45554</v>
      </c>
      <c r="C906" t="s">
        <v>5452</v>
      </c>
      <c r="D906" t="s">
        <v>4926</v>
      </c>
      <c r="E906">
        <v>83.68</v>
      </c>
      <c r="F906" t="s">
        <v>5453</v>
      </c>
      <c r="G906" t="s">
        <v>5454</v>
      </c>
      <c r="H906" t="s">
        <v>4929</v>
      </c>
    </row>
    <row r="907" spans="1:8" x14ac:dyDescent="0.3">
      <c r="A907" t="s">
        <v>5838</v>
      </c>
      <c r="B907" s="1">
        <v>45555</v>
      </c>
      <c r="C907" t="s">
        <v>5452</v>
      </c>
      <c r="D907" t="s">
        <v>4926</v>
      </c>
      <c r="E907">
        <v>83.57</v>
      </c>
      <c r="F907" t="s">
        <v>5453</v>
      </c>
      <c r="G907" t="s">
        <v>5454</v>
      </c>
      <c r="H907" t="s">
        <v>4929</v>
      </c>
    </row>
    <row r="908" spans="1:8" x14ac:dyDescent="0.3">
      <c r="A908" t="s">
        <v>5839</v>
      </c>
      <c r="B908" s="1">
        <v>45558</v>
      </c>
      <c r="C908" t="s">
        <v>5452</v>
      </c>
      <c r="D908" t="s">
        <v>4926</v>
      </c>
      <c r="E908">
        <v>83.53</v>
      </c>
      <c r="F908" t="s">
        <v>5453</v>
      </c>
      <c r="G908" t="s">
        <v>5454</v>
      </c>
      <c r="H908" t="s">
        <v>4929</v>
      </c>
    </row>
    <row r="909" spans="1:8" x14ac:dyDescent="0.3">
      <c r="A909" t="s">
        <v>5840</v>
      </c>
      <c r="B909" s="1">
        <v>45559</v>
      </c>
      <c r="C909" t="s">
        <v>5452</v>
      </c>
      <c r="D909" t="s">
        <v>4926</v>
      </c>
      <c r="E909">
        <v>83.66</v>
      </c>
      <c r="F909" t="s">
        <v>5453</v>
      </c>
      <c r="G909" t="s">
        <v>5454</v>
      </c>
      <c r="H909" t="s">
        <v>4929</v>
      </c>
    </row>
    <row r="910" spans="1:8" x14ac:dyDescent="0.3">
      <c r="A910" t="s">
        <v>5841</v>
      </c>
      <c r="B910" s="1">
        <v>45560</v>
      </c>
      <c r="C910" t="s">
        <v>5452</v>
      </c>
      <c r="D910" t="s">
        <v>4926</v>
      </c>
      <c r="E910">
        <v>83.56</v>
      </c>
      <c r="F910" t="s">
        <v>5453</v>
      </c>
      <c r="G910" t="s">
        <v>5454</v>
      </c>
      <c r="H910" t="s">
        <v>4929</v>
      </c>
    </row>
    <row r="911" spans="1:8" x14ac:dyDescent="0.3">
      <c r="A911" t="s">
        <v>5842</v>
      </c>
      <c r="B911" s="1">
        <v>45561</v>
      </c>
      <c r="C911" t="s">
        <v>5452</v>
      </c>
      <c r="D911" t="s">
        <v>4926</v>
      </c>
      <c r="E911">
        <v>83.6</v>
      </c>
      <c r="F911" t="s">
        <v>5453</v>
      </c>
      <c r="G911" t="s">
        <v>5454</v>
      </c>
      <c r="H911" t="s">
        <v>4929</v>
      </c>
    </row>
    <row r="912" spans="1:8" x14ac:dyDescent="0.3">
      <c r="A912" t="s">
        <v>5843</v>
      </c>
      <c r="B912" s="1">
        <v>45562</v>
      </c>
      <c r="C912" t="s">
        <v>5452</v>
      </c>
      <c r="D912" t="s">
        <v>4926</v>
      </c>
      <c r="E912">
        <v>83.68</v>
      </c>
      <c r="F912" t="s">
        <v>5453</v>
      </c>
      <c r="G912" t="s">
        <v>5454</v>
      </c>
      <c r="H912" t="s">
        <v>4929</v>
      </c>
    </row>
    <row r="913" spans="1:8" x14ac:dyDescent="0.3">
      <c r="A913" t="s">
        <v>5844</v>
      </c>
      <c r="B913" s="1">
        <v>45565</v>
      </c>
      <c r="C913" t="s">
        <v>5452</v>
      </c>
      <c r="D913" t="s">
        <v>4926</v>
      </c>
      <c r="E913">
        <v>83.76</v>
      </c>
      <c r="F913" t="s">
        <v>5453</v>
      </c>
      <c r="G913" t="s">
        <v>5454</v>
      </c>
      <c r="H913" t="s">
        <v>4929</v>
      </c>
    </row>
    <row r="914" spans="1:8" x14ac:dyDescent="0.3">
      <c r="A914" t="s">
        <v>5845</v>
      </c>
      <c r="B914" s="1">
        <v>45566</v>
      </c>
      <c r="C914" t="s">
        <v>5452</v>
      </c>
      <c r="D914" t="s">
        <v>4926</v>
      </c>
      <c r="E914">
        <v>83.81</v>
      </c>
      <c r="F914" t="s">
        <v>5453</v>
      </c>
      <c r="G914" t="s">
        <v>5454</v>
      </c>
      <c r="H914" t="s">
        <v>4929</v>
      </c>
    </row>
    <row r="915" spans="1:8" x14ac:dyDescent="0.3">
      <c r="A915" t="s">
        <v>5846</v>
      </c>
      <c r="B915" s="1">
        <v>45567</v>
      </c>
      <c r="C915" t="s">
        <v>5452</v>
      </c>
      <c r="D915" t="s">
        <v>4926</v>
      </c>
      <c r="E915">
        <v>83.81</v>
      </c>
      <c r="F915" t="s">
        <v>5453</v>
      </c>
      <c r="G915" t="s">
        <v>5454</v>
      </c>
      <c r="H915" t="s">
        <v>4929</v>
      </c>
    </row>
    <row r="916" spans="1:8" x14ac:dyDescent="0.3">
      <c r="A916" t="s">
        <v>5847</v>
      </c>
      <c r="B916" s="1">
        <v>45568</v>
      </c>
      <c r="C916" t="s">
        <v>5452</v>
      </c>
      <c r="D916" t="s">
        <v>4926</v>
      </c>
      <c r="E916">
        <v>84</v>
      </c>
      <c r="F916" t="s">
        <v>5453</v>
      </c>
      <c r="G916" t="s">
        <v>5454</v>
      </c>
      <c r="H916" t="s">
        <v>4929</v>
      </c>
    </row>
    <row r="917" spans="1:8" x14ac:dyDescent="0.3">
      <c r="A917" t="s">
        <v>5848</v>
      </c>
      <c r="B917" s="1">
        <v>45569</v>
      </c>
      <c r="C917" t="s">
        <v>5452</v>
      </c>
      <c r="D917" t="s">
        <v>4926</v>
      </c>
      <c r="E917">
        <v>83.99</v>
      </c>
      <c r="F917" t="s">
        <v>5453</v>
      </c>
      <c r="G917" t="s">
        <v>5454</v>
      </c>
      <c r="H917" t="s">
        <v>4929</v>
      </c>
    </row>
    <row r="918" spans="1:8" x14ac:dyDescent="0.3">
      <c r="A918" t="s">
        <v>5849</v>
      </c>
      <c r="B918" s="1">
        <v>45572</v>
      </c>
      <c r="C918" t="s">
        <v>5452</v>
      </c>
      <c r="D918" t="s">
        <v>4926</v>
      </c>
      <c r="E918">
        <v>83.96</v>
      </c>
      <c r="F918" t="s">
        <v>5453</v>
      </c>
      <c r="G918" t="s">
        <v>5454</v>
      </c>
      <c r="H918" t="s">
        <v>4929</v>
      </c>
    </row>
    <row r="919" spans="1:8" x14ac:dyDescent="0.3">
      <c r="A919" t="s">
        <v>5850</v>
      </c>
      <c r="B919" s="1">
        <v>45573</v>
      </c>
      <c r="C919" t="s">
        <v>5452</v>
      </c>
      <c r="D919" t="s">
        <v>4926</v>
      </c>
      <c r="E919">
        <v>83.95</v>
      </c>
      <c r="F919" t="s">
        <v>5453</v>
      </c>
      <c r="G919" t="s">
        <v>5454</v>
      </c>
      <c r="H919" t="s">
        <v>4929</v>
      </c>
    </row>
    <row r="920" spans="1:8" x14ac:dyDescent="0.3">
      <c r="A920" t="s">
        <v>5851</v>
      </c>
      <c r="B920" s="1">
        <v>45574</v>
      </c>
      <c r="C920" t="s">
        <v>5452</v>
      </c>
      <c r="D920" t="s">
        <v>4926</v>
      </c>
      <c r="E920">
        <v>83.93</v>
      </c>
      <c r="F920" t="s">
        <v>5453</v>
      </c>
      <c r="G920" t="s">
        <v>5454</v>
      </c>
      <c r="H920" t="s">
        <v>4929</v>
      </c>
    </row>
    <row r="921" spans="1:8" x14ac:dyDescent="0.3">
      <c r="A921" t="s">
        <v>5852</v>
      </c>
      <c r="B921" s="1">
        <v>45575</v>
      </c>
      <c r="C921" t="s">
        <v>5452</v>
      </c>
      <c r="D921" t="s">
        <v>4926</v>
      </c>
      <c r="E921">
        <v>83.94</v>
      </c>
      <c r="F921" t="s">
        <v>5453</v>
      </c>
      <c r="G921" t="s">
        <v>5454</v>
      </c>
      <c r="H921" t="s">
        <v>4929</v>
      </c>
    </row>
    <row r="922" spans="1:8" x14ac:dyDescent="0.3">
      <c r="A922" t="s">
        <v>5853</v>
      </c>
      <c r="B922" s="1">
        <v>45576</v>
      </c>
      <c r="C922" t="s">
        <v>5452</v>
      </c>
      <c r="D922" t="s">
        <v>4926</v>
      </c>
      <c r="E922">
        <v>84.08</v>
      </c>
      <c r="F922" t="s">
        <v>5453</v>
      </c>
      <c r="G922" t="s">
        <v>5454</v>
      </c>
      <c r="H922" t="s">
        <v>4929</v>
      </c>
    </row>
    <row r="923" spans="1:8" x14ac:dyDescent="0.3">
      <c r="A923" t="s">
        <v>5854</v>
      </c>
      <c r="B923" s="1">
        <v>45579</v>
      </c>
      <c r="C923" t="s">
        <v>5452</v>
      </c>
      <c r="D923" t="s">
        <v>4926</v>
      </c>
      <c r="E923">
        <v>84.08</v>
      </c>
      <c r="F923" t="s">
        <v>5453</v>
      </c>
      <c r="G923" t="s">
        <v>5454</v>
      </c>
      <c r="H923" t="s">
        <v>4970</v>
      </c>
    </row>
    <row r="924" spans="1:8" x14ac:dyDescent="0.3">
      <c r="A924" t="s">
        <v>5855</v>
      </c>
      <c r="B924" s="1">
        <v>45580</v>
      </c>
      <c r="C924" t="s">
        <v>5452</v>
      </c>
      <c r="D924" t="s">
        <v>4926</v>
      </c>
      <c r="E924">
        <v>84.04</v>
      </c>
      <c r="F924" t="s">
        <v>5453</v>
      </c>
      <c r="G924" t="s">
        <v>5454</v>
      </c>
      <c r="H924" t="s">
        <v>4929</v>
      </c>
    </row>
    <row r="925" spans="1:8" x14ac:dyDescent="0.3">
      <c r="A925" t="s">
        <v>5856</v>
      </c>
      <c r="B925" s="1">
        <v>45581</v>
      </c>
      <c r="C925" t="s">
        <v>5452</v>
      </c>
      <c r="D925" t="s">
        <v>4926</v>
      </c>
      <c r="E925">
        <v>84.01</v>
      </c>
      <c r="F925" t="s">
        <v>5453</v>
      </c>
      <c r="G925" t="s">
        <v>5454</v>
      </c>
      <c r="H925" t="s">
        <v>4929</v>
      </c>
    </row>
    <row r="926" spans="1:8" x14ac:dyDescent="0.3">
      <c r="A926" t="s">
        <v>5857</v>
      </c>
      <c r="B926" s="1">
        <v>45582</v>
      </c>
      <c r="C926" t="s">
        <v>5452</v>
      </c>
      <c r="D926" t="s">
        <v>4926</v>
      </c>
      <c r="E926">
        <v>84.04</v>
      </c>
      <c r="F926" t="s">
        <v>5453</v>
      </c>
      <c r="G926" t="s">
        <v>5454</v>
      </c>
      <c r="H926" t="s">
        <v>4929</v>
      </c>
    </row>
    <row r="927" spans="1:8" x14ac:dyDescent="0.3">
      <c r="A927" t="s">
        <v>5858</v>
      </c>
      <c r="B927" s="1">
        <v>45583</v>
      </c>
      <c r="C927" t="s">
        <v>5452</v>
      </c>
      <c r="D927" t="s">
        <v>4926</v>
      </c>
      <c r="E927">
        <v>84.03</v>
      </c>
      <c r="F927" t="s">
        <v>5453</v>
      </c>
      <c r="G927" t="s">
        <v>5454</v>
      </c>
      <c r="H927" t="s">
        <v>4929</v>
      </c>
    </row>
    <row r="928" spans="1:8" x14ac:dyDescent="0.3">
      <c r="A928" t="s">
        <v>5859</v>
      </c>
      <c r="B928" s="1">
        <v>45586</v>
      </c>
      <c r="C928" t="s">
        <v>5452</v>
      </c>
      <c r="D928" t="s">
        <v>4926</v>
      </c>
      <c r="E928">
        <v>84.07</v>
      </c>
      <c r="F928" t="s">
        <v>5453</v>
      </c>
      <c r="G928" t="s">
        <v>5454</v>
      </c>
      <c r="H928" t="s">
        <v>4929</v>
      </c>
    </row>
    <row r="929" spans="1:8" x14ac:dyDescent="0.3">
      <c r="A929" t="s">
        <v>5860</v>
      </c>
      <c r="B929" s="1">
        <v>45587</v>
      </c>
      <c r="C929" t="s">
        <v>5452</v>
      </c>
      <c r="D929" t="s">
        <v>4926</v>
      </c>
      <c r="E929">
        <v>84.06</v>
      </c>
      <c r="F929" t="s">
        <v>5453</v>
      </c>
      <c r="G929" t="s">
        <v>5454</v>
      </c>
      <c r="H929" t="s">
        <v>4929</v>
      </c>
    </row>
    <row r="930" spans="1:8" x14ac:dyDescent="0.3">
      <c r="A930" t="s">
        <v>5861</v>
      </c>
      <c r="B930" s="1">
        <v>45588</v>
      </c>
      <c r="C930" t="s">
        <v>5452</v>
      </c>
      <c r="D930" t="s">
        <v>4926</v>
      </c>
      <c r="E930">
        <v>84.06</v>
      </c>
      <c r="F930" t="s">
        <v>5453</v>
      </c>
      <c r="G930" t="s">
        <v>5454</v>
      </c>
      <c r="H930" t="s">
        <v>4929</v>
      </c>
    </row>
    <row r="931" spans="1:8" x14ac:dyDescent="0.3">
      <c r="A931" t="s">
        <v>5862</v>
      </c>
      <c r="B931" s="1">
        <v>45589</v>
      </c>
      <c r="C931" t="s">
        <v>5452</v>
      </c>
      <c r="D931" t="s">
        <v>4926</v>
      </c>
      <c r="E931">
        <v>84.05</v>
      </c>
      <c r="F931" t="s">
        <v>5453</v>
      </c>
      <c r="G931" t="s">
        <v>5454</v>
      </c>
      <c r="H931" t="s">
        <v>4929</v>
      </c>
    </row>
    <row r="932" spans="1:8" x14ac:dyDescent="0.3">
      <c r="A932" t="s">
        <v>5863</v>
      </c>
      <c r="B932" s="1">
        <v>45590</v>
      </c>
      <c r="C932" t="s">
        <v>5452</v>
      </c>
      <c r="D932" t="s">
        <v>4926</v>
      </c>
      <c r="E932">
        <v>84.06</v>
      </c>
      <c r="F932" t="s">
        <v>5453</v>
      </c>
      <c r="G932" t="s">
        <v>5454</v>
      </c>
      <c r="H932" t="s">
        <v>4929</v>
      </c>
    </row>
    <row r="933" spans="1:8" x14ac:dyDescent="0.3">
      <c r="A933" t="s">
        <v>5864</v>
      </c>
      <c r="B933" s="1">
        <v>45593</v>
      </c>
      <c r="C933" t="s">
        <v>5452</v>
      </c>
      <c r="D933" t="s">
        <v>4926</v>
      </c>
      <c r="E933">
        <v>84.05</v>
      </c>
      <c r="F933" t="s">
        <v>5453</v>
      </c>
      <c r="G933" t="s">
        <v>5454</v>
      </c>
      <c r="H933" t="s">
        <v>4929</v>
      </c>
    </row>
    <row r="934" spans="1:8" x14ac:dyDescent="0.3">
      <c r="A934" t="s">
        <v>5865</v>
      </c>
      <c r="B934" s="1">
        <v>45594</v>
      </c>
      <c r="C934" t="s">
        <v>5452</v>
      </c>
      <c r="D934" t="s">
        <v>4926</v>
      </c>
      <c r="E934">
        <v>84.04</v>
      </c>
      <c r="F934" t="s">
        <v>5453</v>
      </c>
      <c r="G934" t="s">
        <v>5454</v>
      </c>
      <c r="H934" t="s">
        <v>4929</v>
      </c>
    </row>
    <row r="935" spans="1:8" x14ac:dyDescent="0.3">
      <c r="A935" t="s">
        <v>5866</v>
      </c>
      <c r="B935" s="1">
        <v>45595</v>
      </c>
      <c r="C935" t="s">
        <v>5452</v>
      </c>
      <c r="D935" t="s">
        <v>4926</v>
      </c>
      <c r="E935">
        <v>84.07</v>
      </c>
      <c r="F935" t="s">
        <v>5453</v>
      </c>
      <c r="G935" t="s">
        <v>5454</v>
      </c>
      <c r="H935" t="s">
        <v>4929</v>
      </c>
    </row>
    <row r="936" spans="1:8" x14ac:dyDescent="0.3">
      <c r="A936" t="s">
        <v>5867</v>
      </c>
      <c r="B936" s="1">
        <v>45596</v>
      </c>
      <c r="C936" t="s">
        <v>5452</v>
      </c>
      <c r="D936" t="s">
        <v>4926</v>
      </c>
      <c r="E936">
        <v>84.06</v>
      </c>
      <c r="F936" t="s">
        <v>5453</v>
      </c>
      <c r="G936" t="s">
        <v>5454</v>
      </c>
      <c r="H936" t="s">
        <v>4929</v>
      </c>
    </row>
    <row r="937" spans="1:8" x14ac:dyDescent="0.3">
      <c r="A937" t="s">
        <v>5868</v>
      </c>
      <c r="B937" s="1">
        <v>45597</v>
      </c>
      <c r="C937" t="s">
        <v>5452</v>
      </c>
      <c r="D937" t="s">
        <v>4926</v>
      </c>
      <c r="E937">
        <v>84.03</v>
      </c>
      <c r="F937" t="s">
        <v>5453</v>
      </c>
      <c r="G937" t="s">
        <v>5454</v>
      </c>
      <c r="H937" t="s">
        <v>4929</v>
      </c>
    </row>
    <row r="938" spans="1:8" x14ac:dyDescent="0.3">
      <c r="A938" t="s">
        <v>5869</v>
      </c>
      <c r="B938" s="1">
        <v>45600</v>
      </c>
      <c r="C938" t="s">
        <v>5452</v>
      </c>
      <c r="D938" t="s">
        <v>4926</v>
      </c>
      <c r="E938">
        <v>84.11</v>
      </c>
      <c r="F938" t="s">
        <v>5453</v>
      </c>
      <c r="G938" t="s">
        <v>5454</v>
      </c>
      <c r="H938" t="s">
        <v>4929</v>
      </c>
    </row>
    <row r="939" spans="1:8" x14ac:dyDescent="0.3">
      <c r="A939" t="s">
        <v>5870</v>
      </c>
      <c r="B939" s="1">
        <v>45601</v>
      </c>
      <c r="C939" t="s">
        <v>5452</v>
      </c>
      <c r="D939" t="s">
        <v>4926</v>
      </c>
      <c r="E939">
        <v>84.1</v>
      </c>
      <c r="F939" t="s">
        <v>5453</v>
      </c>
      <c r="G939" t="s">
        <v>5454</v>
      </c>
      <c r="H939" t="s">
        <v>4929</v>
      </c>
    </row>
    <row r="940" spans="1:8" x14ac:dyDescent="0.3">
      <c r="A940" t="s">
        <v>5871</v>
      </c>
      <c r="B940" s="1">
        <v>45602</v>
      </c>
      <c r="C940" t="s">
        <v>5452</v>
      </c>
      <c r="D940" t="s">
        <v>4926</v>
      </c>
      <c r="E940">
        <v>84.31</v>
      </c>
      <c r="F940" t="s">
        <v>5453</v>
      </c>
      <c r="G940" t="s">
        <v>5454</v>
      </c>
      <c r="H940" t="s">
        <v>4929</v>
      </c>
    </row>
    <row r="941" spans="1:8" x14ac:dyDescent="0.3">
      <c r="A941" t="s">
        <v>5872</v>
      </c>
      <c r="B941" s="1">
        <v>45603</v>
      </c>
      <c r="C941" t="s">
        <v>5452</v>
      </c>
      <c r="D941" t="s">
        <v>4926</v>
      </c>
      <c r="E941">
        <v>84.37</v>
      </c>
      <c r="F941" t="s">
        <v>5453</v>
      </c>
      <c r="G941" t="s">
        <v>5454</v>
      </c>
      <c r="H941" t="s">
        <v>4929</v>
      </c>
    </row>
    <row r="942" spans="1:8" x14ac:dyDescent="0.3">
      <c r="A942" t="s">
        <v>5873</v>
      </c>
      <c r="B942" s="1">
        <v>45604</v>
      </c>
      <c r="C942" t="s">
        <v>5452</v>
      </c>
      <c r="D942" t="s">
        <v>4926</v>
      </c>
      <c r="E942">
        <v>84.34</v>
      </c>
      <c r="F942" t="s">
        <v>5453</v>
      </c>
      <c r="G942" t="s">
        <v>5454</v>
      </c>
      <c r="H942" t="s">
        <v>4929</v>
      </c>
    </row>
    <row r="943" spans="1:8" x14ac:dyDescent="0.3">
      <c r="A943" t="s">
        <v>5874</v>
      </c>
      <c r="B943" s="1">
        <v>45607</v>
      </c>
      <c r="C943" t="s">
        <v>5452</v>
      </c>
      <c r="D943" t="s">
        <v>4926</v>
      </c>
      <c r="E943">
        <v>84.34</v>
      </c>
      <c r="F943" t="s">
        <v>5453</v>
      </c>
      <c r="G943" t="s">
        <v>5454</v>
      </c>
      <c r="H943" t="s">
        <v>4970</v>
      </c>
    </row>
    <row r="944" spans="1:8" x14ac:dyDescent="0.3">
      <c r="A944" t="s">
        <v>5875</v>
      </c>
      <c r="B944" s="1">
        <v>45608</v>
      </c>
      <c r="C944" t="s">
        <v>5452</v>
      </c>
      <c r="D944" t="s">
        <v>4926</v>
      </c>
      <c r="E944">
        <v>84.38</v>
      </c>
      <c r="F944" t="s">
        <v>5453</v>
      </c>
      <c r="G944" t="s">
        <v>5454</v>
      </c>
      <c r="H944" t="s">
        <v>4929</v>
      </c>
    </row>
    <row r="945" spans="1:8" x14ac:dyDescent="0.3">
      <c r="A945" t="s">
        <v>5876</v>
      </c>
      <c r="B945" s="1">
        <v>45609</v>
      </c>
      <c r="C945" t="s">
        <v>5452</v>
      </c>
      <c r="D945" t="s">
        <v>4926</v>
      </c>
      <c r="E945">
        <v>84.39</v>
      </c>
      <c r="F945" t="s">
        <v>5453</v>
      </c>
      <c r="G945" t="s">
        <v>5454</v>
      </c>
      <c r="H945" t="s">
        <v>4929</v>
      </c>
    </row>
    <row r="946" spans="1:8" x14ac:dyDescent="0.3">
      <c r="A946" t="s">
        <v>5877</v>
      </c>
      <c r="B946" s="1">
        <v>45610</v>
      </c>
      <c r="C946" t="s">
        <v>5452</v>
      </c>
      <c r="D946" t="s">
        <v>4926</v>
      </c>
      <c r="E946">
        <v>84.42</v>
      </c>
      <c r="F946" t="s">
        <v>5453</v>
      </c>
      <c r="G946" t="s">
        <v>5454</v>
      </c>
      <c r="H946" t="s">
        <v>4929</v>
      </c>
    </row>
    <row r="947" spans="1:8" x14ac:dyDescent="0.3">
      <c r="A947" t="s">
        <v>5878</v>
      </c>
      <c r="B947" s="1">
        <v>45611</v>
      </c>
      <c r="C947" t="s">
        <v>5452</v>
      </c>
      <c r="D947" t="s">
        <v>4926</v>
      </c>
      <c r="E947">
        <v>84.41</v>
      </c>
      <c r="F947" t="s">
        <v>5453</v>
      </c>
      <c r="G947" t="s">
        <v>5454</v>
      </c>
      <c r="H947" t="s">
        <v>4929</v>
      </c>
    </row>
    <row r="948" spans="1:8" x14ac:dyDescent="0.3">
      <c r="A948" t="s">
        <v>5879</v>
      </c>
      <c r="B948" s="1">
        <v>45614</v>
      </c>
      <c r="C948" t="s">
        <v>5452</v>
      </c>
      <c r="D948" t="s">
        <v>4926</v>
      </c>
      <c r="E948">
        <v>84.37</v>
      </c>
      <c r="F948" t="s">
        <v>5453</v>
      </c>
      <c r="G948" t="s">
        <v>5454</v>
      </c>
      <c r="H948" t="s">
        <v>4929</v>
      </c>
    </row>
    <row r="949" spans="1:8" x14ac:dyDescent="0.3">
      <c r="A949" t="s">
        <v>5880</v>
      </c>
      <c r="B949" s="1">
        <v>45615</v>
      </c>
      <c r="C949" t="s">
        <v>5452</v>
      </c>
      <c r="D949" t="s">
        <v>4926</v>
      </c>
      <c r="E949">
        <v>84.36</v>
      </c>
      <c r="F949" t="s">
        <v>5453</v>
      </c>
      <c r="G949" t="s">
        <v>5454</v>
      </c>
      <c r="H949" t="s">
        <v>4929</v>
      </c>
    </row>
    <row r="950" spans="1:8" x14ac:dyDescent="0.3">
      <c r="A950" t="s">
        <v>5881</v>
      </c>
      <c r="B950" s="1">
        <v>45616</v>
      </c>
      <c r="C950" t="s">
        <v>5452</v>
      </c>
      <c r="D950" t="s">
        <v>4926</v>
      </c>
      <c r="E950">
        <v>84.41</v>
      </c>
      <c r="F950" t="s">
        <v>5453</v>
      </c>
      <c r="G950" t="s">
        <v>5454</v>
      </c>
      <c r="H950" t="s">
        <v>4929</v>
      </c>
    </row>
    <row r="951" spans="1:8" x14ac:dyDescent="0.3">
      <c r="A951" t="s">
        <v>5882</v>
      </c>
      <c r="B951" s="1">
        <v>45617</v>
      </c>
      <c r="C951" t="s">
        <v>5452</v>
      </c>
      <c r="D951" t="s">
        <v>4926</v>
      </c>
      <c r="E951">
        <v>84.48</v>
      </c>
      <c r="F951" t="s">
        <v>5453</v>
      </c>
      <c r="G951" t="s">
        <v>5454</v>
      </c>
      <c r="H951" t="s">
        <v>4929</v>
      </c>
    </row>
    <row r="952" spans="1:8" x14ac:dyDescent="0.3">
      <c r="A952" t="s">
        <v>5883</v>
      </c>
      <c r="B952" s="1">
        <v>45618</v>
      </c>
      <c r="C952" t="s">
        <v>5452</v>
      </c>
      <c r="D952" t="s">
        <v>4926</v>
      </c>
      <c r="E952">
        <v>84.44</v>
      </c>
      <c r="F952" t="s">
        <v>5453</v>
      </c>
      <c r="G952" t="s">
        <v>5454</v>
      </c>
      <c r="H952" t="s">
        <v>4929</v>
      </c>
    </row>
    <row r="953" spans="1:8" x14ac:dyDescent="0.3">
      <c r="A953" t="s">
        <v>5884</v>
      </c>
      <c r="B953" s="1">
        <v>45621</v>
      </c>
      <c r="C953" t="s">
        <v>5452</v>
      </c>
      <c r="D953" t="s">
        <v>4926</v>
      </c>
      <c r="E953">
        <v>84.24</v>
      </c>
      <c r="F953" t="s">
        <v>5453</v>
      </c>
      <c r="G953" t="s">
        <v>5454</v>
      </c>
      <c r="H953" t="s">
        <v>4929</v>
      </c>
    </row>
    <row r="954" spans="1:8" x14ac:dyDescent="0.3">
      <c r="A954" t="s">
        <v>5885</v>
      </c>
      <c r="B954" s="1">
        <v>45622</v>
      </c>
      <c r="C954" t="s">
        <v>5452</v>
      </c>
      <c r="D954" t="s">
        <v>4926</v>
      </c>
      <c r="E954">
        <v>84.27</v>
      </c>
      <c r="F954" t="s">
        <v>5453</v>
      </c>
      <c r="G954" t="s">
        <v>5454</v>
      </c>
      <c r="H954" t="s">
        <v>4929</v>
      </c>
    </row>
    <row r="955" spans="1:8" x14ac:dyDescent="0.3">
      <c r="A955" t="s">
        <v>5886</v>
      </c>
      <c r="B955" s="1">
        <v>45623</v>
      </c>
      <c r="C955" t="s">
        <v>5452</v>
      </c>
      <c r="D955" t="s">
        <v>4926</v>
      </c>
      <c r="E955">
        <v>84.41</v>
      </c>
      <c r="F955" t="s">
        <v>5453</v>
      </c>
      <c r="G955" t="s">
        <v>5454</v>
      </c>
      <c r="H955" t="s">
        <v>4929</v>
      </c>
    </row>
    <row r="956" spans="1:8" x14ac:dyDescent="0.3">
      <c r="A956" t="s">
        <v>5887</v>
      </c>
      <c r="B956" s="1">
        <v>45624</v>
      </c>
      <c r="C956" t="s">
        <v>5452</v>
      </c>
      <c r="D956" t="s">
        <v>4926</v>
      </c>
      <c r="E956">
        <v>84.41</v>
      </c>
      <c r="F956" t="s">
        <v>5453</v>
      </c>
      <c r="G956" t="s">
        <v>5454</v>
      </c>
      <c r="H956" t="s">
        <v>4970</v>
      </c>
    </row>
    <row r="957" spans="1:8" x14ac:dyDescent="0.3">
      <c r="A957" t="s">
        <v>5888</v>
      </c>
      <c r="B957" s="1">
        <v>45625</v>
      </c>
      <c r="C957" t="s">
        <v>5452</v>
      </c>
      <c r="D957" t="s">
        <v>4926</v>
      </c>
      <c r="E957">
        <v>84.48</v>
      </c>
      <c r="F957" t="s">
        <v>5453</v>
      </c>
      <c r="G957" t="s">
        <v>5454</v>
      </c>
      <c r="H957" t="s">
        <v>4929</v>
      </c>
    </row>
    <row r="958" spans="1:8" x14ac:dyDescent="0.3">
      <c r="A958" t="s">
        <v>5889</v>
      </c>
      <c r="B958" s="1">
        <v>45628</v>
      </c>
      <c r="C958" t="s">
        <v>5452</v>
      </c>
      <c r="D958" t="s">
        <v>4926</v>
      </c>
      <c r="E958">
        <v>84.74</v>
      </c>
      <c r="F958" t="s">
        <v>5453</v>
      </c>
      <c r="G958" t="s">
        <v>5454</v>
      </c>
      <c r="H958" t="s">
        <v>4929</v>
      </c>
    </row>
    <row r="959" spans="1:8" x14ac:dyDescent="0.3">
      <c r="A959" t="s">
        <v>5890</v>
      </c>
      <c r="B959" s="1">
        <v>45629</v>
      </c>
      <c r="C959" t="s">
        <v>5452</v>
      </c>
      <c r="D959" t="s">
        <v>4926</v>
      </c>
      <c r="E959">
        <v>84.68</v>
      </c>
      <c r="F959" t="s">
        <v>5453</v>
      </c>
      <c r="G959" t="s">
        <v>5454</v>
      </c>
      <c r="H959" t="s">
        <v>4929</v>
      </c>
    </row>
    <row r="960" spans="1:8" x14ac:dyDescent="0.3">
      <c r="A960" t="s">
        <v>5891</v>
      </c>
      <c r="B960" s="1">
        <v>45630</v>
      </c>
      <c r="C960" t="s">
        <v>5452</v>
      </c>
      <c r="D960" t="s">
        <v>4926</v>
      </c>
      <c r="E960">
        <v>84.69</v>
      </c>
      <c r="F960" t="s">
        <v>5453</v>
      </c>
      <c r="G960" t="s">
        <v>5454</v>
      </c>
      <c r="H960" t="s">
        <v>4929</v>
      </c>
    </row>
    <row r="961" spans="1:8" x14ac:dyDescent="0.3">
      <c r="A961" t="s">
        <v>5892</v>
      </c>
      <c r="B961" s="1">
        <v>45631</v>
      </c>
      <c r="C961" t="s">
        <v>5452</v>
      </c>
      <c r="D961" t="s">
        <v>4926</v>
      </c>
      <c r="E961">
        <v>84.68</v>
      </c>
      <c r="F961" t="s">
        <v>5453</v>
      </c>
      <c r="G961" t="s">
        <v>5454</v>
      </c>
      <c r="H961" t="s">
        <v>4929</v>
      </c>
    </row>
    <row r="962" spans="1:8" x14ac:dyDescent="0.3">
      <c r="A962" t="s">
        <v>5893</v>
      </c>
      <c r="B962" s="1">
        <v>45632</v>
      </c>
      <c r="C962" t="s">
        <v>5452</v>
      </c>
      <c r="D962" t="s">
        <v>4926</v>
      </c>
      <c r="E962">
        <v>84.67</v>
      </c>
      <c r="F962" t="s">
        <v>5453</v>
      </c>
      <c r="G962" t="s">
        <v>5454</v>
      </c>
      <c r="H962" t="s">
        <v>4929</v>
      </c>
    </row>
    <row r="963" spans="1:8" x14ac:dyDescent="0.3">
      <c r="A963" t="s">
        <v>5894</v>
      </c>
      <c r="B963" s="1">
        <v>45635</v>
      </c>
      <c r="C963" t="s">
        <v>5452</v>
      </c>
      <c r="D963" t="s">
        <v>4926</v>
      </c>
      <c r="E963">
        <v>84.72</v>
      </c>
      <c r="F963" t="s">
        <v>5453</v>
      </c>
      <c r="G963" t="s">
        <v>5454</v>
      </c>
      <c r="H963" t="s">
        <v>4929</v>
      </c>
    </row>
    <row r="964" spans="1:8" x14ac:dyDescent="0.3">
      <c r="A964" t="s">
        <v>5895</v>
      </c>
      <c r="B964" s="1">
        <v>45636</v>
      </c>
      <c r="C964" t="s">
        <v>5452</v>
      </c>
      <c r="D964" t="s">
        <v>4926</v>
      </c>
      <c r="E964">
        <v>84.84</v>
      </c>
      <c r="F964" t="s">
        <v>5453</v>
      </c>
      <c r="G964" t="s">
        <v>5454</v>
      </c>
      <c r="H964" t="s">
        <v>4929</v>
      </c>
    </row>
    <row r="965" spans="1:8" x14ac:dyDescent="0.3">
      <c r="A965" t="s">
        <v>5896</v>
      </c>
      <c r="B965" s="1">
        <v>45637</v>
      </c>
      <c r="C965" t="s">
        <v>5452</v>
      </c>
      <c r="D965" t="s">
        <v>4926</v>
      </c>
      <c r="E965">
        <v>84.8</v>
      </c>
      <c r="F965" t="s">
        <v>5453</v>
      </c>
      <c r="G965" t="s">
        <v>5454</v>
      </c>
      <c r="H965" t="s">
        <v>4929</v>
      </c>
    </row>
    <row r="966" spans="1:8" x14ac:dyDescent="0.3">
      <c r="A966" t="s">
        <v>5897</v>
      </c>
      <c r="B966" s="1">
        <v>45638</v>
      </c>
      <c r="C966" t="s">
        <v>5452</v>
      </c>
      <c r="D966" t="s">
        <v>4926</v>
      </c>
      <c r="E966">
        <v>84.84</v>
      </c>
      <c r="F966" t="s">
        <v>5453</v>
      </c>
      <c r="G966" t="s">
        <v>5454</v>
      </c>
      <c r="H966" t="s">
        <v>4929</v>
      </c>
    </row>
    <row r="967" spans="1:8" x14ac:dyDescent="0.3">
      <c r="A967" t="s">
        <v>5898</v>
      </c>
      <c r="B967" s="1">
        <v>45639</v>
      </c>
      <c r="C967" t="s">
        <v>5452</v>
      </c>
      <c r="D967" t="s">
        <v>4926</v>
      </c>
      <c r="E967">
        <v>84.78</v>
      </c>
      <c r="F967" t="s">
        <v>5453</v>
      </c>
      <c r="G967" t="s">
        <v>5454</v>
      </c>
      <c r="H967" t="s">
        <v>4929</v>
      </c>
    </row>
    <row r="968" spans="1:8" x14ac:dyDescent="0.3">
      <c r="A968" t="s">
        <v>5899</v>
      </c>
      <c r="B968" s="1">
        <v>45642</v>
      </c>
      <c r="C968" t="s">
        <v>5452</v>
      </c>
      <c r="D968" t="s">
        <v>4926</v>
      </c>
      <c r="E968">
        <v>84.89</v>
      </c>
      <c r="F968" t="s">
        <v>5453</v>
      </c>
      <c r="G968" t="s">
        <v>5454</v>
      </c>
      <c r="H968" t="s">
        <v>4929</v>
      </c>
    </row>
    <row r="969" spans="1:8" x14ac:dyDescent="0.3">
      <c r="A969" t="s">
        <v>5900</v>
      </c>
      <c r="B969" s="1">
        <v>45643</v>
      </c>
      <c r="C969" t="s">
        <v>5452</v>
      </c>
      <c r="D969" t="s">
        <v>4926</v>
      </c>
      <c r="E969">
        <v>84.91</v>
      </c>
      <c r="F969" t="s">
        <v>5453</v>
      </c>
      <c r="G969" t="s">
        <v>5454</v>
      </c>
      <c r="H969" t="s">
        <v>4929</v>
      </c>
    </row>
    <row r="970" spans="1:8" x14ac:dyDescent="0.3">
      <c r="A970" t="s">
        <v>5901</v>
      </c>
      <c r="B970" s="1">
        <v>45644</v>
      </c>
      <c r="C970" t="s">
        <v>5452</v>
      </c>
      <c r="D970" t="s">
        <v>4926</v>
      </c>
      <c r="E970">
        <v>84.95</v>
      </c>
      <c r="F970" t="s">
        <v>5453</v>
      </c>
      <c r="G970" t="s">
        <v>5454</v>
      </c>
      <c r="H970" t="s">
        <v>4929</v>
      </c>
    </row>
    <row r="971" spans="1:8" x14ac:dyDescent="0.3">
      <c r="A971" t="s">
        <v>5902</v>
      </c>
      <c r="B971" s="1">
        <v>45645</v>
      </c>
      <c r="C971" t="s">
        <v>5452</v>
      </c>
      <c r="D971" t="s">
        <v>4926</v>
      </c>
      <c r="E971">
        <v>85.09</v>
      </c>
      <c r="F971" t="s">
        <v>5453</v>
      </c>
      <c r="G971" t="s">
        <v>5454</v>
      </c>
      <c r="H971" t="s">
        <v>4929</v>
      </c>
    </row>
    <row r="972" spans="1:8" x14ac:dyDescent="0.3">
      <c r="A972" t="s">
        <v>5903</v>
      </c>
      <c r="B972" s="1">
        <v>45646</v>
      </c>
      <c r="C972" t="s">
        <v>5452</v>
      </c>
      <c r="D972" t="s">
        <v>4926</v>
      </c>
      <c r="E972">
        <v>85.02</v>
      </c>
      <c r="F972" t="s">
        <v>5453</v>
      </c>
      <c r="G972" t="s">
        <v>5454</v>
      </c>
      <c r="H972" t="s">
        <v>4929</v>
      </c>
    </row>
    <row r="973" spans="1:8" x14ac:dyDescent="0.3">
      <c r="A973" t="s">
        <v>5904</v>
      </c>
      <c r="B973" s="1">
        <v>45649</v>
      </c>
      <c r="C973" t="s">
        <v>5452</v>
      </c>
      <c r="D973" t="s">
        <v>4926</v>
      </c>
      <c r="E973">
        <v>85.1</v>
      </c>
      <c r="F973" t="s">
        <v>5453</v>
      </c>
      <c r="G973" t="s">
        <v>5454</v>
      </c>
      <c r="H973" t="s">
        <v>4929</v>
      </c>
    </row>
    <row r="974" spans="1:8" x14ac:dyDescent="0.3">
      <c r="A974" t="s">
        <v>5905</v>
      </c>
      <c r="B974" s="1">
        <v>45650</v>
      </c>
      <c r="C974" t="s">
        <v>5452</v>
      </c>
      <c r="D974" t="s">
        <v>4926</v>
      </c>
      <c r="E974">
        <v>85.14</v>
      </c>
      <c r="F974" t="s">
        <v>5453</v>
      </c>
      <c r="G974" t="s">
        <v>5454</v>
      </c>
      <c r="H974" t="s">
        <v>4929</v>
      </c>
    </row>
    <row r="975" spans="1:8" x14ac:dyDescent="0.3">
      <c r="A975" t="s">
        <v>5906</v>
      </c>
      <c r="B975" s="1">
        <v>45651</v>
      </c>
      <c r="C975" t="s">
        <v>5452</v>
      </c>
      <c r="D975" t="s">
        <v>4926</v>
      </c>
      <c r="E975">
        <v>85.14</v>
      </c>
      <c r="F975" t="s">
        <v>5453</v>
      </c>
      <c r="G975" t="s">
        <v>5454</v>
      </c>
      <c r="H975" t="s">
        <v>4970</v>
      </c>
    </row>
    <row r="976" spans="1:8" x14ac:dyDescent="0.3">
      <c r="A976" t="s">
        <v>5907</v>
      </c>
      <c r="B976" s="1">
        <v>45652</v>
      </c>
      <c r="C976" t="s">
        <v>5452</v>
      </c>
      <c r="D976" t="s">
        <v>4926</v>
      </c>
      <c r="E976">
        <v>85.25</v>
      </c>
      <c r="F976" t="s">
        <v>5453</v>
      </c>
      <c r="G976" t="s">
        <v>5454</v>
      </c>
      <c r="H976" t="s">
        <v>4929</v>
      </c>
    </row>
    <row r="977" spans="1:8" x14ac:dyDescent="0.3">
      <c r="A977" t="s">
        <v>5908</v>
      </c>
      <c r="B977" s="1">
        <v>45653</v>
      </c>
      <c r="C977" t="s">
        <v>5452</v>
      </c>
      <c r="D977" t="s">
        <v>4926</v>
      </c>
      <c r="E977">
        <v>85.53</v>
      </c>
      <c r="F977" t="s">
        <v>5453</v>
      </c>
      <c r="G977" t="s">
        <v>5454</v>
      </c>
      <c r="H977" t="s">
        <v>4929</v>
      </c>
    </row>
    <row r="978" spans="1:8" x14ac:dyDescent="0.3">
      <c r="A978" t="s">
        <v>5909</v>
      </c>
      <c r="B978" s="1">
        <v>45656</v>
      </c>
      <c r="C978" t="s">
        <v>5452</v>
      </c>
      <c r="D978" t="s">
        <v>4926</v>
      </c>
      <c r="E978">
        <v>85.47</v>
      </c>
      <c r="F978" t="s">
        <v>5453</v>
      </c>
      <c r="G978" t="s">
        <v>5454</v>
      </c>
      <c r="H978" t="s">
        <v>4929</v>
      </c>
    </row>
    <row r="979" spans="1:8" x14ac:dyDescent="0.3">
      <c r="A979" t="s">
        <v>5910</v>
      </c>
      <c r="B979" s="1">
        <v>45657</v>
      </c>
      <c r="C979" t="s">
        <v>5452</v>
      </c>
      <c r="D979" t="s">
        <v>4926</v>
      </c>
      <c r="E979">
        <v>85.55</v>
      </c>
      <c r="F979" t="s">
        <v>5453</v>
      </c>
      <c r="G979" t="s">
        <v>5454</v>
      </c>
      <c r="H979" t="s">
        <v>4929</v>
      </c>
    </row>
    <row r="980" spans="1:8" x14ac:dyDescent="0.3">
      <c r="A980" t="s">
        <v>5911</v>
      </c>
      <c r="B980" s="1">
        <v>45658</v>
      </c>
      <c r="C980" t="s">
        <v>5452</v>
      </c>
      <c r="D980" t="s">
        <v>4926</v>
      </c>
      <c r="E980">
        <v>85.55</v>
      </c>
      <c r="F980" t="s">
        <v>5453</v>
      </c>
      <c r="G980" t="s">
        <v>5454</v>
      </c>
      <c r="H980" t="s">
        <v>4970</v>
      </c>
    </row>
    <row r="981" spans="1:8" x14ac:dyDescent="0.3">
      <c r="A981" t="s">
        <v>5912</v>
      </c>
      <c r="B981" s="1">
        <v>45659</v>
      </c>
      <c r="C981" t="s">
        <v>5452</v>
      </c>
      <c r="D981" t="s">
        <v>4926</v>
      </c>
      <c r="E981">
        <v>85.75</v>
      </c>
      <c r="F981" t="s">
        <v>5453</v>
      </c>
      <c r="G981" t="s">
        <v>5454</v>
      </c>
      <c r="H981" t="s">
        <v>4929</v>
      </c>
    </row>
    <row r="982" spans="1:8" x14ac:dyDescent="0.3">
      <c r="A982" t="s">
        <v>5913</v>
      </c>
      <c r="B982" s="1">
        <v>45660</v>
      </c>
      <c r="C982" t="s">
        <v>5452</v>
      </c>
      <c r="D982" t="s">
        <v>4926</v>
      </c>
      <c r="E982">
        <v>85.75</v>
      </c>
      <c r="F982" t="s">
        <v>5453</v>
      </c>
      <c r="G982" t="s">
        <v>5454</v>
      </c>
      <c r="H982" t="s">
        <v>4929</v>
      </c>
    </row>
    <row r="983" spans="1:8" x14ac:dyDescent="0.3">
      <c r="A983" t="s">
        <v>5914</v>
      </c>
      <c r="B983" s="1">
        <v>45663</v>
      </c>
      <c r="C983" t="s">
        <v>5452</v>
      </c>
      <c r="D983" t="s">
        <v>4926</v>
      </c>
      <c r="E983">
        <v>85.7</v>
      </c>
      <c r="F983" t="s">
        <v>5453</v>
      </c>
      <c r="G983" t="s">
        <v>5454</v>
      </c>
      <c r="H983" t="s">
        <v>4929</v>
      </c>
    </row>
    <row r="984" spans="1:8" x14ac:dyDescent="0.3">
      <c r="A984" t="s">
        <v>5915</v>
      </c>
      <c r="B984" s="1">
        <v>45664</v>
      </c>
      <c r="C984" t="s">
        <v>5452</v>
      </c>
      <c r="D984" t="s">
        <v>4926</v>
      </c>
      <c r="E984">
        <v>85.74</v>
      </c>
      <c r="F984" t="s">
        <v>5453</v>
      </c>
      <c r="G984" t="s">
        <v>5454</v>
      </c>
      <c r="H984" t="s">
        <v>4929</v>
      </c>
    </row>
    <row r="985" spans="1:8" x14ac:dyDescent="0.3">
      <c r="A985" t="s">
        <v>5916</v>
      </c>
      <c r="B985" s="1">
        <v>45665</v>
      </c>
      <c r="C985" t="s">
        <v>5452</v>
      </c>
      <c r="D985" t="s">
        <v>4926</v>
      </c>
      <c r="E985">
        <v>85.89</v>
      </c>
      <c r="F985" t="s">
        <v>5453</v>
      </c>
      <c r="G985" t="s">
        <v>5454</v>
      </c>
      <c r="H985" t="s">
        <v>4929</v>
      </c>
    </row>
    <row r="986" spans="1:8" x14ac:dyDescent="0.3">
      <c r="A986" t="s">
        <v>5917</v>
      </c>
      <c r="B986" s="1">
        <v>45666</v>
      </c>
      <c r="C986" t="s">
        <v>5452</v>
      </c>
      <c r="D986" t="s">
        <v>4926</v>
      </c>
      <c r="E986">
        <v>85.87</v>
      </c>
      <c r="F986" t="s">
        <v>5453</v>
      </c>
      <c r="G986" t="s">
        <v>5454</v>
      </c>
      <c r="H986" t="s">
        <v>4929</v>
      </c>
    </row>
    <row r="987" spans="1:8" x14ac:dyDescent="0.3">
      <c r="A987" t="s">
        <v>5918</v>
      </c>
      <c r="B987" s="1">
        <v>45667</v>
      </c>
      <c r="C987" t="s">
        <v>5452</v>
      </c>
      <c r="D987" t="s">
        <v>4926</v>
      </c>
      <c r="E987">
        <v>85.96</v>
      </c>
      <c r="F987" t="s">
        <v>5453</v>
      </c>
      <c r="G987" t="s">
        <v>5454</v>
      </c>
      <c r="H987" t="s">
        <v>4929</v>
      </c>
    </row>
    <row r="988" spans="1:8" x14ac:dyDescent="0.3">
      <c r="A988" t="s">
        <v>5919</v>
      </c>
      <c r="B988" s="1">
        <v>45670</v>
      </c>
      <c r="C988" t="s">
        <v>5452</v>
      </c>
      <c r="D988" t="s">
        <v>4926</v>
      </c>
      <c r="E988">
        <v>86.69</v>
      </c>
      <c r="F988" t="s">
        <v>5453</v>
      </c>
      <c r="G988" t="s">
        <v>5454</v>
      </c>
      <c r="H988" t="s">
        <v>4929</v>
      </c>
    </row>
    <row r="989" spans="1:8" x14ac:dyDescent="0.3">
      <c r="A989" t="s">
        <v>5920</v>
      </c>
      <c r="B989" s="1">
        <v>45671</v>
      </c>
      <c r="C989" t="s">
        <v>5452</v>
      </c>
      <c r="D989" t="s">
        <v>4926</v>
      </c>
      <c r="E989">
        <v>86.63</v>
      </c>
      <c r="F989" t="s">
        <v>5453</v>
      </c>
      <c r="G989" t="s">
        <v>5454</v>
      </c>
      <c r="H989" t="s">
        <v>4929</v>
      </c>
    </row>
    <row r="990" spans="1:8" x14ac:dyDescent="0.3">
      <c r="A990" t="s">
        <v>5921</v>
      </c>
      <c r="B990" s="1">
        <v>45672</v>
      </c>
      <c r="C990" t="s">
        <v>5452</v>
      </c>
      <c r="D990" t="s">
        <v>4926</v>
      </c>
      <c r="E990">
        <v>86.37</v>
      </c>
      <c r="F990" t="s">
        <v>5453</v>
      </c>
      <c r="G990" t="s">
        <v>5454</v>
      </c>
      <c r="H990" t="s">
        <v>4929</v>
      </c>
    </row>
    <row r="991" spans="1:8" x14ac:dyDescent="0.3">
      <c r="A991" t="s">
        <v>5922</v>
      </c>
      <c r="B991" s="1">
        <v>45673</v>
      </c>
      <c r="C991" t="s">
        <v>5452</v>
      </c>
      <c r="D991" t="s">
        <v>4926</v>
      </c>
      <c r="E991">
        <v>86.57</v>
      </c>
      <c r="F991" t="s">
        <v>5453</v>
      </c>
      <c r="G991" t="s">
        <v>5454</v>
      </c>
      <c r="H991" t="s">
        <v>4929</v>
      </c>
    </row>
    <row r="992" spans="1:8" x14ac:dyDescent="0.3">
      <c r="A992" t="s">
        <v>5923</v>
      </c>
      <c r="B992" s="1">
        <v>45674</v>
      </c>
      <c r="C992" t="s">
        <v>5452</v>
      </c>
      <c r="D992" t="s">
        <v>4926</v>
      </c>
      <c r="E992">
        <v>86.55</v>
      </c>
      <c r="F992" t="s">
        <v>5453</v>
      </c>
      <c r="G992" t="s">
        <v>5454</v>
      </c>
      <c r="H992" t="s">
        <v>4929</v>
      </c>
    </row>
    <row r="993" spans="1:8" x14ac:dyDescent="0.3">
      <c r="A993" t="s">
        <v>5924</v>
      </c>
      <c r="B993" s="1">
        <v>45677</v>
      </c>
      <c r="C993" t="s">
        <v>5452</v>
      </c>
      <c r="D993" t="s">
        <v>4926</v>
      </c>
      <c r="E993">
        <v>86.55</v>
      </c>
      <c r="F993" t="s">
        <v>5453</v>
      </c>
      <c r="G993" t="s">
        <v>5454</v>
      </c>
      <c r="H993" t="s">
        <v>4970</v>
      </c>
    </row>
    <row r="994" spans="1:8" x14ac:dyDescent="0.3">
      <c r="A994" t="s">
        <v>5925</v>
      </c>
      <c r="B994" s="1">
        <v>45678</v>
      </c>
      <c r="C994" t="s">
        <v>5452</v>
      </c>
      <c r="D994" t="s">
        <v>4926</v>
      </c>
      <c r="E994">
        <v>86.58</v>
      </c>
      <c r="F994" t="s">
        <v>5453</v>
      </c>
      <c r="G994" t="s">
        <v>5454</v>
      </c>
      <c r="H994" t="s">
        <v>4929</v>
      </c>
    </row>
    <row r="995" spans="1:8" x14ac:dyDescent="0.3">
      <c r="A995" t="s">
        <v>5926</v>
      </c>
      <c r="B995" s="1">
        <v>45679</v>
      </c>
      <c r="C995" t="s">
        <v>5452</v>
      </c>
      <c r="D995" t="s">
        <v>4926</v>
      </c>
      <c r="E995">
        <v>86.34</v>
      </c>
      <c r="F995" t="s">
        <v>5453</v>
      </c>
      <c r="G995" t="s">
        <v>5454</v>
      </c>
      <c r="H995" t="s">
        <v>4929</v>
      </c>
    </row>
    <row r="996" spans="1:8" x14ac:dyDescent="0.3">
      <c r="A996" t="s">
        <v>5927</v>
      </c>
      <c r="B996" s="1">
        <v>45680</v>
      </c>
      <c r="C996" t="s">
        <v>5452</v>
      </c>
      <c r="D996" t="s">
        <v>4926</v>
      </c>
      <c r="E996">
        <v>86.42</v>
      </c>
      <c r="F996" t="s">
        <v>5453</v>
      </c>
      <c r="G996" t="s">
        <v>5454</v>
      </c>
      <c r="H996" t="s">
        <v>4929</v>
      </c>
    </row>
    <row r="997" spans="1:8" x14ac:dyDescent="0.3">
      <c r="A997" t="s">
        <v>5928</v>
      </c>
      <c r="B997" s="1">
        <v>45681</v>
      </c>
      <c r="C997" t="s">
        <v>5452</v>
      </c>
      <c r="D997" t="s">
        <v>4926</v>
      </c>
      <c r="E997">
        <v>86.2</v>
      </c>
      <c r="F997" t="s">
        <v>5453</v>
      </c>
      <c r="G997" t="s">
        <v>5454</v>
      </c>
      <c r="H997" t="s">
        <v>4929</v>
      </c>
    </row>
    <row r="998" spans="1:8" x14ac:dyDescent="0.3">
      <c r="A998" t="s">
        <v>5929</v>
      </c>
      <c r="B998" s="1">
        <v>45684</v>
      </c>
      <c r="C998" t="s">
        <v>5452</v>
      </c>
      <c r="D998" t="s">
        <v>4926</v>
      </c>
      <c r="E998">
        <v>86.34</v>
      </c>
      <c r="F998" t="s">
        <v>5453</v>
      </c>
      <c r="G998" t="s">
        <v>5454</v>
      </c>
      <c r="H998" t="s">
        <v>4929</v>
      </c>
    </row>
    <row r="999" spans="1:8" x14ac:dyDescent="0.3">
      <c r="A999" t="s">
        <v>5930</v>
      </c>
      <c r="B999" s="1">
        <v>45685</v>
      </c>
      <c r="C999" t="s">
        <v>5452</v>
      </c>
      <c r="D999" t="s">
        <v>4926</v>
      </c>
      <c r="E999">
        <v>86.52</v>
      </c>
      <c r="F999" t="s">
        <v>5453</v>
      </c>
      <c r="G999" t="s">
        <v>5454</v>
      </c>
      <c r="H999" t="s">
        <v>4929</v>
      </c>
    </row>
    <row r="1000" spans="1:8" x14ac:dyDescent="0.3">
      <c r="A1000" t="s">
        <v>5931</v>
      </c>
      <c r="B1000" s="1">
        <v>45686</v>
      </c>
      <c r="C1000" t="s">
        <v>5452</v>
      </c>
      <c r="D1000" t="s">
        <v>4926</v>
      </c>
      <c r="E1000">
        <v>86.61</v>
      </c>
      <c r="F1000" t="s">
        <v>5453</v>
      </c>
      <c r="G1000" t="s">
        <v>5454</v>
      </c>
      <c r="H1000" t="s">
        <v>4929</v>
      </c>
    </row>
    <row r="1001" spans="1:8" x14ac:dyDescent="0.3">
      <c r="A1001" t="s">
        <v>5932</v>
      </c>
      <c r="B1001" s="1">
        <v>45687</v>
      </c>
      <c r="C1001" t="s">
        <v>5452</v>
      </c>
      <c r="D1001" t="s">
        <v>4926</v>
      </c>
      <c r="E1001">
        <v>86.55</v>
      </c>
      <c r="F1001" t="s">
        <v>5453</v>
      </c>
      <c r="G1001" t="s">
        <v>5454</v>
      </c>
      <c r="H1001" t="s">
        <v>4929</v>
      </c>
    </row>
    <row r="1002" spans="1:8" x14ac:dyDescent="0.3">
      <c r="A1002" t="s">
        <v>5933</v>
      </c>
      <c r="B1002" s="1">
        <v>45688</v>
      </c>
      <c r="C1002" t="s">
        <v>5452</v>
      </c>
      <c r="D1002" t="s">
        <v>4926</v>
      </c>
      <c r="E1002">
        <v>86.54</v>
      </c>
      <c r="F1002" t="s">
        <v>5453</v>
      </c>
      <c r="G1002" t="s">
        <v>5454</v>
      </c>
      <c r="H1002" t="s">
        <v>4929</v>
      </c>
    </row>
    <row r="1003" spans="1:8" x14ac:dyDescent="0.3">
      <c r="A1003" t="s">
        <v>5934</v>
      </c>
      <c r="B1003" s="1">
        <v>45691</v>
      </c>
      <c r="C1003" t="s">
        <v>5452</v>
      </c>
      <c r="D1003" t="s">
        <v>4926</v>
      </c>
      <c r="E1003">
        <v>87.19</v>
      </c>
      <c r="F1003" t="s">
        <v>5453</v>
      </c>
      <c r="G1003" t="s">
        <v>5454</v>
      </c>
      <c r="H1003" t="s">
        <v>4929</v>
      </c>
    </row>
    <row r="1004" spans="1:8" x14ac:dyDescent="0.3">
      <c r="A1004" t="s">
        <v>5935</v>
      </c>
      <c r="B1004" s="1">
        <v>45692</v>
      </c>
      <c r="C1004" t="s">
        <v>5452</v>
      </c>
      <c r="D1004" t="s">
        <v>4926</v>
      </c>
      <c r="E1004">
        <v>87.06</v>
      </c>
      <c r="F1004" t="s">
        <v>5453</v>
      </c>
      <c r="G1004" t="s">
        <v>5454</v>
      </c>
      <c r="H1004" t="s">
        <v>4929</v>
      </c>
    </row>
    <row r="1005" spans="1:8" x14ac:dyDescent="0.3">
      <c r="A1005" t="s">
        <v>5936</v>
      </c>
      <c r="B1005" s="1">
        <v>45693</v>
      </c>
      <c r="C1005" t="s">
        <v>5452</v>
      </c>
      <c r="D1005" t="s">
        <v>4926</v>
      </c>
      <c r="E1005">
        <v>87.08</v>
      </c>
      <c r="F1005" t="s">
        <v>5453</v>
      </c>
      <c r="G1005" t="s">
        <v>5454</v>
      </c>
      <c r="H1005" t="s">
        <v>4929</v>
      </c>
    </row>
    <row r="1006" spans="1:8" x14ac:dyDescent="0.3">
      <c r="A1006" t="s">
        <v>5937</v>
      </c>
      <c r="B1006" s="1">
        <v>45694</v>
      </c>
      <c r="C1006" t="s">
        <v>5452</v>
      </c>
      <c r="D1006" t="s">
        <v>4926</v>
      </c>
      <c r="E1006">
        <v>87.57</v>
      </c>
      <c r="F1006" t="s">
        <v>5453</v>
      </c>
      <c r="G1006" t="s">
        <v>5454</v>
      </c>
      <c r="H1006" t="s">
        <v>4929</v>
      </c>
    </row>
    <row r="1007" spans="1:8" x14ac:dyDescent="0.3">
      <c r="A1007" t="s">
        <v>5938</v>
      </c>
      <c r="B1007" s="1">
        <v>45695</v>
      </c>
      <c r="C1007" t="s">
        <v>5452</v>
      </c>
      <c r="D1007" t="s">
        <v>4926</v>
      </c>
      <c r="E1007">
        <v>87.43</v>
      </c>
      <c r="F1007" t="s">
        <v>5453</v>
      </c>
      <c r="G1007" t="s">
        <v>5454</v>
      </c>
      <c r="H1007" t="s">
        <v>4929</v>
      </c>
    </row>
    <row r="1008" spans="1:8" x14ac:dyDescent="0.3">
      <c r="A1008" t="s">
        <v>5939</v>
      </c>
      <c r="B1008" s="1">
        <v>45698</v>
      </c>
      <c r="C1008" t="s">
        <v>5452</v>
      </c>
      <c r="D1008" t="s">
        <v>4926</v>
      </c>
      <c r="E1008">
        <v>87.45</v>
      </c>
      <c r="F1008" t="s">
        <v>5453</v>
      </c>
      <c r="G1008" t="s">
        <v>5454</v>
      </c>
      <c r="H1008" t="s">
        <v>4929</v>
      </c>
    </row>
    <row r="1009" spans="1:8" x14ac:dyDescent="0.3">
      <c r="A1009" t="s">
        <v>5940</v>
      </c>
      <c r="B1009" s="1">
        <v>45699</v>
      </c>
      <c r="C1009" t="s">
        <v>5452</v>
      </c>
      <c r="D1009" t="s">
        <v>4926</v>
      </c>
      <c r="E1009">
        <v>86.76</v>
      </c>
      <c r="F1009" t="s">
        <v>5453</v>
      </c>
      <c r="G1009" t="s">
        <v>5454</v>
      </c>
      <c r="H1009" t="s">
        <v>4929</v>
      </c>
    </row>
    <row r="1010" spans="1:8" x14ac:dyDescent="0.3">
      <c r="A1010" t="s">
        <v>5941</v>
      </c>
      <c r="B1010" s="1">
        <v>45700</v>
      </c>
      <c r="C1010" t="s">
        <v>5452</v>
      </c>
      <c r="D1010" t="s">
        <v>4926</v>
      </c>
      <c r="E1010">
        <v>86.9</v>
      </c>
      <c r="F1010" t="s">
        <v>5453</v>
      </c>
      <c r="G1010" t="s">
        <v>5454</v>
      </c>
      <c r="H1010" t="s">
        <v>4929</v>
      </c>
    </row>
    <row r="1011" spans="1:8" x14ac:dyDescent="0.3">
      <c r="A1011" t="s">
        <v>5942</v>
      </c>
      <c r="B1011" s="1">
        <v>45701</v>
      </c>
      <c r="C1011" t="s">
        <v>5452</v>
      </c>
      <c r="D1011" t="s">
        <v>4926</v>
      </c>
      <c r="E1011">
        <v>86.89</v>
      </c>
      <c r="F1011" t="s">
        <v>5453</v>
      </c>
      <c r="G1011" t="s">
        <v>5454</v>
      </c>
      <c r="H1011" t="s">
        <v>4929</v>
      </c>
    </row>
    <row r="1012" spans="1:8" x14ac:dyDescent="0.3">
      <c r="A1012" t="s">
        <v>5943</v>
      </c>
      <c r="B1012" s="1">
        <v>45702</v>
      </c>
      <c r="C1012" t="s">
        <v>5452</v>
      </c>
      <c r="D1012" t="s">
        <v>4926</v>
      </c>
      <c r="E1012">
        <v>86.82</v>
      </c>
      <c r="F1012" t="s">
        <v>5453</v>
      </c>
      <c r="G1012" t="s">
        <v>5454</v>
      </c>
      <c r="H1012" t="s">
        <v>4929</v>
      </c>
    </row>
    <row r="1013" spans="1:8" x14ac:dyDescent="0.3">
      <c r="A1013" t="s">
        <v>5944</v>
      </c>
      <c r="B1013" s="1">
        <v>45705</v>
      </c>
      <c r="C1013" t="s">
        <v>5452</v>
      </c>
      <c r="D1013" t="s">
        <v>4926</v>
      </c>
      <c r="E1013">
        <v>86.82</v>
      </c>
      <c r="F1013" t="s">
        <v>5453</v>
      </c>
      <c r="G1013" t="s">
        <v>5454</v>
      </c>
      <c r="H1013" t="s">
        <v>4970</v>
      </c>
    </row>
    <row r="1014" spans="1:8" x14ac:dyDescent="0.3">
      <c r="A1014" t="s">
        <v>5945</v>
      </c>
      <c r="B1014" s="1">
        <v>45706</v>
      </c>
      <c r="C1014" t="s">
        <v>5452</v>
      </c>
      <c r="D1014" t="s">
        <v>4926</v>
      </c>
      <c r="E1014">
        <v>86.96</v>
      </c>
      <c r="F1014" t="s">
        <v>5453</v>
      </c>
      <c r="G1014" t="s">
        <v>5454</v>
      </c>
      <c r="H1014" t="s">
        <v>4929</v>
      </c>
    </row>
    <row r="1015" spans="1:8" x14ac:dyDescent="0.3">
      <c r="A1015" t="s">
        <v>5946</v>
      </c>
      <c r="B1015" s="1">
        <v>45707</v>
      </c>
      <c r="C1015" t="s">
        <v>5452</v>
      </c>
      <c r="D1015" t="s">
        <v>4926</v>
      </c>
      <c r="E1015">
        <v>86.96</v>
      </c>
      <c r="F1015" t="s">
        <v>5453</v>
      </c>
      <c r="G1015" t="s">
        <v>5454</v>
      </c>
      <c r="H1015" t="s">
        <v>4929</v>
      </c>
    </row>
    <row r="1016" spans="1:8" x14ac:dyDescent="0.3">
      <c r="A1016" t="s">
        <v>5947</v>
      </c>
      <c r="B1016" s="1">
        <v>45708</v>
      </c>
      <c r="C1016" t="s">
        <v>5452</v>
      </c>
      <c r="D1016" t="s">
        <v>4926</v>
      </c>
      <c r="E1016">
        <v>86.65</v>
      </c>
      <c r="F1016" t="s">
        <v>5453</v>
      </c>
      <c r="G1016" t="s">
        <v>5454</v>
      </c>
      <c r="H1016" t="s">
        <v>4929</v>
      </c>
    </row>
    <row r="1017" spans="1:8" x14ac:dyDescent="0.3">
      <c r="A1017" t="s">
        <v>5948</v>
      </c>
      <c r="B1017" s="1">
        <v>45709</v>
      </c>
      <c r="C1017" t="s">
        <v>5452</v>
      </c>
      <c r="D1017" t="s">
        <v>4926</v>
      </c>
      <c r="E1017">
        <v>86.7</v>
      </c>
      <c r="F1017" t="s">
        <v>5453</v>
      </c>
      <c r="G1017" t="s">
        <v>5454</v>
      </c>
      <c r="H1017" t="s">
        <v>4929</v>
      </c>
    </row>
    <row r="1018" spans="1:8" x14ac:dyDescent="0.3">
      <c r="A1018" t="s">
        <v>5949</v>
      </c>
      <c r="B1018" s="1">
        <v>45712</v>
      </c>
      <c r="C1018" t="s">
        <v>5452</v>
      </c>
      <c r="D1018" t="s">
        <v>4926</v>
      </c>
      <c r="E1018">
        <v>86.72</v>
      </c>
      <c r="F1018" t="s">
        <v>5453</v>
      </c>
      <c r="G1018" t="s">
        <v>5454</v>
      </c>
      <c r="H1018" t="s">
        <v>4929</v>
      </c>
    </row>
    <row r="1019" spans="1:8" x14ac:dyDescent="0.3">
      <c r="A1019" t="s">
        <v>5950</v>
      </c>
      <c r="B1019" s="1">
        <v>45713</v>
      </c>
      <c r="C1019" t="s">
        <v>5452</v>
      </c>
      <c r="D1019" t="s">
        <v>4926</v>
      </c>
      <c r="E1019">
        <v>87.2</v>
      </c>
      <c r="F1019" t="s">
        <v>5453</v>
      </c>
      <c r="G1019" t="s">
        <v>5454</v>
      </c>
      <c r="H1019" t="s">
        <v>4929</v>
      </c>
    </row>
    <row r="1020" spans="1:8" x14ac:dyDescent="0.3">
      <c r="A1020" t="s">
        <v>5951</v>
      </c>
      <c r="B1020" s="1">
        <v>45714</v>
      </c>
      <c r="C1020" t="s">
        <v>5452</v>
      </c>
      <c r="D1020" t="s">
        <v>4926</v>
      </c>
      <c r="E1020">
        <v>87.2</v>
      </c>
      <c r="F1020" t="s">
        <v>5453</v>
      </c>
      <c r="G1020" t="s">
        <v>5454</v>
      </c>
      <c r="H1020" t="s">
        <v>4929</v>
      </c>
    </row>
    <row r="1021" spans="1:8" x14ac:dyDescent="0.3">
      <c r="A1021" t="s">
        <v>5952</v>
      </c>
      <c r="B1021" s="1">
        <v>45715</v>
      </c>
      <c r="C1021" t="s">
        <v>5452</v>
      </c>
      <c r="D1021" t="s">
        <v>4926</v>
      </c>
      <c r="E1021">
        <v>87.17</v>
      </c>
      <c r="F1021" t="s">
        <v>5453</v>
      </c>
      <c r="G1021" t="s">
        <v>5454</v>
      </c>
      <c r="H1021" t="s">
        <v>4929</v>
      </c>
    </row>
    <row r="1022" spans="1:8" x14ac:dyDescent="0.3">
      <c r="A1022" t="s">
        <v>5953</v>
      </c>
      <c r="B1022" s="1">
        <v>45716</v>
      </c>
      <c r="C1022" t="s">
        <v>5452</v>
      </c>
      <c r="D1022" t="s">
        <v>4926</v>
      </c>
      <c r="E1022">
        <v>87.5</v>
      </c>
      <c r="F1022" t="s">
        <v>5453</v>
      </c>
      <c r="G1022" t="s">
        <v>5454</v>
      </c>
      <c r="H1022" t="s">
        <v>4929</v>
      </c>
    </row>
    <row r="1023" spans="1:8" x14ac:dyDescent="0.3">
      <c r="A1023" t="s">
        <v>5954</v>
      </c>
      <c r="B1023" s="1">
        <v>45719</v>
      </c>
      <c r="C1023" t="s">
        <v>5452</v>
      </c>
      <c r="D1023" t="s">
        <v>4926</v>
      </c>
      <c r="E1023">
        <v>87.35</v>
      </c>
      <c r="F1023" t="s">
        <v>5453</v>
      </c>
      <c r="G1023" t="s">
        <v>5454</v>
      </c>
      <c r="H1023" t="s">
        <v>4929</v>
      </c>
    </row>
    <row r="1024" spans="1:8" x14ac:dyDescent="0.3">
      <c r="A1024" t="s">
        <v>5955</v>
      </c>
      <c r="B1024" s="1">
        <v>45720</v>
      </c>
      <c r="C1024" t="s">
        <v>5452</v>
      </c>
      <c r="D1024" t="s">
        <v>4926</v>
      </c>
      <c r="E1024">
        <v>87.26</v>
      </c>
      <c r="F1024" t="s">
        <v>5453</v>
      </c>
      <c r="G1024" t="s">
        <v>5454</v>
      </c>
      <c r="H1024" t="s">
        <v>4929</v>
      </c>
    </row>
    <row r="1025" spans="1:8" x14ac:dyDescent="0.3">
      <c r="A1025" t="s">
        <v>5956</v>
      </c>
      <c r="B1025" s="1">
        <v>45721</v>
      </c>
      <c r="C1025" t="s">
        <v>5452</v>
      </c>
      <c r="D1025" t="s">
        <v>4926</v>
      </c>
      <c r="E1025">
        <v>86.95</v>
      </c>
      <c r="F1025" t="s">
        <v>5453</v>
      </c>
      <c r="G1025" t="s">
        <v>5454</v>
      </c>
      <c r="H1025" t="s">
        <v>4929</v>
      </c>
    </row>
    <row r="1026" spans="1:8" x14ac:dyDescent="0.3">
      <c r="A1026" t="s">
        <v>5957</v>
      </c>
      <c r="B1026" s="1">
        <v>45722</v>
      </c>
      <c r="C1026" t="s">
        <v>5452</v>
      </c>
      <c r="D1026" t="s">
        <v>4926</v>
      </c>
      <c r="E1026">
        <v>87.11</v>
      </c>
      <c r="F1026" t="s">
        <v>5453</v>
      </c>
      <c r="G1026" t="s">
        <v>5454</v>
      </c>
      <c r="H1026" t="s">
        <v>4929</v>
      </c>
    </row>
    <row r="1027" spans="1:8" x14ac:dyDescent="0.3">
      <c r="A1027" t="s">
        <v>5958</v>
      </c>
      <c r="B1027" s="1">
        <v>45723</v>
      </c>
      <c r="C1027" t="s">
        <v>5452</v>
      </c>
      <c r="D1027" t="s">
        <v>4926</v>
      </c>
      <c r="E1027">
        <v>86.88</v>
      </c>
      <c r="F1027" t="s">
        <v>5453</v>
      </c>
      <c r="G1027" t="s">
        <v>5454</v>
      </c>
      <c r="H1027" t="s">
        <v>4929</v>
      </c>
    </row>
    <row r="1028" spans="1:8" x14ac:dyDescent="0.3">
      <c r="A1028" t="s">
        <v>5959</v>
      </c>
      <c r="B1028" s="1">
        <v>45726</v>
      </c>
      <c r="C1028" t="s">
        <v>5452</v>
      </c>
      <c r="D1028" t="s">
        <v>4926</v>
      </c>
      <c r="E1028">
        <v>87.27</v>
      </c>
      <c r="F1028" t="s">
        <v>5453</v>
      </c>
      <c r="G1028" t="s">
        <v>5454</v>
      </c>
      <c r="H1028" t="s">
        <v>4929</v>
      </c>
    </row>
    <row r="1029" spans="1:8" x14ac:dyDescent="0.3">
      <c r="A1029" t="s">
        <v>5960</v>
      </c>
      <c r="B1029" s="1">
        <v>45727</v>
      </c>
      <c r="C1029" t="s">
        <v>5452</v>
      </c>
      <c r="D1029" t="s">
        <v>4926</v>
      </c>
      <c r="E1029">
        <v>87.16</v>
      </c>
      <c r="F1029" t="s">
        <v>5453</v>
      </c>
      <c r="G1029" t="s">
        <v>5454</v>
      </c>
      <c r="H1029" t="s">
        <v>4929</v>
      </c>
    </row>
    <row r="1030" spans="1:8" x14ac:dyDescent="0.3">
      <c r="A1030" t="s">
        <v>5961</v>
      </c>
      <c r="B1030" s="1">
        <v>45728</v>
      </c>
      <c r="C1030" t="s">
        <v>5452</v>
      </c>
      <c r="D1030" t="s">
        <v>4926</v>
      </c>
      <c r="E1030">
        <v>87.16</v>
      </c>
      <c r="F1030" t="s">
        <v>5453</v>
      </c>
      <c r="G1030" t="s">
        <v>5454</v>
      </c>
      <c r="H1030" t="s">
        <v>4929</v>
      </c>
    </row>
    <row r="1031" spans="1:8" x14ac:dyDescent="0.3">
      <c r="A1031" t="s">
        <v>5962</v>
      </c>
      <c r="B1031" s="1">
        <v>45729</v>
      </c>
      <c r="C1031" t="s">
        <v>5452</v>
      </c>
      <c r="D1031" t="s">
        <v>4926</v>
      </c>
      <c r="E1031">
        <v>87</v>
      </c>
      <c r="F1031" t="s">
        <v>5453</v>
      </c>
      <c r="G1031" t="s">
        <v>5454</v>
      </c>
      <c r="H1031" t="s">
        <v>4929</v>
      </c>
    </row>
    <row r="1032" spans="1:8" x14ac:dyDescent="0.3">
      <c r="A1032" t="s">
        <v>5963</v>
      </c>
      <c r="B1032" s="1">
        <v>45730</v>
      </c>
      <c r="C1032" t="s">
        <v>5452</v>
      </c>
      <c r="D1032" t="s">
        <v>4926</v>
      </c>
      <c r="E1032">
        <v>87</v>
      </c>
      <c r="F1032" t="s">
        <v>5453</v>
      </c>
      <c r="G1032" t="s">
        <v>5454</v>
      </c>
      <c r="H1032" t="s">
        <v>4929</v>
      </c>
    </row>
    <row r="1033" spans="1:8" x14ac:dyDescent="0.3">
      <c r="A1033" t="s">
        <v>5964</v>
      </c>
      <c r="B1033" s="1">
        <v>45733</v>
      </c>
      <c r="C1033" t="s">
        <v>5452</v>
      </c>
      <c r="D1033" t="s">
        <v>4926</v>
      </c>
      <c r="E1033">
        <v>86.79</v>
      </c>
      <c r="F1033" t="s">
        <v>5453</v>
      </c>
      <c r="G1033" t="s">
        <v>5454</v>
      </c>
      <c r="H1033" t="s">
        <v>4929</v>
      </c>
    </row>
    <row r="1034" spans="1:8" x14ac:dyDescent="0.3">
      <c r="A1034" t="s">
        <v>5965</v>
      </c>
      <c r="B1034" s="1">
        <v>45734</v>
      </c>
      <c r="C1034" t="s">
        <v>5452</v>
      </c>
      <c r="D1034" t="s">
        <v>4926</v>
      </c>
      <c r="E1034">
        <v>86.5</v>
      </c>
      <c r="F1034" t="s">
        <v>5453</v>
      </c>
      <c r="G1034" t="s">
        <v>5454</v>
      </c>
      <c r="H1034" t="s">
        <v>4929</v>
      </c>
    </row>
    <row r="1035" spans="1:8" x14ac:dyDescent="0.3">
      <c r="A1035" t="s">
        <v>5966</v>
      </c>
      <c r="B1035" s="1">
        <v>45735</v>
      </c>
      <c r="C1035" t="s">
        <v>5452</v>
      </c>
      <c r="D1035" t="s">
        <v>4926</v>
      </c>
      <c r="E1035">
        <v>86.43</v>
      </c>
      <c r="F1035" t="s">
        <v>5453</v>
      </c>
      <c r="G1035" t="s">
        <v>5454</v>
      </c>
      <c r="H1035" t="s">
        <v>4929</v>
      </c>
    </row>
    <row r="1036" spans="1:8" x14ac:dyDescent="0.3">
      <c r="A1036" t="s">
        <v>5967</v>
      </c>
      <c r="B1036" s="1">
        <v>45736</v>
      </c>
      <c r="C1036" t="s">
        <v>5452</v>
      </c>
      <c r="D1036" t="s">
        <v>4926</v>
      </c>
      <c r="E1036">
        <v>86.31</v>
      </c>
      <c r="F1036" t="s">
        <v>5453</v>
      </c>
      <c r="G1036" t="s">
        <v>5454</v>
      </c>
      <c r="H1036" t="s">
        <v>4929</v>
      </c>
    </row>
    <row r="1037" spans="1:8" x14ac:dyDescent="0.3">
      <c r="A1037" t="s">
        <v>5968</v>
      </c>
      <c r="B1037" s="1">
        <v>45737</v>
      </c>
      <c r="C1037" t="s">
        <v>5452</v>
      </c>
      <c r="D1037" t="s">
        <v>4926</v>
      </c>
      <c r="E1037">
        <v>86.01</v>
      </c>
      <c r="F1037" t="s">
        <v>5453</v>
      </c>
      <c r="G1037" t="s">
        <v>5454</v>
      </c>
      <c r="H1037" t="s">
        <v>4929</v>
      </c>
    </row>
    <row r="1038" spans="1:8" x14ac:dyDescent="0.3">
      <c r="A1038" t="s">
        <v>5969</v>
      </c>
      <c r="B1038" s="1">
        <v>45740</v>
      </c>
      <c r="C1038" t="s">
        <v>5452</v>
      </c>
      <c r="D1038" t="s">
        <v>4926</v>
      </c>
      <c r="E1038">
        <v>85.56</v>
      </c>
      <c r="F1038" t="s">
        <v>5453</v>
      </c>
      <c r="G1038" t="s">
        <v>5454</v>
      </c>
      <c r="H1038" t="s">
        <v>4929</v>
      </c>
    </row>
    <row r="1039" spans="1:8" x14ac:dyDescent="0.3">
      <c r="A1039" t="s">
        <v>5970</v>
      </c>
      <c r="B1039" s="1">
        <v>45741</v>
      </c>
      <c r="C1039" t="s">
        <v>5452</v>
      </c>
      <c r="D1039" t="s">
        <v>4926</v>
      </c>
      <c r="E1039">
        <v>85.77</v>
      </c>
      <c r="F1039" t="s">
        <v>5453</v>
      </c>
      <c r="G1039" t="s">
        <v>5454</v>
      </c>
      <c r="H1039" t="s">
        <v>4929</v>
      </c>
    </row>
    <row r="1040" spans="1:8" x14ac:dyDescent="0.3">
      <c r="A1040" t="s">
        <v>5971</v>
      </c>
      <c r="B1040" s="1">
        <v>45742</v>
      </c>
      <c r="C1040" t="s">
        <v>5452</v>
      </c>
      <c r="D1040" t="s">
        <v>4926</v>
      </c>
      <c r="E1040">
        <v>85.71</v>
      </c>
      <c r="F1040" t="s">
        <v>5453</v>
      </c>
      <c r="G1040" t="s">
        <v>5454</v>
      </c>
      <c r="H1040" t="s">
        <v>4929</v>
      </c>
    </row>
    <row r="1041" spans="1:8" x14ac:dyDescent="0.3">
      <c r="A1041" t="s">
        <v>5972</v>
      </c>
      <c r="B1041" s="1">
        <v>45743</v>
      </c>
      <c r="C1041" t="s">
        <v>5452</v>
      </c>
      <c r="D1041" t="s">
        <v>4926</v>
      </c>
      <c r="E1041">
        <v>85.79</v>
      </c>
      <c r="F1041" t="s">
        <v>5453</v>
      </c>
      <c r="G1041" t="s">
        <v>5454</v>
      </c>
      <c r="H1041" t="s">
        <v>4929</v>
      </c>
    </row>
    <row r="1042" spans="1:8" x14ac:dyDescent="0.3">
      <c r="A1042" t="s">
        <v>5973</v>
      </c>
      <c r="B1042" s="1">
        <v>45744</v>
      </c>
      <c r="C1042" t="s">
        <v>5452</v>
      </c>
      <c r="D1042" t="s">
        <v>4926</v>
      </c>
      <c r="E1042">
        <v>85.51</v>
      </c>
      <c r="F1042" t="s">
        <v>5453</v>
      </c>
      <c r="G1042" t="s">
        <v>5454</v>
      </c>
      <c r="H1042" t="s">
        <v>4929</v>
      </c>
    </row>
    <row r="1043" spans="1:8" x14ac:dyDescent="0.3">
      <c r="A1043" t="s">
        <v>5974</v>
      </c>
      <c r="B1043" s="1">
        <v>45747</v>
      </c>
      <c r="C1043" t="s">
        <v>5452</v>
      </c>
      <c r="D1043" t="s">
        <v>4926</v>
      </c>
      <c r="E1043">
        <v>85.43</v>
      </c>
      <c r="F1043" t="s">
        <v>5453</v>
      </c>
      <c r="G1043" t="s">
        <v>5454</v>
      </c>
      <c r="H1043" t="s">
        <v>4929</v>
      </c>
    </row>
    <row r="1044" spans="1:8" x14ac:dyDescent="0.3">
      <c r="A1044" t="s">
        <v>5975</v>
      </c>
      <c r="B1044" s="1">
        <v>45019</v>
      </c>
      <c r="C1044" t="s">
        <v>5976</v>
      </c>
      <c r="D1044" t="s">
        <v>5977</v>
      </c>
      <c r="E1044">
        <v>80.400000000000006</v>
      </c>
      <c r="F1044" t="s">
        <v>5978</v>
      </c>
      <c r="G1044" t="s">
        <v>5979</v>
      </c>
      <c r="H1044" t="s">
        <v>4929</v>
      </c>
    </row>
    <row r="1045" spans="1:8" x14ac:dyDescent="0.3">
      <c r="A1045" t="s">
        <v>5980</v>
      </c>
      <c r="B1045" s="1">
        <v>45020</v>
      </c>
      <c r="C1045" t="s">
        <v>5976</v>
      </c>
      <c r="D1045" t="s">
        <v>5977</v>
      </c>
      <c r="E1045">
        <v>80.7</v>
      </c>
      <c r="F1045" t="s">
        <v>5978</v>
      </c>
      <c r="G1045" t="s">
        <v>5979</v>
      </c>
      <c r="H1045" t="s">
        <v>4929</v>
      </c>
    </row>
    <row r="1046" spans="1:8" x14ac:dyDescent="0.3">
      <c r="A1046" t="s">
        <v>5981</v>
      </c>
      <c r="B1046" s="1">
        <v>45021</v>
      </c>
      <c r="C1046" t="s">
        <v>5976</v>
      </c>
      <c r="D1046" t="s">
        <v>5977</v>
      </c>
      <c r="E1046">
        <v>80.69</v>
      </c>
      <c r="F1046" t="s">
        <v>5978</v>
      </c>
      <c r="G1046" t="s">
        <v>5979</v>
      </c>
      <c r="H1046" t="s">
        <v>4929</v>
      </c>
    </row>
    <row r="1047" spans="1:8" x14ac:dyDescent="0.3">
      <c r="A1047" t="s">
        <v>5982</v>
      </c>
      <c r="B1047" s="1">
        <v>45022</v>
      </c>
      <c r="C1047" t="s">
        <v>5976</v>
      </c>
      <c r="D1047" t="s">
        <v>5977</v>
      </c>
      <c r="E1047">
        <v>80.7</v>
      </c>
      <c r="F1047" t="s">
        <v>5978</v>
      </c>
      <c r="G1047" t="s">
        <v>5979</v>
      </c>
      <c r="H1047" t="s">
        <v>4929</v>
      </c>
    </row>
    <row r="1048" spans="1:8" x14ac:dyDescent="0.3">
      <c r="A1048" t="s">
        <v>5983</v>
      </c>
      <c r="B1048" s="1">
        <v>45023</v>
      </c>
      <c r="C1048" t="s">
        <v>5976</v>
      </c>
      <c r="D1048" t="s">
        <v>5977</v>
      </c>
      <c r="E1048">
        <v>80.7</v>
      </c>
      <c r="F1048" t="s">
        <v>5978</v>
      </c>
      <c r="G1048" t="s">
        <v>5979</v>
      </c>
      <c r="H1048" t="s">
        <v>4970</v>
      </c>
    </row>
    <row r="1049" spans="1:8" x14ac:dyDescent="0.3">
      <c r="A1049" t="s">
        <v>5984</v>
      </c>
      <c r="B1049" s="1">
        <v>45026</v>
      </c>
      <c r="C1049" t="s">
        <v>5976</v>
      </c>
      <c r="D1049" t="s">
        <v>5977</v>
      </c>
      <c r="E1049">
        <v>79.790000000000006</v>
      </c>
      <c r="F1049" t="s">
        <v>5978</v>
      </c>
      <c r="G1049" t="s">
        <v>5979</v>
      </c>
      <c r="H1049" t="s">
        <v>4929</v>
      </c>
    </row>
    <row r="1050" spans="1:8" x14ac:dyDescent="0.3">
      <c r="A1050" t="s">
        <v>5985</v>
      </c>
      <c r="B1050" s="1">
        <v>45027</v>
      </c>
      <c r="C1050" t="s">
        <v>5976</v>
      </c>
      <c r="D1050" t="s">
        <v>5977</v>
      </c>
      <c r="E1050">
        <v>81.540000000000006</v>
      </c>
      <c r="F1050" t="s">
        <v>5978</v>
      </c>
      <c r="G1050" t="s">
        <v>5979</v>
      </c>
      <c r="H1050" t="s">
        <v>4929</v>
      </c>
    </row>
    <row r="1051" spans="1:8" x14ac:dyDescent="0.3">
      <c r="A1051" t="s">
        <v>5986</v>
      </c>
      <c r="B1051" s="1">
        <v>45028</v>
      </c>
      <c r="C1051" t="s">
        <v>5976</v>
      </c>
      <c r="D1051" t="s">
        <v>5977</v>
      </c>
      <c r="E1051">
        <v>83.26</v>
      </c>
      <c r="F1051" t="s">
        <v>5978</v>
      </c>
      <c r="G1051" t="s">
        <v>5979</v>
      </c>
      <c r="H1051" t="s">
        <v>4929</v>
      </c>
    </row>
    <row r="1052" spans="1:8" x14ac:dyDescent="0.3">
      <c r="A1052" t="s">
        <v>5987</v>
      </c>
      <c r="B1052" s="1">
        <v>45029</v>
      </c>
      <c r="C1052" t="s">
        <v>5976</v>
      </c>
      <c r="D1052" t="s">
        <v>5977</v>
      </c>
      <c r="E1052">
        <v>82.16</v>
      </c>
      <c r="F1052" t="s">
        <v>5978</v>
      </c>
      <c r="G1052" t="s">
        <v>5979</v>
      </c>
      <c r="H1052" t="s">
        <v>4929</v>
      </c>
    </row>
    <row r="1053" spans="1:8" x14ac:dyDescent="0.3">
      <c r="A1053" t="s">
        <v>5988</v>
      </c>
      <c r="B1053" s="1">
        <v>45030</v>
      </c>
      <c r="C1053" t="s">
        <v>5976</v>
      </c>
      <c r="D1053" t="s">
        <v>5977</v>
      </c>
      <c r="E1053">
        <v>82.58</v>
      </c>
      <c r="F1053" t="s">
        <v>5978</v>
      </c>
      <c r="G1053" t="s">
        <v>5979</v>
      </c>
      <c r="H1053" t="s">
        <v>4929</v>
      </c>
    </row>
    <row r="1054" spans="1:8" x14ac:dyDescent="0.3">
      <c r="A1054" t="s">
        <v>5989</v>
      </c>
      <c r="B1054" s="1">
        <v>45033</v>
      </c>
      <c r="C1054" t="s">
        <v>5976</v>
      </c>
      <c r="D1054" t="s">
        <v>5977</v>
      </c>
      <c r="E1054">
        <v>80.930000000000007</v>
      </c>
      <c r="F1054" t="s">
        <v>5978</v>
      </c>
      <c r="G1054" t="s">
        <v>5979</v>
      </c>
      <c r="H1054" t="s">
        <v>4929</v>
      </c>
    </row>
    <row r="1055" spans="1:8" x14ac:dyDescent="0.3">
      <c r="A1055" t="s">
        <v>5990</v>
      </c>
      <c r="B1055" s="1">
        <v>45034</v>
      </c>
      <c r="C1055" t="s">
        <v>5976</v>
      </c>
      <c r="D1055" t="s">
        <v>5977</v>
      </c>
      <c r="E1055">
        <v>80.849999999999994</v>
      </c>
      <c r="F1055" t="s">
        <v>5978</v>
      </c>
      <c r="G1055" t="s">
        <v>5979</v>
      </c>
      <c r="H1055" t="s">
        <v>4929</v>
      </c>
    </row>
    <row r="1056" spans="1:8" x14ac:dyDescent="0.3">
      <c r="A1056" t="s">
        <v>5991</v>
      </c>
      <c r="B1056" s="1">
        <v>45035</v>
      </c>
      <c r="C1056" t="s">
        <v>5976</v>
      </c>
      <c r="D1056" t="s">
        <v>5977</v>
      </c>
      <c r="E1056">
        <v>79.180000000000007</v>
      </c>
      <c r="F1056" t="s">
        <v>5978</v>
      </c>
      <c r="G1056" t="s">
        <v>5979</v>
      </c>
      <c r="H1056" t="s">
        <v>4929</v>
      </c>
    </row>
    <row r="1057" spans="1:8" x14ac:dyDescent="0.3">
      <c r="A1057" t="s">
        <v>5992</v>
      </c>
      <c r="B1057" s="1">
        <v>45036</v>
      </c>
      <c r="C1057" t="s">
        <v>5976</v>
      </c>
      <c r="D1057" t="s">
        <v>5977</v>
      </c>
      <c r="E1057">
        <v>77.27</v>
      </c>
      <c r="F1057" t="s">
        <v>5978</v>
      </c>
      <c r="G1057" t="s">
        <v>5979</v>
      </c>
      <c r="H1057" t="s">
        <v>4929</v>
      </c>
    </row>
    <row r="1058" spans="1:8" x14ac:dyDescent="0.3">
      <c r="A1058" t="s">
        <v>5993</v>
      </c>
      <c r="B1058" s="1">
        <v>45037</v>
      </c>
      <c r="C1058" t="s">
        <v>5976</v>
      </c>
      <c r="D1058" t="s">
        <v>5977</v>
      </c>
      <c r="E1058">
        <v>77.86</v>
      </c>
      <c r="F1058" t="s">
        <v>5978</v>
      </c>
      <c r="G1058" t="s">
        <v>5979</v>
      </c>
      <c r="H1058" t="s">
        <v>4929</v>
      </c>
    </row>
    <row r="1059" spans="1:8" x14ac:dyDescent="0.3">
      <c r="A1059" t="s">
        <v>5994</v>
      </c>
      <c r="B1059" s="1">
        <v>45040</v>
      </c>
      <c r="C1059" t="s">
        <v>5976</v>
      </c>
      <c r="D1059" t="s">
        <v>5977</v>
      </c>
      <c r="E1059">
        <v>78.64</v>
      </c>
      <c r="F1059" t="s">
        <v>5978</v>
      </c>
      <c r="G1059" t="s">
        <v>5979</v>
      </c>
      <c r="H1059" t="s">
        <v>4929</v>
      </c>
    </row>
    <row r="1060" spans="1:8" x14ac:dyDescent="0.3">
      <c r="A1060" t="s">
        <v>5995</v>
      </c>
      <c r="B1060" s="1">
        <v>45041</v>
      </c>
      <c r="C1060" t="s">
        <v>5976</v>
      </c>
      <c r="D1060" t="s">
        <v>5977</v>
      </c>
      <c r="E1060">
        <v>77.05</v>
      </c>
      <c r="F1060" t="s">
        <v>5978</v>
      </c>
      <c r="G1060" t="s">
        <v>5979</v>
      </c>
      <c r="H1060" t="s">
        <v>4929</v>
      </c>
    </row>
    <row r="1061" spans="1:8" x14ac:dyDescent="0.3">
      <c r="A1061" t="s">
        <v>5996</v>
      </c>
      <c r="B1061" s="1">
        <v>45042</v>
      </c>
      <c r="C1061" t="s">
        <v>5976</v>
      </c>
      <c r="D1061" t="s">
        <v>5977</v>
      </c>
      <c r="E1061">
        <v>74.33</v>
      </c>
      <c r="F1061" t="s">
        <v>5978</v>
      </c>
      <c r="G1061" t="s">
        <v>5979</v>
      </c>
      <c r="H1061" t="s">
        <v>4929</v>
      </c>
    </row>
    <row r="1062" spans="1:8" x14ac:dyDescent="0.3">
      <c r="A1062" t="s">
        <v>5997</v>
      </c>
      <c r="B1062" s="1">
        <v>45043</v>
      </c>
      <c r="C1062" t="s">
        <v>5976</v>
      </c>
      <c r="D1062" t="s">
        <v>5977</v>
      </c>
      <c r="E1062">
        <v>74.77</v>
      </c>
      <c r="F1062" t="s">
        <v>5978</v>
      </c>
      <c r="G1062" t="s">
        <v>5979</v>
      </c>
      <c r="H1062" t="s">
        <v>4929</v>
      </c>
    </row>
    <row r="1063" spans="1:8" x14ac:dyDescent="0.3">
      <c r="A1063" t="s">
        <v>5998</v>
      </c>
      <c r="B1063" s="1">
        <v>45044</v>
      </c>
      <c r="C1063" t="s">
        <v>5976</v>
      </c>
      <c r="D1063" t="s">
        <v>5977</v>
      </c>
      <c r="E1063">
        <v>76.78</v>
      </c>
      <c r="F1063" t="s">
        <v>5978</v>
      </c>
      <c r="G1063" t="s">
        <v>5979</v>
      </c>
      <c r="H1063" t="s">
        <v>4929</v>
      </c>
    </row>
    <row r="1064" spans="1:8" x14ac:dyDescent="0.3">
      <c r="A1064" t="s">
        <v>5999</v>
      </c>
      <c r="B1064" s="1">
        <v>45047</v>
      </c>
      <c r="C1064" t="s">
        <v>5976</v>
      </c>
      <c r="D1064" t="s">
        <v>5977</v>
      </c>
      <c r="E1064">
        <v>75.650000000000006</v>
      </c>
      <c r="F1064" t="s">
        <v>5978</v>
      </c>
      <c r="G1064" t="s">
        <v>5979</v>
      </c>
      <c r="H1064" t="s">
        <v>4929</v>
      </c>
    </row>
    <row r="1065" spans="1:8" x14ac:dyDescent="0.3">
      <c r="A1065" t="s">
        <v>6000</v>
      </c>
      <c r="B1065" s="1">
        <v>45048</v>
      </c>
      <c r="C1065" t="s">
        <v>5976</v>
      </c>
      <c r="D1065" t="s">
        <v>5977</v>
      </c>
      <c r="E1065">
        <v>71.709999999999994</v>
      </c>
      <c r="F1065" t="s">
        <v>5978</v>
      </c>
      <c r="G1065" t="s">
        <v>5979</v>
      </c>
      <c r="H1065" t="s">
        <v>4929</v>
      </c>
    </row>
    <row r="1066" spans="1:8" x14ac:dyDescent="0.3">
      <c r="A1066" t="s">
        <v>6001</v>
      </c>
      <c r="B1066" s="1">
        <v>45049</v>
      </c>
      <c r="C1066" t="s">
        <v>5976</v>
      </c>
      <c r="D1066" t="s">
        <v>5977</v>
      </c>
      <c r="E1066">
        <v>68.62</v>
      </c>
      <c r="F1066" t="s">
        <v>5978</v>
      </c>
      <c r="G1066" t="s">
        <v>5979</v>
      </c>
      <c r="H1066" t="s">
        <v>4929</v>
      </c>
    </row>
    <row r="1067" spans="1:8" x14ac:dyDescent="0.3">
      <c r="A1067" t="s">
        <v>6002</v>
      </c>
      <c r="B1067" s="1">
        <v>45050</v>
      </c>
      <c r="C1067" t="s">
        <v>5976</v>
      </c>
      <c r="D1067" t="s">
        <v>5977</v>
      </c>
      <c r="E1067">
        <v>68.52</v>
      </c>
      <c r="F1067" t="s">
        <v>5978</v>
      </c>
      <c r="G1067" t="s">
        <v>5979</v>
      </c>
      <c r="H1067" t="s">
        <v>4929</v>
      </c>
    </row>
    <row r="1068" spans="1:8" x14ac:dyDescent="0.3">
      <c r="A1068" t="s">
        <v>6003</v>
      </c>
      <c r="B1068" s="1">
        <v>45051</v>
      </c>
      <c r="C1068" t="s">
        <v>5976</v>
      </c>
      <c r="D1068" t="s">
        <v>5977</v>
      </c>
      <c r="E1068">
        <v>71.319999999999993</v>
      </c>
      <c r="F1068" t="s">
        <v>5978</v>
      </c>
      <c r="G1068" t="s">
        <v>5979</v>
      </c>
      <c r="H1068" t="s">
        <v>4929</v>
      </c>
    </row>
    <row r="1069" spans="1:8" x14ac:dyDescent="0.3">
      <c r="A1069" t="s">
        <v>6004</v>
      </c>
      <c r="B1069" s="1">
        <v>45054</v>
      </c>
      <c r="C1069" t="s">
        <v>5976</v>
      </c>
      <c r="D1069" t="s">
        <v>5977</v>
      </c>
      <c r="E1069">
        <v>73.13</v>
      </c>
      <c r="F1069" t="s">
        <v>5978</v>
      </c>
      <c r="G1069" t="s">
        <v>5979</v>
      </c>
      <c r="H1069" t="s">
        <v>4929</v>
      </c>
    </row>
    <row r="1070" spans="1:8" x14ac:dyDescent="0.3">
      <c r="A1070" t="s">
        <v>6005</v>
      </c>
      <c r="B1070" s="1">
        <v>45055</v>
      </c>
      <c r="C1070" t="s">
        <v>5976</v>
      </c>
      <c r="D1070" t="s">
        <v>5977</v>
      </c>
      <c r="E1070">
        <v>73.680000000000007</v>
      </c>
      <c r="F1070" t="s">
        <v>5978</v>
      </c>
      <c r="G1070" t="s">
        <v>5979</v>
      </c>
      <c r="H1070" t="s">
        <v>4929</v>
      </c>
    </row>
    <row r="1071" spans="1:8" x14ac:dyDescent="0.3">
      <c r="A1071" t="s">
        <v>6006</v>
      </c>
      <c r="B1071" s="1">
        <v>45056</v>
      </c>
      <c r="C1071" t="s">
        <v>5976</v>
      </c>
      <c r="D1071" t="s">
        <v>5977</v>
      </c>
      <c r="E1071">
        <v>72.53</v>
      </c>
      <c r="F1071" t="s">
        <v>5978</v>
      </c>
      <c r="G1071" t="s">
        <v>5979</v>
      </c>
      <c r="H1071" t="s">
        <v>4929</v>
      </c>
    </row>
    <row r="1072" spans="1:8" x14ac:dyDescent="0.3">
      <c r="A1072" t="s">
        <v>6007</v>
      </c>
      <c r="B1072" s="1">
        <v>45057</v>
      </c>
      <c r="C1072" t="s">
        <v>5976</v>
      </c>
      <c r="D1072" t="s">
        <v>5977</v>
      </c>
      <c r="E1072">
        <v>70.81</v>
      </c>
      <c r="F1072" t="s">
        <v>5978</v>
      </c>
      <c r="G1072" t="s">
        <v>5979</v>
      </c>
      <c r="H1072" t="s">
        <v>4929</v>
      </c>
    </row>
    <row r="1073" spans="1:8" x14ac:dyDescent="0.3">
      <c r="A1073" t="s">
        <v>6008</v>
      </c>
      <c r="B1073" s="1">
        <v>45058</v>
      </c>
      <c r="C1073" t="s">
        <v>5976</v>
      </c>
      <c r="D1073" t="s">
        <v>5977</v>
      </c>
      <c r="E1073">
        <v>70.02</v>
      </c>
      <c r="F1073" t="s">
        <v>5978</v>
      </c>
      <c r="G1073" t="s">
        <v>5979</v>
      </c>
      <c r="H1073" t="s">
        <v>4929</v>
      </c>
    </row>
    <row r="1074" spans="1:8" x14ac:dyDescent="0.3">
      <c r="A1074" t="s">
        <v>6009</v>
      </c>
      <c r="B1074" s="1">
        <v>45061</v>
      </c>
      <c r="C1074" t="s">
        <v>5976</v>
      </c>
      <c r="D1074" t="s">
        <v>5977</v>
      </c>
      <c r="E1074">
        <v>71.069999999999993</v>
      </c>
      <c r="F1074" t="s">
        <v>5978</v>
      </c>
      <c r="G1074" t="s">
        <v>5979</v>
      </c>
      <c r="H1074" t="s">
        <v>4929</v>
      </c>
    </row>
    <row r="1075" spans="1:8" x14ac:dyDescent="0.3">
      <c r="A1075" t="s">
        <v>6010</v>
      </c>
      <c r="B1075" s="1">
        <v>45062</v>
      </c>
      <c r="C1075" t="s">
        <v>5976</v>
      </c>
      <c r="D1075" t="s">
        <v>5977</v>
      </c>
      <c r="E1075">
        <v>70.849999999999994</v>
      </c>
      <c r="F1075" t="s">
        <v>5978</v>
      </c>
      <c r="G1075" t="s">
        <v>5979</v>
      </c>
      <c r="H1075" t="s">
        <v>4929</v>
      </c>
    </row>
    <row r="1076" spans="1:8" x14ac:dyDescent="0.3">
      <c r="A1076" t="s">
        <v>6011</v>
      </c>
      <c r="B1076" s="1">
        <v>45063</v>
      </c>
      <c r="C1076" t="s">
        <v>5976</v>
      </c>
      <c r="D1076" t="s">
        <v>5977</v>
      </c>
      <c r="E1076">
        <v>72.78</v>
      </c>
      <c r="F1076" t="s">
        <v>5978</v>
      </c>
      <c r="G1076" t="s">
        <v>5979</v>
      </c>
      <c r="H1076" t="s">
        <v>4929</v>
      </c>
    </row>
    <row r="1077" spans="1:8" x14ac:dyDescent="0.3">
      <c r="A1077" t="s">
        <v>6012</v>
      </c>
      <c r="B1077" s="1">
        <v>45064</v>
      </c>
      <c r="C1077" t="s">
        <v>5976</v>
      </c>
      <c r="D1077" t="s">
        <v>5977</v>
      </c>
      <c r="E1077">
        <v>71.819999999999993</v>
      </c>
      <c r="F1077" t="s">
        <v>5978</v>
      </c>
      <c r="G1077" t="s">
        <v>5979</v>
      </c>
      <c r="H1077" t="s">
        <v>4929</v>
      </c>
    </row>
    <row r="1078" spans="1:8" x14ac:dyDescent="0.3">
      <c r="A1078" t="s">
        <v>6013</v>
      </c>
      <c r="B1078" s="1">
        <v>45065</v>
      </c>
      <c r="C1078" t="s">
        <v>5976</v>
      </c>
      <c r="D1078" t="s">
        <v>5977</v>
      </c>
      <c r="E1078">
        <v>71.569999999999993</v>
      </c>
      <c r="F1078" t="s">
        <v>5978</v>
      </c>
      <c r="G1078" t="s">
        <v>5979</v>
      </c>
      <c r="H1078" t="s">
        <v>4929</v>
      </c>
    </row>
    <row r="1079" spans="1:8" x14ac:dyDescent="0.3">
      <c r="A1079" t="s">
        <v>6014</v>
      </c>
      <c r="B1079" s="1">
        <v>45068</v>
      </c>
      <c r="C1079" t="s">
        <v>5976</v>
      </c>
      <c r="D1079" t="s">
        <v>5977</v>
      </c>
      <c r="E1079">
        <v>71.81</v>
      </c>
      <c r="F1079" t="s">
        <v>5978</v>
      </c>
      <c r="G1079" t="s">
        <v>5979</v>
      </c>
      <c r="H1079" t="s">
        <v>4929</v>
      </c>
    </row>
    <row r="1080" spans="1:8" x14ac:dyDescent="0.3">
      <c r="A1080" t="s">
        <v>6015</v>
      </c>
      <c r="B1080" s="1">
        <v>45069</v>
      </c>
      <c r="C1080" t="s">
        <v>5976</v>
      </c>
      <c r="D1080" t="s">
        <v>5977</v>
      </c>
      <c r="E1080">
        <v>72.87</v>
      </c>
      <c r="F1080" t="s">
        <v>5978</v>
      </c>
      <c r="G1080" t="s">
        <v>5979</v>
      </c>
      <c r="H1080" t="s">
        <v>4929</v>
      </c>
    </row>
    <row r="1081" spans="1:8" x14ac:dyDescent="0.3">
      <c r="A1081" t="s">
        <v>6016</v>
      </c>
      <c r="B1081" s="1">
        <v>45070</v>
      </c>
      <c r="C1081" t="s">
        <v>5976</v>
      </c>
      <c r="D1081" t="s">
        <v>5977</v>
      </c>
      <c r="E1081">
        <v>74.37</v>
      </c>
      <c r="F1081" t="s">
        <v>5978</v>
      </c>
      <c r="G1081" t="s">
        <v>5979</v>
      </c>
      <c r="H1081" t="s">
        <v>4929</v>
      </c>
    </row>
    <row r="1082" spans="1:8" x14ac:dyDescent="0.3">
      <c r="A1082" t="s">
        <v>6017</v>
      </c>
      <c r="B1082" s="1">
        <v>45071</v>
      </c>
      <c r="C1082" t="s">
        <v>5976</v>
      </c>
      <c r="D1082" t="s">
        <v>5977</v>
      </c>
      <c r="E1082">
        <v>71.680000000000007</v>
      </c>
      <c r="F1082" t="s">
        <v>5978</v>
      </c>
      <c r="G1082" t="s">
        <v>5979</v>
      </c>
      <c r="H1082" t="s">
        <v>4929</v>
      </c>
    </row>
    <row r="1083" spans="1:8" x14ac:dyDescent="0.3">
      <c r="A1083" t="s">
        <v>6018</v>
      </c>
      <c r="B1083" s="1">
        <v>45072</v>
      </c>
      <c r="C1083" t="s">
        <v>5976</v>
      </c>
      <c r="D1083" t="s">
        <v>5977</v>
      </c>
      <c r="E1083">
        <v>72.349999999999994</v>
      </c>
      <c r="F1083" t="s">
        <v>5978</v>
      </c>
      <c r="G1083" t="s">
        <v>5979</v>
      </c>
      <c r="H1083" t="s">
        <v>4929</v>
      </c>
    </row>
    <row r="1084" spans="1:8" x14ac:dyDescent="0.3">
      <c r="A1084" t="s">
        <v>6019</v>
      </c>
      <c r="B1084" s="1">
        <v>45075</v>
      </c>
      <c r="C1084" t="s">
        <v>5976</v>
      </c>
      <c r="D1084" t="s">
        <v>5977</v>
      </c>
      <c r="E1084">
        <v>72.349999999999994</v>
      </c>
      <c r="F1084" t="s">
        <v>5978</v>
      </c>
      <c r="G1084" t="s">
        <v>5979</v>
      </c>
      <c r="H1084" t="s">
        <v>4970</v>
      </c>
    </row>
    <row r="1085" spans="1:8" x14ac:dyDescent="0.3">
      <c r="A1085" t="s">
        <v>6020</v>
      </c>
      <c r="B1085" s="1">
        <v>45076</v>
      </c>
      <c r="C1085" t="s">
        <v>5976</v>
      </c>
      <c r="D1085" t="s">
        <v>5977</v>
      </c>
      <c r="E1085">
        <v>69.45</v>
      </c>
      <c r="F1085" t="s">
        <v>5978</v>
      </c>
      <c r="G1085" t="s">
        <v>5979</v>
      </c>
      <c r="H1085" t="s">
        <v>4929</v>
      </c>
    </row>
    <row r="1086" spans="1:8" x14ac:dyDescent="0.3">
      <c r="A1086" t="s">
        <v>6021</v>
      </c>
      <c r="B1086" s="1">
        <v>45077</v>
      </c>
      <c r="C1086" t="s">
        <v>5976</v>
      </c>
      <c r="D1086" t="s">
        <v>5977</v>
      </c>
      <c r="E1086">
        <v>68.11</v>
      </c>
      <c r="F1086" t="s">
        <v>5978</v>
      </c>
      <c r="G1086" t="s">
        <v>5979</v>
      </c>
      <c r="H1086" t="s">
        <v>4929</v>
      </c>
    </row>
    <row r="1087" spans="1:8" x14ac:dyDescent="0.3">
      <c r="A1087" t="s">
        <v>6022</v>
      </c>
      <c r="B1087" s="1">
        <v>45078</v>
      </c>
      <c r="C1087" t="s">
        <v>5976</v>
      </c>
      <c r="D1087" t="s">
        <v>5977</v>
      </c>
      <c r="E1087">
        <v>70.09</v>
      </c>
      <c r="F1087" t="s">
        <v>5978</v>
      </c>
      <c r="G1087" t="s">
        <v>5979</v>
      </c>
      <c r="H1087" t="s">
        <v>4929</v>
      </c>
    </row>
    <row r="1088" spans="1:8" x14ac:dyDescent="0.3">
      <c r="A1088" t="s">
        <v>6023</v>
      </c>
      <c r="B1088" s="1">
        <v>45079</v>
      </c>
      <c r="C1088" t="s">
        <v>5976</v>
      </c>
      <c r="D1088" t="s">
        <v>5977</v>
      </c>
      <c r="E1088">
        <v>71.760000000000005</v>
      </c>
      <c r="F1088" t="s">
        <v>5978</v>
      </c>
      <c r="G1088" t="s">
        <v>5979</v>
      </c>
      <c r="H1088" t="s">
        <v>4929</v>
      </c>
    </row>
    <row r="1089" spans="1:8" x14ac:dyDescent="0.3">
      <c r="A1089" t="s">
        <v>6024</v>
      </c>
      <c r="B1089" s="1">
        <v>45082</v>
      </c>
      <c r="C1089" t="s">
        <v>5976</v>
      </c>
      <c r="D1089" t="s">
        <v>5977</v>
      </c>
      <c r="E1089">
        <v>72.14</v>
      </c>
      <c r="F1089" t="s">
        <v>5978</v>
      </c>
      <c r="G1089" t="s">
        <v>5979</v>
      </c>
      <c r="H1089" t="s">
        <v>4929</v>
      </c>
    </row>
    <row r="1090" spans="1:8" x14ac:dyDescent="0.3">
      <c r="A1090" t="s">
        <v>6025</v>
      </c>
      <c r="B1090" s="1">
        <v>45083</v>
      </c>
      <c r="C1090" t="s">
        <v>5976</v>
      </c>
      <c r="D1090" t="s">
        <v>5977</v>
      </c>
      <c r="E1090">
        <v>71.709999999999994</v>
      </c>
      <c r="F1090" t="s">
        <v>5978</v>
      </c>
      <c r="G1090" t="s">
        <v>5979</v>
      </c>
      <c r="H1090" t="s">
        <v>4929</v>
      </c>
    </row>
    <row r="1091" spans="1:8" x14ac:dyDescent="0.3">
      <c r="A1091" t="s">
        <v>6026</v>
      </c>
      <c r="B1091" s="1">
        <v>45084</v>
      </c>
      <c r="C1091" t="s">
        <v>5976</v>
      </c>
      <c r="D1091" t="s">
        <v>5977</v>
      </c>
      <c r="E1091">
        <v>72.52</v>
      </c>
      <c r="F1091" t="s">
        <v>5978</v>
      </c>
      <c r="G1091" t="s">
        <v>5979</v>
      </c>
      <c r="H1091" t="s">
        <v>4929</v>
      </c>
    </row>
    <row r="1092" spans="1:8" x14ac:dyDescent="0.3">
      <c r="A1092" t="s">
        <v>6027</v>
      </c>
      <c r="B1092" s="1">
        <v>45085</v>
      </c>
      <c r="C1092" t="s">
        <v>5976</v>
      </c>
      <c r="D1092" t="s">
        <v>5977</v>
      </c>
      <c r="E1092">
        <v>71.28</v>
      </c>
      <c r="F1092" t="s">
        <v>5978</v>
      </c>
      <c r="G1092" t="s">
        <v>5979</v>
      </c>
      <c r="H1092" t="s">
        <v>4929</v>
      </c>
    </row>
    <row r="1093" spans="1:8" x14ac:dyDescent="0.3">
      <c r="A1093" t="s">
        <v>6028</v>
      </c>
      <c r="B1093" s="1">
        <v>45086</v>
      </c>
      <c r="C1093" t="s">
        <v>5976</v>
      </c>
      <c r="D1093" t="s">
        <v>5977</v>
      </c>
      <c r="E1093">
        <v>70.16</v>
      </c>
      <c r="F1093" t="s">
        <v>5978</v>
      </c>
      <c r="G1093" t="s">
        <v>5979</v>
      </c>
      <c r="H1093" t="s">
        <v>4929</v>
      </c>
    </row>
    <row r="1094" spans="1:8" x14ac:dyDescent="0.3">
      <c r="A1094" t="s">
        <v>6029</v>
      </c>
      <c r="B1094" s="1">
        <v>45089</v>
      </c>
      <c r="C1094" t="s">
        <v>5976</v>
      </c>
      <c r="D1094" t="s">
        <v>5977</v>
      </c>
      <c r="E1094">
        <v>67.08</v>
      </c>
      <c r="F1094" t="s">
        <v>5978</v>
      </c>
      <c r="G1094" t="s">
        <v>5979</v>
      </c>
      <c r="H1094" t="s">
        <v>4929</v>
      </c>
    </row>
    <row r="1095" spans="1:8" x14ac:dyDescent="0.3">
      <c r="A1095" t="s">
        <v>6030</v>
      </c>
      <c r="B1095" s="1">
        <v>45090</v>
      </c>
      <c r="C1095" t="s">
        <v>5976</v>
      </c>
      <c r="D1095" t="s">
        <v>5977</v>
      </c>
      <c r="E1095">
        <v>69.39</v>
      </c>
      <c r="F1095" t="s">
        <v>5978</v>
      </c>
      <c r="G1095" t="s">
        <v>5979</v>
      </c>
      <c r="H1095" t="s">
        <v>4929</v>
      </c>
    </row>
    <row r="1096" spans="1:8" x14ac:dyDescent="0.3">
      <c r="A1096" t="s">
        <v>6031</v>
      </c>
      <c r="B1096" s="1">
        <v>45091</v>
      </c>
      <c r="C1096" t="s">
        <v>5976</v>
      </c>
      <c r="D1096" t="s">
        <v>5977</v>
      </c>
      <c r="E1096">
        <v>68.22</v>
      </c>
      <c r="F1096" t="s">
        <v>5978</v>
      </c>
      <c r="G1096" t="s">
        <v>5979</v>
      </c>
      <c r="H1096" t="s">
        <v>4929</v>
      </c>
    </row>
    <row r="1097" spans="1:8" x14ac:dyDescent="0.3">
      <c r="A1097" t="s">
        <v>6032</v>
      </c>
      <c r="B1097" s="1">
        <v>45092</v>
      </c>
      <c r="C1097" t="s">
        <v>5976</v>
      </c>
      <c r="D1097" t="s">
        <v>5977</v>
      </c>
      <c r="E1097">
        <v>70.61</v>
      </c>
      <c r="F1097" t="s">
        <v>5978</v>
      </c>
      <c r="G1097" t="s">
        <v>5979</v>
      </c>
      <c r="H1097" t="s">
        <v>4929</v>
      </c>
    </row>
    <row r="1098" spans="1:8" x14ac:dyDescent="0.3">
      <c r="A1098" t="s">
        <v>6033</v>
      </c>
      <c r="B1098" s="1">
        <v>45093</v>
      </c>
      <c r="C1098" t="s">
        <v>5976</v>
      </c>
      <c r="D1098" t="s">
        <v>5977</v>
      </c>
      <c r="E1098">
        <v>71.81</v>
      </c>
      <c r="F1098" t="s">
        <v>5978</v>
      </c>
      <c r="G1098" t="s">
        <v>5979</v>
      </c>
      <c r="H1098" t="s">
        <v>4929</v>
      </c>
    </row>
    <row r="1099" spans="1:8" x14ac:dyDescent="0.3">
      <c r="A1099" t="s">
        <v>6034</v>
      </c>
      <c r="B1099" s="1">
        <v>45096</v>
      </c>
      <c r="C1099" t="s">
        <v>5976</v>
      </c>
      <c r="D1099" t="s">
        <v>5977</v>
      </c>
      <c r="E1099">
        <v>71.81</v>
      </c>
      <c r="F1099" t="s">
        <v>5978</v>
      </c>
      <c r="G1099" t="s">
        <v>5979</v>
      </c>
      <c r="H1099" t="s">
        <v>4970</v>
      </c>
    </row>
    <row r="1100" spans="1:8" x14ac:dyDescent="0.3">
      <c r="A1100" t="s">
        <v>6035</v>
      </c>
      <c r="B1100" s="1">
        <v>45097</v>
      </c>
      <c r="C1100" t="s">
        <v>5976</v>
      </c>
      <c r="D1100" t="s">
        <v>5977</v>
      </c>
      <c r="E1100">
        <v>70.94</v>
      </c>
      <c r="F1100" t="s">
        <v>5978</v>
      </c>
      <c r="G1100" t="s">
        <v>5979</v>
      </c>
      <c r="H1100" t="s">
        <v>4929</v>
      </c>
    </row>
    <row r="1101" spans="1:8" x14ac:dyDescent="0.3">
      <c r="A1101" t="s">
        <v>6036</v>
      </c>
      <c r="B1101" s="1">
        <v>45098</v>
      </c>
      <c r="C1101" t="s">
        <v>5976</v>
      </c>
      <c r="D1101" t="s">
        <v>5977</v>
      </c>
      <c r="E1101">
        <v>72.55</v>
      </c>
      <c r="F1101" t="s">
        <v>5978</v>
      </c>
      <c r="G1101" t="s">
        <v>5979</v>
      </c>
      <c r="H1101" t="s">
        <v>4929</v>
      </c>
    </row>
    <row r="1102" spans="1:8" x14ac:dyDescent="0.3">
      <c r="A1102" t="s">
        <v>6037</v>
      </c>
      <c r="B1102" s="1">
        <v>45099</v>
      </c>
      <c r="C1102" t="s">
        <v>5976</v>
      </c>
      <c r="D1102" t="s">
        <v>5977</v>
      </c>
      <c r="E1102">
        <v>69.22</v>
      </c>
      <c r="F1102" t="s">
        <v>5978</v>
      </c>
      <c r="G1102" t="s">
        <v>5979</v>
      </c>
      <c r="H1102" t="s">
        <v>4929</v>
      </c>
    </row>
    <row r="1103" spans="1:8" x14ac:dyDescent="0.3">
      <c r="A1103" t="s">
        <v>6038</v>
      </c>
      <c r="B1103" s="1">
        <v>45100</v>
      </c>
      <c r="C1103" t="s">
        <v>5976</v>
      </c>
      <c r="D1103" t="s">
        <v>5977</v>
      </c>
      <c r="E1103">
        <v>68.91</v>
      </c>
      <c r="F1103" t="s">
        <v>5978</v>
      </c>
      <c r="G1103" t="s">
        <v>5979</v>
      </c>
      <c r="H1103" t="s">
        <v>4929</v>
      </c>
    </row>
    <row r="1104" spans="1:8" x14ac:dyDescent="0.3">
      <c r="A1104" t="s">
        <v>6039</v>
      </c>
      <c r="B1104" s="1">
        <v>45103</v>
      </c>
      <c r="C1104" t="s">
        <v>5976</v>
      </c>
      <c r="D1104" t="s">
        <v>5977</v>
      </c>
      <c r="E1104">
        <v>69.09</v>
      </c>
      <c r="F1104" t="s">
        <v>5978</v>
      </c>
      <c r="G1104" t="s">
        <v>5979</v>
      </c>
      <c r="H1104" t="s">
        <v>4929</v>
      </c>
    </row>
    <row r="1105" spans="1:8" x14ac:dyDescent="0.3">
      <c r="A1105" t="s">
        <v>6040</v>
      </c>
      <c r="B1105" s="1">
        <v>45104</v>
      </c>
      <c r="C1105" t="s">
        <v>5976</v>
      </c>
      <c r="D1105" t="s">
        <v>5977</v>
      </c>
      <c r="E1105">
        <v>67.680000000000007</v>
      </c>
      <c r="F1105" t="s">
        <v>5978</v>
      </c>
      <c r="G1105" t="s">
        <v>5979</v>
      </c>
      <c r="H1105" t="s">
        <v>4929</v>
      </c>
    </row>
    <row r="1106" spans="1:8" x14ac:dyDescent="0.3">
      <c r="A1106" t="s">
        <v>6041</v>
      </c>
      <c r="B1106" s="1">
        <v>45105</v>
      </c>
      <c r="C1106" t="s">
        <v>5976</v>
      </c>
      <c r="D1106" t="s">
        <v>5977</v>
      </c>
      <c r="E1106">
        <v>69.540000000000006</v>
      </c>
      <c r="F1106" t="s">
        <v>5978</v>
      </c>
      <c r="G1106" t="s">
        <v>5979</v>
      </c>
      <c r="H1106" t="s">
        <v>4929</v>
      </c>
    </row>
    <row r="1107" spans="1:8" x14ac:dyDescent="0.3">
      <c r="A1107" t="s">
        <v>6042</v>
      </c>
      <c r="B1107" s="1">
        <v>45106</v>
      </c>
      <c r="C1107" t="s">
        <v>5976</v>
      </c>
      <c r="D1107" t="s">
        <v>5977</v>
      </c>
      <c r="E1107">
        <v>69.849999999999994</v>
      </c>
      <c r="F1107" t="s">
        <v>5978</v>
      </c>
      <c r="G1107" t="s">
        <v>5979</v>
      </c>
      <c r="H1107" t="s">
        <v>4929</v>
      </c>
    </row>
    <row r="1108" spans="1:8" x14ac:dyDescent="0.3">
      <c r="A1108" t="s">
        <v>6043</v>
      </c>
      <c r="B1108" s="1">
        <v>45107</v>
      </c>
      <c r="C1108" t="s">
        <v>5976</v>
      </c>
      <c r="D1108" t="s">
        <v>5977</v>
      </c>
      <c r="E1108">
        <v>70.66</v>
      </c>
      <c r="F1108" t="s">
        <v>5978</v>
      </c>
      <c r="G1108" t="s">
        <v>5979</v>
      </c>
      <c r="H1108" t="s">
        <v>4929</v>
      </c>
    </row>
    <row r="1109" spans="1:8" x14ac:dyDescent="0.3">
      <c r="A1109" t="s">
        <v>6044</v>
      </c>
      <c r="B1109" s="1">
        <v>45110</v>
      </c>
      <c r="C1109" t="s">
        <v>5976</v>
      </c>
      <c r="D1109" t="s">
        <v>5977</v>
      </c>
      <c r="E1109">
        <v>69.709999999999994</v>
      </c>
      <c r="F1109" t="s">
        <v>5978</v>
      </c>
      <c r="G1109" t="s">
        <v>5979</v>
      </c>
      <c r="H1109" t="s">
        <v>4929</v>
      </c>
    </row>
    <row r="1110" spans="1:8" x14ac:dyDescent="0.3">
      <c r="A1110" t="s">
        <v>6045</v>
      </c>
      <c r="B1110" s="1">
        <v>45111</v>
      </c>
      <c r="C1110" t="s">
        <v>5976</v>
      </c>
      <c r="D1110" t="s">
        <v>5977</v>
      </c>
      <c r="E1110">
        <v>69.709999999999994</v>
      </c>
      <c r="F1110" t="s">
        <v>5978</v>
      </c>
      <c r="G1110" t="s">
        <v>5979</v>
      </c>
      <c r="H1110" t="s">
        <v>4970</v>
      </c>
    </row>
    <row r="1111" spans="1:8" x14ac:dyDescent="0.3">
      <c r="A1111" t="s">
        <v>6046</v>
      </c>
      <c r="B1111" s="1">
        <v>45112</v>
      </c>
      <c r="C1111" t="s">
        <v>5976</v>
      </c>
      <c r="D1111" t="s">
        <v>5977</v>
      </c>
      <c r="E1111">
        <v>71.78</v>
      </c>
      <c r="F1111" t="s">
        <v>5978</v>
      </c>
      <c r="G1111" t="s">
        <v>5979</v>
      </c>
      <c r="H1111" t="s">
        <v>4929</v>
      </c>
    </row>
    <row r="1112" spans="1:8" x14ac:dyDescent="0.3">
      <c r="A1112" t="s">
        <v>6047</v>
      </c>
      <c r="B1112" s="1">
        <v>45113</v>
      </c>
      <c r="C1112" t="s">
        <v>5976</v>
      </c>
      <c r="D1112" t="s">
        <v>5977</v>
      </c>
      <c r="E1112">
        <v>71.760000000000005</v>
      </c>
      <c r="F1112" t="s">
        <v>5978</v>
      </c>
      <c r="G1112" t="s">
        <v>5979</v>
      </c>
      <c r="H1112" t="s">
        <v>4929</v>
      </c>
    </row>
    <row r="1113" spans="1:8" x14ac:dyDescent="0.3">
      <c r="A1113" t="s">
        <v>6048</v>
      </c>
      <c r="B1113" s="1">
        <v>45114</v>
      </c>
      <c r="C1113" t="s">
        <v>5976</v>
      </c>
      <c r="D1113" t="s">
        <v>5977</v>
      </c>
      <c r="E1113">
        <v>73.91</v>
      </c>
      <c r="F1113" t="s">
        <v>5978</v>
      </c>
      <c r="G1113" t="s">
        <v>5979</v>
      </c>
      <c r="H1113" t="s">
        <v>4929</v>
      </c>
    </row>
    <row r="1114" spans="1:8" x14ac:dyDescent="0.3">
      <c r="A1114" t="s">
        <v>6049</v>
      </c>
      <c r="B1114" s="1">
        <v>45117</v>
      </c>
      <c r="C1114" t="s">
        <v>5976</v>
      </c>
      <c r="D1114" t="s">
        <v>5977</v>
      </c>
      <c r="E1114">
        <v>73.05</v>
      </c>
      <c r="F1114" t="s">
        <v>5978</v>
      </c>
      <c r="G1114" t="s">
        <v>5979</v>
      </c>
      <c r="H1114" t="s">
        <v>4929</v>
      </c>
    </row>
    <row r="1115" spans="1:8" x14ac:dyDescent="0.3">
      <c r="A1115" t="s">
        <v>6050</v>
      </c>
      <c r="B1115" s="1">
        <v>45118</v>
      </c>
      <c r="C1115" t="s">
        <v>5976</v>
      </c>
      <c r="D1115" t="s">
        <v>5977</v>
      </c>
      <c r="E1115">
        <v>74.87</v>
      </c>
      <c r="F1115" t="s">
        <v>5978</v>
      </c>
      <c r="G1115" t="s">
        <v>5979</v>
      </c>
      <c r="H1115" t="s">
        <v>4929</v>
      </c>
    </row>
    <row r="1116" spans="1:8" x14ac:dyDescent="0.3">
      <c r="A1116" t="s">
        <v>6051</v>
      </c>
      <c r="B1116" s="1">
        <v>45119</v>
      </c>
      <c r="C1116" t="s">
        <v>5976</v>
      </c>
      <c r="D1116" t="s">
        <v>5977</v>
      </c>
      <c r="E1116">
        <v>75.77</v>
      </c>
      <c r="F1116" t="s">
        <v>5978</v>
      </c>
      <c r="G1116" t="s">
        <v>5979</v>
      </c>
      <c r="H1116" t="s">
        <v>4929</v>
      </c>
    </row>
    <row r="1117" spans="1:8" x14ac:dyDescent="0.3">
      <c r="A1117" t="s">
        <v>6052</v>
      </c>
      <c r="B1117" s="1">
        <v>45120</v>
      </c>
      <c r="C1117" t="s">
        <v>5976</v>
      </c>
      <c r="D1117" t="s">
        <v>5977</v>
      </c>
      <c r="E1117">
        <v>76.86</v>
      </c>
      <c r="F1117" t="s">
        <v>5978</v>
      </c>
      <c r="G1117" t="s">
        <v>5979</v>
      </c>
      <c r="H1117" t="s">
        <v>4929</v>
      </c>
    </row>
    <row r="1118" spans="1:8" x14ac:dyDescent="0.3">
      <c r="A1118" t="s">
        <v>6053</v>
      </c>
      <c r="B1118" s="1">
        <v>45121</v>
      </c>
      <c r="C1118" t="s">
        <v>5976</v>
      </c>
      <c r="D1118" t="s">
        <v>5977</v>
      </c>
      <c r="E1118">
        <v>75.44</v>
      </c>
      <c r="F1118" t="s">
        <v>5978</v>
      </c>
      <c r="G1118" t="s">
        <v>5979</v>
      </c>
      <c r="H1118" t="s">
        <v>4929</v>
      </c>
    </row>
    <row r="1119" spans="1:8" x14ac:dyDescent="0.3">
      <c r="A1119" t="s">
        <v>6054</v>
      </c>
      <c r="B1119" s="1">
        <v>45124</v>
      </c>
      <c r="C1119" t="s">
        <v>5976</v>
      </c>
      <c r="D1119" t="s">
        <v>5977</v>
      </c>
      <c r="E1119">
        <v>74.17</v>
      </c>
      <c r="F1119" t="s">
        <v>5978</v>
      </c>
      <c r="G1119" t="s">
        <v>5979</v>
      </c>
      <c r="H1119" t="s">
        <v>4929</v>
      </c>
    </row>
    <row r="1120" spans="1:8" x14ac:dyDescent="0.3">
      <c r="A1120" t="s">
        <v>6055</v>
      </c>
      <c r="B1120" s="1">
        <v>45125</v>
      </c>
      <c r="C1120" t="s">
        <v>5976</v>
      </c>
      <c r="D1120" t="s">
        <v>5977</v>
      </c>
      <c r="E1120">
        <v>75.760000000000005</v>
      </c>
      <c r="F1120" t="s">
        <v>5978</v>
      </c>
      <c r="G1120" t="s">
        <v>5979</v>
      </c>
      <c r="H1120" t="s">
        <v>4929</v>
      </c>
    </row>
    <row r="1121" spans="1:8" x14ac:dyDescent="0.3">
      <c r="A1121" t="s">
        <v>6056</v>
      </c>
      <c r="B1121" s="1">
        <v>45126</v>
      </c>
      <c r="C1121" t="s">
        <v>5976</v>
      </c>
      <c r="D1121" t="s">
        <v>5977</v>
      </c>
      <c r="E1121">
        <v>75.400000000000006</v>
      </c>
      <c r="F1121" t="s">
        <v>5978</v>
      </c>
      <c r="G1121" t="s">
        <v>5979</v>
      </c>
      <c r="H1121" t="s">
        <v>4929</v>
      </c>
    </row>
    <row r="1122" spans="1:8" x14ac:dyDescent="0.3">
      <c r="A1122" t="s">
        <v>6057</v>
      </c>
      <c r="B1122" s="1">
        <v>45127</v>
      </c>
      <c r="C1122" t="s">
        <v>5976</v>
      </c>
      <c r="D1122" t="s">
        <v>5977</v>
      </c>
      <c r="E1122">
        <v>75.650000000000006</v>
      </c>
      <c r="F1122" t="s">
        <v>5978</v>
      </c>
      <c r="G1122" t="s">
        <v>5979</v>
      </c>
      <c r="H1122" t="s">
        <v>4929</v>
      </c>
    </row>
    <row r="1123" spans="1:8" x14ac:dyDescent="0.3">
      <c r="A1123" t="s">
        <v>6058</v>
      </c>
      <c r="B1123" s="1">
        <v>45128</v>
      </c>
      <c r="C1123" t="s">
        <v>5976</v>
      </c>
      <c r="D1123" t="s">
        <v>5977</v>
      </c>
      <c r="E1123">
        <v>77.06</v>
      </c>
      <c r="F1123" t="s">
        <v>5978</v>
      </c>
      <c r="G1123" t="s">
        <v>5979</v>
      </c>
      <c r="H1123" t="s">
        <v>4929</v>
      </c>
    </row>
    <row r="1124" spans="1:8" x14ac:dyDescent="0.3">
      <c r="A1124" t="s">
        <v>6059</v>
      </c>
      <c r="B1124" s="1">
        <v>45131</v>
      </c>
      <c r="C1124" t="s">
        <v>5976</v>
      </c>
      <c r="D1124" t="s">
        <v>5977</v>
      </c>
      <c r="E1124">
        <v>78.81</v>
      </c>
      <c r="F1124" t="s">
        <v>5978</v>
      </c>
      <c r="G1124" t="s">
        <v>5979</v>
      </c>
      <c r="H1124" t="s">
        <v>4929</v>
      </c>
    </row>
    <row r="1125" spans="1:8" x14ac:dyDescent="0.3">
      <c r="A1125" t="s">
        <v>6060</v>
      </c>
      <c r="B1125" s="1">
        <v>45132</v>
      </c>
      <c r="C1125" t="s">
        <v>5976</v>
      </c>
      <c r="D1125" t="s">
        <v>5977</v>
      </c>
      <c r="E1125">
        <v>79.760000000000005</v>
      </c>
      <c r="F1125" t="s">
        <v>5978</v>
      </c>
      <c r="G1125" t="s">
        <v>5979</v>
      </c>
      <c r="H1125" t="s">
        <v>4929</v>
      </c>
    </row>
    <row r="1126" spans="1:8" x14ac:dyDescent="0.3">
      <c r="A1126" t="s">
        <v>6061</v>
      </c>
      <c r="B1126" s="1">
        <v>45133</v>
      </c>
      <c r="C1126" t="s">
        <v>5976</v>
      </c>
      <c r="D1126" t="s">
        <v>5977</v>
      </c>
      <c r="E1126">
        <v>79.11</v>
      </c>
      <c r="F1126" t="s">
        <v>5978</v>
      </c>
      <c r="G1126" t="s">
        <v>5979</v>
      </c>
      <c r="H1126" t="s">
        <v>4929</v>
      </c>
    </row>
    <row r="1127" spans="1:8" x14ac:dyDescent="0.3">
      <c r="A1127" t="s">
        <v>6062</v>
      </c>
      <c r="B1127" s="1">
        <v>45134</v>
      </c>
      <c r="C1127" t="s">
        <v>5976</v>
      </c>
      <c r="D1127" t="s">
        <v>5977</v>
      </c>
      <c r="E1127">
        <v>80.17</v>
      </c>
      <c r="F1127" t="s">
        <v>5978</v>
      </c>
      <c r="G1127" t="s">
        <v>5979</v>
      </c>
      <c r="H1127" t="s">
        <v>4929</v>
      </c>
    </row>
    <row r="1128" spans="1:8" x14ac:dyDescent="0.3">
      <c r="A1128" t="s">
        <v>6063</v>
      </c>
      <c r="B1128" s="1">
        <v>45135</v>
      </c>
      <c r="C1128" t="s">
        <v>5976</v>
      </c>
      <c r="D1128" t="s">
        <v>5977</v>
      </c>
      <c r="E1128">
        <v>80.55</v>
      </c>
      <c r="F1128" t="s">
        <v>5978</v>
      </c>
      <c r="G1128" t="s">
        <v>5979</v>
      </c>
      <c r="H1128" t="s">
        <v>4929</v>
      </c>
    </row>
    <row r="1129" spans="1:8" x14ac:dyDescent="0.3">
      <c r="A1129" t="s">
        <v>6064</v>
      </c>
      <c r="B1129" s="1">
        <v>45138</v>
      </c>
      <c r="C1129" t="s">
        <v>5976</v>
      </c>
      <c r="D1129" t="s">
        <v>5977</v>
      </c>
      <c r="E1129">
        <v>81.8</v>
      </c>
      <c r="F1129" t="s">
        <v>5978</v>
      </c>
      <c r="G1129" t="s">
        <v>5979</v>
      </c>
      <c r="H1129" t="s">
        <v>4929</v>
      </c>
    </row>
    <row r="1130" spans="1:8" x14ac:dyDescent="0.3">
      <c r="A1130" t="s">
        <v>6065</v>
      </c>
      <c r="B1130" s="1">
        <v>45139</v>
      </c>
      <c r="C1130" t="s">
        <v>5976</v>
      </c>
      <c r="D1130" t="s">
        <v>5977</v>
      </c>
      <c r="E1130">
        <v>81.37</v>
      </c>
      <c r="F1130" t="s">
        <v>5978</v>
      </c>
      <c r="G1130" t="s">
        <v>5979</v>
      </c>
      <c r="H1130" t="s">
        <v>4929</v>
      </c>
    </row>
    <row r="1131" spans="1:8" x14ac:dyDescent="0.3">
      <c r="A1131" t="s">
        <v>6066</v>
      </c>
      <c r="B1131" s="1">
        <v>45140</v>
      </c>
      <c r="C1131" t="s">
        <v>5976</v>
      </c>
      <c r="D1131" t="s">
        <v>5977</v>
      </c>
      <c r="E1131">
        <v>79.5</v>
      </c>
      <c r="F1131" t="s">
        <v>5978</v>
      </c>
      <c r="G1131" t="s">
        <v>5979</v>
      </c>
      <c r="H1131" t="s">
        <v>4929</v>
      </c>
    </row>
    <row r="1132" spans="1:8" x14ac:dyDescent="0.3">
      <c r="A1132" t="s">
        <v>6067</v>
      </c>
      <c r="B1132" s="1">
        <v>45141</v>
      </c>
      <c r="C1132" t="s">
        <v>5976</v>
      </c>
      <c r="D1132" t="s">
        <v>5977</v>
      </c>
      <c r="E1132">
        <v>81.56</v>
      </c>
      <c r="F1132" t="s">
        <v>5978</v>
      </c>
      <c r="G1132" t="s">
        <v>5979</v>
      </c>
      <c r="H1132" t="s">
        <v>4929</v>
      </c>
    </row>
    <row r="1133" spans="1:8" x14ac:dyDescent="0.3">
      <c r="A1133" t="s">
        <v>6068</v>
      </c>
      <c r="B1133" s="1">
        <v>45142</v>
      </c>
      <c r="C1133" t="s">
        <v>5976</v>
      </c>
      <c r="D1133" t="s">
        <v>5977</v>
      </c>
      <c r="E1133">
        <v>82.76</v>
      </c>
      <c r="F1133" t="s">
        <v>5978</v>
      </c>
      <c r="G1133" t="s">
        <v>5979</v>
      </c>
      <c r="H1133" t="s">
        <v>4929</v>
      </c>
    </row>
    <row r="1134" spans="1:8" x14ac:dyDescent="0.3">
      <c r="A1134" t="s">
        <v>6069</v>
      </c>
      <c r="B1134" s="1">
        <v>45145</v>
      </c>
      <c r="C1134" t="s">
        <v>5976</v>
      </c>
      <c r="D1134" t="s">
        <v>5977</v>
      </c>
      <c r="E1134">
        <v>81.94</v>
      </c>
      <c r="F1134" t="s">
        <v>5978</v>
      </c>
      <c r="G1134" t="s">
        <v>5979</v>
      </c>
      <c r="H1134" t="s">
        <v>4929</v>
      </c>
    </row>
    <row r="1135" spans="1:8" x14ac:dyDescent="0.3">
      <c r="A1135" t="s">
        <v>6070</v>
      </c>
      <c r="B1135" s="1">
        <v>45146</v>
      </c>
      <c r="C1135" t="s">
        <v>5976</v>
      </c>
      <c r="D1135" t="s">
        <v>5977</v>
      </c>
      <c r="E1135">
        <v>82.94</v>
      </c>
      <c r="F1135" t="s">
        <v>5978</v>
      </c>
      <c r="G1135" t="s">
        <v>5979</v>
      </c>
      <c r="H1135" t="s">
        <v>4929</v>
      </c>
    </row>
    <row r="1136" spans="1:8" x14ac:dyDescent="0.3">
      <c r="A1136" t="s">
        <v>6071</v>
      </c>
      <c r="B1136" s="1">
        <v>45147</v>
      </c>
      <c r="C1136" t="s">
        <v>5976</v>
      </c>
      <c r="D1136" t="s">
        <v>5977</v>
      </c>
      <c r="E1136">
        <v>84.35</v>
      </c>
      <c r="F1136" t="s">
        <v>5978</v>
      </c>
      <c r="G1136" t="s">
        <v>5979</v>
      </c>
      <c r="H1136" t="s">
        <v>4929</v>
      </c>
    </row>
    <row r="1137" spans="1:8" x14ac:dyDescent="0.3">
      <c r="A1137" t="s">
        <v>6072</v>
      </c>
      <c r="B1137" s="1">
        <v>45148</v>
      </c>
      <c r="C1137" t="s">
        <v>5976</v>
      </c>
      <c r="D1137" t="s">
        <v>5977</v>
      </c>
      <c r="E1137">
        <v>82.81</v>
      </c>
      <c r="F1137" t="s">
        <v>5978</v>
      </c>
      <c r="G1137" t="s">
        <v>5979</v>
      </c>
      <c r="H1137" t="s">
        <v>4929</v>
      </c>
    </row>
    <row r="1138" spans="1:8" x14ac:dyDescent="0.3">
      <c r="A1138" t="s">
        <v>6073</v>
      </c>
      <c r="B1138" s="1">
        <v>45149</v>
      </c>
      <c r="C1138" t="s">
        <v>5976</v>
      </c>
      <c r="D1138" t="s">
        <v>5977</v>
      </c>
      <c r="E1138">
        <v>83.17</v>
      </c>
      <c r="F1138" t="s">
        <v>5978</v>
      </c>
      <c r="G1138" t="s">
        <v>5979</v>
      </c>
      <c r="H1138" t="s">
        <v>4929</v>
      </c>
    </row>
    <row r="1139" spans="1:8" x14ac:dyDescent="0.3">
      <c r="A1139" t="s">
        <v>6074</v>
      </c>
      <c r="B1139" s="1">
        <v>45152</v>
      </c>
      <c r="C1139" t="s">
        <v>5976</v>
      </c>
      <c r="D1139" t="s">
        <v>5977</v>
      </c>
      <c r="E1139">
        <v>82.5</v>
      </c>
      <c r="F1139" t="s">
        <v>5978</v>
      </c>
      <c r="G1139" t="s">
        <v>5979</v>
      </c>
      <c r="H1139" t="s">
        <v>4929</v>
      </c>
    </row>
    <row r="1140" spans="1:8" x14ac:dyDescent="0.3">
      <c r="A1140" t="s">
        <v>6075</v>
      </c>
      <c r="B1140" s="1">
        <v>45153</v>
      </c>
      <c r="C1140" t="s">
        <v>5976</v>
      </c>
      <c r="D1140" t="s">
        <v>5977</v>
      </c>
      <c r="E1140">
        <v>81.06</v>
      </c>
      <c r="F1140" t="s">
        <v>5978</v>
      </c>
      <c r="G1140" t="s">
        <v>5979</v>
      </c>
      <c r="H1140" t="s">
        <v>4929</v>
      </c>
    </row>
    <row r="1141" spans="1:8" x14ac:dyDescent="0.3">
      <c r="A1141" t="s">
        <v>6076</v>
      </c>
      <c r="B1141" s="1">
        <v>45154</v>
      </c>
      <c r="C1141" t="s">
        <v>5976</v>
      </c>
      <c r="D1141" t="s">
        <v>5977</v>
      </c>
      <c r="E1141">
        <v>79.400000000000006</v>
      </c>
      <c r="F1141" t="s">
        <v>5978</v>
      </c>
      <c r="G1141" t="s">
        <v>5979</v>
      </c>
      <c r="H1141" t="s">
        <v>4929</v>
      </c>
    </row>
    <row r="1142" spans="1:8" x14ac:dyDescent="0.3">
      <c r="A1142" t="s">
        <v>6077</v>
      </c>
      <c r="B1142" s="1">
        <v>45155</v>
      </c>
      <c r="C1142" t="s">
        <v>5976</v>
      </c>
      <c r="D1142" t="s">
        <v>5977</v>
      </c>
      <c r="E1142">
        <v>80.430000000000007</v>
      </c>
      <c r="F1142" t="s">
        <v>5978</v>
      </c>
      <c r="G1142" t="s">
        <v>5979</v>
      </c>
      <c r="H1142" t="s">
        <v>4929</v>
      </c>
    </row>
    <row r="1143" spans="1:8" x14ac:dyDescent="0.3">
      <c r="A1143" t="s">
        <v>6078</v>
      </c>
      <c r="B1143" s="1">
        <v>45156</v>
      </c>
      <c r="C1143" t="s">
        <v>5976</v>
      </c>
      <c r="D1143" t="s">
        <v>5977</v>
      </c>
      <c r="E1143">
        <v>81.25</v>
      </c>
      <c r="F1143" t="s">
        <v>5978</v>
      </c>
      <c r="G1143" t="s">
        <v>5979</v>
      </c>
      <c r="H1143" t="s">
        <v>4929</v>
      </c>
    </row>
    <row r="1144" spans="1:8" x14ac:dyDescent="0.3">
      <c r="A1144" t="s">
        <v>6079</v>
      </c>
      <c r="B1144" s="1">
        <v>45159</v>
      </c>
      <c r="C1144" t="s">
        <v>5976</v>
      </c>
      <c r="D1144" t="s">
        <v>5977</v>
      </c>
      <c r="E1144">
        <v>80.709999999999994</v>
      </c>
      <c r="F1144" t="s">
        <v>5978</v>
      </c>
      <c r="G1144" t="s">
        <v>5979</v>
      </c>
      <c r="H1144" t="s">
        <v>4929</v>
      </c>
    </row>
    <row r="1145" spans="1:8" x14ac:dyDescent="0.3">
      <c r="A1145" t="s">
        <v>6080</v>
      </c>
      <c r="B1145" s="1">
        <v>45160</v>
      </c>
      <c r="C1145" t="s">
        <v>5976</v>
      </c>
      <c r="D1145" t="s">
        <v>5977</v>
      </c>
      <c r="E1145">
        <v>80.25</v>
      </c>
      <c r="F1145" t="s">
        <v>5978</v>
      </c>
      <c r="G1145" t="s">
        <v>5979</v>
      </c>
      <c r="H1145" t="s">
        <v>4929</v>
      </c>
    </row>
    <row r="1146" spans="1:8" x14ac:dyDescent="0.3">
      <c r="A1146" t="s">
        <v>6081</v>
      </c>
      <c r="B1146" s="1">
        <v>45161</v>
      </c>
      <c r="C1146" t="s">
        <v>5976</v>
      </c>
      <c r="D1146" t="s">
        <v>5977</v>
      </c>
      <c r="E1146">
        <v>78.91</v>
      </c>
      <c r="F1146" t="s">
        <v>5978</v>
      </c>
      <c r="G1146" t="s">
        <v>5979</v>
      </c>
      <c r="H1146" t="s">
        <v>4929</v>
      </c>
    </row>
    <row r="1147" spans="1:8" x14ac:dyDescent="0.3">
      <c r="A1147" t="s">
        <v>6082</v>
      </c>
      <c r="B1147" s="1">
        <v>45162</v>
      </c>
      <c r="C1147" t="s">
        <v>5976</v>
      </c>
      <c r="D1147" t="s">
        <v>5977</v>
      </c>
      <c r="E1147">
        <v>79.52</v>
      </c>
      <c r="F1147" t="s">
        <v>5978</v>
      </c>
      <c r="G1147" t="s">
        <v>5979</v>
      </c>
      <c r="H1147" t="s">
        <v>4929</v>
      </c>
    </row>
    <row r="1148" spans="1:8" x14ac:dyDescent="0.3">
      <c r="A1148" t="s">
        <v>6083</v>
      </c>
      <c r="B1148" s="1">
        <v>45163</v>
      </c>
      <c r="C1148" t="s">
        <v>5976</v>
      </c>
      <c r="D1148" t="s">
        <v>5977</v>
      </c>
      <c r="E1148">
        <v>80.47</v>
      </c>
      <c r="F1148" t="s">
        <v>5978</v>
      </c>
      <c r="G1148" t="s">
        <v>5979</v>
      </c>
      <c r="H1148" t="s">
        <v>4929</v>
      </c>
    </row>
    <row r="1149" spans="1:8" x14ac:dyDescent="0.3">
      <c r="A1149" t="s">
        <v>6084</v>
      </c>
      <c r="B1149" s="1">
        <v>45166</v>
      </c>
      <c r="C1149" t="s">
        <v>5976</v>
      </c>
      <c r="D1149" t="s">
        <v>5977</v>
      </c>
      <c r="E1149">
        <v>80.650000000000006</v>
      </c>
      <c r="F1149" t="s">
        <v>5978</v>
      </c>
      <c r="G1149" t="s">
        <v>5979</v>
      </c>
      <c r="H1149" t="s">
        <v>4929</v>
      </c>
    </row>
    <row r="1150" spans="1:8" x14ac:dyDescent="0.3">
      <c r="A1150" t="s">
        <v>6085</v>
      </c>
      <c r="B1150" s="1">
        <v>45167</v>
      </c>
      <c r="C1150" t="s">
        <v>5976</v>
      </c>
      <c r="D1150" t="s">
        <v>5977</v>
      </c>
      <c r="E1150">
        <v>81.14</v>
      </c>
      <c r="F1150" t="s">
        <v>5978</v>
      </c>
      <c r="G1150" t="s">
        <v>5979</v>
      </c>
      <c r="H1150" t="s">
        <v>4929</v>
      </c>
    </row>
    <row r="1151" spans="1:8" x14ac:dyDescent="0.3">
      <c r="A1151" t="s">
        <v>6086</v>
      </c>
      <c r="B1151" s="1">
        <v>45168</v>
      </c>
      <c r="C1151" t="s">
        <v>5976</v>
      </c>
      <c r="D1151" t="s">
        <v>5977</v>
      </c>
      <c r="E1151">
        <v>81.64</v>
      </c>
      <c r="F1151" t="s">
        <v>5978</v>
      </c>
      <c r="G1151" t="s">
        <v>5979</v>
      </c>
      <c r="H1151" t="s">
        <v>4929</v>
      </c>
    </row>
    <row r="1152" spans="1:8" x14ac:dyDescent="0.3">
      <c r="A1152" t="s">
        <v>6087</v>
      </c>
      <c r="B1152" s="1">
        <v>45169</v>
      </c>
      <c r="C1152" t="s">
        <v>5976</v>
      </c>
      <c r="D1152" t="s">
        <v>5977</v>
      </c>
      <c r="E1152">
        <v>83.55</v>
      </c>
      <c r="F1152" t="s">
        <v>5978</v>
      </c>
      <c r="G1152" t="s">
        <v>5979</v>
      </c>
      <c r="H1152" t="s">
        <v>4929</v>
      </c>
    </row>
    <row r="1153" spans="1:8" x14ac:dyDescent="0.3">
      <c r="A1153" t="s">
        <v>6088</v>
      </c>
      <c r="B1153" s="1">
        <v>45170</v>
      </c>
      <c r="C1153" t="s">
        <v>5976</v>
      </c>
      <c r="D1153" t="s">
        <v>5977</v>
      </c>
      <c r="E1153">
        <v>85.52</v>
      </c>
      <c r="F1153" t="s">
        <v>5978</v>
      </c>
      <c r="G1153" t="s">
        <v>5979</v>
      </c>
      <c r="H1153" t="s">
        <v>4929</v>
      </c>
    </row>
    <row r="1154" spans="1:8" x14ac:dyDescent="0.3">
      <c r="A1154" t="s">
        <v>6089</v>
      </c>
      <c r="B1154" s="1">
        <v>45173</v>
      </c>
      <c r="C1154" t="s">
        <v>5976</v>
      </c>
      <c r="D1154" t="s">
        <v>5977</v>
      </c>
      <c r="E1154">
        <v>85.52</v>
      </c>
      <c r="F1154" t="s">
        <v>5978</v>
      </c>
      <c r="G1154" t="s">
        <v>5979</v>
      </c>
      <c r="H1154" t="s">
        <v>4970</v>
      </c>
    </row>
    <row r="1155" spans="1:8" x14ac:dyDescent="0.3">
      <c r="A1155" t="s">
        <v>6090</v>
      </c>
      <c r="B1155" s="1">
        <v>45174</v>
      </c>
      <c r="C1155" t="s">
        <v>5976</v>
      </c>
      <c r="D1155" t="s">
        <v>5977</v>
      </c>
      <c r="E1155">
        <v>86.74</v>
      </c>
      <c r="F1155" t="s">
        <v>5978</v>
      </c>
      <c r="G1155" t="s">
        <v>5979</v>
      </c>
      <c r="H1155" t="s">
        <v>4929</v>
      </c>
    </row>
    <row r="1156" spans="1:8" x14ac:dyDescent="0.3">
      <c r="A1156" t="s">
        <v>6091</v>
      </c>
      <c r="B1156" s="1">
        <v>45175</v>
      </c>
      <c r="C1156" t="s">
        <v>5976</v>
      </c>
      <c r="D1156" t="s">
        <v>5977</v>
      </c>
      <c r="E1156">
        <v>87.55</v>
      </c>
      <c r="F1156" t="s">
        <v>5978</v>
      </c>
      <c r="G1156" t="s">
        <v>5979</v>
      </c>
      <c r="H1156" t="s">
        <v>4929</v>
      </c>
    </row>
    <row r="1157" spans="1:8" x14ac:dyDescent="0.3">
      <c r="A1157" t="s">
        <v>6092</v>
      </c>
      <c r="B1157" s="1">
        <v>45176</v>
      </c>
      <c r="C1157" t="s">
        <v>5976</v>
      </c>
      <c r="D1157" t="s">
        <v>5977</v>
      </c>
      <c r="E1157">
        <v>86.87</v>
      </c>
      <c r="F1157" t="s">
        <v>5978</v>
      </c>
      <c r="G1157" t="s">
        <v>5979</v>
      </c>
      <c r="H1157" t="s">
        <v>4929</v>
      </c>
    </row>
    <row r="1158" spans="1:8" x14ac:dyDescent="0.3">
      <c r="A1158" t="s">
        <v>6093</v>
      </c>
      <c r="B1158" s="1">
        <v>45177</v>
      </c>
      <c r="C1158" t="s">
        <v>5976</v>
      </c>
      <c r="D1158" t="s">
        <v>5977</v>
      </c>
      <c r="E1158">
        <v>87.51</v>
      </c>
      <c r="F1158" t="s">
        <v>5978</v>
      </c>
      <c r="G1158" t="s">
        <v>5979</v>
      </c>
      <c r="H1158" t="s">
        <v>4929</v>
      </c>
    </row>
    <row r="1159" spans="1:8" x14ac:dyDescent="0.3">
      <c r="A1159" t="s">
        <v>6094</v>
      </c>
      <c r="B1159" s="1">
        <v>45180</v>
      </c>
      <c r="C1159" t="s">
        <v>5976</v>
      </c>
      <c r="D1159" t="s">
        <v>5977</v>
      </c>
      <c r="E1159">
        <v>87.3</v>
      </c>
      <c r="F1159" t="s">
        <v>5978</v>
      </c>
      <c r="G1159" t="s">
        <v>5979</v>
      </c>
      <c r="H1159" t="s">
        <v>4929</v>
      </c>
    </row>
    <row r="1160" spans="1:8" x14ac:dyDescent="0.3">
      <c r="A1160" t="s">
        <v>6095</v>
      </c>
      <c r="B1160" s="1">
        <v>45181</v>
      </c>
      <c r="C1160" t="s">
        <v>5976</v>
      </c>
      <c r="D1160" t="s">
        <v>5977</v>
      </c>
      <c r="E1160">
        <v>88.87</v>
      </c>
      <c r="F1160" t="s">
        <v>5978</v>
      </c>
      <c r="G1160" t="s">
        <v>5979</v>
      </c>
      <c r="H1160" t="s">
        <v>4929</v>
      </c>
    </row>
    <row r="1161" spans="1:8" x14ac:dyDescent="0.3">
      <c r="A1161" t="s">
        <v>6096</v>
      </c>
      <c r="B1161" s="1">
        <v>45182</v>
      </c>
      <c r="C1161" t="s">
        <v>5976</v>
      </c>
      <c r="D1161" t="s">
        <v>5977</v>
      </c>
      <c r="E1161">
        <v>88.59</v>
      </c>
      <c r="F1161" t="s">
        <v>5978</v>
      </c>
      <c r="G1161" t="s">
        <v>5979</v>
      </c>
      <c r="H1161" t="s">
        <v>4929</v>
      </c>
    </row>
    <row r="1162" spans="1:8" x14ac:dyDescent="0.3">
      <c r="A1162" t="s">
        <v>6097</v>
      </c>
      <c r="B1162" s="1">
        <v>45183</v>
      </c>
      <c r="C1162" t="s">
        <v>5976</v>
      </c>
      <c r="D1162" t="s">
        <v>5977</v>
      </c>
      <c r="E1162">
        <v>90.13</v>
      </c>
      <c r="F1162" t="s">
        <v>5978</v>
      </c>
      <c r="G1162" t="s">
        <v>5979</v>
      </c>
      <c r="H1162" t="s">
        <v>4929</v>
      </c>
    </row>
    <row r="1163" spans="1:8" x14ac:dyDescent="0.3">
      <c r="A1163" t="s">
        <v>6098</v>
      </c>
      <c r="B1163" s="1">
        <v>45184</v>
      </c>
      <c r="C1163" t="s">
        <v>5976</v>
      </c>
      <c r="D1163" t="s">
        <v>5977</v>
      </c>
      <c r="E1163">
        <v>90.83</v>
      </c>
      <c r="F1163" t="s">
        <v>5978</v>
      </c>
      <c r="G1163" t="s">
        <v>5979</v>
      </c>
      <c r="H1163" t="s">
        <v>4929</v>
      </c>
    </row>
    <row r="1164" spans="1:8" x14ac:dyDescent="0.3">
      <c r="A1164" t="s">
        <v>6099</v>
      </c>
      <c r="B1164" s="1">
        <v>45187</v>
      </c>
      <c r="C1164" t="s">
        <v>5976</v>
      </c>
      <c r="D1164" t="s">
        <v>5977</v>
      </c>
      <c r="E1164">
        <v>91.47</v>
      </c>
      <c r="F1164" t="s">
        <v>5978</v>
      </c>
      <c r="G1164" t="s">
        <v>5979</v>
      </c>
      <c r="H1164" t="s">
        <v>4929</v>
      </c>
    </row>
    <row r="1165" spans="1:8" x14ac:dyDescent="0.3">
      <c r="A1165" t="s">
        <v>6100</v>
      </c>
      <c r="B1165" s="1">
        <v>45188</v>
      </c>
      <c r="C1165" t="s">
        <v>5976</v>
      </c>
      <c r="D1165" t="s">
        <v>5977</v>
      </c>
      <c r="E1165">
        <v>91.16</v>
      </c>
      <c r="F1165" t="s">
        <v>5978</v>
      </c>
      <c r="G1165" t="s">
        <v>5979</v>
      </c>
      <c r="H1165" t="s">
        <v>4929</v>
      </c>
    </row>
    <row r="1166" spans="1:8" x14ac:dyDescent="0.3">
      <c r="A1166" t="s">
        <v>6101</v>
      </c>
      <c r="B1166" s="1">
        <v>45189</v>
      </c>
      <c r="C1166" t="s">
        <v>5976</v>
      </c>
      <c r="D1166" t="s">
        <v>5977</v>
      </c>
      <c r="E1166">
        <v>89.2</v>
      </c>
      <c r="F1166" t="s">
        <v>5978</v>
      </c>
      <c r="G1166" t="s">
        <v>5979</v>
      </c>
      <c r="H1166" t="s">
        <v>4929</v>
      </c>
    </row>
    <row r="1167" spans="1:8" x14ac:dyDescent="0.3">
      <c r="A1167" t="s">
        <v>6102</v>
      </c>
      <c r="B1167" s="1">
        <v>45190</v>
      </c>
      <c r="C1167" t="s">
        <v>5976</v>
      </c>
      <c r="D1167" t="s">
        <v>5977</v>
      </c>
      <c r="E1167">
        <v>89.56</v>
      </c>
      <c r="F1167" t="s">
        <v>5978</v>
      </c>
      <c r="G1167" t="s">
        <v>5979</v>
      </c>
      <c r="H1167" t="s">
        <v>4929</v>
      </c>
    </row>
    <row r="1168" spans="1:8" x14ac:dyDescent="0.3">
      <c r="A1168" t="s">
        <v>6103</v>
      </c>
      <c r="B1168" s="1">
        <v>45191</v>
      </c>
      <c r="C1168" t="s">
        <v>5976</v>
      </c>
      <c r="D1168" t="s">
        <v>5977</v>
      </c>
      <c r="E1168">
        <v>90</v>
      </c>
      <c r="F1168" t="s">
        <v>5978</v>
      </c>
      <c r="G1168" t="s">
        <v>5979</v>
      </c>
      <c r="H1168" t="s">
        <v>4929</v>
      </c>
    </row>
    <row r="1169" spans="1:8" x14ac:dyDescent="0.3">
      <c r="A1169" t="s">
        <v>6104</v>
      </c>
      <c r="B1169" s="1">
        <v>45194</v>
      </c>
      <c r="C1169" t="s">
        <v>5976</v>
      </c>
      <c r="D1169" t="s">
        <v>5977</v>
      </c>
      <c r="E1169">
        <v>89.68</v>
      </c>
      <c r="F1169" t="s">
        <v>5978</v>
      </c>
      <c r="G1169" t="s">
        <v>5979</v>
      </c>
      <c r="H1169" t="s">
        <v>4929</v>
      </c>
    </row>
    <row r="1170" spans="1:8" x14ac:dyDescent="0.3">
      <c r="A1170" t="s">
        <v>6105</v>
      </c>
      <c r="B1170" s="1">
        <v>45195</v>
      </c>
      <c r="C1170" t="s">
        <v>5976</v>
      </c>
      <c r="D1170" t="s">
        <v>5977</v>
      </c>
      <c r="E1170">
        <v>91.43</v>
      </c>
      <c r="F1170" t="s">
        <v>5978</v>
      </c>
      <c r="G1170" t="s">
        <v>5979</v>
      </c>
      <c r="H1170" t="s">
        <v>4929</v>
      </c>
    </row>
    <row r="1171" spans="1:8" x14ac:dyDescent="0.3">
      <c r="A1171" t="s">
        <v>6106</v>
      </c>
      <c r="B1171" s="1">
        <v>45196</v>
      </c>
      <c r="C1171" t="s">
        <v>5976</v>
      </c>
      <c r="D1171" t="s">
        <v>5977</v>
      </c>
      <c r="E1171">
        <v>93.67</v>
      </c>
      <c r="F1171" t="s">
        <v>5978</v>
      </c>
      <c r="G1171" t="s">
        <v>5979</v>
      </c>
      <c r="H1171" t="s">
        <v>4929</v>
      </c>
    </row>
    <row r="1172" spans="1:8" x14ac:dyDescent="0.3">
      <c r="A1172" t="s">
        <v>6107</v>
      </c>
      <c r="B1172" s="1">
        <v>45197</v>
      </c>
      <c r="C1172" t="s">
        <v>5976</v>
      </c>
      <c r="D1172" t="s">
        <v>5977</v>
      </c>
      <c r="E1172">
        <v>91.65</v>
      </c>
      <c r="F1172" t="s">
        <v>5978</v>
      </c>
      <c r="G1172" t="s">
        <v>5979</v>
      </c>
      <c r="H1172" t="s">
        <v>4929</v>
      </c>
    </row>
    <row r="1173" spans="1:8" x14ac:dyDescent="0.3">
      <c r="A1173" t="s">
        <v>6108</v>
      </c>
      <c r="B1173" s="1">
        <v>45198</v>
      </c>
      <c r="C1173" t="s">
        <v>5976</v>
      </c>
      <c r="D1173" t="s">
        <v>5977</v>
      </c>
      <c r="E1173">
        <v>90.77</v>
      </c>
      <c r="F1173" t="s">
        <v>5978</v>
      </c>
      <c r="G1173" t="s">
        <v>5979</v>
      </c>
      <c r="H1173" t="s">
        <v>4929</v>
      </c>
    </row>
    <row r="1174" spans="1:8" x14ac:dyDescent="0.3">
      <c r="A1174" t="s">
        <v>6109</v>
      </c>
      <c r="B1174" s="1">
        <v>45201</v>
      </c>
      <c r="C1174" t="s">
        <v>5976</v>
      </c>
      <c r="D1174" t="s">
        <v>5977</v>
      </c>
      <c r="E1174">
        <v>88.81</v>
      </c>
      <c r="F1174" t="s">
        <v>5978</v>
      </c>
      <c r="G1174" t="s">
        <v>5979</v>
      </c>
      <c r="H1174" t="s">
        <v>4929</v>
      </c>
    </row>
    <row r="1175" spans="1:8" x14ac:dyDescent="0.3">
      <c r="A1175" t="s">
        <v>6110</v>
      </c>
      <c r="B1175" s="1">
        <v>45202</v>
      </c>
      <c r="C1175" t="s">
        <v>5976</v>
      </c>
      <c r="D1175" t="s">
        <v>5977</v>
      </c>
      <c r="E1175">
        <v>89.26</v>
      </c>
      <c r="F1175" t="s">
        <v>5978</v>
      </c>
      <c r="G1175" t="s">
        <v>5979</v>
      </c>
      <c r="H1175" t="s">
        <v>4929</v>
      </c>
    </row>
    <row r="1176" spans="1:8" x14ac:dyDescent="0.3">
      <c r="A1176" t="s">
        <v>6111</v>
      </c>
      <c r="B1176" s="1">
        <v>45203</v>
      </c>
      <c r="C1176" t="s">
        <v>5976</v>
      </c>
      <c r="D1176" t="s">
        <v>5977</v>
      </c>
      <c r="E1176">
        <v>84.32</v>
      </c>
      <c r="F1176" t="s">
        <v>5978</v>
      </c>
      <c r="G1176" t="s">
        <v>5979</v>
      </c>
      <c r="H1176" t="s">
        <v>4929</v>
      </c>
    </row>
    <row r="1177" spans="1:8" x14ac:dyDescent="0.3">
      <c r="A1177" t="s">
        <v>6112</v>
      </c>
      <c r="B1177" s="1">
        <v>45204</v>
      </c>
      <c r="C1177" t="s">
        <v>5976</v>
      </c>
      <c r="D1177" t="s">
        <v>5977</v>
      </c>
      <c r="E1177">
        <v>82.3</v>
      </c>
      <c r="F1177" t="s">
        <v>5978</v>
      </c>
      <c r="G1177" t="s">
        <v>5979</v>
      </c>
      <c r="H1177" t="s">
        <v>4929</v>
      </c>
    </row>
    <row r="1178" spans="1:8" x14ac:dyDescent="0.3">
      <c r="A1178" t="s">
        <v>6113</v>
      </c>
      <c r="B1178" s="1">
        <v>45205</v>
      </c>
      <c r="C1178" t="s">
        <v>5976</v>
      </c>
      <c r="D1178" t="s">
        <v>5977</v>
      </c>
      <c r="E1178">
        <v>82.83</v>
      </c>
      <c r="F1178" t="s">
        <v>5978</v>
      </c>
      <c r="G1178" t="s">
        <v>5979</v>
      </c>
      <c r="H1178" t="s">
        <v>4929</v>
      </c>
    </row>
    <row r="1179" spans="1:8" x14ac:dyDescent="0.3">
      <c r="A1179" t="s">
        <v>6114</v>
      </c>
      <c r="B1179" s="1">
        <v>45208</v>
      </c>
      <c r="C1179" t="s">
        <v>5976</v>
      </c>
      <c r="D1179" t="s">
        <v>5977</v>
      </c>
      <c r="E1179">
        <v>82.83</v>
      </c>
      <c r="F1179" t="s">
        <v>5978</v>
      </c>
      <c r="G1179" t="s">
        <v>5979</v>
      </c>
      <c r="H1179" t="s">
        <v>4970</v>
      </c>
    </row>
    <row r="1180" spans="1:8" x14ac:dyDescent="0.3">
      <c r="A1180" t="s">
        <v>6115</v>
      </c>
      <c r="B1180" s="1">
        <v>45209</v>
      </c>
      <c r="C1180" t="s">
        <v>5976</v>
      </c>
      <c r="D1180" t="s">
        <v>5977</v>
      </c>
      <c r="E1180">
        <v>85.89</v>
      </c>
      <c r="F1180" t="s">
        <v>5978</v>
      </c>
      <c r="G1180" t="s">
        <v>5979</v>
      </c>
      <c r="H1180" t="s">
        <v>4929</v>
      </c>
    </row>
    <row r="1181" spans="1:8" x14ac:dyDescent="0.3">
      <c r="A1181" t="s">
        <v>6116</v>
      </c>
      <c r="B1181" s="1">
        <v>45210</v>
      </c>
      <c r="C1181" t="s">
        <v>5976</v>
      </c>
      <c r="D1181" t="s">
        <v>5977</v>
      </c>
      <c r="E1181">
        <v>83.7</v>
      </c>
      <c r="F1181" t="s">
        <v>5978</v>
      </c>
      <c r="G1181" t="s">
        <v>5979</v>
      </c>
      <c r="H1181" t="s">
        <v>4929</v>
      </c>
    </row>
    <row r="1182" spans="1:8" x14ac:dyDescent="0.3">
      <c r="A1182" t="s">
        <v>6117</v>
      </c>
      <c r="B1182" s="1">
        <v>45211</v>
      </c>
      <c r="C1182" t="s">
        <v>5976</v>
      </c>
      <c r="D1182" t="s">
        <v>5977</v>
      </c>
      <c r="E1182">
        <v>82.87</v>
      </c>
      <c r="F1182" t="s">
        <v>5978</v>
      </c>
      <c r="G1182" t="s">
        <v>5979</v>
      </c>
      <c r="H1182" t="s">
        <v>4929</v>
      </c>
    </row>
    <row r="1183" spans="1:8" x14ac:dyDescent="0.3">
      <c r="A1183" t="s">
        <v>6118</v>
      </c>
      <c r="B1183" s="1">
        <v>45212</v>
      </c>
      <c r="C1183" t="s">
        <v>5976</v>
      </c>
      <c r="D1183" t="s">
        <v>5977</v>
      </c>
      <c r="E1183">
        <v>87.67</v>
      </c>
      <c r="F1183" t="s">
        <v>5978</v>
      </c>
      <c r="G1183" t="s">
        <v>5979</v>
      </c>
      <c r="H1183" t="s">
        <v>4929</v>
      </c>
    </row>
    <row r="1184" spans="1:8" x14ac:dyDescent="0.3">
      <c r="A1184" t="s">
        <v>6119</v>
      </c>
      <c r="B1184" s="1">
        <v>45215</v>
      </c>
      <c r="C1184" t="s">
        <v>5976</v>
      </c>
      <c r="D1184" t="s">
        <v>5977</v>
      </c>
      <c r="E1184">
        <v>86.65</v>
      </c>
      <c r="F1184" t="s">
        <v>5978</v>
      </c>
      <c r="G1184" t="s">
        <v>5979</v>
      </c>
      <c r="H1184" t="s">
        <v>4929</v>
      </c>
    </row>
    <row r="1185" spans="1:8" x14ac:dyDescent="0.3">
      <c r="A1185" t="s">
        <v>6120</v>
      </c>
      <c r="B1185" s="1">
        <v>45216</v>
      </c>
      <c r="C1185" t="s">
        <v>5976</v>
      </c>
      <c r="D1185" t="s">
        <v>5977</v>
      </c>
      <c r="E1185">
        <v>86.66</v>
      </c>
      <c r="F1185" t="s">
        <v>5978</v>
      </c>
      <c r="G1185" t="s">
        <v>5979</v>
      </c>
      <c r="H1185" t="s">
        <v>4929</v>
      </c>
    </row>
    <row r="1186" spans="1:8" x14ac:dyDescent="0.3">
      <c r="A1186" t="s">
        <v>6121</v>
      </c>
      <c r="B1186" s="1">
        <v>45217</v>
      </c>
      <c r="C1186" t="s">
        <v>5976</v>
      </c>
      <c r="D1186" t="s">
        <v>5977</v>
      </c>
      <c r="E1186">
        <v>88.35</v>
      </c>
      <c r="F1186" t="s">
        <v>5978</v>
      </c>
      <c r="G1186" t="s">
        <v>5979</v>
      </c>
      <c r="H1186" t="s">
        <v>4929</v>
      </c>
    </row>
    <row r="1187" spans="1:8" x14ac:dyDescent="0.3">
      <c r="A1187" t="s">
        <v>6122</v>
      </c>
      <c r="B1187" s="1">
        <v>45218</v>
      </c>
      <c r="C1187" t="s">
        <v>5976</v>
      </c>
      <c r="D1187" t="s">
        <v>5977</v>
      </c>
      <c r="E1187">
        <v>89.35</v>
      </c>
      <c r="F1187" t="s">
        <v>5978</v>
      </c>
      <c r="G1187" t="s">
        <v>5979</v>
      </c>
      <c r="H1187" t="s">
        <v>4929</v>
      </c>
    </row>
    <row r="1188" spans="1:8" x14ac:dyDescent="0.3">
      <c r="A1188" t="s">
        <v>6123</v>
      </c>
      <c r="B1188" s="1">
        <v>45219</v>
      </c>
      <c r="C1188" t="s">
        <v>5976</v>
      </c>
      <c r="D1188" t="s">
        <v>5977</v>
      </c>
      <c r="E1188">
        <v>89.12</v>
      </c>
      <c r="F1188" t="s">
        <v>5978</v>
      </c>
      <c r="G1188" t="s">
        <v>5979</v>
      </c>
      <c r="H1188" t="s">
        <v>4929</v>
      </c>
    </row>
    <row r="1189" spans="1:8" x14ac:dyDescent="0.3">
      <c r="A1189" t="s">
        <v>6124</v>
      </c>
      <c r="B1189" s="1">
        <v>45222</v>
      </c>
      <c r="C1189" t="s">
        <v>5976</v>
      </c>
      <c r="D1189" t="s">
        <v>5977</v>
      </c>
      <c r="E1189">
        <v>85.49</v>
      </c>
      <c r="F1189" t="s">
        <v>5978</v>
      </c>
      <c r="G1189" t="s">
        <v>5979</v>
      </c>
      <c r="H1189" t="s">
        <v>4929</v>
      </c>
    </row>
    <row r="1190" spans="1:8" x14ac:dyDescent="0.3">
      <c r="A1190" t="s">
        <v>6125</v>
      </c>
      <c r="B1190" s="1">
        <v>45223</v>
      </c>
      <c r="C1190" t="s">
        <v>5976</v>
      </c>
      <c r="D1190" t="s">
        <v>5977</v>
      </c>
      <c r="E1190">
        <v>84.58</v>
      </c>
      <c r="F1190" t="s">
        <v>5978</v>
      </c>
      <c r="G1190" t="s">
        <v>5979</v>
      </c>
      <c r="H1190" t="s">
        <v>4929</v>
      </c>
    </row>
    <row r="1191" spans="1:8" x14ac:dyDescent="0.3">
      <c r="A1191" t="s">
        <v>6126</v>
      </c>
      <c r="B1191" s="1">
        <v>45224</v>
      </c>
      <c r="C1191" t="s">
        <v>5976</v>
      </c>
      <c r="D1191" t="s">
        <v>5977</v>
      </c>
      <c r="E1191">
        <v>86.07</v>
      </c>
      <c r="F1191" t="s">
        <v>5978</v>
      </c>
      <c r="G1191" t="s">
        <v>5979</v>
      </c>
      <c r="H1191" t="s">
        <v>4929</v>
      </c>
    </row>
    <row r="1192" spans="1:8" x14ac:dyDescent="0.3">
      <c r="A1192" t="s">
        <v>6127</v>
      </c>
      <c r="B1192" s="1">
        <v>45225</v>
      </c>
      <c r="C1192" t="s">
        <v>5976</v>
      </c>
      <c r="D1192" t="s">
        <v>5977</v>
      </c>
      <c r="E1192">
        <v>83.8</v>
      </c>
      <c r="F1192" t="s">
        <v>5978</v>
      </c>
      <c r="G1192" t="s">
        <v>5979</v>
      </c>
      <c r="H1192" t="s">
        <v>4929</v>
      </c>
    </row>
    <row r="1193" spans="1:8" x14ac:dyDescent="0.3">
      <c r="A1193" t="s">
        <v>6128</v>
      </c>
      <c r="B1193" s="1">
        <v>45226</v>
      </c>
      <c r="C1193" t="s">
        <v>5976</v>
      </c>
      <c r="D1193" t="s">
        <v>5977</v>
      </c>
      <c r="E1193">
        <v>86.04</v>
      </c>
      <c r="F1193" t="s">
        <v>5978</v>
      </c>
      <c r="G1193" t="s">
        <v>5979</v>
      </c>
      <c r="H1193" t="s">
        <v>4929</v>
      </c>
    </row>
    <row r="1194" spans="1:8" x14ac:dyDescent="0.3">
      <c r="A1194" t="s">
        <v>6129</v>
      </c>
      <c r="B1194" s="1">
        <v>45229</v>
      </c>
      <c r="C1194" t="s">
        <v>5976</v>
      </c>
      <c r="D1194" t="s">
        <v>5977</v>
      </c>
      <c r="E1194">
        <v>83.03</v>
      </c>
      <c r="F1194" t="s">
        <v>5978</v>
      </c>
      <c r="G1194" t="s">
        <v>5979</v>
      </c>
      <c r="H1194" t="s">
        <v>4929</v>
      </c>
    </row>
    <row r="1195" spans="1:8" x14ac:dyDescent="0.3">
      <c r="A1195" t="s">
        <v>6130</v>
      </c>
      <c r="B1195" s="1">
        <v>45230</v>
      </c>
      <c r="C1195" t="s">
        <v>5976</v>
      </c>
      <c r="D1195" t="s">
        <v>5977</v>
      </c>
      <c r="E1195">
        <v>81.64</v>
      </c>
      <c r="F1195" t="s">
        <v>5978</v>
      </c>
      <c r="G1195" t="s">
        <v>5979</v>
      </c>
      <c r="H1195" t="s">
        <v>4929</v>
      </c>
    </row>
    <row r="1196" spans="1:8" x14ac:dyDescent="0.3">
      <c r="A1196" t="s">
        <v>6131</v>
      </c>
      <c r="B1196" s="1">
        <v>45231</v>
      </c>
      <c r="C1196" t="s">
        <v>5976</v>
      </c>
      <c r="D1196" t="s">
        <v>5977</v>
      </c>
      <c r="E1196">
        <v>81.05</v>
      </c>
      <c r="F1196" t="s">
        <v>5978</v>
      </c>
      <c r="G1196" t="s">
        <v>5979</v>
      </c>
      <c r="H1196" t="s">
        <v>4929</v>
      </c>
    </row>
    <row r="1197" spans="1:8" x14ac:dyDescent="0.3">
      <c r="A1197" t="s">
        <v>6132</v>
      </c>
      <c r="B1197" s="1">
        <v>45232</v>
      </c>
      <c r="C1197" t="s">
        <v>5976</v>
      </c>
      <c r="D1197" t="s">
        <v>5977</v>
      </c>
      <c r="E1197">
        <v>83.04</v>
      </c>
      <c r="F1197" t="s">
        <v>5978</v>
      </c>
      <c r="G1197" t="s">
        <v>5979</v>
      </c>
      <c r="H1197" t="s">
        <v>4929</v>
      </c>
    </row>
    <row r="1198" spans="1:8" x14ac:dyDescent="0.3">
      <c r="A1198" t="s">
        <v>6133</v>
      </c>
      <c r="B1198" s="1">
        <v>45233</v>
      </c>
      <c r="C1198" t="s">
        <v>5976</v>
      </c>
      <c r="D1198" t="s">
        <v>5977</v>
      </c>
      <c r="E1198">
        <v>81.19</v>
      </c>
      <c r="F1198" t="s">
        <v>5978</v>
      </c>
      <c r="G1198" t="s">
        <v>5979</v>
      </c>
      <c r="H1198" t="s">
        <v>4929</v>
      </c>
    </row>
    <row r="1199" spans="1:8" x14ac:dyDescent="0.3">
      <c r="A1199" t="s">
        <v>6134</v>
      </c>
      <c r="B1199" s="1">
        <v>45236</v>
      </c>
      <c r="C1199" t="s">
        <v>5976</v>
      </c>
      <c r="D1199" t="s">
        <v>5977</v>
      </c>
      <c r="E1199">
        <v>81.540000000000006</v>
      </c>
      <c r="F1199" t="s">
        <v>5978</v>
      </c>
      <c r="G1199" t="s">
        <v>5979</v>
      </c>
      <c r="H1199" t="s">
        <v>4929</v>
      </c>
    </row>
    <row r="1200" spans="1:8" x14ac:dyDescent="0.3">
      <c r="A1200" t="s">
        <v>6135</v>
      </c>
      <c r="B1200" s="1">
        <v>45237</v>
      </c>
      <c r="C1200" t="s">
        <v>5976</v>
      </c>
      <c r="D1200" t="s">
        <v>5977</v>
      </c>
      <c r="E1200">
        <v>77.959999999999994</v>
      </c>
      <c r="F1200" t="s">
        <v>5978</v>
      </c>
      <c r="G1200" t="s">
        <v>5979</v>
      </c>
      <c r="H1200" t="s">
        <v>4929</v>
      </c>
    </row>
    <row r="1201" spans="1:8" x14ac:dyDescent="0.3">
      <c r="A1201" t="s">
        <v>6136</v>
      </c>
      <c r="B1201" s="1">
        <v>45238</v>
      </c>
      <c r="C1201" t="s">
        <v>5976</v>
      </c>
      <c r="D1201" t="s">
        <v>5977</v>
      </c>
      <c r="E1201">
        <v>75.849999999999994</v>
      </c>
      <c r="F1201" t="s">
        <v>5978</v>
      </c>
      <c r="G1201" t="s">
        <v>5979</v>
      </c>
      <c r="H1201" t="s">
        <v>4929</v>
      </c>
    </row>
    <row r="1202" spans="1:8" x14ac:dyDescent="0.3">
      <c r="A1202" t="s">
        <v>6137</v>
      </c>
      <c r="B1202" s="1">
        <v>45239</v>
      </c>
      <c r="C1202" t="s">
        <v>5976</v>
      </c>
      <c r="D1202" t="s">
        <v>5977</v>
      </c>
      <c r="E1202">
        <v>76.34</v>
      </c>
      <c r="F1202" t="s">
        <v>5978</v>
      </c>
      <c r="G1202" t="s">
        <v>5979</v>
      </c>
      <c r="H1202" t="s">
        <v>4929</v>
      </c>
    </row>
    <row r="1203" spans="1:8" x14ac:dyDescent="0.3">
      <c r="A1203" t="s">
        <v>6138</v>
      </c>
      <c r="B1203" s="1">
        <v>45240</v>
      </c>
      <c r="C1203" t="s">
        <v>5976</v>
      </c>
      <c r="D1203" t="s">
        <v>5977</v>
      </c>
      <c r="E1203">
        <v>76.34</v>
      </c>
      <c r="F1203" t="s">
        <v>5978</v>
      </c>
      <c r="G1203" t="s">
        <v>5979</v>
      </c>
      <c r="H1203" t="s">
        <v>4970</v>
      </c>
    </row>
    <row r="1204" spans="1:8" x14ac:dyDescent="0.3">
      <c r="A1204" t="s">
        <v>6139</v>
      </c>
      <c r="B1204" s="1">
        <v>45243</v>
      </c>
      <c r="C1204" t="s">
        <v>5976</v>
      </c>
      <c r="D1204" t="s">
        <v>5977</v>
      </c>
      <c r="E1204">
        <v>78.86</v>
      </c>
      <c r="F1204" t="s">
        <v>5978</v>
      </c>
      <c r="G1204" t="s">
        <v>5979</v>
      </c>
      <c r="H1204" t="s">
        <v>4929</v>
      </c>
    </row>
    <row r="1205" spans="1:8" x14ac:dyDescent="0.3">
      <c r="A1205" t="s">
        <v>6140</v>
      </c>
      <c r="B1205" s="1">
        <v>45244</v>
      </c>
      <c r="C1205" t="s">
        <v>5976</v>
      </c>
      <c r="D1205" t="s">
        <v>5977</v>
      </c>
      <c r="E1205">
        <v>78.900000000000006</v>
      </c>
      <c r="F1205" t="s">
        <v>5978</v>
      </c>
      <c r="G1205" t="s">
        <v>5979</v>
      </c>
      <c r="H1205" t="s">
        <v>4929</v>
      </c>
    </row>
    <row r="1206" spans="1:8" x14ac:dyDescent="0.3">
      <c r="A1206" t="s">
        <v>6141</v>
      </c>
      <c r="B1206" s="1">
        <v>45245</v>
      </c>
      <c r="C1206" t="s">
        <v>5976</v>
      </c>
      <c r="D1206" t="s">
        <v>5977</v>
      </c>
      <c r="E1206">
        <v>77.150000000000006</v>
      </c>
      <c r="F1206" t="s">
        <v>5978</v>
      </c>
      <c r="G1206" t="s">
        <v>5979</v>
      </c>
      <c r="H1206" t="s">
        <v>4929</v>
      </c>
    </row>
    <row r="1207" spans="1:8" x14ac:dyDescent="0.3">
      <c r="A1207" t="s">
        <v>6142</v>
      </c>
      <c r="B1207" s="1">
        <v>45246</v>
      </c>
      <c r="C1207" t="s">
        <v>5976</v>
      </c>
      <c r="D1207" t="s">
        <v>5977</v>
      </c>
      <c r="E1207">
        <v>73.5</v>
      </c>
      <c r="F1207" t="s">
        <v>5978</v>
      </c>
      <c r="G1207" t="s">
        <v>5979</v>
      </c>
      <c r="H1207" t="s">
        <v>4929</v>
      </c>
    </row>
    <row r="1208" spans="1:8" x14ac:dyDescent="0.3">
      <c r="A1208" t="s">
        <v>6143</v>
      </c>
      <c r="B1208" s="1">
        <v>45247</v>
      </c>
      <c r="C1208" t="s">
        <v>5976</v>
      </c>
      <c r="D1208" t="s">
        <v>5977</v>
      </c>
      <c r="E1208">
        <v>76.47</v>
      </c>
      <c r="F1208" t="s">
        <v>5978</v>
      </c>
      <c r="G1208" t="s">
        <v>5979</v>
      </c>
      <c r="H1208" t="s">
        <v>4929</v>
      </c>
    </row>
    <row r="1209" spans="1:8" x14ac:dyDescent="0.3">
      <c r="A1209" t="s">
        <v>6144</v>
      </c>
      <c r="B1209" s="1">
        <v>45250</v>
      </c>
      <c r="C1209" t="s">
        <v>5976</v>
      </c>
      <c r="D1209" t="s">
        <v>5977</v>
      </c>
      <c r="E1209">
        <v>78.099999999999994</v>
      </c>
      <c r="F1209" t="s">
        <v>5978</v>
      </c>
      <c r="G1209" t="s">
        <v>5979</v>
      </c>
      <c r="H1209" t="s">
        <v>4929</v>
      </c>
    </row>
    <row r="1210" spans="1:8" x14ac:dyDescent="0.3">
      <c r="A1210" t="s">
        <v>6145</v>
      </c>
      <c r="B1210" s="1">
        <v>45251</v>
      </c>
      <c r="C1210" t="s">
        <v>5976</v>
      </c>
      <c r="D1210" t="s">
        <v>5977</v>
      </c>
      <c r="E1210">
        <v>78.349999999999994</v>
      </c>
      <c r="F1210" t="s">
        <v>5978</v>
      </c>
      <c r="G1210" t="s">
        <v>5979</v>
      </c>
      <c r="H1210" t="s">
        <v>4929</v>
      </c>
    </row>
    <row r="1211" spans="1:8" x14ac:dyDescent="0.3">
      <c r="A1211" t="s">
        <v>6146</v>
      </c>
      <c r="B1211" s="1">
        <v>45252</v>
      </c>
      <c r="C1211" t="s">
        <v>5976</v>
      </c>
      <c r="D1211" t="s">
        <v>5977</v>
      </c>
      <c r="E1211">
        <v>76.8</v>
      </c>
      <c r="F1211" t="s">
        <v>5978</v>
      </c>
      <c r="G1211" t="s">
        <v>5979</v>
      </c>
      <c r="H1211" t="s">
        <v>4929</v>
      </c>
    </row>
    <row r="1212" spans="1:8" x14ac:dyDescent="0.3">
      <c r="A1212" t="s">
        <v>6147</v>
      </c>
      <c r="B1212" s="1">
        <v>45253</v>
      </c>
      <c r="C1212" t="s">
        <v>5976</v>
      </c>
      <c r="D1212" t="s">
        <v>5977</v>
      </c>
      <c r="E1212">
        <v>76.8</v>
      </c>
      <c r="F1212" t="s">
        <v>5978</v>
      </c>
      <c r="G1212" t="s">
        <v>5979</v>
      </c>
      <c r="H1212" t="s">
        <v>4970</v>
      </c>
    </row>
    <row r="1213" spans="1:8" x14ac:dyDescent="0.3">
      <c r="A1213" t="s">
        <v>6148</v>
      </c>
      <c r="B1213" s="1">
        <v>45254</v>
      </c>
      <c r="C1213" t="s">
        <v>5976</v>
      </c>
      <c r="D1213" t="s">
        <v>5977</v>
      </c>
      <c r="E1213">
        <v>74.83</v>
      </c>
      <c r="F1213" t="s">
        <v>5978</v>
      </c>
      <c r="G1213" t="s">
        <v>5979</v>
      </c>
      <c r="H1213" t="s">
        <v>4929</v>
      </c>
    </row>
    <row r="1214" spans="1:8" x14ac:dyDescent="0.3">
      <c r="A1214" t="s">
        <v>6149</v>
      </c>
      <c r="B1214" s="1">
        <v>45257</v>
      </c>
      <c r="C1214" t="s">
        <v>5976</v>
      </c>
      <c r="D1214" t="s">
        <v>5977</v>
      </c>
      <c r="E1214">
        <v>74.459999999999994</v>
      </c>
      <c r="F1214" t="s">
        <v>5978</v>
      </c>
      <c r="G1214" t="s">
        <v>5979</v>
      </c>
      <c r="H1214" t="s">
        <v>4929</v>
      </c>
    </row>
    <row r="1215" spans="1:8" x14ac:dyDescent="0.3">
      <c r="A1215" t="s">
        <v>6150</v>
      </c>
      <c r="B1215" s="1">
        <v>45258</v>
      </c>
      <c r="C1215" t="s">
        <v>5976</v>
      </c>
      <c r="D1215" t="s">
        <v>5977</v>
      </c>
      <c r="E1215">
        <v>76.09</v>
      </c>
      <c r="F1215" t="s">
        <v>5978</v>
      </c>
      <c r="G1215" t="s">
        <v>5979</v>
      </c>
      <c r="H1215" t="s">
        <v>4929</v>
      </c>
    </row>
    <row r="1216" spans="1:8" x14ac:dyDescent="0.3">
      <c r="A1216" t="s">
        <v>6151</v>
      </c>
      <c r="B1216" s="1">
        <v>45259</v>
      </c>
      <c r="C1216" t="s">
        <v>5976</v>
      </c>
      <c r="D1216" t="s">
        <v>5977</v>
      </c>
      <c r="E1216">
        <v>77.56</v>
      </c>
      <c r="F1216" t="s">
        <v>5978</v>
      </c>
      <c r="G1216" t="s">
        <v>5979</v>
      </c>
      <c r="H1216" t="s">
        <v>4929</v>
      </c>
    </row>
    <row r="1217" spans="1:8" x14ac:dyDescent="0.3">
      <c r="A1217" t="s">
        <v>6152</v>
      </c>
      <c r="B1217" s="1">
        <v>45260</v>
      </c>
      <c r="C1217" t="s">
        <v>5976</v>
      </c>
      <c r="D1217" t="s">
        <v>5977</v>
      </c>
      <c r="E1217">
        <v>75.66</v>
      </c>
      <c r="F1217" t="s">
        <v>5978</v>
      </c>
      <c r="G1217" t="s">
        <v>5979</v>
      </c>
      <c r="H1217" t="s">
        <v>4929</v>
      </c>
    </row>
    <row r="1218" spans="1:8" x14ac:dyDescent="0.3">
      <c r="A1218" t="s">
        <v>6153</v>
      </c>
      <c r="B1218" s="1">
        <v>45261</v>
      </c>
      <c r="C1218" t="s">
        <v>5976</v>
      </c>
      <c r="D1218" t="s">
        <v>5977</v>
      </c>
      <c r="E1218">
        <v>73.7</v>
      </c>
      <c r="F1218" t="s">
        <v>5978</v>
      </c>
      <c r="G1218" t="s">
        <v>5979</v>
      </c>
      <c r="H1218" t="s">
        <v>4929</v>
      </c>
    </row>
    <row r="1219" spans="1:8" x14ac:dyDescent="0.3">
      <c r="A1219" t="s">
        <v>6154</v>
      </c>
      <c r="B1219" s="1">
        <v>45264</v>
      </c>
      <c r="C1219" t="s">
        <v>5976</v>
      </c>
      <c r="D1219" t="s">
        <v>5977</v>
      </c>
      <c r="E1219">
        <v>72.73</v>
      </c>
      <c r="F1219" t="s">
        <v>5978</v>
      </c>
      <c r="G1219" t="s">
        <v>5979</v>
      </c>
      <c r="H1219" t="s">
        <v>4929</v>
      </c>
    </row>
    <row r="1220" spans="1:8" x14ac:dyDescent="0.3">
      <c r="A1220" t="s">
        <v>6155</v>
      </c>
      <c r="B1220" s="1">
        <v>45265</v>
      </c>
      <c r="C1220" t="s">
        <v>5976</v>
      </c>
      <c r="D1220" t="s">
        <v>5977</v>
      </c>
      <c r="E1220">
        <v>71.95</v>
      </c>
      <c r="F1220" t="s">
        <v>5978</v>
      </c>
      <c r="G1220" t="s">
        <v>5979</v>
      </c>
      <c r="H1220" t="s">
        <v>4929</v>
      </c>
    </row>
    <row r="1221" spans="1:8" x14ac:dyDescent="0.3">
      <c r="A1221" t="s">
        <v>6156</v>
      </c>
      <c r="B1221" s="1">
        <v>45266</v>
      </c>
      <c r="C1221" t="s">
        <v>5976</v>
      </c>
      <c r="D1221" t="s">
        <v>5977</v>
      </c>
      <c r="E1221">
        <v>68.98</v>
      </c>
      <c r="F1221" t="s">
        <v>5978</v>
      </c>
      <c r="G1221" t="s">
        <v>5979</v>
      </c>
      <c r="H1221" t="s">
        <v>4929</v>
      </c>
    </row>
    <row r="1222" spans="1:8" x14ac:dyDescent="0.3">
      <c r="A1222" t="s">
        <v>6157</v>
      </c>
      <c r="B1222" s="1">
        <v>45267</v>
      </c>
      <c r="C1222" t="s">
        <v>5976</v>
      </c>
      <c r="D1222" t="s">
        <v>5977</v>
      </c>
      <c r="E1222">
        <v>69</v>
      </c>
      <c r="F1222" t="s">
        <v>5978</v>
      </c>
      <c r="G1222" t="s">
        <v>5979</v>
      </c>
      <c r="H1222" t="s">
        <v>4929</v>
      </c>
    </row>
    <row r="1223" spans="1:8" x14ac:dyDescent="0.3">
      <c r="A1223" t="s">
        <v>6158</v>
      </c>
      <c r="B1223" s="1">
        <v>45268</v>
      </c>
      <c r="C1223" t="s">
        <v>5976</v>
      </c>
      <c r="D1223" t="s">
        <v>5977</v>
      </c>
      <c r="E1223">
        <v>70.87</v>
      </c>
      <c r="F1223" t="s">
        <v>5978</v>
      </c>
      <c r="G1223" t="s">
        <v>5979</v>
      </c>
      <c r="H1223" t="s">
        <v>4929</v>
      </c>
    </row>
    <row r="1224" spans="1:8" x14ac:dyDescent="0.3">
      <c r="A1224" t="s">
        <v>6159</v>
      </c>
      <c r="B1224" s="1">
        <v>45271</v>
      </c>
      <c r="C1224" t="s">
        <v>5976</v>
      </c>
      <c r="D1224" t="s">
        <v>5977</v>
      </c>
      <c r="E1224">
        <v>70.95</v>
      </c>
      <c r="F1224" t="s">
        <v>5978</v>
      </c>
      <c r="G1224" t="s">
        <v>5979</v>
      </c>
      <c r="H1224" t="s">
        <v>4929</v>
      </c>
    </row>
    <row r="1225" spans="1:8" x14ac:dyDescent="0.3">
      <c r="A1225" t="s">
        <v>6160</v>
      </c>
      <c r="B1225" s="1">
        <v>45272</v>
      </c>
      <c r="C1225" t="s">
        <v>5976</v>
      </c>
      <c r="D1225" t="s">
        <v>5977</v>
      </c>
      <c r="E1225">
        <v>68.27</v>
      </c>
      <c r="F1225" t="s">
        <v>5978</v>
      </c>
      <c r="G1225" t="s">
        <v>5979</v>
      </c>
      <c r="H1225" t="s">
        <v>4929</v>
      </c>
    </row>
    <row r="1226" spans="1:8" x14ac:dyDescent="0.3">
      <c r="A1226" t="s">
        <v>6161</v>
      </c>
      <c r="B1226" s="1">
        <v>45273</v>
      </c>
      <c r="C1226" t="s">
        <v>5976</v>
      </c>
      <c r="D1226" t="s">
        <v>5977</v>
      </c>
      <c r="E1226">
        <v>69.09</v>
      </c>
      <c r="F1226" t="s">
        <v>5978</v>
      </c>
      <c r="G1226" t="s">
        <v>5979</v>
      </c>
      <c r="H1226" t="s">
        <v>4929</v>
      </c>
    </row>
    <row r="1227" spans="1:8" x14ac:dyDescent="0.3">
      <c r="A1227" t="s">
        <v>6162</v>
      </c>
      <c r="B1227" s="1">
        <v>45274</v>
      </c>
      <c r="C1227" t="s">
        <v>5976</v>
      </c>
      <c r="D1227" t="s">
        <v>5977</v>
      </c>
      <c r="E1227">
        <v>71.209999999999994</v>
      </c>
      <c r="F1227" t="s">
        <v>5978</v>
      </c>
      <c r="G1227" t="s">
        <v>5979</v>
      </c>
      <c r="H1227" t="s">
        <v>4929</v>
      </c>
    </row>
    <row r="1228" spans="1:8" x14ac:dyDescent="0.3">
      <c r="A1228" t="s">
        <v>6163</v>
      </c>
      <c r="B1228" s="1">
        <v>45275</v>
      </c>
      <c r="C1228" t="s">
        <v>5976</v>
      </c>
      <c r="D1228" t="s">
        <v>5977</v>
      </c>
      <c r="E1228">
        <v>71.05</v>
      </c>
      <c r="F1228" t="s">
        <v>5978</v>
      </c>
      <c r="G1228" t="s">
        <v>5979</v>
      </c>
      <c r="H1228" t="s">
        <v>4929</v>
      </c>
    </row>
    <row r="1229" spans="1:8" x14ac:dyDescent="0.3">
      <c r="A1229" t="s">
        <v>6164</v>
      </c>
      <c r="B1229" s="1">
        <v>45278</v>
      </c>
      <c r="C1229" t="s">
        <v>5976</v>
      </c>
      <c r="D1229" t="s">
        <v>5977</v>
      </c>
      <c r="E1229">
        <v>72.16</v>
      </c>
      <c r="F1229" t="s">
        <v>5978</v>
      </c>
      <c r="G1229" t="s">
        <v>5979</v>
      </c>
      <c r="H1229" t="s">
        <v>4929</v>
      </c>
    </row>
    <row r="1230" spans="1:8" x14ac:dyDescent="0.3">
      <c r="A1230" t="s">
        <v>6165</v>
      </c>
      <c r="B1230" s="1">
        <v>45279</v>
      </c>
      <c r="C1230" t="s">
        <v>5976</v>
      </c>
      <c r="D1230" t="s">
        <v>5977</v>
      </c>
      <c r="E1230">
        <v>73.23</v>
      </c>
      <c r="F1230" t="s">
        <v>5978</v>
      </c>
      <c r="G1230" t="s">
        <v>5979</v>
      </c>
      <c r="H1230" t="s">
        <v>4929</v>
      </c>
    </row>
    <row r="1231" spans="1:8" x14ac:dyDescent="0.3">
      <c r="A1231" t="s">
        <v>6166</v>
      </c>
      <c r="B1231" s="1">
        <v>45280</v>
      </c>
      <c r="C1231" t="s">
        <v>5976</v>
      </c>
      <c r="D1231" t="s">
        <v>5977</v>
      </c>
      <c r="E1231">
        <v>73.87</v>
      </c>
      <c r="F1231" t="s">
        <v>5978</v>
      </c>
      <c r="G1231" t="s">
        <v>5979</v>
      </c>
      <c r="H1231" t="s">
        <v>4929</v>
      </c>
    </row>
    <row r="1232" spans="1:8" x14ac:dyDescent="0.3">
      <c r="A1232" t="s">
        <v>6167</v>
      </c>
      <c r="B1232" s="1">
        <v>45281</v>
      </c>
      <c r="C1232" t="s">
        <v>5976</v>
      </c>
      <c r="D1232" t="s">
        <v>5977</v>
      </c>
      <c r="E1232">
        <v>73.59</v>
      </c>
      <c r="F1232" t="s">
        <v>5978</v>
      </c>
      <c r="G1232" t="s">
        <v>5979</v>
      </c>
      <c r="H1232" t="s">
        <v>4929</v>
      </c>
    </row>
    <row r="1233" spans="1:8" x14ac:dyDescent="0.3">
      <c r="A1233" t="s">
        <v>6168</v>
      </c>
      <c r="B1233" s="1">
        <v>45282</v>
      </c>
      <c r="C1233" t="s">
        <v>5976</v>
      </c>
      <c r="D1233" t="s">
        <v>5977</v>
      </c>
      <c r="E1233">
        <v>73.290000000000006</v>
      </c>
      <c r="F1233" t="s">
        <v>5978</v>
      </c>
      <c r="G1233" t="s">
        <v>5979</v>
      </c>
      <c r="H1233" t="s">
        <v>4929</v>
      </c>
    </row>
    <row r="1234" spans="1:8" x14ac:dyDescent="0.3">
      <c r="A1234" t="s">
        <v>6169</v>
      </c>
      <c r="B1234" s="1">
        <v>45285</v>
      </c>
      <c r="C1234" t="s">
        <v>5976</v>
      </c>
      <c r="D1234" t="s">
        <v>5977</v>
      </c>
      <c r="E1234">
        <v>73.290000000000006</v>
      </c>
      <c r="F1234" t="s">
        <v>5978</v>
      </c>
      <c r="G1234" t="s">
        <v>5979</v>
      </c>
      <c r="H1234" t="s">
        <v>4970</v>
      </c>
    </row>
    <row r="1235" spans="1:8" x14ac:dyDescent="0.3">
      <c r="A1235" t="s">
        <v>6170</v>
      </c>
      <c r="B1235" s="1">
        <v>45286</v>
      </c>
      <c r="C1235" t="s">
        <v>5976</v>
      </c>
      <c r="D1235" t="s">
        <v>5977</v>
      </c>
      <c r="E1235">
        <v>75.84</v>
      </c>
      <c r="F1235" t="s">
        <v>5978</v>
      </c>
      <c r="G1235" t="s">
        <v>5979</v>
      </c>
      <c r="H1235" t="s">
        <v>4929</v>
      </c>
    </row>
    <row r="1236" spans="1:8" x14ac:dyDescent="0.3">
      <c r="A1236" t="s">
        <v>6171</v>
      </c>
      <c r="B1236" s="1">
        <v>45287</v>
      </c>
      <c r="C1236" t="s">
        <v>5976</v>
      </c>
      <c r="D1236" t="s">
        <v>5977</v>
      </c>
      <c r="E1236">
        <v>74.31</v>
      </c>
      <c r="F1236" t="s">
        <v>5978</v>
      </c>
      <c r="G1236" t="s">
        <v>5979</v>
      </c>
      <c r="H1236" t="s">
        <v>4929</v>
      </c>
    </row>
    <row r="1237" spans="1:8" x14ac:dyDescent="0.3">
      <c r="A1237" t="s">
        <v>6172</v>
      </c>
      <c r="B1237" s="1">
        <v>45288</v>
      </c>
      <c r="C1237" t="s">
        <v>5976</v>
      </c>
      <c r="D1237" t="s">
        <v>5977</v>
      </c>
      <c r="E1237">
        <v>72.02</v>
      </c>
      <c r="F1237" t="s">
        <v>5978</v>
      </c>
      <c r="G1237" t="s">
        <v>5979</v>
      </c>
      <c r="H1237" t="s">
        <v>4929</v>
      </c>
    </row>
    <row r="1238" spans="1:8" x14ac:dyDescent="0.3">
      <c r="A1238" t="s">
        <v>6173</v>
      </c>
      <c r="B1238" s="1">
        <v>45289</v>
      </c>
      <c r="C1238" t="s">
        <v>5976</v>
      </c>
      <c r="D1238" t="s">
        <v>5977</v>
      </c>
      <c r="E1238">
        <v>71.89</v>
      </c>
      <c r="F1238" t="s">
        <v>5978</v>
      </c>
      <c r="G1238" t="s">
        <v>5979</v>
      </c>
      <c r="H1238" t="s">
        <v>4929</v>
      </c>
    </row>
    <row r="1239" spans="1:8" x14ac:dyDescent="0.3">
      <c r="A1239" t="s">
        <v>6174</v>
      </c>
      <c r="B1239" s="1">
        <v>45292</v>
      </c>
      <c r="C1239" t="s">
        <v>5976</v>
      </c>
      <c r="D1239" t="s">
        <v>5977</v>
      </c>
      <c r="E1239">
        <v>71.89</v>
      </c>
      <c r="F1239" t="s">
        <v>5978</v>
      </c>
      <c r="G1239" t="s">
        <v>5979</v>
      </c>
      <c r="H1239" t="s">
        <v>4970</v>
      </c>
    </row>
    <row r="1240" spans="1:8" x14ac:dyDescent="0.3">
      <c r="A1240" t="s">
        <v>6175</v>
      </c>
      <c r="B1240" s="1">
        <v>45293</v>
      </c>
      <c r="C1240" t="s">
        <v>5976</v>
      </c>
      <c r="D1240" t="s">
        <v>5977</v>
      </c>
      <c r="E1240">
        <v>70.62</v>
      </c>
      <c r="F1240" t="s">
        <v>5978</v>
      </c>
      <c r="G1240" t="s">
        <v>5979</v>
      </c>
      <c r="H1240" t="s">
        <v>4929</v>
      </c>
    </row>
    <row r="1241" spans="1:8" x14ac:dyDescent="0.3">
      <c r="A1241" t="s">
        <v>6176</v>
      </c>
      <c r="B1241" s="1">
        <v>45294</v>
      </c>
      <c r="C1241" t="s">
        <v>5976</v>
      </c>
      <c r="D1241" t="s">
        <v>5977</v>
      </c>
      <c r="E1241">
        <v>72.97</v>
      </c>
      <c r="F1241" t="s">
        <v>5978</v>
      </c>
      <c r="G1241" t="s">
        <v>5979</v>
      </c>
      <c r="H1241" t="s">
        <v>4929</v>
      </c>
    </row>
    <row r="1242" spans="1:8" x14ac:dyDescent="0.3">
      <c r="A1242" t="s">
        <v>6177</v>
      </c>
      <c r="B1242" s="1">
        <v>45295</v>
      </c>
      <c r="C1242" t="s">
        <v>5976</v>
      </c>
      <c r="D1242" t="s">
        <v>5977</v>
      </c>
      <c r="E1242">
        <v>72.38</v>
      </c>
      <c r="F1242" t="s">
        <v>5978</v>
      </c>
      <c r="G1242" t="s">
        <v>5979</v>
      </c>
      <c r="H1242" t="s">
        <v>4929</v>
      </c>
    </row>
    <row r="1243" spans="1:8" x14ac:dyDescent="0.3">
      <c r="A1243" t="s">
        <v>6178</v>
      </c>
      <c r="B1243" s="1">
        <v>45296</v>
      </c>
      <c r="C1243" t="s">
        <v>5976</v>
      </c>
      <c r="D1243" t="s">
        <v>5977</v>
      </c>
      <c r="E1243">
        <v>74</v>
      </c>
      <c r="F1243" t="s">
        <v>5978</v>
      </c>
      <c r="G1243" t="s">
        <v>5979</v>
      </c>
      <c r="H1243" t="s">
        <v>4929</v>
      </c>
    </row>
    <row r="1244" spans="1:8" x14ac:dyDescent="0.3">
      <c r="A1244" t="s">
        <v>6179</v>
      </c>
      <c r="B1244" s="1">
        <v>45299</v>
      </c>
      <c r="C1244" t="s">
        <v>5976</v>
      </c>
      <c r="D1244" t="s">
        <v>5977</v>
      </c>
      <c r="E1244">
        <v>71.06</v>
      </c>
      <c r="F1244" t="s">
        <v>5978</v>
      </c>
      <c r="G1244" t="s">
        <v>5979</v>
      </c>
      <c r="H1244" t="s">
        <v>4929</v>
      </c>
    </row>
    <row r="1245" spans="1:8" x14ac:dyDescent="0.3">
      <c r="A1245" t="s">
        <v>6180</v>
      </c>
      <c r="B1245" s="1">
        <v>45300</v>
      </c>
      <c r="C1245" t="s">
        <v>5976</v>
      </c>
      <c r="D1245" t="s">
        <v>5977</v>
      </c>
      <c r="E1245">
        <v>72.430000000000007</v>
      </c>
      <c r="F1245" t="s">
        <v>5978</v>
      </c>
      <c r="G1245" t="s">
        <v>5979</v>
      </c>
      <c r="H1245" t="s">
        <v>4929</v>
      </c>
    </row>
    <row r="1246" spans="1:8" x14ac:dyDescent="0.3">
      <c r="A1246" t="s">
        <v>6181</v>
      </c>
      <c r="B1246" s="1">
        <v>45301</v>
      </c>
      <c r="C1246" t="s">
        <v>5976</v>
      </c>
      <c r="D1246" t="s">
        <v>5977</v>
      </c>
      <c r="E1246">
        <v>71.569999999999993</v>
      </c>
      <c r="F1246" t="s">
        <v>5978</v>
      </c>
      <c r="G1246" t="s">
        <v>5979</v>
      </c>
      <c r="H1246" t="s">
        <v>4929</v>
      </c>
    </row>
    <row r="1247" spans="1:8" x14ac:dyDescent="0.3">
      <c r="A1247" t="s">
        <v>6182</v>
      </c>
      <c r="B1247" s="1">
        <v>45302</v>
      </c>
      <c r="C1247" t="s">
        <v>5976</v>
      </c>
      <c r="D1247" t="s">
        <v>5977</v>
      </c>
      <c r="E1247">
        <v>72.150000000000006</v>
      </c>
      <c r="F1247" t="s">
        <v>5978</v>
      </c>
      <c r="G1247" t="s">
        <v>5979</v>
      </c>
      <c r="H1247" t="s">
        <v>4929</v>
      </c>
    </row>
    <row r="1248" spans="1:8" x14ac:dyDescent="0.3">
      <c r="A1248" t="s">
        <v>6183</v>
      </c>
      <c r="B1248" s="1">
        <v>45303</v>
      </c>
      <c r="C1248" t="s">
        <v>5976</v>
      </c>
      <c r="D1248" t="s">
        <v>5977</v>
      </c>
      <c r="E1248">
        <v>72.94</v>
      </c>
      <c r="F1248" t="s">
        <v>5978</v>
      </c>
      <c r="G1248" t="s">
        <v>5979</v>
      </c>
      <c r="H1248" t="s">
        <v>4929</v>
      </c>
    </row>
    <row r="1249" spans="1:8" x14ac:dyDescent="0.3">
      <c r="A1249" t="s">
        <v>6184</v>
      </c>
      <c r="B1249" s="1">
        <v>45306</v>
      </c>
      <c r="C1249" t="s">
        <v>5976</v>
      </c>
      <c r="D1249" t="s">
        <v>5977</v>
      </c>
      <c r="E1249">
        <v>72.94</v>
      </c>
      <c r="F1249" t="s">
        <v>5978</v>
      </c>
      <c r="G1249" t="s">
        <v>5979</v>
      </c>
      <c r="H1249" t="s">
        <v>4970</v>
      </c>
    </row>
    <row r="1250" spans="1:8" x14ac:dyDescent="0.3">
      <c r="A1250" t="s">
        <v>6185</v>
      </c>
      <c r="B1250" s="1">
        <v>45307</v>
      </c>
      <c r="C1250" t="s">
        <v>5976</v>
      </c>
      <c r="D1250" t="s">
        <v>5977</v>
      </c>
      <c r="E1250">
        <v>72.63</v>
      </c>
      <c r="F1250" t="s">
        <v>5978</v>
      </c>
      <c r="G1250" t="s">
        <v>5979</v>
      </c>
      <c r="H1250" t="s">
        <v>4929</v>
      </c>
    </row>
    <row r="1251" spans="1:8" x14ac:dyDescent="0.3">
      <c r="A1251" t="s">
        <v>6186</v>
      </c>
      <c r="B1251" s="1">
        <v>45308</v>
      </c>
      <c r="C1251" t="s">
        <v>5976</v>
      </c>
      <c r="D1251" t="s">
        <v>5977</v>
      </c>
      <c r="E1251">
        <v>72.790000000000006</v>
      </c>
      <c r="F1251" t="s">
        <v>5978</v>
      </c>
      <c r="G1251" t="s">
        <v>5979</v>
      </c>
      <c r="H1251" t="s">
        <v>4929</v>
      </c>
    </row>
    <row r="1252" spans="1:8" x14ac:dyDescent="0.3">
      <c r="A1252" t="s">
        <v>6187</v>
      </c>
      <c r="B1252" s="1">
        <v>45309</v>
      </c>
      <c r="C1252" t="s">
        <v>5976</v>
      </c>
      <c r="D1252" t="s">
        <v>5977</v>
      </c>
      <c r="E1252">
        <v>74.319999999999993</v>
      </c>
      <c r="F1252" t="s">
        <v>5978</v>
      </c>
      <c r="G1252" t="s">
        <v>5979</v>
      </c>
      <c r="H1252" t="s">
        <v>4929</v>
      </c>
    </row>
    <row r="1253" spans="1:8" x14ac:dyDescent="0.3">
      <c r="A1253" t="s">
        <v>6188</v>
      </c>
      <c r="B1253" s="1">
        <v>45310</v>
      </c>
      <c r="C1253" t="s">
        <v>5976</v>
      </c>
      <c r="D1253" t="s">
        <v>5977</v>
      </c>
      <c r="E1253">
        <v>73.69</v>
      </c>
      <c r="F1253" t="s">
        <v>5978</v>
      </c>
      <c r="G1253" t="s">
        <v>5979</v>
      </c>
      <c r="H1253" t="s">
        <v>4929</v>
      </c>
    </row>
    <row r="1254" spans="1:8" x14ac:dyDescent="0.3">
      <c r="A1254" t="s">
        <v>6189</v>
      </c>
      <c r="B1254" s="1">
        <v>45313</v>
      </c>
      <c r="C1254" t="s">
        <v>5976</v>
      </c>
      <c r="D1254" t="s">
        <v>5977</v>
      </c>
      <c r="E1254">
        <v>75.260000000000005</v>
      </c>
      <c r="F1254" t="s">
        <v>5978</v>
      </c>
      <c r="G1254" t="s">
        <v>5979</v>
      </c>
      <c r="H1254" t="s">
        <v>4929</v>
      </c>
    </row>
    <row r="1255" spans="1:8" x14ac:dyDescent="0.3">
      <c r="A1255" t="s">
        <v>6190</v>
      </c>
      <c r="B1255" s="1">
        <v>45314</v>
      </c>
      <c r="C1255" t="s">
        <v>5976</v>
      </c>
      <c r="D1255" t="s">
        <v>5977</v>
      </c>
      <c r="E1255">
        <v>74.72</v>
      </c>
      <c r="F1255" t="s">
        <v>5978</v>
      </c>
      <c r="G1255" t="s">
        <v>5979</v>
      </c>
      <c r="H1255" t="s">
        <v>4929</v>
      </c>
    </row>
    <row r="1256" spans="1:8" x14ac:dyDescent="0.3">
      <c r="A1256" t="s">
        <v>6191</v>
      </c>
      <c r="B1256" s="1">
        <v>45315</v>
      </c>
      <c r="C1256" t="s">
        <v>5976</v>
      </c>
      <c r="D1256" t="s">
        <v>5977</v>
      </c>
      <c r="E1256">
        <v>75.48</v>
      </c>
      <c r="F1256" t="s">
        <v>5978</v>
      </c>
      <c r="G1256" t="s">
        <v>5979</v>
      </c>
      <c r="H1256" t="s">
        <v>4929</v>
      </c>
    </row>
    <row r="1257" spans="1:8" x14ac:dyDescent="0.3">
      <c r="A1257" t="s">
        <v>6192</v>
      </c>
      <c r="B1257" s="1">
        <v>45316</v>
      </c>
      <c r="C1257" t="s">
        <v>5976</v>
      </c>
      <c r="D1257" t="s">
        <v>5977</v>
      </c>
      <c r="E1257">
        <v>77.91</v>
      </c>
      <c r="F1257" t="s">
        <v>5978</v>
      </c>
      <c r="G1257" t="s">
        <v>5979</v>
      </c>
      <c r="H1257" t="s">
        <v>4929</v>
      </c>
    </row>
    <row r="1258" spans="1:8" x14ac:dyDescent="0.3">
      <c r="A1258" t="s">
        <v>6193</v>
      </c>
      <c r="B1258" s="1">
        <v>45317</v>
      </c>
      <c r="C1258" t="s">
        <v>5976</v>
      </c>
      <c r="D1258" t="s">
        <v>5977</v>
      </c>
      <c r="E1258">
        <v>78.45</v>
      </c>
      <c r="F1258" t="s">
        <v>5978</v>
      </c>
      <c r="G1258" t="s">
        <v>5979</v>
      </c>
      <c r="H1258" t="s">
        <v>4929</v>
      </c>
    </row>
    <row r="1259" spans="1:8" x14ac:dyDescent="0.3">
      <c r="A1259" t="s">
        <v>6194</v>
      </c>
      <c r="B1259" s="1">
        <v>45320</v>
      </c>
      <c r="C1259" t="s">
        <v>5976</v>
      </c>
      <c r="D1259" t="s">
        <v>5977</v>
      </c>
      <c r="E1259">
        <v>77.25</v>
      </c>
      <c r="F1259" t="s">
        <v>5978</v>
      </c>
      <c r="G1259" t="s">
        <v>5979</v>
      </c>
      <c r="H1259" t="s">
        <v>4929</v>
      </c>
    </row>
    <row r="1260" spans="1:8" x14ac:dyDescent="0.3">
      <c r="A1260" t="s">
        <v>6195</v>
      </c>
      <c r="B1260" s="1">
        <v>45321</v>
      </c>
      <c r="C1260" t="s">
        <v>5976</v>
      </c>
      <c r="D1260" t="s">
        <v>5977</v>
      </c>
      <c r="E1260">
        <v>78.3</v>
      </c>
      <c r="F1260" t="s">
        <v>5978</v>
      </c>
      <c r="G1260" t="s">
        <v>5979</v>
      </c>
      <c r="H1260" t="s">
        <v>4929</v>
      </c>
    </row>
    <row r="1261" spans="1:8" x14ac:dyDescent="0.3">
      <c r="A1261" t="s">
        <v>6196</v>
      </c>
      <c r="B1261" s="1">
        <v>45322</v>
      </c>
      <c r="C1261" t="s">
        <v>5976</v>
      </c>
      <c r="D1261" t="s">
        <v>5977</v>
      </c>
      <c r="E1261">
        <v>76.28</v>
      </c>
      <c r="F1261" t="s">
        <v>5978</v>
      </c>
      <c r="G1261" t="s">
        <v>5979</v>
      </c>
      <c r="H1261" t="s">
        <v>4929</v>
      </c>
    </row>
    <row r="1262" spans="1:8" x14ac:dyDescent="0.3">
      <c r="A1262" t="s">
        <v>6197</v>
      </c>
      <c r="B1262" s="1">
        <v>45323</v>
      </c>
      <c r="C1262" t="s">
        <v>5976</v>
      </c>
      <c r="D1262" t="s">
        <v>5977</v>
      </c>
      <c r="E1262">
        <v>74.36</v>
      </c>
      <c r="F1262" t="s">
        <v>5978</v>
      </c>
      <c r="G1262" t="s">
        <v>5979</v>
      </c>
      <c r="H1262" t="s">
        <v>4929</v>
      </c>
    </row>
    <row r="1263" spans="1:8" x14ac:dyDescent="0.3">
      <c r="A1263" t="s">
        <v>6198</v>
      </c>
      <c r="B1263" s="1">
        <v>45324</v>
      </c>
      <c r="C1263" t="s">
        <v>5976</v>
      </c>
      <c r="D1263" t="s">
        <v>5977</v>
      </c>
      <c r="E1263">
        <v>72.72</v>
      </c>
      <c r="F1263" t="s">
        <v>5978</v>
      </c>
      <c r="G1263" t="s">
        <v>5979</v>
      </c>
      <c r="H1263" t="s">
        <v>4929</v>
      </c>
    </row>
    <row r="1264" spans="1:8" x14ac:dyDescent="0.3">
      <c r="A1264" t="s">
        <v>6199</v>
      </c>
      <c r="B1264" s="1">
        <v>45327</v>
      </c>
      <c r="C1264" t="s">
        <v>5976</v>
      </c>
      <c r="D1264" t="s">
        <v>5977</v>
      </c>
      <c r="E1264">
        <v>73.209999999999994</v>
      </c>
      <c r="F1264" t="s">
        <v>5978</v>
      </c>
      <c r="G1264" t="s">
        <v>5979</v>
      </c>
      <c r="H1264" t="s">
        <v>4929</v>
      </c>
    </row>
    <row r="1265" spans="1:8" x14ac:dyDescent="0.3">
      <c r="A1265" t="s">
        <v>6200</v>
      </c>
      <c r="B1265" s="1">
        <v>45328</v>
      </c>
      <c r="C1265" t="s">
        <v>5976</v>
      </c>
      <c r="D1265" t="s">
        <v>5977</v>
      </c>
      <c r="E1265">
        <v>73.83</v>
      </c>
      <c r="F1265" t="s">
        <v>5978</v>
      </c>
      <c r="G1265" t="s">
        <v>5979</v>
      </c>
      <c r="H1265" t="s">
        <v>4929</v>
      </c>
    </row>
    <row r="1266" spans="1:8" x14ac:dyDescent="0.3">
      <c r="A1266" t="s">
        <v>6201</v>
      </c>
      <c r="B1266" s="1">
        <v>45329</v>
      </c>
      <c r="C1266" t="s">
        <v>5976</v>
      </c>
      <c r="D1266" t="s">
        <v>5977</v>
      </c>
      <c r="E1266">
        <v>74.260000000000005</v>
      </c>
      <c r="F1266" t="s">
        <v>5978</v>
      </c>
      <c r="G1266" t="s">
        <v>5979</v>
      </c>
      <c r="H1266" t="s">
        <v>4929</v>
      </c>
    </row>
    <row r="1267" spans="1:8" x14ac:dyDescent="0.3">
      <c r="A1267" t="s">
        <v>6202</v>
      </c>
      <c r="B1267" s="1">
        <v>45330</v>
      </c>
      <c r="C1267" t="s">
        <v>5976</v>
      </c>
      <c r="D1267" t="s">
        <v>5977</v>
      </c>
      <c r="E1267">
        <v>76.67</v>
      </c>
      <c r="F1267" t="s">
        <v>5978</v>
      </c>
      <c r="G1267" t="s">
        <v>5979</v>
      </c>
      <c r="H1267" t="s">
        <v>4929</v>
      </c>
    </row>
    <row r="1268" spans="1:8" x14ac:dyDescent="0.3">
      <c r="A1268" t="s">
        <v>6203</v>
      </c>
      <c r="B1268" s="1">
        <v>45331</v>
      </c>
      <c r="C1268" t="s">
        <v>5976</v>
      </c>
      <c r="D1268" t="s">
        <v>5977</v>
      </c>
      <c r="E1268">
        <v>77.260000000000005</v>
      </c>
      <c r="F1268" t="s">
        <v>5978</v>
      </c>
      <c r="G1268" t="s">
        <v>5979</v>
      </c>
      <c r="H1268" t="s">
        <v>4929</v>
      </c>
    </row>
    <row r="1269" spans="1:8" x14ac:dyDescent="0.3">
      <c r="A1269" t="s">
        <v>6204</v>
      </c>
      <c r="B1269" s="1">
        <v>45334</v>
      </c>
      <c r="C1269" t="s">
        <v>5976</v>
      </c>
      <c r="D1269" t="s">
        <v>5977</v>
      </c>
      <c r="E1269">
        <v>77.34</v>
      </c>
      <c r="F1269" t="s">
        <v>5978</v>
      </c>
      <c r="G1269" t="s">
        <v>5979</v>
      </c>
      <c r="H1269" t="s">
        <v>4929</v>
      </c>
    </row>
    <row r="1270" spans="1:8" x14ac:dyDescent="0.3">
      <c r="A1270" t="s">
        <v>6205</v>
      </c>
      <c r="B1270" s="1">
        <v>45335</v>
      </c>
      <c r="C1270" t="s">
        <v>5976</v>
      </c>
      <c r="D1270" t="s">
        <v>5977</v>
      </c>
      <c r="E1270">
        <v>78.28</v>
      </c>
      <c r="F1270" t="s">
        <v>5978</v>
      </c>
      <c r="G1270" t="s">
        <v>5979</v>
      </c>
      <c r="H1270" t="s">
        <v>4929</v>
      </c>
    </row>
    <row r="1271" spans="1:8" x14ac:dyDescent="0.3">
      <c r="A1271" t="s">
        <v>6206</v>
      </c>
      <c r="B1271" s="1">
        <v>45336</v>
      </c>
      <c r="C1271" t="s">
        <v>5976</v>
      </c>
      <c r="D1271" t="s">
        <v>5977</v>
      </c>
      <c r="E1271">
        <v>77.09</v>
      </c>
      <c r="F1271" t="s">
        <v>5978</v>
      </c>
      <c r="G1271" t="s">
        <v>5979</v>
      </c>
      <c r="H1271" t="s">
        <v>4929</v>
      </c>
    </row>
    <row r="1272" spans="1:8" x14ac:dyDescent="0.3">
      <c r="A1272" t="s">
        <v>6207</v>
      </c>
      <c r="B1272" s="1">
        <v>45337</v>
      </c>
      <c r="C1272" t="s">
        <v>5976</v>
      </c>
      <c r="D1272" t="s">
        <v>5977</v>
      </c>
      <c r="E1272">
        <v>78.47</v>
      </c>
      <c r="F1272" t="s">
        <v>5978</v>
      </c>
      <c r="G1272" t="s">
        <v>5979</v>
      </c>
      <c r="H1272" t="s">
        <v>4929</v>
      </c>
    </row>
    <row r="1273" spans="1:8" x14ac:dyDescent="0.3">
      <c r="A1273" t="s">
        <v>6208</v>
      </c>
      <c r="B1273" s="1">
        <v>45338</v>
      </c>
      <c r="C1273" t="s">
        <v>5976</v>
      </c>
      <c r="D1273" t="s">
        <v>5977</v>
      </c>
      <c r="E1273">
        <v>79.650000000000006</v>
      </c>
      <c r="F1273" t="s">
        <v>5978</v>
      </c>
      <c r="G1273" t="s">
        <v>5979</v>
      </c>
      <c r="H1273" t="s">
        <v>4929</v>
      </c>
    </row>
    <row r="1274" spans="1:8" x14ac:dyDescent="0.3">
      <c r="A1274" t="s">
        <v>6209</v>
      </c>
      <c r="B1274" s="1">
        <v>45341</v>
      </c>
      <c r="C1274" t="s">
        <v>5976</v>
      </c>
      <c r="D1274" t="s">
        <v>5977</v>
      </c>
      <c r="E1274">
        <v>79.650000000000006</v>
      </c>
      <c r="F1274" t="s">
        <v>5978</v>
      </c>
      <c r="G1274" t="s">
        <v>5979</v>
      </c>
      <c r="H1274" t="s">
        <v>4970</v>
      </c>
    </row>
    <row r="1275" spans="1:8" x14ac:dyDescent="0.3">
      <c r="A1275" t="s">
        <v>6210</v>
      </c>
      <c r="B1275" s="1">
        <v>45342</v>
      </c>
      <c r="C1275" t="s">
        <v>5976</v>
      </c>
      <c r="D1275" t="s">
        <v>5977</v>
      </c>
      <c r="E1275">
        <v>78.72</v>
      </c>
      <c r="F1275" t="s">
        <v>5978</v>
      </c>
      <c r="G1275" t="s">
        <v>5979</v>
      </c>
      <c r="H1275" t="s">
        <v>4929</v>
      </c>
    </row>
    <row r="1276" spans="1:8" x14ac:dyDescent="0.3">
      <c r="A1276" t="s">
        <v>6211</v>
      </c>
      <c r="B1276" s="1">
        <v>45343</v>
      </c>
      <c r="C1276" t="s">
        <v>5976</v>
      </c>
      <c r="D1276" t="s">
        <v>5977</v>
      </c>
      <c r="E1276">
        <v>78.89</v>
      </c>
      <c r="F1276" t="s">
        <v>5978</v>
      </c>
      <c r="G1276" t="s">
        <v>5979</v>
      </c>
      <c r="H1276" t="s">
        <v>4929</v>
      </c>
    </row>
    <row r="1277" spans="1:8" x14ac:dyDescent="0.3">
      <c r="A1277" t="s">
        <v>6212</v>
      </c>
      <c r="B1277" s="1">
        <v>45344</v>
      </c>
      <c r="C1277" t="s">
        <v>5976</v>
      </c>
      <c r="D1277" t="s">
        <v>5977</v>
      </c>
      <c r="E1277">
        <v>79.64</v>
      </c>
      <c r="F1277" t="s">
        <v>5978</v>
      </c>
      <c r="G1277" t="s">
        <v>5979</v>
      </c>
      <c r="H1277" t="s">
        <v>4929</v>
      </c>
    </row>
    <row r="1278" spans="1:8" x14ac:dyDescent="0.3">
      <c r="A1278" t="s">
        <v>6213</v>
      </c>
      <c r="B1278" s="1">
        <v>45345</v>
      </c>
      <c r="C1278" t="s">
        <v>5976</v>
      </c>
      <c r="D1278" t="s">
        <v>5977</v>
      </c>
      <c r="E1278">
        <v>77.599999999999994</v>
      </c>
      <c r="F1278" t="s">
        <v>5978</v>
      </c>
      <c r="G1278" t="s">
        <v>5979</v>
      </c>
      <c r="H1278" t="s">
        <v>4929</v>
      </c>
    </row>
    <row r="1279" spans="1:8" x14ac:dyDescent="0.3">
      <c r="A1279" t="s">
        <v>6214</v>
      </c>
      <c r="B1279" s="1">
        <v>45348</v>
      </c>
      <c r="C1279" t="s">
        <v>5976</v>
      </c>
      <c r="D1279" t="s">
        <v>5977</v>
      </c>
      <c r="E1279">
        <v>78.53</v>
      </c>
      <c r="F1279" t="s">
        <v>5978</v>
      </c>
      <c r="G1279" t="s">
        <v>5979</v>
      </c>
      <c r="H1279" t="s">
        <v>4929</v>
      </c>
    </row>
    <row r="1280" spans="1:8" x14ac:dyDescent="0.3">
      <c r="A1280" t="s">
        <v>6215</v>
      </c>
      <c r="B1280" s="1">
        <v>45349</v>
      </c>
      <c r="C1280" t="s">
        <v>5976</v>
      </c>
      <c r="D1280" t="s">
        <v>5977</v>
      </c>
      <c r="E1280">
        <v>79.8</v>
      </c>
      <c r="F1280" t="s">
        <v>5978</v>
      </c>
      <c r="G1280" t="s">
        <v>5979</v>
      </c>
      <c r="H1280" t="s">
        <v>4929</v>
      </c>
    </row>
    <row r="1281" spans="1:8" x14ac:dyDescent="0.3">
      <c r="A1281" t="s">
        <v>6216</v>
      </c>
      <c r="B1281" s="1">
        <v>45350</v>
      </c>
      <c r="C1281" t="s">
        <v>5976</v>
      </c>
      <c r="D1281" t="s">
        <v>5977</v>
      </c>
      <c r="E1281">
        <v>79.44</v>
      </c>
      <c r="F1281" t="s">
        <v>5978</v>
      </c>
      <c r="G1281" t="s">
        <v>5979</v>
      </c>
      <c r="H1281" t="s">
        <v>4929</v>
      </c>
    </row>
    <row r="1282" spans="1:8" x14ac:dyDescent="0.3">
      <c r="A1282" t="s">
        <v>6217</v>
      </c>
      <c r="B1282" s="1">
        <v>45351</v>
      </c>
      <c r="C1282" t="s">
        <v>5976</v>
      </c>
      <c r="D1282" t="s">
        <v>5977</v>
      </c>
      <c r="E1282">
        <v>79.22</v>
      </c>
      <c r="F1282" t="s">
        <v>5978</v>
      </c>
      <c r="G1282" t="s">
        <v>5979</v>
      </c>
      <c r="H1282" t="s">
        <v>4929</v>
      </c>
    </row>
    <row r="1283" spans="1:8" x14ac:dyDescent="0.3">
      <c r="A1283" t="s">
        <v>6218</v>
      </c>
      <c r="B1283" s="1">
        <v>45352</v>
      </c>
      <c r="C1283" t="s">
        <v>5976</v>
      </c>
      <c r="D1283" t="s">
        <v>5977</v>
      </c>
      <c r="E1283">
        <v>80.900000000000006</v>
      </c>
      <c r="F1283" t="s">
        <v>5978</v>
      </c>
      <c r="G1283" t="s">
        <v>5979</v>
      </c>
      <c r="H1283" t="s">
        <v>4929</v>
      </c>
    </row>
    <row r="1284" spans="1:8" x14ac:dyDescent="0.3">
      <c r="A1284" t="s">
        <v>6219</v>
      </c>
      <c r="B1284" s="1">
        <v>45355</v>
      </c>
      <c r="C1284" t="s">
        <v>5976</v>
      </c>
      <c r="D1284" t="s">
        <v>5977</v>
      </c>
      <c r="E1284">
        <v>79.67</v>
      </c>
      <c r="F1284" t="s">
        <v>5978</v>
      </c>
      <c r="G1284" t="s">
        <v>5979</v>
      </c>
      <c r="H1284" t="s">
        <v>4929</v>
      </c>
    </row>
    <row r="1285" spans="1:8" x14ac:dyDescent="0.3">
      <c r="A1285" t="s">
        <v>6220</v>
      </c>
      <c r="B1285" s="1">
        <v>45356</v>
      </c>
      <c r="C1285" t="s">
        <v>5976</v>
      </c>
      <c r="D1285" t="s">
        <v>5977</v>
      </c>
      <c r="E1285">
        <v>79.11</v>
      </c>
      <c r="F1285" t="s">
        <v>5978</v>
      </c>
      <c r="G1285" t="s">
        <v>5979</v>
      </c>
      <c r="H1285" t="s">
        <v>4929</v>
      </c>
    </row>
    <row r="1286" spans="1:8" x14ac:dyDescent="0.3">
      <c r="A1286" t="s">
        <v>6221</v>
      </c>
      <c r="B1286" s="1">
        <v>45357</v>
      </c>
      <c r="C1286" t="s">
        <v>5976</v>
      </c>
      <c r="D1286" t="s">
        <v>5977</v>
      </c>
      <c r="E1286">
        <v>80.08</v>
      </c>
      <c r="F1286" t="s">
        <v>5978</v>
      </c>
      <c r="G1286" t="s">
        <v>5979</v>
      </c>
      <c r="H1286" t="s">
        <v>4929</v>
      </c>
    </row>
    <row r="1287" spans="1:8" x14ac:dyDescent="0.3">
      <c r="A1287" t="s">
        <v>6222</v>
      </c>
      <c r="B1287" s="1">
        <v>45358</v>
      </c>
      <c r="C1287" t="s">
        <v>5976</v>
      </c>
      <c r="D1287" t="s">
        <v>5977</v>
      </c>
      <c r="E1287">
        <v>79.81</v>
      </c>
      <c r="F1287" t="s">
        <v>5978</v>
      </c>
      <c r="G1287" t="s">
        <v>5979</v>
      </c>
      <c r="H1287" t="s">
        <v>4929</v>
      </c>
    </row>
    <row r="1288" spans="1:8" x14ac:dyDescent="0.3">
      <c r="A1288" t="s">
        <v>6223</v>
      </c>
      <c r="B1288" s="1">
        <v>45359</v>
      </c>
      <c r="C1288" t="s">
        <v>5976</v>
      </c>
      <c r="D1288" t="s">
        <v>5977</v>
      </c>
      <c r="E1288">
        <v>78.959999999999994</v>
      </c>
      <c r="F1288" t="s">
        <v>5978</v>
      </c>
      <c r="G1288" t="s">
        <v>5979</v>
      </c>
      <c r="H1288" t="s">
        <v>4929</v>
      </c>
    </row>
    <row r="1289" spans="1:8" x14ac:dyDescent="0.3">
      <c r="A1289" t="s">
        <v>6224</v>
      </c>
      <c r="B1289" s="1">
        <v>45362</v>
      </c>
      <c r="C1289" t="s">
        <v>5976</v>
      </c>
      <c r="D1289" t="s">
        <v>5977</v>
      </c>
      <c r="E1289">
        <v>78.87</v>
      </c>
      <c r="F1289" t="s">
        <v>5978</v>
      </c>
      <c r="G1289" t="s">
        <v>5979</v>
      </c>
      <c r="H1289" t="s">
        <v>4929</v>
      </c>
    </row>
    <row r="1290" spans="1:8" x14ac:dyDescent="0.3">
      <c r="A1290" t="s">
        <v>6225</v>
      </c>
      <c r="B1290" s="1">
        <v>45363</v>
      </c>
      <c r="C1290" t="s">
        <v>5976</v>
      </c>
      <c r="D1290" t="s">
        <v>5977</v>
      </c>
      <c r="E1290">
        <v>78.510000000000005</v>
      </c>
      <c r="F1290" t="s">
        <v>5978</v>
      </c>
      <c r="G1290" t="s">
        <v>5979</v>
      </c>
      <c r="H1290" t="s">
        <v>4929</v>
      </c>
    </row>
    <row r="1291" spans="1:8" x14ac:dyDescent="0.3">
      <c r="A1291" t="s">
        <v>6226</v>
      </c>
      <c r="B1291" s="1">
        <v>45364</v>
      </c>
      <c r="C1291" t="s">
        <v>5976</v>
      </c>
      <c r="D1291" t="s">
        <v>5977</v>
      </c>
      <c r="E1291">
        <v>80.67</v>
      </c>
      <c r="F1291" t="s">
        <v>5978</v>
      </c>
      <c r="G1291" t="s">
        <v>5979</v>
      </c>
      <c r="H1291" t="s">
        <v>4929</v>
      </c>
    </row>
    <row r="1292" spans="1:8" x14ac:dyDescent="0.3">
      <c r="A1292" t="s">
        <v>6227</v>
      </c>
      <c r="B1292" s="1">
        <v>45365</v>
      </c>
      <c r="C1292" t="s">
        <v>5976</v>
      </c>
      <c r="D1292" t="s">
        <v>5977</v>
      </c>
      <c r="E1292">
        <v>82.16</v>
      </c>
      <c r="F1292" t="s">
        <v>5978</v>
      </c>
      <c r="G1292" t="s">
        <v>5979</v>
      </c>
      <c r="H1292" t="s">
        <v>4929</v>
      </c>
    </row>
    <row r="1293" spans="1:8" x14ac:dyDescent="0.3">
      <c r="A1293" t="s">
        <v>6228</v>
      </c>
      <c r="B1293" s="1">
        <v>45366</v>
      </c>
      <c r="C1293" t="s">
        <v>5976</v>
      </c>
      <c r="D1293" t="s">
        <v>5977</v>
      </c>
      <c r="E1293">
        <v>81.94</v>
      </c>
      <c r="F1293" t="s">
        <v>5978</v>
      </c>
      <c r="G1293" t="s">
        <v>5979</v>
      </c>
      <c r="H1293" t="s">
        <v>4929</v>
      </c>
    </row>
    <row r="1294" spans="1:8" x14ac:dyDescent="0.3">
      <c r="A1294" t="s">
        <v>6229</v>
      </c>
      <c r="B1294" s="1">
        <v>45369</v>
      </c>
      <c r="C1294" t="s">
        <v>5976</v>
      </c>
      <c r="D1294" t="s">
        <v>5977</v>
      </c>
      <c r="E1294">
        <v>83.68</v>
      </c>
      <c r="F1294" t="s">
        <v>5978</v>
      </c>
      <c r="G1294" t="s">
        <v>5979</v>
      </c>
      <c r="H1294" t="s">
        <v>4929</v>
      </c>
    </row>
    <row r="1295" spans="1:8" x14ac:dyDescent="0.3">
      <c r="A1295" t="s">
        <v>6230</v>
      </c>
      <c r="B1295" s="1">
        <v>45370</v>
      </c>
      <c r="C1295" t="s">
        <v>5976</v>
      </c>
      <c r="D1295" t="s">
        <v>5977</v>
      </c>
      <c r="E1295">
        <v>84.39</v>
      </c>
      <c r="F1295" t="s">
        <v>5978</v>
      </c>
      <c r="G1295" t="s">
        <v>5979</v>
      </c>
      <c r="H1295" t="s">
        <v>4929</v>
      </c>
    </row>
    <row r="1296" spans="1:8" x14ac:dyDescent="0.3">
      <c r="A1296" t="s">
        <v>6231</v>
      </c>
      <c r="B1296" s="1">
        <v>45371</v>
      </c>
      <c r="C1296" t="s">
        <v>5976</v>
      </c>
      <c r="D1296" t="s">
        <v>5977</v>
      </c>
      <c r="E1296">
        <v>82.79</v>
      </c>
      <c r="F1296" t="s">
        <v>5978</v>
      </c>
      <c r="G1296" t="s">
        <v>5979</v>
      </c>
      <c r="H1296" t="s">
        <v>4929</v>
      </c>
    </row>
    <row r="1297" spans="1:8" x14ac:dyDescent="0.3">
      <c r="A1297" t="s">
        <v>6232</v>
      </c>
      <c r="B1297" s="1">
        <v>45372</v>
      </c>
      <c r="C1297" t="s">
        <v>5976</v>
      </c>
      <c r="D1297" t="s">
        <v>5977</v>
      </c>
      <c r="E1297">
        <v>81.99</v>
      </c>
      <c r="F1297" t="s">
        <v>5978</v>
      </c>
      <c r="G1297" t="s">
        <v>5979</v>
      </c>
      <c r="H1297" t="s">
        <v>4929</v>
      </c>
    </row>
    <row r="1298" spans="1:8" x14ac:dyDescent="0.3">
      <c r="A1298" t="s">
        <v>6233</v>
      </c>
      <c r="B1298" s="1">
        <v>45373</v>
      </c>
      <c r="C1298" t="s">
        <v>5976</v>
      </c>
      <c r="D1298" t="s">
        <v>5977</v>
      </c>
      <c r="E1298">
        <v>81.099999999999994</v>
      </c>
      <c r="F1298" t="s">
        <v>5978</v>
      </c>
      <c r="G1298" t="s">
        <v>5979</v>
      </c>
      <c r="H1298" t="s">
        <v>4929</v>
      </c>
    </row>
    <row r="1299" spans="1:8" x14ac:dyDescent="0.3">
      <c r="A1299" t="s">
        <v>6234</v>
      </c>
      <c r="B1299" s="1">
        <v>45376</v>
      </c>
      <c r="C1299" t="s">
        <v>5976</v>
      </c>
      <c r="D1299" t="s">
        <v>5977</v>
      </c>
      <c r="E1299">
        <v>82.41</v>
      </c>
      <c r="F1299" t="s">
        <v>5978</v>
      </c>
      <c r="G1299" t="s">
        <v>5979</v>
      </c>
      <c r="H1299" t="s">
        <v>4929</v>
      </c>
    </row>
    <row r="1300" spans="1:8" x14ac:dyDescent="0.3">
      <c r="A1300" t="s">
        <v>6235</v>
      </c>
      <c r="B1300" s="1">
        <v>45377</v>
      </c>
      <c r="C1300" t="s">
        <v>5976</v>
      </c>
      <c r="D1300" t="s">
        <v>5977</v>
      </c>
      <c r="E1300">
        <v>82.41</v>
      </c>
      <c r="F1300" t="s">
        <v>5978</v>
      </c>
      <c r="G1300" t="s">
        <v>5979</v>
      </c>
      <c r="H1300" t="s">
        <v>4929</v>
      </c>
    </row>
    <row r="1301" spans="1:8" x14ac:dyDescent="0.3">
      <c r="A1301" t="s">
        <v>6236</v>
      </c>
      <c r="B1301" s="1">
        <v>45378</v>
      </c>
      <c r="C1301" t="s">
        <v>5976</v>
      </c>
      <c r="D1301" t="s">
        <v>5977</v>
      </c>
      <c r="E1301">
        <v>82.15</v>
      </c>
      <c r="F1301" t="s">
        <v>5978</v>
      </c>
      <c r="G1301" t="s">
        <v>5979</v>
      </c>
      <c r="H1301" t="s">
        <v>4929</v>
      </c>
    </row>
    <row r="1302" spans="1:8" x14ac:dyDescent="0.3">
      <c r="A1302" t="s">
        <v>6237</v>
      </c>
      <c r="B1302" s="1">
        <v>45379</v>
      </c>
      <c r="C1302" t="s">
        <v>5976</v>
      </c>
      <c r="D1302" t="s">
        <v>5977</v>
      </c>
      <c r="E1302">
        <v>83.96</v>
      </c>
      <c r="F1302" t="s">
        <v>5978</v>
      </c>
      <c r="G1302" t="s">
        <v>5979</v>
      </c>
      <c r="H1302" t="s">
        <v>4929</v>
      </c>
    </row>
    <row r="1303" spans="1:8" x14ac:dyDescent="0.3">
      <c r="A1303" t="s">
        <v>6238</v>
      </c>
      <c r="B1303" s="1">
        <v>45380</v>
      </c>
      <c r="C1303" t="s">
        <v>5976</v>
      </c>
      <c r="D1303" t="s">
        <v>5977</v>
      </c>
      <c r="E1303">
        <v>83.96</v>
      </c>
      <c r="F1303" t="s">
        <v>5978</v>
      </c>
      <c r="G1303" t="s">
        <v>5979</v>
      </c>
      <c r="H1303" t="s">
        <v>4970</v>
      </c>
    </row>
    <row r="1304" spans="1:8" x14ac:dyDescent="0.3">
      <c r="A1304" t="s">
        <v>6239</v>
      </c>
      <c r="B1304" s="1">
        <v>45383</v>
      </c>
      <c r="C1304" t="s">
        <v>5976</v>
      </c>
      <c r="D1304" t="s">
        <v>5977</v>
      </c>
      <c r="E1304">
        <v>84.54</v>
      </c>
      <c r="F1304" t="s">
        <v>5978</v>
      </c>
      <c r="G1304" t="s">
        <v>5979</v>
      </c>
      <c r="H1304" t="s">
        <v>4929</v>
      </c>
    </row>
    <row r="1305" spans="1:8" x14ac:dyDescent="0.3">
      <c r="A1305" t="s">
        <v>6240</v>
      </c>
      <c r="B1305" s="1">
        <v>45384</v>
      </c>
      <c r="C1305" t="s">
        <v>5976</v>
      </c>
      <c r="D1305" t="s">
        <v>5977</v>
      </c>
      <c r="E1305">
        <v>85.95</v>
      </c>
      <c r="F1305" t="s">
        <v>5978</v>
      </c>
      <c r="G1305" t="s">
        <v>5979</v>
      </c>
      <c r="H1305" t="s">
        <v>4929</v>
      </c>
    </row>
    <row r="1306" spans="1:8" x14ac:dyDescent="0.3">
      <c r="A1306" t="s">
        <v>6241</v>
      </c>
      <c r="B1306" s="1">
        <v>45385</v>
      </c>
      <c r="C1306" t="s">
        <v>5976</v>
      </c>
      <c r="D1306" t="s">
        <v>5977</v>
      </c>
      <c r="E1306">
        <v>86.22</v>
      </c>
      <c r="F1306" t="s">
        <v>5978</v>
      </c>
      <c r="G1306" t="s">
        <v>5979</v>
      </c>
      <c r="H1306" t="s">
        <v>4929</v>
      </c>
    </row>
    <row r="1307" spans="1:8" x14ac:dyDescent="0.3">
      <c r="A1307" t="s">
        <v>6242</v>
      </c>
      <c r="B1307" s="1">
        <v>45386</v>
      </c>
      <c r="C1307" t="s">
        <v>5976</v>
      </c>
      <c r="D1307" t="s">
        <v>5977</v>
      </c>
      <c r="E1307">
        <v>87.37</v>
      </c>
      <c r="F1307" t="s">
        <v>5978</v>
      </c>
      <c r="G1307" t="s">
        <v>5979</v>
      </c>
      <c r="H1307" t="s">
        <v>4929</v>
      </c>
    </row>
    <row r="1308" spans="1:8" x14ac:dyDescent="0.3">
      <c r="A1308" t="s">
        <v>6243</v>
      </c>
      <c r="B1308" s="1">
        <v>45387</v>
      </c>
      <c r="C1308" t="s">
        <v>5976</v>
      </c>
      <c r="D1308" t="s">
        <v>5977</v>
      </c>
      <c r="E1308">
        <v>87.69</v>
      </c>
      <c r="F1308" t="s">
        <v>5978</v>
      </c>
      <c r="G1308" t="s">
        <v>5979</v>
      </c>
      <c r="H1308" t="s">
        <v>4929</v>
      </c>
    </row>
    <row r="1309" spans="1:8" x14ac:dyDescent="0.3">
      <c r="A1309" t="s">
        <v>6244</v>
      </c>
      <c r="B1309" s="1">
        <v>45390</v>
      </c>
      <c r="C1309" t="s">
        <v>5976</v>
      </c>
      <c r="D1309" t="s">
        <v>5977</v>
      </c>
      <c r="E1309">
        <v>87.24</v>
      </c>
      <c r="F1309" t="s">
        <v>5978</v>
      </c>
      <c r="G1309" t="s">
        <v>5979</v>
      </c>
      <c r="H1309" t="s">
        <v>4929</v>
      </c>
    </row>
    <row r="1310" spans="1:8" x14ac:dyDescent="0.3">
      <c r="A1310" t="s">
        <v>6245</v>
      </c>
      <c r="B1310" s="1">
        <v>45391</v>
      </c>
      <c r="C1310" t="s">
        <v>5976</v>
      </c>
      <c r="D1310" t="s">
        <v>5977</v>
      </c>
      <c r="E1310">
        <v>86.04</v>
      </c>
      <c r="F1310" t="s">
        <v>5978</v>
      </c>
      <c r="G1310" t="s">
        <v>5979</v>
      </c>
      <c r="H1310" t="s">
        <v>4929</v>
      </c>
    </row>
    <row r="1311" spans="1:8" x14ac:dyDescent="0.3">
      <c r="A1311" t="s">
        <v>6246</v>
      </c>
      <c r="B1311" s="1">
        <v>45392</v>
      </c>
      <c r="C1311" t="s">
        <v>5976</v>
      </c>
      <c r="D1311" t="s">
        <v>5977</v>
      </c>
      <c r="E1311">
        <v>86.98</v>
      </c>
      <c r="F1311" t="s">
        <v>5978</v>
      </c>
      <c r="G1311" t="s">
        <v>5979</v>
      </c>
      <c r="H1311" t="s">
        <v>4929</v>
      </c>
    </row>
    <row r="1312" spans="1:8" x14ac:dyDescent="0.3">
      <c r="A1312" t="s">
        <v>6247</v>
      </c>
      <c r="B1312" s="1">
        <v>45393</v>
      </c>
      <c r="C1312" t="s">
        <v>5976</v>
      </c>
      <c r="D1312" t="s">
        <v>5977</v>
      </c>
      <c r="E1312">
        <v>85.79</v>
      </c>
      <c r="F1312" t="s">
        <v>5978</v>
      </c>
      <c r="G1312" t="s">
        <v>5979</v>
      </c>
      <c r="H1312" t="s">
        <v>4929</v>
      </c>
    </row>
    <row r="1313" spans="1:8" x14ac:dyDescent="0.3">
      <c r="A1313" t="s">
        <v>6248</v>
      </c>
      <c r="B1313" s="1">
        <v>45394</v>
      </c>
      <c r="C1313" t="s">
        <v>5976</v>
      </c>
      <c r="D1313" t="s">
        <v>5977</v>
      </c>
      <c r="E1313">
        <v>86.46</v>
      </c>
      <c r="F1313" t="s">
        <v>5978</v>
      </c>
      <c r="G1313" t="s">
        <v>5979</v>
      </c>
      <c r="H1313" t="s">
        <v>4929</v>
      </c>
    </row>
    <row r="1314" spans="1:8" x14ac:dyDescent="0.3">
      <c r="A1314" t="s">
        <v>6249</v>
      </c>
      <c r="B1314" s="1">
        <v>45397</v>
      </c>
      <c r="C1314" t="s">
        <v>5976</v>
      </c>
      <c r="D1314" t="s">
        <v>5977</v>
      </c>
      <c r="E1314">
        <v>86.21</v>
      </c>
      <c r="F1314" t="s">
        <v>5978</v>
      </c>
      <c r="G1314" t="s">
        <v>5979</v>
      </c>
      <c r="H1314" t="s">
        <v>4929</v>
      </c>
    </row>
    <row r="1315" spans="1:8" x14ac:dyDescent="0.3">
      <c r="A1315" t="s">
        <v>6250</v>
      </c>
      <c r="B1315" s="1">
        <v>45398</v>
      </c>
      <c r="C1315" t="s">
        <v>5976</v>
      </c>
      <c r="D1315" t="s">
        <v>5977</v>
      </c>
      <c r="E1315">
        <v>86.15</v>
      </c>
      <c r="F1315" t="s">
        <v>5978</v>
      </c>
      <c r="G1315" t="s">
        <v>5979</v>
      </c>
      <c r="H1315" t="s">
        <v>4929</v>
      </c>
    </row>
    <row r="1316" spans="1:8" x14ac:dyDescent="0.3">
      <c r="A1316" t="s">
        <v>6251</v>
      </c>
      <c r="B1316" s="1">
        <v>45399</v>
      </c>
      <c r="C1316" t="s">
        <v>5976</v>
      </c>
      <c r="D1316" t="s">
        <v>5977</v>
      </c>
      <c r="E1316">
        <v>83.58</v>
      </c>
      <c r="F1316" t="s">
        <v>5978</v>
      </c>
      <c r="G1316" t="s">
        <v>5979</v>
      </c>
      <c r="H1316" t="s">
        <v>4929</v>
      </c>
    </row>
    <row r="1317" spans="1:8" x14ac:dyDescent="0.3">
      <c r="A1317" t="s">
        <v>6252</v>
      </c>
      <c r="B1317" s="1">
        <v>45400</v>
      </c>
      <c r="C1317" t="s">
        <v>5976</v>
      </c>
      <c r="D1317" t="s">
        <v>5977</v>
      </c>
      <c r="E1317">
        <v>83.5</v>
      </c>
      <c r="F1317" t="s">
        <v>5978</v>
      </c>
      <c r="G1317" t="s">
        <v>5979</v>
      </c>
      <c r="H1317" t="s">
        <v>4929</v>
      </c>
    </row>
    <row r="1318" spans="1:8" x14ac:dyDescent="0.3">
      <c r="A1318" t="s">
        <v>6253</v>
      </c>
      <c r="B1318" s="1">
        <v>45401</v>
      </c>
      <c r="C1318" t="s">
        <v>5976</v>
      </c>
      <c r="D1318" t="s">
        <v>5977</v>
      </c>
      <c r="E1318">
        <v>83.79</v>
      </c>
      <c r="F1318" t="s">
        <v>5978</v>
      </c>
      <c r="G1318" t="s">
        <v>5979</v>
      </c>
      <c r="H1318" t="s">
        <v>4929</v>
      </c>
    </row>
    <row r="1319" spans="1:8" x14ac:dyDescent="0.3">
      <c r="A1319" t="s">
        <v>6254</v>
      </c>
      <c r="B1319" s="1">
        <v>45404</v>
      </c>
      <c r="C1319" t="s">
        <v>5976</v>
      </c>
      <c r="D1319" t="s">
        <v>5977</v>
      </c>
      <c r="E1319">
        <v>83.82</v>
      </c>
      <c r="F1319" t="s">
        <v>5978</v>
      </c>
      <c r="G1319" t="s">
        <v>5979</v>
      </c>
      <c r="H1319" t="s">
        <v>4929</v>
      </c>
    </row>
    <row r="1320" spans="1:8" x14ac:dyDescent="0.3">
      <c r="A1320" t="s">
        <v>6255</v>
      </c>
      <c r="B1320" s="1">
        <v>45405</v>
      </c>
      <c r="C1320" t="s">
        <v>5976</v>
      </c>
      <c r="D1320" t="s">
        <v>5977</v>
      </c>
      <c r="E1320">
        <v>84.17</v>
      </c>
      <c r="F1320" t="s">
        <v>5978</v>
      </c>
      <c r="G1320" t="s">
        <v>5979</v>
      </c>
      <c r="H1320" t="s">
        <v>4929</v>
      </c>
    </row>
    <row r="1321" spans="1:8" x14ac:dyDescent="0.3">
      <c r="A1321" t="s">
        <v>6256</v>
      </c>
      <c r="B1321" s="1">
        <v>45406</v>
      </c>
      <c r="C1321" t="s">
        <v>5976</v>
      </c>
      <c r="D1321" t="s">
        <v>5977</v>
      </c>
      <c r="E1321">
        <v>84.09</v>
      </c>
      <c r="F1321" t="s">
        <v>5978</v>
      </c>
      <c r="G1321" t="s">
        <v>5979</v>
      </c>
      <c r="H1321" t="s">
        <v>4929</v>
      </c>
    </row>
    <row r="1322" spans="1:8" x14ac:dyDescent="0.3">
      <c r="A1322" t="s">
        <v>6257</v>
      </c>
      <c r="B1322" s="1">
        <v>45407</v>
      </c>
      <c r="C1322" t="s">
        <v>5976</v>
      </c>
      <c r="D1322" t="s">
        <v>5977</v>
      </c>
      <c r="E1322">
        <v>84.92</v>
      </c>
      <c r="F1322" t="s">
        <v>5978</v>
      </c>
      <c r="G1322" t="s">
        <v>5979</v>
      </c>
      <c r="H1322" t="s">
        <v>4929</v>
      </c>
    </row>
    <row r="1323" spans="1:8" x14ac:dyDescent="0.3">
      <c r="A1323" t="s">
        <v>6258</v>
      </c>
      <c r="B1323" s="1">
        <v>45408</v>
      </c>
      <c r="C1323" t="s">
        <v>5976</v>
      </c>
      <c r="D1323" t="s">
        <v>5977</v>
      </c>
      <c r="E1323">
        <v>85.38</v>
      </c>
      <c r="F1323" t="s">
        <v>5978</v>
      </c>
      <c r="G1323" t="s">
        <v>5979</v>
      </c>
      <c r="H1323" t="s">
        <v>4929</v>
      </c>
    </row>
    <row r="1324" spans="1:8" x14ac:dyDescent="0.3">
      <c r="A1324" t="s">
        <v>6259</v>
      </c>
      <c r="B1324" s="1">
        <v>45411</v>
      </c>
      <c r="C1324" t="s">
        <v>5976</v>
      </c>
      <c r="D1324" t="s">
        <v>5977</v>
      </c>
      <c r="E1324">
        <v>84.26</v>
      </c>
      <c r="F1324" t="s">
        <v>5978</v>
      </c>
      <c r="G1324" t="s">
        <v>5979</v>
      </c>
      <c r="H1324" t="s">
        <v>4929</v>
      </c>
    </row>
    <row r="1325" spans="1:8" x14ac:dyDescent="0.3">
      <c r="A1325" t="s">
        <v>6260</v>
      </c>
      <c r="B1325" s="1">
        <v>45412</v>
      </c>
      <c r="C1325" t="s">
        <v>5976</v>
      </c>
      <c r="D1325" t="s">
        <v>5977</v>
      </c>
      <c r="E1325">
        <v>83.49</v>
      </c>
      <c r="F1325" t="s">
        <v>5978</v>
      </c>
      <c r="G1325" t="s">
        <v>5979</v>
      </c>
      <c r="H1325" t="s">
        <v>4929</v>
      </c>
    </row>
    <row r="1326" spans="1:8" x14ac:dyDescent="0.3">
      <c r="A1326" t="s">
        <v>6261</v>
      </c>
      <c r="B1326" s="1">
        <v>45413</v>
      </c>
      <c r="C1326" t="s">
        <v>5976</v>
      </c>
      <c r="D1326" t="s">
        <v>5977</v>
      </c>
      <c r="E1326">
        <v>80.7</v>
      </c>
      <c r="F1326" t="s">
        <v>5978</v>
      </c>
      <c r="G1326" t="s">
        <v>5979</v>
      </c>
      <c r="H1326" t="s">
        <v>4929</v>
      </c>
    </row>
    <row r="1327" spans="1:8" x14ac:dyDescent="0.3">
      <c r="A1327" t="s">
        <v>6262</v>
      </c>
      <c r="B1327" s="1">
        <v>45414</v>
      </c>
      <c r="C1327" t="s">
        <v>5976</v>
      </c>
      <c r="D1327" t="s">
        <v>5977</v>
      </c>
      <c r="E1327">
        <v>80.59</v>
      </c>
      <c r="F1327" t="s">
        <v>5978</v>
      </c>
      <c r="G1327" t="s">
        <v>5979</v>
      </c>
      <c r="H1327" t="s">
        <v>4929</v>
      </c>
    </row>
    <row r="1328" spans="1:8" x14ac:dyDescent="0.3">
      <c r="A1328" t="s">
        <v>6263</v>
      </c>
      <c r="B1328" s="1">
        <v>45415</v>
      </c>
      <c r="C1328" t="s">
        <v>5976</v>
      </c>
      <c r="D1328" t="s">
        <v>5977</v>
      </c>
      <c r="E1328">
        <v>79.650000000000006</v>
      </c>
      <c r="F1328" t="s">
        <v>5978</v>
      </c>
      <c r="G1328" t="s">
        <v>5979</v>
      </c>
      <c r="H1328" t="s">
        <v>4929</v>
      </c>
    </row>
    <row r="1329" spans="1:8" x14ac:dyDescent="0.3">
      <c r="A1329" t="s">
        <v>6264</v>
      </c>
      <c r="B1329" s="1">
        <v>45418</v>
      </c>
      <c r="C1329" t="s">
        <v>5976</v>
      </c>
      <c r="D1329" t="s">
        <v>5977</v>
      </c>
      <c r="E1329">
        <v>80.099999999999994</v>
      </c>
      <c r="F1329" t="s">
        <v>5978</v>
      </c>
      <c r="G1329" t="s">
        <v>5979</v>
      </c>
      <c r="H1329" t="s">
        <v>4929</v>
      </c>
    </row>
    <row r="1330" spans="1:8" x14ac:dyDescent="0.3">
      <c r="A1330" t="s">
        <v>6265</v>
      </c>
      <c r="B1330" s="1">
        <v>45419</v>
      </c>
      <c r="C1330" t="s">
        <v>5976</v>
      </c>
      <c r="D1330" t="s">
        <v>5977</v>
      </c>
      <c r="E1330">
        <v>79.97</v>
      </c>
      <c r="F1330" t="s">
        <v>5978</v>
      </c>
      <c r="G1330" t="s">
        <v>5979</v>
      </c>
      <c r="H1330" t="s">
        <v>4929</v>
      </c>
    </row>
    <row r="1331" spans="1:8" x14ac:dyDescent="0.3">
      <c r="A1331" t="s">
        <v>6266</v>
      </c>
      <c r="B1331" s="1">
        <v>45420</v>
      </c>
      <c r="C1331" t="s">
        <v>5976</v>
      </c>
      <c r="D1331" t="s">
        <v>5977</v>
      </c>
      <c r="E1331">
        <v>80.569999999999993</v>
      </c>
      <c r="F1331" t="s">
        <v>5978</v>
      </c>
      <c r="G1331" t="s">
        <v>5979</v>
      </c>
      <c r="H1331" t="s">
        <v>4929</v>
      </c>
    </row>
    <row r="1332" spans="1:8" x14ac:dyDescent="0.3">
      <c r="A1332" t="s">
        <v>6267</v>
      </c>
      <c r="B1332" s="1">
        <v>45421</v>
      </c>
      <c r="C1332" t="s">
        <v>5976</v>
      </c>
      <c r="D1332" t="s">
        <v>5977</v>
      </c>
      <c r="E1332">
        <v>80.86</v>
      </c>
      <c r="F1332" t="s">
        <v>5978</v>
      </c>
      <c r="G1332" t="s">
        <v>5979</v>
      </c>
      <c r="H1332" t="s">
        <v>4929</v>
      </c>
    </row>
    <row r="1333" spans="1:8" x14ac:dyDescent="0.3">
      <c r="A1333" t="s">
        <v>6268</v>
      </c>
      <c r="B1333" s="1">
        <v>45422</v>
      </c>
      <c r="C1333" t="s">
        <v>5976</v>
      </c>
      <c r="D1333" t="s">
        <v>5977</v>
      </c>
      <c r="E1333">
        <v>79.81</v>
      </c>
      <c r="F1333" t="s">
        <v>5978</v>
      </c>
      <c r="G1333" t="s">
        <v>5979</v>
      </c>
      <c r="H1333" t="s">
        <v>4929</v>
      </c>
    </row>
    <row r="1334" spans="1:8" x14ac:dyDescent="0.3">
      <c r="A1334" t="s">
        <v>6269</v>
      </c>
      <c r="B1334" s="1">
        <v>45425</v>
      </c>
      <c r="C1334" t="s">
        <v>5976</v>
      </c>
      <c r="D1334" t="s">
        <v>5977</v>
      </c>
      <c r="E1334">
        <v>80.709999999999994</v>
      </c>
      <c r="F1334" t="s">
        <v>5978</v>
      </c>
      <c r="G1334" t="s">
        <v>5979</v>
      </c>
      <c r="H1334" t="s">
        <v>4929</v>
      </c>
    </row>
    <row r="1335" spans="1:8" x14ac:dyDescent="0.3">
      <c r="A1335" t="s">
        <v>6270</v>
      </c>
      <c r="B1335" s="1">
        <v>45426</v>
      </c>
      <c r="C1335" t="s">
        <v>5976</v>
      </c>
      <c r="D1335" t="s">
        <v>5977</v>
      </c>
      <c r="E1335">
        <v>79.62</v>
      </c>
      <c r="F1335" t="s">
        <v>5978</v>
      </c>
      <c r="G1335" t="s">
        <v>5979</v>
      </c>
      <c r="H1335" t="s">
        <v>4929</v>
      </c>
    </row>
    <row r="1336" spans="1:8" x14ac:dyDescent="0.3">
      <c r="A1336" t="s">
        <v>6271</v>
      </c>
      <c r="B1336" s="1">
        <v>45427</v>
      </c>
      <c r="C1336" t="s">
        <v>5976</v>
      </c>
      <c r="D1336" t="s">
        <v>5977</v>
      </c>
      <c r="E1336">
        <v>80.23</v>
      </c>
      <c r="F1336" t="s">
        <v>5978</v>
      </c>
      <c r="G1336" t="s">
        <v>5979</v>
      </c>
      <c r="H1336" t="s">
        <v>4929</v>
      </c>
    </row>
    <row r="1337" spans="1:8" x14ac:dyDescent="0.3">
      <c r="A1337" t="s">
        <v>6272</v>
      </c>
      <c r="B1337" s="1">
        <v>45428</v>
      </c>
      <c r="C1337" t="s">
        <v>5976</v>
      </c>
      <c r="D1337" t="s">
        <v>5977</v>
      </c>
      <c r="E1337">
        <v>80.849999999999994</v>
      </c>
      <c r="F1337" t="s">
        <v>5978</v>
      </c>
      <c r="G1337" t="s">
        <v>5979</v>
      </c>
      <c r="H1337" t="s">
        <v>4929</v>
      </c>
    </row>
    <row r="1338" spans="1:8" x14ac:dyDescent="0.3">
      <c r="A1338" t="s">
        <v>6273</v>
      </c>
      <c r="B1338" s="1">
        <v>45429</v>
      </c>
      <c r="C1338" t="s">
        <v>5976</v>
      </c>
      <c r="D1338" t="s">
        <v>5977</v>
      </c>
      <c r="E1338">
        <v>81.66</v>
      </c>
      <c r="F1338" t="s">
        <v>5978</v>
      </c>
      <c r="G1338" t="s">
        <v>5979</v>
      </c>
      <c r="H1338" t="s">
        <v>4929</v>
      </c>
    </row>
    <row r="1339" spans="1:8" x14ac:dyDescent="0.3">
      <c r="A1339" t="s">
        <v>6274</v>
      </c>
      <c r="B1339" s="1">
        <v>45432</v>
      </c>
      <c r="C1339" t="s">
        <v>5976</v>
      </c>
      <c r="D1339" t="s">
        <v>5977</v>
      </c>
      <c r="E1339">
        <v>81.39</v>
      </c>
      <c r="F1339" t="s">
        <v>5978</v>
      </c>
      <c r="G1339" t="s">
        <v>5979</v>
      </c>
      <c r="H1339" t="s">
        <v>4929</v>
      </c>
    </row>
    <row r="1340" spans="1:8" x14ac:dyDescent="0.3">
      <c r="A1340" t="s">
        <v>6275</v>
      </c>
      <c r="B1340" s="1">
        <v>45433</v>
      </c>
      <c r="C1340" t="s">
        <v>5976</v>
      </c>
      <c r="D1340" t="s">
        <v>5977</v>
      </c>
      <c r="E1340">
        <v>80.66</v>
      </c>
      <c r="F1340" t="s">
        <v>5978</v>
      </c>
      <c r="G1340" t="s">
        <v>5979</v>
      </c>
      <c r="H1340" t="s">
        <v>4929</v>
      </c>
    </row>
    <row r="1341" spans="1:8" x14ac:dyDescent="0.3">
      <c r="A1341" t="s">
        <v>6276</v>
      </c>
      <c r="B1341" s="1">
        <v>45434</v>
      </c>
      <c r="C1341" t="s">
        <v>5976</v>
      </c>
      <c r="D1341" t="s">
        <v>5977</v>
      </c>
      <c r="E1341">
        <v>79.150000000000006</v>
      </c>
      <c r="F1341" t="s">
        <v>5978</v>
      </c>
      <c r="G1341" t="s">
        <v>5979</v>
      </c>
      <c r="H1341" t="s">
        <v>4929</v>
      </c>
    </row>
    <row r="1342" spans="1:8" x14ac:dyDescent="0.3">
      <c r="A1342" t="s">
        <v>6277</v>
      </c>
      <c r="B1342" s="1">
        <v>45435</v>
      </c>
      <c r="C1342" t="s">
        <v>5976</v>
      </c>
      <c r="D1342" t="s">
        <v>5977</v>
      </c>
      <c r="E1342">
        <v>77.47</v>
      </c>
      <c r="F1342" t="s">
        <v>5978</v>
      </c>
      <c r="G1342" t="s">
        <v>5979</v>
      </c>
      <c r="H1342" t="s">
        <v>4929</v>
      </c>
    </row>
    <row r="1343" spans="1:8" x14ac:dyDescent="0.3">
      <c r="A1343" t="s">
        <v>6278</v>
      </c>
      <c r="B1343" s="1">
        <v>45436</v>
      </c>
      <c r="C1343" t="s">
        <v>5976</v>
      </c>
      <c r="D1343" t="s">
        <v>5977</v>
      </c>
      <c r="E1343">
        <v>78.48</v>
      </c>
      <c r="F1343" t="s">
        <v>5978</v>
      </c>
      <c r="G1343" t="s">
        <v>5979</v>
      </c>
      <c r="H1343" t="s">
        <v>4929</v>
      </c>
    </row>
    <row r="1344" spans="1:8" x14ac:dyDescent="0.3">
      <c r="A1344" t="s">
        <v>6279</v>
      </c>
      <c r="B1344" s="1">
        <v>45439</v>
      </c>
      <c r="C1344" t="s">
        <v>5976</v>
      </c>
      <c r="D1344" t="s">
        <v>5977</v>
      </c>
      <c r="E1344">
        <v>78.48</v>
      </c>
      <c r="F1344" t="s">
        <v>5978</v>
      </c>
      <c r="G1344" t="s">
        <v>5979</v>
      </c>
      <c r="H1344" t="s">
        <v>4970</v>
      </c>
    </row>
    <row r="1345" spans="1:8" x14ac:dyDescent="0.3">
      <c r="A1345" t="s">
        <v>6280</v>
      </c>
      <c r="B1345" s="1">
        <v>45440</v>
      </c>
      <c r="C1345" t="s">
        <v>5976</v>
      </c>
      <c r="D1345" t="s">
        <v>5977</v>
      </c>
      <c r="E1345">
        <v>80.900000000000006</v>
      </c>
      <c r="F1345" t="s">
        <v>5978</v>
      </c>
      <c r="G1345" t="s">
        <v>5979</v>
      </c>
      <c r="H1345" t="s">
        <v>4929</v>
      </c>
    </row>
    <row r="1346" spans="1:8" x14ac:dyDescent="0.3">
      <c r="A1346" t="s">
        <v>6281</v>
      </c>
      <c r="B1346" s="1">
        <v>45441</v>
      </c>
      <c r="C1346" t="s">
        <v>5976</v>
      </c>
      <c r="D1346" t="s">
        <v>5977</v>
      </c>
      <c r="E1346">
        <v>80.239999999999995</v>
      </c>
      <c r="F1346" t="s">
        <v>5978</v>
      </c>
      <c r="G1346" t="s">
        <v>5979</v>
      </c>
      <c r="H1346" t="s">
        <v>4929</v>
      </c>
    </row>
    <row r="1347" spans="1:8" x14ac:dyDescent="0.3">
      <c r="A1347" t="s">
        <v>6282</v>
      </c>
      <c r="B1347" s="1">
        <v>45442</v>
      </c>
      <c r="C1347" t="s">
        <v>5976</v>
      </c>
      <c r="D1347" t="s">
        <v>5977</v>
      </c>
      <c r="E1347">
        <v>78.959999999999994</v>
      </c>
      <c r="F1347" t="s">
        <v>5978</v>
      </c>
      <c r="G1347" t="s">
        <v>5979</v>
      </c>
      <c r="H1347" t="s">
        <v>4929</v>
      </c>
    </row>
    <row r="1348" spans="1:8" x14ac:dyDescent="0.3">
      <c r="A1348" t="s">
        <v>6283</v>
      </c>
      <c r="B1348" s="1">
        <v>45443</v>
      </c>
      <c r="C1348" t="s">
        <v>5976</v>
      </c>
      <c r="D1348" t="s">
        <v>5977</v>
      </c>
      <c r="E1348">
        <v>77.97</v>
      </c>
      <c r="F1348" t="s">
        <v>5978</v>
      </c>
      <c r="G1348" t="s">
        <v>5979</v>
      </c>
      <c r="H1348" t="s">
        <v>4929</v>
      </c>
    </row>
    <row r="1349" spans="1:8" x14ac:dyDescent="0.3">
      <c r="A1349" t="s">
        <v>6284</v>
      </c>
      <c r="B1349" s="1">
        <v>45446</v>
      </c>
      <c r="C1349" t="s">
        <v>5976</v>
      </c>
      <c r="D1349" t="s">
        <v>5977</v>
      </c>
      <c r="E1349">
        <v>75.260000000000005</v>
      </c>
      <c r="F1349" t="s">
        <v>5978</v>
      </c>
      <c r="G1349" t="s">
        <v>5979</v>
      </c>
      <c r="H1349" t="s">
        <v>4929</v>
      </c>
    </row>
    <row r="1350" spans="1:8" x14ac:dyDescent="0.3">
      <c r="A1350" t="s">
        <v>6285</v>
      </c>
      <c r="B1350" s="1">
        <v>45447</v>
      </c>
      <c r="C1350" t="s">
        <v>5976</v>
      </c>
      <c r="D1350" t="s">
        <v>5977</v>
      </c>
      <c r="E1350">
        <v>74.27</v>
      </c>
      <c r="F1350" t="s">
        <v>5978</v>
      </c>
      <c r="G1350" t="s">
        <v>5979</v>
      </c>
      <c r="H1350" t="s">
        <v>4929</v>
      </c>
    </row>
    <row r="1351" spans="1:8" x14ac:dyDescent="0.3">
      <c r="A1351" t="s">
        <v>6286</v>
      </c>
      <c r="B1351" s="1">
        <v>45448</v>
      </c>
      <c r="C1351" t="s">
        <v>5976</v>
      </c>
      <c r="D1351" t="s">
        <v>5977</v>
      </c>
      <c r="E1351">
        <v>75.08</v>
      </c>
      <c r="F1351" t="s">
        <v>5978</v>
      </c>
      <c r="G1351" t="s">
        <v>5979</v>
      </c>
      <c r="H1351" t="s">
        <v>4929</v>
      </c>
    </row>
    <row r="1352" spans="1:8" x14ac:dyDescent="0.3">
      <c r="A1352" t="s">
        <v>6287</v>
      </c>
      <c r="B1352" s="1">
        <v>45449</v>
      </c>
      <c r="C1352" t="s">
        <v>5976</v>
      </c>
      <c r="D1352" t="s">
        <v>5977</v>
      </c>
      <c r="E1352">
        <v>76.52</v>
      </c>
      <c r="F1352" t="s">
        <v>5978</v>
      </c>
      <c r="G1352" t="s">
        <v>5979</v>
      </c>
      <c r="H1352" t="s">
        <v>4929</v>
      </c>
    </row>
    <row r="1353" spans="1:8" x14ac:dyDescent="0.3">
      <c r="A1353" t="s">
        <v>6288</v>
      </c>
      <c r="B1353" s="1">
        <v>45450</v>
      </c>
      <c r="C1353" t="s">
        <v>5976</v>
      </c>
      <c r="D1353" t="s">
        <v>5977</v>
      </c>
      <c r="E1353">
        <v>76.53</v>
      </c>
      <c r="F1353" t="s">
        <v>5978</v>
      </c>
      <c r="G1353" t="s">
        <v>5979</v>
      </c>
      <c r="H1353" t="s">
        <v>4929</v>
      </c>
    </row>
    <row r="1354" spans="1:8" x14ac:dyDescent="0.3">
      <c r="A1354" t="s">
        <v>6289</v>
      </c>
      <c r="B1354" s="1">
        <v>45453</v>
      </c>
      <c r="C1354" t="s">
        <v>5976</v>
      </c>
      <c r="D1354" t="s">
        <v>5977</v>
      </c>
      <c r="E1354">
        <v>78.75</v>
      </c>
      <c r="F1354" t="s">
        <v>5978</v>
      </c>
      <c r="G1354" t="s">
        <v>5979</v>
      </c>
      <c r="H1354" t="s">
        <v>4929</v>
      </c>
    </row>
    <row r="1355" spans="1:8" x14ac:dyDescent="0.3">
      <c r="A1355" t="s">
        <v>6290</v>
      </c>
      <c r="B1355" s="1">
        <v>45454</v>
      </c>
      <c r="C1355" t="s">
        <v>5976</v>
      </c>
      <c r="D1355" t="s">
        <v>5977</v>
      </c>
      <c r="E1355">
        <v>78.88</v>
      </c>
      <c r="F1355" t="s">
        <v>5978</v>
      </c>
      <c r="G1355" t="s">
        <v>5979</v>
      </c>
      <c r="H1355" t="s">
        <v>4929</v>
      </c>
    </row>
    <row r="1356" spans="1:8" x14ac:dyDescent="0.3">
      <c r="A1356" t="s">
        <v>6291</v>
      </c>
      <c r="B1356" s="1">
        <v>45455</v>
      </c>
      <c r="C1356" t="s">
        <v>5976</v>
      </c>
      <c r="D1356" t="s">
        <v>5977</v>
      </c>
      <c r="E1356">
        <v>79.56</v>
      </c>
      <c r="F1356" t="s">
        <v>5978</v>
      </c>
      <c r="G1356" t="s">
        <v>5979</v>
      </c>
      <c r="H1356" t="s">
        <v>4929</v>
      </c>
    </row>
    <row r="1357" spans="1:8" x14ac:dyDescent="0.3">
      <c r="A1357" t="s">
        <v>6292</v>
      </c>
      <c r="B1357" s="1">
        <v>45456</v>
      </c>
      <c r="C1357" t="s">
        <v>5976</v>
      </c>
      <c r="D1357" t="s">
        <v>5977</v>
      </c>
      <c r="E1357">
        <v>79.61</v>
      </c>
      <c r="F1357" t="s">
        <v>5978</v>
      </c>
      <c r="G1357" t="s">
        <v>5979</v>
      </c>
      <c r="H1357" t="s">
        <v>4929</v>
      </c>
    </row>
    <row r="1358" spans="1:8" x14ac:dyDescent="0.3">
      <c r="A1358" t="s">
        <v>6293</v>
      </c>
      <c r="B1358" s="1">
        <v>45457</v>
      </c>
      <c r="C1358" t="s">
        <v>5976</v>
      </c>
      <c r="D1358" t="s">
        <v>5977</v>
      </c>
      <c r="E1358">
        <v>79.41</v>
      </c>
      <c r="F1358" t="s">
        <v>5978</v>
      </c>
      <c r="G1358" t="s">
        <v>5979</v>
      </c>
      <c r="H1358" t="s">
        <v>4929</v>
      </c>
    </row>
    <row r="1359" spans="1:8" x14ac:dyDescent="0.3">
      <c r="A1359" t="s">
        <v>6294</v>
      </c>
      <c r="B1359" s="1">
        <v>45460</v>
      </c>
      <c r="C1359" t="s">
        <v>5976</v>
      </c>
      <c r="D1359" t="s">
        <v>5977</v>
      </c>
      <c r="E1359">
        <v>81.33</v>
      </c>
      <c r="F1359" t="s">
        <v>5978</v>
      </c>
      <c r="G1359" t="s">
        <v>5979</v>
      </c>
      <c r="H1359" t="s">
        <v>4929</v>
      </c>
    </row>
    <row r="1360" spans="1:8" x14ac:dyDescent="0.3">
      <c r="A1360" t="s">
        <v>6295</v>
      </c>
      <c r="B1360" s="1">
        <v>45461</v>
      </c>
      <c r="C1360" t="s">
        <v>5976</v>
      </c>
      <c r="D1360" t="s">
        <v>5977</v>
      </c>
      <c r="E1360">
        <v>82.67</v>
      </c>
      <c r="F1360" t="s">
        <v>5978</v>
      </c>
      <c r="G1360" t="s">
        <v>5979</v>
      </c>
      <c r="H1360" t="s">
        <v>4929</v>
      </c>
    </row>
    <row r="1361" spans="1:8" x14ac:dyDescent="0.3">
      <c r="A1361" t="s">
        <v>6296</v>
      </c>
      <c r="B1361" s="1">
        <v>45462</v>
      </c>
      <c r="C1361" t="s">
        <v>5976</v>
      </c>
      <c r="D1361" t="s">
        <v>5977</v>
      </c>
      <c r="E1361">
        <v>82.67</v>
      </c>
      <c r="F1361" t="s">
        <v>5978</v>
      </c>
      <c r="G1361" t="s">
        <v>5979</v>
      </c>
      <c r="H1361" t="s">
        <v>4970</v>
      </c>
    </row>
    <row r="1362" spans="1:8" x14ac:dyDescent="0.3">
      <c r="A1362" t="s">
        <v>6297</v>
      </c>
      <c r="B1362" s="1">
        <v>45463</v>
      </c>
      <c r="C1362" t="s">
        <v>5976</v>
      </c>
      <c r="D1362" t="s">
        <v>5977</v>
      </c>
      <c r="E1362">
        <v>83.34</v>
      </c>
      <c r="F1362" t="s">
        <v>5978</v>
      </c>
      <c r="G1362" t="s">
        <v>5979</v>
      </c>
      <c r="H1362" t="s">
        <v>4929</v>
      </c>
    </row>
    <row r="1363" spans="1:8" x14ac:dyDescent="0.3">
      <c r="A1363" t="s">
        <v>6298</v>
      </c>
      <c r="B1363" s="1">
        <v>45464</v>
      </c>
      <c r="C1363" t="s">
        <v>5976</v>
      </c>
      <c r="D1363" t="s">
        <v>5977</v>
      </c>
      <c r="E1363">
        <v>81.709999999999994</v>
      </c>
      <c r="F1363" t="s">
        <v>5978</v>
      </c>
      <c r="G1363" t="s">
        <v>5979</v>
      </c>
      <c r="H1363" t="s">
        <v>4929</v>
      </c>
    </row>
    <row r="1364" spans="1:8" x14ac:dyDescent="0.3">
      <c r="A1364" t="s">
        <v>6299</v>
      </c>
      <c r="B1364" s="1">
        <v>45467</v>
      </c>
      <c r="C1364" t="s">
        <v>5976</v>
      </c>
      <c r="D1364" t="s">
        <v>5977</v>
      </c>
      <c r="E1364">
        <v>82.63</v>
      </c>
      <c r="F1364" t="s">
        <v>5978</v>
      </c>
      <c r="G1364" t="s">
        <v>5979</v>
      </c>
      <c r="H1364" t="s">
        <v>4929</v>
      </c>
    </row>
    <row r="1365" spans="1:8" x14ac:dyDescent="0.3">
      <c r="A1365" t="s">
        <v>6300</v>
      </c>
      <c r="B1365" s="1">
        <v>45468</v>
      </c>
      <c r="C1365" t="s">
        <v>5976</v>
      </c>
      <c r="D1365" t="s">
        <v>5977</v>
      </c>
      <c r="E1365">
        <v>81.97</v>
      </c>
      <c r="F1365" t="s">
        <v>5978</v>
      </c>
      <c r="G1365" t="s">
        <v>5979</v>
      </c>
      <c r="H1365" t="s">
        <v>4929</v>
      </c>
    </row>
    <row r="1366" spans="1:8" x14ac:dyDescent="0.3">
      <c r="A1366" t="s">
        <v>6301</v>
      </c>
      <c r="B1366" s="1">
        <v>45469</v>
      </c>
      <c r="C1366" t="s">
        <v>5976</v>
      </c>
      <c r="D1366" t="s">
        <v>5977</v>
      </c>
      <c r="E1366">
        <v>82.19</v>
      </c>
      <c r="F1366" t="s">
        <v>5978</v>
      </c>
      <c r="G1366" t="s">
        <v>5979</v>
      </c>
      <c r="H1366" t="s">
        <v>4929</v>
      </c>
    </row>
    <row r="1367" spans="1:8" x14ac:dyDescent="0.3">
      <c r="A1367" t="s">
        <v>6302</v>
      </c>
      <c r="B1367" s="1">
        <v>45470</v>
      </c>
      <c r="C1367" t="s">
        <v>5976</v>
      </c>
      <c r="D1367" t="s">
        <v>5977</v>
      </c>
      <c r="E1367">
        <v>83.04</v>
      </c>
      <c r="F1367" t="s">
        <v>5978</v>
      </c>
      <c r="G1367" t="s">
        <v>5979</v>
      </c>
      <c r="H1367" t="s">
        <v>4929</v>
      </c>
    </row>
    <row r="1368" spans="1:8" x14ac:dyDescent="0.3">
      <c r="A1368" t="s">
        <v>6303</v>
      </c>
      <c r="B1368" s="1">
        <v>45471</v>
      </c>
      <c r="C1368" t="s">
        <v>5976</v>
      </c>
      <c r="D1368" t="s">
        <v>5977</v>
      </c>
      <c r="E1368">
        <v>82.83</v>
      </c>
      <c r="F1368" t="s">
        <v>5978</v>
      </c>
      <c r="G1368" t="s">
        <v>5979</v>
      </c>
      <c r="H1368" t="s">
        <v>4929</v>
      </c>
    </row>
    <row r="1369" spans="1:8" x14ac:dyDescent="0.3">
      <c r="A1369" t="s">
        <v>6304</v>
      </c>
      <c r="B1369" s="1">
        <v>45474</v>
      </c>
      <c r="C1369" t="s">
        <v>5976</v>
      </c>
      <c r="D1369" t="s">
        <v>5977</v>
      </c>
      <c r="E1369">
        <v>84.7</v>
      </c>
      <c r="F1369" t="s">
        <v>5978</v>
      </c>
      <c r="G1369" t="s">
        <v>5979</v>
      </c>
      <c r="H1369" t="s">
        <v>4929</v>
      </c>
    </row>
    <row r="1370" spans="1:8" x14ac:dyDescent="0.3">
      <c r="A1370" t="s">
        <v>6305</v>
      </c>
      <c r="B1370" s="1">
        <v>45475</v>
      </c>
      <c r="C1370" t="s">
        <v>5976</v>
      </c>
      <c r="D1370" t="s">
        <v>5977</v>
      </c>
      <c r="E1370">
        <v>84.09</v>
      </c>
      <c r="F1370" t="s">
        <v>5978</v>
      </c>
      <c r="G1370" t="s">
        <v>5979</v>
      </c>
      <c r="H1370" t="s">
        <v>4929</v>
      </c>
    </row>
    <row r="1371" spans="1:8" x14ac:dyDescent="0.3">
      <c r="A1371" t="s">
        <v>6306</v>
      </c>
      <c r="B1371" s="1">
        <v>45476</v>
      </c>
      <c r="C1371" t="s">
        <v>5976</v>
      </c>
      <c r="D1371" t="s">
        <v>5977</v>
      </c>
      <c r="E1371">
        <v>85.19</v>
      </c>
      <c r="F1371" t="s">
        <v>5978</v>
      </c>
      <c r="G1371" t="s">
        <v>5979</v>
      </c>
      <c r="H1371" t="s">
        <v>4929</v>
      </c>
    </row>
    <row r="1372" spans="1:8" x14ac:dyDescent="0.3">
      <c r="A1372" t="s">
        <v>6307</v>
      </c>
      <c r="B1372" s="1">
        <v>45477</v>
      </c>
      <c r="C1372" t="s">
        <v>5976</v>
      </c>
      <c r="D1372" t="s">
        <v>5977</v>
      </c>
      <c r="E1372">
        <v>85.19</v>
      </c>
      <c r="F1372" t="s">
        <v>5978</v>
      </c>
      <c r="G1372" t="s">
        <v>5979</v>
      </c>
      <c r="H1372" t="s">
        <v>4970</v>
      </c>
    </row>
    <row r="1373" spans="1:8" x14ac:dyDescent="0.3">
      <c r="A1373" t="s">
        <v>6308</v>
      </c>
      <c r="B1373" s="1">
        <v>45478</v>
      </c>
      <c r="C1373" t="s">
        <v>5976</v>
      </c>
      <c r="D1373" t="s">
        <v>5977</v>
      </c>
      <c r="E1373">
        <v>84.44</v>
      </c>
      <c r="F1373" t="s">
        <v>5978</v>
      </c>
      <c r="G1373" t="s">
        <v>5979</v>
      </c>
      <c r="H1373" t="s">
        <v>4929</v>
      </c>
    </row>
    <row r="1374" spans="1:8" x14ac:dyDescent="0.3">
      <c r="A1374" t="s">
        <v>6309</v>
      </c>
      <c r="B1374" s="1">
        <v>45481</v>
      </c>
      <c r="C1374" t="s">
        <v>5976</v>
      </c>
      <c r="D1374" t="s">
        <v>5977</v>
      </c>
      <c r="E1374">
        <v>83.63</v>
      </c>
      <c r="F1374" t="s">
        <v>5978</v>
      </c>
      <c r="G1374" t="s">
        <v>5979</v>
      </c>
      <c r="H1374" t="s">
        <v>4929</v>
      </c>
    </row>
    <row r="1375" spans="1:8" x14ac:dyDescent="0.3">
      <c r="A1375" t="s">
        <v>6310</v>
      </c>
      <c r="B1375" s="1">
        <v>45482</v>
      </c>
      <c r="C1375" t="s">
        <v>5976</v>
      </c>
      <c r="D1375" t="s">
        <v>5977</v>
      </c>
      <c r="E1375">
        <v>82.78</v>
      </c>
      <c r="F1375" t="s">
        <v>5978</v>
      </c>
      <c r="G1375" t="s">
        <v>5979</v>
      </c>
      <c r="H1375" t="s">
        <v>4929</v>
      </c>
    </row>
    <row r="1376" spans="1:8" x14ac:dyDescent="0.3">
      <c r="A1376" t="s">
        <v>6311</v>
      </c>
      <c r="B1376" s="1">
        <v>45483</v>
      </c>
      <c r="C1376" t="s">
        <v>5976</v>
      </c>
      <c r="D1376" t="s">
        <v>5977</v>
      </c>
      <c r="E1376">
        <v>83.39</v>
      </c>
      <c r="F1376" t="s">
        <v>5978</v>
      </c>
      <c r="G1376" t="s">
        <v>5979</v>
      </c>
      <c r="H1376" t="s">
        <v>4929</v>
      </c>
    </row>
    <row r="1377" spans="1:8" x14ac:dyDescent="0.3">
      <c r="A1377" t="s">
        <v>6312</v>
      </c>
      <c r="B1377" s="1">
        <v>45484</v>
      </c>
      <c r="C1377" t="s">
        <v>5976</v>
      </c>
      <c r="D1377" t="s">
        <v>5977</v>
      </c>
      <c r="E1377">
        <v>83.92</v>
      </c>
      <c r="F1377" t="s">
        <v>5978</v>
      </c>
      <c r="G1377" t="s">
        <v>5979</v>
      </c>
      <c r="H1377" t="s">
        <v>4929</v>
      </c>
    </row>
    <row r="1378" spans="1:8" x14ac:dyDescent="0.3">
      <c r="A1378" t="s">
        <v>6313</v>
      </c>
      <c r="B1378" s="1">
        <v>45485</v>
      </c>
      <c r="C1378" t="s">
        <v>5976</v>
      </c>
      <c r="D1378" t="s">
        <v>5977</v>
      </c>
      <c r="E1378">
        <v>83.49</v>
      </c>
      <c r="F1378" t="s">
        <v>5978</v>
      </c>
      <c r="G1378" t="s">
        <v>5979</v>
      </c>
      <c r="H1378" t="s">
        <v>4929</v>
      </c>
    </row>
    <row r="1379" spans="1:8" x14ac:dyDescent="0.3">
      <c r="A1379" t="s">
        <v>6314</v>
      </c>
      <c r="B1379" s="1">
        <v>45488</v>
      </c>
      <c r="C1379" t="s">
        <v>5976</v>
      </c>
      <c r="D1379" t="s">
        <v>5977</v>
      </c>
      <c r="E1379">
        <v>83.22</v>
      </c>
      <c r="F1379" t="s">
        <v>5978</v>
      </c>
      <c r="G1379" t="s">
        <v>5979</v>
      </c>
      <c r="H1379" t="s">
        <v>4929</v>
      </c>
    </row>
    <row r="1380" spans="1:8" x14ac:dyDescent="0.3">
      <c r="A1380" t="s">
        <v>6315</v>
      </c>
      <c r="B1380" s="1">
        <v>45489</v>
      </c>
      <c r="C1380" t="s">
        <v>5976</v>
      </c>
      <c r="D1380" t="s">
        <v>5977</v>
      </c>
      <c r="E1380">
        <v>81.92</v>
      </c>
      <c r="F1380" t="s">
        <v>5978</v>
      </c>
      <c r="G1380" t="s">
        <v>5979</v>
      </c>
      <c r="H1380" t="s">
        <v>4929</v>
      </c>
    </row>
    <row r="1381" spans="1:8" x14ac:dyDescent="0.3">
      <c r="A1381" t="s">
        <v>6316</v>
      </c>
      <c r="B1381" s="1">
        <v>45490</v>
      </c>
      <c r="C1381" t="s">
        <v>5976</v>
      </c>
      <c r="D1381" t="s">
        <v>5977</v>
      </c>
      <c r="E1381">
        <v>84.16</v>
      </c>
      <c r="F1381" t="s">
        <v>5978</v>
      </c>
      <c r="G1381" t="s">
        <v>5979</v>
      </c>
      <c r="H1381" t="s">
        <v>4929</v>
      </c>
    </row>
    <row r="1382" spans="1:8" x14ac:dyDescent="0.3">
      <c r="A1382" t="s">
        <v>6317</v>
      </c>
      <c r="B1382" s="1">
        <v>45491</v>
      </c>
      <c r="C1382" t="s">
        <v>5976</v>
      </c>
      <c r="D1382" t="s">
        <v>5977</v>
      </c>
      <c r="E1382">
        <v>84.17</v>
      </c>
      <c r="F1382" t="s">
        <v>5978</v>
      </c>
      <c r="G1382" t="s">
        <v>5979</v>
      </c>
      <c r="H1382" t="s">
        <v>4929</v>
      </c>
    </row>
    <row r="1383" spans="1:8" x14ac:dyDescent="0.3">
      <c r="A1383" t="s">
        <v>6318</v>
      </c>
      <c r="B1383" s="1">
        <v>45492</v>
      </c>
      <c r="C1383" t="s">
        <v>5976</v>
      </c>
      <c r="D1383" t="s">
        <v>5977</v>
      </c>
      <c r="E1383">
        <v>81.430000000000007</v>
      </c>
      <c r="F1383" t="s">
        <v>5978</v>
      </c>
      <c r="G1383" t="s">
        <v>5979</v>
      </c>
      <c r="H1383" t="s">
        <v>4929</v>
      </c>
    </row>
    <row r="1384" spans="1:8" x14ac:dyDescent="0.3">
      <c r="A1384" t="s">
        <v>6319</v>
      </c>
      <c r="B1384" s="1">
        <v>45495</v>
      </c>
      <c r="C1384" t="s">
        <v>5976</v>
      </c>
      <c r="D1384" t="s">
        <v>5977</v>
      </c>
      <c r="E1384">
        <v>81.25</v>
      </c>
      <c r="F1384" t="s">
        <v>5978</v>
      </c>
      <c r="G1384" t="s">
        <v>5979</v>
      </c>
      <c r="H1384" t="s">
        <v>4929</v>
      </c>
    </row>
    <row r="1385" spans="1:8" x14ac:dyDescent="0.3">
      <c r="A1385" t="s">
        <v>6320</v>
      </c>
      <c r="B1385" s="1">
        <v>45496</v>
      </c>
      <c r="C1385" t="s">
        <v>5976</v>
      </c>
      <c r="D1385" t="s">
        <v>5977</v>
      </c>
      <c r="E1385">
        <v>78.239999999999995</v>
      </c>
      <c r="F1385" t="s">
        <v>5978</v>
      </c>
      <c r="G1385" t="s">
        <v>5979</v>
      </c>
      <c r="H1385" t="s">
        <v>4929</v>
      </c>
    </row>
    <row r="1386" spans="1:8" x14ac:dyDescent="0.3">
      <c r="A1386" t="s">
        <v>6321</v>
      </c>
      <c r="B1386" s="1">
        <v>45497</v>
      </c>
      <c r="C1386" t="s">
        <v>5976</v>
      </c>
      <c r="D1386" t="s">
        <v>5977</v>
      </c>
      <c r="E1386">
        <v>78.78</v>
      </c>
      <c r="F1386" t="s">
        <v>5978</v>
      </c>
      <c r="G1386" t="s">
        <v>5979</v>
      </c>
      <c r="H1386" t="s">
        <v>4929</v>
      </c>
    </row>
    <row r="1387" spans="1:8" x14ac:dyDescent="0.3">
      <c r="A1387" t="s">
        <v>6322</v>
      </c>
      <c r="B1387" s="1">
        <v>45498</v>
      </c>
      <c r="C1387" t="s">
        <v>5976</v>
      </c>
      <c r="D1387" t="s">
        <v>5977</v>
      </c>
      <c r="E1387">
        <v>79.430000000000007</v>
      </c>
      <c r="F1387" t="s">
        <v>5978</v>
      </c>
      <c r="G1387" t="s">
        <v>5979</v>
      </c>
      <c r="H1387" t="s">
        <v>4929</v>
      </c>
    </row>
    <row r="1388" spans="1:8" x14ac:dyDescent="0.3">
      <c r="A1388" t="s">
        <v>6323</v>
      </c>
      <c r="B1388" s="1">
        <v>45499</v>
      </c>
      <c r="C1388" t="s">
        <v>5976</v>
      </c>
      <c r="D1388" t="s">
        <v>5977</v>
      </c>
      <c r="E1388">
        <v>78.58</v>
      </c>
      <c r="F1388" t="s">
        <v>5978</v>
      </c>
      <c r="G1388" t="s">
        <v>5979</v>
      </c>
      <c r="H1388" t="s">
        <v>4929</v>
      </c>
    </row>
    <row r="1389" spans="1:8" x14ac:dyDescent="0.3">
      <c r="A1389" t="s">
        <v>6324</v>
      </c>
      <c r="B1389" s="1">
        <v>45502</v>
      </c>
      <c r="C1389" t="s">
        <v>5976</v>
      </c>
      <c r="D1389" t="s">
        <v>5977</v>
      </c>
      <c r="E1389">
        <v>77.27</v>
      </c>
      <c r="F1389" t="s">
        <v>5978</v>
      </c>
      <c r="G1389" t="s">
        <v>5979</v>
      </c>
      <c r="H1389" t="s">
        <v>4929</v>
      </c>
    </row>
    <row r="1390" spans="1:8" x14ac:dyDescent="0.3">
      <c r="A1390" t="s">
        <v>6325</v>
      </c>
      <c r="B1390" s="1">
        <v>45503</v>
      </c>
      <c r="C1390" t="s">
        <v>5976</v>
      </c>
      <c r="D1390" t="s">
        <v>5977</v>
      </c>
      <c r="E1390">
        <v>76.17</v>
      </c>
      <c r="F1390" t="s">
        <v>5978</v>
      </c>
      <c r="G1390" t="s">
        <v>5979</v>
      </c>
      <c r="H1390" t="s">
        <v>4929</v>
      </c>
    </row>
    <row r="1391" spans="1:8" x14ac:dyDescent="0.3">
      <c r="A1391" t="s">
        <v>6326</v>
      </c>
      <c r="B1391" s="1">
        <v>45504</v>
      </c>
      <c r="C1391" t="s">
        <v>5976</v>
      </c>
      <c r="D1391" t="s">
        <v>5977</v>
      </c>
      <c r="E1391">
        <v>79.36</v>
      </c>
      <c r="F1391" t="s">
        <v>5978</v>
      </c>
      <c r="G1391" t="s">
        <v>5979</v>
      </c>
      <c r="H1391" t="s">
        <v>4929</v>
      </c>
    </row>
    <row r="1392" spans="1:8" x14ac:dyDescent="0.3">
      <c r="A1392" t="s">
        <v>6327</v>
      </c>
      <c r="B1392" s="1">
        <v>45505</v>
      </c>
      <c r="C1392" t="s">
        <v>5976</v>
      </c>
      <c r="D1392" t="s">
        <v>5977</v>
      </c>
      <c r="E1392">
        <v>77.739999999999995</v>
      </c>
      <c r="F1392" t="s">
        <v>5978</v>
      </c>
      <c r="G1392" t="s">
        <v>5979</v>
      </c>
      <c r="H1392" t="s">
        <v>4929</v>
      </c>
    </row>
    <row r="1393" spans="1:8" x14ac:dyDescent="0.3">
      <c r="A1393" t="s">
        <v>6328</v>
      </c>
      <c r="B1393" s="1">
        <v>45506</v>
      </c>
      <c r="C1393" t="s">
        <v>5976</v>
      </c>
      <c r="D1393" t="s">
        <v>5977</v>
      </c>
      <c r="E1393">
        <v>74.989999999999995</v>
      </c>
      <c r="F1393" t="s">
        <v>5978</v>
      </c>
      <c r="G1393" t="s">
        <v>5979</v>
      </c>
      <c r="H1393" t="s">
        <v>4929</v>
      </c>
    </row>
    <row r="1394" spans="1:8" x14ac:dyDescent="0.3">
      <c r="A1394" t="s">
        <v>6329</v>
      </c>
      <c r="B1394" s="1">
        <v>45509</v>
      </c>
      <c r="C1394" t="s">
        <v>5976</v>
      </c>
      <c r="D1394" t="s">
        <v>5977</v>
      </c>
      <c r="E1394">
        <v>74.459999999999994</v>
      </c>
      <c r="F1394" t="s">
        <v>5978</v>
      </c>
      <c r="G1394" t="s">
        <v>5979</v>
      </c>
      <c r="H1394" t="s">
        <v>4929</v>
      </c>
    </row>
    <row r="1395" spans="1:8" x14ac:dyDescent="0.3">
      <c r="A1395" t="s">
        <v>6330</v>
      </c>
      <c r="B1395" s="1">
        <v>45510</v>
      </c>
      <c r="C1395" t="s">
        <v>5976</v>
      </c>
      <c r="D1395" t="s">
        <v>5977</v>
      </c>
      <c r="E1395">
        <v>74.599999999999994</v>
      </c>
      <c r="F1395" t="s">
        <v>5978</v>
      </c>
      <c r="G1395" t="s">
        <v>5979</v>
      </c>
      <c r="H1395" t="s">
        <v>4929</v>
      </c>
    </row>
    <row r="1396" spans="1:8" x14ac:dyDescent="0.3">
      <c r="A1396" t="s">
        <v>6331</v>
      </c>
      <c r="B1396" s="1">
        <v>45511</v>
      </c>
      <c r="C1396" t="s">
        <v>5976</v>
      </c>
      <c r="D1396" t="s">
        <v>5977</v>
      </c>
      <c r="E1396">
        <v>76.680000000000007</v>
      </c>
      <c r="F1396" t="s">
        <v>5978</v>
      </c>
      <c r="G1396" t="s">
        <v>5979</v>
      </c>
      <c r="H1396" t="s">
        <v>4929</v>
      </c>
    </row>
    <row r="1397" spans="1:8" x14ac:dyDescent="0.3">
      <c r="A1397" t="s">
        <v>6332</v>
      </c>
      <c r="B1397" s="1">
        <v>45512</v>
      </c>
      <c r="C1397" t="s">
        <v>5976</v>
      </c>
      <c r="D1397" t="s">
        <v>5977</v>
      </c>
      <c r="E1397">
        <v>77.64</v>
      </c>
      <c r="F1397" t="s">
        <v>5978</v>
      </c>
      <c r="G1397" t="s">
        <v>5979</v>
      </c>
      <c r="H1397" t="s">
        <v>4929</v>
      </c>
    </row>
    <row r="1398" spans="1:8" x14ac:dyDescent="0.3">
      <c r="A1398" t="s">
        <v>6333</v>
      </c>
      <c r="B1398" s="1">
        <v>45513</v>
      </c>
      <c r="C1398" t="s">
        <v>5976</v>
      </c>
      <c r="D1398" t="s">
        <v>5977</v>
      </c>
      <c r="E1398">
        <v>78.28</v>
      </c>
      <c r="F1398" t="s">
        <v>5978</v>
      </c>
      <c r="G1398" t="s">
        <v>5979</v>
      </c>
      <c r="H1398" t="s">
        <v>4929</v>
      </c>
    </row>
    <row r="1399" spans="1:8" x14ac:dyDescent="0.3">
      <c r="A1399" t="s">
        <v>6334</v>
      </c>
      <c r="B1399" s="1">
        <v>45516</v>
      </c>
      <c r="C1399" t="s">
        <v>5976</v>
      </c>
      <c r="D1399" t="s">
        <v>5977</v>
      </c>
      <c r="E1399">
        <v>81.45</v>
      </c>
      <c r="F1399" t="s">
        <v>5978</v>
      </c>
      <c r="G1399" t="s">
        <v>5979</v>
      </c>
      <c r="H1399" t="s">
        <v>4929</v>
      </c>
    </row>
    <row r="1400" spans="1:8" x14ac:dyDescent="0.3">
      <c r="A1400" t="s">
        <v>6335</v>
      </c>
      <c r="B1400" s="1">
        <v>45517</v>
      </c>
      <c r="C1400" t="s">
        <v>5976</v>
      </c>
      <c r="D1400" t="s">
        <v>5977</v>
      </c>
      <c r="E1400">
        <v>79.81</v>
      </c>
      <c r="F1400" t="s">
        <v>5978</v>
      </c>
      <c r="G1400" t="s">
        <v>5979</v>
      </c>
      <c r="H1400" t="s">
        <v>4929</v>
      </c>
    </row>
    <row r="1401" spans="1:8" x14ac:dyDescent="0.3">
      <c r="A1401" t="s">
        <v>6336</v>
      </c>
      <c r="B1401" s="1">
        <v>45518</v>
      </c>
      <c r="C1401" t="s">
        <v>5976</v>
      </c>
      <c r="D1401" t="s">
        <v>5977</v>
      </c>
      <c r="E1401">
        <v>78.47</v>
      </c>
      <c r="F1401" t="s">
        <v>5978</v>
      </c>
      <c r="G1401" t="s">
        <v>5979</v>
      </c>
      <c r="H1401" t="s">
        <v>4929</v>
      </c>
    </row>
    <row r="1402" spans="1:8" x14ac:dyDescent="0.3">
      <c r="A1402" t="s">
        <v>6337</v>
      </c>
      <c r="B1402" s="1">
        <v>45519</v>
      </c>
      <c r="C1402" t="s">
        <v>5976</v>
      </c>
      <c r="D1402" t="s">
        <v>5977</v>
      </c>
      <c r="E1402">
        <v>79.66</v>
      </c>
      <c r="F1402" t="s">
        <v>5978</v>
      </c>
      <c r="G1402" t="s">
        <v>5979</v>
      </c>
      <c r="H1402" t="s">
        <v>4929</v>
      </c>
    </row>
    <row r="1403" spans="1:8" x14ac:dyDescent="0.3">
      <c r="A1403" t="s">
        <v>6338</v>
      </c>
      <c r="B1403" s="1">
        <v>45520</v>
      </c>
      <c r="C1403" t="s">
        <v>5976</v>
      </c>
      <c r="D1403" t="s">
        <v>5977</v>
      </c>
      <c r="E1403">
        <v>78.05</v>
      </c>
      <c r="F1403" t="s">
        <v>5978</v>
      </c>
      <c r="G1403" t="s">
        <v>5979</v>
      </c>
      <c r="H1403" t="s">
        <v>4929</v>
      </c>
    </row>
    <row r="1404" spans="1:8" x14ac:dyDescent="0.3">
      <c r="A1404" t="s">
        <v>6339</v>
      </c>
      <c r="B1404" s="1">
        <v>45523</v>
      </c>
      <c r="C1404" t="s">
        <v>5976</v>
      </c>
      <c r="D1404" t="s">
        <v>5977</v>
      </c>
      <c r="E1404">
        <v>75.819999999999993</v>
      </c>
      <c r="F1404" t="s">
        <v>5978</v>
      </c>
      <c r="G1404" t="s">
        <v>5979</v>
      </c>
      <c r="H1404" t="s">
        <v>4929</v>
      </c>
    </row>
    <row r="1405" spans="1:8" x14ac:dyDescent="0.3">
      <c r="A1405" t="s">
        <v>6340</v>
      </c>
      <c r="B1405" s="1">
        <v>45524</v>
      </c>
      <c r="C1405" t="s">
        <v>5976</v>
      </c>
      <c r="D1405" t="s">
        <v>5977</v>
      </c>
      <c r="E1405">
        <v>75.27</v>
      </c>
      <c r="F1405" t="s">
        <v>5978</v>
      </c>
      <c r="G1405" t="s">
        <v>5979</v>
      </c>
      <c r="H1405" t="s">
        <v>4929</v>
      </c>
    </row>
    <row r="1406" spans="1:8" x14ac:dyDescent="0.3">
      <c r="A1406" t="s">
        <v>6341</v>
      </c>
      <c r="B1406" s="1">
        <v>45525</v>
      </c>
      <c r="C1406" t="s">
        <v>5976</v>
      </c>
      <c r="D1406" t="s">
        <v>5977</v>
      </c>
      <c r="E1406">
        <v>72.760000000000005</v>
      </c>
      <c r="F1406" t="s">
        <v>5978</v>
      </c>
      <c r="G1406" t="s">
        <v>5979</v>
      </c>
      <c r="H1406" t="s">
        <v>4929</v>
      </c>
    </row>
    <row r="1407" spans="1:8" x14ac:dyDescent="0.3">
      <c r="A1407" t="s">
        <v>6342</v>
      </c>
      <c r="B1407" s="1">
        <v>45526</v>
      </c>
      <c r="C1407" t="s">
        <v>5976</v>
      </c>
      <c r="D1407" t="s">
        <v>5977</v>
      </c>
      <c r="E1407">
        <v>73.72</v>
      </c>
      <c r="F1407" t="s">
        <v>5978</v>
      </c>
      <c r="G1407" t="s">
        <v>5979</v>
      </c>
      <c r="H1407" t="s">
        <v>4929</v>
      </c>
    </row>
    <row r="1408" spans="1:8" x14ac:dyDescent="0.3">
      <c r="A1408" t="s">
        <v>6343</v>
      </c>
      <c r="B1408" s="1">
        <v>45527</v>
      </c>
      <c r="C1408" t="s">
        <v>5976</v>
      </c>
      <c r="D1408" t="s">
        <v>5977</v>
      </c>
      <c r="E1408">
        <v>75.819999999999993</v>
      </c>
      <c r="F1408" t="s">
        <v>5978</v>
      </c>
      <c r="G1408" t="s">
        <v>5979</v>
      </c>
      <c r="H1408" t="s">
        <v>4929</v>
      </c>
    </row>
    <row r="1409" spans="1:8" x14ac:dyDescent="0.3">
      <c r="A1409" t="s">
        <v>6344</v>
      </c>
      <c r="B1409" s="1">
        <v>45530</v>
      </c>
      <c r="C1409" t="s">
        <v>5976</v>
      </c>
      <c r="D1409" t="s">
        <v>5977</v>
      </c>
      <c r="E1409">
        <v>78.400000000000006</v>
      </c>
      <c r="F1409" t="s">
        <v>5978</v>
      </c>
      <c r="G1409" t="s">
        <v>5979</v>
      </c>
      <c r="H1409" t="s">
        <v>4929</v>
      </c>
    </row>
    <row r="1410" spans="1:8" x14ac:dyDescent="0.3">
      <c r="A1410" t="s">
        <v>6345</v>
      </c>
      <c r="B1410" s="1">
        <v>45531</v>
      </c>
      <c r="C1410" t="s">
        <v>5976</v>
      </c>
      <c r="D1410" t="s">
        <v>5977</v>
      </c>
      <c r="E1410">
        <v>76.5</v>
      </c>
      <c r="F1410" t="s">
        <v>5978</v>
      </c>
      <c r="G1410" t="s">
        <v>5979</v>
      </c>
      <c r="H1410" t="s">
        <v>4929</v>
      </c>
    </row>
    <row r="1411" spans="1:8" x14ac:dyDescent="0.3">
      <c r="A1411" t="s">
        <v>6346</v>
      </c>
      <c r="B1411" s="1">
        <v>45532</v>
      </c>
      <c r="C1411" t="s">
        <v>5976</v>
      </c>
      <c r="D1411" t="s">
        <v>5977</v>
      </c>
      <c r="E1411">
        <v>75.489999999999995</v>
      </c>
      <c r="F1411" t="s">
        <v>5978</v>
      </c>
      <c r="G1411" t="s">
        <v>5979</v>
      </c>
      <c r="H1411" t="s">
        <v>4929</v>
      </c>
    </row>
    <row r="1412" spans="1:8" x14ac:dyDescent="0.3">
      <c r="A1412" t="s">
        <v>6347</v>
      </c>
      <c r="B1412" s="1">
        <v>45533</v>
      </c>
      <c r="C1412" t="s">
        <v>5976</v>
      </c>
      <c r="D1412" t="s">
        <v>5977</v>
      </c>
      <c r="E1412">
        <v>76.900000000000006</v>
      </c>
      <c r="F1412" t="s">
        <v>5978</v>
      </c>
      <c r="G1412" t="s">
        <v>5979</v>
      </c>
      <c r="H1412" t="s">
        <v>4929</v>
      </c>
    </row>
    <row r="1413" spans="1:8" x14ac:dyDescent="0.3">
      <c r="A1413" t="s">
        <v>6348</v>
      </c>
      <c r="B1413" s="1">
        <v>45534</v>
      </c>
      <c r="C1413" t="s">
        <v>5976</v>
      </c>
      <c r="D1413" t="s">
        <v>5977</v>
      </c>
      <c r="E1413">
        <v>74.52</v>
      </c>
      <c r="F1413" t="s">
        <v>5978</v>
      </c>
      <c r="G1413" t="s">
        <v>5979</v>
      </c>
      <c r="H1413" t="s">
        <v>4929</v>
      </c>
    </row>
    <row r="1414" spans="1:8" x14ac:dyDescent="0.3">
      <c r="A1414" t="s">
        <v>6349</v>
      </c>
      <c r="B1414" s="1">
        <v>45537</v>
      </c>
      <c r="C1414" t="s">
        <v>5976</v>
      </c>
      <c r="D1414" t="s">
        <v>5977</v>
      </c>
      <c r="E1414">
        <v>74.52</v>
      </c>
      <c r="F1414" t="s">
        <v>5978</v>
      </c>
      <c r="G1414" t="s">
        <v>5979</v>
      </c>
      <c r="H1414" t="s">
        <v>4970</v>
      </c>
    </row>
    <row r="1415" spans="1:8" x14ac:dyDescent="0.3">
      <c r="A1415" t="s">
        <v>6350</v>
      </c>
      <c r="B1415" s="1">
        <v>45538</v>
      </c>
      <c r="C1415" t="s">
        <v>5976</v>
      </c>
      <c r="D1415" t="s">
        <v>5977</v>
      </c>
      <c r="E1415">
        <v>71.28</v>
      </c>
      <c r="F1415" t="s">
        <v>5978</v>
      </c>
      <c r="G1415" t="s">
        <v>5979</v>
      </c>
      <c r="H1415" t="s">
        <v>4929</v>
      </c>
    </row>
    <row r="1416" spans="1:8" x14ac:dyDescent="0.3">
      <c r="A1416" t="s">
        <v>6351</v>
      </c>
      <c r="B1416" s="1">
        <v>45539</v>
      </c>
      <c r="C1416" t="s">
        <v>5976</v>
      </c>
      <c r="D1416" t="s">
        <v>5977</v>
      </c>
      <c r="E1416">
        <v>70.11</v>
      </c>
      <c r="F1416" t="s">
        <v>5978</v>
      </c>
      <c r="G1416" t="s">
        <v>5979</v>
      </c>
      <c r="H1416" t="s">
        <v>4929</v>
      </c>
    </row>
    <row r="1417" spans="1:8" x14ac:dyDescent="0.3">
      <c r="A1417" t="s">
        <v>6352</v>
      </c>
      <c r="B1417" s="1">
        <v>45540</v>
      </c>
      <c r="C1417" t="s">
        <v>5976</v>
      </c>
      <c r="D1417" t="s">
        <v>5977</v>
      </c>
      <c r="E1417">
        <v>70.09</v>
      </c>
      <c r="F1417" t="s">
        <v>5978</v>
      </c>
      <c r="G1417" t="s">
        <v>5979</v>
      </c>
      <c r="H1417" t="s">
        <v>4929</v>
      </c>
    </row>
    <row r="1418" spans="1:8" x14ac:dyDescent="0.3">
      <c r="A1418" t="s">
        <v>6353</v>
      </c>
      <c r="B1418" s="1">
        <v>45541</v>
      </c>
      <c r="C1418" t="s">
        <v>5976</v>
      </c>
      <c r="D1418" t="s">
        <v>5977</v>
      </c>
      <c r="E1418">
        <v>68.58</v>
      </c>
      <c r="F1418" t="s">
        <v>5978</v>
      </c>
      <c r="G1418" t="s">
        <v>5979</v>
      </c>
      <c r="H1418" t="s">
        <v>4929</v>
      </c>
    </row>
    <row r="1419" spans="1:8" x14ac:dyDescent="0.3">
      <c r="A1419" t="s">
        <v>6354</v>
      </c>
      <c r="B1419" s="1">
        <v>45544</v>
      </c>
      <c r="C1419" t="s">
        <v>5976</v>
      </c>
      <c r="D1419" t="s">
        <v>5977</v>
      </c>
      <c r="E1419">
        <v>69.650000000000006</v>
      </c>
      <c r="F1419" t="s">
        <v>5978</v>
      </c>
      <c r="G1419" t="s">
        <v>5979</v>
      </c>
      <c r="H1419" t="s">
        <v>4929</v>
      </c>
    </row>
    <row r="1420" spans="1:8" x14ac:dyDescent="0.3">
      <c r="A1420" t="s">
        <v>6355</v>
      </c>
      <c r="B1420" s="1">
        <v>45545</v>
      </c>
      <c r="C1420" t="s">
        <v>5976</v>
      </c>
      <c r="D1420" t="s">
        <v>5977</v>
      </c>
      <c r="E1420">
        <v>66.73</v>
      </c>
      <c r="F1420" t="s">
        <v>5978</v>
      </c>
      <c r="G1420" t="s">
        <v>5979</v>
      </c>
      <c r="H1420" t="s">
        <v>4929</v>
      </c>
    </row>
    <row r="1421" spans="1:8" x14ac:dyDescent="0.3">
      <c r="A1421" t="s">
        <v>6356</v>
      </c>
      <c r="B1421" s="1">
        <v>45546</v>
      </c>
      <c r="C1421" t="s">
        <v>5976</v>
      </c>
      <c r="D1421" t="s">
        <v>5977</v>
      </c>
      <c r="E1421">
        <v>68.25</v>
      </c>
      <c r="F1421" t="s">
        <v>5978</v>
      </c>
      <c r="G1421" t="s">
        <v>5979</v>
      </c>
      <c r="H1421" t="s">
        <v>4929</v>
      </c>
    </row>
    <row r="1422" spans="1:8" x14ac:dyDescent="0.3">
      <c r="A1422" t="s">
        <v>6357</v>
      </c>
      <c r="B1422" s="1">
        <v>45547</v>
      </c>
      <c r="C1422" t="s">
        <v>5976</v>
      </c>
      <c r="D1422" t="s">
        <v>5977</v>
      </c>
      <c r="E1422">
        <v>69.89</v>
      </c>
      <c r="F1422" t="s">
        <v>5978</v>
      </c>
      <c r="G1422" t="s">
        <v>5979</v>
      </c>
      <c r="H1422" t="s">
        <v>4929</v>
      </c>
    </row>
    <row r="1423" spans="1:8" x14ac:dyDescent="0.3">
      <c r="A1423" t="s">
        <v>6358</v>
      </c>
      <c r="B1423" s="1">
        <v>45548</v>
      </c>
      <c r="C1423" t="s">
        <v>5976</v>
      </c>
      <c r="D1423" t="s">
        <v>5977</v>
      </c>
      <c r="E1423">
        <v>69.59</v>
      </c>
      <c r="F1423" t="s">
        <v>5978</v>
      </c>
      <c r="G1423" t="s">
        <v>5979</v>
      </c>
      <c r="H1423" t="s">
        <v>4929</v>
      </c>
    </row>
    <row r="1424" spans="1:8" x14ac:dyDescent="0.3">
      <c r="A1424" t="s">
        <v>6359</v>
      </c>
      <c r="B1424" s="1">
        <v>45551</v>
      </c>
      <c r="C1424" t="s">
        <v>5976</v>
      </c>
      <c r="D1424" t="s">
        <v>5977</v>
      </c>
      <c r="E1424">
        <v>71.099999999999994</v>
      </c>
      <c r="F1424" t="s">
        <v>5978</v>
      </c>
      <c r="G1424" t="s">
        <v>5979</v>
      </c>
      <c r="H1424" t="s">
        <v>4929</v>
      </c>
    </row>
    <row r="1425" spans="1:8" x14ac:dyDescent="0.3">
      <c r="A1425" t="s">
        <v>6360</v>
      </c>
      <c r="B1425" s="1">
        <v>45552</v>
      </c>
      <c r="C1425" t="s">
        <v>5976</v>
      </c>
      <c r="D1425" t="s">
        <v>5977</v>
      </c>
      <c r="E1425">
        <v>72.16</v>
      </c>
      <c r="F1425" t="s">
        <v>5978</v>
      </c>
      <c r="G1425" t="s">
        <v>5979</v>
      </c>
      <c r="H1425" t="s">
        <v>4929</v>
      </c>
    </row>
    <row r="1426" spans="1:8" x14ac:dyDescent="0.3">
      <c r="A1426" t="s">
        <v>6361</v>
      </c>
      <c r="B1426" s="1">
        <v>45553</v>
      </c>
      <c r="C1426" t="s">
        <v>5976</v>
      </c>
      <c r="D1426" t="s">
        <v>5977</v>
      </c>
      <c r="E1426">
        <v>71.87</v>
      </c>
      <c r="F1426" t="s">
        <v>5978</v>
      </c>
      <c r="G1426" t="s">
        <v>5979</v>
      </c>
      <c r="H1426" t="s">
        <v>4929</v>
      </c>
    </row>
    <row r="1427" spans="1:8" x14ac:dyDescent="0.3">
      <c r="A1427" t="s">
        <v>6362</v>
      </c>
      <c r="B1427" s="1">
        <v>45554</v>
      </c>
      <c r="C1427" t="s">
        <v>5976</v>
      </c>
      <c r="D1427" t="s">
        <v>5977</v>
      </c>
      <c r="E1427">
        <v>72.86</v>
      </c>
      <c r="F1427" t="s">
        <v>5978</v>
      </c>
      <c r="G1427" t="s">
        <v>5979</v>
      </c>
      <c r="H1427" t="s">
        <v>4929</v>
      </c>
    </row>
    <row r="1428" spans="1:8" x14ac:dyDescent="0.3">
      <c r="A1428" t="s">
        <v>6363</v>
      </c>
      <c r="B1428" s="1">
        <v>45555</v>
      </c>
      <c r="C1428" t="s">
        <v>5976</v>
      </c>
      <c r="D1428" t="s">
        <v>5977</v>
      </c>
      <c r="E1428">
        <v>72.72</v>
      </c>
      <c r="F1428" t="s">
        <v>5978</v>
      </c>
      <c r="G1428" t="s">
        <v>5979</v>
      </c>
      <c r="H1428" t="s">
        <v>4929</v>
      </c>
    </row>
    <row r="1429" spans="1:8" x14ac:dyDescent="0.3">
      <c r="A1429" t="s">
        <v>6364</v>
      </c>
      <c r="B1429" s="1">
        <v>45558</v>
      </c>
      <c r="C1429" t="s">
        <v>5976</v>
      </c>
      <c r="D1429" t="s">
        <v>5977</v>
      </c>
      <c r="E1429">
        <v>71.33</v>
      </c>
      <c r="F1429" t="s">
        <v>5978</v>
      </c>
      <c r="G1429" t="s">
        <v>5979</v>
      </c>
      <c r="H1429" t="s">
        <v>4929</v>
      </c>
    </row>
    <row r="1430" spans="1:8" x14ac:dyDescent="0.3">
      <c r="A1430" t="s">
        <v>6365</v>
      </c>
      <c r="B1430" s="1">
        <v>45559</v>
      </c>
      <c r="C1430" t="s">
        <v>5976</v>
      </c>
      <c r="D1430" t="s">
        <v>5977</v>
      </c>
      <c r="E1430">
        <v>72.34</v>
      </c>
      <c r="F1430" t="s">
        <v>5978</v>
      </c>
      <c r="G1430" t="s">
        <v>5979</v>
      </c>
      <c r="H1430" t="s">
        <v>4929</v>
      </c>
    </row>
    <row r="1431" spans="1:8" x14ac:dyDescent="0.3">
      <c r="A1431" t="s">
        <v>6366</v>
      </c>
      <c r="B1431" s="1">
        <v>45560</v>
      </c>
      <c r="C1431" t="s">
        <v>5976</v>
      </c>
      <c r="D1431" t="s">
        <v>5977</v>
      </c>
      <c r="E1431">
        <v>70.42</v>
      </c>
      <c r="F1431" t="s">
        <v>5978</v>
      </c>
      <c r="G1431" t="s">
        <v>5979</v>
      </c>
      <c r="H1431" t="s">
        <v>4929</v>
      </c>
    </row>
    <row r="1432" spans="1:8" x14ac:dyDescent="0.3">
      <c r="A1432" t="s">
        <v>6367</v>
      </c>
      <c r="B1432" s="1">
        <v>45561</v>
      </c>
      <c r="C1432" t="s">
        <v>5976</v>
      </c>
      <c r="D1432" t="s">
        <v>5977</v>
      </c>
      <c r="E1432">
        <v>68.28</v>
      </c>
      <c r="F1432" t="s">
        <v>5978</v>
      </c>
      <c r="G1432" t="s">
        <v>5979</v>
      </c>
      <c r="H1432" t="s">
        <v>4929</v>
      </c>
    </row>
    <row r="1433" spans="1:8" x14ac:dyDescent="0.3">
      <c r="A1433" t="s">
        <v>6368</v>
      </c>
      <c r="B1433" s="1">
        <v>45562</v>
      </c>
      <c r="C1433" t="s">
        <v>5976</v>
      </c>
      <c r="D1433" t="s">
        <v>5977</v>
      </c>
      <c r="E1433">
        <v>68.72</v>
      </c>
      <c r="F1433" t="s">
        <v>5978</v>
      </c>
      <c r="G1433" t="s">
        <v>5979</v>
      </c>
      <c r="H1433" t="s">
        <v>4929</v>
      </c>
    </row>
    <row r="1434" spans="1:8" x14ac:dyDescent="0.3">
      <c r="A1434" t="s">
        <v>6369</v>
      </c>
      <c r="B1434" s="1">
        <v>45565</v>
      </c>
      <c r="C1434" t="s">
        <v>5976</v>
      </c>
      <c r="D1434" t="s">
        <v>5977</v>
      </c>
      <c r="E1434">
        <v>68.75</v>
      </c>
      <c r="F1434" t="s">
        <v>5978</v>
      </c>
      <c r="G1434" t="s">
        <v>5979</v>
      </c>
      <c r="H1434" t="s">
        <v>4929</v>
      </c>
    </row>
    <row r="1435" spans="1:8" x14ac:dyDescent="0.3">
      <c r="A1435" t="s">
        <v>6370</v>
      </c>
      <c r="B1435" s="1">
        <v>45566</v>
      </c>
      <c r="C1435" t="s">
        <v>5976</v>
      </c>
      <c r="D1435" t="s">
        <v>5977</v>
      </c>
      <c r="E1435">
        <v>70.41</v>
      </c>
      <c r="F1435" t="s">
        <v>5978</v>
      </c>
      <c r="G1435" t="s">
        <v>5979</v>
      </c>
      <c r="H1435" t="s">
        <v>4929</v>
      </c>
    </row>
    <row r="1436" spans="1:8" x14ac:dyDescent="0.3">
      <c r="A1436" t="s">
        <v>6371</v>
      </c>
      <c r="B1436" s="1">
        <v>45567</v>
      </c>
      <c r="C1436" t="s">
        <v>5976</v>
      </c>
      <c r="D1436" t="s">
        <v>5977</v>
      </c>
      <c r="E1436">
        <v>70.739999999999995</v>
      </c>
      <c r="F1436" t="s">
        <v>5978</v>
      </c>
      <c r="G1436" t="s">
        <v>5979</v>
      </c>
      <c r="H1436" t="s">
        <v>4929</v>
      </c>
    </row>
    <row r="1437" spans="1:8" x14ac:dyDescent="0.3">
      <c r="A1437" t="s">
        <v>6372</v>
      </c>
      <c r="B1437" s="1">
        <v>45568</v>
      </c>
      <c r="C1437" t="s">
        <v>5976</v>
      </c>
      <c r="D1437" t="s">
        <v>5977</v>
      </c>
      <c r="E1437">
        <v>74.33</v>
      </c>
      <c r="F1437" t="s">
        <v>5978</v>
      </c>
      <c r="G1437" t="s">
        <v>5979</v>
      </c>
      <c r="H1437" t="s">
        <v>4929</v>
      </c>
    </row>
    <row r="1438" spans="1:8" x14ac:dyDescent="0.3">
      <c r="A1438" t="s">
        <v>6373</v>
      </c>
      <c r="B1438" s="1">
        <v>45569</v>
      </c>
      <c r="C1438" t="s">
        <v>5976</v>
      </c>
      <c r="D1438" t="s">
        <v>5977</v>
      </c>
      <c r="E1438">
        <v>74.930000000000007</v>
      </c>
      <c r="F1438" t="s">
        <v>5978</v>
      </c>
      <c r="G1438" t="s">
        <v>5979</v>
      </c>
      <c r="H1438" t="s">
        <v>4929</v>
      </c>
    </row>
    <row r="1439" spans="1:8" x14ac:dyDescent="0.3">
      <c r="A1439" t="s">
        <v>6374</v>
      </c>
      <c r="B1439" s="1">
        <v>45572</v>
      </c>
      <c r="C1439" t="s">
        <v>5976</v>
      </c>
      <c r="D1439" t="s">
        <v>5977</v>
      </c>
      <c r="E1439">
        <v>77.760000000000005</v>
      </c>
      <c r="F1439" t="s">
        <v>5978</v>
      </c>
      <c r="G1439" t="s">
        <v>5979</v>
      </c>
      <c r="H1439" t="s">
        <v>4929</v>
      </c>
    </row>
    <row r="1440" spans="1:8" x14ac:dyDescent="0.3">
      <c r="A1440" t="s">
        <v>6375</v>
      </c>
      <c r="B1440" s="1">
        <v>45573</v>
      </c>
      <c r="C1440" t="s">
        <v>5976</v>
      </c>
      <c r="D1440" t="s">
        <v>5977</v>
      </c>
      <c r="E1440">
        <v>74.260000000000005</v>
      </c>
      <c r="F1440" t="s">
        <v>5978</v>
      </c>
      <c r="G1440" t="s">
        <v>5979</v>
      </c>
      <c r="H1440" t="s">
        <v>4929</v>
      </c>
    </row>
    <row r="1441" spans="1:8" x14ac:dyDescent="0.3">
      <c r="A1441" t="s">
        <v>6376</v>
      </c>
      <c r="B1441" s="1">
        <v>45574</v>
      </c>
      <c r="C1441" t="s">
        <v>5976</v>
      </c>
      <c r="D1441" t="s">
        <v>5977</v>
      </c>
      <c r="E1441">
        <v>73.849999999999994</v>
      </c>
      <c r="F1441" t="s">
        <v>5978</v>
      </c>
      <c r="G1441" t="s">
        <v>5979</v>
      </c>
      <c r="H1441" t="s">
        <v>4929</v>
      </c>
    </row>
    <row r="1442" spans="1:8" x14ac:dyDescent="0.3">
      <c r="A1442" t="s">
        <v>6377</v>
      </c>
      <c r="B1442" s="1">
        <v>45575</v>
      </c>
      <c r="C1442" t="s">
        <v>5976</v>
      </c>
      <c r="D1442" t="s">
        <v>5977</v>
      </c>
      <c r="E1442">
        <v>76.459999999999994</v>
      </c>
      <c r="F1442" t="s">
        <v>5978</v>
      </c>
      <c r="G1442" t="s">
        <v>5979</v>
      </c>
      <c r="H1442" t="s">
        <v>4929</v>
      </c>
    </row>
    <row r="1443" spans="1:8" x14ac:dyDescent="0.3">
      <c r="A1443" t="s">
        <v>6378</v>
      </c>
      <c r="B1443" s="1">
        <v>45576</v>
      </c>
      <c r="C1443" t="s">
        <v>5976</v>
      </c>
      <c r="D1443" t="s">
        <v>5977</v>
      </c>
      <c r="E1443">
        <v>76.11</v>
      </c>
      <c r="F1443" t="s">
        <v>5978</v>
      </c>
      <c r="G1443" t="s">
        <v>5979</v>
      </c>
      <c r="H1443" t="s">
        <v>4929</v>
      </c>
    </row>
    <row r="1444" spans="1:8" x14ac:dyDescent="0.3">
      <c r="A1444" t="s">
        <v>6379</v>
      </c>
      <c r="B1444" s="1">
        <v>45579</v>
      </c>
      <c r="C1444" t="s">
        <v>5976</v>
      </c>
      <c r="D1444" t="s">
        <v>5977</v>
      </c>
      <c r="E1444">
        <v>76.11</v>
      </c>
      <c r="F1444" t="s">
        <v>5978</v>
      </c>
      <c r="G1444" t="s">
        <v>5979</v>
      </c>
      <c r="H1444" t="s">
        <v>4970</v>
      </c>
    </row>
    <row r="1445" spans="1:8" x14ac:dyDescent="0.3">
      <c r="A1445" t="s">
        <v>6380</v>
      </c>
      <c r="B1445" s="1">
        <v>45580</v>
      </c>
      <c r="C1445" t="s">
        <v>5976</v>
      </c>
      <c r="D1445" t="s">
        <v>5977</v>
      </c>
      <c r="E1445">
        <v>71.22</v>
      </c>
      <c r="F1445" t="s">
        <v>5978</v>
      </c>
      <c r="G1445" t="s">
        <v>5979</v>
      </c>
      <c r="H1445" t="s">
        <v>4929</v>
      </c>
    </row>
    <row r="1446" spans="1:8" x14ac:dyDescent="0.3">
      <c r="A1446" t="s">
        <v>6381</v>
      </c>
      <c r="B1446" s="1">
        <v>45581</v>
      </c>
      <c r="C1446" t="s">
        <v>5976</v>
      </c>
      <c r="D1446" t="s">
        <v>5977</v>
      </c>
      <c r="E1446">
        <v>70.97</v>
      </c>
      <c r="F1446" t="s">
        <v>5978</v>
      </c>
      <c r="G1446" t="s">
        <v>5979</v>
      </c>
      <c r="H1446" t="s">
        <v>4929</v>
      </c>
    </row>
    <row r="1447" spans="1:8" x14ac:dyDescent="0.3">
      <c r="A1447" t="s">
        <v>6382</v>
      </c>
      <c r="B1447" s="1">
        <v>45582</v>
      </c>
      <c r="C1447" t="s">
        <v>5976</v>
      </c>
      <c r="D1447" t="s">
        <v>5977</v>
      </c>
      <c r="E1447">
        <v>71.260000000000005</v>
      </c>
      <c r="F1447" t="s">
        <v>5978</v>
      </c>
      <c r="G1447" t="s">
        <v>5979</v>
      </c>
      <c r="H1447" t="s">
        <v>4929</v>
      </c>
    </row>
    <row r="1448" spans="1:8" x14ac:dyDescent="0.3">
      <c r="A1448" t="s">
        <v>6383</v>
      </c>
      <c r="B1448" s="1">
        <v>45583</v>
      </c>
      <c r="C1448" t="s">
        <v>5976</v>
      </c>
      <c r="D1448" t="s">
        <v>5977</v>
      </c>
      <c r="E1448">
        <v>69.78</v>
      </c>
      <c r="F1448" t="s">
        <v>5978</v>
      </c>
      <c r="G1448" t="s">
        <v>5979</v>
      </c>
      <c r="H1448" t="s">
        <v>4929</v>
      </c>
    </row>
    <row r="1449" spans="1:8" x14ac:dyDescent="0.3">
      <c r="A1449" t="s">
        <v>6384</v>
      </c>
      <c r="B1449" s="1">
        <v>45586</v>
      </c>
      <c r="C1449" t="s">
        <v>5976</v>
      </c>
      <c r="D1449" t="s">
        <v>5977</v>
      </c>
      <c r="E1449">
        <v>71.16</v>
      </c>
      <c r="F1449" t="s">
        <v>5978</v>
      </c>
      <c r="G1449" t="s">
        <v>5979</v>
      </c>
      <c r="H1449" t="s">
        <v>4929</v>
      </c>
    </row>
    <row r="1450" spans="1:8" x14ac:dyDescent="0.3">
      <c r="A1450" t="s">
        <v>6385</v>
      </c>
      <c r="B1450" s="1">
        <v>45587</v>
      </c>
      <c r="C1450" t="s">
        <v>5976</v>
      </c>
      <c r="D1450" t="s">
        <v>5977</v>
      </c>
      <c r="E1450">
        <v>72.84</v>
      </c>
      <c r="F1450" t="s">
        <v>5978</v>
      </c>
      <c r="G1450" t="s">
        <v>5979</v>
      </c>
      <c r="H1450" t="s">
        <v>4929</v>
      </c>
    </row>
    <row r="1451" spans="1:8" x14ac:dyDescent="0.3">
      <c r="A1451" t="s">
        <v>6386</v>
      </c>
      <c r="B1451" s="1">
        <v>45588</v>
      </c>
      <c r="C1451" t="s">
        <v>5976</v>
      </c>
      <c r="D1451" t="s">
        <v>5977</v>
      </c>
      <c r="E1451">
        <v>71.37</v>
      </c>
      <c r="F1451" t="s">
        <v>5978</v>
      </c>
      <c r="G1451" t="s">
        <v>5979</v>
      </c>
      <c r="H1451" t="s">
        <v>4929</v>
      </c>
    </row>
    <row r="1452" spans="1:8" x14ac:dyDescent="0.3">
      <c r="A1452" t="s">
        <v>6387</v>
      </c>
      <c r="B1452" s="1">
        <v>45589</v>
      </c>
      <c r="C1452" t="s">
        <v>5976</v>
      </c>
      <c r="D1452" t="s">
        <v>5977</v>
      </c>
      <c r="E1452">
        <v>70.58</v>
      </c>
      <c r="F1452" t="s">
        <v>5978</v>
      </c>
      <c r="G1452" t="s">
        <v>5979</v>
      </c>
      <c r="H1452" t="s">
        <v>4929</v>
      </c>
    </row>
    <row r="1453" spans="1:8" x14ac:dyDescent="0.3">
      <c r="A1453" t="s">
        <v>6388</v>
      </c>
      <c r="B1453" s="1">
        <v>45590</v>
      </c>
      <c r="C1453" t="s">
        <v>5976</v>
      </c>
      <c r="D1453" t="s">
        <v>5977</v>
      </c>
      <c r="E1453">
        <v>72.02</v>
      </c>
      <c r="F1453" t="s">
        <v>5978</v>
      </c>
      <c r="G1453" t="s">
        <v>5979</v>
      </c>
      <c r="H1453" t="s">
        <v>4929</v>
      </c>
    </row>
    <row r="1454" spans="1:8" x14ac:dyDescent="0.3">
      <c r="A1454" t="s">
        <v>6389</v>
      </c>
      <c r="B1454" s="1">
        <v>45593</v>
      </c>
      <c r="C1454" t="s">
        <v>5976</v>
      </c>
      <c r="D1454" t="s">
        <v>5977</v>
      </c>
      <c r="E1454">
        <v>67.650000000000006</v>
      </c>
      <c r="F1454" t="s">
        <v>5978</v>
      </c>
      <c r="G1454" t="s">
        <v>5979</v>
      </c>
      <c r="H1454" t="s">
        <v>4929</v>
      </c>
    </row>
    <row r="1455" spans="1:8" x14ac:dyDescent="0.3">
      <c r="A1455" t="s">
        <v>6390</v>
      </c>
      <c r="B1455" s="1">
        <v>45594</v>
      </c>
      <c r="C1455" t="s">
        <v>5976</v>
      </c>
      <c r="D1455" t="s">
        <v>5977</v>
      </c>
      <c r="E1455">
        <v>67.48</v>
      </c>
      <c r="F1455" t="s">
        <v>5978</v>
      </c>
      <c r="G1455" t="s">
        <v>5979</v>
      </c>
      <c r="H1455" t="s">
        <v>4929</v>
      </c>
    </row>
    <row r="1456" spans="1:8" x14ac:dyDescent="0.3">
      <c r="A1456" t="s">
        <v>6391</v>
      </c>
      <c r="B1456" s="1">
        <v>45595</v>
      </c>
      <c r="C1456" t="s">
        <v>5976</v>
      </c>
      <c r="D1456" t="s">
        <v>5977</v>
      </c>
      <c r="E1456">
        <v>68.91</v>
      </c>
      <c r="F1456" t="s">
        <v>5978</v>
      </c>
      <c r="G1456" t="s">
        <v>5979</v>
      </c>
      <c r="H1456" t="s">
        <v>4929</v>
      </c>
    </row>
    <row r="1457" spans="1:8" x14ac:dyDescent="0.3">
      <c r="A1457" t="s">
        <v>6392</v>
      </c>
      <c r="B1457" s="1">
        <v>45596</v>
      </c>
      <c r="C1457" t="s">
        <v>5976</v>
      </c>
      <c r="D1457" t="s">
        <v>5977</v>
      </c>
      <c r="E1457">
        <v>69.58</v>
      </c>
      <c r="F1457" t="s">
        <v>5978</v>
      </c>
      <c r="G1457" t="s">
        <v>5979</v>
      </c>
      <c r="H1457" t="s">
        <v>4929</v>
      </c>
    </row>
    <row r="1458" spans="1:8" x14ac:dyDescent="0.3">
      <c r="A1458" t="s">
        <v>6393</v>
      </c>
      <c r="B1458" s="1">
        <v>45597</v>
      </c>
      <c r="C1458" t="s">
        <v>5976</v>
      </c>
      <c r="D1458" t="s">
        <v>5977</v>
      </c>
      <c r="E1458">
        <v>69.81</v>
      </c>
      <c r="F1458" t="s">
        <v>5978</v>
      </c>
      <c r="G1458" t="s">
        <v>5979</v>
      </c>
      <c r="H1458" t="s">
        <v>4929</v>
      </c>
    </row>
    <row r="1459" spans="1:8" x14ac:dyDescent="0.3">
      <c r="A1459" t="s">
        <v>6394</v>
      </c>
      <c r="B1459" s="1">
        <v>45600</v>
      </c>
      <c r="C1459" t="s">
        <v>5976</v>
      </c>
      <c r="D1459" t="s">
        <v>5977</v>
      </c>
      <c r="E1459">
        <v>71.83</v>
      </c>
      <c r="F1459" t="s">
        <v>5978</v>
      </c>
      <c r="G1459" t="s">
        <v>5979</v>
      </c>
      <c r="H1459" t="s">
        <v>4929</v>
      </c>
    </row>
    <row r="1460" spans="1:8" x14ac:dyDescent="0.3">
      <c r="A1460" t="s">
        <v>6395</v>
      </c>
      <c r="B1460" s="1">
        <v>45601</v>
      </c>
      <c r="C1460" t="s">
        <v>5976</v>
      </c>
      <c r="D1460" t="s">
        <v>5977</v>
      </c>
      <c r="E1460">
        <v>72.260000000000005</v>
      </c>
      <c r="F1460" t="s">
        <v>5978</v>
      </c>
      <c r="G1460" t="s">
        <v>5979</v>
      </c>
      <c r="H1460" t="s">
        <v>4929</v>
      </c>
    </row>
    <row r="1461" spans="1:8" x14ac:dyDescent="0.3">
      <c r="A1461" t="s">
        <v>6396</v>
      </c>
      <c r="B1461" s="1">
        <v>45602</v>
      </c>
      <c r="C1461" t="s">
        <v>5976</v>
      </c>
      <c r="D1461" t="s">
        <v>5977</v>
      </c>
      <c r="E1461">
        <v>71.98</v>
      </c>
      <c r="F1461" t="s">
        <v>5978</v>
      </c>
      <c r="G1461" t="s">
        <v>5979</v>
      </c>
      <c r="H1461" t="s">
        <v>4929</v>
      </c>
    </row>
    <row r="1462" spans="1:8" x14ac:dyDescent="0.3">
      <c r="A1462" t="s">
        <v>6397</v>
      </c>
      <c r="B1462" s="1">
        <v>45603</v>
      </c>
      <c r="C1462" t="s">
        <v>5976</v>
      </c>
      <c r="D1462" t="s">
        <v>5977</v>
      </c>
      <c r="E1462">
        <v>72.69</v>
      </c>
      <c r="F1462" t="s">
        <v>5978</v>
      </c>
      <c r="G1462" t="s">
        <v>5979</v>
      </c>
      <c r="H1462" t="s">
        <v>4929</v>
      </c>
    </row>
    <row r="1463" spans="1:8" x14ac:dyDescent="0.3">
      <c r="A1463" t="s">
        <v>6398</v>
      </c>
      <c r="B1463" s="1">
        <v>45604</v>
      </c>
      <c r="C1463" t="s">
        <v>5976</v>
      </c>
      <c r="D1463" t="s">
        <v>5977</v>
      </c>
      <c r="E1463">
        <v>70.69</v>
      </c>
      <c r="F1463" t="s">
        <v>5978</v>
      </c>
      <c r="G1463" t="s">
        <v>5979</v>
      </c>
      <c r="H1463" t="s">
        <v>4929</v>
      </c>
    </row>
    <row r="1464" spans="1:8" x14ac:dyDescent="0.3">
      <c r="A1464" t="s">
        <v>6399</v>
      </c>
      <c r="B1464" s="1">
        <v>45607</v>
      </c>
      <c r="C1464" t="s">
        <v>5976</v>
      </c>
      <c r="D1464" t="s">
        <v>5977</v>
      </c>
      <c r="E1464">
        <v>70.69</v>
      </c>
      <c r="F1464" t="s">
        <v>5978</v>
      </c>
      <c r="G1464" t="s">
        <v>5979</v>
      </c>
      <c r="H1464" t="s">
        <v>4970</v>
      </c>
    </row>
    <row r="1465" spans="1:8" x14ac:dyDescent="0.3">
      <c r="A1465" t="s">
        <v>6400</v>
      </c>
      <c r="B1465" s="1">
        <v>45608</v>
      </c>
      <c r="C1465" t="s">
        <v>5976</v>
      </c>
      <c r="D1465" t="s">
        <v>5977</v>
      </c>
      <c r="E1465">
        <v>68.430000000000007</v>
      </c>
      <c r="F1465" t="s">
        <v>5978</v>
      </c>
      <c r="G1465" t="s">
        <v>5979</v>
      </c>
      <c r="H1465" t="s">
        <v>4929</v>
      </c>
    </row>
    <row r="1466" spans="1:8" x14ac:dyDescent="0.3">
      <c r="A1466" t="s">
        <v>6401</v>
      </c>
      <c r="B1466" s="1">
        <v>45609</v>
      </c>
      <c r="C1466" t="s">
        <v>5976</v>
      </c>
      <c r="D1466" t="s">
        <v>5977</v>
      </c>
      <c r="E1466">
        <v>68.760000000000005</v>
      </c>
      <c r="F1466" t="s">
        <v>5978</v>
      </c>
      <c r="G1466" t="s">
        <v>5979</v>
      </c>
      <c r="H1466" t="s">
        <v>4929</v>
      </c>
    </row>
    <row r="1467" spans="1:8" x14ac:dyDescent="0.3">
      <c r="A1467" t="s">
        <v>6402</v>
      </c>
      <c r="B1467" s="1">
        <v>45610</v>
      </c>
      <c r="C1467" t="s">
        <v>5976</v>
      </c>
      <c r="D1467" t="s">
        <v>5977</v>
      </c>
      <c r="E1467">
        <v>68.989999999999995</v>
      </c>
      <c r="F1467" t="s">
        <v>5978</v>
      </c>
      <c r="G1467" t="s">
        <v>5979</v>
      </c>
      <c r="H1467" t="s">
        <v>4929</v>
      </c>
    </row>
    <row r="1468" spans="1:8" x14ac:dyDescent="0.3">
      <c r="A1468" t="s">
        <v>6403</v>
      </c>
      <c r="B1468" s="1">
        <v>45611</v>
      </c>
      <c r="C1468" t="s">
        <v>5976</v>
      </c>
      <c r="D1468" t="s">
        <v>5977</v>
      </c>
      <c r="E1468">
        <v>67.33</v>
      </c>
      <c r="F1468" t="s">
        <v>5978</v>
      </c>
      <c r="G1468" t="s">
        <v>5979</v>
      </c>
      <c r="H1468" t="s">
        <v>4929</v>
      </c>
    </row>
    <row r="1469" spans="1:8" x14ac:dyDescent="0.3">
      <c r="A1469" t="s">
        <v>6404</v>
      </c>
      <c r="B1469" s="1">
        <v>45614</v>
      </c>
      <c r="C1469" t="s">
        <v>5976</v>
      </c>
      <c r="D1469" t="s">
        <v>5977</v>
      </c>
      <c r="E1469">
        <v>69.459999999999994</v>
      </c>
      <c r="F1469" t="s">
        <v>5978</v>
      </c>
      <c r="G1469" t="s">
        <v>5979</v>
      </c>
      <c r="H1469" t="s">
        <v>4929</v>
      </c>
    </row>
    <row r="1470" spans="1:8" x14ac:dyDescent="0.3">
      <c r="A1470" t="s">
        <v>6405</v>
      </c>
      <c r="B1470" s="1">
        <v>45615</v>
      </c>
      <c r="C1470" t="s">
        <v>5976</v>
      </c>
      <c r="D1470" t="s">
        <v>5977</v>
      </c>
      <c r="E1470">
        <v>69.75</v>
      </c>
      <c r="F1470" t="s">
        <v>5978</v>
      </c>
      <c r="G1470" t="s">
        <v>5979</v>
      </c>
      <c r="H1470" t="s">
        <v>4929</v>
      </c>
    </row>
    <row r="1471" spans="1:8" x14ac:dyDescent="0.3">
      <c r="A1471" t="s">
        <v>6406</v>
      </c>
      <c r="B1471" s="1">
        <v>45616</v>
      </c>
      <c r="C1471" t="s">
        <v>5976</v>
      </c>
      <c r="D1471" t="s">
        <v>5977</v>
      </c>
      <c r="E1471">
        <v>69.25</v>
      </c>
      <c r="F1471" t="s">
        <v>5978</v>
      </c>
      <c r="G1471" t="s">
        <v>5979</v>
      </c>
      <c r="H1471" t="s">
        <v>4929</v>
      </c>
    </row>
    <row r="1472" spans="1:8" x14ac:dyDescent="0.3">
      <c r="A1472" t="s">
        <v>6407</v>
      </c>
      <c r="B1472" s="1">
        <v>45617</v>
      </c>
      <c r="C1472" t="s">
        <v>5976</v>
      </c>
      <c r="D1472" t="s">
        <v>5977</v>
      </c>
      <c r="E1472">
        <v>70.39</v>
      </c>
      <c r="F1472" t="s">
        <v>5978</v>
      </c>
      <c r="G1472" t="s">
        <v>5979</v>
      </c>
      <c r="H1472" t="s">
        <v>4929</v>
      </c>
    </row>
    <row r="1473" spans="1:8" x14ac:dyDescent="0.3">
      <c r="A1473" t="s">
        <v>6408</v>
      </c>
      <c r="B1473" s="1">
        <v>45618</v>
      </c>
      <c r="C1473" t="s">
        <v>5976</v>
      </c>
      <c r="D1473" t="s">
        <v>5977</v>
      </c>
      <c r="E1473">
        <v>71.680000000000007</v>
      </c>
      <c r="F1473" t="s">
        <v>5978</v>
      </c>
      <c r="G1473" t="s">
        <v>5979</v>
      </c>
      <c r="H1473" t="s">
        <v>4929</v>
      </c>
    </row>
    <row r="1474" spans="1:8" x14ac:dyDescent="0.3">
      <c r="A1474" t="s">
        <v>6409</v>
      </c>
      <c r="B1474" s="1">
        <v>45621</v>
      </c>
      <c r="C1474" t="s">
        <v>5976</v>
      </c>
      <c r="D1474" t="s">
        <v>5977</v>
      </c>
      <c r="E1474">
        <v>69.41</v>
      </c>
      <c r="F1474" t="s">
        <v>5978</v>
      </c>
      <c r="G1474" t="s">
        <v>5979</v>
      </c>
      <c r="H1474" t="s">
        <v>4929</v>
      </c>
    </row>
    <row r="1475" spans="1:8" x14ac:dyDescent="0.3">
      <c r="A1475" t="s">
        <v>6410</v>
      </c>
      <c r="B1475" s="1">
        <v>45622</v>
      </c>
      <c r="C1475" t="s">
        <v>5976</v>
      </c>
      <c r="D1475" t="s">
        <v>5977</v>
      </c>
      <c r="E1475">
        <v>69.05</v>
      </c>
      <c r="F1475" t="s">
        <v>5978</v>
      </c>
      <c r="G1475" t="s">
        <v>5979</v>
      </c>
      <c r="H1475" t="s">
        <v>4929</v>
      </c>
    </row>
    <row r="1476" spans="1:8" x14ac:dyDescent="0.3">
      <c r="A1476" t="s">
        <v>6411</v>
      </c>
      <c r="B1476" s="1">
        <v>45623</v>
      </c>
      <c r="C1476" t="s">
        <v>5976</v>
      </c>
      <c r="D1476" t="s">
        <v>5977</v>
      </c>
      <c r="E1476">
        <v>69.03</v>
      </c>
      <c r="F1476" t="s">
        <v>5978</v>
      </c>
      <c r="G1476" t="s">
        <v>5979</v>
      </c>
      <c r="H1476" t="s">
        <v>4929</v>
      </c>
    </row>
    <row r="1477" spans="1:8" x14ac:dyDescent="0.3">
      <c r="A1477" t="s">
        <v>6412</v>
      </c>
      <c r="B1477" s="1">
        <v>45624</v>
      </c>
      <c r="C1477" t="s">
        <v>5976</v>
      </c>
      <c r="D1477" t="s">
        <v>5977</v>
      </c>
      <c r="E1477">
        <v>69.03</v>
      </c>
      <c r="F1477" t="s">
        <v>5978</v>
      </c>
      <c r="G1477" t="s">
        <v>5979</v>
      </c>
      <c r="H1477" t="s">
        <v>4970</v>
      </c>
    </row>
    <row r="1478" spans="1:8" x14ac:dyDescent="0.3">
      <c r="A1478" t="s">
        <v>6413</v>
      </c>
      <c r="B1478" s="1">
        <v>45625</v>
      </c>
      <c r="C1478" t="s">
        <v>5976</v>
      </c>
      <c r="D1478" t="s">
        <v>5977</v>
      </c>
      <c r="E1478">
        <v>68.260000000000005</v>
      </c>
      <c r="F1478" t="s">
        <v>5978</v>
      </c>
      <c r="G1478" t="s">
        <v>5979</v>
      </c>
      <c r="H1478" t="s">
        <v>4929</v>
      </c>
    </row>
    <row r="1479" spans="1:8" x14ac:dyDescent="0.3">
      <c r="A1479" t="s">
        <v>6414</v>
      </c>
      <c r="B1479" s="1">
        <v>45628</v>
      </c>
      <c r="C1479" t="s">
        <v>5976</v>
      </c>
      <c r="D1479" t="s">
        <v>5977</v>
      </c>
      <c r="E1479">
        <v>68.349999999999994</v>
      </c>
      <c r="F1479" t="s">
        <v>5978</v>
      </c>
      <c r="G1479" t="s">
        <v>5979</v>
      </c>
      <c r="H1479" t="s">
        <v>4929</v>
      </c>
    </row>
    <row r="1480" spans="1:8" x14ac:dyDescent="0.3">
      <c r="A1480" t="s">
        <v>6415</v>
      </c>
      <c r="B1480" s="1">
        <v>45629</v>
      </c>
      <c r="C1480" t="s">
        <v>5976</v>
      </c>
      <c r="D1480" t="s">
        <v>5977</v>
      </c>
      <c r="E1480">
        <v>70.150000000000006</v>
      </c>
      <c r="F1480" t="s">
        <v>5978</v>
      </c>
      <c r="G1480" t="s">
        <v>5979</v>
      </c>
      <c r="H1480" t="s">
        <v>4929</v>
      </c>
    </row>
    <row r="1481" spans="1:8" x14ac:dyDescent="0.3">
      <c r="A1481" t="s">
        <v>6416</v>
      </c>
      <c r="B1481" s="1">
        <v>45630</v>
      </c>
      <c r="C1481" t="s">
        <v>5976</v>
      </c>
      <c r="D1481" t="s">
        <v>5977</v>
      </c>
      <c r="E1481">
        <v>68.81</v>
      </c>
      <c r="F1481" t="s">
        <v>5978</v>
      </c>
      <c r="G1481" t="s">
        <v>5979</v>
      </c>
      <c r="H1481" t="s">
        <v>4929</v>
      </c>
    </row>
    <row r="1482" spans="1:8" x14ac:dyDescent="0.3">
      <c r="A1482" t="s">
        <v>6417</v>
      </c>
      <c r="B1482" s="1">
        <v>45631</v>
      </c>
      <c r="C1482" t="s">
        <v>5976</v>
      </c>
      <c r="D1482" t="s">
        <v>5977</v>
      </c>
      <c r="E1482">
        <v>68.58</v>
      </c>
      <c r="F1482" t="s">
        <v>5978</v>
      </c>
      <c r="G1482" t="s">
        <v>5979</v>
      </c>
      <c r="H1482" t="s">
        <v>4929</v>
      </c>
    </row>
    <row r="1483" spans="1:8" x14ac:dyDescent="0.3">
      <c r="A1483" t="s">
        <v>6418</v>
      </c>
      <c r="B1483" s="1">
        <v>45632</v>
      </c>
      <c r="C1483" t="s">
        <v>5976</v>
      </c>
      <c r="D1483" t="s">
        <v>5977</v>
      </c>
      <c r="E1483">
        <v>68.58</v>
      </c>
      <c r="F1483" t="s">
        <v>5978</v>
      </c>
      <c r="G1483" t="s">
        <v>5979</v>
      </c>
      <c r="H1483" t="s">
        <v>4929</v>
      </c>
    </row>
    <row r="1484" spans="1:8" x14ac:dyDescent="0.3">
      <c r="A1484" t="s">
        <v>6419</v>
      </c>
      <c r="B1484" s="1">
        <v>45635</v>
      </c>
      <c r="C1484" t="s">
        <v>5976</v>
      </c>
      <c r="D1484" t="s">
        <v>5977</v>
      </c>
      <c r="E1484">
        <v>68.650000000000006</v>
      </c>
      <c r="F1484" t="s">
        <v>5978</v>
      </c>
      <c r="G1484" t="s">
        <v>5979</v>
      </c>
      <c r="H1484" t="s">
        <v>4929</v>
      </c>
    </row>
    <row r="1485" spans="1:8" x14ac:dyDescent="0.3">
      <c r="A1485" t="s">
        <v>6420</v>
      </c>
      <c r="B1485" s="1">
        <v>45636</v>
      </c>
      <c r="C1485" t="s">
        <v>5976</v>
      </c>
      <c r="D1485" t="s">
        <v>5977</v>
      </c>
      <c r="E1485">
        <v>68.849999999999994</v>
      </c>
      <c r="F1485" t="s">
        <v>5978</v>
      </c>
      <c r="G1485" t="s">
        <v>5979</v>
      </c>
      <c r="H1485" t="s">
        <v>4929</v>
      </c>
    </row>
    <row r="1486" spans="1:8" x14ac:dyDescent="0.3">
      <c r="A1486" t="s">
        <v>6421</v>
      </c>
      <c r="B1486" s="1">
        <v>45637</v>
      </c>
      <c r="C1486" t="s">
        <v>5976</v>
      </c>
      <c r="D1486" t="s">
        <v>5977</v>
      </c>
      <c r="E1486">
        <v>70.569999999999993</v>
      </c>
      <c r="F1486" t="s">
        <v>5978</v>
      </c>
      <c r="G1486" t="s">
        <v>5979</v>
      </c>
      <c r="H1486" t="s">
        <v>4929</v>
      </c>
    </row>
    <row r="1487" spans="1:8" x14ac:dyDescent="0.3">
      <c r="A1487" t="s">
        <v>6422</v>
      </c>
      <c r="B1487" s="1">
        <v>45638</v>
      </c>
      <c r="C1487" t="s">
        <v>5976</v>
      </c>
      <c r="D1487" t="s">
        <v>5977</v>
      </c>
      <c r="E1487">
        <v>70.25</v>
      </c>
      <c r="F1487" t="s">
        <v>5978</v>
      </c>
      <c r="G1487" t="s">
        <v>5979</v>
      </c>
      <c r="H1487" t="s">
        <v>4929</v>
      </c>
    </row>
    <row r="1488" spans="1:8" x14ac:dyDescent="0.3">
      <c r="A1488" t="s">
        <v>6423</v>
      </c>
      <c r="B1488" s="1">
        <v>45639</v>
      </c>
      <c r="C1488" t="s">
        <v>5976</v>
      </c>
      <c r="D1488" t="s">
        <v>5977</v>
      </c>
      <c r="E1488">
        <v>71.540000000000006</v>
      </c>
      <c r="F1488" t="s">
        <v>5978</v>
      </c>
      <c r="G1488" t="s">
        <v>5979</v>
      </c>
      <c r="H1488" t="s">
        <v>4929</v>
      </c>
    </row>
    <row r="1489" spans="1:8" x14ac:dyDescent="0.3">
      <c r="A1489" t="s">
        <v>6424</v>
      </c>
      <c r="B1489" s="1">
        <v>45642</v>
      </c>
      <c r="C1489" t="s">
        <v>5976</v>
      </c>
      <c r="D1489" t="s">
        <v>5977</v>
      </c>
      <c r="E1489">
        <v>71.03</v>
      </c>
      <c r="F1489" t="s">
        <v>5978</v>
      </c>
      <c r="G1489" t="s">
        <v>5979</v>
      </c>
      <c r="H1489" t="s">
        <v>4929</v>
      </c>
    </row>
    <row r="1490" spans="1:8" x14ac:dyDescent="0.3">
      <c r="A1490" t="s">
        <v>6425</v>
      </c>
      <c r="B1490" s="1">
        <v>45643</v>
      </c>
      <c r="C1490" t="s">
        <v>5976</v>
      </c>
      <c r="D1490" t="s">
        <v>5977</v>
      </c>
      <c r="E1490">
        <v>70.31</v>
      </c>
      <c r="F1490" t="s">
        <v>5978</v>
      </c>
      <c r="G1490" t="s">
        <v>5979</v>
      </c>
      <c r="H1490" t="s">
        <v>4929</v>
      </c>
    </row>
    <row r="1491" spans="1:8" x14ac:dyDescent="0.3">
      <c r="A1491" t="s">
        <v>6426</v>
      </c>
      <c r="B1491" s="1">
        <v>45644</v>
      </c>
      <c r="C1491" t="s">
        <v>5976</v>
      </c>
      <c r="D1491" t="s">
        <v>5977</v>
      </c>
      <c r="E1491">
        <v>70.8</v>
      </c>
      <c r="F1491" t="s">
        <v>5978</v>
      </c>
      <c r="G1491" t="s">
        <v>5979</v>
      </c>
      <c r="H1491" t="s">
        <v>4929</v>
      </c>
    </row>
    <row r="1492" spans="1:8" x14ac:dyDescent="0.3">
      <c r="A1492" t="s">
        <v>6427</v>
      </c>
      <c r="B1492" s="1">
        <v>45645</v>
      </c>
      <c r="C1492" t="s">
        <v>5976</v>
      </c>
      <c r="D1492" t="s">
        <v>5977</v>
      </c>
      <c r="E1492">
        <v>70.099999999999994</v>
      </c>
      <c r="F1492" t="s">
        <v>5978</v>
      </c>
      <c r="G1492" t="s">
        <v>5979</v>
      </c>
      <c r="H1492" t="s">
        <v>4929</v>
      </c>
    </row>
    <row r="1493" spans="1:8" x14ac:dyDescent="0.3">
      <c r="A1493" t="s">
        <v>6428</v>
      </c>
      <c r="B1493" s="1">
        <v>45646</v>
      </c>
      <c r="C1493" t="s">
        <v>5976</v>
      </c>
      <c r="D1493" t="s">
        <v>5977</v>
      </c>
      <c r="E1493">
        <v>69.709999999999994</v>
      </c>
      <c r="F1493" t="s">
        <v>5978</v>
      </c>
      <c r="G1493" t="s">
        <v>5979</v>
      </c>
      <c r="H1493" t="s">
        <v>4929</v>
      </c>
    </row>
    <row r="1494" spans="1:8" x14ac:dyDescent="0.3">
      <c r="A1494" t="s">
        <v>6429</v>
      </c>
      <c r="B1494" s="1">
        <v>45649</v>
      </c>
      <c r="C1494" t="s">
        <v>5976</v>
      </c>
      <c r="D1494" t="s">
        <v>5977</v>
      </c>
      <c r="E1494">
        <v>69.5</v>
      </c>
      <c r="F1494" t="s">
        <v>5978</v>
      </c>
      <c r="G1494" t="s">
        <v>5979</v>
      </c>
      <c r="H1494" t="s">
        <v>4929</v>
      </c>
    </row>
    <row r="1495" spans="1:8" x14ac:dyDescent="0.3">
      <c r="A1495" t="s">
        <v>6430</v>
      </c>
      <c r="B1495" s="1">
        <v>45650</v>
      </c>
      <c r="C1495" t="s">
        <v>5976</v>
      </c>
      <c r="D1495" t="s">
        <v>5977</v>
      </c>
      <c r="E1495">
        <v>70.87</v>
      </c>
      <c r="F1495" t="s">
        <v>5978</v>
      </c>
      <c r="G1495" t="s">
        <v>5979</v>
      </c>
      <c r="H1495" t="s">
        <v>4929</v>
      </c>
    </row>
    <row r="1496" spans="1:8" x14ac:dyDescent="0.3">
      <c r="A1496" t="s">
        <v>6431</v>
      </c>
      <c r="B1496" s="1">
        <v>45651</v>
      </c>
      <c r="C1496" t="s">
        <v>5976</v>
      </c>
      <c r="D1496" t="s">
        <v>5977</v>
      </c>
      <c r="E1496">
        <v>70.87</v>
      </c>
      <c r="F1496" t="s">
        <v>5978</v>
      </c>
      <c r="G1496" t="s">
        <v>5979</v>
      </c>
      <c r="H1496" t="s">
        <v>4970</v>
      </c>
    </row>
    <row r="1497" spans="1:8" x14ac:dyDescent="0.3">
      <c r="A1497" t="s">
        <v>6432</v>
      </c>
      <c r="B1497" s="1">
        <v>45652</v>
      </c>
      <c r="C1497" t="s">
        <v>5976</v>
      </c>
      <c r="D1497" t="s">
        <v>5977</v>
      </c>
      <c r="E1497">
        <v>70.38</v>
      </c>
      <c r="F1497" t="s">
        <v>5978</v>
      </c>
      <c r="G1497" t="s">
        <v>5979</v>
      </c>
      <c r="H1497" t="s">
        <v>4929</v>
      </c>
    </row>
    <row r="1498" spans="1:8" x14ac:dyDescent="0.3">
      <c r="A1498" t="s">
        <v>6433</v>
      </c>
      <c r="B1498" s="1">
        <v>45653</v>
      </c>
      <c r="C1498" t="s">
        <v>5976</v>
      </c>
      <c r="D1498" t="s">
        <v>5977</v>
      </c>
      <c r="E1498">
        <v>71.28</v>
      </c>
      <c r="F1498" t="s">
        <v>5978</v>
      </c>
      <c r="G1498" t="s">
        <v>5979</v>
      </c>
      <c r="H1498" t="s">
        <v>4929</v>
      </c>
    </row>
    <row r="1499" spans="1:8" x14ac:dyDescent="0.3">
      <c r="A1499" t="s">
        <v>6434</v>
      </c>
      <c r="B1499" s="1">
        <v>45656</v>
      </c>
      <c r="C1499" t="s">
        <v>5976</v>
      </c>
      <c r="D1499" t="s">
        <v>5977</v>
      </c>
      <c r="E1499">
        <v>71.73</v>
      </c>
      <c r="F1499" t="s">
        <v>5978</v>
      </c>
      <c r="G1499" t="s">
        <v>5979</v>
      </c>
      <c r="H1499" t="s">
        <v>4929</v>
      </c>
    </row>
    <row r="1500" spans="1:8" x14ac:dyDescent="0.3">
      <c r="A1500" t="s">
        <v>6435</v>
      </c>
      <c r="B1500" s="1">
        <v>45657</v>
      </c>
      <c r="C1500" t="s">
        <v>5976</v>
      </c>
      <c r="D1500" t="s">
        <v>5977</v>
      </c>
      <c r="E1500">
        <v>72.44</v>
      </c>
      <c r="F1500" t="s">
        <v>5978</v>
      </c>
      <c r="G1500" t="s">
        <v>5979</v>
      </c>
      <c r="H1500" t="s">
        <v>4929</v>
      </c>
    </row>
    <row r="1501" spans="1:8" x14ac:dyDescent="0.3">
      <c r="A1501" t="s">
        <v>6436</v>
      </c>
      <c r="B1501" s="1">
        <v>45658</v>
      </c>
      <c r="C1501" t="s">
        <v>5976</v>
      </c>
      <c r="D1501" t="s">
        <v>5977</v>
      </c>
      <c r="E1501">
        <v>72.44</v>
      </c>
      <c r="F1501" t="s">
        <v>5978</v>
      </c>
      <c r="G1501" t="s">
        <v>5979</v>
      </c>
      <c r="H1501" t="s">
        <v>4970</v>
      </c>
    </row>
    <row r="1502" spans="1:8" x14ac:dyDescent="0.3">
      <c r="A1502" t="s">
        <v>6437</v>
      </c>
      <c r="B1502" s="1">
        <v>45659</v>
      </c>
      <c r="C1502" t="s">
        <v>5976</v>
      </c>
      <c r="D1502" t="s">
        <v>5977</v>
      </c>
      <c r="E1502">
        <v>73.790000000000006</v>
      </c>
      <c r="F1502" t="s">
        <v>5978</v>
      </c>
      <c r="G1502" t="s">
        <v>5979</v>
      </c>
      <c r="H1502" t="s">
        <v>4929</v>
      </c>
    </row>
    <row r="1503" spans="1:8" x14ac:dyDescent="0.3">
      <c r="A1503" t="s">
        <v>6438</v>
      </c>
      <c r="B1503" s="1">
        <v>45660</v>
      </c>
      <c r="C1503" t="s">
        <v>5976</v>
      </c>
      <c r="D1503" t="s">
        <v>5977</v>
      </c>
      <c r="E1503">
        <v>74.64</v>
      </c>
      <c r="F1503" t="s">
        <v>5978</v>
      </c>
      <c r="G1503" t="s">
        <v>5979</v>
      </c>
      <c r="H1503" t="s">
        <v>4929</v>
      </c>
    </row>
    <row r="1504" spans="1:8" x14ac:dyDescent="0.3">
      <c r="A1504" t="s">
        <v>6439</v>
      </c>
      <c r="B1504" s="1">
        <v>45663</v>
      </c>
      <c r="C1504" t="s">
        <v>5976</v>
      </c>
      <c r="D1504" t="s">
        <v>5977</v>
      </c>
      <c r="E1504">
        <v>74.31</v>
      </c>
      <c r="F1504" t="s">
        <v>5978</v>
      </c>
      <c r="G1504" t="s">
        <v>5979</v>
      </c>
      <c r="H1504" t="s">
        <v>4929</v>
      </c>
    </row>
    <row r="1505" spans="1:8" x14ac:dyDescent="0.3">
      <c r="A1505" t="s">
        <v>6440</v>
      </c>
      <c r="B1505" s="1">
        <v>45664</v>
      </c>
      <c r="C1505" t="s">
        <v>5976</v>
      </c>
      <c r="D1505" t="s">
        <v>5977</v>
      </c>
      <c r="E1505">
        <v>74.989999999999995</v>
      </c>
      <c r="F1505" t="s">
        <v>5978</v>
      </c>
      <c r="G1505" t="s">
        <v>5979</v>
      </c>
      <c r="H1505" t="s">
        <v>4929</v>
      </c>
    </row>
    <row r="1506" spans="1:8" x14ac:dyDescent="0.3">
      <c r="A1506" t="s">
        <v>6441</v>
      </c>
      <c r="B1506" s="1">
        <v>45665</v>
      </c>
      <c r="C1506" t="s">
        <v>5976</v>
      </c>
      <c r="D1506" t="s">
        <v>5977</v>
      </c>
      <c r="E1506">
        <v>73.989999999999995</v>
      </c>
      <c r="F1506" t="s">
        <v>5978</v>
      </c>
      <c r="G1506" t="s">
        <v>5979</v>
      </c>
      <c r="H1506" t="s">
        <v>4929</v>
      </c>
    </row>
    <row r="1507" spans="1:8" x14ac:dyDescent="0.3">
      <c r="A1507" t="s">
        <v>6442</v>
      </c>
      <c r="B1507" s="1">
        <v>45666</v>
      </c>
      <c r="C1507" t="s">
        <v>5976</v>
      </c>
      <c r="D1507" t="s">
        <v>5977</v>
      </c>
      <c r="E1507">
        <v>73.989999999999995</v>
      </c>
      <c r="F1507" t="s">
        <v>5978</v>
      </c>
      <c r="G1507" t="s">
        <v>5979</v>
      </c>
      <c r="H1507" t="s">
        <v>4970</v>
      </c>
    </row>
    <row r="1508" spans="1:8" x14ac:dyDescent="0.3">
      <c r="A1508" t="s">
        <v>6443</v>
      </c>
      <c r="B1508" s="1">
        <v>45667</v>
      </c>
      <c r="C1508" t="s">
        <v>5976</v>
      </c>
      <c r="D1508" t="s">
        <v>5977</v>
      </c>
      <c r="E1508">
        <v>77.27</v>
      </c>
      <c r="F1508" t="s">
        <v>5978</v>
      </c>
      <c r="G1508" t="s">
        <v>5979</v>
      </c>
      <c r="H1508" t="s">
        <v>4929</v>
      </c>
    </row>
    <row r="1509" spans="1:8" x14ac:dyDescent="0.3">
      <c r="A1509" t="s">
        <v>6444</v>
      </c>
      <c r="B1509" s="1">
        <v>45670</v>
      </c>
      <c r="C1509" t="s">
        <v>5976</v>
      </c>
      <c r="D1509" t="s">
        <v>5977</v>
      </c>
      <c r="E1509">
        <v>79.569999999999993</v>
      </c>
      <c r="F1509" t="s">
        <v>5978</v>
      </c>
      <c r="G1509" t="s">
        <v>5979</v>
      </c>
      <c r="H1509" t="s">
        <v>4929</v>
      </c>
    </row>
    <row r="1510" spans="1:8" x14ac:dyDescent="0.3">
      <c r="A1510" t="s">
        <v>6445</v>
      </c>
      <c r="B1510" s="1">
        <v>45671</v>
      </c>
      <c r="C1510" t="s">
        <v>5976</v>
      </c>
      <c r="D1510" t="s">
        <v>5977</v>
      </c>
      <c r="E1510">
        <v>78.2</v>
      </c>
      <c r="F1510" t="s">
        <v>5978</v>
      </c>
      <c r="G1510" t="s">
        <v>5979</v>
      </c>
      <c r="H1510" t="s">
        <v>4929</v>
      </c>
    </row>
    <row r="1511" spans="1:8" x14ac:dyDescent="0.3">
      <c r="A1511" t="s">
        <v>6446</v>
      </c>
      <c r="B1511" s="1">
        <v>45672</v>
      </c>
      <c r="C1511" t="s">
        <v>5976</v>
      </c>
      <c r="D1511" t="s">
        <v>5977</v>
      </c>
      <c r="E1511">
        <v>80.73</v>
      </c>
      <c r="F1511" t="s">
        <v>5978</v>
      </c>
      <c r="G1511" t="s">
        <v>5979</v>
      </c>
      <c r="H1511" t="s">
        <v>4929</v>
      </c>
    </row>
    <row r="1512" spans="1:8" x14ac:dyDescent="0.3">
      <c r="A1512" t="s">
        <v>6447</v>
      </c>
      <c r="B1512" s="1">
        <v>45673</v>
      </c>
      <c r="C1512" t="s">
        <v>5976</v>
      </c>
      <c r="D1512" t="s">
        <v>5977</v>
      </c>
      <c r="E1512">
        <v>79.349999999999994</v>
      </c>
      <c r="F1512" t="s">
        <v>5978</v>
      </c>
      <c r="G1512" t="s">
        <v>5979</v>
      </c>
      <c r="H1512" t="s">
        <v>4929</v>
      </c>
    </row>
    <row r="1513" spans="1:8" x14ac:dyDescent="0.3">
      <c r="A1513" t="s">
        <v>6448</v>
      </c>
      <c r="B1513" s="1">
        <v>45674</v>
      </c>
      <c r="C1513" t="s">
        <v>5976</v>
      </c>
      <c r="D1513" t="s">
        <v>5977</v>
      </c>
      <c r="E1513">
        <v>78.56</v>
      </c>
      <c r="F1513" t="s">
        <v>5978</v>
      </c>
      <c r="G1513" t="s">
        <v>5979</v>
      </c>
      <c r="H1513" t="s">
        <v>4929</v>
      </c>
    </row>
    <row r="1514" spans="1:8" x14ac:dyDescent="0.3">
      <c r="A1514" t="s">
        <v>6449</v>
      </c>
      <c r="B1514" s="1">
        <v>45677</v>
      </c>
      <c r="C1514" t="s">
        <v>5976</v>
      </c>
      <c r="D1514" t="s">
        <v>5977</v>
      </c>
      <c r="E1514">
        <v>78.56</v>
      </c>
      <c r="F1514" t="s">
        <v>5978</v>
      </c>
      <c r="G1514" t="s">
        <v>5979</v>
      </c>
      <c r="H1514" t="s">
        <v>4970</v>
      </c>
    </row>
    <row r="1515" spans="1:8" x14ac:dyDescent="0.3">
      <c r="A1515" t="s">
        <v>6450</v>
      </c>
      <c r="B1515" s="1">
        <v>45678</v>
      </c>
      <c r="C1515" t="s">
        <v>5976</v>
      </c>
      <c r="D1515" t="s">
        <v>5977</v>
      </c>
      <c r="E1515">
        <v>76.790000000000006</v>
      </c>
      <c r="F1515" t="s">
        <v>5978</v>
      </c>
      <c r="G1515" t="s">
        <v>5979</v>
      </c>
      <c r="H1515" t="s">
        <v>4929</v>
      </c>
    </row>
    <row r="1516" spans="1:8" x14ac:dyDescent="0.3">
      <c r="A1516" t="s">
        <v>6451</v>
      </c>
      <c r="B1516" s="1">
        <v>45679</v>
      </c>
      <c r="C1516" t="s">
        <v>5976</v>
      </c>
      <c r="D1516" t="s">
        <v>5977</v>
      </c>
      <c r="E1516">
        <v>76.12</v>
      </c>
      <c r="F1516" t="s">
        <v>5978</v>
      </c>
      <c r="G1516" t="s">
        <v>5979</v>
      </c>
      <c r="H1516" t="s">
        <v>4929</v>
      </c>
    </row>
    <row r="1517" spans="1:8" x14ac:dyDescent="0.3">
      <c r="A1517" t="s">
        <v>6452</v>
      </c>
      <c r="B1517" s="1">
        <v>45680</v>
      </c>
      <c r="C1517" t="s">
        <v>5976</v>
      </c>
      <c r="D1517" t="s">
        <v>5977</v>
      </c>
      <c r="E1517">
        <v>75.03</v>
      </c>
      <c r="F1517" t="s">
        <v>5978</v>
      </c>
      <c r="G1517" t="s">
        <v>5979</v>
      </c>
      <c r="H1517" t="s">
        <v>4929</v>
      </c>
    </row>
    <row r="1518" spans="1:8" x14ac:dyDescent="0.3">
      <c r="A1518" t="s">
        <v>6453</v>
      </c>
      <c r="B1518" s="1">
        <v>45681</v>
      </c>
      <c r="C1518" t="s">
        <v>5976</v>
      </c>
      <c r="D1518" t="s">
        <v>5977</v>
      </c>
      <c r="E1518">
        <v>74.97</v>
      </c>
      <c r="F1518" t="s">
        <v>5978</v>
      </c>
      <c r="G1518" t="s">
        <v>5979</v>
      </c>
      <c r="H1518" t="s">
        <v>4929</v>
      </c>
    </row>
    <row r="1519" spans="1:8" x14ac:dyDescent="0.3">
      <c r="A1519" t="s">
        <v>6454</v>
      </c>
      <c r="B1519" s="1">
        <v>45684</v>
      </c>
      <c r="C1519" t="s">
        <v>5976</v>
      </c>
      <c r="D1519" t="s">
        <v>5977</v>
      </c>
      <c r="E1519">
        <v>73.510000000000005</v>
      </c>
      <c r="F1519" t="s">
        <v>5978</v>
      </c>
      <c r="G1519" t="s">
        <v>5979</v>
      </c>
      <c r="H1519" t="s">
        <v>4929</v>
      </c>
    </row>
    <row r="1520" spans="1:8" x14ac:dyDescent="0.3">
      <c r="A1520" t="s">
        <v>6455</v>
      </c>
      <c r="B1520" s="1">
        <v>45685</v>
      </c>
      <c r="C1520" t="s">
        <v>5976</v>
      </c>
      <c r="D1520" t="s">
        <v>5977</v>
      </c>
      <c r="E1520">
        <v>74.150000000000006</v>
      </c>
      <c r="F1520" t="s">
        <v>5978</v>
      </c>
      <c r="G1520" t="s">
        <v>5979</v>
      </c>
      <c r="H1520" t="s">
        <v>4929</v>
      </c>
    </row>
    <row r="1521" spans="1:8" x14ac:dyDescent="0.3">
      <c r="A1521" t="s">
        <v>6456</v>
      </c>
      <c r="B1521" s="1">
        <v>45686</v>
      </c>
      <c r="C1521" t="s">
        <v>5976</v>
      </c>
      <c r="D1521" t="s">
        <v>5977</v>
      </c>
      <c r="E1521">
        <v>72.94</v>
      </c>
      <c r="F1521" t="s">
        <v>5978</v>
      </c>
      <c r="G1521" t="s">
        <v>5979</v>
      </c>
      <c r="H1521" t="s">
        <v>4929</v>
      </c>
    </row>
    <row r="1522" spans="1:8" x14ac:dyDescent="0.3">
      <c r="A1522" t="s">
        <v>6457</v>
      </c>
      <c r="B1522" s="1">
        <v>45687</v>
      </c>
      <c r="C1522" t="s">
        <v>5976</v>
      </c>
      <c r="D1522" t="s">
        <v>5977</v>
      </c>
      <c r="E1522">
        <v>73.099999999999994</v>
      </c>
      <c r="F1522" t="s">
        <v>5978</v>
      </c>
      <c r="G1522" t="s">
        <v>5979</v>
      </c>
      <c r="H1522" t="s">
        <v>4929</v>
      </c>
    </row>
    <row r="1523" spans="1:8" x14ac:dyDescent="0.3">
      <c r="A1523" t="s">
        <v>6458</v>
      </c>
      <c r="B1523" s="1">
        <v>45688</v>
      </c>
      <c r="C1523" t="s">
        <v>5976</v>
      </c>
      <c r="D1523" t="s">
        <v>5977</v>
      </c>
      <c r="E1523">
        <v>72.84</v>
      </c>
      <c r="F1523" t="s">
        <v>5978</v>
      </c>
      <c r="G1523" t="s">
        <v>5979</v>
      </c>
      <c r="H1523" t="s">
        <v>4929</v>
      </c>
    </row>
    <row r="1524" spans="1:8" x14ac:dyDescent="0.3">
      <c r="A1524" t="s">
        <v>6459</v>
      </c>
      <c r="B1524" s="1">
        <v>45691</v>
      </c>
      <c r="C1524" t="s">
        <v>5976</v>
      </c>
      <c r="D1524" t="s">
        <v>5977</v>
      </c>
      <c r="E1524">
        <v>73.52</v>
      </c>
      <c r="F1524" t="s">
        <v>5978</v>
      </c>
      <c r="G1524" t="s">
        <v>5979</v>
      </c>
      <c r="H1524" t="s">
        <v>4929</v>
      </c>
    </row>
    <row r="1525" spans="1:8" x14ac:dyDescent="0.3">
      <c r="A1525" t="s">
        <v>6460</v>
      </c>
      <c r="B1525" s="1">
        <v>45692</v>
      </c>
      <c r="C1525" t="s">
        <v>5976</v>
      </c>
      <c r="D1525" t="s">
        <v>5977</v>
      </c>
      <c r="E1525">
        <v>73.040000000000006</v>
      </c>
      <c r="F1525" t="s">
        <v>5978</v>
      </c>
      <c r="G1525" t="s">
        <v>5979</v>
      </c>
      <c r="H1525" t="s">
        <v>4929</v>
      </c>
    </row>
    <row r="1526" spans="1:8" x14ac:dyDescent="0.3">
      <c r="A1526" t="s">
        <v>6461</v>
      </c>
      <c r="B1526" s="1">
        <v>45693</v>
      </c>
      <c r="C1526" t="s">
        <v>5976</v>
      </c>
      <c r="D1526" t="s">
        <v>5977</v>
      </c>
      <c r="E1526">
        <v>71.39</v>
      </c>
      <c r="F1526" t="s">
        <v>5978</v>
      </c>
      <c r="G1526" t="s">
        <v>5979</v>
      </c>
      <c r="H1526" t="s">
        <v>4929</v>
      </c>
    </row>
    <row r="1527" spans="1:8" x14ac:dyDescent="0.3">
      <c r="A1527" t="s">
        <v>6462</v>
      </c>
      <c r="B1527" s="1">
        <v>45694</v>
      </c>
      <c r="C1527" t="s">
        <v>5976</v>
      </c>
      <c r="D1527" t="s">
        <v>5977</v>
      </c>
      <c r="E1527">
        <v>70.97</v>
      </c>
      <c r="F1527" t="s">
        <v>5978</v>
      </c>
      <c r="G1527" t="s">
        <v>5979</v>
      </c>
      <c r="H1527" t="s">
        <v>4929</v>
      </c>
    </row>
    <row r="1528" spans="1:8" x14ac:dyDescent="0.3">
      <c r="A1528" t="s">
        <v>6463</v>
      </c>
      <c r="B1528" s="1">
        <v>45695</v>
      </c>
      <c r="C1528" t="s">
        <v>5976</v>
      </c>
      <c r="D1528" t="s">
        <v>5977</v>
      </c>
      <c r="E1528">
        <v>71.319999999999993</v>
      </c>
      <c r="F1528" t="s">
        <v>5978</v>
      </c>
      <c r="G1528" t="s">
        <v>5979</v>
      </c>
      <c r="H1528" t="s">
        <v>4929</v>
      </c>
    </row>
    <row r="1529" spans="1:8" x14ac:dyDescent="0.3">
      <c r="A1529" t="s">
        <v>6464</v>
      </c>
      <c r="B1529" s="1">
        <v>45698</v>
      </c>
      <c r="C1529" t="s">
        <v>5976</v>
      </c>
      <c r="D1529" t="s">
        <v>5977</v>
      </c>
      <c r="E1529">
        <v>72.73</v>
      </c>
      <c r="F1529" t="s">
        <v>5978</v>
      </c>
      <c r="G1529" t="s">
        <v>5979</v>
      </c>
      <c r="H1529" t="s">
        <v>4929</v>
      </c>
    </row>
    <row r="1530" spans="1:8" x14ac:dyDescent="0.3">
      <c r="A1530" t="s">
        <v>6465</v>
      </c>
      <c r="B1530" s="1">
        <v>45699</v>
      </c>
      <c r="C1530" t="s">
        <v>5976</v>
      </c>
      <c r="D1530" t="s">
        <v>5977</v>
      </c>
      <c r="E1530">
        <v>73.67</v>
      </c>
      <c r="F1530" t="s">
        <v>5978</v>
      </c>
      <c r="G1530" t="s">
        <v>5979</v>
      </c>
      <c r="H1530" t="s">
        <v>4929</v>
      </c>
    </row>
    <row r="1531" spans="1:8" x14ac:dyDescent="0.3">
      <c r="A1531" t="s">
        <v>6466</v>
      </c>
      <c r="B1531" s="1">
        <v>45700</v>
      </c>
      <c r="C1531" t="s">
        <v>5976</v>
      </c>
      <c r="D1531" t="s">
        <v>5977</v>
      </c>
      <c r="E1531">
        <v>71.72</v>
      </c>
      <c r="F1531" t="s">
        <v>5978</v>
      </c>
      <c r="G1531" t="s">
        <v>5979</v>
      </c>
      <c r="H1531" t="s">
        <v>4929</v>
      </c>
    </row>
    <row r="1532" spans="1:8" x14ac:dyDescent="0.3">
      <c r="A1532" t="s">
        <v>6467</v>
      </c>
      <c r="B1532" s="1">
        <v>45701</v>
      </c>
      <c r="C1532" t="s">
        <v>5976</v>
      </c>
      <c r="D1532" t="s">
        <v>5977</v>
      </c>
      <c r="E1532">
        <v>71.66</v>
      </c>
      <c r="F1532" t="s">
        <v>5978</v>
      </c>
      <c r="G1532" t="s">
        <v>5979</v>
      </c>
      <c r="H1532" t="s">
        <v>4929</v>
      </c>
    </row>
    <row r="1533" spans="1:8" x14ac:dyDescent="0.3">
      <c r="A1533" t="s">
        <v>6468</v>
      </c>
      <c r="B1533" s="1">
        <v>45702</v>
      </c>
      <c r="C1533" t="s">
        <v>5976</v>
      </c>
      <c r="D1533" t="s">
        <v>5977</v>
      </c>
      <c r="E1533">
        <v>71.05</v>
      </c>
      <c r="F1533" t="s">
        <v>5978</v>
      </c>
      <c r="G1533" t="s">
        <v>5979</v>
      </c>
      <c r="H1533" t="s">
        <v>4929</v>
      </c>
    </row>
    <row r="1534" spans="1:8" x14ac:dyDescent="0.3">
      <c r="A1534" t="s">
        <v>6469</v>
      </c>
      <c r="B1534" s="1">
        <v>45705</v>
      </c>
      <c r="C1534" t="s">
        <v>5976</v>
      </c>
      <c r="D1534" t="s">
        <v>5977</v>
      </c>
      <c r="E1534">
        <v>71.05</v>
      </c>
      <c r="F1534" t="s">
        <v>5978</v>
      </c>
      <c r="G1534" t="s">
        <v>5979</v>
      </c>
      <c r="H1534" t="s">
        <v>4970</v>
      </c>
    </row>
    <row r="1535" spans="1:8" x14ac:dyDescent="0.3">
      <c r="A1535" t="s">
        <v>6470</v>
      </c>
      <c r="B1535" s="1">
        <v>45706</v>
      </c>
      <c r="C1535" t="s">
        <v>5976</v>
      </c>
      <c r="D1535" t="s">
        <v>5977</v>
      </c>
      <c r="E1535">
        <v>72.209999999999994</v>
      </c>
      <c r="F1535" t="s">
        <v>5978</v>
      </c>
      <c r="G1535" t="s">
        <v>5979</v>
      </c>
      <c r="H1535" t="s">
        <v>4929</v>
      </c>
    </row>
    <row r="1536" spans="1:8" x14ac:dyDescent="0.3">
      <c r="A1536" t="s">
        <v>6471</v>
      </c>
      <c r="B1536" s="1">
        <v>45707</v>
      </c>
      <c r="C1536" t="s">
        <v>5976</v>
      </c>
      <c r="D1536" t="s">
        <v>5977</v>
      </c>
      <c r="E1536">
        <v>72.58</v>
      </c>
      <c r="F1536" t="s">
        <v>5978</v>
      </c>
      <c r="G1536" t="s">
        <v>5979</v>
      </c>
      <c r="H1536" t="s">
        <v>4929</v>
      </c>
    </row>
    <row r="1537" spans="1:8" x14ac:dyDescent="0.3">
      <c r="A1537" t="s">
        <v>6472</v>
      </c>
      <c r="B1537" s="1">
        <v>45708</v>
      </c>
      <c r="C1537" t="s">
        <v>5976</v>
      </c>
      <c r="D1537" t="s">
        <v>5977</v>
      </c>
      <c r="E1537">
        <v>72.88</v>
      </c>
      <c r="F1537" t="s">
        <v>5978</v>
      </c>
      <c r="G1537" t="s">
        <v>5979</v>
      </c>
      <c r="H1537" t="s">
        <v>4929</v>
      </c>
    </row>
    <row r="1538" spans="1:8" x14ac:dyDescent="0.3">
      <c r="A1538" t="s">
        <v>6473</v>
      </c>
      <c r="B1538" s="1">
        <v>45709</v>
      </c>
      <c r="C1538" t="s">
        <v>5976</v>
      </c>
      <c r="D1538" t="s">
        <v>5977</v>
      </c>
      <c r="E1538">
        <v>70.72</v>
      </c>
      <c r="F1538" t="s">
        <v>5978</v>
      </c>
      <c r="G1538" t="s">
        <v>5979</v>
      </c>
      <c r="H1538" t="s">
        <v>4929</v>
      </c>
    </row>
    <row r="1539" spans="1:8" x14ac:dyDescent="0.3">
      <c r="A1539" t="s">
        <v>6474</v>
      </c>
      <c r="B1539" s="1">
        <v>45712</v>
      </c>
      <c r="C1539" t="s">
        <v>5976</v>
      </c>
      <c r="D1539" t="s">
        <v>5977</v>
      </c>
      <c r="E1539">
        <v>71.06</v>
      </c>
      <c r="F1539" t="s">
        <v>5978</v>
      </c>
      <c r="G1539" t="s">
        <v>5979</v>
      </c>
      <c r="H1539" t="s">
        <v>4929</v>
      </c>
    </row>
    <row r="1540" spans="1:8" x14ac:dyDescent="0.3">
      <c r="A1540" t="s">
        <v>6475</v>
      </c>
      <c r="B1540" s="1">
        <v>45713</v>
      </c>
      <c r="C1540" t="s">
        <v>5976</v>
      </c>
      <c r="D1540" t="s">
        <v>5977</v>
      </c>
      <c r="E1540">
        <v>69.150000000000006</v>
      </c>
      <c r="F1540" t="s">
        <v>5978</v>
      </c>
      <c r="G1540" t="s">
        <v>5979</v>
      </c>
      <c r="H1540" t="s">
        <v>4929</v>
      </c>
    </row>
    <row r="1541" spans="1:8" x14ac:dyDescent="0.3">
      <c r="A1541" t="s">
        <v>6476</v>
      </c>
      <c r="B1541" s="1">
        <v>45714</v>
      </c>
      <c r="C1541" t="s">
        <v>5976</v>
      </c>
      <c r="D1541" t="s">
        <v>5977</v>
      </c>
      <c r="E1541">
        <v>68.87</v>
      </c>
      <c r="F1541" t="s">
        <v>5978</v>
      </c>
      <c r="G1541" t="s">
        <v>5979</v>
      </c>
      <c r="H1541" t="s">
        <v>4929</v>
      </c>
    </row>
    <row r="1542" spans="1:8" x14ac:dyDescent="0.3">
      <c r="A1542" t="s">
        <v>6477</v>
      </c>
      <c r="B1542" s="1">
        <v>45715</v>
      </c>
      <c r="C1542" t="s">
        <v>5976</v>
      </c>
      <c r="D1542" t="s">
        <v>5977</v>
      </c>
      <c r="E1542">
        <v>70.62</v>
      </c>
      <c r="F1542" t="s">
        <v>5978</v>
      </c>
      <c r="G1542" t="s">
        <v>5979</v>
      </c>
      <c r="H1542" t="s">
        <v>4929</v>
      </c>
    </row>
    <row r="1543" spans="1:8" x14ac:dyDescent="0.3">
      <c r="A1543" t="s">
        <v>6478</v>
      </c>
      <c r="B1543" s="1">
        <v>45716</v>
      </c>
      <c r="C1543" t="s">
        <v>5976</v>
      </c>
      <c r="D1543" t="s">
        <v>5977</v>
      </c>
      <c r="E1543">
        <v>69.97</v>
      </c>
      <c r="F1543" t="s">
        <v>5978</v>
      </c>
      <c r="G1543" t="s">
        <v>5979</v>
      </c>
      <c r="H1543" t="s">
        <v>4929</v>
      </c>
    </row>
    <row r="1544" spans="1:8" x14ac:dyDescent="0.3">
      <c r="A1544" t="s">
        <v>6479</v>
      </c>
      <c r="B1544" s="1">
        <v>45719</v>
      </c>
      <c r="C1544" t="s">
        <v>5976</v>
      </c>
      <c r="D1544" t="s">
        <v>5977</v>
      </c>
      <c r="E1544">
        <v>68.63</v>
      </c>
      <c r="F1544" t="s">
        <v>5978</v>
      </c>
      <c r="G1544" t="s">
        <v>5979</v>
      </c>
      <c r="H1544" t="s">
        <v>4929</v>
      </c>
    </row>
    <row r="1545" spans="1:8" x14ac:dyDescent="0.3">
      <c r="A1545" t="s">
        <v>6480</v>
      </c>
      <c r="B1545" s="1">
        <v>45720</v>
      </c>
      <c r="C1545" t="s">
        <v>5976</v>
      </c>
      <c r="D1545" t="s">
        <v>5977</v>
      </c>
      <c r="E1545">
        <v>68.47</v>
      </c>
      <c r="F1545" t="s">
        <v>5978</v>
      </c>
      <c r="G1545" t="s">
        <v>5979</v>
      </c>
      <c r="H1545" t="s">
        <v>4929</v>
      </c>
    </row>
    <row r="1546" spans="1:8" x14ac:dyDescent="0.3">
      <c r="A1546" t="s">
        <v>6481</v>
      </c>
      <c r="B1546" s="1">
        <v>45721</v>
      </c>
      <c r="C1546" t="s">
        <v>5976</v>
      </c>
      <c r="D1546" t="s">
        <v>5977</v>
      </c>
      <c r="E1546">
        <v>66.58</v>
      </c>
      <c r="F1546" t="s">
        <v>5978</v>
      </c>
      <c r="G1546" t="s">
        <v>5979</v>
      </c>
      <c r="H1546" t="s">
        <v>4929</v>
      </c>
    </row>
    <row r="1547" spans="1:8" x14ac:dyDescent="0.3">
      <c r="A1547" t="s">
        <v>6482</v>
      </c>
      <c r="B1547" s="1">
        <v>45722</v>
      </c>
      <c r="C1547" t="s">
        <v>5976</v>
      </c>
      <c r="D1547" t="s">
        <v>5977</v>
      </c>
      <c r="E1547">
        <v>66.62</v>
      </c>
      <c r="F1547" t="s">
        <v>5978</v>
      </c>
      <c r="G1547" t="s">
        <v>5979</v>
      </c>
      <c r="H1547" t="s">
        <v>4929</v>
      </c>
    </row>
    <row r="1548" spans="1:8" x14ac:dyDescent="0.3">
      <c r="A1548" t="s">
        <v>6483</v>
      </c>
      <c r="B1548" s="1">
        <v>45723</v>
      </c>
      <c r="C1548" t="s">
        <v>5976</v>
      </c>
      <c r="D1548" t="s">
        <v>5977</v>
      </c>
      <c r="E1548">
        <v>67.290000000000006</v>
      </c>
      <c r="F1548" t="s">
        <v>5978</v>
      </c>
      <c r="G1548" t="s">
        <v>5979</v>
      </c>
      <c r="H1548" t="s">
        <v>4929</v>
      </c>
    </row>
    <row r="1549" spans="1:8" x14ac:dyDescent="0.3">
      <c r="A1549" t="s">
        <v>6484</v>
      </c>
      <c r="B1549" s="1">
        <v>45726</v>
      </c>
      <c r="C1549" t="s">
        <v>5976</v>
      </c>
      <c r="D1549" t="s">
        <v>5977</v>
      </c>
      <c r="E1549">
        <v>66.31</v>
      </c>
      <c r="F1549" t="s">
        <v>5978</v>
      </c>
      <c r="G1549" t="s">
        <v>5979</v>
      </c>
      <c r="H1549" t="s">
        <v>4929</v>
      </c>
    </row>
    <row r="1550" spans="1:8" x14ac:dyDescent="0.3">
      <c r="A1550" t="s">
        <v>6485</v>
      </c>
      <c r="B1550" s="1">
        <v>45727</v>
      </c>
      <c r="C1550" t="s">
        <v>5976</v>
      </c>
      <c r="D1550" t="s">
        <v>5977</v>
      </c>
      <c r="E1550">
        <v>66.52</v>
      </c>
      <c r="F1550" t="s">
        <v>5978</v>
      </c>
      <c r="G1550" t="s">
        <v>5979</v>
      </c>
      <c r="H1550" t="s">
        <v>4929</v>
      </c>
    </row>
    <row r="1551" spans="1:8" x14ac:dyDescent="0.3">
      <c r="A1551" t="s">
        <v>6486</v>
      </c>
      <c r="B1551" s="1">
        <v>45728</v>
      </c>
      <c r="C1551" t="s">
        <v>5976</v>
      </c>
      <c r="D1551" t="s">
        <v>5977</v>
      </c>
      <c r="E1551">
        <v>67.650000000000006</v>
      </c>
      <c r="F1551" t="s">
        <v>5978</v>
      </c>
      <c r="G1551" t="s">
        <v>5979</v>
      </c>
      <c r="H1551" t="s">
        <v>4929</v>
      </c>
    </row>
    <row r="1552" spans="1:8" x14ac:dyDescent="0.3">
      <c r="A1552" t="s">
        <v>6487</v>
      </c>
      <c r="B1552" s="1">
        <v>45729</v>
      </c>
      <c r="C1552" t="s">
        <v>5976</v>
      </c>
      <c r="D1552" t="s">
        <v>5977</v>
      </c>
      <c r="E1552">
        <v>66.819999999999993</v>
      </c>
      <c r="F1552" t="s">
        <v>5978</v>
      </c>
      <c r="G1552" t="s">
        <v>5979</v>
      </c>
      <c r="H1552" t="s">
        <v>4929</v>
      </c>
    </row>
    <row r="1553" spans="1:8" x14ac:dyDescent="0.3">
      <c r="A1553" t="s">
        <v>6488</v>
      </c>
      <c r="B1553" s="1">
        <v>45730</v>
      </c>
      <c r="C1553" t="s">
        <v>5976</v>
      </c>
      <c r="D1553" t="s">
        <v>5977</v>
      </c>
      <c r="E1553">
        <v>67.430000000000007</v>
      </c>
      <c r="F1553" t="s">
        <v>5978</v>
      </c>
      <c r="G1553" t="s">
        <v>5979</v>
      </c>
      <c r="H1553" t="s">
        <v>4929</v>
      </c>
    </row>
    <row r="1554" spans="1:8" x14ac:dyDescent="0.3">
      <c r="A1554" t="s">
        <v>6489</v>
      </c>
      <c r="B1554" s="1">
        <v>45733</v>
      </c>
      <c r="C1554" t="s">
        <v>5976</v>
      </c>
      <c r="D1554" t="s">
        <v>5977</v>
      </c>
      <c r="E1554">
        <v>67.84</v>
      </c>
      <c r="F1554" t="s">
        <v>5978</v>
      </c>
      <c r="G1554" t="s">
        <v>5979</v>
      </c>
      <c r="H1554" t="s">
        <v>4929</v>
      </c>
    </row>
    <row r="1555" spans="1:8" x14ac:dyDescent="0.3">
      <c r="A1555" t="s">
        <v>6490</v>
      </c>
      <c r="B1555" s="1">
        <v>45734</v>
      </c>
      <c r="C1555" t="s">
        <v>5976</v>
      </c>
      <c r="D1555" t="s">
        <v>5977</v>
      </c>
      <c r="E1555">
        <v>67.489999999999995</v>
      </c>
      <c r="F1555" t="s">
        <v>5978</v>
      </c>
      <c r="G1555" t="s">
        <v>5979</v>
      </c>
      <c r="H1555" t="s">
        <v>4929</v>
      </c>
    </row>
    <row r="1556" spans="1:8" x14ac:dyDescent="0.3">
      <c r="A1556" t="s">
        <v>6491</v>
      </c>
      <c r="B1556" s="1">
        <v>45735</v>
      </c>
      <c r="C1556" t="s">
        <v>5976</v>
      </c>
      <c r="D1556" t="s">
        <v>5977</v>
      </c>
      <c r="E1556">
        <v>67.400000000000006</v>
      </c>
      <c r="F1556" t="s">
        <v>5978</v>
      </c>
      <c r="G1556" t="s">
        <v>5979</v>
      </c>
      <c r="H1556" t="s">
        <v>4929</v>
      </c>
    </row>
    <row r="1557" spans="1:8" x14ac:dyDescent="0.3">
      <c r="A1557" t="s">
        <v>6492</v>
      </c>
      <c r="B1557" s="1">
        <v>45736</v>
      </c>
      <c r="C1557" t="s">
        <v>5976</v>
      </c>
      <c r="D1557" t="s">
        <v>5977</v>
      </c>
      <c r="E1557">
        <v>68.55</v>
      </c>
      <c r="F1557" t="s">
        <v>5978</v>
      </c>
      <c r="G1557" t="s">
        <v>5979</v>
      </c>
      <c r="H1557" t="s">
        <v>4929</v>
      </c>
    </row>
    <row r="1558" spans="1:8" x14ac:dyDescent="0.3">
      <c r="A1558" t="s">
        <v>6493</v>
      </c>
      <c r="B1558" s="1">
        <v>45737</v>
      </c>
      <c r="C1558" t="s">
        <v>5976</v>
      </c>
      <c r="D1558" t="s">
        <v>5977</v>
      </c>
      <c r="E1558">
        <v>68.52</v>
      </c>
      <c r="F1558" t="s">
        <v>5978</v>
      </c>
      <c r="G1558" t="s">
        <v>5979</v>
      </c>
      <c r="H1558" t="s">
        <v>4929</v>
      </c>
    </row>
    <row r="1559" spans="1:8" x14ac:dyDescent="0.3">
      <c r="A1559" t="s">
        <v>6494</v>
      </c>
      <c r="B1559" s="1">
        <v>45740</v>
      </c>
      <c r="C1559" t="s">
        <v>5976</v>
      </c>
      <c r="D1559" t="s">
        <v>5977</v>
      </c>
      <c r="E1559">
        <v>69.459999999999994</v>
      </c>
      <c r="F1559" t="s">
        <v>5978</v>
      </c>
      <c r="G1559" t="s">
        <v>5979</v>
      </c>
      <c r="H1559" t="s">
        <v>4929</v>
      </c>
    </row>
    <row r="1560" spans="1:8" x14ac:dyDescent="0.3">
      <c r="A1560" t="s">
        <v>6495</v>
      </c>
      <c r="B1560" s="1">
        <v>45741</v>
      </c>
      <c r="C1560" t="s">
        <v>5976</v>
      </c>
      <c r="D1560" t="s">
        <v>5977</v>
      </c>
      <c r="E1560">
        <v>69.48</v>
      </c>
      <c r="F1560" t="s">
        <v>5978</v>
      </c>
      <c r="G1560" t="s">
        <v>5979</v>
      </c>
      <c r="H1560" t="s">
        <v>4929</v>
      </c>
    </row>
    <row r="1561" spans="1:8" x14ac:dyDescent="0.3">
      <c r="A1561" t="s">
        <v>6496</v>
      </c>
      <c r="B1561" s="1">
        <v>45742</v>
      </c>
      <c r="C1561" t="s">
        <v>5976</v>
      </c>
      <c r="D1561" t="s">
        <v>5977</v>
      </c>
      <c r="E1561">
        <v>70.05</v>
      </c>
      <c r="F1561" t="s">
        <v>5978</v>
      </c>
      <c r="G1561" t="s">
        <v>5979</v>
      </c>
      <c r="H1561" t="s">
        <v>4929</v>
      </c>
    </row>
    <row r="1562" spans="1:8" x14ac:dyDescent="0.3">
      <c r="A1562" t="s">
        <v>6497</v>
      </c>
      <c r="B1562" s="1">
        <v>45743</v>
      </c>
      <c r="C1562" t="s">
        <v>5976</v>
      </c>
      <c r="D1562" t="s">
        <v>5977</v>
      </c>
      <c r="E1562">
        <v>70.3</v>
      </c>
      <c r="F1562" t="s">
        <v>5978</v>
      </c>
      <c r="G1562" t="s">
        <v>5979</v>
      </c>
      <c r="H1562" t="s">
        <v>4929</v>
      </c>
    </row>
    <row r="1563" spans="1:8" x14ac:dyDescent="0.3">
      <c r="A1563" t="s">
        <v>6498</v>
      </c>
      <c r="B1563" s="1">
        <v>45744</v>
      </c>
      <c r="C1563" t="s">
        <v>5976</v>
      </c>
      <c r="D1563" t="s">
        <v>5977</v>
      </c>
      <c r="E1563">
        <v>69.739999999999995</v>
      </c>
      <c r="F1563" t="s">
        <v>5978</v>
      </c>
      <c r="G1563" t="s">
        <v>5979</v>
      </c>
      <c r="H1563" t="s">
        <v>4929</v>
      </c>
    </row>
    <row r="1564" spans="1:8" x14ac:dyDescent="0.3">
      <c r="A1564" t="s">
        <v>6499</v>
      </c>
      <c r="B1564" s="1">
        <v>45747</v>
      </c>
      <c r="C1564" t="s">
        <v>5976</v>
      </c>
      <c r="D1564" t="s">
        <v>5977</v>
      </c>
      <c r="E1564">
        <v>71.87</v>
      </c>
      <c r="F1564" t="s">
        <v>5978</v>
      </c>
      <c r="G1564" t="s">
        <v>5979</v>
      </c>
      <c r="H1564" t="s">
        <v>4929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B1F3-4CF3-49B1-85F3-B24C85D28A6B}">
  <dimension ref="A1:G522"/>
  <sheetViews>
    <sheetView workbookViewId="0">
      <selection activeCell="E31" sqref="E31"/>
    </sheetView>
  </sheetViews>
  <sheetFormatPr defaultRowHeight="14.4" x14ac:dyDescent="0.3"/>
  <cols>
    <col min="1" max="1" width="10.33203125" bestFit="1" customWidth="1"/>
    <col min="2" max="2" width="6" bestFit="1" customWidth="1"/>
    <col min="3" max="3" width="8" bestFit="1" customWidth="1"/>
    <col min="4" max="4" width="9" customWidth="1"/>
    <col min="5" max="7" width="8.88671875" style="6"/>
  </cols>
  <sheetData>
    <row r="1" spans="1:7" x14ac:dyDescent="0.3">
      <c r="A1" t="s">
        <v>4918</v>
      </c>
      <c r="B1" t="s">
        <v>5452</v>
      </c>
      <c r="C1" t="s">
        <v>4925</v>
      </c>
      <c r="D1" t="s">
        <v>5976</v>
      </c>
      <c r="E1" s="6" t="s">
        <v>6512</v>
      </c>
      <c r="F1" s="6" t="s">
        <v>6513</v>
      </c>
      <c r="G1" s="6" t="s">
        <v>6514</v>
      </c>
    </row>
    <row r="2" spans="1:7" x14ac:dyDescent="0.3">
      <c r="A2" s="1">
        <v>45019</v>
      </c>
      <c r="B2">
        <f xml:space="preserve"> SUMIFS(market_prices!$E:$E,market_prices!$B:$B,$A2,market_prices!$C:$C,B$1)</f>
        <v>82.24</v>
      </c>
      <c r="C2">
        <f xml:space="preserve"> SUMIFS(market_prices!$E:$E,market_prices!$B:$B,$A2,market_prices!$C:$C,C$1)</f>
        <v>89.567599999999999</v>
      </c>
      <c r="D2">
        <f xml:space="preserve"> SUMIFS(market_prices!$E:$E,market_prices!$B:$B,$A2,market_prices!$C:$C,D$1)</f>
        <v>80.400000000000006</v>
      </c>
    </row>
    <row r="3" spans="1:7" x14ac:dyDescent="0.3">
      <c r="A3" s="1">
        <v>45020</v>
      </c>
      <c r="B3">
        <f xml:space="preserve"> SUMIFS(market_prices!$E:$E,market_prices!$B:$B,$A3,market_prices!$C:$C,B$1)</f>
        <v>82.33</v>
      </c>
      <c r="C3">
        <f xml:space="preserve"> SUMIFS(market_prices!$E:$E,market_prices!$B:$B,$A3,market_prices!$C:$C,C$1)</f>
        <v>90.159599999999998</v>
      </c>
      <c r="D3">
        <f xml:space="preserve"> SUMIFS(market_prices!$E:$E,market_prices!$B:$B,$A3,market_prices!$C:$C,D$1)</f>
        <v>80.7</v>
      </c>
      <c r="E3" s="6">
        <f>B3/B2-1</f>
        <v>1.0943579766538036E-3</v>
      </c>
      <c r="F3" s="6">
        <f>rates[[#This Row],[EUR/INR]]/C2-1</f>
        <v>6.6095329114546075E-3</v>
      </c>
      <c r="G3" s="6">
        <f>rates[[#This Row],[WTI Crude]]/D2-1</f>
        <v>3.7313432835821558E-3</v>
      </c>
    </row>
    <row r="4" spans="1:7" x14ac:dyDescent="0.3">
      <c r="A4" s="1">
        <v>45021</v>
      </c>
      <c r="B4">
        <f xml:space="preserve"> SUMIFS(market_prices!$E:$E,market_prices!$B:$B,$A4,market_prices!$C:$C,B$1)</f>
        <v>81.89</v>
      </c>
      <c r="C4">
        <f xml:space="preserve"> SUMIFS(market_prices!$E:$E,market_prices!$B:$B,$A4,market_prices!$C:$C,C$1)</f>
        <v>89.407499999999999</v>
      </c>
      <c r="D4">
        <f xml:space="preserve"> SUMIFS(market_prices!$E:$E,market_prices!$B:$B,$A4,market_prices!$C:$C,D$1)</f>
        <v>80.69</v>
      </c>
      <c r="E4" s="6">
        <f t="shared" ref="E4:E65" si="0">B4/B3-1</f>
        <v>-5.3443459249361558E-3</v>
      </c>
      <c r="F4" s="6">
        <f>rates[[#This Row],[EUR/INR]]/C3-1</f>
        <v>-8.3418737438941681E-3</v>
      </c>
      <c r="G4" s="6">
        <f>rates[[#This Row],[WTI Crude]]/D3-1</f>
        <v>-1.2391573729875205E-4</v>
      </c>
    </row>
    <row r="5" spans="1:7" x14ac:dyDescent="0.3">
      <c r="A5" s="1">
        <v>45022</v>
      </c>
      <c r="B5">
        <f xml:space="preserve"> SUMIFS(market_prices!$E:$E,market_prices!$B:$B,$A5,market_prices!$C:$C,B$1)</f>
        <v>81.86</v>
      </c>
      <c r="C5">
        <f xml:space="preserve"> SUMIFS(market_prices!$E:$E,market_prices!$B:$B,$A5,market_prices!$C:$C,C$1)</f>
        <v>89.448400000000007</v>
      </c>
      <c r="D5">
        <f xml:space="preserve"> SUMIFS(market_prices!$E:$E,market_prices!$B:$B,$A5,market_prices!$C:$C,D$1)</f>
        <v>80.7</v>
      </c>
      <c r="E5" s="6">
        <f t="shared" si="0"/>
        <v>-3.6634509708144414E-4</v>
      </c>
      <c r="F5" s="6">
        <f>rates[[#This Row],[EUR/INR]]/C4-1</f>
        <v>4.5745602997526724E-4</v>
      </c>
      <c r="G5" s="6">
        <f>rates[[#This Row],[WTI Crude]]/D4-1</f>
        <v>1.239310943115246E-4</v>
      </c>
    </row>
    <row r="6" spans="1:7" x14ac:dyDescent="0.3">
      <c r="A6" s="1">
        <v>45023</v>
      </c>
      <c r="B6">
        <f xml:space="preserve"> SUMIFS(market_prices!$E:$E,market_prices!$B:$B,$A6,market_prices!$C:$C,B$1)</f>
        <v>81.849999999999994</v>
      </c>
      <c r="C6">
        <f xml:space="preserve"> SUMIFS(market_prices!$E:$E,market_prices!$B:$B,$A6,market_prices!$C:$C,C$1)</f>
        <v>89.322900000000004</v>
      </c>
      <c r="D6">
        <f xml:space="preserve"> SUMIFS(market_prices!$E:$E,market_prices!$B:$B,$A6,market_prices!$C:$C,D$1)</f>
        <v>80.7</v>
      </c>
      <c r="E6" s="6">
        <f t="shared" si="0"/>
        <v>-1.2215978499885427E-4</v>
      </c>
      <c r="F6" s="6">
        <f>rates[[#This Row],[EUR/INR]]/C5-1</f>
        <v>-1.4030435424222665E-3</v>
      </c>
      <c r="G6" s="6">
        <f>rates[[#This Row],[WTI Crude]]/D5-1</f>
        <v>0</v>
      </c>
    </row>
    <row r="7" spans="1:7" x14ac:dyDescent="0.3">
      <c r="A7" s="1">
        <v>45026</v>
      </c>
      <c r="B7">
        <f xml:space="preserve"> SUMIFS(market_prices!$E:$E,market_prices!$B:$B,$A7,market_prices!$C:$C,B$1)</f>
        <v>82.01</v>
      </c>
      <c r="C7">
        <f xml:space="preserve"> SUMIFS(market_prices!$E:$E,market_prices!$B:$B,$A7,market_prices!$C:$C,C$1)</f>
        <v>88.898799999999994</v>
      </c>
      <c r="D7">
        <f xml:space="preserve"> SUMIFS(market_prices!$E:$E,market_prices!$B:$B,$A7,market_prices!$C:$C,D$1)</f>
        <v>79.790000000000006</v>
      </c>
      <c r="E7" s="6">
        <f t="shared" si="0"/>
        <v>1.9547953573610943E-3</v>
      </c>
      <c r="F7" s="6">
        <f>rates[[#This Row],[EUR/INR]]/C6-1</f>
        <v>-4.7479425768757189E-3</v>
      </c>
      <c r="G7" s="6">
        <f>rates[[#This Row],[WTI Crude]]/D6-1</f>
        <v>-1.1276332094175889E-2</v>
      </c>
    </row>
    <row r="8" spans="1:7" x14ac:dyDescent="0.3">
      <c r="A8" s="1">
        <v>45027</v>
      </c>
      <c r="B8">
        <f xml:space="preserve"> SUMIFS(market_prices!$E:$E,market_prices!$B:$B,$A8,market_prices!$C:$C,B$1)</f>
        <v>82.04</v>
      </c>
      <c r="C8">
        <f xml:space="preserve"> SUMIFS(market_prices!$E:$E,market_prices!$B:$B,$A8,market_prices!$C:$C,C$1)</f>
        <v>89.472800000000007</v>
      </c>
      <c r="D8">
        <f xml:space="preserve"> SUMIFS(market_prices!$E:$E,market_prices!$B:$B,$A8,market_prices!$C:$C,D$1)</f>
        <v>81.540000000000006</v>
      </c>
      <c r="E8" s="6">
        <f t="shared" si="0"/>
        <v>3.6580904767702371E-4</v>
      </c>
      <c r="F8" s="6">
        <f>rates[[#This Row],[EUR/INR]]/C7-1</f>
        <v>6.4567800690225052E-3</v>
      </c>
      <c r="G8" s="6">
        <f>rates[[#This Row],[WTI Crude]]/D7-1</f>
        <v>2.1932573004135758E-2</v>
      </c>
    </row>
    <row r="9" spans="1:7" x14ac:dyDescent="0.3">
      <c r="A9" s="1">
        <v>45028</v>
      </c>
      <c r="B9">
        <f xml:space="preserve"> SUMIFS(market_prices!$E:$E,market_prices!$B:$B,$A9,market_prices!$C:$C,B$1)</f>
        <v>81.98</v>
      </c>
      <c r="C9">
        <f xml:space="preserve"> SUMIFS(market_prices!$E:$E,market_prices!$B:$B,$A9,market_prices!$C:$C,C$1)</f>
        <v>90.071399999999997</v>
      </c>
      <c r="D9">
        <f xml:space="preserve"> SUMIFS(market_prices!$E:$E,market_prices!$B:$B,$A9,market_prices!$C:$C,D$1)</f>
        <v>83.26</v>
      </c>
      <c r="E9" s="6">
        <f t="shared" si="0"/>
        <v>-7.3135056070217086E-4</v>
      </c>
      <c r="F9" s="6">
        <f>rates[[#This Row],[EUR/INR]]/C8-1</f>
        <v>6.690301410037458E-3</v>
      </c>
      <c r="G9" s="6">
        <f>rates[[#This Row],[WTI Crude]]/D8-1</f>
        <v>2.1093941623743007E-2</v>
      </c>
    </row>
    <row r="10" spans="1:7" x14ac:dyDescent="0.3">
      <c r="A10" s="1">
        <v>45029</v>
      </c>
      <c r="B10">
        <f xml:space="preserve"> SUMIFS(market_prices!$E:$E,market_prices!$B:$B,$A10,market_prices!$C:$C,B$1)</f>
        <v>81.650000000000006</v>
      </c>
      <c r="C10">
        <f xml:space="preserve"> SUMIFS(market_prices!$E:$E,market_prices!$B:$B,$A10,market_prices!$C:$C,C$1)</f>
        <v>90.255899999999997</v>
      </c>
      <c r="D10">
        <f xml:space="preserve"> SUMIFS(market_prices!$E:$E,market_prices!$B:$B,$A10,market_prices!$C:$C,D$1)</f>
        <v>82.16</v>
      </c>
      <c r="E10" s="6">
        <f t="shared" si="0"/>
        <v>-4.0253720419614059E-3</v>
      </c>
      <c r="F10" s="6">
        <f>rates[[#This Row],[EUR/INR]]/C9-1</f>
        <v>2.0483749558684039E-3</v>
      </c>
      <c r="G10" s="6">
        <f>rates[[#This Row],[WTI Crude]]/D9-1</f>
        <v>-1.3211626231083407E-2</v>
      </c>
    </row>
    <row r="11" spans="1:7" x14ac:dyDescent="0.3">
      <c r="A11" s="1">
        <v>45030</v>
      </c>
      <c r="B11">
        <f xml:space="preserve"> SUMIFS(market_prices!$E:$E,market_prices!$B:$B,$A11,market_prices!$C:$C,B$1)</f>
        <v>81.88</v>
      </c>
      <c r="C11">
        <f xml:space="preserve"> SUMIFS(market_prices!$E:$E,market_prices!$B:$B,$A11,market_prices!$C:$C,C$1)</f>
        <v>89.904200000000003</v>
      </c>
      <c r="D11">
        <f xml:space="preserve"> SUMIFS(market_prices!$E:$E,market_prices!$B:$B,$A11,market_prices!$C:$C,D$1)</f>
        <v>82.58</v>
      </c>
      <c r="E11" s="6">
        <f t="shared" si="0"/>
        <v>2.8169014084504784E-3</v>
      </c>
      <c r="F11" s="6">
        <f>rates[[#This Row],[EUR/INR]]/C10-1</f>
        <v>-3.8966981659923627E-3</v>
      </c>
      <c r="G11" s="6">
        <f>rates[[#This Row],[WTI Crude]]/D10-1</f>
        <v>5.1119766309639658E-3</v>
      </c>
    </row>
    <row r="12" spans="1:7" x14ac:dyDescent="0.3">
      <c r="A12" s="1">
        <v>45033</v>
      </c>
      <c r="B12">
        <f xml:space="preserve"> SUMIFS(market_prices!$E:$E,market_prices!$B:$B,$A12,market_prices!$C:$C,B$1)</f>
        <v>81.98</v>
      </c>
      <c r="C12">
        <f xml:space="preserve"> SUMIFS(market_prices!$E:$E,market_prices!$B:$B,$A12,market_prices!$C:$C,C$1)</f>
        <v>89.481200000000001</v>
      </c>
      <c r="D12">
        <f xml:space="preserve"> SUMIFS(market_prices!$E:$E,market_prices!$B:$B,$A12,market_prices!$C:$C,D$1)</f>
        <v>80.930000000000007</v>
      </c>
      <c r="E12" s="6">
        <f t="shared" si="0"/>
        <v>1.2212994626283891E-3</v>
      </c>
      <c r="F12" s="6">
        <f>rates[[#This Row],[EUR/INR]]/C11-1</f>
        <v>-4.7050082198607512E-3</v>
      </c>
      <c r="G12" s="6">
        <f>rates[[#This Row],[WTI Crude]]/D11-1</f>
        <v>-1.9980624848631501E-2</v>
      </c>
    </row>
    <row r="13" spans="1:7" x14ac:dyDescent="0.3">
      <c r="A13" s="1">
        <v>45034</v>
      </c>
      <c r="B13">
        <f xml:space="preserve"> SUMIFS(market_prices!$E:$E,market_prices!$B:$B,$A13,market_prices!$C:$C,B$1)</f>
        <v>82.08</v>
      </c>
      <c r="C13">
        <f xml:space="preserve"> SUMIFS(market_prices!$E:$E,market_prices!$B:$B,$A13,market_prices!$C:$C,C$1)</f>
        <v>89.943299999999994</v>
      </c>
      <c r="D13">
        <f xml:space="preserve"> SUMIFS(market_prices!$E:$E,market_prices!$B:$B,$A13,market_prices!$C:$C,D$1)</f>
        <v>80.849999999999994</v>
      </c>
      <c r="E13" s="6">
        <f t="shared" si="0"/>
        <v>1.2198097096851601E-3</v>
      </c>
      <c r="F13" s="6">
        <f>rates[[#This Row],[EUR/INR]]/C12-1</f>
        <v>5.1642132649092343E-3</v>
      </c>
      <c r="G13" s="6">
        <f>rates[[#This Row],[WTI Crude]]/D12-1</f>
        <v>-9.8850858766852401E-4</v>
      </c>
    </row>
    <row r="14" spans="1:7" x14ac:dyDescent="0.3">
      <c r="A14" s="1">
        <v>45035</v>
      </c>
      <c r="B14">
        <f xml:space="preserve"> SUMIFS(market_prices!$E:$E,market_prices!$B:$B,$A14,market_prices!$C:$C,B$1)</f>
        <v>82.18</v>
      </c>
      <c r="C14">
        <f xml:space="preserve"> SUMIFS(market_prices!$E:$E,market_prices!$B:$B,$A14,market_prices!$C:$C,C$1)</f>
        <v>90.011799999999994</v>
      </c>
      <c r="D14">
        <f xml:space="preserve"> SUMIFS(market_prices!$E:$E,market_prices!$B:$B,$A14,market_prices!$C:$C,D$1)</f>
        <v>79.180000000000007</v>
      </c>
      <c r="E14" s="6">
        <f t="shared" si="0"/>
        <v>1.218323586744674E-3</v>
      </c>
      <c r="F14" s="6">
        <f>rates[[#This Row],[EUR/INR]]/C13-1</f>
        <v>7.6159091338645624E-4</v>
      </c>
      <c r="G14" s="6">
        <f>rates[[#This Row],[WTI Crude]]/D13-1</f>
        <v>-2.0655534941249054E-2</v>
      </c>
    </row>
    <row r="15" spans="1:7" x14ac:dyDescent="0.3">
      <c r="A15" s="1">
        <v>45036</v>
      </c>
      <c r="B15">
        <f xml:space="preserve"> SUMIFS(market_prices!$E:$E,market_prices!$B:$B,$A15,market_prices!$C:$C,B$1)</f>
        <v>82.1</v>
      </c>
      <c r="C15">
        <f xml:space="preserve"> SUMIFS(market_prices!$E:$E,market_prices!$B:$B,$A15,market_prices!$C:$C,C$1)</f>
        <v>90.063699999999997</v>
      </c>
      <c r="D15">
        <f xml:space="preserve"> SUMIFS(market_prices!$E:$E,market_prices!$B:$B,$A15,market_prices!$C:$C,D$1)</f>
        <v>77.27</v>
      </c>
      <c r="E15" s="6">
        <f t="shared" si="0"/>
        <v>-9.7347286444404713E-4</v>
      </c>
      <c r="F15" s="6">
        <f>rates[[#This Row],[EUR/INR]]/C14-1</f>
        <v>5.7659106917107295E-4</v>
      </c>
      <c r="G15" s="6">
        <f>rates[[#This Row],[WTI Crude]]/D14-1</f>
        <v>-2.4122253094215895E-2</v>
      </c>
    </row>
    <row r="16" spans="1:7" x14ac:dyDescent="0.3">
      <c r="A16" s="1">
        <v>45037</v>
      </c>
      <c r="B16">
        <f xml:space="preserve"> SUMIFS(market_prices!$E:$E,market_prices!$B:$B,$A16,market_prices!$C:$C,B$1)</f>
        <v>82.06</v>
      </c>
      <c r="C16">
        <f xml:space="preserve"> SUMIFS(market_prices!$E:$E,market_prices!$B:$B,$A16,market_prices!$C:$C,C$1)</f>
        <v>90.044399999999996</v>
      </c>
      <c r="D16">
        <f xml:space="preserve"> SUMIFS(market_prices!$E:$E,market_prices!$B:$B,$A16,market_prices!$C:$C,D$1)</f>
        <v>77.86</v>
      </c>
      <c r="E16" s="6">
        <f t="shared" si="0"/>
        <v>-4.8721071863566667E-4</v>
      </c>
      <c r="F16" s="6">
        <f>rates[[#This Row],[EUR/INR]]/C15-1</f>
        <v>-2.1429277278195435E-4</v>
      </c>
      <c r="G16" s="6">
        <f>rates[[#This Row],[WTI Crude]]/D15-1</f>
        <v>7.6355636081273381E-3</v>
      </c>
    </row>
    <row r="17" spans="1:7" x14ac:dyDescent="0.3">
      <c r="A17" s="1">
        <v>45040</v>
      </c>
      <c r="B17">
        <f xml:space="preserve"> SUMIFS(market_prices!$E:$E,market_prices!$B:$B,$A17,market_prices!$C:$C,B$1)</f>
        <v>81.900000000000006</v>
      </c>
      <c r="C17">
        <f xml:space="preserve"> SUMIFS(market_prices!$E:$E,market_prices!$B:$B,$A17,market_prices!$C:$C,C$1)</f>
        <v>90.311099999999996</v>
      </c>
      <c r="D17">
        <f xml:space="preserve"> SUMIFS(market_prices!$E:$E,market_prices!$B:$B,$A17,market_prices!$C:$C,D$1)</f>
        <v>78.64</v>
      </c>
      <c r="E17" s="6">
        <f t="shared" si="0"/>
        <v>-1.9497928345112436E-3</v>
      </c>
      <c r="F17" s="6">
        <f>rates[[#This Row],[EUR/INR]]/C16-1</f>
        <v>2.9618721430761941E-3</v>
      </c>
      <c r="G17" s="6">
        <f>rates[[#This Row],[WTI Crude]]/D16-1</f>
        <v>1.001798099152329E-2</v>
      </c>
    </row>
    <row r="18" spans="1:7" x14ac:dyDescent="0.3">
      <c r="A18" s="1">
        <v>45041</v>
      </c>
      <c r="B18">
        <f xml:space="preserve"> SUMIFS(market_prices!$E:$E,market_prices!$B:$B,$A18,market_prices!$C:$C,B$1)</f>
        <v>81.92</v>
      </c>
      <c r="C18">
        <f xml:space="preserve"> SUMIFS(market_prices!$E:$E,market_prices!$B:$B,$A18,market_prices!$C:$C,C$1)</f>
        <v>89.849900000000005</v>
      </c>
      <c r="D18">
        <f xml:space="preserve"> SUMIFS(market_prices!$E:$E,market_prices!$B:$B,$A18,market_prices!$C:$C,D$1)</f>
        <v>77.05</v>
      </c>
      <c r="E18" s="6">
        <f t="shared" si="0"/>
        <v>2.4420024420024333E-4</v>
      </c>
      <c r="F18" s="6">
        <f>rates[[#This Row],[EUR/INR]]/C17-1</f>
        <v>-5.1067919668787987E-3</v>
      </c>
      <c r="G18" s="6">
        <f>rates[[#This Row],[WTI Crude]]/D17-1</f>
        <v>-2.0218718209562558E-2</v>
      </c>
    </row>
    <row r="19" spans="1:7" x14ac:dyDescent="0.3">
      <c r="A19" s="1">
        <v>45042</v>
      </c>
      <c r="B19">
        <f xml:space="preserve"> SUMIFS(market_prices!$E:$E,market_prices!$B:$B,$A19,market_prices!$C:$C,B$1)</f>
        <v>81.739999999999995</v>
      </c>
      <c r="C19">
        <f xml:space="preserve"> SUMIFS(market_prices!$E:$E,market_prices!$B:$B,$A19,market_prices!$C:$C,C$1)</f>
        <v>90.338999999999999</v>
      </c>
      <c r="D19">
        <f xml:space="preserve"> SUMIFS(market_prices!$E:$E,market_prices!$B:$B,$A19,market_prices!$C:$C,D$1)</f>
        <v>74.33</v>
      </c>
      <c r="E19" s="6">
        <f t="shared" si="0"/>
        <v>-2.197265625000111E-3</v>
      </c>
      <c r="F19" s="6">
        <f>rates[[#This Row],[EUR/INR]]/C18-1</f>
        <v>5.4435230311886684E-3</v>
      </c>
      <c r="G19" s="6">
        <f>rates[[#This Row],[WTI Crude]]/D18-1</f>
        <v>-3.530175210902009E-2</v>
      </c>
    </row>
    <row r="20" spans="1:7" x14ac:dyDescent="0.3">
      <c r="A20" s="1">
        <v>45043</v>
      </c>
      <c r="B20">
        <f xml:space="preserve"> SUMIFS(market_prices!$E:$E,market_prices!$B:$B,$A20,market_prices!$C:$C,B$1)</f>
        <v>81.84</v>
      </c>
      <c r="C20">
        <f xml:space="preserve"> SUMIFS(market_prices!$E:$E,market_prices!$B:$B,$A20,market_prices!$C:$C,C$1)</f>
        <v>90.1631</v>
      </c>
      <c r="D20">
        <f xml:space="preserve"> SUMIFS(market_prices!$E:$E,market_prices!$B:$B,$A20,market_prices!$C:$C,D$1)</f>
        <v>74.77</v>
      </c>
      <c r="E20" s="6">
        <f t="shared" si="0"/>
        <v>1.2233912405188452E-3</v>
      </c>
      <c r="F20" s="6">
        <f>rates[[#This Row],[EUR/INR]]/C19-1</f>
        <v>-1.9471103288722924E-3</v>
      </c>
      <c r="G20" s="6">
        <f>rates[[#This Row],[WTI Crude]]/D19-1</f>
        <v>5.9195479617919489E-3</v>
      </c>
    </row>
    <row r="21" spans="1:7" x14ac:dyDescent="0.3">
      <c r="A21" s="1">
        <v>45044</v>
      </c>
      <c r="B21">
        <f xml:space="preserve"> SUMIFS(market_prices!$E:$E,market_prices!$B:$B,$A21,market_prices!$C:$C,B$1)</f>
        <v>81.84</v>
      </c>
      <c r="C21">
        <f xml:space="preserve"> SUMIFS(market_prices!$E:$E,market_prices!$B:$B,$A21,market_prices!$C:$C,C$1)</f>
        <v>90.351399999999998</v>
      </c>
      <c r="D21">
        <f xml:space="preserve"> SUMIFS(market_prices!$E:$E,market_prices!$B:$B,$A21,market_prices!$C:$C,D$1)</f>
        <v>76.78</v>
      </c>
      <c r="E21" s="6">
        <f t="shared" si="0"/>
        <v>0</v>
      </c>
      <c r="F21" s="6">
        <f>rates[[#This Row],[EUR/INR]]/C20-1</f>
        <v>2.0884375093579433E-3</v>
      </c>
      <c r="G21" s="6">
        <f>rates[[#This Row],[WTI Crude]]/D20-1</f>
        <v>2.6882439481075382E-2</v>
      </c>
    </row>
    <row r="22" spans="1:7" x14ac:dyDescent="0.3">
      <c r="A22" s="1">
        <v>45047</v>
      </c>
      <c r="B22">
        <f xml:space="preserve"> SUMIFS(market_prices!$E:$E,market_prices!$B:$B,$A22,market_prices!$C:$C,B$1)</f>
        <v>81.84</v>
      </c>
      <c r="C22">
        <f xml:space="preserve"> SUMIFS(market_prices!$E:$E,market_prices!$B:$B,$A22,market_prices!$C:$C,C$1)</f>
        <v>89.778499999999994</v>
      </c>
      <c r="D22">
        <f xml:space="preserve"> SUMIFS(market_prices!$E:$E,market_prices!$B:$B,$A22,market_prices!$C:$C,D$1)</f>
        <v>75.650000000000006</v>
      </c>
      <c r="E22" s="6">
        <f t="shared" si="0"/>
        <v>0</v>
      </c>
      <c r="F22" s="6">
        <f>rates[[#This Row],[EUR/INR]]/C21-1</f>
        <v>-6.3407982610120817E-3</v>
      </c>
      <c r="G22" s="6">
        <f>rates[[#This Row],[WTI Crude]]/D21-1</f>
        <v>-1.4717374316228105E-2</v>
      </c>
    </row>
    <row r="23" spans="1:7" x14ac:dyDescent="0.3">
      <c r="A23" s="1">
        <v>45048</v>
      </c>
      <c r="B23">
        <f xml:space="preserve"> SUMIFS(market_prices!$E:$E,market_prices!$B:$B,$A23,market_prices!$C:$C,B$1)</f>
        <v>81.89</v>
      </c>
      <c r="C23">
        <f xml:space="preserve"> SUMIFS(market_prices!$E:$E,market_prices!$B:$B,$A23,market_prices!$C:$C,C$1)</f>
        <v>90.054400000000001</v>
      </c>
      <c r="D23">
        <f xml:space="preserve"> SUMIFS(market_prices!$E:$E,market_prices!$B:$B,$A23,market_prices!$C:$C,D$1)</f>
        <v>71.709999999999994</v>
      </c>
      <c r="E23" s="6">
        <f t="shared" si="0"/>
        <v>6.1094819159324132E-4</v>
      </c>
      <c r="F23" s="6">
        <f>rates[[#This Row],[EUR/INR]]/C22-1</f>
        <v>3.0731188424846234E-3</v>
      </c>
      <c r="G23" s="6">
        <f>rates[[#This Row],[WTI Crude]]/D22-1</f>
        <v>-5.2081956378057015E-2</v>
      </c>
    </row>
    <row r="24" spans="1:7" x14ac:dyDescent="0.3">
      <c r="A24" s="1">
        <v>45049</v>
      </c>
      <c r="B24">
        <f xml:space="preserve"> SUMIFS(market_prices!$E:$E,market_prices!$B:$B,$A24,market_prices!$C:$C,B$1)</f>
        <v>81.83</v>
      </c>
      <c r="C24">
        <f xml:space="preserve"> SUMIFS(market_prices!$E:$E,market_prices!$B:$B,$A24,market_prices!$C:$C,C$1)</f>
        <v>90.414000000000001</v>
      </c>
      <c r="D24">
        <f xml:space="preserve"> SUMIFS(market_prices!$E:$E,market_prices!$B:$B,$A24,market_prices!$C:$C,D$1)</f>
        <v>68.62</v>
      </c>
      <c r="E24" s="6">
        <f t="shared" si="0"/>
        <v>-7.3269019416288828E-4</v>
      </c>
      <c r="F24" s="6">
        <f>rates[[#This Row],[EUR/INR]]/C23-1</f>
        <v>3.9931419231042931E-3</v>
      </c>
      <c r="G24" s="6">
        <f>rates[[#This Row],[WTI Crude]]/D23-1</f>
        <v>-4.3090224515409115E-2</v>
      </c>
    </row>
    <row r="25" spans="1:7" x14ac:dyDescent="0.3">
      <c r="A25" s="1">
        <v>45050</v>
      </c>
      <c r="B25">
        <f xml:space="preserve"> SUMIFS(market_prices!$E:$E,market_prices!$B:$B,$A25,market_prices!$C:$C,B$1)</f>
        <v>81.73</v>
      </c>
      <c r="C25">
        <f xml:space="preserve"> SUMIFS(market_prices!$E:$E,market_prices!$B:$B,$A25,market_prices!$C:$C,C$1)</f>
        <v>89.976600000000005</v>
      </c>
      <c r="D25">
        <f xml:space="preserve"> SUMIFS(market_prices!$E:$E,market_prices!$B:$B,$A25,market_prices!$C:$C,D$1)</f>
        <v>68.52</v>
      </c>
      <c r="E25" s="6">
        <f t="shared" si="0"/>
        <v>-1.2220457045092337E-3</v>
      </c>
      <c r="F25" s="6">
        <f>rates[[#This Row],[EUR/INR]]/C24-1</f>
        <v>-4.8377463667130804E-3</v>
      </c>
      <c r="G25" s="6">
        <f>rates[[#This Row],[WTI Crude]]/D24-1</f>
        <v>-1.4573010784029172E-3</v>
      </c>
    </row>
    <row r="26" spans="1:7" x14ac:dyDescent="0.3">
      <c r="A26" s="1">
        <v>45051</v>
      </c>
      <c r="B26">
        <f xml:space="preserve"> SUMIFS(market_prices!$E:$E,market_prices!$B:$B,$A26,market_prices!$C:$C,B$1)</f>
        <v>81.81</v>
      </c>
      <c r="C26">
        <f xml:space="preserve"> SUMIFS(market_prices!$E:$E,market_prices!$B:$B,$A26,market_prices!$C:$C,C$1)</f>
        <v>90.203699999999998</v>
      </c>
      <c r="D26">
        <f xml:space="preserve"> SUMIFS(market_prices!$E:$E,market_prices!$B:$B,$A26,market_prices!$C:$C,D$1)</f>
        <v>71.319999999999993</v>
      </c>
      <c r="E26" s="6">
        <f t="shared" si="0"/>
        <v>9.7883274195509351E-4</v>
      </c>
      <c r="F26" s="6">
        <f>rates[[#This Row],[EUR/INR]]/C25-1</f>
        <v>2.5239895706217208E-3</v>
      </c>
      <c r="G26" s="6">
        <f>rates[[#This Row],[WTI Crude]]/D25-1</f>
        <v>4.0863981319322784E-2</v>
      </c>
    </row>
    <row r="27" spans="1:7" x14ac:dyDescent="0.3">
      <c r="A27" s="1">
        <v>45054</v>
      </c>
      <c r="B27">
        <f xml:space="preserve"> SUMIFS(market_prices!$E:$E,market_prices!$B:$B,$A27,market_prices!$C:$C,B$1)</f>
        <v>81.78</v>
      </c>
      <c r="C27">
        <f xml:space="preserve"> SUMIFS(market_prices!$E:$E,market_prices!$B:$B,$A27,market_prices!$C:$C,C$1)</f>
        <v>90.121600000000001</v>
      </c>
      <c r="D27">
        <f xml:space="preserve"> SUMIFS(market_prices!$E:$E,market_prices!$B:$B,$A27,market_prices!$C:$C,D$1)</f>
        <v>73.13</v>
      </c>
      <c r="E27" s="6">
        <f t="shared" si="0"/>
        <v>-3.6670333700039581E-4</v>
      </c>
      <c r="F27" s="6">
        <f>rates[[#This Row],[EUR/INR]]/C26-1</f>
        <v>-9.1016222172701777E-4</v>
      </c>
      <c r="G27" s="6">
        <f>rates[[#This Row],[WTI Crude]]/D26-1</f>
        <v>2.5378575434660711E-2</v>
      </c>
    </row>
    <row r="28" spans="1:7" x14ac:dyDescent="0.3">
      <c r="A28" s="1">
        <v>45055</v>
      </c>
      <c r="B28">
        <f xml:space="preserve"> SUMIFS(market_prices!$E:$E,market_prices!$B:$B,$A28,market_prices!$C:$C,B$1)</f>
        <v>82.04</v>
      </c>
      <c r="C28">
        <f xml:space="preserve"> SUMIFS(market_prices!$E:$E,market_prices!$B:$B,$A28,market_prices!$C:$C,C$1)</f>
        <v>89.858400000000003</v>
      </c>
      <c r="D28">
        <f xml:space="preserve"> SUMIFS(market_prices!$E:$E,market_prices!$B:$B,$A28,market_prices!$C:$C,D$1)</f>
        <v>73.680000000000007</v>
      </c>
      <c r="E28" s="6">
        <f t="shared" si="0"/>
        <v>3.1792614331132008E-3</v>
      </c>
      <c r="F28" s="6">
        <f>rates[[#This Row],[EUR/INR]]/C27-1</f>
        <v>-2.9204985264353889E-3</v>
      </c>
      <c r="G28" s="6">
        <f>rates[[#This Row],[WTI Crude]]/D27-1</f>
        <v>7.5208532749899693E-3</v>
      </c>
    </row>
    <row r="29" spans="1:7" x14ac:dyDescent="0.3">
      <c r="A29" s="1">
        <v>45056</v>
      </c>
      <c r="B29">
        <f xml:space="preserve"> SUMIFS(market_prices!$E:$E,market_prices!$B:$B,$A29,market_prices!$C:$C,B$1)</f>
        <v>81.94</v>
      </c>
      <c r="C29">
        <f xml:space="preserve"> SUMIFS(market_prices!$E:$E,market_prices!$B:$B,$A29,market_prices!$C:$C,C$1)</f>
        <v>89.855400000000003</v>
      </c>
      <c r="D29">
        <f xml:space="preserve"> SUMIFS(market_prices!$E:$E,market_prices!$B:$B,$A29,market_prices!$C:$C,D$1)</f>
        <v>72.53</v>
      </c>
      <c r="E29" s="6">
        <f t="shared" si="0"/>
        <v>-1.2189176011702108E-3</v>
      </c>
      <c r="F29" s="6">
        <f>rates[[#This Row],[EUR/INR]]/C28-1</f>
        <v>-3.3385860420342972E-5</v>
      </c>
      <c r="G29" s="6">
        <f>rates[[#This Row],[WTI Crude]]/D28-1</f>
        <v>-1.5608034744842625E-2</v>
      </c>
    </row>
    <row r="30" spans="1:7" x14ac:dyDescent="0.3">
      <c r="A30" s="1">
        <v>45057</v>
      </c>
      <c r="B30">
        <f xml:space="preserve"> SUMIFS(market_prices!$E:$E,market_prices!$B:$B,$A30,market_prices!$C:$C,B$1)</f>
        <v>82.13</v>
      </c>
      <c r="C30">
        <f xml:space="preserve"> SUMIFS(market_prices!$E:$E,market_prices!$B:$B,$A30,market_prices!$C:$C,C$1)</f>
        <v>89.653099999999995</v>
      </c>
      <c r="D30">
        <f xml:space="preserve"> SUMIFS(market_prices!$E:$E,market_prices!$B:$B,$A30,market_prices!$C:$C,D$1)</f>
        <v>70.81</v>
      </c>
      <c r="E30" s="6">
        <f t="shared" si="0"/>
        <v>2.3187698315840777E-3</v>
      </c>
      <c r="F30" s="6">
        <f>rates[[#This Row],[EUR/INR]]/C29-1</f>
        <v>-2.2513950191085375E-3</v>
      </c>
      <c r="G30" s="6">
        <f>rates[[#This Row],[WTI Crude]]/D29-1</f>
        <v>-2.3714325106852341E-2</v>
      </c>
    </row>
    <row r="31" spans="1:7" x14ac:dyDescent="0.3">
      <c r="A31" s="1">
        <v>45058</v>
      </c>
      <c r="B31">
        <f xml:space="preserve"> SUMIFS(market_prices!$E:$E,market_prices!$B:$B,$A31,market_prices!$C:$C,B$1)</f>
        <v>82.17</v>
      </c>
      <c r="C31">
        <f xml:space="preserve"> SUMIFS(market_prices!$E:$E,market_prices!$B:$B,$A31,market_prices!$C:$C,C$1)</f>
        <v>89.203800000000001</v>
      </c>
      <c r="D31">
        <f xml:space="preserve"> SUMIFS(market_prices!$E:$E,market_prices!$B:$B,$A31,market_prices!$C:$C,D$1)</f>
        <v>70.02</v>
      </c>
      <c r="E31" s="6">
        <f t="shared" si="0"/>
        <v>4.8703275295269854E-4</v>
      </c>
      <c r="F31" s="6">
        <f>rates[[#This Row],[EUR/INR]]/C30-1</f>
        <v>-5.0115389205727112E-3</v>
      </c>
      <c r="G31" s="6">
        <f>rates[[#This Row],[WTI Crude]]/D30-1</f>
        <v>-1.1156616297133271E-2</v>
      </c>
    </row>
    <row r="32" spans="1:7" x14ac:dyDescent="0.3">
      <c r="A32" s="1">
        <v>45061</v>
      </c>
      <c r="B32">
        <f xml:space="preserve"> SUMIFS(market_prices!$E:$E,market_prices!$B:$B,$A32,market_prices!$C:$C,B$1)</f>
        <v>82.3</v>
      </c>
      <c r="C32">
        <f xml:space="preserve"> SUMIFS(market_prices!$E:$E,market_prices!$B:$B,$A32,market_prices!$C:$C,C$1)</f>
        <v>89.492999999999995</v>
      </c>
      <c r="D32">
        <f xml:space="preserve"> SUMIFS(market_prices!$E:$E,market_prices!$B:$B,$A32,market_prices!$C:$C,D$1)</f>
        <v>71.069999999999993</v>
      </c>
      <c r="E32" s="6">
        <f t="shared" si="0"/>
        <v>1.5820859194353165E-3</v>
      </c>
      <c r="F32" s="6">
        <f>rates[[#This Row],[EUR/INR]]/C31-1</f>
        <v>3.2420143536484591E-3</v>
      </c>
      <c r="G32" s="6">
        <f>rates[[#This Row],[WTI Crude]]/D31-1</f>
        <v>1.4995715509854346E-2</v>
      </c>
    </row>
    <row r="33" spans="1:7" x14ac:dyDescent="0.3">
      <c r="A33" s="1">
        <v>45062</v>
      </c>
      <c r="B33">
        <f xml:space="preserve"> SUMIFS(market_prices!$E:$E,market_prices!$B:$B,$A33,market_prices!$C:$C,B$1)</f>
        <v>82.26</v>
      </c>
      <c r="C33">
        <f xml:space="preserve"> SUMIFS(market_prices!$E:$E,market_prices!$B:$B,$A33,market_prices!$C:$C,C$1)</f>
        <v>89.383700000000005</v>
      </c>
      <c r="D33">
        <f xml:space="preserve"> SUMIFS(market_prices!$E:$E,market_prices!$B:$B,$A33,market_prices!$C:$C,D$1)</f>
        <v>70.849999999999994</v>
      </c>
      <c r="E33" s="6">
        <f t="shared" si="0"/>
        <v>-4.8602673147013498E-4</v>
      </c>
      <c r="F33" s="6">
        <f>rates[[#This Row],[EUR/INR]]/C32-1</f>
        <v>-1.2213245728714961E-3</v>
      </c>
      <c r="G33" s="6">
        <f>rates[[#This Row],[WTI Crude]]/D32-1</f>
        <v>-3.0955396088363507E-3</v>
      </c>
    </row>
    <row r="34" spans="1:7" x14ac:dyDescent="0.3">
      <c r="A34" s="1">
        <v>45063</v>
      </c>
      <c r="B34">
        <f xml:space="preserve"> SUMIFS(market_prices!$E:$E,market_prices!$B:$B,$A34,market_prices!$C:$C,B$1)</f>
        <v>82.39</v>
      </c>
      <c r="C34">
        <f xml:space="preserve"> SUMIFS(market_prices!$E:$E,market_prices!$B:$B,$A34,market_prices!$C:$C,C$1)</f>
        <v>89.228399999999993</v>
      </c>
      <c r="D34">
        <f xml:space="preserve"> SUMIFS(market_prices!$E:$E,market_prices!$B:$B,$A34,market_prices!$C:$C,D$1)</f>
        <v>72.78</v>
      </c>
      <c r="E34" s="6">
        <f t="shared" si="0"/>
        <v>1.5803549720398991E-3</v>
      </c>
      <c r="F34" s="6">
        <f>rates[[#This Row],[EUR/INR]]/C33-1</f>
        <v>-1.7374532493061867E-3</v>
      </c>
      <c r="G34" s="6">
        <f>rates[[#This Row],[WTI Crude]]/D33-1</f>
        <v>2.7240649258998051E-2</v>
      </c>
    </row>
    <row r="35" spans="1:7" x14ac:dyDescent="0.3">
      <c r="A35" s="1">
        <v>45064</v>
      </c>
      <c r="B35">
        <f xml:space="preserve"> SUMIFS(market_prices!$E:$E,market_prices!$B:$B,$A35,market_prices!$C:$C,B$1)</f>
        <v>82.77</v>
      </c>
      <c r="C35">
        <f xml:space="preserve"> SUMIFS(market_prices!$E:$E,market_prices!$B:$B,$A35,market_prices!$C:$C,C$1)</f>
        <v>89.192999999999998</v>
      </c>
      <c r="D35">
        <f xml:space="preserve"> SUMIFS(market_prices!$E:$E,market_prices!$B:$B,$A35,market_prices!$C:$C,D$1)</f>
        <v>71.819999999999993</v>
      </c>
      <c r="E35" s="6">
        <f t="shared" si="0"/>
        <v>4.6122102196868298E-3</v>
      </c>
      <c r="F35" s="6">
        <f>rates[[#This Row],[EUR/INR]]/C34-1</f>
        <v>-3.9673467192058443E-4</v>
      </c>
      <c r="G35" s="6">
        <f>rates[[#This Row],[WTI Crude]]/D34-1</f>
        <v>-1.3190436933223526E-2</v>
      </c>
    </row>
    <row r="36" spans="1:7" x14ac:dyDescent="0.3">
      <c r="A36" s="1">
        <v>45065</v>
      </c>
      <c r="B36">
        <f xml:space="preserve"> SUMIFS(market_prices!$E:$E,market_prices!$B:$B,$A36,market_prices!$C:$C,B$1)</f>
        <v>82.65</v>
      </c>
      <c r="C36">
        <f xml:space="preserve"> SUMIFS(market_prices!$E:$E,market_prices!$B:$B,$A36,market_prices!$C:$C,C$1)</f>
        <v>89.418999999999997</v>
      </c>
      <c r="D36">
        <f xml:space="preserve"> SUMIFS(market_prices!$E:$E,market_prices!$B:$B,$A36,market_prices!$C:$C,D$1)</f>
        <v>71.569999999999993</v>
      </c>
      <c r="E36" s="6">
        <f t="shared" si="0"/>
        <v>-1.4498006524101825E-3</v>
      </c>
      <c r="F36" s="6">
        <f>rates[[#This Row],[EUR/INR]]/C35-1</f>
        <v>2.533831130245634E-3</v>
      </c>
      <c r="G36" s="6">
        <f>rates[[#This Row],[WTI Crude]]/D35-1</f>
        <v>-3.4809245335560846E-3</v>
      </c>
    </row>
    <row r="37" spans="1:7" x14ac:dyDescent="0.3">
      <c r="A37" s="1">
        <v>45068</v>
      </c>
      <c r="B37">
        <f xml:space="preserve"> SUMIFS(market_prices!$E:$E,market_prices!$B:$B,$A37,market_prices!$C:$C,B$1)</f>
        <v>82.83</v>
      </c>
      <c r="C37">
        <f xml:space="preserve"> SUMIFS(market_prices!$E:$E,market_prices!$B:$B,$A37,market_prices!$C:$C,C$1)</f>
        <v>89.506100000000004</v>
      </c>
      <c r="D37">
        <f xml:space="preserve"> SUMIFS(market_prices!$E:$E,market_prices!$B:$B,$A37,market_prices!$C:$C,D$1)</f>
        <v>71.81</v>
      </c>
      <c r="E37" s="6">
        <f t="shared" si="0"/>
        <v>2.1778584392013745E-3</v>
      </c>
      <c r="F37" s="6">
        <f>rates[[#This Row],[EUR/INR]]/C36-1</f>
        <v>9.7406591440307722E-4</v>
      </c>
      <c r="G37" s="6">
        <f>rates[[#This Row],[WTI Crude]]/D36-1</f>
        <v>3.3533603465141226E-3</v>
      </c>
    </row>
    <row r="38" spans="1:7" x14ac:dyDescent="0.3">
      <c r="A38" s="1">
        <v>45069</v>
      </c>
      <c r="B38">
        <f xml:space="preserve"> SUMIFS(market_prices!$E:$E,market_prices!$B:$B,$A38,market_prices!$C:$C,B$1)</f>
        <v>82.84</v>
      </c>
      <c r="C38">
        <f xml:space="preserve"> SUMIFS(market_prices!$E:$E,market_prices!$B:$B,$A38,market_prices!$C:$C,C$1)</f>
        <v>89.227000000000004</v>
      </c>
      <c r="D38">
        <f xml:space="preserve"> SUMIFS(market_prices!$E:$E,market_prices!$B:$B,$A38,market_prices!$C:$C,D$1)</f>
        <v>72.87</v>
      </c>
      <c r="E38" s="6">
        <f t="shared" si="0"/>
        <v>1.2072920439454293E-4</v>
      </c>
      <c r="F38" s="6">
        <f>rates[[#This Row],[EUR/INR]]/C37-1</f>
        <v>-3.1182232272437549E-3</v>
      </c>
      <c r="G38" s="6">
        <f>rates[[#This Row],[WTI Crude]]/D37-1</f>
        <v>1.4761175323771081E-2</v>
      </c>
    </row>
    <row r="39" spans="1:7" x14ac:dyDescent="0.3">
      <c r="A39" s="1">
        <v>45070</v>
      </c>
      <c r="B39">
        <f xml:space="preserve"> SUMIFS(market_prices!$E:$E,market_prices!$B:$B,$A39,market_prices!$C:$C,B$1)</f>
        <v>82.66</v>
      </c>
      <c r="C39">
        <f xml:space="preserve"> SUMIFS(market_prices!$E:$E,market_prices!$B:$B,$A39,market_prices!$C:$C,C$1)</f>
        <v>88.925600000000003</v>
      </c>
      <c r="D39">
        <f xml:space="preserve"> SUMIFS(market_prices!$E:$E,market_prices!$B:$B,$A39,market_prices!$C:$C,D$1)</f>
        <v>74.37</v>
      </c>
      <c r="E39" s="6">
        <f t="shared" si="0"/>
        <v>-2.1728633510382789E-3</v>
      </c>
      <c r="F39" s="6">
        <f>rates[[#This Row],[EUR/INR]]/C38-1</f>
        <v>-3.3779013079000553E-3</v>
      </c>
      <c r="G39" s="6">
        <f>rates[[#This Row],[WTI Crude]]/D38-1</f>
        <v>2.0584602717167666E-2</v>
      </c>
    </row>
    <row r="40" spans="1:7" x14ac:dyDescent="0.3">
      <c r="A40" s="1">
        <v>45071</v>
      </c>
      <c r="B40">
        <f xml:space="preserve"> SUMIFS(market_prices!$E:$E,market_prices!$B:$B,$A40,market_prices!$C:$C,B$1)</f>
        <v>82.76</v>
      </c>
      <c r="C40">
        <f xml:space="preserve"> SUMIFS(market_prices!$E:$E,market_prices!$B:$B,$A40,market_prices!$C:$C,C$1)</f>
        <v>88.760099999999994</v>
      </c>
      <c r="D40">
        <f xml:space="preserve"> SUMIFS(market_prices!$E:$E,market_prices!$B:$B,$A40,market_prices!$C:$C,D$1)</f>
        <v>71.680000000000007</v>
      </c>
      <c r="E40" s="6">
        <f t="shared" si="0"/>
        <v>1.2097749818533732E-3</v>
      </c>
      <c r="F40" s="6">
        <f>rates[[#This Row],[EUR/INR]]/C39-1</f>
        <v>-1.8611063630721292E-3</v>
      </c>
      <c r="G40" s="6">
        <f>rates[[#This Row],[WTI Crude]]/D39-1</f>
        <v>-3.6170498857066025E-2</v>
      </c>
    </row>
    <row r="41" spans="1:7" x14ac:dyDescent="0.3">
      <c r="A41" s="1">
        <v>45072</v>
      </c>
      <c r="B41">
        <f xml:space="preserve"> SUMIFS(market_prices!$E:$E,market_prices!$B:$B,$A41,market_prices!$C:$C,B$1)</f>
        <v>82.58</v>
      </c>
      <c r="C41">
        <f xml:space="preserve"> SUMIFS(market_prices!$E:$E,market_prices!$B:$B,$A41,market_prices!$C:$C,C$1)</f>
        <v>88.468000000000004</v>
      </c>
      <c r="D41">
        <f xml:space="preserve"> SUMIFS(market_prices!$E:$E,market_prices!$B:$B,$A41,market_prices!$C:$C,D$1)</f>
        <v>72.349999999999994</v>
      </c>
      <c r="E41" s="6">
        <f t="shared" si="0"/>
        <v>-2.1749637506042196E-3</v>
      </c>
      <c r="F41" s="6">
        <f>rates[[#This Row],[EUR/INR]]/C40-1</f>
        <v>-3.2908930927296742E-3</v>
      </c>
      <c r="G41" s="6">
        <f>rates[[#This Row],[WTI Crude]]/D40-1</f>
        <v>9.3470982142855874E-3</v>
      </c>
    </row>
    <row r="42" spans="1:7" x14ac:dyDescent="0.3">
      <c r="A42" s="1">
        <v>45075</v>
      </c>
      <c r="B42">
        <f xml:space="preserve"> SUMIFS(market_prices!$E:$E,market_prices!$B:$B,$A42,market_prices!$C:$C,B$1)</f>
        <v>82.58</v>
      </c>
      <c r="C42">
        <f xml:space="preserve"> SUMIFS(market_prices!$E:$E,market_prices!$B:$B,$A42,market_prices!$C:$C,C$1)</f>
        <v>88.468000000000004</v>
      </c>
      <c r="D42">
        <f xml:space="preserve"> SUMIFS(market_prices!$E:$E,market_prices!$B:$B,$A42,market_prices!$C:$C,D$1)</f>
        <v>72.349999999999994</v>
      </c>
      <c r="E42" s="6">
        <f t="shared" si="0"/>
        <v>0</v>
      </c>
      <c r="F42" s="6">
        <f>rates[[#This Row],[EUR/INR]]/C41-1</f>
        <v>0</v>
      </c>
      <c r="G42" s="6">
        <f>rates[[#This Row],[WTI Crude]]/D41-1</f>
        <v>0</v>
      </c>
    </row>
    <row r="43" spans="1:7" x14ac:dyDescent="0.3">
      <c r="A43" s="1">
        <v>45076</v>
      </c>
      <c r="B43">
        <f xml:space="preserve"> SUMIFS(market_prices!$E:$E,market_prices!$B:$B,$A43,market_prices!$C:$C,B$1)</f>
        <v>82.67</v>
      </c>
      <c r="C43">
        <f xml:space="preserve"> SUMIFS(market_prices!$E:$E,market_prices!$B:$B,$A43,market_prices!$C:$C,C$1)</f>
        <v>88.638800000000003</v>
      </c>
      <c r="D43">
        <f xml:space="preserve"> SUMIFS(market_prices!$E:$E,market_prices!$B:$B,$A43,market_prices!$C:$C,D$1)</f>
        <v>69.45</v>
      </c>
      <c r="E43" s="6">
        <f t="shared" si="0"/>
        <v>1.0898522644708919E-3</v>
      </c>
      <c r="F43" s="6">
        <f>rates[[#This Row],[EUR/INR]]/C42-1</f>
        <v>1.9306415879187799E-3</v>
      </c>
      <c r="G43" s="6">
        <f>rates[[#This Row],[WTI Crude]]/D42-1</f>
        <v>-4.0082930200414535E-2</v>
      </c>
    </row>
    <row r="44" spans="1:7" x14ac:dyDescent="0.3">
      <c r="A44" s="1">
        <v>45077</v>
      </c>
      <c r="B44">
        <f xml:space="preserve"> SUMIFS(market_prices!$E:$E,market_prices!$B:$B,$A44,market_prices!$C:$C,B$1)</f>
        <v>82.68</v>
      </c>
      <c r="C44">
        <f xml:space="preserve"> SUMIFS(market_prices!$E:$E,market_prices!$B:$B,$A44,market_prices!$C:$C,C$1)</f>
        <v>88.087299999999999</v>
      </c>
      <c r="D44">
        <f xml:space="preserve"> SUMIFS(market_prices!$E:$E,market_prices!$B:$B,$A44,market_prices!$C:$C,D$1)</f>
        <v>68.11</v>
      </c>
      <c r="E44" s="6">
        <f t="shared" si="0"/>
        <v>1.2096286440077542E-4</v>
      </c>
      <c r="F44" s="6">
        <f>rates[[#This Row],[EUR/INR]]/C43-1</f>
        <v>-6.2218802601118339E-3</v>
      </c>
      <c r="G44" s="6">
        <f>rates[[#This Row],[WTI Crude]]/D43-1</f>
        <v>-1.9294456443484598E-2</v>
      </c>
    </row>
    <row r="45" spans="1:7" x14ac:dyDescent="0.3">
      <c r="A45" s="1">
        <v>45078</v>
      </c>
      <c r="B45">
        <f xml:space="preserve"> SUMIFS(market_prices!$E:$E,market_prices!$B:$B,$A45,market_prices!$C:$C,B$1)</f>
        <v>82.41</v>
      </c>
      <c r="C45">
        <f xml:space="preserve"> SUMIFS(market_prices!$E:$E,market_prices!$B:$B,$A45,market_prices!$C:$C,C$1)</f>
        <v>88.607200000000006</v>
      </c>
      <c r="D45">
        <f xml:space="preserve"> SUMIFS(market_prices!$E:$E,market_prices!$B:$B,$A45,market_prices!$C:$C,D$1)</f>
        <v>70.09</v>
      </c>
      <c r="E45" s="6">
        <f t="shared" si="0"/>
        <v>-3.2656023222061847E-3</v>
      </c>
      <c r="F45" s="6">
        <f>rates[[#This Row],[EUR/INR]]/C44-1</f>
        <v>5.9020993945779754E-3</v>
      </c>
      <c r="G45" s="6">
        <f>rates[[#This Row],[WTI Crude]]/D44-1</f>
        <v>2.9070621054177126E-2</v>
      </c>
    </row>
    <row r="46" spans="1:7" x14ac:dyDescent="0.3">
      <c r="A46" s="1">
        <v>45079</v>
      </c>
      <c r="B46">
        <f xml:space="preserve"> SUMIFS(market_prices!$E:$E,market_prices!$B:$B,$A46,market_prices!$C:$C,B$1)</f>
        <v>82.35</v>
      </c>
      <c r="C46">
        <f xml:space="preserve"> SUMIFS(market_prices!$E:$E,market_prices!$B:$B,$A46,market_prices!$C:$C,C$1)</f>
        <v>88.312100000000001</v>
      </c>
      <c r="D46">
        <f xml:space="preserve"> SUMIFS(market_prices!$E:$E,market_prices!$B:$B,$A46,market_prices!$C:$C,D$1)</f>
        <v>71.760000000000005</v>
      </c>
      <c r="E46" s="6">
        <f t="shared" si="0"/>
        <v>-7.2806698216243415E-4</v>
      </c>
      <c r="F46" s="6">
        <f>rates[[#This Row],[EUR/INR]]/C45-1</f>
        <v>-3.3304291299127708E-3</v>
      </c>
      <c r="G46" s="6">
        <f>rates[[#This Row],[WTI Crude]]/D45-1</f>
        <v>2.3826508774432931E-2</v>
      </c>
    </row>
    <row r="47" spans="1:7" x14ac:dyDescent="0.3">
      <c r="A47" s="1">
        <v>45082</v>
      </c>
      <c r="B47">
        <f xml:space="preserve"> SUMIFS(market_prices!$E:$E,market_prices!$B:$B,$A47,market_prices!$C:$C,B$1)</f>
        <v>82.67</v>
      </c>
      <c r="C47">
        <f xml:space="preserve"> SUMIFS(market_prices!$E:$E,market_prices!$B:$B,$A47,market_prices!$C:$C,C$1)</f>
        <v>88.630499999999998</v>
      </c>
      <c r="D47">
        <f xml:space="preserve"> SUMIFS(market_prices!$E:$E,market_prices!$B:$B,$A47,market_prices!$C:$C,D$1)</f>
        <v>72.14</v>
      </c>
      <c r="E47" s="6">
        <f t="shared" si="0"/>
        <v>3.8858530661809443E-3</v>
      </c>
      <c r="F47" s="6">
        <f>rates[[#This Row],[EUR/INR]]/C46-1</f>
        <v>3.605394957202801E-3</v>
      </c>
      <c r="G47" s="6">
        <f>rates[[#This Row],[WTI Crude]]/D46-1</f>
        <v>5.2954292084725907E-3</v>
      </c>
    </row>
    <row r="48" spans="1:7" x14ac:dyDescent="0.3">
      <c r="A48" s="1">
        <v>45083</v>
      </c>
      <c r="B48">
        <f xml:space="preserve"> SUMIFS(market_prices!$E:$E,market_prices!$B:$B,$A48,market_prices!$C:$C,B$1)</f>
        <v>82.61</v>
      </c>
      <c r="C48">
        <f xml:space="preserve"> SUMIFS(market_prices!$E:$E,market_prices!$B:$B,$A48,market_prices!$C:$C,C$1)</f>
        <v>88.351399999999998</v>
      </c>
      <c r="D48">
        <f xml:space="preserve"> SUMIFS(market_prices!$E:$E,market_prices!$B:$B,$A48,market_prices!$C:$C,D$1)</f>
        <v>71.709999999999994</v>
      </c>
      <c r="E48" s="6">
        <f t="shared" si="0"/>
        <v>-7.2577718640376432E-4</v>
      </c>
      <c r="F48" s="6">
        <f>rates[[#This Row],[EUR/INR]]/C47-1</f>
        <v>-3.14902883318946E-3</v>
      </c>
      <c r="G48" s="6">
        <f>rates[[#This Row],[WTI Crude]]/D47-1</f>
        <v>-5.9606321042418031E-3</v>
      </c>
    </row>
    <row r="49" spans="1:7" x14ac:dyDescent="0.3">
      <c r="A49" s="1">
        <v>45084</v>
      </c>
      <c r="B49">
        <f xml:space="preserve"> SUMIFS(market_prices!$E:$E,market_prices!$B:$B,$A49,market_prices!$C:$C,B$1)</f>
        <v>82.5</v>
      </c>
      <c r="C49">
        <f xml:space="preserve"> SUMIFS(market_prices!$E:$E,market_prices!$B:$B,$A49,market_prices!$C:$C,C$1)</f>
        <v>88.291499999999999</v>
      </c>
      <c r="D49">
        <f xml:space="preserve"> SUMIFS(market_prices!$E:$E,market_prices!$B:$B,$A49,market_prices!$C:$C,D$1)</f>
        <v>72.52</v>
      </c>
      <c r="E49" s="6">
        <f t="shared" si="0"/>
        <v>-1.3315579227696217E-3</v>
      </c>
      <c r="F49" s="6">
        <f>rates[[#This Row],[EUR/INR]]/C48-1</f>
        <v>-6.7797454256524059E-4</v>
      </c>
      <c r="G49" s="6">
        <f>rates[[#This Row],[WTI Crude]]/D48-1</f>
        <v>1.12954957467577E-2</v>
      </c>
    </row>
    <row r="50" spans="1:7" x14ac:dyDescent="0.3">
      <c r="A50" s="1">
        <v>45085</v>
      </c>
      <c r="B50">
        <f xml:space="preserve"> SUMIFS(market_prices!$E:$E,market_prices!$B:$B,$A50,market_prices!$C:$C,B$1)</f>
        <v>82.57</v>
      </c>
      <c r="C50">
        <f xml:space="preserve"> SUMIFS(market_prices!$E:$E,market_prices!$B:$B,$A50,market_prices!$C:$C,C$1)</f>
        <v>89.010499999999993</v>
      </c>
      <c r="D50">
        <f xml:space="preserve"> SUMIFS(market_prices!$E:$E,market_prices!$B:$B,$A50,market_prices!$C:$C,D$1)</f>
        <v>71.28</v>
      </c>
      <c r="E50" s="6">
        <f t="shared" si="0"/>
        <v>8.4848484848487615E-4</v>
      </c>
      <c r="F50" s="6">
        <f>rates[[#This Row],[EUR/INR]]/C49-1</f>
        <v>8.143479270371401E-3</v>
      </c>
      <c r="G50" s="6">
        <f>rates[[#This Row],[WTI Crude]]/D49-1</f>
        <v>-1.709873138444562E-2</v>
      </c>
    </row>
    <row r="51" spans="1:7" x14ac:dyDescent="0.3">
      <c r="A51" s="1">
        <v>45086</v>
      </c>
      <c r="B51">
        <f xml:space="preserve"> SUMIFS(market_prices!$E:$E,market_prices!$B:$B,$A51,market_prices!$C:$C,B$1)</f>
        <v>82.46</v>
      </c>
      <c r="C51">
        <f xml:space="preserve"> SUMIFS(market_prices!$E:$E,market_prices!$B:$B,$A51,market_prices!$C:$C,C$1)</f>
        <v>88.636300000000006</v>
      </c>
      <c r="D51">
        <f xml:space="preserve"> SUMIFS(market_prices!$E:$E,market_prices!$B:$B,$A51,market_prices!$C:$C,D$1)</f>
        <v>70.16</v>
      </c>
      <c r="E51" s="6">
        <f t="shared" si="0"/>
        <v>-1.3322029792902645E-3</v>
      </c>
      <c r="F51" s="6">
        <f>rates[[#This Row],[EUR/INR]]/C50-1</f>
        <v>-4.2039984046824408E-3</v>
      </c>
      <c r="G51" s="6">
        <f>rates[[#This Row],[WTI Crude]]/D50-1</f>
        <v>-1.5712682379349086E-2</v>
      </c>
    </row>
    <row r="52" spans="1:7" x14ac:dyDescent="0.3">
      <c r="A52" s="1">
        <v>45089</v>
      </c>
      <c r="B52">
        <f xml:space="preserve"> SUMIFS(market_prices!$E:$E,market_prices!$B:$B,$A52,market_prices!$C:$C,B$1)</f>
        <v>82.43</v>
      </c>
      <c r="C52">
        <f xml:space="preserve"> SUMIFS(market_prices!$E:$E,market_prices!$B:$B,$A52,market_prices!$C:$C,C$1)</f>
        <v>88.587500000000006</v>
      </c>
      <c r="D52">
        <f xml:space="preserve"> SUMIFS(market_prices!$E:$E,market_prices!$B:$B,$A52,market_prices!$C:$C,D$1)</f>
        <v>67.08</v>
      </c>
      <c r="E52" s="6">
        <f t="shared" si="0"/>
        <v>-3.6381275770058785E-4</v>
      </c>
      <c r="F52" s="6">
        <f>rates[[#This Row],[EUR/INR]]/C51-1</f>
        <v>-5.5056449784118833E-4</v>
      </c>
      <c r="G52" s="6">
        <f>rates[[#This Row],[WTI Crude]]/D51-1</f>
        <v>-4.3899657924743374E-2</v>
      </c>
    </row>
    <row r="53" spans="1:7" x14ac:dyDescent="0.3">
      <c r="A53" s="1">
        <v>45090</v>
      </c>
      <c r="B53">
        <f xml:space="preserve"> SUMIFS(market_prices!$E:$E,market_prices!$B:$B,$A53,market_prices!$C:$C,B$1)</f>
        <v>82.38</v>
      </c>
      <c r="C53">
        <f xml:space="preserve"> SUMIFS(market_prices!$E:$E,market_prices!$B:$B,$A53,market_prices!$C:$C,C$1)</f>
        <v>88.904499999999999</v>
      </c>
      <c r="D53">
        <f xml:space="preserve"> SUMIFS(market_prices!$E:$E,market_prices!$B:$B,$A53,market_prices!$C:$C,D$1)</f>
        <v>69.39</v>
      </c>
      <c r="E53" s="6">
        <f t="shared" si="0"/>
        <v>-6.0657527599183858E-4</v>
      </c>
      <c r="F53" s="6">
        <f>rates[[#This Row],[EUR/INR]]/C52-1</f>
        <v>3.5783829547058055E-3</v>
      </c>
      <c r="G53" s="6">
        <f>rates[[#This Row],[WTI Crude]]/D52-1</f>
        <v>3.4436493738819296E-2</v>
      </c>
    </row>
    <row r="54" spans="1:7" x14ac:dyDescent="0.3">
      <c r="A54" s="1">
        <v>45091</v>
      </c>
      <c r="B54">
        <f xml:space="preserve"> SUMIFS(market_prices!$E:$E,market_prices!$B:$B,$A54,market_prices!$C:$C,B$1)</f>
        <v>82.1</v>
      </c>
      <c r="C54">
        <f xml:space="preserve"> SUMIFS(market_prices!$E:$E,market_prices!$B:$B,$A54,market_prices!$C:$C,C$1)</f>
        <v>89.1524</v>
      </c>
      <c r="D54">
        <f xml:space="preserve"> SUMIFS(market_prices!$E:$E,market_prices!$B:$B,$A54,market_prices!$C:$C,D$1)</f>
        <v>68.22</v>
      </c>
      <c r="E54" s="6">
        <f t="shared" si="0"/>
        <v>-3.3988832240835487E-3</v>
      </c>
      <c r="F54" s="6">
        <f>rates[[#This Row],[EUR/INR]]/C53-1</f>
        <v>2.7883852898333839E-3</v>
      </c>
      <c r="G54" s="6">
        <f>rates[[#This Row],[WTI Crude]]/D53-1</f>
        <v>-1.6861219195849597E-2</v>
      </c>
    </row>
    <row r="55" spans="1:7" x14ac:dyDescent="0.3">
      <c r="A55" s="1">
        <v>45092</v>
      </c>
      <c r="B55">
        <f xml:space="preserve"> SUMIFS(market_prices!$E:$E,market_prices!$B:$B,$A55,market_prices!$C:$C,B$1)</f>
        <v>82.18</v>
      </c>
      <c r="C55">
        <f xml:space="preserve"> SUMIFS(market_prices!$E:$E,market_prices!$B:$B,$A55,market_prices!$C:$C,C$1)</f>
        <v>89.847399999999993</v>
      </c>
      <c r="D55">
        <f xml:space="preserve"> SUMIFS(market_prices!$E:$E,market_prices!$B:$B,$A55,market_prices!$C:$C,D$1)</f>
        <v>70.61</v>
      </c>
      <c r="E55" s="6">
        <f t="shared" si="0"/>
        <v>9.7442143727177744E-4</v>
      </c>
      <c r="F55" s="6">
        <f>rates[[#This Row],[EUR/INR]]/C54-1</f>
        <v>7.7956398257366111E-3</v>
      </c>
      <c r="G55" s="6">
        <f>rates[[#This Row],[WTI Crude]]/D54-1</f>
        <v>3.5033714453239551E-2</v>
      </c>
    </row>
    <row r="56" spans="1:7" x14ac:dyDescent="0.3">
      <c r="A56" s="1">
        <v>45093</v>
      </c>
      <c r="B56">
        <f xml:space="preserve"> SUMIFS(market_prices!$E:$E,market_prices!$B:$B,$A56,market_prices!$C:$C,B$1)</f>
        <v>81.89</v>
      </c>
      <c r="C56">
        <f xml:space="preserve"> SUMIFS(market_prices!$E:$E,market_prices!$B:$B,$A56,market_prices!$C:$C,C$1)</f>
        <v>89.464799999999997</v>
      </c>
      <c r="D56">
        <f xml:space="preserve"> SUMIFS(market_prices!$E:$E,market_prices!$B:$B,$A56,market_prices!$C:$C,D$1)</f>
        <v>71.81</v>
      </c>
      <c r="E56" s="6">
        <f t="shared" si="0"/>
        <v>-3.5288391336092406E-3</v>
      </c>
      <c r="F56" s="6">
        <f>rates[[#This Row],[EUR/INR]]/C55-1</f>
        <v>-4.2583313484864105E-3</v>
      </c>
      <c r="G56" s="6">
        <f>rates[[#This Row],[WTI Crude]]/D55-1</f>
        <v>1.699475994901567E-2</v>
      </c>
    </row>
    <row r="57" spans="1:7" x14ac:dyDescent="0.3">
      <c r="A57" s="1">
        <v>45096</v>
      </c>
      <c r="B57">
        <f xml:space="preserve"> SUMIFS(market_prices!$E:$E,market_prices!$B:$B,$A57,market_prices!$C:$C,B$1)</f>
        <v>81.89</v>
      </c>
      <c r="C57">
        <f xml:space="preserve"> SUMIFS(market_prices!$E:$E,market_prices!$B:$B,$A57,market_prices!$C:$C,C$1)</f>
        <v>89.464799999999997</v>
      </c>
      <c r="D57">
        <f xml:space="preserve"> SUMIFS(market_prices!$E:$E,market_prices!$B:$B,$A57,market_prices!$C:$C,D$1)</f>
        <v>71.81</v>
      </c>
      <c r="E57" s="6">
        <f t="shared" si="0"/>
        <v>0</v>
      </c>
      <c r="F57" s="6">
        <f>rates[[#This Row],[EUR/INR]]/C56-1</f>
        <v>0</v>
      </c>
      <c r="G57" s="6">
        <f>rates[[#This Row],[WTI Crude]]/D56-1</f>
        <v>0</v>
      </c>
    </row>
    <row r="58" spans="1:7" x14ac:dyDescent="0.3">
      <c r="A58" s="1">
        <v>45097</v>
      </c>
      <c r="B58">
        <f xml:space="preserve"> SUMIFS(market_prices!$E:$E,market_prices!$B:$B,$A58,market_prices!$C:$C,B$1)</f>
        <v>82.11</v>
      </c>
      <c r="C58">
        <f xml:space="preserve"> SUMIFS(market_prices!$E:$E,market_prices!$B:$B,$A58,market_prices!$C:$C,C$1)</f>
        <v>89.499899999999997</v>
      </c>
      <c r="D58">
        <f xml:space="preserve"> SUMIFS(market_prices!$E:$E,market_prices!$B:$B,$A58,market_prices!$C:$C,D$1)</f>
        <v>70.94</v>
      </c>
      <c r="E58" s="6">
        <f t="shared" si="0"/>
        <v>2.6865307119305903E-3</v>
      </c>
      <c r="F58" s="6">
        <f>rates[[#This Row],[EUR/INR]]/C57-1</f>
        <v>3.9233307401342898E-4</v>
      </c>
      <c r="G58" s="6">
        <f>rates[[#This Row],[WTI Crude]]/D57-1</f>
        <v>-1.2115304275170602E-2</v>
      </c>
    </row>
    <row r="59" spans="1:7" x14ac:dyDescent="0.3">
      <c r="A59" s="1">
        <v>45098</v>
      </c>
      <c r="B59">
        <f xml:space="preserve"> SUMIFS(market_prices!$E:$E,market_prices!$B:$B,$A59,market_prices!$C:$C,B$1)</f>
        <v>82.04</v>
      </c>
      <c r="C59">
        <f xml:space="preserve"> SUMIFS(market_prices!$E:$E,market_prices!$B:$B,$A59,market_prices!$C:$C,C$1)</f>
        <v>89.841999999999999</v>
      </c>
      <c r="D59">
        <f xml:space="preserve"> SUMIFS(market_prices!$E:$E,market_prices!$B:$B,$A59,market_prices!$C:$C,D$1)</f>
        <v>72.55</v>
      </c>
      <c r="E59" s="6">
        <f t="shared" si="0"/>
        <v>-8.5251491901094933E-4</v>
      </c>
      <c r="F59" s="6">
        <f>rates[[#This Row],[EUR/INR]]/C58-1</f>
        <v>3.8223506394978735E-3</v>
      </c>
      <c r="G59" s="6">
        <f>rates[[#This Row],[WTI Crude]]/D58-1</f>
        <v>2.2695235410205905E-2</v>
      </c>
    </row>
    <row r="60" spans="1:7" x14ac:dyDescent="0.3">
      <c r="A60" s="1">
        <v>45099</v>
      </c>
      <c r="B60">
        <f xml:space="preserve"> SUMIFS(market_prices!$E:$E,market_prices!$B:$B,$A60,market_prices!$C:$C,B$1)</f>
        <v>81.93</v>
      </c>
      <c r="C60">
        <f xml:space="preserve"> SUMIFS(market_prices!$E:$E,market_prices!$B:$B,$A60,market_prices!$C:$C,C$1)</f>
        <v>89.737899999999996</v>
      </c>
      <c r="D60">
        <f xml:space="preserve"> SUMIFS(market_prices!$E:$E,market_prices!$B:$B,$A60,market_prices!$C:$C,D$1)</f>
        <v>69.22</v>
      </c>
      <c r="E60" s="6">
        <f t="shared" si="0"/>
        <v>-1.3408093612872207E-3</v>
      </c>
      <c r="F60" s="6">
        <f>rates[[#This Row],[EUR/INR]]/C59-1</f>
        <v>-1.1587008303466373E-3</v>
      </c>
      <c r="G60" s="6">
        <f>rates[[#This Row],[WTI Crude]]/D59-1</f>
        <v>-4.5899379738111645E-2</v>
      </c>
    </row>
    <row r="61" spans="1:7" x14ac:dyDescent="0.3">
      <c r="A61" s="1">
        <v>45100</v>
      </c>
      <c r="B61">
        <f xml:space="preserve"> SUMIFS(market_prices!$E:$E,market_prices!$B:$B,$A61,market_prices!$C:$C,B$1)</f>
        <v>82.01</v>
      </c>
      <c r="C61">
        <f xml:space="preserve"> SUMIFS(market_prices!$E:$E,market_prices!$B:$B,$A61,market_prices!$C:$C,C$1)</f>
        <v>89.284300000000002</v>
      </c>
      <c r="D61">
        <f xml:space="preserve"> SUMIFS(market_prices!$E:$E,market_prices!$B:$B,$A61,market_prices!$C:$C,D$1)</f>
        <v>68.91</v>
      </c>
      <c r="E61" s="6">
        <f t="shared" si="0"/>
        <v>9.7644330526058809E-4</v>
      </c>
      <c r="F61" s="6">
        <f>rates[[#This Row],[EUR/INR]]/C60-1</f>
        <v>-5.0547204692776848E-3</v>
      </c>
      <c r="G61" s="6">
        <f>rates[[#This Row],[WTI Crude]]/D60-1</f>
        <v>-4.4784744293556722E-3</v>
      </c>
    </row>
    <row r="62" spans="1:7" x14ac:dyDescent="0.3">
      <c r="A62" s="1">
        <v>45103</v>
      </c>
      <c r="B62">
        <f xml:space="preserve"> SUMIFS(market_prices!$E:$E,market_prices!$B:$B,$A62,market_prices!$C:$C,B$1)</f>
        <v>82</v>
      </c>
      <c r="C62">
        <f xml:space="preserve"> SUMIFS(market_prices!$E:$E,market_prices!$B:$B,$A62,market_prices!$C:$C,C$1)</f>
        <v>89.462000000000003</v>
      </c>
      <c r="D62">
        <f xml:space="preserve"> SUMIFS(market_prices!$E:$E,market_prices!$B:$B,$A62,market_prices!$C:$C,D$1)</f>
        <v>69.09</v>
      </c>
      <c r="E62" s="6">
        <f t="shared" si="0"/>
        <v>-1.2193634922574859E-4</v>
      </c>
      <c r="F62" s="6">
        <f>rates[[#This Row],[EUR/INR]]/C61-1</f>
        <v>1.9902715259010328E-3</v>
      </c>
      <c r="G62" s="6">
        <f>rates[[#This Row],[WTI Crude]]/D61-1</f>
        <v>2.6121027427079557E-3</v>
      </c>
    </row>
    <row r="63" spans="1:7" x14ac:dyDescent="0.3">
      <c r="A63" s="1">
        <v>45104</v>
      </c>
      <c r="B63">
        <f xml:space="preserve"> SUMIFS(market_prices!$E:$E,market_prices!$B:$B,$A63,market_prices!$C:$C,B$1)</f>
        <v>81.98</v>
      </c>
      <c r="C63">
        <f xml:space="preserve"> SUMIFS(market_prices!$E:$E,market_prices!$B:$B,$A63,market_prices!$C:$C,C$1)</f>
        <v>89.8583</v>
      </c>
      <c r="D63">
        <f xml:space="preserve"> SUMIFS(market_prices!$E:$E,market_prices!$B:$B,$A63,market_prices!$C:$C,D$1)</f>
        <v>67.680000000000007</v>
      </c>
      <c r="E63" s="6">
        <f t="shared" si="0"/>
        <v>-2.4390243902439046E-4</v>
      </c>
      <c r="F63" s="6">
        <f>rates[[#This Row],[EUR/INR]]/C62-1</f>
        <v>4.4298137756813016E-3</v>
      </c>
      <c r="G63" s="6">
        <f>rates[[#This Row],[WTI Crude]]/D62-1</f>
        <v>-2.0408163265306034E-2</v>
      </c>
    </row>
    <row r="64" spans="1:7" x14ac:dyDescent="0.3">
      <c r="A64" s="1">
        <v>45105</v>
      </c>
      <c r="B64">
        <f xml:space="preserve"> SUMIFS(market_prices!$E:$E,market_prices!$B:$B,$A64,market_prices!$C:$C,B$1)</f>
        <v>82</v>
      </c>
      <c r="C64">
        <f xml:space="preserve"> SUMIFS(market_prices!$E:$E,market_prices!$B:$B,$A64,market_prices!$C:$C,C$1)</f>
        <v>89.412800000000004</v>
      </c>
      <c r="D64">
        <f xml:space="preserve"> SUMIFS(market_prices!$E:$E,market_prices!$B:$B,$A64,market_prices!$C:$C,D$1)</f>
        <v>69.540000000000006</v>
      </c>
      <c r="E64" s="6">
        <f t="shared" si="0"/>
        <v>2.4396194193698761E-4</v>
      </c>
      <c r="F64" s="6">
        <f>rates[[#This Row],[EUR/INR]]/C63-1</f>
        <v>-4.9578057897823324E-3</v>
      </c>
      <c r="G64" s="6">
        <f>rates[[#This Row],[WTI Crude]]/D63-1</f>
        <v>2.7482269503546153E-2</v>
      </c>
    </row>
    <row r="65" spans="1:7" x14ac:dyDescent="0.3">
      <c r="A65" s="1">
        <v>45106</v>
      </c>
      <c r="B65">
        <f xml:space="preserve"> SUMIFS(market_prices!$E:$E,market_prices!$B:$B,$A65,market_prices!$C:$C,B$1)</f>
        <v>82.05</v>
      </c>
      <c r="C65">
        <f xml:space="preserve"> SUMIFS(market_prices!$E:$E,market_prices!$B:$B,$A65,market_prices!$C:$C,C$1)</f>
        <v>89.278599999999997</v>
      </c>
      <c r="D65">
        <f xml:space="preserve"> SUMIFS(market_prices!$E:$E,market_prices!$B:$B,$A65,market_prices!$C:$C,D$1)</f>
        <v>69.849999999999994</v>
      </c>
      <c r="E65" s="6">
        <f t="shared" si="0"/>
        <v>6.0975609756086513E-4</v>
      </c>
      <c r="F65" s="6">
        <f>rates[[#This Row],[EUR/INR]]/C64-1</f>
        <v>-1.5009036737470005E-3</v>
      </c>
      <c r="G65" s="6">
        <f>rates[[#This Row],[WTI Crude]]/D64-1</f>
        <v>4.4578659764162865E-3</v>
      </c>
    </row>
    <row r="66" spans="1:7" x14ac:dyDescent="0.3">
      <c r="A66" s="1">
        <v>45107</v>
      </c>
      <c r="B66">
        <f xml:space="preserve"> SUMIFS(market_prices!$E:$E,market_prices!$B:$B,$A66,market_prices!$C:$C,B$1)</f>
        <v>82.06</v>
      </c>
      <c r="C66">
        <f xml:space="preserve"> SUMIFS(market_prices!$E:$E,market_prices!$B:$B,$A66,market_prices!$C:$C,C$1)</f>
        <v>89.609499999999997</v>
      </c>
      <c r="D66">
        <f xml:space="preserve"> SUMIFS(market_prices!$E:$E,market_prices!$B:$B,$A66,market_prices!$C:$C,D$1)</f>
        <v>70.66</v>
      </c>
      <c r="E66" s="6">
        <f t="shared" ref="E66:E129" si="1">B66/B65-1</f>
        <v>1.2187690432674536E-4</v>
      </c>
      <c r="F66" s="6">
        <f>rates[[#This Row],[EUR/INR]]/C65-1</f>
        <v>3.7063753239858777E-3</v>
      </c>
      <c r="G66" s="6">
        <f>rates[[#This Row],[WTI Crude]]/D65-1</f>
        <v>1.1596277738010086E-2</v>
      </c>
    </row>
    <row r="67" spans="1:7" x14ac:dyDescent="0.3">
      <c r="A67" s="1">
        <v>45110</v>
      </c>
      <c r="B67">
        <f xml:space="preserve"> SUMIFS(market_prices!$E:$E,market_prices!$B:$B,$A67,market_prices!$C:$C,B$1)</f>
        <v>81.96</v>
      </c>
      <c r="C67">
        <f xml:space="preserve"> SUMIFS(market_prices!$E:$E,market_prices!$B:$B,$A67,market_prices!$C:$C,C$1)</f>
        <v>89.492099999999994</v>
      </c>
      <c r="D67">
        <f xml:space="preserve"> SUMIFS(market_prices!$E:$E,market_prices!$B:$B,$A67,market_prices!$C:$C,D$1)</f>
        <v>69.709999999999994</v>
      </c>
      <c r="E67" s="6">
        <f t="shared" si="1"/>
        <v>-1.2186205215697354E-3</v>
      </c>
      <c r="F67" s="6">
        <f>rates[[#This Row],[EUR/INR]]/C66-1</f>
        <v>-1.3101289483816725E-3</v>
      </c>
      <c r="G67" s="6">
        <f>rates[[#This Row],[WTI Crude]]/D66-1</f>
        <v>-1.3444664590999245E-2</v>
      </c>
    </row>
    <row r="68" spans="1:7" x14ac:dyDescent="0.3">
      <c r="A68" s="1">
        <v>45111</v>
      </c>
      <c r="B68">
        <f xml:space="preserve"> SUMIFS(market_prices!$E:$E,market_prices!$B:$B,$A68,market_prices!$C:$C,B$1)</f>
        <v>81.96</v>
      </c>
      <c r="C68">
        <f xml:space="preserve"> SUMIFS(market_prices!$E:$E,market_prices!$B:$B,$A68,market_prices!$C:$C,C$1)</f>
        <v>89.492099999999994</v>
      </c>
      <c r="D68">
        <f xml:space="preserve"> SUMIFS(market_prices!$E:$E,market_prices!$B:$B,$A68,market_prices!$C:$C,D$1)</f>
        <v>69.709999999999994</v>
      </c>
      <c r="E68" s="6">
        <f t="shared" si="1"/>
        <v>0</v>
      </c>
      <c r="F68" s="6">
        <f>rates[[#This Row],[EUR/INR]]/C67-1</f>
        <v>0</v>
      </c>
      <c r="G68" s="6">
        <f>rates[[#This Row],[WTI Crude]]/D67-1</f>
        <v>0</v>
      </c>
    </row>
    <row r="69" spans="1:7" x14ac:dyDescent="0.3">
      <c r="A69" s="1">
        <v>45112</v>
      </c>
      <c r="B69">
        <f xml:space="preserve"> SUMIFS(market_prices!$E:$E,market_prices!$B:$B,$A69,market_prices!$C:$C,B$1)</f>
        <v>82.34</v>
      </c>
      <c r="C69">
        <f xml:space="preserve"> SUMIFS(market_prices!$E:$E,market_prices!$B:$B,$A69,market_prices!$C:$C,C$1)</f>
        <v>89.487099999999998</v>
      </c>
      <c r="D69">
        <f xml:space="preserve"> SUMIFS(market_prices!$E:$E,market_prices!$B:$B,$A69,market_prices!$C:$C,D$1)</f>
        <v>71.78</v>
      </c>
      <c r="E69" s="6">
        <f t="shared" si="1"/>
        <v>4.6364080039045241E-3</v>
      </c>
      <c r="F69" s="6">
        <f>rates[[#This Row],[EUR/INR]]/C68-1</f>
        <v>-5.5870853404860199E-5</v>
      </c>
      <c r="G69" s="6">
        <f>rates[[#This Row],[WTI Crude]]/D68-1</f>
        <v>2.9694448429206766E-2</v>
      </c>
    </row>
    <row r="70" spans="1:7" x14ac:dyDescent="0.3">
      <c r="A70" s="1">
        <v>45113</v>
      </c>
      <c r="B70">
        <f xml:space="preserve"> SUMIFS(market_prices!$E:$E,market_prices!$B:$B,$A70,market_prices!$C:$C,B$1)</f>
        <v>82.49</v>
      </c>
      <c r="C70">
        <f xml:space="preserve"> SUMIFS(market_prices!$E:$E,market_prices!$B:$B,$A70,market_prices!$C:$C,C$1)</f>
        <v>89.691400000000002</v>
      </c>
      <c r="D70">
        <f xml:space="preserve"> SUMIFS(market_prices!$E:$E,market_prices!$B:$B,$A70,market_prices!$C:$C,D$1)</f>
        <v>71.760000000000005</v>
      </c>
      <c r="E70" s="6">
        <f t="shared" si="1"/>
        <v>1.8217148409034323E-3</v>
      </c>
      <c r="F70" s="6">
        <f>rates[[#This Row],[EUR/INR]]/C69-1</f>
        <v>2.2830106238775905E-3</v>
      </c>
      <c r="G70" s="6">
        <f>rates[[#This Row],[WTI Crude]]/D69-1</f>
        <v>-2.7862914460852206E-4</v>
      </c>
    </row>
    <row r="71" spans="1:7" x14ac:dyDescent="0.3">
      <c r="A71" s="1">
        <v>45114</v>
      </c>
      <c r="B71">
        <f xml:space="preserve"> SUMIFS(market_prices!$E:$E,market_prices!$B:$B,$A71,market_prices!$C:$C,B$1)</f>
        <v>82.74</v>
      </c>
      <c r="C71">
        <f xml:space="preserve"> SUMIFS(market_prices!$E:$E,market_prices!$B:$B,$A71,market_prices!$C:$C,C$1)</f>
        <v>90.716099999999997</v>
      </c>
      <c r="D71">
        <f xml:space="preserve"> SUMIFS(market_prices!$E:$E,market_prices!$B:$B,$A71,market_prices!$C:$C,D$1)</f>
        <v>73.91</v>
      </c>
      <c r="E71" s="6">
        <f t="shared" si="1"/>
        <v>3.0306703842890581E-3</v>
      </c>
      <c r="F71" s="6">
        <f>rates[[#This Row],[EUR/INR]]/C70-1</f>
        <v>1.1424729684228252E-2</v>
      </c>
      <c r="G71" s="6">
        <f>rates[[#This Row],[WTI Crude]]/D70-1</f>
        <v>2.996098104793754E-2</v>
      </c>
    </row>
    <row r="72" spans="1:7" x14ac:dyDescent="0.3">
      <c r="A72" s="1">
        <v>45117</v>
      </c>
      <c r="B72">
        <f xml:space="preserve"> SUMIFS(market_prices!$E:$E,market_prices!$B:$B,$A72,market_prices!$C:$C,B$1)</f>
        <v>82.57</v>
      </c>
      <c r="C72">
        <f xml:space="preserve"> SUMIFS(market_prices!$E:$E,market_prices!$B:$B,$A72,market_prices!$C:$C,C$1)</f>
        <v>90.752700000000004</v>
      </c>
      <c r="D72">
        <f xml:space="preserve"> SUMIFS(market_prices!$E:$E,market_prices!$B:$B,$A72,market_prices!$C:$C,D$1)</f>
        <v>73.05</v>
      </c>
      <c r="E72" s="6">
        <f t="shared" si="1"/>
        <v>-2.0546289581823141E-3</v>
      </c>
      <c r="F72" s="6">
        <f>rates[[#This Row],[EUR/INR]]/C71-1</f>
        <v>4.0345649779927051E-4</v>
      </c>
      <c r="G72" s="6">
        <f>rates[[#This Row],[WTI Crude]]/D71-1</f>
        <v>-1.1635773237721581E-2</v>
      </c>
    </row>
    <row r="73" spans="1:7" x14ac:dyDescent="0.3">
      <c r="A73" s="1">
        <v>45118</v>
      </c>
      <c r="B73">
        <f xml:space="preserve"> SUMIFS(market_prices!$E:$E,market_prices!$B:$B,$A73,market_prices!$C:$C,B$1)</f>
        <v>82.39</v>
      </c>
      <c r="C73">
        <f xml:space="preserve"> SUMIFS(market_prices!$E:$E,market_prices!$B:$B,$A73,market_prices!$C:$C,C$1)</f>
        <v>90.563100000000006</v>
      </c>
      <c r="D73">
        <f xml:space="preserve"> SUMIFS(market_prices!$E:$E,market_prices!$B:$B,$A73,market_prices!$C:$C,D$1)</f>
        <v>74.87</v>
      </c>
      <c r="E73" s="6">
        <f t="shared" si="1"/>
        <v>-2.1799685115658773E-3</v>
      </c>
      <c r="F73" s="6">
        <f>rates[[#This Row],[EUR/INR]]/C72-1</f>
        <v>-2.0891940405078913E-3</v>
      </c>
      <c r="G73" s="6">
        <f>rates[[#This Row],[WTI Crude]]/D72-1</f>
        <v>2.4914442162902173E-2</v>
      </c>
    </row>
    <row r="74" spans="1:7" x14ac:dyDescent="0.3">
      <c r="A74" s="1">
        <v>45119</v>
      </c>
      <c r="B74">
        <f xml:space="preserve"> SUMIFS(market_prices!$E:$E,market_prices!$B:$B,$A74,market_prices!$C:$C,B$1)</f>
        <v>82.03</v>
      </c>
      <c r="C74">
        <f xml:space="preserve"> SUMIFS(market_prices!$E:$E,market_prices!$B:$B,$A74,market_prices!$C:$C,C$1)</f>
        <v>91.242000000000004</v>
      </c>
      <c r="D74">
        <f xml:space="preserve"> SUMIFS(market_prices!$E:$E,market_prices!$B:$B,$A74,market_prices!$C:$C,D$1)</f>
        <v>75.77</v>
      </c>
      <c r="E74" s="6">
        <f t="shared" si="1"/>
        <v>-4.3694623133875288E-3</v>
      </c>
      <c r="F74" s="6">
        <f>rates[[#This Row],[EUR/INR]]/C73-1</f>
        <v>7.4964306654696777E-3</v>
      </c>
      <c r="G74" s="6">
        <f>rates[[#This Row],[WTI Crude]]/D73-1</f>
        <v>1.2020836115934186E-2</v>
      </c>
    </row>
    <row r="75" spans="1:7" x14ac:dyDescent="0.3">
      <c r="A75" s="1">
        <v>45120</v>
      </c>
      <c r="B75">
        <f xml:space="preserve"> SUMIFS(market_prices!$E:$E,market_prices!$B:$B,$A75,market_prices!$C:$C,B$1)</f>
        <v>82.04</v>
      </c>
      <c r="C75">
        <f xml:space="preserve"> SUMIFS(market_prices!$E:$E,market_prices!$B:$B,$A75,market_prices!$C:$C,C$1)</f>
        <v>91.835599999999999</v>
      </c>
      <c r="D75">
        <f xml:space="preserve"> SUMIFS(market_prices!$E:$E,market_prices!$B:$B,$A75,market_prices!$C:$C,D$1)</f>
        <v>76.86</v>
      </c>
      <c r="E75" s="6">
        <f t="shared" si="1"/>
        <v>1.2190661952948822E-4</v>
      </c>
      <c r="F75" s="6">
        <f>rates[[#This Row],[EUR/INR]]/C74-1</f>
        <v>6.5057758488413775E-3</v>
      </c>
      <c r="G75" s="6">
        <f>rates[[#This Row],[WTI Crude]]/D74-1</f>
        <v>1.4385640754916329E-2</v>
      </c>
    </row>
    <row r="76" spans="1:7" x14ac:dyDescent="0.3">
      <c r="A76" s="1">
        <v>45121</v>
      </c>
      <c r="B76">
        <f xml:space="preserve"> SUMIFS(market_prices!$E:$E,market_prices!$B:$B,$A76,market_prices!$C:$C,B$1)</f>
        <v>82.16</v>
      </c>
      <c r="C76">
        <f xml:space="preserve"> SUMIFS(market_prices!$E:$E,market_prices!$B:$B,$A76,market_prices!$C:$C,C$1)</f>
        <v>92.3232</v>
      </c>
      <c r="D76">
        <f xml:space="preserve"> SUMIFS(market_prices!$E:$E,market_prices!$B:$B,$A76,market_prices!$C:$C,D$1)</f>
        <v>75.44</v>
      </c>
      <c r="E76" s="6">
        <f t="shared" si="1"/>
        <v>1.4627011214041197E-3</v>
      </c>
      <c r="F76" s="6">
        <f>rates[[#This Row],[EUR/INR]]/C75-1</f>
        <v>5.3094878238939547E-3</v>
      </c>
      <c r="G76" s="6">
        <f>rates[[#This Row],[WTI Crude]]/D75-1</f>
        <v>-1.847514962269059E-2</v>
      </c>
    </row>
    <row r="77" spans="1:7" x14ac:dyDescent="0.3">
      <c r="A77" s="1">
        <v>45124</v>
      </c>
      <c r="B77">
        <f xml:space="preserve"> SUMIFS(market_prices!$E:$E,market_prices!$B:$B,$A77,market_prices!$C:$C,B$1)</f>
        <v>82.03</v>
      </c>
      <c r="C77">
        <f xml:space="preserve"> SUMIFS(market_prices!$E:$E,market_prices!$B:$B,$A77,market_prices!$C:$C,C$1)</f>
        <v>92.168899999999994</v>
      </c>
      <c r="D77">
        <f xml:space="preserve"> SUMIFS(market_prices!$E:$E,market_prices!$B:$B,$A77,market_prices!$C:$C,D$1)</f>
        <v>74.17</v>
      </c>
      <c r="E77" s="6">
        <f t="shared" si="1"/>
        <v>-1.5822784810125556E-3</v>
      </c>
      <c r="F77" s="6">
        <f>rates[[#This Row],[EUR/INR]]/C76-1</f>
        <v>-1.671302554504206E-3</v>
      </c>
      <c r="G77" s="6">
        <f>rates[[#This Row],[WTI Crude]]/D76-1</f>
        <v>-1.683457051961823E-2</v>
      </c>
    </row>
    <row r="78" spans="1:7" x14ac:dyDescent="0.3">
      <c r="A78" s="1">
        <v>45125</v>
      </c>
      <c r="B78">
        <f xml:space="preserve"> SUMIFS(market_prices!$E:$E,market_prices!$B:$B,$A78,market_prices!$C:$C,B$1)</f>
        <v>82.03</v>
      </c>
      <c r="C78">
        <f xml:space="preserve"> SUMIFS(market_prices!$E:$E,market_prices!$B:$B,$A78,market_prices!$C:$C,C$1)</f>
        <v>92.062299999999993</v>
      </c>
      <c r="D78">
        <f xml:space="preserve"> SUMIFS(market_prices!$E:$E,market_prices!$B:$B,$A78,market_prices!$C:$C,D$1)</f>
        <v>75.760000000000005</v>
      </c>
      <c r="E78" s="6">
        <f t="shared" si="1"/>
        <v>0</v>
      </c>
      <c r="F78" s="6">
        <f>rates[[#This Row],[EUR/INR]]/C77-1</f>
        <v>-1.156572336221906E-3</v>
      </c>
      <c r="G78" s="6">
        <f>rates[[#This Row],[WTI Crude]]/D77-1</f>
        <v>2.1437238775785294E-2</v>
      </c>
    </row>
    <row r="79" spans="1:7" x14ac:dyDescent="0.3">
      <c r="A79" s="1">
        <v>45126</v>
      </c>
      <c r="B79">
        <f xml:space="preserve"> SUMIFS(market_prices!$E:$E,market_prices!$B:$B,$A79,market_prices!$C:$C,B$1)</f>
        <v>82.09</v>
      </c>
      <c r="C79">
        <f xml:space="preserve"> SUMIFS(market_prices!$E:$E,market_prices!$B:$B,$A79,market_prices!$C:$C,C$1)</f>
        <v>91.899799999999999</v>
      </c>
      <c r="D79">
        <f xml:space="preserve"> SUMIFS(market_prices!$E:$E,market_prices!$B:$B,$A79,market_prices!$C:$C,D$1)</f>
        <v>75.400000000000006</v>
      </c>
      <c r="E79" s="6">
        <f t="shared" si="1"/>
        <v>7.314397171767073E-4</v>
      </c>
      <c r="F79" s="6">
        <f>rates[[#This Row],[EUR/INR]]/C78-1</f>
        <v>-1.7651090620155463E-3</v>
      </c>
      <c r="G79" s="6">
        <f>rates[[#This Row],[WTI Crude]]/D78-1</f>
        <v>-4.7518479408659164E-3</v>
      </c>
    </row>
    <row r="80" spans="1:7" x14ac:dyDescent="0.3">
      <c r="A80" s="1">
        <v>45127</v>
      </c>
      <c r="B80">
        <f xml:space="preserve"> SUMIFS(market_prices!$E:$E,market_prices!$B:$B,$A80,market_prices!$C:$C,B$1)</f>
        <v>81.99</v>
      </c>
      <c r="C80">
        <f xml:space="preserve"> SUMIFS(market_prices!$E:$E,market_prices!$B:$B,$A80,market_prices!$C:$C,C$1)</f>
        <v>91.295900000000003</v>
      </c>
      <c r="D80">
        <f xml:space="preserve"> SUMIFS(market_prices!$E:$E,market_prices!$B:$B,$A80,market_prices!$C:$C,D$1)</f>
        <v>75.650000000000006</v>
      </c>
      <c r="E80" s="6">
        <f t="shared" si="1"/>
        <v>-1.2181751735900193E-3</v>
      </c>
      <c r="F80" s="6">
        <f>rates[[#This Row],[EUR/INR]]/C79-1</f>
        <v>-6.5712874239116648E-3</v>
      </c>
      <c r="G80" s="6">
        <f>rates[[#This Row],[WTI Crude]]/D79-1</f>
        <v>3.3156498673740931E-3</v>
      </c>
    </row>
    <row r="81" spans="1:7" x14ac:dyDescent="0.3">
      <c r="A81" s="1">
        <v>45128</v>
      </c>
      <c r="B81">
        <f xml:space="preserve"> SUMIFS(market_prices!$E:$E,market_prices!$B:$B,$A81,market_prices!$C:$C,B$1)</f>
        <v>81.99</v>
      </c>
      <c r="C81">
        <f xml:space="preserve"> SUMIFS(market_prices!$E:$E,market_prices!$B:$B,$A81,market_prices!$C:$C,C$1)</f>
        <v>91.172899999999998</v>
      </c>
      <c r="D81">
        <f xml:space="preserve"> SUMIFS(market_prices!$E:$E,market_prices!$B:$B,$A81,market_prices!$C:$C,D$1)</f>
        <v>77.06</v>
      </c>
      <c r="E81" s="6">
        <f t="shared" si="1"/>
        <v>0</v>
      </c>
      <c r="F81" s="6">
        <f>rates[[#This Row],[EUR/INR]]/C80-1</f>
        <v>-1.3472675114655219E-3</v>
      </c>
      <c r="G81" s="6">
        <f>rates[[#This Row],[WTI Crude]]/D80-1</f>
        <v>1.8638466622604044E-2</v>
      </c>
    </row>
    <row r="82" spans="1:7" x14ac:dyDescent="0.3">
      <c r="A82" s="1">
        <v>45131</v>
      </c>
      <c r="B82">
        <f xml:space="preserve"> SUMIFS(market_prices!$E:$E,market_prices!$B:$B,$A82,market_prices!$C:$C,B$1)</f>
        <v>81.81</v>
      </c>
      <c r="C82">
        <f xml:space="preserve"> SUMIFS(market_prices!$E:$E,market_prices!$B:$B,$A82,market_prices!$C:$C,C$1)</f>
        <v>90.67</v>
      </c>
      <c r="D82">
        <f xml:space="preserve"> SUMIFS(market_prices!$E:$E,market_prices!$B:$B,$A82,market_prices!$C:$C,D$1)</f>
        <v>78.81</v>
      </c>
      <c r="E82" s="6">
        <f t="shared" si="1"/>
        <v>-2.195389681668436E-3</v>
      </c>
      <c r="F82" s="6">
        <f>rates[[#This Row],[EUR/INR]]/C81-1</f>
        <v>-5.5158934288587202E-3</v>
      </c>
      <c r="G82" s="6">
        <f>rates[[#This Row],[WTI Crude]]/D81-1</f>
        <v>2.2709576953023669E-2</v>
      </c>
    </row>
    <row r="83" spans="1:7" x14ac:dyDescent="0.3">
      <c r="A83" s="1">
        <v>45132</v>
      </c>
      <c r="B83">
        <f xml:space="preserve"> SUMIFS(market_prices!$E:$E,market_prices!$B:$B,$A83,market_prices!$C:$C,B$1)</f>
        <v>81.87</v>
      </c>
      <c r="C83">
        <f xml:space="preserve"> SUMIFS(market_prices!$E:$E,market_prices!$B:$B,$A83,market_prices!$C:$C,C$1)</f>
        <v>90.466399999999993</v>
      </c>
      <c r="D83">
        <f xml:space="preserve"> SUMIFS(market_prices!$E:$E,market_prices!$B:$B,$A83,market_prices!$C:$C,D$1)</f>
        <v>79.760000000000005</v>
      </c>
      <c r="E83" s="6">
        <f t="shared" si="1"/>
        <v>7.3340667400079163E-4</v>
      </c>
      <c r="F83" s="6">
        <f>rates[[#This Row],[EUR/INR]]/C82-1</f>
        <v>-2.2455056799383089E-3</v>
      </c>
      <c r="G83" s="6">
        <f>rates[[#This Row],[WTI Crude]]/D82-1</f>
        <v>1.2054307828955668E-2</v>
      </c>
    </row>
    <row r="84" spans="1:7" x14ac:dyDescent="0.3">
      <c r="A84" s="1">
        <v>45133</v>
      </c>
      <c r="B84">
        <f xml:space="preserve"> SUMIFS(market_prices!$E:$E,market_prices!$B:$B,$A84,market_prices!$C:$C,B$1)</f>
        <v>81.99</v>
      </c>
      <c r="C84">
        <f xml:space="preserve"> SUMIFS(market_prices!$E:$E,market_prices!$B:$B,$A84,market_prices!$C:$C,C$1)</f>
        <v>90.828500000000005</v>
      </c>
      <c r="D84">
        <f xml:space="preserve"> SUMIFS(market_prices!$E:$E,market_prices!$B:$B,$A84,market_prices!$C:$C,D$1)</f>
        <v>79.11</v>
      </c>
      <c r="E84" s="6">
        <f t="shared" si="1"/>
        <v>1.4657383657015188E-3</v>
      </c>
      <c r="F84" s="6">
        <f>rates[[#This Row],[EUR/INR]]/C83-1</f>
        <v>4.0025910172176715E-3</v>
      </c>
      <c r="G84" s="6">
        <f>rates[[#This Row],[WTI Crude]]/D83-1</f>
        <v>-8.1494483450351707E-3</v>
      </c>
    </row>
    <row r="85" spans="1:7" x14ac:dyDescent="0.3">
      <c r="A85" s="1">
        <v>45134</v>
      </c>
      <c r="B85">
        <f xml:space="preserve"> SUMIFS(market_prices!$E:$E,market_prices!$B:$B,$A85,market_prices!$C:$C,B$1)</f>
        <v>82.15</v>
      </c>
      <c r="C85">
        <f xml:space="preserve"> SUMIFS(market_prices!$E:$E,market_prices!$B:$B,$A85,market_prices!$C:$C,C$1)</f>
        <v>90.348600000000005</v>
      </c>
      <c r="D85">
        <f xml:space="preserve"> SUMIFS(market_prices!$E:$E,market_prices!$B:$B,$A85,market_prices!$C:$C,D$1)</f>
        <v>80.17</v>
      </c>
      <c r="E85" s="6">
        <f t="shared" si="1"/>
        <v>1.9514574948165109E-3</v>
      </c>
      <c r="F85" s="6">
        <f>rates[[#This Row],[EUR/INR]]/C84-1</f>
        <v>-5.2835838971247995E-3</v>
      </c>
      <c r="G85" s="6">
        <f>rates[[#This Row],[WTI Crude]]/D84-1</f>
        <v>1.339906459360396E-2</v>
      </c>
    </row>
    <row r="86" spans="1:7" x14ac:dyDescent="0.3">
      <c r="A86" s="1">
        <v>45135</v>
      </c>
      <c r="B86">
        <f xml:space="preserve"> SUMIFS(market_prices!$E:$E,market_prices!$B:$B,$A86,market_prices!$C:$C,B$1)</f>
        <v>82.22</v>
      </c>
      <c r="C86">
        <f xml:space="preserve"> SUMIFS(market_prices!$E:$E,market_prices!$B:$B,$A86,market_prices!$C:$C,C$1)</f>
        <v>90.762699999999995</v>
      </c>
      <c r="D86">
        <f xml:space="preserve"> SUMIFS(market_prices!$E:$E,market_prices!$B:$B,$A86,market_prices!$C:$C,D$1)</f>
        <v>80.55</v>
      </c>
      <c r="E86" s="6">
        <f t="shared" si="1"/>
        <v>8.5209981740708152E-4</v>
      </c>
      <c r="F86" s="6">
        <f>rates[[#This Row],[EUR/INR]]/C85-1</f>
        <v>4.5833582368735026E-3</v>
      </c>
      <c r="G86" s="6">
        <f>rates[[#This Row],[WTI Crude]]/D85-1</f>
        <v>4.7399276537356538E-3</v>
      </c>
    </row>
    <row r="87" spans="1:7" x14ac:dyDescent="0.3">
      <c r="A87" s="1">
        <v>45138</v>
      </c>
      <c r="B87">
        <f xml:space="preserve"> SUMIFS(market_prices!$E:$E,market_prices!$B:$B,$A87,market_prices!$C:$C,B$1)</f>
        <v>82.24</v>
      </c>
      <c r="C87">
        <f xml:space="preserve"> SUMIFS(market_prices!$E:$E,market_prices!$B:$B,$A87,market_prices!$C:$C,C$1)</f>
        <v>90.628500000000003</v>
      </c>
      <c r="D87">
        <f xml:space="preserve"> SUMIFS(market_prices!$E:$E,market_prices!$B:$B,$A87,market_prices!$C:$C,D$1)</f>
        <v>81.8</v>
      </c>
      <c r="E87" s="6">
        <f t="shared" si="1"/>
        <v>2.4324981756262964E-4</v>
      </c>
      <c r="F87" s="6">
        <f>rates[[#This Row],[EUR/INR]]/C86-1</f>
        <v>-1.4785809589180632E-3</v>
      </c>
      <c r="G87" s="6">
        <f>rates[[#This Row],[WTI Crude]]/D86-1</f>
        <v>1.5518311607697122E-2</v>
      </c>
    </row>
    <row r="88" spans="1:7" x14ac:dyDescent="0.3">
      <c r="A88" s="1">
        <v>45139</v>
      </c>
      <c r="B88">
        <f xml:space="preserve"> SUMIFS(market_prices!$E:$E,market_prices!$B:$B,$A88,market_prices!$C:$C,B$1)</f>
        <v>82.25</v>
      </c>
      <c r="C88">
        <f xml:space="preserve"> SUMIFS(market_prices!$E:$E,market_prices!$B:$B,$A88,market_prices!$C:$C,C$1)</f>
        <v>90.236500000000007</v>
      </c>
      <c r="D88">
        <f xml:space="preserve"> SUMIFS(market_prices!$E:$E,market_prices!$B:$B,$A88,market_prices!$C:$C,D$1)</f>
        <v>81.37</v>
      </c>
      <c r="E88" s="6">
        <f t="shared" si="1"/>
        <v>1.215953307394102E-4</v>
      </c>
      <c r="F88" s="6">
        <f>rates[[#This Row],[EUR/INR]]/C87-1</f>
        <v>-4.3253501933717686E-3</v>
      </c>
      <c r="G88" s="6">
        <f>rates[[#This Row],[WTI Crude]]/D87-1</f>
        <v>-5.2567237163813063E-3</v>
      </c>
    </row>
    <row r="89" spans="1:7" x14ac:dyDescent="0.3">
      <c r="A89" s="1">
        <v>45140</v>
      </c>
      <c r="B89">
        <f xml:space="preserve"> SUMIFS(market_prices!$E:$E,market_prices!$B:$B,$A89,market_prices!$C:$C,B$1)</f>
        <v>82.58</v>
      </c>
      <c r="C89">
        <f xml:space="preserve"> SUMIFS(market_prices!$E:$E,market_prices!$B:$B,$A89,market_prices!$C:$C,C$1)</f>
        <v>90.334299999999999</v>
      </c>
      <c r="D89">
        <f xml:space="preserve"> SUMIFS(market_prices!$E:$E,market_prices!$B:$B,$A89,market_prices!$C:$C,D$1)</f>
        <v>79.5</v>
      </c>
      <c r="E89" s="6">
        <f t="shared" si="1"/>
        <v>4.0121580547112234E-3</v>
      </c>
      <c r="F89" s="6">
        <f>rates[[#This Row],[EUR/INR]]/C88-1</f>
        <v>1.0838186321497911E-3</v>
      </c>
      <c r="G89" s="6">
        <f>rates[[#This Row],[WTI Crude]]/D88-1</f>
        <v>-2.2981442792183948E-2</v>
      </c>
    </row>
    <row r="90" spans="1:7" x14ac:dyDescent="0.3">
      <c r="A90" s="1">
        <v>45141</v>
      </c>
      <c r="B90">
        <f xml:space="preserve"> SUMIFS(market_prices!$E:$E,market_prices!$B:$B,$A90,market_prices!$C:$C,B$1)</f>
        <v>82.74</v>
      </c>
      <c r="C90">
        <f xml:space="preserve"> SUMIFS(market_prices!$E:$E,market_prices!$B:$B,$A90,market_prices!$C:$C,C$1)</f>
        <v>90.575500000000005</v>
      </c>
      <c r="D90">
        <f xml:space="preserve"> SUMIFS(market_prices!$E:$E,market_prices!$B:$B,$A90,market_prices!$C:$C,D$1)</f>
        <v>81.56</v>
      </c>
      <c r="E90" s="6">
        <f t="shared" si="1"/>
        <v>1.9375151368370425E-3</v>
      </c>
      <c r="F90" s="6">
        <f>rates[[#This Row],[EUR/INR]]/C89-1</f>
        <v>2.6700821282725773E-3</v>
      </c>
      <c r="G90" s="6">
        <f>rates[[#This Row],[WTI Crude]]/D89-1</f>
        <v>2.5911949685534674E-2</v>
      </c>
    </row>
    <row r="91" spans="1:7" x14ac:dyDescent="0.3">
      <c r="A91" s="1">
        <v>45142</v>
      </c>
      <c r="B91">
        <f xml:space="preserve"> SUMIFS(market_prices!$E:$E,market_prices!$B:$B,$A91,market_prices!$C:$C,B$1)</f>
        <v>82.83</v>
      </c>
      <c r="C91">
        <f xml:space="preserve"> SUMIFS(market_prices!$E:$E,market_prices!$B:$B,$A91,market_prices!$C:$C,C$1)</f>
        <v>91.411199999999994</v>
      </c>
      <c r="D91">
        <f xml:space="preserve"> SUMIFS(market_prices!$E:$E,market_prices!$B:$B,$A91,market_prices!$C:$C,D$1)</f>
        <v>82.76</v>
      </c>
      <c r="E91" s="6">
        <f t="shared" si="1"/>
        <v>1.0877447425670095E-3</v>
      </c>
      <c r="F91" s="6">
        <f>rates[[#This Row],[EUR/INR]]/C90-1</f>
        <v>9.226556850362222E-3</v>
      </c>
      <c r="G91" s="6">
        <f>rates[[#This Row],[WTI Crude]]/D90-1</f>
        <v>1.471309465424242E-2</v>
      </c>
    </row>
    <row r="92" spans="1:7" x14ac:dyDescent="0.3">
      <c r="A92" s="1">
        <v>45145</v>
      </c>
      <c r="B92">
        <f xml:space="preserve"> SUMIFS(market_prices!$E:$E,market_prices!$B:$B,$A92,market_prices!$C:$C,B$1)</f>
        <v>82.75</v>
      </c>
      <c r="C92">
        <f xml:space="preserve"> SUMIFS(market_prices!$E:$E,market_prices!$B:$B,$A92,market_prices!$C:$C,C$1)</f>
        <v>91.025000000000006</v>
      </c>
      <c r="D92">
        <f xml:space="preserve"> SUMIFS(market_prices!$E:$E,market_prices!$B:$B,$A92,market_prices!$C:$C,D$1)</f>
        <v>81.94</v>
      </c>
      <c r="E92" s="6">
        <f t="shared" si="1"/>
        <v>-9.6583363515634346E-4</v>
      </c>
      <c r="F92" s="6">
        <f>rates[[#This Row],[EUR/INR]]/C91-1</f>
        <v>-4.2248652243924711E-3</v>
      </c>
      <c r="G92" s="6">
        <f>rates[[#This Row],[WTI Crude]]/D91-1</f>
        <v>-9.9081681971967539E-3</v>
      </c>
    </row>
    <row r="93" spans="1:7" x14ac:dyDescent="0.3">
      <c r="A93" s="1">
        <v>45146</v>
      </c>
      <c r="B93">
        <f xml:space="preserve"> SUMIFS(market_prices!$E:$E,market_prices!$B:$B,$A93,market_prices!$C:$C,B$1)</f>
        <v>82.85</v>
      </c>
      <c r="C93">
        <f xml:space="preserve"> SUMIFS(market_prices!$E:$E,market_prices!$B:$B,$A93,market_prices!$C:$C,C$1)</f>
        <v>90.728999999999999</v>
      </c>
      <c r="D93">
        <f xml:space="preserve"> SUMIFS(market_prices!$E:$E,market_prices!$B:$B,$A93,market_prices!$C:$C,D$1)</f>
        <v>82.94</v>
      </c>
      <c r="E93" s="6">
        <f t="shared" si="1"/>
        <v>1.2084592145014117E-3</v>
      </c>
      <c r="F93" s="6">
        <f>rates[[#This Row],[EUR/INR]]/C92-1</f>
        <v>-3.2518538862950086E-3</v>
      </c>
      <c r="G93" s="6">
        <f>rates[[#This Row],[WTI Crude]]/D92-1</f>
        <v>1.2204051745179356E-2</v>
      </c>
    </row>
    <row r="94" spans="1:7" x14ac:dyDescent="0.3">
      <c r="A94" s="1">
        <v>45147</v>
      </c>
      <c r="B94">
        <f xml:space="preserve"> SUMIFS(market_prices!$E:$E,market_prices!$B:$B,$A94,market_prices!$C:$C,B$1)</f>
        <v>82.84</v>
      </c>
      <c r="C94">
        <f xml:space="preserve"> SUMIFS(market_prices!$E:$E,market_prices!$B:$B,$A94,market_prices!$C:$C,C$1)</f>
        <v>90.916899999999998</v>
      </c>
      <c r="D94">
        <f xml:space="preserve"> SUMIFS(market_prices!$E:$E,market_prices!$B:$B,$A94,market_prices!$C:$C,D$1)</f>
        <v>84.35</v>
      </c>
      <c r="E94" s="6">
        <f t="shared" si="1"/>
        <v>-1.2070006034992087E-4</v>
      </c>
      <c r="F94" s="6">
        <f>rates[[#This Row],[EUR/INR]]/C93-1</f>
        <v>2.0710026562620332E-3</v>
      </c>
      <c r="G94" s="6">
        <f>rates[[#This Row],[WTI Crude]]/D93-1</f>
        <v>1.7000241138172223E-2</v>
      </c>
    </row>
    <row r="95" spans="1:7" x14ac:dyDescent="0.3">
      <c r="A95" s="1">
        <v>45148</v>
      </c>
      <c r="B95">
        <f xml:space="preserve"> SUMIFS(market_prices!$E:$E,market_prices!$B:$B,$A95,market_prices!$C:$C,B$1)</f>
        <v>82.69</v>
      </c>
      <c r="C95">
        <f xml:space="preserve"> SUMIFS(market_prices!$E:$E,market_prices!$B:$B,$A95,market_prices!$C:$C,C$1)</f>
        <v>91.091300000000004</v>
      </c>
      <c r="D95">
        <f xml:space="preserve"> SUMIFS(market_prices!$E:$E,market_prices!$B:$B,$A95,market_prices!$C:$C,D$1)</f>
        <v>82.81</v>
      </c>
      <c r="E95" s="6">
        <f t="shared" si="1"/>
        <v>-1.8107194591985287E-3</v>
      </c>
      <c r="F95" s="6">
        <f>rates[[#This Row],[EUR/INR]]/C94-1</f>
        <v>1.9182352235942446E-3</v>
      </c>
      <c r="G95" s="6">
        <f>rates[[#This Row],[WTI Crude]]/D94-1</f>
        <v>-1.8257261410788317E-2</v>
      </c>
    </row>
    <row r="96" spans="1:7" x14ac:dyDescent="0.3">
      <c r="A96" s="1">
        <v>45149</v>
      </c>
      <c r="B96">
        <f xml:space="preserve"> SUMIFS(market_prices!$E:$E,market_prices!$B:$B,$A96,market_prices!$C:$C,B$1)</f>
        <v>82.87</v>
      </c>
      <c r="C96">
        <f xml:space="preserve"> SUMIFS(market_prices!$E:$E,market_prices!$B:$B,$A96,market_prices!$C:$C,C$1)</f>
        <v>90.800700000000006</v>
      </c>
      <c r="D96">
        <f xml:space="preserve"> SUMIFS(market_prices!$E:$E,market_prices!$B:$B,$A96,market_prices!$C:$C,D$1)</f>
        <v>83.17</v>
      </c>
      <c r="E96" s="6">
        <f t="shared" si="1"/>
        <v>2.1768049340913365E-3</v>
      </c>
      <c r="F96" s="6">
        <f>rates[[#This Row],[EUR/INR]]/C95-1</f>
        <v>-3.1902058703739966E-3</v>
      </c>
      <c r="G96" s="6">
        <f>rates[[#This Row],[WTI Crude]]/D95-1</f>
        <v>4.3473010505976628E-3</v>
      </c>
    </row>
    <row r="97" spans="1:7" x14ac:dyDescent="0.3">
      <c r="A97" s="1">
        <v>45152</v>
      </c>
      <c r="B97">
        <f xml:space="preserve"> SUMIFS(market_prices!$E:$E,market_prices!$B:$B,$A97,market_prices!$C:$C,B$1)</f>
        <v>83.17</v>
      </c>
      <c r="C97">
        <f xml:space="preserve"> SUMIFS(market_prices!$E:$E,market_prices!$B:$B,$A97,market_prices!$C:$C,C$1)</f>
        <v>90.838300000000004</v>
      </c>
      <c r="D97">
        <f xml:space="preserve"> SUMIFS(market_prices!$E:$E,market_prices!$B:$B,$A97,market_prices!$C:$C,D$1)</f>
        <v>82.5</v>
      </c>
      <c r="E97" s="6">
        <f t="shared" si="1"/>
        <v>3.6201279111862661E-3</v>
      </c>
      <c r="F97" s="6">
        <f>rates[[#This Row],[EUR/INR]]/C96-1</f>
        <v>4.140937239469622E-4</v>
      </c>
      <c r="G97" s="6">
        <f>rates[[#This Row],[WTI Crude]]/D96-1</f>
        <v>-8.0557893471203679E-3</v>
      </c>
    </row>
    <row r="98" spans="1:7" x14ac:dyDescent="0.3">
      <c r="A98" s="1">
        <v>45153</v>
      </c>
      <c r="B98">
        <f xml:space="preserve"> SUMIFS(market_prices!$E:$E,market_prices!$B:$B,$A98,market_prices!$C:$C,B$1)</f>
        <v>82.94</v>
      </c>
      <c r="C98">
        <f xml:space="preserve"> SUMIFS(market_prices!$E:$E,market_prices!$B:$B,$A98,market_prices!$C:$C,C$1)</f>
        <v>90.636799999999994</v>
      </c>
      <c r="D98">
        <f xml:space="preserve"> SUMIFS(market_prices!$E:$E,market_prices!$B:$B,$A98,market_prices!$C:$C,D$1)</f>
        <v>81.06</v>
      </c>
      <c r="E98" s="6">
        <f t="shared" si="1"/>
        <v>-2.7654202236383485E-3</v>
      </c>
      <c r="F98" s="6">
        <f>rates[[#This Row],[EUR/INR]]/C97-1</f>
        <v>-2.218227333624756E-3</v>
      </c>
      <c r="G98" s="6">
        <f>rates[[#This Row],[WTI Crude]]/D97-1</f>
        <v>-1.7454545454545389E-2</v>
      </c>
    </row>
    <row r="99" spans="1:7" x14ac:dyDescent="0.3">
      <c r="A99" s="1">
        <v>45154</v>
      </c>
      <c r="B99">
        <f xml:space="preserve"> SUMIFS(market_prices!$E:$E,market_prices!$B:$B,$A99,market_prices!$C:$C,B$1)</f>
        <v>83.19</v>
      </c>
      <c r="C99">
        <f xml:space="preserve"> SUMIFS(market_prices!$E:$E,market_prices!$B:$B,$A99,market_prices!$C:$C,C$1)</f>
        <v>90.710400000000007</v>
      </c>
      <c r="D99">
        <f xml:space="preserve"> SUMIFS(market_prices!$E:$E,market_prices!$B:$B,$A99,market_prices!$C:$C,D$1)</f>
        <v>79.400000000000006</v>
      </c>
      <c r="E99" s="6">
        <f t="shared" si="1"/>
        <v>3.0142271521582664E-3</v>
      </c>
      <c r="F99" s="6">
        <f>rates[[#This Row],[EUR/INR]]/C98-1</f>
        <v>8.1203219884207201E-4</v>
      </c>
      <c r="G99" s="6">
        <f>rates[[#This Row],[WTI Crude]]/D98-1</f>
        <v>-2.0478657784357202E-2</v>
      </c>
    </row>
    <row r="100" spans="1:7" x14ac:dyDescent="0.3">
      <c r="A100" s="1">
        <v>45155</v>
      </c>
      <c r="B100">
        <f xml:space="preserve"> SUMIFS(market_prices!$E:$E,market_prices!$B:$B,$A100,market_prices!$C:$C,B$1)</f>
        <v>83.09</v>
      </c>
      <c r="C100">
        <f xml:space="preserve"> SUMIFS(market_prices!$E:$E,market_prices!$B:$B,$A100,market_prices!$C:$C,C$1)</f>
        <v>90.352099999999993</v>
      </c>
      <c r="D100">
        <f xml:space="preserve"> SUMIFS(market_prices!$E:$E,market_prices!$B:$B,$A100,market_prices!$C:$C,D$1)</f>
        <v>80.430000000000007</v>
      </c>
      <c r="E100" s="6">
        <f t="shared" si="1"/>
        <v>-1.2020675561965621E-3</v>
      </c>
      <c r="F100" s="6">
        <f>rates[[#This Row],[EUR/INR]]/C99-1</f>
        <v>-3.9499329735070976E-3</v>
      </c>
      <c r="G100" s="6">
        <f>rates[[#This Row],[WTI Crude]]/D99-1</f>
        <v>1.2972292191435697E-2</v>
      </c>
    </row>
    <row r="101" spans="1:7" x14ac:dyDescent="0.3">
      <c r="A101" s="1">
        <v>45156</v>
      </c>
      <c r="B101">
        <f xml:space="preserve"> SUMIFS(market_prices!$E:$E,market_prices!$B:$B,$A101,market_prices!$C:$C,B$1)</f>
        <v>83.14</v>
      </c>
      <c r="C101">
        <f xml:space="preserve"> SUMIFS(market_prices!$E:$E,market_prices!$B:$B,$A101,market_prices!$C:$C,C$1)</f>
        <v>90.4148</v>
      </c>
      <c r="D101">
        <f xml:space="preserve"> SUMIFS(market_prices!$E:$E,market_prices!$B:$B,$A101,market_prices!$C:$C,D$1)</f>
        <v>81.25</v>
      </c>
      <c r="E101" s="6">
        <f t="shared" si="1"/>
        <v>6.0175713082188942E-4</v>
      </c>
      <c r="F101" s="6">
        <f>rates[[#This Row],[EUR/INR]]/C100-1</f>
        <v>6.9395177311881717E-4</v>
      </c>
      <c r="G101" s="6">
        <f>rates[[#This Row],[WTI Crude]]/D100-1</f>
        <v>1.0195200795722892E-2</v>
      </c>
    </row>
    <row r="102" spans="1:7" x14ac:dyDescent="0.3">
      <c r="A102" s="1">
        <v>45159</v>
      </c>
      <c r="B102">
        <f xml:space="preserve"> SUMIFS(market_prices!$E:$E,market_prices!$B:$B,$A102,market_prices!$C:$C,B$1)</f>
        <v>83.1</v>
      </c>
      <c r="C102">
        <f xml:space="preserve"> SUMIFS(market_prices!$E:$E,market_prices!$B:$B,$A102,market_prices!$C:$C,C$1)</f>
        <v>90.479299999999995</v>
      </c>
      <c r="D102">
        <f xml:space="preserve"> SUMIFS(market_prices!$E:$E,market_prices!$B:$B,$A102,market_prices!$C:$C,D$1)</f>
        <v>80.709999999999994</v>
      </c>
      <c r="E102" s="6">
        <f t="shared" si="1"/>
        <v>-4.8111618955981594E-4</v>
      </c>
      <c r="F102" s="6">
        <f>rates[[#This Row],[EUR/INR]]/C101-1</f>
        <v>7.1337878311950043E-4</v>
      </c>
      <c r="G102" s="6">
        <f>rates[[#This Row],[WTI Crude]]/D101-1</f>
        <v>-6.6461538461539682E-3</v>
      </c>
    </row>
    <row r="103" spans="1:7" x14ac:dyDescent="0.3">
      <c r="A103" s="1">
        <v>45160</v>
      </c>
      <c r="B103">
        <f xml:space="preserve"> SUMIFS(market_prices!$E:$E,market_prices!$B:$B,$A103,market_prices!$C:$C,B$1)</f>
        <v>82.94</v>
      </c>
      <c r="C103">
        <f xml:space="preserve"> SUMIFS(market_prices!$E:$E,market_prices!$B:$B,$A103,market_prices!$C:$C,C$1)</f>
        <v>89.956699999999998</v>
      </c>
      <c r="D103">
        <f xml:space="preserve"> SUMIFS(market_prices!$E:$E,market_prices!$B:$B,$A103,market_prices!$C:$C,D$1)</f>
        <v>80.25</v>
      </c>
      <c r="E103" s="6">
        <f t="shared" si="1"/>
        <v>-1.9253910950661757E-3</v>
      </c>
      <c r="F103" s="6">
        <f>rates[[#This Row],[EUR/INR]]/C102-1</f>
        <v>-5.7759067543625697E-3</v>
      </c>
      <c r="G103" s="6">
        <f>rates[[#This Row],[WTI Crude]]/D102-1</f>
        <v>-5.6994176681947062E-3</v>
      </c>
    </row>
    <row r="104" spans="1:7" x14ac:dyDescent="0.3">
      <c r="A104" s="1">
        <v>45161</v>
      </c>
      <c r="B104">
        <f xml:space="preserve"> SUMIFS(market_prices!$E:$E,market_prices!$B:$B,$A104,market_prices!$C:$C,B$1)</f>
        <v>82.69</v>
      </c>
      <c r="C104">
        <f xml:space="preserve"> SUMIFS(market_prices!$E:$E,market_prices!$B:$B,$A104,market_prices!$C:$C,C$1)</f>
        <v>89.817899999999995</v>
      </c>
      <c r="D104">
        <f xml:space="preserve"> SUMIFS(market_prices!$E:$E,market_prices!$B:$B,$A104,market_prices!$C:$C,D$1)</f>
        <v>78.91</v>
      </c>
      <c r="E104" s="6">
        <f t="shared" si="1"/>
        <v>-3.0142271521581554E-3</v>
      </c>
      <c r="F104" s="6">
        <f>rates[[#This Row],[EUR/INR]]/C103-1</f>
        <v>-1.5429645596158892E-3</v>
      </c>
      <c r="G104" s="6">
        <f>rates[[#This Row],[WTI Crude]]/D103-1</f>
        <v>-1.669781931464176E-2</v>
      </c>
    </row>
    <row r="105" spans="1:7" x14ac:dyDescent="0.3">
      <c r="A105" s="1">
        <v>45162</v>
      </c>
      <c r="B105">
        <f xml:space="preserve"> SUMIFS(market_prices!$E:$E,market_prices!$B:$B,$A105,market_prices!$C:$C,B$1)</f>
        <v>82.57</v>
      </c>
      <c r="C105">
        <f xml:space="preserve"> SUMIFS(market_prices!$E:$E,market_prices!$B:$B,$A105,market_prices!$C:$C,C$1)</f>
        <v>89.390299999999996</v>
      </c>
      <c r="D105">
        <f xml:space="preserve"> SUMIFS(market_prices!$E:$E,market_prices!$B:$B,$A105,market_prices!$C:$C,D$1)</f>
        <v>79.52</v>
      </c>
      <c r="E105" s="6">
        <f t="shared" si="1"/>
        <v>-1.4512032893941873E-3</v>
      </c>
      <c r="F105" s="6">
        <f>rates[[#This Row],[EUR/INR]]/C104-1</f>
        <v>-4.7607436824953497E-3</v>
      </c>
      <c r="G105" s="6">
        <f>rates[[#This Row],[WTI Crude]]/D104-1</f>
        <v>7.7303256874921011E-3</v>
      </c>
    </row>
    <row r="106" spans="1:7" x14ac:dyDescent="0.3">
      <c r="A106" s="1">
        <v>45163</v>
      </c>
      <c r="B106">
        <f xml:space="preserve"> SUMIFS(market_prices!$E:$E,market_prices!$B:$B,$A106,market_prices!$C:$C,B$1)</f>
        <v>82.64</v>
      </c>
      <c r="C106">
        <f xml:space="preserve"> SUMIFS(market_prices!$E:$E,market_prices!$B:$B,$A106,market_prices!$C:$C,C$1)</f>
        <v>89.143799999999999</v>
      </c>
      <c r="D106">
        <f xml:space="preserve"> SUMIFS(market_prices!$E:$E,market_prices!$B:$B,$A106,market_prices!$C:$C,D$1)</f>
        <v>80.47</v>
      </c>
      <c r="E106" s="6">
        <f t="shared" si="1"/>
        <v>8.4776553227583484E-4</v>
      </c>
      <c r="F106" s="6">
        <f>rates[[#This Row],[EUR/INR]]/C105-1</f>
        <v>-2.7575698929301895E-3</v>
      </c>
      <c r="G106" s="6">
        <f>rates[[#This Row],[WTI Crude]]/D105-1</f>
        <v>1.194668008048283E-2</v>
      </c>
    </row>
    <row r="107" spans="1:7" x14ac:dyDescent="0.3">
      <c r="A107" s="1">
        <v>45166</v>
      </c>
      <c r="B107">
        <f xml:space="preserve"> SUMIFS(market_prices!$E:$E,market_prices!$B:$B,$A107,market_prices!$C:$C,B$1)</f>
        <v>82.6</v>
      </c>
      <c r="C107">
        <f xml:space="preserve"> SUMIFS(market_prices!$E:$E,market_prices!$B:$B,$A107,market_prices!$C:$C,C$1)</f>
        <v>89.290599999999998</v>
      </c>
      <c r="D107">
        <f xml:space="preserve"> SUMIFS(market_prices!$E:$E,market_prices!$B:$B,$A107,market_prices!$C:$C,D$1)</f>
        <v>80.650000000000006</v>
      </c>
      <c r="E107" s="6">
        <f t="shared" si="1"/>
        <v>-4.8402710551798123E-4</v>
      </c>
      <c r="F107" s="6">
        <f>rates[[#This Row],[EUR/INR]]/C106-1</f>
        <v>1.6467774539563607E-3</v>
      </c>
      <c r="G107" s="6">
        <f>rates[[#This Row],[WTI Crude]]/D106-1</f>
        <v>2.2368584565677363E-3</v>
      </c>
    </row>
    <row r="108" spans="1:7" x14ac:dyDescent="0.3">
      <c r="A108" s="1">
        <v>45167</v>
      </c>
      <c r="B108">
        <f xml:space="preserve"> SUMIFS(market_prices!$E:$E,market_prices!$B:$B,$A108,market_prices!$C:$C,B$1)</f>
        <v>82.7</v>
      </c>
      <c r="C108">
        <f xml:space="preserve"> SUMIFS(market_prices!$E:$E,market_prices!$B:$B,$A108,market_prices!$C:$C,C$1)</f>
        <v>89.737799999999993</v>
      </c>
      <c r="D108">
        <f xml:space="preserve"> SUMIFS(market_prices!$E:$E,market_prices!$B:$B,$A108,market_prices!$C:$C,D$1)</f>
        <v>81.14</v>
      </c>
      <c r="E108" s="6">
        <f t="shared" si="1"/>
        <v>1.210653753026758E-3</v>
      </c>
      <c r="F108" s="6">
        <f>rates[[#This Row],[EUR/INR]]/C107-1</f>
        <v>5.0083659422155424E-3</v>
      </c>
      <c r="G108" s="6">
        <f>rates[[#This Row],[WTI Crude]]/D107-1</f>
        <v>6.0756354618722863E-3</v>
      </c>
    </row>
    <row r="109" spans="1:7" x14ac:dyDescent="0.3">
      <c r="A109" s="1">
        <v>45168</v>
      </c>
      <c r="B109">
        <f xml:space="preserve"> SUMIFS(market_prices!$E:$E,market_prices!$B:$B,$A109,market_prices!$C:$C,B$1)</f>
        <v>82.73</v>
      </c>
      <c r="C109">
        <f xml:space="preserve"> SUMIFS(market_prices!$E:$E,market_prices!$B:$B,$A109,market_prices!$C:$C,C$1)</f>
        <v>90.390799999999999</v>
      </c>
      <c r="D109">
        <f xml:space="preserve"> SUMIFS(market_prices!$E:$E,market_prices!$B:$B,$A109,market_prices!$C:$C,D$1)</f>
        <v>81.64</v>
      </c>
      <c r="E109" s="6">
        <f t="shared" si="1"/>
        <v>3.6275695284171405E-4</v>
      </c>
      <c r="F109" s="6">
        <f>rates[[#This Row],[EUR/INR]]/C108-1</f>
        <v>7.2767551689478793E-3</v>
      </c>
      <c r="G109" s="6">
        <f>rates[[#This Row],[WTI Crude]]/D108-1</f>
        <v>6.1621888094651744E-3</v>
      </c>
    </row>
    <row r="110" spans="1:7" x14ac:dyDescent="0.3">
      <c r="A110" s="1">
        <v>45169</v>
      </c>
      <c r="B110">
        <f xml:space="preserve"> SUMIFS(market_prices!$E:$E,market_prices!$B:$B,$A110,market_prices!$C:$C,B$1)</f>
        <v>82.78</v>
      </c>
      <c r="C110">
        <f xml:space="preserve"> SUMIFS(market_prices!$E:$E,market_prices!$B:$B,$A110,market_prices!$C:$C,C$1)</f>
        <v>89.725200000000001</v>
      </c>
      <c r="D110">
        <f xml:space="preserve"> SUMIFS(market_prices!$E:$E,market_prices!$B:$B,$A110,market_prices!$C:$C,D$1)</f>
        <v>83.55</v>
      </c>
      <c r="E110" s="6">
        <f t="shared" si="1"/>
        <v>6.0437567992255303E-4</v>
      </c>
      <c r="F110" s="6">
        <f>rates[[#This Row],[EUR/INR]]/C109-1</f>
        <v>-7.3635812494191599E-3</v>
      </c>
      <c r="G110" s="6">
        <f>rates[[#This Row],[WTI Crude]]/D109-1</f>
        <v>2.3395394414502668E-2</v>
      </c>
    </row>
    <row r="111" spans="1:7" x14ac:dyDescent="0.3">
      <c r="A111" s="1">
        <v>45170</v>
      </c>
      <c r="B111">
        <f xml:space="preserve"> SUMIFS(market_prices!$E:$E,market_prices!$B:$B,$A111,market_prices!$C:$C,B$1)</f>
        <v>82.69</v>
      </c>
      <c r="C111">
        <f xml:space="preserve"> SUMIFS(market_prices!$E:$E,market_prices!$B:$B,$A111,market_prices!$C:$C,C$1)</f>
        <v>89.197699999999998</v>
      </c>
      <c r="D111">
        <f xml:space="preserve"> SUMIFS(market_prices!$E:$E,market_prices!$B:$B,$A111,market_prices!$C:$C,D$1)</f>
        <v>85.52</v>
      </c>
      <c r="E111" s="6">
        <f t="shared" si="1"/>
        <v>-1.0872191350568272E-3</v>
      </c>
      <c r="F111" s="6">
        <f>rates[[#This Row],[EUR/INR]]/C110-1</f>
        <v>-5.8790618466161293E-3</v>
      </c>
      <c r="G111" s="6">
        <f>rates[[#This Row],[WTI Crude]]/D110-1</f>
        <v>2.3578695391980764E-2</v>
      </c>
    </row>
    <row r="112" spans="1:7" x14ac:dyDescent="0.3">
      <c r="A112" s="1">
        <v>45173</v>
      </c>
      <c r="B112">
        <f xml:space="preserve"> SUMIFS(market_prices!$E:$E,market_prices!$B:$B,$A112,market_prices!$C:$C,B$1)</f>
        <v>82.69</v>
      </c>
      <c r="C112">
        <f xml:space="preserve"> SUMIFS(market_prices!$E:$E,market_prices!$B:$B,$A112,market_prices!$C:$C,C$1)</f>
        <v>89.197699999999998</v>
      </c>
      <c r="D112">
        <f xml:space="preserve"> SUMIFS(market_prices!$E:$E,market_prices!$B:$B,$A112,market_prices!$C:$C,D$1)</f>
        <v>85.52</v>
      </c>
      <c r="E112" s="6">
        <f t="shared" si="1"/>
        <v>0</v>
      </c>
      <c r="F112" s="6">
        <f>rates[[#This Row],[EUR/INR]]/C111-1</f>
        <v>0</v>
      </c>
      <c r="G112" s="6">
        <f>rates[[#This Row],[WTI Crude]]/D111-1</f>
        <v>0</v>
      </c>
    </row>
    <row r="113" spans="1:7" x14ac:dyDescent="0.3">
      <c r="A113" s="1">
        <v>45174</v>
      </c>
      <c r="B113">
        <f xml:space="preserve"> SUMIFS(market_prices!$E:$E,market_prices!$B:$B,$A113,market_prices!$C:$C,B$1)</f>
        <v>83.03</v>
      </c>
      <c r="C113">
        <f xml:space="preserve"> SUMIFS(market_prices!$E:$E,market_prices!$B:$B,$A113,market_prices!$C:$C,C$1)</f>
        <v>89.066299999999998</v>
      </c>
      <c r="D113">
        <f xml:space="preserve"> SUMIFS(market_prices!$E:$E,market_prices!$B:$B,$A113,market_prices!$C:$C,D$1)</f>
        <v>86.74</v>
      </c>
      <c r="E113" s="6">
        <f t="shared" si="1"/>
        <v>4.1117426532832901E-3</v>
      </c>
      <c r="F113" s="6">
        <f>rates[[#This Row],[EUR/INR]]/C112-1</f>
        <v>-1.4731321547528653E-3</v>
      </c>
      <c r="G113" s="6">
        <f>rates[[#This Row],[WTI Crude]]/D112-1</f>
        <v>1.4265668849391844E-2</v>
      </c>
    </row>
    <row r="114" spans="1:7" x14ac:dyDescent="0.3">
      <c r="A114" s="1">
        <v>45175</v>
      </c>
      <c r="B114">
        <f xml:space="preserve"> SUMIFS(market_prices!$E:$E,market_prices!$B:$B,$A114,market_prices!$C:$C,B$1)</f>
        <v>83.14</v>
      </c>
      <c r="C114">
        <f xml:space="preserve"> SUMIFS(market_prices!$E:$E,market_prices!$B:$B,$A114,market_prices!$C:$C,C$1)</f>
        <v>89.0762</v>
      </c>
      <c r="D114">
        <f xml:space="preserve"> SUMIFS(market_prices!$E:$E,market_prices!$B:$B,$A114,market_prices!$C:$C,D$1)</f>
        <v>87.55</v>
      </c>
      <c r="E114" s="6">
        <f t="shared" si="1"/>
        <v>1.3248223533661729E-3</v>
      </c>
      <c r="F114" s="6">
        <f>rates[[#This Row],[EUR/INR]]/C113-1</f>
        <v>1.1115315220244781E-4</v>
      </c>
      <c r="G114" s="6">
        <f>rates[[#This Row],[WTI Crude]]/D113-1</f>
        <v>9.3382522480978114E-3</v>
      </c>
    </row>
    <row r="115" spans="1:7" x14ac:dyDescent="0.3">
      <c r="A115" s="1">
        <v>45176</v>
      </c>
      <c r="B115">
        <f xml:space="preserve"> SUMIFS(market_prices!$E:$E,market_prices!$B:$B,$A115,market_prices!$C:$C,B$1)</f>
        <v>83.21</v>
      </c>
      <c r="C115">
        <f xml:space="preserve"> SUMIFS(market_prices!$E:$E,market_prices!$B:$B,$A115,market_prices!$C:$C,C$1)</f>
        <v>89.067999999999998</v>
      </c>
      <c r="D115">
        <f xml:space="preserve"> SUMIFS(market_prices!$E:$E,market_prices!$B:$B,$A115,market_prices!$C:$C,D$1)</f>
        <v>86.87</v>
      </c>
      <c r="E115" s="6">
        <f t="shared" si="1"/>
        <v>8.419533317294281E-4</v>
      </c>
      <c r="F115" s="6">
        <f>rates[[#This Row],[EUR/INR]]/C114-1</f>
        <v>-9.2056014962538235E-5</v>
      </c>
      <c r="G115" s="6">
        <f>rates[[#This Row],[WTI Crude]]/D114-1</f>
        <v>-7.7669902912620437E-3</v>
      </c>
    </row>
    <row r="116" spans="1:7" x14ac:dyDescent="0.3">
      <c r="A116" s="1">
        <v>45177</v>
      </c>
      <c r="B116">
        <f xml:space="preserve"> SUMIFS(market_prices!$E:$E,market_prices!$B:$B,$A116,market_prices!$C:$C,B$1)</f>
        <v>82.93</v>
      </c>
      <c r="C116">
        <f xml:space="preserve"> SUMIFS(market_prices!$E:$E,market_prices!$B:$B,$A116,market_prices!$C:$C,C$1)</f>
        <v>88.809700000000007</v>
      </c>
      <c r="D116">
        <f xml:space="preserve"> SUMIFS(market_prices!$E:$E,market_prices!$B:$B,$A116,market_prices!$C:$C,D$1)</f>
        <v>87.51</v>
      </c>
      <c r="E116" s="6">
        <f t="shared" si="1"/>
        <v>-3.364980170652454E-3</v>
      </c>
      <c r="F116" s="6">
        <f>rates[[#This Row],[EUR/INR]]/C115-1</f>
        <v>-2.9000314366550706E-3</v>
      </c>
      <c r="G116" s="6">
        <f>rates[[#This Row],[WTI Crude]]/D115-1</f>
        <v>7.3673304938413064E-3</v>
      </c>
    </row>
    <row r="117" spans="1:7" x14ac:dyDescent="0.3">
      <c r="A117" s="1">
        <v>45180</v>
      </c>
      <c r="B117">
        <f xml:space="preserve"> SUMIFS(market_prices!$E:$E,market_prices!$B:$B,$A117,market_prices!$C:$C,B$1)</f>
        <v>83.03</v>
      </c>
      <c r="C117">
        <f xml:space="preserve"> SUMIFS(market_prices!$E:$E,market_prices!$B:$B,$A117,market_prices!$C:$C,C$1)</f>
        <v>89.207400000000007</v>
      </c>
      <c r="D117">
        <f xml:space="preserve"> SUMIFS(market_prices!$E:$E,market_prices!$B:$B,$A117,market_prices!$C:$C,D$1)</f>
        <v>87.3</v>
      </c>
      <c r="E117" s="6">
        <f t="shared" si="1"/>
        <v>1.2058362474374196E-3</v>
      </c>
      <c r="F117" s="6">
        <f>rates[[#This Row],[EUR/INR]]/C116-1</f>
        <v>4.4781144402019635E-3</v>
      </c>
      <c r="G117" s="6">
        <f>rates[[#This Row],[WTI Crude]]/D116-1</f>
        <v>-2.3997257456291887E-3</v>
      </c>
    </row>
    <row r="118" spans="1:7" x14ac:dyDescent="0.3">
      <c r="A118" s="1">
        <v>45181</v>
      </c>
      <c r="B118">
        <f xml:space="preserve"> SUMIFS(market_prices!$E:$E,market_prices!$B:$B,$A118,market_prices!$C:$C,B$1)</f>
        <v>82.86</v>
      </c>
      <c r="C118">
        <f xml:space="preserve"> SUMIFS(market_prices!$E:$E,market_prices!$B:$B,$A118,market_prices!$C:$C,C$1)</f>
        <v>88.875600000000006</v>
      </c>
      <c r="D118">
        <f xml:space="preserve"> SUMIFS(market_prices!$E:$E,market_prices!$B:$B,$A118,market_prices!$C:$C,D$1)</f>
        <v>88.87</v>
      </c>
      <c r="E118" s="6">
        <f t="shared" si="1"/>
        <v>-2.0474527279297217E-3</v>
      </c>
      <c r="F118" s="6">
        <f>rates[[#This Row],[EUR/INR]]/C117-1</f>
        <v>-3.719422379757753E-3</v>
      </c>
      <c r="G118" s="6">
        <f>rates[[#This Row],[WTI Crude]]/D117-1</f>
        <v>1.7983963344788245E-2</v>
      </c>
    </row>
    <row r="119" spans="1:7" x14ac:dyDescent="0.3">
      <c r="A119" s="1">
        <v>45182</v>
      </c>
      <c r="B119">
        <f xml:space="preserve"> SUMIFS(market_prices!$E:$E,market_prices!$B:$B,$A119,market_prices!$C:$C,B$1)</f>
        <v>82.93</v>
      </c>
      <c r="C119">
        <f xml:space="preserve"> SUMIFS(market_prices!$E:$E,market_prices!$B:$B,$A119,market_prices!$C:$C,C$1)</f>
        <v>89.041899999999998</v>
      </c>
      <c r="D119">
        <f xml:space="preserve"> SUMIFS(market_prices!$E:$E,market_prices!$B:$B,$A119,market_prices!$C:$C,D$1)</f>
        <v>88.59</v>
      </c>
      <c r="E119" s="6">
        <f t="shared" si="1"/>
        <v>8.4479845522578145E-4</v>
      </c>
      <c r="F119" s="6">
        <f>rates[[#This Row],[EUR/INR]]/C118-1</f>
        <v>1.8711547376331072E-3</v>
      </c>
      <c r="G119" s="6">
        <f>rates[[#This Row],[WTI Crude]]/D118-1</f>
        <v>-3.1506695172723864E-3</v>
      </c>
    </row>
    <row r="120" spans="1:7" x14ac:dyDescent="0.3">
      <c r="A120" s="1">
        <v>45183</v>
      </c>
      <c r="B120">
        <f xml:space="preserve"> SUMIFS(market_prices!$E:$E,market_prices!$B:$B,$A120,market_prices!$C:$C,B$1)</f>
        <v>83.02</v>
      </c>
      <c r="C120">
        <f xml:space="preserve"> SUMIFS(market_prices!$E:$E,market_prices!$B:$B,$A120,market_prices!$C:$C,C$1)</f>
        <v>88.499300000000005</v>
      </c>
      <c r="D120">
        <f xml:space="preserve"> SUMIFS(market_prices!$E:$E,market_prices!$B:$B,$A120,market_prices!$C:$C,D$1)</f>
        <v>90.13</v>
      </c>
      <c r="E120" s="6">
        <f t="shared" si="1"/>
        <v>1.0852526226936554E-3</v>
      </c>
      <c r="F120" s="6">
        <f>rates[[#This Row],[EUR/INR]]/C119-1</f>
        <v>-6.0937603532718043E-3</v>
      </c>
      <c r="G120" s="6">
        <f>rates[[#This Row],[WTI Crude]]/D119-1</f>
        <v>1.7383451856868737E-2</v>
      </c>
    </row>
    <row r="121" spans="1:7" x14ac:dyDescent="0.3">
      <c r="A121" s="1">
        <v>45184</v>
      </c>
      <c r="B121">
        <f xml:space="preserve"> SUMIFS(market_prices!$E:$E,market_prices!$B:$B,$A121,market_prices!$C:$C,B$1)</f>
        <v>83.15</v>
      </c>
      <c r="C121">
        <f xml:space="preserve"> SUMIFS(market_prices!$E:$E,market_prices!$B:$B,$A121,market_prices!$C:$C,C$1)</f>
        <v>88.745999999999995</v>
      </c>
      <c r="D121">
        <f xml:space="preserve"> SUMIFS(market_prices!$E:$E,market_prices!$B:$B,$A121,market_prices!$C:$C,D$1)</f>
        <v>90.83</v>
      </c>
      <c r="E121" s="6">
        <f t="shared" si="1"/>
        <v>1.5658877378945668E-3</v>
      </c>
      <c r="F121" s="6">
        <f>rates[[#This Row],[EUR/INR]]/C120-1</f>
        <v>2.7875926702243259E-3</v>
      </c>
      <c r="G121" s="6">
        <f>rates[[#This Row],[WTI Crude]]/D120-1</f>
        <v>7.7665594141795857E-3</v>
      </c>
    </row>
    <row r="122" spans="1:7" x14ac:dyDescent="0.3">
      <c r="A122" s="1">
        <v>45187</v>
      </c>
      <c r="B122">
        <f xml:space="preserve"> SUMIFS(market_prices!$E:$E,market_prices!$B:$B,$A122,market_prices!$C:$C,B$1)</f>
        <v>83.27</v>
      </c>
      <c r="C122">
        <f xml:space="preserve"> SUMIFS(market_prices!$E:$E,market_prices!$B:$B,$A122,market_prices!$C:$C,C$1)</f>
        <v>89.057299999999998</v>
      </c>
      <c r="D122">
        <f xml:space="preserve"> SUMIFS(market_prices!$E:$E,market_prices!$B:$B,$A122,market_prices!$C:$C,D$1)</f>
        <v>91.47</v>
      </c>
      <c r="E122" s="6">
        <f t="shared" si="1"/>
        <v>1.4431749849668218E-3</v>
      </c>
      <c r="F122" s="6">
        <f>rates[[#This Row],[EUR/INR]]/C121-1</f>
        <v>3.5077637301963449E-3</v>
      </c>
      <c r="G122" s="6">
        <f>rates[[#This Row],[WTI Crude]]/D121-1</f>
        <v>7.0461301332158666E-3</v>
      </c>
    </row>
    <row r="123" spans="1:7" x14ac:dyDescent="0.3">
      <c r="A123" s="1">
        <v>45188</v>
      </c>
      <c r="B123">
        <f xml:space="preserve"> SUMIFS(market_prices!$E:$E,market_prices!$B:$B,$A123,market_prices!$C:$C,B$1)</f>
        <v>83.27</v>
      </c>
      <c r="C123">
        <f xml:space="preserve"> SUMIFS(market_prices!$E:$E,market_prices!$B:$B,$A123,market_prices!$C:$C,C$1)</f>
        <v>88.965699999999998</v>
      </c>
      <c r="D123">
        <f xml:space="preserve"> SUMIFS(market_prices!$E:$E,market_prices!$B:$B,$A123,market_prices!$C:$C,D$1)</f>
        <v>91.16</v>
      </c>
      <c r="E123" s="6">
        <f t="shared" si="1"/>
        <v>0</v>
      </c>
      <c r="F123" s="6">
        <f>rates[[#This Row],[EUR/INR]]/C122-1</f>
        <v>-1.0285512810291886E-3</v>
      </c>
      <c r="G123" s="6">
        <f>rates[[#This Row],[WTI Crude]]/D122-1</f>
        <v>-3.3890893189023608E-3</v>
      </c>
    </row>
    <row r="124" spans="1:7" x14ac:dyDescent="0.3">
      <c r="A124" s="1">
        <v>45189</v>
      </c>
      <c r="B124">
        <f xml:space="preserve"> SUMIFS(market_prices!$E:$E,market_prices!$B:$B,$A124,market_prices!$C:$C,B$1)</f>
        <v>83.07</v>
      </c>
      <c r="C124">
        <f xml:space="preserve"> SUMIFS(market_prices!$E:$E,market_prices!$B:$B,$A124,market_prices!$C:$C,C$1)</f>
        <v>89.009500000000003</v>
      </c>
      <c r="D124">
        <f xml:space="preserve"> SUMIFS(market_prices!$E:$E,market_prices!$B:$B,$A124,market_prices!$C:$C,D$1)</f>
        <v>89.2</v>
      </c>
      <c r="E124" s="6">
        <f t="shared" si="1"/>
        <v>-2.4018253872943873E-3</v>
      </c>
      <c r="F124" s="6">
        <f>rates[[#This Row],[EUR/INR]]/C123-1</f>
        <v>4.9232457003101082E-4</v>
      </c>
      <c r="G124" s="6">
        <f>rates[[#This Row],[WTI Crude]]/D123-1</f>
        <v>-2.1500658183413734E-2</v>
      </c>
    </row>
    <row r="125" spans="1:7" x14ac:dyDescent="0.3">
      <c r="A125" s="1">
        <v>45190</v>
      </c>
      <c r="B125">
        <f xml:space="preserve"> SUMIFS(market_prices!$E:$E,market_prices!$B:$B,$A125,market_prices!$C:$C,B$1)</f>
        <v>83.11</v>
      </c>
      <c r="C125">
        <f xml:space="preserve"> SUMIFS(market_prices!$E:$E,market_prices!$B:$B,$A125,market_prices!$C:$C,C$1)</f>
        <v>88.628500000000003</v>
      </c>
      <c r="D125">
        <f xml:space="preserve"> SUMIFS(market_prices!$E:$E,market_prices!$B:$B,$A125,market_prices!$C:$C,D$1)</f>
        <v>89.56</v>
      </c>
      <c r="E125" s="6">
        <f t="shared" si="1"/>
        <v>4.8152160828229817E-4</v>
      </c>
      <c r="F125" s="6">
        <f>rates[[#This Row],[EUR/INR]]/C124-1</f>
        <v>-4.2804419752947576E-3</v>
      </c>
      <c r="G125" s="6">
        <f>rates[[#This Row],[WTI Crude]]/D124-1</f>
        <v>4.0358744394619617E-3</v>
      </c>
    </row>
    <row r="126" spans="1:7" x14ac:dyDescent="0.3">
      <c r="A126" s="1">
        <v>45191</v>
      </c>
      <c r="B126">
        <f xml:space="preserve"> SUMIFS(market_prices!$E:$E,market_prices!$B:$B,$A126,market_prices!$C:$C,B$1)</f>
        <v>82.95</v>
      </c>
      <c r="C126">
        <f xml:space="preserve"> SUMIFS(market_prices!$E:$E,market_prices!$B:$B,$A126,market_prices!$C:$C,C$1)</f>
        <v>88.424700000000001</v>
      </c>
      <c r="D126">
        <f xml:space="preserve"> SUMIFS(market_prices!$E:$E,market_prices!$B:$B,$A126,market_prices!$C:$C,D$1)</f>
        <v>90</v>
      </c>
      <c r="E126" s="6">
        <f t="shared" si="1"/>
        <v>-1.9251594272650108E-3</v>
      </c>
      <c r="F126" s="6">
        <f>rates[[#This Row],[EUR/INR]]/C125-1</f>
        <v>-2.2994860569681697E-3</v>
      </c>
      <c r="G126" s="6">
        <f>rates[[#This Row],[WTI Crude]]/D125-1</f>
        <v>4.9129075480125461E-3</v>
      </c>
    </row>
    <row r="127" spans="1:7" x14ac:dyDescent="0.3">
      <c r="A127" s="1">
        <v>45194</v>
      </c>
      <c r="B127">
        <f xml:space="preserve"> SUMIFS(market_prices!$E:$E,market_prices!$B:$B,$A127,market_prices!$C:$C,B$1)</f>
        <v>83.11</v>
      </c>
      <c r="C127">
        <f xml:space="preserve"> SUMIFS(market_prices!$E:$E,market_prices!$B:$B,$A127,market_prices!$C:$C,C$1)</f>
        <v>88.021799999999999</v>
      </c>
      <c r="D127">
        <f xml:space="preserve"> SUMIFS(market_prices!$E:$E,market_prices!$B:$B,$A127,market_prices!$C:$C,D$1)</f>
        <v>89.68</v>
      </c>
      <c r="E127" s="6">
        <f t="shared" si="1"/>
        <v>1.92887281494869E-3</v>
      </c>
      <c r="F127" s="6">
        <f>rates[[#This Row],[EUR/INR]]/C126-1</f>
        <v>-4.5564191905655971E-3</v>
      </c>
      <c r="G127" s="6">
        <f>rates[[#This Row],[WTI Crude]]/D126-1</f>
        <v>-3.555555555555534E-3</v>
      </c>
    </row>
    <row r="128" spans="1:7" x14ac:dyDescent="0.3">
      <c r="A128" s="1">
        <v>45195</v>
      </c>
      <c r="B128">
        <f xml:space="preserve"> SUMIFS(market_prices!$E:$E,market_prices!$B:$B,$A128,market_prices!$C:$C,B$1)</f>
        <v>83.24</v>
      </c>
      <c r="C128">
        <f xml:space="preserve"> SUMIFS(market_prices!$E:$E,market_prices!$B:$B,$A128,market_prices!$C:$C,C$1)</f>
        <v>88.009699999999995</v>
      </c>
      <c r="D128">
        <f xml:space="preserve"> SUMIFS(market_prices!$E:$E,market_prices!$B:$B,$A128,market_prices!$C:$C,D$1)</f>
        <v>91.43</v>
      </c>
      <c r="E128" s="6">
        <f t="shared" si="1"/>
        <v>1.5641920346527449E-3</v>
      </c>
      <c r="F128" s="6">
        <f>rates[[#This Row],[EUR/INR]]/C127-1</f>
        <v>-1.374659459361105E-4</v>
      </c>
      <c r="G128" s="6">
        <f>rates[[#This Row],[WTI Crude]]/D127-1</f>
        <v>1.951382694023196E-2</v>
      </c>
    </row>
    <row r="129" spans="1:7" x14ac:dyDescent="0.3">
      <c r="A129" s="1">
        <v>45196</v>
      </c>
      <c r="B129">
        <f xml:space="preserve"> SUMIFS(market_prices!$E:$E,market_prices!$B:$B,$A129,market_prices!$C:$C,B$1)</f>
        <v>83.18</v>
      </c>
      <c r="C129">
        <f xml:space="preserve"> SUMIFS(market_prices!$E:$E,market_prices!$B:$B,$A129,market_prices!$C:$C,C$1)</f>
        <v>87.422200000000004</v>
      </c>
      <c r="D129">
        <f xml:space="preserve"> SUMIFS(market_prices!$E:$E,market_prices!$B:$B,$A129,market_prices!$C:$C,D$1)</f>
        <v>93.67</v>
      </c>
      <c r="E129" s="6">
        <f t="shared" si="1"/>
        <v>-7.208073041805596E-4</v>
      </c>
      <c r="F129" s="6">
        <f>rates[[#This Row],[EUR/INR]]/C128-1</f>
        <v>-6.6754005524389814E-3</v>
      </c>
      <c r="G129" s="6">
        <f>rates[[#This Row],[WTI Crude]]/D128-1</f>
        <v>2.449961719348126E-2</v>
      </c>
    </row>
    <row r="130" spans="1:7" x14ac:dyDescent="0.3">
      <c r="A130" s="1">
        <v>45197</v>
      </c>
      <c r="B130">
        <f xml:space="preserve"> SUMIFS(market_prices!$E:$E,market_prices!$B:$B,$A130,market_prices!$C:$C,B$1)</f>
        <v>83.13</v>
      </c>
      <c r="C130">
        <f xml:space="preserve"> SUMIFS(market_prices!$E:$E,market_prices!$B:$B,$A130,market_prices!$C:$C,C$1)</f>
        <v>87.934899999999999</v>
      </c>
      <c r="D130">
        <f xml:space="preserve"> SUMIFS(market_prices!$E:$E,market_prices!$B:$B,$A130,market_prices!$C:$C,D$1)</f>
        <v>91.65</v>
      </c>
      <c r="E130" s="6">
        <f t="shared" ref="E130:E193" si="2">B130/B129-1</f>
        <v>-6.0110603510477034E-4</v>
      </c>
      <c r="F130" s="6">
        <f>rates[[#This Row],[EUR/INR]]/C129-1</f>
        <v>5.8646430769300206E-3</v>
      </c>
      <c r="G130" s="6">
        <f>rates[[#This Row],[WTI Crude]]/D129-1</f>
        <v>-2.1565068858759417E-2</v>
      </c>
    </row>
    <row r="131" spans="1:7" x14ac:dyDescent="0.3">
      <c r="A131" s="1">
        <v>45198</v>
      </c>
      <c r="B131">
        <f xml:space="preserve"> SUMIFS(market_prices!$E:$E,market_prices!$B:$B,$A131,market_prices!$C:$C,B$1)</f>
        <v>83.08</v>
      </c>
      <c r="C131">
        <f xml:space="preserve"> SUMIFS(market_prices!$E:$E,market_prices!$B:$B,$A131,market_prices!$C:$C,C$1)</f>
        <v>87.931899999999999</v>
      </c>
      <c r="D131">
        <f xml:space="preserve"> SUMIFS(market_prices!$E:$E,market_prices!$B:$B,$A131,market_prices!$C:$C,D$1)</f>
        <v>90.77</v>
      </c>
      <c r="E131" s="6">
        <f t="shared" si="2"/>
        <v>-6.0146758089740793E-4</v>
      </c>
      <c r="F131" s="6">
        <f>rates[[#This Row],[EUR/INR]]/C130-1</f>
        <v>-3.4116147286211707E-5</v>
      </c>
      <c r="G131" s="6">
        <f>rates[[#This Row],[WTI Crude]]/D130-1</f>
        <v>-9.601745771958603E-3</v>
      </c>
    </row>
    <row r="132" spans="1:7" x14ac:dyDescent="0.3">
      <c r="A132" s="1">
        <v>45201</v>
      </c>
      <c r="B132">
        <f xml:space="preserve"> SUMIFS(market_prices!$E:$E,market_prices!$B:$B,$A132,market_prices!$C:$C,B$1)</f>
        <v>83.04</v>
      </c>
      <c r="C132">
        <f xml:space="preserve"> SUMIFS(market_prices!$E:$E,market_prices!$B:$B,$A132,market_prices!$C:$C,C$1)</f>
        <v>87.191999999999993</v>
      </c>
      <c r="D132">
        <f xml:space="preserve"> SUMIFS(market_prices!$E:$E,market_prices!$B:$B,$A132,market_prices!$C:$C,D$1)</f>
        <v>88.81</v>
      </c>
      <c r="E132" s="6">
        <f t="shared" si="2"/>
        <v>-4.81463649494418E-4</v>
      </c>
      <c r="F132" s="6">
        <f>rates[[#This Row],[EUR/INR]]/C131-1</f>
        <v>-8.4144661948621913E-3</v>
      </c>
      <c r="G132" s="6">
        <f>rates[[#This Row],[WTI Crude]]/D131-1</f>
        <v>-2.159303734714102E-2</v>
      </c>
    </row>
    <row r="133" spans="1:7" x14ac:dyDescent="0.3">
      <c r="A133" s="1">
        <v>45202</v>
      </c>
      <c r="B133">
        <f xml:space="preserve"> SUMIFS(market_prices!$E:$E,market_prices!$B:$B,$A133,market_prices!$C:$C,B$1)</f>
        <v>83.22</v>
      </c>
      <c r="C133">
        <f xml:space="preserve"> SUMIFS(market_prices!$E:$E,market_prices!$B:$B,$A133,market_prices!$C:$C,C$1)</f>
        <v>86.989900000000006</v>
      </c>
      <c r="D133">
        <f xml:space="preserve"> SUMIFS(market_prices!$E:$E,market_prices!$B:$B,$A133,market_prices!$C:$C,D$1)</f>
        <v>89.26</v>
      </c>
      <c r="E133" s="6">
        <f t="shared" si="2"/>
        <v>2.1676300578032937E-3</v>
      </c>
      <c r="F133" s="6">
        <f>rates[[#This Row],[EUR/INR]]/C132-1</f>
        <v>-2.3178731993759305E-3</v>
      </c>
      <c r="G133" s="6">
        <f>rates[[#This Row],[WTI Crude]]/D132-1</f>
        <v>5.0669969598018394E-3</v>
      </c>
    </row>
    <row r="134" spans="1:7" x14ac:dyDescent="0.3">
      <c r="A134" s="1">
        <v>45203</v>
      </c>
      <c r="B134">
        <f xml:space="preserve"> SUMIFS(market_prices!$E:$E,market_prices!$B:$B,$A134,market_prices!$C:$C,B$1)</f>
        <v>83.25</v>
      </c>
      <c r="C134">
        <f xml:space="preserve"> SUMIFS(market_prices!$E:$E,market_prices!$B:$B,$A134,market_prices!$C:$C,C$1)</f>
        <v>87.562399999999997</v>
      </c>
      <c r="D134">
        <f xml:space="preserve"> SUMIFS(market_prices!$E:$E,market_prices!$B:$B,$A134,market_prices!$C:$C,D$1)</f>
        <v>84.32</v>
      </c>
      <c r="E134" s="6">
        <f t="shared" si="2"/>
        <v>3.6049026676288065E-4</v>
      </c>
      <c r="F134" s="6">
        <f>rates[[#This Row],[EUR/INR]]/C133-1</f>
        <v>6.5812237972453502E-3</v>
      </c>
      <c r="G134" s="6">
        <f>rates[[#This Row],[WTI Crude]]/D133-1</f>
        <v>-5.5343939054447788E-2</v>
      </c>
    </row>
    <row r="135" spans="1:7" x14ac:dyDescent="0.3">
      <c r="A135" s="1">
        <v>45204</v>
      </c>
      <c r="B135">
        <f xml:space="preserve"> SUMIFS(market_prices!$E:$E,market_prices!$B:$B,$A135,market_prices!$C:$C,B$1)</f>
        <v>83.24</v>
      </c>
      <c r="C135">
        <f xml:space="preserve"> SUMIFS(market_prices!$E:$E,market_prices!$B:$B,$A135,market_prices!$C:$C,C$1)</f>
        <v>87.6267</v>
      </c>
      <c r="D135">
        <f xml:space="preserve"> SUMIFS(market_prices!$E:$E,market_prices!$B:$B,$A135,market_prices!$C:$C,D$1)</f>
        <v>82.3</v>
      </c>
      <c r="E135" s="6">
        <f t="shared" si="2"/>
        <v>-1.2012012012019291E-4</v>
      </c>
      <c r="F135" s="6">
        <f>rates[[#This Row],[EUR/INR]]/C134-1</f>
        <v>7.3433345819662321E-4</v>
      </c>
      <c r="G135" s="6">
        <f>rates[[#This Row],[WTI Crude]]/D134-1</f>
        <v>-2.3956356736242856E-2</v>
      </c>
    </row>
    <row r="136" spans="1:7" x14ac:dyDescent="0.3">
      <c r="A136" s="1">
        <v>45205</v>
      </c>
      <c r="B136">
        <f xml:space="preserve"> SUMIFS(market_prices!$E:$E,market_prices!$B:$B,$A136,market_prices!$C:$C,B$1)</f>
        <v>83.25</v>
      </c>
      <c r="C136">
        <f xml:space="preserve"> SUMIFS(market_prices!$E:$E,market_prices!$B:$B,$A136,market_prices!$C:$C,C$1)</f>
        <v>88.211699999999993</v>
      </c>
      <c r="D136">
        <f xml:space="preserve"> SUMIFS(market_prices!$E:$E,market_prices!$B:$B,$A136,market_prices!$C:$C,D$1)</f>
        <v>82.83</v>
      </c>
      <c r="E136" s="6">
        <f t="shared" si="2"/>
        <v>1.2013455069692647E-4</v>
      </c>
      <c r="F136" s="6">
        <f>rates[[#This Row],[EUR/INR]]/C135-1</f>
        <v>6.6760473691236388E-3</v>
      </c>
      <c r="G136" s="6">
        <f>rates[[#This Row],[WTI Crude]]/D135-1</f>
        <v>6.4398541919805652E-3</v>
      </c>
    </row>
    <row r="137" spans="1:7" x14ac:dyDescent="0.3">
      <c r="A137" s="1">
        <v>45208</v>
      </c>
      <c r="B137">
        <f xml:space="preserve"> SUMIFS(market_prices!$E:$E,market_prices!$B:$B,$A137,market_prices!$C:$C,B$1)</f>
        <v>83.25</v>
      </c>
      <c r="C137">
        <f xml:space="preserve"> SUMIFS(market_prices!$E:$E,market_prices!$B:$B,$A137,market_prices!$C:$C,C$1)</f>
        <v>88.211699999999993</v>
      </c>
      <c r="D137">
        <f xml:space="preserve"> SUMIFS(market_prices!$E:$E,market_prices!$B:$B,$A137,market_prices!$C:$C,D$1)</f>
        <v>82.83</v>
      </c>
      <c r="E137" s="6">
        <f t="shared" si="2"/>
        <v>0</v>
      </c>
      <c r="F137" s="6">
        <f>rates[[#This Row],[EUR/INR]]/C136-1</f>
        <v>0</v>
      </c>
      <c r="G137" s="6">
        <f>rates[[#This Row],[WTI Crude]]/D136-1</f>
        <v>0</v>
      </c>
    </row>
    <row r="138" spans="1:7" x14ac:dyDescent="0.3">
      <c r="A138" s="1">
        <v>45209</v>
      </c>
      <c r="B138">
        <f xml:space="preserve"> SUMIFS(market_prices!$E:$E,market_prices!$B:$B,$A138,market_prices!$C:$C,B$1)</f>
        <v>83.25</v>
      </c>
      <c r="C138">
        <f xml:space="preserve"> SUMIFS(market_prices!$E:$E,market_prices!$B:$B,$A138,market_prices!$C:$C,C$1)</f>
        <v>88.394800000000004</v>
      </c>
      <c r="D138">
        <f xml:space="preserve"> SUMIFS(market_prices!$E:$E,market_prices!$B:$B,$A138,market_prices!$C:$C,D$1)</f>
        <v>85.89</v>
      </c>
      <c r="E138" s="6">
        <f t="shared" si="2"/>
        <v>0</v>
      </c>
      <c r="F138" s="6">
        <f>rates[[#This Row],[EUR/INR]]/C137-1</f>
        <v>2.0756883724042385E-3</v>
      </c>
      <c r="G138" s="6">
        <f>rates[[#This Row],[WTI Crude]]/D137-1</f>
        <v>3.6943136544730137E-2</v>
      </c>
    </row>
    <row r="139" spans="1:7" x14ac:dyDescent="0.3">
      <c r="A139" s="1">
        <v>45210</v>
      </c>
      <c r="B139">
        <f xml:space="preserve"> SUMIFS(market_prices!$E:$E,market_prices!$B:$B,$A139,market_prices!$C:$C,B$1)</f>
        <v>83.18</v>
      </c>
      <c r="C139">
        <f xml:space="preserve"> SUMIFS(market_prices!$E:$E,market_prices!$B:$B,$A139,market_prices!$C:$C,C$1)</f>
        <v>88.337199999999996</v>
      </c>
      <c r="D139">
        <f xml:space="preserve"> SUMIFS(market_prices!$E:$E,market_prices!$B:$B,$A139,market_prices!$C:$C,D$1)</f>
        <v>83.7</v>
      </c>
      <c r="E139" s="6">
        <f t="shared" si="2"/>
        <v>-8.4084084084079525E-4</v>
      </c>
      <c r="F139" s="6">
        <f>rates[[#This Row],[EUR/INR]]/C138-1</f>
        <v>-6.5162204111568478E-4</v>
      </c>
      <c r="G139" s="6">
        <f>rates[[#This Row],[WTI Crude]]/D138-1</f>
        <v>-2.5497729654208823E-2</v>
      </c>
    </row>
    <row r="140" spans="1:7" x14ac:dyDescent="0.3">
      <c r="A140" s="1">
        <v>45211</v>
      </c>
      <c r="B140">
        <f xml:space="preserve"> SUMIFS(market_prices!$E:$E,market_prices!$B:$B,$A140,market_prices!$C:$C,B$1)</f>
        <v>83.28</v>
      </c>
      <c r="C140">
        <f xml:space="preserve"> SUMIFS(market_prices!$E:$E,market_prices!$B:$B,$A140,market_prices!$C:$C,C$1)</f>
        <v>87.885400000000004</v>
      </c>
      <c r="D140">
        <f xml:space="preserve"> SUMIFS(market_prices!$E:$E,market_prices!$B:$B,$A140,market_prices!$C:$C,D$1)</f>
        <v>82.87</v>
      </c>
      <c r="E140" s="6">
        <f t="shared" si="2"/>
        <v>1.2022120702090966E-3</v>
      </c>
      <c r="F140" s="6">
        <f>rates[[#This Row],[EUR/INR]]/C139-1</f>
        <v>-5.1144931014339701E-3</v>
      </c>
      <c r="G140" s="6">
        <f>rates[[#This Row],[WTI Crude]]/D139-1</f>
        <v>-9.9163679808841332E-3</v>
      </c>
    </row>
    <row r="141" spans="1:7" x14ac:dyDescent="0.3">
      <c r="A141" s="1">
        <v>45212</v>
      </c>
      <c r="B141">
        <f xml:space="preserve"> SUMIFS(market_prices!$E:$E,market_prices!$B:$B,$A141,market_prices!$C:$C,B$1)</f>
        <v>83.26</v>
      </c>
      <c r="C141">
        <f xml:space="preserve"> SUMIFS(market_prices!$E:$E,market_prices!$B:$B,$A141,market_prices!$C:$C,C$1)</f>
        <v>87.439700000000002</v>
      </c>
      <c r="D141">
        <f xml:space="preserve"> SUMIFS(market_prices!$E:$E,market_prices!$B:$B,$A141,market_prices!$C:$C,D$1)</f>
        <v>87.67</v>
      </c>
      <c r="E141" s="6">
        <f t="shared" si="2"/>
        <v>-2.4015369836694056E-4</v>
      </c>
      <c r="F141" s="6">
        <f>rates[[#This Row],[EUR/INR]]/C140-1</f>
        <v>-5.0713770432859739E-3</v>
      </c>
      <c r="G141" s="6">
        <f>rates[[#This Row],[WTI Crude]]/D140-1</f>
        <v>5.7922046578979147E-2</v>
      </c>
    </row>
    <row r="142" spans="1:7" x14ac:dyDescent="0.3">
      <c r="A142" s="1">
        <v>45215</v>
      </c>
      <c r="B142">
        <f xml:space="preserve"> SUMIFS(market_prices!$E:$E,market_prices!$B:$B,$A142,market_prices!$C:$C,B$1)</f>
        <v>83.28</v>
      </c>
      <c r="C142">
        <f xml:space="preserve"> SUMIFS(market_prices!$E:$E,market_prices!$B:$B,$A142,market_prices!$C:$C,C$1)</f>
        <v>87.827100000000002</v>
      </c>
      <c r="D142">
        <f xml:space="preserve"> SUMIFS(market_prices!$E:$E,market_prices!$B:$B,$A142,market_prices!$C:$C,D$1)</f>
        <v>86.65</v>
      </c>
      <c r="E142" s="6">
        <f t="shared" si="2"/>
        <v>2.4021138601959535E-4</v>
      </c>
      <c r="F142" s="6">
        <f>rates[[#This Row],[EUR/INR]]/C141-1</f>
        <v>4.4304818063189977E-3</v>
      </c>
      <c r="G142" s="6">
        <f>rates[[#This Row],[WTI Crude]]/D141-1</f>
        <v>-1.1634538610699185E-2</v>
      </c>
    </row>
    <row r="143" spans="1:7" x14ac:dyDescent="0.3">
      <c r="A143" s="1">
        <v>45216</v>
      </c>
      <c r="B143">
        <f xml:space="preserve"> SUMIFS(market_prices!$E:$E,market_prices!$B:$B,$A143,market_prices!$C:$C,B$1)</f>
        <v>83.22</v>
      </c>
      <c r="C143">
        <f xml:space="preserve"> SUMIFS(market_prices!$E:$E,market_prices!$B:$B,$A143,market_prices!$C:$C,C$1)</f>
        <v>88.154899999999998</v>
      </c>
      <c r="D143">
        <f xml:space="preserve"> SUMIFS(market_prices!$E:$E,market_prices!$B:$B,$A143,market_prices!$C:$C,D$1)</f>
        <v>86.66</v>
      </c>
      <c r="E143" s="6">
        <f t="shared" si="2"/>
        <v>-7.204610951009327E-4</v>
      </c>
      <c r="F143" s="6">
        <f>rates[[#This Row],[EUR/INR]]/C142-1</f>
        <v>3.7323331864538289E-3</v>
      </c>
      <c r="G143" s="6">
        <f>rates[[#This Row],[WTI Crude]]/D142-1</f>
        <v>1.1540680900168354E-4</v>
      </c>
    </row>
    <row r="144" spans="1:7" x14ac:dyDescent="0.3">
      <c r="A144" s="1">
        <v>45217</v>
      </c>
      <c r="B144">
        <f xml:space="preserve"> SUMIFS(market_prices!$E:$E,market_prices!$B:$B,$A144,market_prices!$C:$C,B$1)</f>
        <v>83.25</v>
      </c>
      <c r="C144">
        <f xml:space="preserve"> SUMIFS(market_prices!$E:$E,market_prices!$B:$B,$A144,market_prices!$C:$C,C$1)</f>
        <v>87.678899999999999</v>
      </c>
      <c r="D144">
        <f xml:space="preserve"> SUMIFS(market_prices!$E:$E,market_prices!$B:$B,$A144,market_prices!$C:$C,D$1)</f>
        <v>88.35</v>
      </c>
      <c r="E144" s="6">
        <f t="shared" si="2"/>
        <v>3.6049026676288065E-4</v>
      </c>
      <c r="F144" s="6">
        <f>rates[[#This Row],[EUR/INR]]/C143-1</f>
        <v>-5.3995864098308477E-3</v>
      </c>
      <c r="G144" s="6">
        <f>rates[[#This Row],[WTI Crude]]/D143-1</f>
        <v>1.9501500115393533E-2</v>
      </c>
    </row>
    <row r="145" spans="1:7" x14ac:dyDescent="0.3">
      <c r="A145" s="1">
        <v>45218</v>
      </c>
      <c r="B145">
        <f xml:space="preserve"> SUMIFS(market_prices!$E:$E,market_prices!$B:$B,$A145,market_prices!$C:$C,B$1)</f>
        <v>83.1</v>
      </c>
      <c r="C145">
        <f xml:space="preserve"> SUMIFS(market_prices!$E:$E,market_prices!$B:$B,$A145,market_prices!$C:$C,C$1)</f>
        <v>87.836699999999993</v>
      </c>
      <c r="D145">
        <f xml:space="preserve"> SUMIFS(market_prices!$E:$E,market_prices!$B:$B,$A145,market_prices!$C:$C,D$1)</f>
        <v>89.35</v>
      </c>
      <c r="E145" s="6">
        <f t="shared" si="2"/>
        <v>-1.8018018018018944E-3</v>
      </c>
      <c r="F145" s="6">
        <f>rates[[#This Row],[EUR/INR]]/C144-1</f>
        <v>1.799748856338157E-3</v>
      </c>
      <c r="G145" s="6">
        <f>rates[[#This Row],[WTI Crude]]/D144-1</f>
        <v>1.1318619128466434E-2</v>
      </c>
    </row>
    <row r="146" spans="1:7" x14ac:dyDescent="0.3">
      <c r="A146" s="1">
        <v>45219</v>
      </c>
      <c r="B146">
        <f xml:space="preserve"> SUMIFS(market_prices!$E:$E,market_prices!$B:$B,$A146,market_prices!$C:$C,B$1)</f>
        <v>83.14</v>
      </c>
      <c r="C146">
        <f xml:space="preserve"> SUMIFS(market_prices!$E:$E,market_prices!$B:$B,$A146,market_prices!$C:$C,C$1)</f>
        <v>88.061899999999994</v>
      </c>
      <c r="D146">
        <f xml:space="preserve"> SUMIFS(market_prices!$E:$E,market_prices!$B:$B,$A146,market_prices!$C:$C,D$1)</f>
        <v>89.12</v>
      </c>
      <c r="E146" s="6">
        <f t="shared" si="2"/>
        <v>4.8134777376662718E-4</v>
      </c>
      <c r="F146" s="6">
        <f>rates[[#This Row],[EUR/INR]]/C145-1</f>
        <v>2.5638485963157542E-3</v>
      </c>
      <c r="G146" s="6">
        <f>rates[[#This Row],[WTI Crude]]/D145-1</f>
        <v>-2.5741466144374447E-3</v>
      </c>
    </row>
    <row r="147" spans="1:7" x14ac:dyDescent="0.3">
      <c r="A147" s="1">
        <v>45222</v>
      </c>
      <c r="B147">
        <f xml:space="preserve"> SUMIFS(market_prices!$E:$E,market_prices!$B:$B,$A147,market_prices!$C:$C,B$1)</f>
        <v>83.19</v>
      </c>
      <c r="C147">
        <f xml:space="preserve"> SUMIFS(market_prices!$E:$E,market_prices!$B:$B,$A147,market_prices!$C:$C,C$1)</f>
        <v>88.564099999999996</v>
      </c>
      <c r="D147">
        <f xml:space="preserve"> SUMIFS(market_prices!$E:$E,market_prices!$B:$B,$A147,market_prices!$C:$C,D$1)</f>
        <v>85.49</v>
      </c>
      <c r="E147" s="6">
        <f t="shared" si="2"/>
        <v>6.0139523694968666E-4</v>
      </c>
      <c r="F147" s="6">
        <f>rates[[#This Row],[EUR/INR]]/C146-1</f>
        <v>5.7028067756885736E-3</v>
      </c>
      <c r="G147" s="6">
        <f>rates[[#This Row],[WTI Crude]]/D146-1</f>
        <v>-4.0731597845601542E-2</v>
      </c>
    </row>
    <row r="148" spans="1:7" x14ac:dyDescent="0.3">
      <c r="A148" s="1">
        <v>45223</v>
      </c>
      <c r="B148">
        <f xml:space="preserve"> SUMIFS(market_prices!$E:$E,market_prices!$B:$B,$A148,market_prices!$C:$C,B$1)</f>
        <v>83.19</v>
      </c>
      <c r="C148">
        <f xml:space="preserve"> SUMIFS(market_prices!$E:$E,market_prices!$B:$B,$A148,market_prices!$C:$C,C$1)</f>
        <v>88.139799999999994</v>
      </c>
      <c r="D148">
        <f xml:space="preserve"> SUMIFS(market_prices!$E:$E,market_prices!$B:$B,$A148,market_prices!$C:$C,D$1)</f>
        <v>84.58</v>
      </c>
      <c r="E148" s="6">
        <f t="shared" si="2"/>
        <v>0</v>
      </c>
      <c r="F148" s="6">
        <f>rates[[#This Row],[EUR/INR]]/C147-1</f>
        <v>-4.7908802776746029E-3</v>
      </c>
      <c r="G148" s="6">
        <f>rates[[#This Row],[WTI Crude]]/D147-1</f>
        <v>-1.0644519826880305E-2</v>
      </c>
    </row>
    <row r="149" spans="1:7" x14ac:dyDescent="0.3">
      <c r="A149" s="1">
        <v>45224</v>
      </c>
      <c r="B149">
        <f xml:space="preserve"> SUMIFS(market_prices!$E:$E,market_prices!$B:$B,$A149,market_prices!$C:$C,B$1)</f>
        <v>83.18</v>
      </c>
      <c r="C149">
        <f xml:space="preserve"> SUMIFS(market_prices!$E:$E,market_prices!$B:$B,$A149,market_prices!$C:$C,C$1)</f>
        <v>88.029399999999995</v>
      </c>
      <c r="D149">
        <f xml:space="preserve"> SUMIFS(market_prices!$E:$E,market_prices!$B:$B,$A149,market_prices!$C:$C,D$1)</f>
        <v>86.07</v>
      </c>
      <c r="E149" s="6">
        <f t="shared" si="2"/>
        <v>-1.2020675561952299E-4</v>
      </c>
      <c r="F149" s="6">
        <f>rates[[#This Row],[EUR/INR]]/C148-1</f>
        <v>-1.2525555991731441E-3</v>
      </c>
      <c r="G149" s="6">
        <f>rates[[#This Row],[WTI Crude]]/D148-1</f>
        <v>1.7616457791439943E-2</v>
      </c>
    </row>
    <row r="150" spans="1:7" x14ac:dyDescent="0.3">
      <c r="A150" s="1">
        <v>45225</v>
      </c>
      <c r="B150">
        <f xml:space="preserve"> SUMIFS(market_prices!$E:$E,market_prices!$B:$B,$A150,market_prices!$C:$C,B$1)</f>
        <v>83.24</v>
      </c>
      <c r="C150">
        <f xml:space="preserve"> SUMIFS(market_prices!$E:$E,market_prices!$B:$B,$A150,market_prices!$C:$C,C$1)</f>
        <v>87.668400000000005</v>
      </c>
      <c r="D150">
        <f xml:space="preserve"> SUMIFS(market_prices!$E:$E,market_prices!$B:$B,$A150,market_prices!$C:$C,D$1)</f>
        <v>83.8</v>
      </c>
      <c r="E150" s="6">
        <f t="shared" si="2"/>
        <v>7.2132724212536914E-4</v>
      </c>
      <c r="F150" s="6">
        <f>rates[[#This Row],[EUR/INR]]/C149-1</f>
        <v>-4.1009026529771342E-3</v>
      </c>
      <c r="G150" s="6">
        <f>rates[[#This Row],[WTI Crude]]/D149-1</f>
        <v>-2.6373881724177983E-2</v>
      </c>
    </row>
    <row r="151" spans="1:7" x14ac:dyDescent="0.3">
      <c r="A151" s="1">
        <v>45226</v>
      </c>
      <c r="B151">
        <f xml:space="preserve"> SUMIFS(market_prices!$E:$E,market_prices!$B:$B,$A151,market_prices!$C:$C,B$1)</f>
        <v>83.27</v>
      </c>
      <c r="C151">
        <f xml:space="preserve"> SUMIFS(market_prices!$E:$E,market_prices!$B:$B,$A151,market_prices!$C:$C,C$1)</f>
        <v>88.199600000000004</v>
      </c>
      <c r="D151">
        <f xml:space="preserve"> SUMIFS(market_prices!$E:$E,market_prices!$B:$B,$A151,market_prices!$C:$C,D$1)</f>
        <v>86.04</v>
      </c>
      <c r="E151" s="6">
        <f t="shared" si="2"/>
        <v>3.6040365209033531E-4</v>
      </c>
      <c r="F151" s="6">
        <f>rates[[#This Row],[EUR/INR]]/C150-1</f>
        <v>6.0591957877638158E-3</v>
      </c>
      <c r="G151" s="6">
        <f>rates[[#This Row],[WTI Crude]]/D150-1</f>
        <v>2.6730310262530033E-2</v>
      </c>
    </row>
    <row r="152" spans="1:7" x14ac:dyDescent="0.3">
      <c r="A152" s="1">
        <v>45229</v>
      </c>
      <c r="B152">
        <f xml:space="preserve"> SUMIFS(market_prices!$E:$E,market_prices!$B:$B,$A152,market_prices!$C:$C,B$1)</f>
        <v>83.25</v>
      </c>
      <c r="C152">
        <f xml:space="preserve"> SUMIFS(market_prices!$E:$E,market_prices!$B:$B,$A152,market_prices!$C:$C,C$1)</f>
        <v>88.411500000000004</v>
      </c>
      <c r="D152">
        <f xml:space="preserve"> SUMIFS(market_prices!$E:$E,market_prices!$B:$B,$A152,market_prices!$C:$C,D$1)</f>
        <v>83.03</v>
      </c>
      <c r="E152" s="6">
        <f t="shared" si="2"/>
        <v>-2.4018253872937212E-4</v>
      </c>
      <c r="F152" s="6">
        <f>rates[[#This Row],[EUR/INR]]/C151-1</f>
        <v>2.4025052267810931E-3</v>
      </c>
      <c r="G152" s="6">
        <f>rates[[#This Row],[WTI Crude]]/D151-1</f>
        <v>-3.4983728498372946E-2</v>
      </c>
    </row>
    <row r="153" spans="1:7" x14ac:dyDescent="0.3">
      <c r="A153" s="1">
        <v>45230</v>
      </c>
      <c r="B153">
        <f xml:space="preserve"> SUMIFS(market_prices!$E:$E,market_prices!$B:$B,$A153,market_prices!$C:$C,B$1)</f>
        <v>83.26</v>
      </c>
      <c r="C153">
        <f xml:space="preserve"> SUMIFS(market_prices!$E:$E,market_prices!$B:$B,$A153,market_prices!$C:$C,C$1)</f>
        <v>87.989199999999997</v>
      </c>
      <c r="D153">
        <f xml:space="preserve"> SUMIFS(market_prices!$E:$E,market_prices!$B:$B,$A153,market_prices!$C:$C,D$1)</f>
        <v>81.64</v>
      </c>
      <c r="E153" s="6">
        <f t="shared" si="2"/>
        <v>1.2012012012019291E-4</v>
      </c>
      <c r="F153" s="6">
        <f>rates[[#This Row],[EUR/INR]]/C152-1</f>
        <v>-4.7765279403698679E-3</v>
      </c>
      <c r="G153" s="6">
        <f>rates[[#This Row],[WTI Crude]]/D152-1</f>
        <v>-1.6740937010718993E-2</v>
      </c>
    </row>
    <row r="154" spans="1:7" x14ac:dyDescent="0.3">
      <c r="A154" s="1">
        <v>45231</v>
      </c>
      <c r="B154">
        <f xml:space="preserve"> SUMIFS(market_prices!$E:$E,market_prices!$B:$B,$A154,market_prices!$C:$C,B$1)</f>
        <v>83.24</v>
      </c>
      <c r="C154">
        <f xml:space="preserve"> SUMIFS(market_prices!$E:$E,market_prices!$B:$B,$A154,market_prices!$C:$C,C$1)</f>
        <v>87.718299999999999</v>
      </c>
      <c r="D154">
        <f xml:space="preserve"> SUMIFS(market_prices!$E:$E,market_prices!$B:$B,$A154,market_prices!$C:$C,D$1)</f>
        <v>81.05</v>
      </c>
      <c r="E154" s="6">
        <f t="shared" si="2"/>
        <v>-2.402113860198174E-4</v>
      </c>
      <c r="F154" s="6">
        <f>rates[[#This Row],[EUR/INR]]/C153-1</f>
        <v>-3.0787869420337843E-3</v>
      </c>
      <c r="G154" s="6">
        <f>rates[[#This Row],[WTI Crude]]/D153-1</f>
        <v>-7.2268495835374758E-3</v>
      </c>
    </row>
    <row r="155" spans="1:7" x14ac:dyDescent="0.3">
      <c r="A155" s="1">
        <v>45232</v>
      </c>
      <c r="B155">
        <f xml:space="preserve"> SUMIFS(market_prices!$E:$E,market_prices!$B:$B,$A155,market_prices!$C:$C,B$1)</f>
        <v>83.22</v>
      </c>
      <c r="C155">
        <f xml:space="preserve"> SUMIFS(market_prices!$E:$E,market_prices!$B:$B,$A155,market_prices!$C:$C,C$1)</f>
        <v>88.363</v>
      </c>
      <c r="D155">
        <f xml:space="preserve"> SUMIFS(market_prices!$E:$E,market_prices!$B:$B,$A155,market_prices!$C:$C,D$1)</f>
        <v>83.04</v>
      </c>
      <c r="E155" s="6">
        <f t="shared" si="2"/>
        <v>-2.4026910139351987E-4</v>
      </c>
      <c r="F155" s="6">
        <f>rates[[#This Row],[EUR/INR]]/C154-1</f>
        <v>7.3496636391721104E-3</v>
      </c>
      <c r="G155" s="6">
        <f>rates[[#This Row],[WTI Crude]]/D154-1</f>
        <v>2.4552745219000638E-2</v>
      </c>
    </row>
    <row r="156" spans="1:7" x14ac:dyDescent="0.3">
      <c r="A156" s="1">
        <v>45233</v>
      </c>
      <c r="B156">
        <f xml:space="preserve"> SUMIFS(market_prices!$E:$E,market_prices!$B:$B,$A156,market_prices!$C:$C,B$1)</f>
        <v>83.14</v>
      </c>
      <c r="C156">
        <f xml:space="preserve"> SUMIFS(market_prices!$E:$E,market_prices!$B:$B,$A156,market_prices!$C:$C,C$1)</f>
        <v>89.234200000000001</v>
      </c>
      <c r="D156">
        <f xml:space="preserve"> SUMIFS(market_prices!$E:$E,market_prices!$B:$B,$A156,market_prices!$C:$C,D$1)</f>
        <v>81.19</v>
      </c>
      <c r="E156" s="6">
        <f t="shared" si="2"/>
        <v>-9.6130737803412636E-4</v>
      </c>
      <c r="F156" s="6">
        <f>rates[[#This Row],[EUR/INR]]/C155-1</f>
        <v>9.8593302626666102E-3</v>
      </c>
      <c r="G156" s="6">
        <f>rates[[#This Row],[WTI Crude]]/D155-1</f>
        <v>-2.2278420038535751E-2</v>
      </c>
    </row>
    <row r="157" spans="1:7" x14ac:dyDescent="0.3">
      <c r="A157" s="1">
        <v>45236</v>
      </c>
      <c r="B157">
        <f xml:space="preserve"> SUMIFS(market_prices!$E:$E,market_prices!$B:$B,$A157,market_prices!$C:$C,B$1)</f>
        <v>83.19</v>
      </c>
      <c r="C157">
        <f xml:space="preserve"> SUMIFS(market_prices!$E:$E,market_prices!$B:$B,$A157,market_prices!$C:$C,C$1)</f>
        <v>89.404300000000006</v>
      </c>
      <c r="D157">
        <f xml:space="preserve"> SUMIFS(market_prices!$E:$E,market_prices!$B:$B,$A157,market_prices!$C:$C,D$1)</f>
        <v>81.540000000000006</v>
      </c>
      <c r="E157" s="6">
        <f t="shared" si="2"/>
        <v>6.0139523694968666E-4</v>
      </c>
      <c r="F157" s="6">
        <f>rates[[#This Row],[EUR/INR]]/C156-1</f>
        <v>1.9062198125832097E-3</v>
      </c>
      <c r="G157" s="6">
        <f>rates[[#This Row],[WTI Crude]]/D156-1</f>
        <v>4.3108757236114403E-3</v>
      </c>
    </row>
    <row r="158" spans="1:7" x14ac:dyDescent="0.3">
      <c r="A158" s="1">
        <v>45237</v>
      </c>
      <c r="B158">
        <f xml:space="preserve"> SUMIFS(market_prices!$E:$E,market_prices!$B:$B,$A158,market_prices!$C:$C,B$1)</f>
        <v>83.22</v>
      </c>
      <c r="C158">
        <f xml:space="preserve"> SUMIFS(market_prices!$E:$E,market_prices!$B:$B,$A158,market_prices!$C:$C,C$1)</f>
        <v>88.937200000000004</v>
      </c>
      <c r="D158">
        <f xml:space="preserve"> SUMIFS(market_prices!$E:$E,market_prices!$B:$B,$A158,market_prices!$C:$C,D$1)</f>
        <v>77.959999999999994</v>
      </c>
      <c r="E158" s="6">
        <f t="shared" si="2"/>
        <v>3.6062026685890203E-4</v>
      </c>
      <c r="F158" s="6">
        <f>rates[[#This Row],[EUR/INR]]/C157-1</f>
        <v>-5.2245809206045157E-3</v>
      </c>
      <c r="G158" s="6">
        <f>rates[[#This Row],[WTI Crude]]/D157-1</f>
        <v>-4.3904831984302284E-2</v>
      </c>
    </row>
    <row r="159" spans="1:7" x14ac:dyDescent="0.3">
      <c r="A159" s="1">
        <v>45238</v>
      </c>
      <c r="B159">
        <f xml:space="preserve"> SUMIFS(market_prices!$E:$E,market_prices!$B:$B,$A159,market_prices!$C:$C,B$1)</f>
        <v>83.28</v>
      </c>
      <c r="C159">
        <f xml:space="preserve"> SUMIFS(market_prices!$E:$E,market_prices!$B:$B,$A159,market_prices!$C:$C,C$1)</f>
        <v>89.234499999999997</v>
      </c>
      <c r="D159">
        <f xml:space="preserve"> SUMIFS(market_prices!$E:$E,market_prices!$B:$B,$A159,market_prices!$C:$C,D$1)</f>
        <v>75.849999999999994</v>
      </c>
      <c r="E159" s="6">
        <f t="shared" si="2"/>
        <v>7.2098053352553926E-4</v>
      </c>
      <c r="F159" s="6">
        <f>rates[[#This Row],[EUR/INR]]/C158-1</f>
        <v>3.3428081837520995E-3</v>
      </c>
      <c r="G159" s="6">
        <f>rates[[#This Row],[WTI Crude]]/D158-1</f>
        <v>-2.7065161621344314E-2</v>
      </c>
    </row>
    <row r="160" spans="1:7" x14ac:dyDescent="0.3">
      <c r="A160" s="1">
        <v>45239</v>
      </c>
      <c r="B160">
        <f xml:space="preserve"> SUMIFS(market_prices!$E:$E,market_prices!$B:$B,$A160,market_prices!$C:$C,B$1)</f>
        <v>83.25</v>
      </c>
      <c r="C160">
        <f xml:space="preserve"> SUMIFS(market_prices!$E:$E,market_prices!$B:$B,$A160,market_prices!$C:$C,C$1)</f>
        <v>89.160700000000006</v>
      </c>
      <c r="D160">
        <f xml:space="preserve"> SUMIFS(market_prices!$E:$E,market_prices!$B:$B,$A160,market_prices!$C:$C,D$1)</f>
        <v>76.34</v>
      </c>
      <c r="E160" s="6">
        <f t="shared" si="2"/>
        <v>-3.6023054755041084E-4</v>
      </c>
      <c r="F160" s="6">
        <f>rates[[#This Row],[EUR/INR]]/C159-1</f>
        <v>-8.2703438692421916E-4</v>
      </c>
      <c r="G160" s="6">
        <f>rates[[#This Row],[WTI Crude]]/D159-1</f>
        <v>6.4601186552406542E-3</v>
      </c>
    </row>
    <row r="161" spans="1:7" x14ac:dyDescent="0.3">
      <c r="A161" s="1">
        <v>45240</v>
      </c>
      <c r="B161">
        <f xml:space="preserve"> SUMIFS(market_prices!$E:$E,market_prices!$B:$B,$A161,market_prices!$C:$C,B$1)</f>
        <v>83.25</v>
      </c>
      <c r="C161">
        <f xml:space="preserve"> SUMIFS(market_prices!$E:$E,market_prices!$B:$B,$A161,market_prices!$C:$C,C$1)</f>
        <v>89.160700000000006</v>
      </c>
      <c r="D161">
        <f xml:space="preserve"> SUMIFS(market_prices!$E:$E,market_prices!$B:$B,$A161,market_prices!$C:$C,D$1)</f>
        <v>76.34</v>
      </c>
      <c r="E161" s="6">
        <f t="shared" si="2"/>
        <v>0</v>
      </c>
      <c r="F161" s="6">
        <f>rates[[#This Row],[EUR/INR]]/C160-1</f>
        <v>0</v>
      </c>
      <c r="G161" s="6">
        <f>rates[[#This Row],[WTI Crude]]/D160-1</f>
        <v>0</v>
      </c>
    </row>
    <row r="162" spans="1:7" x14ac:dyDescent="0.3">
      <c r="A162" s="1">
        <v>45243</v>
      </c>
      <c r="B162">
        <f xml:space="preserve"> SUMIFS(market_prices!$E:$E,market_prices!$B:$B,$A162,market_prices!$C:$C,B$1)</f>
        <v>83.32</v>
      </c>
      <c r="C162">
        <f xml:space="preserve"> SUMIFS(market_prices!$E:$E,market_prices!$B:$B,$A162,market_prices!$C:$C,C$1)</f>
        <v>89.1524</v>
      </c>
      <c r="D162">
        <f xml:space="preserve"> SUMIFS(market_prices!$E:$E,market_prices!$B:$B,$A162,market_prices!$C:$C,D$1)</f>
        <v>78.86</v>
      </c>
      <c r="E162" s="6">
        <f t="shared" si="2"/>
        <v>8.4084084084068422E-4</v>
      </c>
      <c r="F162" s="6">
        <f>rates[[#This Row],[EUR/INR]]/C161-1</f>
        <v>-9.3090341372392693E-5</v>
      </c>
      <c r="G162" s="6">
        <f>rates[[#This Row],[WTI Crude]]/D161-1</f>
        <v>3.3010217448257828E-2</v>
      </c>
    </row>
    <row r="163" spans="1:7" x14ac:dyDescent="0.3">
      <c r="A163" s="1">
        <v>45244</v>
      </c>
      <c r="B163">
        <f xml:space="preserve"> SUMIFS(market_prices!$E:$E,market_prices!$B:$B,$A163,market_prices!$C:$C,B$1)</f>
        <v>83.32</v>
      </c>
      <c r="C163">
        <f xml:space="preserve"> SUMIFS(market_prices!$E:$E,market_prices!$B:$B,$A163,market_prices!$C:$C,C$1)</f>
        <v>90.493899999999996</v>
      </c>
      <c r="D163">
        <f xml:space="preserve"> SUMIFS(market_prices!$E:$E,market_prices!$B:$B,$A163,market_prices!$C:$C,D$1)</f>
        <v>78.900000000000006</v>
      </c>
      <c r="E163" s="6">
        <f t="shared" si="2"/>
        <v>0</v>
      </c>
      <c r="F163" s="6">
        <f>rates[[#This Row],[EUR/INR]]/C162-1</f>
        <v>1.5047267375864148E-2</v>
      </c>
      <c r="G163" s="6">
        <f>rates[[#This Row],[WTI Crude]]/D162-1</f>
        <v>5.0722799898572646E-4</v>
      </c>
    </row>
    <row r="164" spans="1:7" x14ac:dyDescent="0.3">
      <c r="A164" s="1">
        <v>45245</v>
      </c>
      <c r="B164">
        <f xml:space="preserve"> SUMIFS(market_prices!$E:$E,market_prices!$B:$B,$A164,market_prices!$C:$C,B$1)</f>
        <v>83.11</v>
      </c>
      <c r="C164">
        <f xml:space="preserve"> SUMIFS(market_prices!$E:$E,market_prices!$B:$B,$A164,market_prices!$C:$C,C$1)</f>
        <v>90.199299999999994</v>
      </c>
      <c r="D164">
        <f xml:space="preserve"> SUMIFS(market_prices!$E:$E,market_prices!$B:$B,$A164,market_prices!$C:$C,D$1)</f>
        <v>77.150000000000006</v>
      </c>
      <c r="E164" s="6">
        <f t="shared" si="2"/>
        <v>-2.5204032645222973E-3</v>
      </c>
      <c r="F164" s="6">
        <f>rates[[#This Row],[EUR/INR]]/C163-1</f>
        <v>-3.2554680481226006E-3</v>
      </c>
      <c r="G164" s="6">
        <f>rates[[#This Row],[WTI Crude]]/D163-1</f>
        <v>-2.217997465145749E-2</v>
      </c>
    </row>
    <row r="165" spans="1:7" x14ac:dyDescent="0.3">
      <c r="A165" s="1">
        <v>45246</v>
      </c>
      <c r="B165">
        <f xml:space="preserve"> SUMIFS(market_prices!$E:$E,market_prices!$B:$B,$A165,market_prices!$C:$C,B$1)</f>
        <v>83.22</v>
      </c>
      <c r="C165">
        <f xml:space="preserve"> SUMIFS(market_prices!$E:$E,market_prices!$B:$B,$A165,market_prices!$C:$C,C$1)</f>
        <v>90.302000000000007</v>
      </c>
      <c r="D165">
        <f xml:space="preserve"> SUMIFS(market_prices!$E:$E,market_prices!$B:$B,$A165,market_prices!$C:$C,D$1)</f>
        <v>73.5</v>
      </c>
      <c r="E165" s="6">
        <f t="shared" si="2"/>
        <v>1.3235471062447157E-3</v>
      </c>
      <c r="F165" s="6">
        <f>rates[[#This Row],[EUR/INR]]/C164-1</f>
        <v>1.1385897673263923E-3</v>
      </c>
      <c r="G165" s="6">
        <f>rates[[#This Row],[WTI Crude]]/D164-1</f>
        <v>-4.7310434219053898E-2</v>
      </c>
    </row>
    <row r="166" spans="1:7" x14ac:dyDescent="0.3">
      <c r="A166" s="1">
        <v>45247</v>
      </c>
      <c r="B166">
        <f xml:space="preserve"> SUMIFS(market_prices!$E:$E,market_prices!$B:$B,$A166,market_prices!$C:$C,B$1)</f>
        <v>83.25</v>
      </c>
      <c r="C166">
        <f xml:space="preserve"> SUMIFS(market_prices!$E:$E,market_prices!$B:$B,$A166,market_prices!$C:$C,C$1)</f>
        <v>90.567700000000002</v>
      </c>
      <c r="D166">
        <f xml:space="preserve"> SUMIFS(market_prices!$E:$E,market_prices!$B:$B,$A166,market_prices!$C:$C,D$1)</f>
        <v>76.47</v>
      </c>
      <c r="E166" s="6">
        <f t="shared" si="2"/>
        <v>3.6049026676288065E-4</v>
      </c>
      <c r="F166" s="6">
        <f>rates[[#This Row],[EUR/INR]]/C165-1</f>
        <v>2.9423490066664559E-3</v>
      </c>
      <c r="G166" s="6">
        <f>rates[[#This Row],[WTI Crude]]/D165-1</f>
        <v>4.0408163265306163E-2</v>
      </c>
    </row>
    <row r="167" spans="1:7" x14ac:dyDescent="0.3">
      <c r="A167" s="1">
        <v>45250</v>
      </c>
      <c r="B167">
        <f xml:space="preserve"> SUMIFS(market_prices!$E:$E,market_prices!$B:$B,$A167,market_prices!$C:$C,B$1)</f>
        <v>83.33</v>
      </c>
      <c r="C167">
        <f xml:space="preserve"> SUMIFS(market_prices!$E:$E,market_prices!$B:$B,$A167,market_prices!$C:$C,C$1)</f>
        <v>91.204700000000003</v>
      </c>
      <c r="D167">
        <f xml:space="preserve"> SUMIFS(market_prices!$E:$E,market_prices!$B:$B,$A167,market_prices!$C:$C,D$1)</f>
        <v>78.099999999999994</v>
      </c>
      <c r="E167" s="6">
        <f t="shared" si="2"/>
        <v>9.6096096096087713E-4</v>
      </c>
      <c r="F167" s="6">
        <f>rates[[#This Row],[EUR/INR]]/C166-1</f>
        <v>7.03341257423995E-3</v>
      </c>
      <c r="G167" s="6">
        <f>rates[[#This Row],[WTI Crude]]/D166-1</f>
        <v>2.1315548581142929E-2</v>
      </c>
    </row>
    <row r="168" spans="1:7" x14ac:dyDescent="0.3">
      <c r="A168" s="1">
        <v>45251</v>
      </c>
      <c r="B168">
        <f xml:space="preserve"> SUMIFS(market_prices!$E:$E,market_prices!$B:$B,$A168,market_prices!$C:$C,B$1)</f>
        <v>83.26</v>
      </c>
      <c r="C168">
        <f xml:space="preserve"> SUMIFS(market_prices!$E:$E,market_prices!$B:$B,$A168,market_prices!$C:$C,C$1)</f>
        <v>90.944900000000004</v>
      </c>
      <c r="D168">
        <f xml:space="preserve"> SUMIFS(market_prices!$E:$E,market_prices!$B:$B,$A168,market_prices!$C:$C,D$1)</f>
        <v>78.349999999999994</v>
      </c>
      <c r="E168" s="6">
        <f t="shared" si="2"/>
        <v>-8.4003360134399241E-4</v>
      </c>
      <c r="F168" s="6">
        <f>rates[[#This Row],[EUR/INR]]/C167-1</f>
        <v>-2.8485374109009642E-3</v>
      </c>
      <c r="G168" s="6">
        <f>rates[[#This Row],[WTI Crude]]/D167-1</f>
        <v>3.2010243277849071E-3</v>
      </c>
    </row>
    <row r="169" spans="1:7" x14ac:dyDescent="0.3">
      <c r="A169" s="1">
        <v>45252</v>
      </c>
      <c r="B169">
        <f xml:space="preserve"> SUMIFS(market_prices!$E:$E,market_prices!$B:$B,$A169,market_prices!$C:$C,B$1)</f>
        <v>83.29</v>
      </c>
      <c r="C169">
        <f xml:space="preserve"> SUMIFS(market_prices!$E:$E,market_prices!$B:$B,$A169,market_prices!$C:$C,C$1)</f>
        <v>90.544600000000003</v>
      </c>
      <c r="D169">
        <f xml:space="preserve"> SUMIFS(market_prices!$E:$E,market_prices!$B:$B,$A169,market_prices!$C:$C,D$1)</f>
        <v>76.8</v>
      </c>
      <c r="E169" s="6">
        <f t="shared" si="2"/>
        <v>3.6031707902961507E-4</v>
      </c>
      <c r="F169" s="6">
        <f>rates[[#This Row],[EUR/INR]]/C168-1</f>
        <v>-4.4015662230647568E-3</v>
      </c>
      <c r="G169" s="6">
        <f>rates[[#This Row],[WTI Crude]]/D168-1</f>
        <v>-1.9783024888321621E-2</v>
      </c>
    </row>
    <row r="170" spans="1:7" x14ac:dyDescent="0.3">
      <c r="A170" s="1">
        <v>45253</v>
      </c>
      <c r="B170">
        <f xml:space="preserve"> SUMIFS(market_prices!$E:$E,market_prices!$B:$B,$A170,market_prices!$C:$C,B$1)</f>
        <v>83.29</v>
      </c>
      <c r="C170">
        <f xml:space="preserve"> SUMIFS(market_prices!$E:$E,market_prices!$B:$B,$A170,market_prices!$C:$C,C$1)</f>
        <v>90.544600000000003</v>
      </c>
      <c r="D170">
        <f xml:space="preserve"> SUMIFS(market_prices!$E:$E,market_prices!$B:$B,$A170,market_prices!$C:$C,D$1)</f>
        <v>76.8</v>
      </c>
      <c r="E170" s="6">
        <f t="shared" si="2"/>
        <v>0</v>
      </c>
      <c r="F170" s="6">
        <f>rates[[#This Row],[EUR/INR]]/C169-1</f>
        <v>0</v>
      </c>
      <c r="G170" s="6">
        <f>rates[[#This Row],[WTI Crude]]/D169-1</f>
        <v>0</v>
      </c>
    </row>
    <row r="171" spans="1:7" x14ac:dyDescent="0.3">
      <c r="A171" s="1">
        <v>45254</v>
      </c>
      <c r="B171">
        <f xml:space="preserve"> SUMIFS(market_prices!$E:$E,market_prices!$B:$B,$A171,market_prices!$C:$C,B$1)</f>
        <v>83.34</v>
      </c>
      <c r="C171">
        <f xml:space="preserve"> SUMIFS(market_prices!$E:$E,market_prices!$B:$B,$A171,market_prices!$C:$C,C$1)</f>
        <v>91.123999999999995</v>
      </c>
      <c r="D171">
        <f xml:space="preserve"> SUMIFS(market_prices!$E:$E,market_prices!$B:$B,$A171,market_prices!$C:$C,D$1)</f>
        <v>74.83</v>
      </c>
      <c r="E171" s="6">
        <f t="shared" si="2"/>
        <v>6.003121623243679E-4</v>
      </c>
      <c r="F171" s="6">
        <f>rates[[#This Row],[EUR/INR]]/C170-1</f>
        <v>6.3990563766365138E-3</v>
      </c>
      <c r="G171" s="6">
        <f>rates[[#This Row],[WTI Crude]]/D170-1</f>
        <v>-2.5651041666666652E-2</v>
      </c>
    </row>
    <row r="172" spans="1:7" x14ac:dyDescent="0.3">
      <c r="A172" s="1">
        <v>45257</v>
      </c>
      <c r="B172">
        <f xml:space="preserve"> SUMIFS(market_prices!$E:$E,market_prices!$B:$B,$A172,market_prices!$C:$C,B$1)</f>
        <v>83.34</v>
      </c>
      <c r="C172">
        <f xml:space="preserve"> SUMIFS(market_prices!$E:$E,market_prices!$B:$B,$A172,market_prices!$C:$C,C$1)</f>
        <v>91.149000000000001</v>
      </c>
      <c r="D172">
        <f xml:space="preserve"> SUMIFS(market_prices!$E:$E,market_prices!$B:$B,$A172,market_prices!$C:$C,D$1)</f>
        <v>74.459999999999994</v>
      </c>
      <c r="E172" s="6">
        <f t="shared" si="2"/>
        <v>0</v>
      </c>
      <c r="F172" s="6">
        <f>rates[[#This Row],[EUR/INR]]/C171-1</f>
        <v>2.7435143321197231E-4</v>
      </c>
      <c r="G172" s="6">
        <f>rates[[#This Row],[WTI Crude]]/D171-1</f>
        <v>-4.9445409595082479E-3</v>
      </c>
    </row>
    <row r="173" spans="1:7" x14ac:dyDescent="0.3">
      <c r="A173" s="1">
        <v>45258</v>
      </c>
      <c r="B173">
        <f xml:space="preserve"> SUMIFS(market_prices!$E:$E,market_prices!$B:$B,$A173,market_prices!$C:$C,B$1)</f>
        <v>83.33</v>
      </c>
      <c r="C173">
        <f xml:space="preserve"> SUMIFS(market_prices!$E:$E,market_prices!$B:$B,$A173,market_prices!$C:$C,C$1)</f>
        <v>91.721299999999999</v>
      </c>
      <c r="D173">
        <f xml:space="preserve"> SUMIFS(market_prices!$E:$E,market_prices!$B:$B,$A173,market_prices!$C:$C,D$1)</f>
        <v>76.09</v>
      </c>
      <c r="E173" s="6">
        <f t="shared" si="2"/>
        <v>-1.1999040076804413E-4</v>
      </c>
      <c r="F173" s="6">
        <f>rates[[#This Row],[EUR/INR]]/C172-1</f>
        <v>6.2787304303941749E-3</v>
      </c>
      <c r="G173" s="6">
        <f>rates[[#This Row],[WTI Crude]]/D172-1</f>
        <v>2.1890948160086188E-2</v>
      </c>
    </row>
    <row r="174" spans="1:7" x14ac:dyDescent="0.3">
      <c r="A174" s="1">
        <v>45259</v>
      </c>
      <c r="B174">
        <f xml:space="preserve"> SUMIFS(market_prices!$E:$E,market_prices!$B:$B,$A174,market_prices!$C:$C,B$1)</f>
        <v>83.31</v>
      </c>
      <c r="C174">
        <f xml:space="preserve"> SUMIFS(market_prices!$E:$E,market_prices!$B:$B,$A174,market_prices!$C:$C,C$1)</f>
        <v>91.3827</v>
      </c>
      <c r="D174">
        <f xml:space="preserve"> SUMIFS(market_prices!$E:$E,market_prices!$B:$B,$A174,market_prices!$C:$C,D$1)</f>
        <v>77.56</v>
      </c>
      <c r="E174" s="6">
        <f t="shared" si="2"/>
        <v>-2.4000960038395025E-4</v>
      </c>
      <c r="F174" s="6">
        <f>rates[[#This Row],[EUR/INR]]/C173-1</f>
        <v>-3.691617977503614E-3</v>
      </c>
      <c r="G174" s="6">
        <f>rates[[#This Row],[WTI Crude]]/D173-1</f>
        <v>1.931922723091084E-2</v>
      </c>
    </row>
    <row r="175" spans="1:7" x14ac:dyDescent="0.3">
      <c r="A175" s="1">
        <v>45260</v>
      </c>
      <c r="B175">
        <f xml:space="preserve"> SUMIFS(market_prices!$E:$E,market_prices!$B:$B,$A175,market_prices!$C:$C,B$1)</f>
        <v>83.36</v>
      </c>
      <c r="C175">
        <f xml:space="preserve"> SUMIFS(market_prices!$E:$E,market_prices!$B:$B,$A175,market_prices!$C:$C,C$1)</f>
        <v>90.929100000000005</v>
      </c>
      <c r="D175">
        <f xml:space="preserve"> SUMIFS(market_prices!$E:$E,market_prices!$B:$B,$A175,market_prices!$C:$C,D$1)</f>
        <v>75.66</v>
      </c>
      <c r="E175" s="6">
        <f t="shared" si="2"/>
        <v>6.0016804705309568E-4</v>
      </c>
      <c r="F175" s="6">
        <f>rates[[#This Row],[EUR/INR]]/C174-1</f>
        <v>-4.9637404016296127E-3</v>
      </c>
      <c r="G175" s="6">
        <f>rates[[#This Row],[WTI Crude]]/D174-1</f>
        <v>-2.449716348633324E-2</v>
      </c>
    </row>
    <row r="176" spans="1:7" x14ac:dyDescent="0.3">
      <c r="A176" s="1">
        <v>45261</v>
      </c>
      <c r="B176">
        <f xml:space="preserve"> SUMIFS(market_prices!$E:$E,market_prices!$B:$B,$A176,market_prices!$C:$C,B$1)</f>
        <v>83.27</v>
      </c>
      <c r="C176">
        <f xml:space="preserve"> SUMIFS(market_prices!$E:$E,market_prices!$B:$B,$A176,market_prices!$C:$C,C$1)</f>
        <v>90.581100000000006</v>
      </c>
      <c r="D176">
        <f xml:space="preserve"> SUMIFS(market_prices!$E:$E,market_prices!$B:$B,$A176,market_prices!$C:$C,D$1)</f>
        <v>73.7</v>
      </c>
      <c r="E176" s="6">
        <f t="shared" si="2"/>
        <v>-1.0796545105566935E-3</v>
      </c>
      <c r="F176" s="6">
        <f>rates[[#This Row],[EUR/INR]]/C175-1</f>
        <v>-3.8271576426028853E-3</v>
      </c>
      <c r="G176" s="6">
        <f>rates[[#This Row],[WTI Crude]]/D175-1</f>
        <v>-2.5905366111551587E-2</v>
      </c>
    </row>
    <row r="177" spans="1:7" x14ac:dyDescent="0.3">
      <c r="A177" s="1">
        <v>45264</v>
      </c>
      <c r="B177">
        <f xml:space="preserve"> SUMIFS(market_prices!$E:$E,market_prices!$B:$B,$A177,market_prices!$C:$C,B$1)</f>
        <v>83.4</v>
      </c>
      <c r="C177">
        <f xml:space="preserve"> SUMIFS(market_prices!$E:$E,market_prices!$B:$B,$A177,market_prices!$C:$C,C$1)</f>
        <v>90.272199999999998</v>
      </c>
      <c r="D177">
        <f xml:space="preserve"> SUMIFS(market_prices!$E:$E,market_prices!$B:$B,$A177,market_prices!$C:$C,D$1)</f>
        <v>72.73</v>
      </c>
      <c r="E177" s="6">
        <f t="shared" si="2"/>
        <v>1.5611865017415294E-3</v>
      </c>
      <c r="F177" s="6">
        <f>rates[[#This Row],[EUR/INR]]/C176-1</f>
        <v>-3.4102036738349328E-3</v>
      </c>
      <c r="G177" s="6">
        <f>rates[[#This Row],[WTI Crude]]/D176-1</f>
        <v>-1.3161465400271299E-2</v>
      </c>
    </row>
    <row r="178" spans="1:7" x14ac:dyDescent="0.3">
      <c r="A178" s="1">
        <v>45265</v>
      </c>
      <c r="B178">
        <f xml:space="preserve"> SUMIFS(market_prices!$E:$E,market_prices!$B:$B,$A178,market_prices!$C:$C,B$1)</f>
        <v>83.33</v>
      </c>
      <c r="C178">
        <f xml:space="preserve"> SUMIFS(market_prices!$E:$E,market_prices!$B:$B,$A178,market_prices!$C:$C,C$1)</f>
        <v>89.888099999999994</v>
      </c>
      <c r="D178">
        <f xml:space="preserve"> SUMIFS(market_prices!$E:$E,market_prices!$B:$B,$A178,market_prices!$C:$C,D$1)</f>
        <v>71.95</v>
      </c>
      <c r="E178" s="6">
        <f t="shared" si="2"/>
        <v>-8.393285371703918E-4</v>
      </c>
      <c r="F178" s="6">
        <f>rates[[#This Row],[EUR/INR]]/C177-1</f>
        <v>-4.2549090417648427E-3</v>
      </c>
      <c r="G178" s="6">
        <f>rates[[#This Row],[WTI Crude]]/D177-1</f>
        <v>-1.0724597827581506E-2</v>
      </c>
    </row>
    <row r="179" spans="1:7" x14ac:dyDescent="0.3">
      <c r="A179" s="1">
        <v>45266</v>
      </c>
      <c r="B179">
        <f xml:space="preserve"> SUMIFS(market_prices!$E:$E,market_prices!$B:$B,$A179,market_prices!$C:$C,B$1)</f>
        <v>83.32</v>
      </c>
      <c r="C179">
        <f xml:space="preserve"> SUMIFS(market_prices!$E:$E,market_prices!$B:$B,$A179,market_prices!$C:$C,C$1)</f>
        <v>89.902299999999997</v>
      </c>
      <c r="D179">
        <f xml:space="preserve"> SUMIFS(market_prices!$E:$E,market_prices!$B:$B,$A179,market_prices!$C:$C,D$1)</f>
        <v>68.98</v>
      </c>
      <c r="E179" s="6">
        <f t="shared" si="2"/>
        <v>-1.2000480019203064E-4</v>
      </c>
      <c r="F179" s="6">
        <f>rates[[#This Row],[EUR/INR]]/C178-1</f>
        <v>1.5797419235696886E-4</v>
      </c>
      <c r="G179" s="6">
        <f>rates[[#This Row],[WTI Crude]]/D178-1</f>
        <v>-4.1278665740097309E-2</v>
      </c>
    </row>
    <row r="180" spans="1:7" x14ac:dyDescent="0.3">
      <c r="A180" s="1">
        <v>45267</v>
      </c>
      <c r="B180">
        <f xml:space="preserve"> SUMIFS(market_prices!$E:$E,market_prices!$B:$B,$A180,market_prices!$C:$C,B$1)</f>
        <v>83.32</v>
      </c>
      <c r="C180">
        <f xml:space="preserve"> SUMIFS(market_prices!$E:$E,market_prices!$B:$B,$A180,market_prices!$C:$C,C$1)</f>
        <v>89.935599999999994</v>
      </c>
      <c r="D180">
        <f xml:space="preserve"> SUMIFS(market_prices!$E:$E,market_prices!$B:$B,$A180,market_prices!$C:$C,D$1)</f>
        <v>69</v>
      </c>
      <c r="E180" s="6">
        <f t="shared" si="2"/>
        <v>0</v>
      </c>
      <c r="F180" s="6">
        <f>rates[[#This Row],[EUR/INR]]/C179-1</f>
        <v>3.7040209204874941E-4</v>
      </c>
      <c r="G180" s="6">
        <f>rates[[#This Row],[WTI Crude]]/D179-1</f>
        <v>2.8993911278618612E-4</v>
      </c>
    </row>
    <row r="181" spans="1:7" x14ac:dyDescent="0.3">
      <c r="A181" s="1">
        <v>45268</v>
      </c>
      <c r="B181">
        <f xml:space="preserve"> SUMIFS(market_prices!$E:$E,market_prices!$B:$B,$A181,market_prices!$C:$C,B$1)</f>
        <v>83.38</v>
      </c>
      <c r="C181">
        <f xml:space="preserve"> SUMIFS(market_prices!$E:$E,market_prices!$B:$B,$A181,market_prices!$C:$C,C$1)</f>
        <v>89.600099999999998</v>
      </c>
      <c r="D181">
        <f xml:space="preserve"> SUMIFS(market_prices!$E:$E,market_prices!$B:$B,$A181,market_prices!$C:$C,D$1)</f>
        <v>70.87</v>
      </c>
      <c r="E181" s="6">
        <f t="shared" si="2"/>
        <v>7.2011521843506898E-4</v>
      </c>
      <c r="F181" s="6">
        <f>rates[[#This Row],[EUR/INR]]/C180-1</f>
        <v>-3.7304471199390843E-3</v>
      </c>
      <c r="G181" s="6">
        <f>rates[[#This Row],[WTI Crude]]/D180-1</f>
        <v>2.7101449275362288E-2</v>
      </c>
    </row>
    <row r="182" spans="1:7" x14ac:dyDescent="0.3">
      <c r="A182" s="1">
        <v>45271</v>
      </c>
      <c r="B182">
        <f xml:space="preserve"> SUMIFS(market_prices!$E:$E,market_prices!$B:$B,$A182,market_prices!$C:$C,B$1)</f>
        <v>83.38</v>
      </c>
      <c r="C182">
        <f xml:space="preserve"> SUMIFS(market_prices!$E:$E,market_prices!$B:$B,$A182,market_prices!$C:$C,C$1)</f>
        <v>89.608500000000006</v>
      </c>
      <c r="D182">
        <f xml:space="preserve"> SUMIFS(market_prices!$E:$E,market_prices!$B:$B,$A182,market_prices!$C:$C,D$1)</f>
        <v>70.95</v>
      </c>
      <c r="E182" s="6">
        <f t="shared" si="2"/>
        <v>0</v>
      </c>
      <c r="F182" s="6">
        <f>rates[[#This Row],[EUR/INR]]/C181-1</f>
        <v>9.3749895368588909E-5</v>
      </c>
      <c r="G182" s="6">
        <f>rates[[#This Row],[WTI Crude]]/D181-1</f>
        <v>1.1288274305065737E-3</v>
      </c>
    </row>
    <row r="183" spans="1:7" x14ac:dyDescent="0.3">
      <c r="A183" s="1">
        <v>45272</v>
      </c>
      <c r="B183">
        <f xml:space="preserve"> SUMIFS(market_prices!$E:$E,market_prices!$B:$B,$A183,market_prices!$C:$C,B$1)</f>
        <v>83.37</v>
      </c>
      <c r="C183">
        <f xml:space="preserve"> SUMIFS(market_prices!$E:$E,market_prices!$B:$B,$A183,market_prices!$C:$C,C$1)</f>
        <v>89.956199999999995</v>
      </c>
      <c r="D183">
        <f xml:space="preserve"> SUMIFS(market_prices!$E:$E,market_prices!$B:$B,$A183,market_prices!$C:$C,D$1)</f>
        <v>68.27</v>
      </c>
      <c r="E183" s="6">
        <f t="shared" si="2"/>
        <v>-1.1993283761080331E-4</v>
      </c>
      <c r="F183" s="6">
        <f>rates[[#This Row],[EUR/INR]]/C182-1</f>
        <v>3.8802122566496955E-3</v>
      </c>
      <c r="G183" s="6">
        <f>rates[[#This Row],[WTI Crude]]/D182-1</f>
        <v>-3.7773079633544815E-2</v>
      </c>
    </row>
    <row r="184" spans="1:7" x14ac:dyDescent="0.3">
      <c r="A184" s="1">
        <v>45273</v>
      </c>
      <c r="B184">
        <f xml:space="preserve"> SUMIFS(market_prices!$E:$E,market_prices!$B:$B,$A184,market_prices!$C:$C,B$1)</f>
        <v>83.4</v>
      </c>
      <c r="C184">
        <f xml:space="preserve"> SUMIFS(market_prices!$E:$E,market_prices!$B:$B,$A184,market_prices!$C:$C,C$1)</f>
        <v>90.013599999999997</v>
      </c>
      <c r="D184">
        <f xml:space="preserve"> SUMIFS(market_prices!$E:$E,market_prices!$B:$B,$A184,market_prices!$C:$C,D$1)</f>
        <v>69.09</v>
      </c>
      <c r="E184" s="6">
        <f t="shared" si="2"/>
        <v>3.5984166966529507E-4</v>
      </c>
      <c r="F184" s="6">
        <f>rates[[#This Row],[EUR/INR]]/C183-1</f>
        <v>6.380883140906235E-4</v>
      </c>
      <c r="G184" s="6">
        <f>rates[[#This Row],[WTI Crude]]/D183-1</f>
        <v>1.2011132268932245E-2</v>
      </c>
    </row>
    <row r="185" spans="1:7" x14ac:dyDescent="0.3">
      <c r="A185" s="1">
        <v>45274</v>
      </c>
      <c r="B185">
        <f xml:space="preserve"> SUMIFS(market_prices!$E:$E,market_prices!$B:$B,$A185,market_prices!$C:$C,B$1)</f>
        <v>83.28</v>
      </c>
      <c r="C185">
        <f xml:space="preserve"> SUMIFS(market_prices!$E:$E,market_prices!$B:$B,$A185,market_prices!$C:$C,C$1)</f>
        <v>91.582999999999998</v>
      </c>
      <c r="D185">
        <f xml:space="preserve"> SUMIFS(market_prices!$E:$E,market_prices!$B:$B,$A185,market_prices!$C:$C,D$1)</f>
        <v>71.209999999999994</v>
      </c>
      <c r="E185" s="6">
        <f t="shared" si="2"/>
        <v>-1.4388489208633226E-3</v>
      </c>
      <c r="F185" s="6">
        <f>rates[[#This Row],[EUR/INR]]/C184-1</f>
        <v>1.7435143133926356E-2</v>
      </c>
      <c r="G185" s="6">
        <f>rates[[#This Row],[WTI Crude]]/D184-1</f>
        <v>3.0684614271240251E-2</v>
      </c>
    </row>
    <row r="186" spans="1:7" x14ac:dyDescent="0.3">
      <c r="A186" s="1">
        <v>45275</v>
      </c>
      <c r="B186">
        <f xml:space="preserve"> SUMIFS(market_prices!$E:$E,market_prices!$B:$B,$A186,market_prices!$C:$C,B$1)</f>
        <v>83.02</v>
      </c>
      <c r="C186">
        <f xml:space="preserve"> SUMIFS(market_prices!$E:$E,market_prices!$B:$B,$A186,market_prices!$C:$C,C$1)</f>
        <v>90.541600000000003</v>
      </c>
      <c r="D186">
        <f xml:space="preserve"> SUMIFS(market_prices!$E:$E,market_prices!$B:$B,$A186,market_prices!$C:$C,D$1)</f>
        <v>71.05</v>
      </c>
      <c r="E186" s="6">
        <f t="shared" si="2"/>
        <v>-3.1219980787704493E-3</v>
      </c>
      <c r="F186" s="6">
        <f>rates[[#This Row],[EUR/INR]]/C185-1</f>
        <v>-1.1371105991286545E-2</v>
      </c>
      <c r="G186" s="6">
        <f>rates[[#This Row],[WTI Crude]]/D185-1</f>
        <v>-2.2468754388428325E-3</v>
      </c>
    </row>
    <row r="187" spans="1:7" x14ac:dyDescent="0.3">
      <c r="A187" s="1">
        <v>45278</v>
      </c>
      <c r="B187">
        <f xml:space="preserve"> SUMIFS(market_prices!$E:$E,market_prices!$B:$B,$A187,market_prices!$C:$C,B$1)</f>
        <v>83.04</v>
      </c>
      <c r="C187">
        <f xml:space="preserve"> SUMIFS(market_prices!$E:$E,market_prices!$B:$B,$A187,market_prices!$C:$C,C$1)</f>
        <v>90.679699999999997</v>
      </c>
      <c r="D187">
        <f xml:space="preserve"> SUMIFS(market_prices!$E:$E,market_prices!$B:$B,$A187,market_prices!$C:$C,D$1)</f>
        <v>72.16</v>
      </c>
      <c r="E187" s="6">
        <f t="shared" si="2"/>
        <v>2.4090580583013832E-4</v>
      </c>
      <c r="F187" s="6">
        <f>rates[[#This Row],[EUR/INR]]/C186-1</f>
        <v>1.5252657342039733E-3</v>
      </c>
      <c r="G187" s="6">
        <f>rates[[#This Row],[WTI Crude]]/D186-1</f>
        <v>1.5622800844475648E-2</v>
      </c>
    </row>
    <row r="188" spans="1:7" x14ac:dyDescent="0.3">
      <c r="A188" s="1">
        <v>45279</v>
      </c>
      <c r="B188">
        <f xml:space="preserve"> SUMIFS(market_prices!$E:$E,market_prices!$B:$B,$A188,market_prices!$C:$C,B$1)</f>
        <v>83.18</v>
      </c>
      <c r="C188">
        <f xml:space="preserve"> SUMIFS(market_prices!$E:$E,market_prices!$B:$B,$A188,market_prices!$C:$C,C$1)</f>
        <v>91.306700000000006</v>
      </c>
      <c r="D188">
        <f xml:space="preserve"> SUMIFS(market_prices!$E:$E,market_prices!$B:$B,$A188,market_prices!$C:$C,D$1)</f>
        <v>73.23</v>
      </c>
      <c r="E188" s="6">
        <f t="shared" si="2"/>
        <v>1.6859344894026851E-3</v>
      </c>
      <c r="F188" s="6">
        <f>rates[[#This Row],[EUR/INR]]/C187-1</f>
        <v>6.914447224682041E-3</v>
      </c>
      <c r="G188" s="6">
        <f>rates[[#This Row],[WTI Crude]]/D187-1</f>
        <v>1.4828159645232875E-2</v>
      </c>
    </row>
    <row r="189" spans="1:7" x14ac:dyDescent="0.3">
      <c r="A189" s="1">
        <v>45280</v>
      </c>
      <c r="B189">
        <f xml:space="preserve"> SUMIFS(market_prices!$E:$E,market_prices!$B:$B,$A189,market_prices!$C:$C,B$1)</f>
        <v>83.14</v>
      </c>
      <c r="C189">
        <f xml:space="preserve"> SUMIFS(market_prices!$E:$E,market_prices!$B:$B,$A189,market_prices!$C:$C,C$1)</f>
        <v>91.096500000000006</v>
      </c>
      <c r="D189">
        <f xml:space="preserve"> SUMIFS(market_prices!$E:$E,market_prices!$B:$B,$A189,market_prices!$C:$C,D$1)</f>
        <v>73.87</v>
      </c>
      <c r="E189" s="6">
        <f t="shared" si="2"/>
        <v>-4.8088482808372746E-4</v>
      </c>
      <c r="F189" s="6">
        <f>rates[[#This Row],[EUR/INR]]/C188-1</f>
        <v>-2.3021311689065405E-3</v>
      </c>
      <c r="G189" s="6">
        <f>rates[[#This Row],[WTI Crude]]/D188-1</f>
        <v>8.7395876007101414E-3</v>
      </c>
    </row>
    <row r="190" spans="1:7" x14ac:dyDescent="0.3">
      <c r="A190" s="1">
        <v>45281</v>
      </c>
      <c r="B190">
        <f xml:space="preserve"> SUMIFS(market_prices!$E:$E,market_prices!$B:$B,$A190,market_prices!$C:$C,B$1)</f>
        <v>83.27</v>
      </c>
      <c r="C190">
        <f xml:space="preserve"> SUMIFS(market_prices!$E:$E,market_prices!$B:$B,$A190,market_prices!$C:$C,C$1)</f>
        <v>91.5137</v>
      </c>
      <c r="D190">
        <f xml:space="preserve"> SUMIFS(market_prices!$E:$E,market_prices!$B:$B,$A190,market_prices!$C:$C,D$1)</f>
        <v>73.59</v>
      </c>
      <c r="E190" s="6">
        <f t="shared" si="2"/>
        <v>1.5636276160693185E-3</v>
      </c>
      <c r="F190" s="6">
        <f>rates[[#This Row],[EUR/INR]]/C189-1</f>
        <v>4.579758827177649E-3</v>
      </c>
      <c r="G190" s="6">
        <f>rates[[#This Row],[WTI Crude]]/D189-1</f>
        <v>-3.7904426695546389E-3</v>
      </c>
    </row>
    <row r="191" spans="1:7" x14ac:dyDescent="0.3">
      <c r="A191" s="1">
        <v>45282</v>
      </c>
      <c r="B191">
        <f xml:space="preserve"> SUMIFS(market_prices!$E:$E,market_prices!$B:$B,$A191,market_prices!$C:$C,B$1)</f>
        <v>83.12</v>
      </c>
      <c r="C191">
        <f xml:space="preserve"> SUMIFS(market_prices!$E:$E,market_prices!$B:$B,$A191,market_prices!$C:$C,C$1)</f>
        <v>91.498500000000007</v>
      </c>
      <c r="D191">
        <f xml:space="preserve"> SUMIFS(market_prices!$E:$E,market_prices!$B:$B,$A191,market_prices!$C:$C,D$1)</f>
        <v>73.290000000000006</v>
      </c>
      <c r="E191" s="6">
        <f t="shared" si="2"/>
        <v>-1.8013690404706795E-3</v>
      </c>
      <c r="F191" s="6">
        <f>rates[[#This Row],[EUR/INR]]/C190-1</f>
        <v>-1.6609534965794648E-4</v>
      </c>
      <c r="G191" s="6">
        <f>rates[[#This Row],[WTI Crude]]/D190-1</f>
        <v>-4.0766408479412375E-3</v>
      </c>
    </row>
    <row r="192" spans="1:7" x14ac:dyDescent="0.3">
      <c r="A192" s="1">
        <v>45285</v>
      </c>
      <c r="B192">
        <f xml:space="preserve"> SUMIFS(market_prices!$E:$E,market_prices!$B:$B,$A192,market_prices!$C:$C,B$1)</f>
        <v>83.12</v>
      </c>
      <c r="C192">
        <f xml:space="preserve"> SUMIFS(market_prices!$E:$E,market_prices!$B:$B,$A192,market_prices!$C:$C,C$1)</f>
        <v>91.498500000000007</v>
      </c>
      <c r="D192">
        <f xml:space="preserve"> SUMIFS(market_prices!$E:$E,market_prices!$B:$B,$A192,market_prices!$C:$C,D$1)</f>
        <v>73.290000000000006</v>
      </c>
      <c r="E192" s="6">
        <f t="shared" si="2"/>
        <v>0</v>
      </c>
      <c r="F192" s="6">
        <f>rates[[#This Row],[EUR/INR]]/C191-1</f>
        <v>0</v>
      </c>
      <c r="G192" s="6">
        <f>rates[[#This Row],[WTI Crude]]/D191-1</f>
        <v>0</v>
      </c>
    </row>
    <row r="193" spans="1:7" x14ac:dyDescent="0.3">
      <c r="A193" s="1">
        <v>45286</v>
      </c>
      <c r="B193">
        <f xml:space="preserve"> SUMIFS(market_prices!$E:$E,market_prices!$B:$B,$A193,market_prices!$C:$C,B$1)</f>
        <v>83.17</v>
      </c>
      <c r="C193">
        <f xml:space="preserve"> SUMIFS(market_prices!$E:$E,market_prices!$B:$B,$A193,market_prices!$C:$C,C$1)</f>
        <v>91.778099999999995</v>
      </c>
      <c r="D193">
        <f xml:space="preserve"> SUMIFS(market_prices!$E:$E,market_prices!$B:$B,$A193,market_prices!$C:$C,D$1)</f>
        <v>75.84</v>
      </c>
      <c r="E193" s="6">
        <f t="shared" si="2"/>
        <v>6.0153994225209395E-4</v>
      </c>
      <c r="F193" s="6">
        <f>rates[[#This Row],[EUR/INR]]/C192-1</f>
        <v>3.0557877997998695E-3</v>
      </c>
      <c r="G193" s="6">
        <f>rates[[#This Row],[WTI Crude]]/D192-1</f>
        <v>3.4793286942284007E-2</v>
      </c>
    </row>
    <row r="194" spans="1:7" x14ac:dyDescent="0.3">
      <c r="A194" s="1">
        <v>45287</v>
      </c>
      <c r="B194">
        <f xml:space="preserve"> SUMIFS(market_prices!$E:$E,market_prices!$B:$B,$A194,market_prices!$C:$C,B$1)</f>
        <v>83.35</v>
      </c>
      <c r="C194">
        <f xml:space="preserve"> SUMIFS(market_prices!$E:$E,market_prices!$B:$B,$A194,market_prices!$C:$C,C$1)</f>
        <v>92.635199999999998</v>
      </c>
      <c r="D194">
        <f xml:space="preserve"> SUMIFS(market_prices!$E:$E,market_prices!$B:$B,$A194,market_prices!$C:$C,D$1)</f>
        <v>74.31</v>
      </c>
      <c r="E194" s="6">
        <f t="shared" ref="E194:E257" si="3">B194/B193-1</f>
        <v>2.1642419141516545E-3</v>
      </c>
      <c r="F194" s="6">
        <f>rates[[#This Row],[EUR/INR]]/C193-1</f>
        <v>9.3388291978151461E-3</v>
      </c>
      <c r="G194" s="6">
        <f>rates[[#This Row],[WTI Crude]]/D193-1</f>
        <v>-2.0174050632911444E-2</v>
      </c>
    </row>
    <row r="195" spans="1:7" x14ac:dyDescent="0.3">
      <c r="A195" s="1">
        <v>45288</v>
      </c>
      <c r="B195">
        <f xml:space="preserve"> SUMIFS(market_prices!$E:$E,market_prices!$B:$B,$A195,market_prices!$C:$C,B$1)</f>
        <v>83.15</v>
      </c>
      <c r="C195">
        <f xml:space="preserve"> SUMIFS(market_prices!$E:$E,market_prices!$B:$B,$A195,market_prices!$C:$C,C$1)</f>
        <v>92.072000000000003</v>
      </c>
      <c r="D195">
        <f xml:space="preserve"> SUMIFS(market_prices!$E:$E,market_prices!$B:$B,$A195,market_prices!$C:$C,D$1)</f>
        <v>72.02</v>
      </c>
      <c r="E195" s="6">
        <f t="shared" si="3"/>
        <v>-2.3995200959806562E-3</v>
      </c>
      <c r="F195" s="6">
        <f>rates[[#This Row],[EUR/INR]]/C194-1</f>
        <v>-6.0797623365631548E-3</v>
      </c>
      <c r="G195" s="6">
        <f>rates[[#This Row],[WTI Crude]]/D194-1</f>
        <v>-3.0816848338043434E-2</v>
      </c>
    </row>
    <row r="196" spans="1:7" x14ac:dyDescent="0.3">
      <c r="A196" s="1">
        <v>45289</v>
      </c>
      <c r="B196">
        <f xml:space="preserve"> SUMIFS(market_prices!$E:$E,market_prices!$B:$B,$A196,market_prices!$C:$C,B$1)</f>
        <v>83.19</v>
      </c>
      <c r="C196">
        <f xml:space="preserve"> SUMIFS(market_prices!$E:$E,market_prices!$B:$B,$A196,market_prices!$C:$C,C$1)</f>
        <v>92.024799999999999</v>
      </c>
      <c r="D196">
        <f xml:space="preserve"> SUMIFS(market_prices!$E:$E,market_prices!$B:$B,$A196,market_prices!$C:$C,D$1)</f>
        <v>71.89</v>
      </c>
      <c r="E196" s="6">
        <f t="shared" si="3"/>
        <v>4.8105832832212592E-4</v>
      </c>
      <c r="F196" s="6">
        <f>rates[[#This Row],[EUR/INR]]/C195-1</f>
        <v>-5.1264227995484468E-4</v>
      </c>
      <c r="G196" s="6">
        <f>rates[[#This Row],[WTI Crude]]/D195-1</f>
        <v>-1.8050541516244634E-3</v>
      </c>
    </row>
    <row r="197" spans="1:7" x14ac:dyDescent="0.3">
      <c r="A197" s="1">
        <v>45292</v>
      </c>
      <c r="B197">
        <f xml:space="preserve"> SUMIFS(market_prices!$E:$E,market_prices!$B:$B,$A197,market_prices!$C:$C,B$1)</f>
        <v>83.19</v>
      </c>
      <c r="C197">
        <f xml:space="preserve"> SUMIFS(market_prices!$E:$E,market_prices!$B:$B,$A197,market_prices!$C:$C,C$1)</f>
        <v>92.024799999999999</v>
      </c>
      <c r="D197">
        <f xml:space="preserve"> SUMIFS(market_prices!$E:$E,market_prices!$B:$B,$A197,market_prices!$C:$C,D$1)</f>
        <v>71.89</v>
      </c>
      <c r="E197" s="6">
        <f t="shared" si="3"/>
        <v>0</v>
      </c>
      <c r="F197" s="6">
        <f>rates[[#This Row],[EUR/INR]]/C196-1</f>
        <v>0</v>
      </c>
      <c r="G197" s="6">
        <f>rates[[#This Row],[WTI Crude]]/D196-1</f>
        <v>0</v>
      </c>
    </row>
    <row r="198" spans="1:7" x14ac:dyDescent="0.3">
      <c r="A198" s="1">
        <v>45293</v>
      </c>
      <c r="B198">
        <f xml:space="preserve"> SUMIFS(market_prices!$E:$E,market_prices!$B:$B,$A198,market_prices!$C:$C,B$1)</f>
        <v>83.31</v>
      </c>
      <c r="C198">
        <f xml:space="preserve"> SUMIFS(market_prices!$E:$E,market_prices!$B:$B,$A198,market_prices!$C:$C,C$1)</f>
        <v>91.282799999999995</v>
      </c>
      <c r="D198">
        <f xml:space="preserve"> SUMIFS(market_prices!$E:$E,market_prices!$B:$B,$A198,market_prices!$C:$C,D$1)</f>
        <v>70.62</v>
      </c>
      <c r="E198" s="6">
        <f t="shared" si="3"/>
        <v>1.4424810674360522E-3</v>
      </c>
      <c r="F198" s="6">
        <f>rates[[#This Row],[EUR/INR]]/C197-1</f>
        <v>-8.0630438751293498E-3</v>
      </c>
      <c r="G198" s="6">
        <f>rates[[#This Row],[WTI Crude]]/D197-1</f>
        <v>-1.7665878425372039E-2</v>
      </c>
    </row>
    <row r="199" spans="1:7" x14ac:dyDescent="0.3">
      <c r="A199" s="1">
        <v>45294</v>
      </c>
      <c r="B199">
        <f xml:space="preserve"> SUMIFS(market_prices!$E:$E,market_prices!$B:$B,$A199,market_prices!$C:$C,B$1)</f>
        <v>83.3</v>
      </c>
      <c r="C199">
        <f xml:space="preserve"> SUMIFS(market_prices!$E:$E,market_prices!$B:$B,$A199,market_prices!$C:$C,C$1)</f>
        <v>90.872</v>
      </c>
      <c r="D199">
        <f xml:space="preserve"> SUMIFS(market_prices!$E:$E,market_prices!$B:$B,$A199,market_prices!$C:$C,D$1)</f>
        <v>72.97</v>
      </c>
      <c r="E199" s="6">
        <f t="shared" si="3"/>
        <v>-1.2003360941070795E-4</v>
      </c>
      <c r="F199" s="6">
        <f>rates[[#This Row],[EUR/INR]]/C198-1</f>
        <v>-4.5003001660772757E-3</v>
      </c>
      <c r="G199" s="6">
        <f>rates[[#This Row],[WTI Crude]]/D198-1</f>
        <v>3.3276692155196796E-2</v>
      </c>
    </row>
    <row r="200" spans="1:7" x14ac:dyDescent="0.3">
      <c r="A200" s="1">
        <v>45295</v>
      </c>
      <c r="B200">
        <f xml:space="preserve"> SUMIFS(market_prices!$E:$E,market_prices!$B:$B,$A200,market_prices!$C:$C,B$1)</f>
        <v>83.21</v>
      </c>
      <c r="C200">
        <f xml:space="preserve"> SUMIFS(market_prices!$E:$E,market_prices!$B:$B,$A200,market_prices!$C:$C,C$1)</f>
        <v>91.173199999999994</v>
      </c>
      <c r="D200">
        <f xml:space="preserve"> SUMIFS(market_prices!$E:$E,market_prices!$B:$B,$A200,market_prices!$C:$C,D$1)</f>
        <v>72.38</v>
      </c>
      <c r="E200" s="6">
        <f t="shared" si="3"/>
        <v>-1.080432172869239E-3</v>
      </c>
      <c r="F200" s="6">
        <f>rates[[#This Row],[EUR/INR]]/C199-1</f>
        <v>3.3145523373536712E-3</v>
      </c>
      <c r="G200" s="6">
        <f>rates[[#This Row],[WTI Crude]]/D199-1</f>
        <v>-8.0855145950391449E-3</v>
      </c>
    </row>
    <row r="201" spans="1:7" x14ac:dyDescent="0.3">
      <c r="A201" s="1">
        <v>45296</v>
      </c>
      <c r="B201">
        <f xml:space="preserve"> SUMIFS(market_prices!$E:$E,market_prices!$B:$B,$A201,market_prices!$C:$C,B$1)</f>
        <v>83.16</v>
      </c>
      <c r="C201">
        <f xml:space="preserve"> SUMIFS(market_prices!$E:$E,market_prices!$B:$B,$A201,market_prices!$C:$C,C$1)</f>
        <v>91.118399999999994</v>
      </c>
      <c r="D201">
        <f xml:space="preserve"> SUMIFS(market_prices!$E:$E,market_prices!$B:$B,$A201,market_prices!$C:$C,D$1)</f>
        <v>74</v>
      </c>
      <c r="E201" s="6">
        <f t="shared" si="3"/>
        <v>-6.0088931618795804E-4</v>
      </c>
      <c r="F201" s="6">
        <f>rates[[#This Row],[EUR/INR]]/C200-1</f>
        <v>-6.0105381844666184E-4</v>
      </c>
      <c r="G201" s="6">
        <f>rates[[#This Row],[WTI Crude]]/D200-1</f>
        <v>2.2381873445703304E-2</v>
      </c>
    </row>
    <row r="202" spans="1:7" x14ac:dyDescent="0.3">
      <c r="A202" s="1">
        <v>45299</v>
      </c>
      <c r="B202">
        <f xml:space="preserve"> SUMIFS(market_prices!$E:$E,market_prices!$B:$B,$A202,market_prices!$C:$C,B$1)</f>
        <v>83.13</v>
      </c>
      <c r="C202">
        <f xml:space="preserve"> SUMIFS(market_prices!$E:$E,market_prices!$B:$B,$A202,market_prices!$C:$C,C$1)</f>
        <v>91.243499999999997</v>
      </c>
      <c r="D202">
        <f xml:space="preserve"> SUMIFS(market_prices!$E:$E,market_prices!$B:$B,$A202,market_prices!$C:$C,D$1)</f>
        <v>71.06</v>
      </c>
      <c r="E202" s="6">
        <f t="shared" si="3"/>
        <v>-3.6075036075033928E-4</v>
      </c>
      <c r="F202" s="6">
        <f>rates[[#This Row],[EUR/INR]]/C201-1</f>
        <v>1.3729389453722707E-3</v>
      </c>
      <c r="G202" s="6">
        <f>rates[[#This Row],[WTI Crude]]/D201-1</f>
        <v>-3.9729729729729657E-2</v>
      </c>
    </row>
    <row r="203" spans="1:7" x14ac:dyDescent="0.3">
      <c r="A203" s="1">
        <v>45300</v>
      </c>
      <c r="B203">
        <f xml:space="preserve"> SUMIFS(market_prices!$E:$E,market_prices!$B:$B,$A203,market_prices!$C:$C,B$1)</f>
        <v>83.09</v>
      </c>
      <c r="C203">
        <f xml:space="preserve"> SUMIFS(market_prices!$E:$E,market_prices!$B:$B,$A203,market_prices!$C:$C,C$1)</f>
        <v>90.858900000000006</v>
      </c>
      <c r="D203">
        <f xml:space="preserve"> SUMIFS(market_prices!$E:$E,market_prices!$B:$B,$A203,market_prices!$C:$C,D$1)</f>
        <v>72.430000000000007</v>
      </c>
      <c r="E203" s="6">
        <f t="shared" si="3"/>
        <v>-4.8117406471781532E-4</v>
      </c>
      <c r="F203" s="6">
        <f>rates[[#This Row],[EUR/INR]]/C202-1</f>
        <v>-4.2150947738741618E-3</v>
      </c>
      <c r="G203" s="6">
        <f>rates[[#This Row],[WTI Crude]]/D202-1</f>
        <v>1.9279482127779302E-2</v>
      </c>
    </row>
    <row r="204" spans="1:7" x14ac:dyDescent="0.3">
      <c r="A204" s="1">
        <v>45301</v>
      </c>
      <c r="B204">
        <f xml:space="preserve"> SUMIFS(market_prices!$E:$E,market_prices!$B:$B,$A204,market_prices!$C:$C,B$1)</f>
        <v>83.01</v>
      </c>
      <c r="C204">
        <f xml:space="preserve"> SUMIFS(market_prices!$E:$E,market_prices!$B:$B,$A204,market_prices!$C:$C,C$1)</f>
        <v>90.978999999999999</v>
      </c>
      <c r="D204">
        <f xml:space="preserve"> SUMIFS(market_prices!$E:$E,market_prices!$B:$B,$A204,market_prices!$C:$C,D$1)</f>
        <v>71.569999999999993</v>
      </c>
      <c r="E204" s="6">
        <f t="shared" si="3"/>
        <v>-9.6281140931520071E-4</v>
      </c>
      <c r="F204" s="6">
        <f>rates[[#This Row],[EUR/INR]]/C203-1</f>
        <v>1.3218297822226166E-3</v>
      </c>
      <c r="G204" s="6">
        <f>rates[[#This Row],[WTI Crude]]/D203-1</f>
        <v>-1.1873533066409148E-2</v>
      </c>
    </row>
    <row r="205" spans="1:7" x14ac:dyDescent="0.3">
      <c r="A205" s="1">
        <v>45302</v>
      </c>
      <c r="B205">
        <f xml:space="preserve"> SUMIFS(market_prices!$E:$E,market_prices!$B:$B,$A205,market_prices!$C:$C,B$1)</f>
        <v>83.03</v>
      </c>
      <c r="C205">
        <f xml:space="preserve"> SUMIFS(market_prices!$E:$E,market_prices!$B:$B,$A205,market_prices!$C:$C,C$1)</f>
        <v>90.859700000000004</v>
      </c>
      <c r="D205">
        <f xml:space="preserve"> SUMIFS(market_prices!$E:$E,market_prices!$B:$B,$A205,market_prices!$C:$C,D$1)</f>
        <v>72.150000000000006</v>
      </c>
      <c r="E205" s="6">
        <f t="shared" si="3"/>
        <v>2.4093482712927994E-4</v>
      </c>
      <c r="F205" s="6">
        <f>rates[[#This Row],[EUR/INR]]/C204-1</f>
        <v>-1.3112916167467015E-3</v>
      </c>
      <c r="G205" s="6">
        <f>rates[[#This Row],[WTI Crude]]/D204-1</f>
        <v>8.103954170742167E-3</v>
      </c>
    </row>
    <row r="206" spans="1:7" x14ac:dyDescent="0.3">
      <c r="A206" s="1">
        <v>45303</v>
      </c>
      <c r="B206">
        <f xml:space="preserve"> SUMIFS(market_prices!$E:$E,market_prices!$B:$B,$A206,market_prices!$C:$C,B$1)</f>
        <v>82.92</v>
      </c>
      <c r="C206">
        <f xml:space="preserve"> SUMIFS(market_prices!$E:$E,market_prices!$B:$B,$A206,market_prices!$C:$C,C$1)</f>
        <v>90.872</v>
      </c>
      <c r="D206">
        <f xml:space="preserve"> SUMIFS(market_prices!$E:$E,market_prices!$B:$B,$A206,market_prices!$C:$C,D$1)</f>
        <v>72.94</v>
      </c>
      <c r="E206" s="6">
        <f t="shared" si="3"/>
        <v>-1.324822353366284E-3</v>
      </c>
      <c r="F206" s="6">
        <f>rates[[#This Row],[EUR/INR]]/C205-1</f>
        <v>1.3537354844883609E-4</v>
      </c>
      <c r="G206" s="6">
        <f>rates[[#This Row],[WTI Crude]]/D205-1</f>
        <v>1.094941094941082E-2</v>
      </c>
    </row>
    <row r="207" spans="1:7" x14ac:dyDescent="0.3">
      <c r="A207" s="1">
        <v>45306</v>
      </c>
      <c r="B207">
        <f xml:space="preserve"> SUMIFS(market_prices!$E:$E,market_prices!$B:$B,$A207,market_prices!$C:$C,B$1)</f>
        <v>82.92</v>
      </c>
      <c r="C207">
        <f xml:space="preserve"> SUMIFS(market_prices!$E:$E,market_prices!$B:$B,$A207,market_prices!$C:$C,C$1)</f>
        <v>90.872</v>
      </c>
      <c r="D207">
        <f xml:space="preserve"> SUMIFS(market_prices!$E:$E,market_prices!$B:$B,$A207,market_prices!$C:$C,D$1)</f>
        <v>72.94</v>
      </c>
      <c r="E207" s="6">
        <f t="shared" si="3"/>
        <v>0</v>
      </c>
      <c r="F207" s="6">
        <f>rates[[#This Row],[EUR/INR]]/C206-1</f>
        <v>0</v>
      </c>
      <c r="G207" s="6">
        <f>rates[[#This Row],[WTI Crude]]/D206-1</f>
        <v>0</v>
      </c>
    </row>
    <row r="208" spans="1:7" x14ac:dyDescent="0.3">
      <c r="A208" s="1">
        <v>45307</v>
      </c>
      <c r="B208">
        <f xml:space="preserve"> SUMIFS(market_prices!$E:$E,market_prices!$B:$B,$A208,market_prices!$C:$C,B$1)</f>
        <v>83.05</v>
      </c>
      <c r="C208">
        <f xml:space="preserve"> SUMIFS(market_prices!$E:$E,market_prices!$B:$B,$A208,market_prices!$C:$C,C$1)</f>
        <v>90.375</v>
      </c>
      <c r="D208">
        <f xml:space="preserve"> SUMIFS(market_prices!$E:$E,market_prices!$B:$B,$A208,market_prices!$C:$C,D$1)</f>
        <v>72.63</v>
      </c>
      <c r="E208" s="6">
        <f t="shared" si="3"/>
        <v>1.567776169802082E-3</v>
      </c>
      <c r="F208" s="6">
        <f>rates[[#This Row],[EUR/INR]]/C207-1</f>
        <v>-5.4692314464301894E-3</v>
      </c>
      <c r="G208" s="6">
        <f>rates[[#This Row],[WTI Crude]]/D207-1</f>
        <v>-4.2500685494927248E-3</v>
      </c>
    </row>
    <row r="209" spans="1:7" x14ac:dyDescent="0.3">
      <c r="A209" s="1">
        <v>45308</v>
      </c>
      <c r="B209">
        <f xml:space="preserve"> SUMIFS(market_prices!$E:$E,market_prices!$B:$B,$A209,market_prices!$C:$C,B$1)</f>
        <v>83.14</v>
      </c>
      <c r="C209">
        <f xml:space="preserve"> SUMIFS(market_prices!$E:$E,market_prices!$B:$B,$A209,market_prices!$C:$C,C$1)</f>
        <v>90.273399999999995</v>
      </c>
      <c r="D209">
        <f xml:space="preserve"> SUMIFS(market_prices!$E:$E,market_prices!$B:$B,$A209,market_prices!$C:$C,D$1)</f>
        <v>72.790000000000006</v>
      </c>
      <c r="E209" s="6">
        <f t="shared" si="3"/>
        <v>1.0836845273931583E-3</v>
      </c>
      <c r="F209" s="6">
        <f>rates[[#This Row],[EUR/INR]]/C208-1</f>
        <v>-1.1242047026279733E-3</v>
      </c>
      <c r="G209" s="6">
        <f>rates[[#This Row],[WTI Crude]]/D208-1</f>
        <v>2.202946440864828E-3</v>
      </c>
    </row>
    <row r="210" spans="1:7" x14ac:dyDescent="0.3">
      <c r="A210" s="1">
        <v>45309</v>
      </c>
      <c r="B210">
        <f xml:space="preserve"> SUMIFS(market_prices!$E:$E,market_prices!$B:$B,$A210,market_prices!$C:$C,B$1)</f>
        <v>83.15</v>
      </c>
      <c r="C210">
        <f xml:space="preserve"> SUMIFS(market_prices!$E:$E,market_prices!$B:$B,$A210,market_prices!$C:$C,C$1)</f>
        <v>90.325800000000001</v>
      </c>
      <c r="D210">
        <f xml:space="preserve"> SUMIFS(market_prices!$E:$E,market_prices!$B:$B,$A210,market_prices!$C:$C,D$1)</f>
        <v>74.319999999999993</v>
      </c>
      <c r="E210" s="6">
        <f t="shared" si="3"/>
        <v>1.2027904738998174E-4</v>
      </c>
      <c r="F210" s="6">
        <f>rates[[#This Row],[EUR/INR]]/C209-1</f>
        <v>5.8045891702329655E-4</v>
      </c>
      <c r="G210" s="6">
        <f>rates[[#This Row],[WTI Crude]]/D209-1</f>
        <v>2.1019370792691117E-2</v>
      </c>
    </row>
    <row r="211" spans="1:7" x14ac:dyDescent="0.3">
      <c r="A211" s="1">
        <v>45310</v>
      </c>
      <c r="B211">
        <f xml:space="preserve"> SUMIFS(market_prices!$E:$E,market_prices!$B:$B,$A211,market_prices!$C:$C,B$1)</f>
        <v>83.09</v>
      </c>
      <c r="C211">
        <f xml:space="preserve"> SUMIFS(market_prices!$E:$E,market_prices!$B:$B,$A211,market_prices!$C:$C,C$1)</f>
        <v>90.460099999999997</v>
      </c>
      <c r="D211">
        <f xml:space="preserve"> SUMIFS(market_prices!$E:$E,market_prices!$B:$B,$A211,market_prices!$C:$C,D$1)</f>
        <v>73.69</v>
      </c>
      <c r="E211" s="6">
        <f t="shared" si="3"/>
        <v>-7.2158749248352194E-4</v>
      </c>
      <c r="F211" s="6">
        <f>rates[[#This Row],[EUR/INR]]/C210-1</f>
        <v>1.4868398619221068E-3</v>
      </c>
      <c r="G211" s="6">
        <f>rates[[#This Row],[WTI Crude]]/D210-1</f>
        <v>-8.4768568353067453E-3</v>
      </c>
    </row>
    <row r="212" spans="1:7" x14ac:dyDescent="0.3">
      <c r="A212" s="1">
        <v>45313</v>
      </c>
      <c r="B212">
        <f xml:space="preserve"> SUMIFS(market_prices!$E:$E,market_prices!$B:$B,$A212,market_prices!$C:$C,B$1)</f>
        <v>83.08</v>
      </c>
      <c r="C212">
        <f xml:space="preserve"> SUMIFS(market_prices!$E:$E,market_prices!$B:$B,$A212,market_prices!$C:$C,C$1)</f>
        <v>90.515699999999995</v>
      </c>
      <c r="D212">
        <f xml:space="preserve"> SUMIFS(market_prices!$E:$E,market_prices!$B:$B,$A212,market_prices!$C:$C,D$1)</f>
        <v>75.260000000000005</v>
      </c>
      <c r="E212" s="6">
        <f t="shared" si="3"/>
        <v>-1.2035142616451111E-4</v>
      </c>
      <c r="F212" s="6">
        <f>rates[[#This Row],[EUR/INR]]/C211-1</f>
        <v>6.1463562388275328E-4</v>
      </c>
      <c r="G212" s="6">
        <f>rates[[#This Row],[WTI Crude]]/D211-1</f>
        <v>2.1305468856018583E-2</v>
      </c>
    </row>
    <row r="213" spans="1:7" x14ac:dyDescent="0.3">
      <c r="A213" s="1">
        <v>45314</v>
      </c>
      <c r="B213">
        <f xml:space="preserve"> SUMIFS(market_prices!$E:$E,market_prices!$B:$B,$A213,market_prices!$C:$C,B$1)</f>
        <v>83.15</v>
      </c>
      <c r="C213">
        <f xml:space="preserve"> SUMIFS(market_prices!$E:$E,market_prices!$B:$B,$A213,market_prices!$C:$C,C$1)</f>
        <v>90.043099999999995</v>
      </c>
      <c r="D213">
        <f xml:space="preserve"> SUMIFS(market_prices!$E:$E,market_prices!$B:$B,$A213,market_prices!$C:$C,D$1)</f>
        <v>74.72</v>
      </c>
      <c r="E213" s="6">
        <f t="shared" si="3"/>
        <v>8.4256138661542579E-4</v>
      </c>
      <c r="F213" s="6">
        <f>rates[[#This Row],[EUR/INR]]/C212-1</f>
        <v>-5.2211936713741913E-3</v>
      </c>
      <c r="G213" s="6">
        <f>rates[[#This Row],[WTI Crude]]/D212-1</f>
        <v>-7.1751262290726814E-3</v>
      </c>
    </row>
    <row r="214" spans="1:7" x14ac:dyDescent="0.3">
      <c r="A214" s="1">
        <v>45315</v>
      </c>
      <c r="B214">
        <f xml:space="preserve"> SUMIFS(market_prices!$E:$E,market_prices!$B:$B,$A214,market_prices!$C:$C,B$1)</f>
        <v>83.09</v>
      </c>
      <c r="C214">
        <f xml:space="preserve"> SUMIFS(market_prices!$E:$E,market_prices!$B:$B,$A214,market_prices!$C:$C,C$1)</f>
        <v>90.576400000000007</v>
      </c>
      <c r="D214">
        <f xml:space="preserve"> SUMIFS(market_prices!$E:$E,market_prices!$B:$B,$A214,market_prices!$C:$C,D$1)</f>
        <v>75.48</v>
      </c>
      <c r="E214" s="6">
        <f t="shared" si="3"/>
        <v>-7.2158749248352194E-4</v>
      </c>
      <c r="F214" s="6">
        <f>rates[[#This Row],[EUR/INR]]/C213-1</f>
        <v>5.922719231123974E-3</v>
      </c>
      <c r="G214" s="6">
        <f>rates[[#This Row],[WTI Crude]]/D213-1</f>
        <v>1.0171306209850073E-2</v>
      </c>
    </row>
    <row r="215" spans="1:7" x14ac:dyDescent="0.3">
      <c r="A215" s="1">
        <v>45316</v>
      </c>
      <c r="B215">
        <f xml:space="preserve"> SUMIFS(market_prices!$E:$E,market_prices!$B:$B,$A215,market_prices!$C:$C,B$1)</f>
        <v>83.08</v>
      </c>
      <c r="C215">
        <f xml:space="preserve"> SUMIFS(market_prices!$E:$E,market_prices!$B:$B,$A215,market_prices!$C:$C,C$1)</f>
        <v>90.033799999999999</v>
      </c>
      <c r="D215">
        <f xml:space="preserve"> SUMIFS(market_prices!$E:$E,market_prices!$B:$B,$A215,market_prices!$C:$C,D$1)</f>
        <v>77.91</v>
      </c>
      <c r="E215" s="6">
        <f t="shared" si="3"/>
        <v>-1.2035142616451111E-4</v>
      </c>
      <c r="F215" s="6">
        <f>rates[[#This Row],[EUR/INR]]/C214-1</f>
        <v>-5.9905229176695496E-3</v>
      </c>
      <c r="G215" s="6">
        <f>rates[[#This Row],[WTI Crude]]/D214-1</f>
        <v>3.2193958664546773E-2</v>
      </c>
    </row>
    <row r="216" spans="1:7" x14ac:dyDescent="0.3">
      <c r="A216" s="1">
        <v>45317</v>
      </c>
      <c r="B216">
        <f xml:space="preserve"> SUMIFS(market_prices!$E:$E,market_prices!$B:$B,$A216,market_prices!$C:$C,B$1)</f>
        <v>83.11</v>
      </c>
      <c r="C216">
        <f xml:space="preserve"> SUMIFS(market_prices!$E:$E,market_prices!$B:$B,$A216,market_prices!$C:$C,C$1)</f>
        <v>90.307299999999998</v>
      </c>
      <c r="D216">
        <f xml:space="preserve"> SUMIFS(market_prices!$E:$E,market_prices!$B:$B,$A216,market_prices!$C:$C,D$1)</f>
        <v>78.45</v>
      </c>
      <c r="E216" s="6">
        <f t="shared" si="3"/>
        <v>3.6109773712089677E-4</v>
      </c>
      <c r="F216" s="6">
        <f>rates[[#This Row],[EUR/INR]]/C215-1</f>
        <v>3.0377480457339789E-3</v>
      </c>
      <c r="G216" s="6">
        <f>rates[[#This Row],[WTI Crude]]/D215-1</f>
        <v>6.9310743165191813E-3</v>
      </c>
    </row>
    <row r="217" spans="1:7" x14ac:dyDescent="0.3">
      <c r="A217" s="1">
        <v>45320</v>
      </c>
      <c r="B217">
        <f xml:space="preserve"> SUMIFS(market_prices!$E:$E,market_prices!$B:$B,$A217,market_prices!$C:$C,B$1)</f>
        <v>83.12</v>
      </c>
      <c r="C217">
        <f xml:space="preserve"> SUMIFS(market_prices!$E:$E,market_prices!$B:$B,$A217,market_prices!$C:$C,C$1)</f>
        <v>89.827799999999996</v>
      </c>
      <c r="D217">
        <f xml:space="preserve"> SUMIFS(market_prices!$E:$E,market_prices!$B:$B,$A217,market_prices!$C:$C,D$1)</f>
        <v>77.25</v>
      </c>
      <c r="E217" s="6">
        <f t="shared" si="3"/>
        <v>1.2032246420412562E-4</v>
      </c>
      <c r="F217" s="6">
        <f>rates[[#This Row],[EUR/INR]]/C216-1</f>
        <v>-5.3096482787106103E-3</v>
      </c>
      <c r="G217" s="6">
        <f>rates[[#This Row],[WTI Crude]]/D216-1</f>
        <v>-1.5296367112810794E-2</v>
      </c>
    </row>
    <row r="218" spans="1:7" x14ac:dyDescent="0.3">
      <c r="A218" s="1">
        <v>45321</v>
      </c>
      <c r="B218">
        <f xml:space="preserve"> SUMIFS(market_prices!$E:$E,market_prices!$B:$B,$A218,market_prices!$C:$C,B$1)</f>
        <v>83.11</v>
      </c>
      <c r="C218">
        <f xml:space="preserve"> SUMIFS(market_prices!$E:$E,market_prices!$B:$B,$A218,market_prices!$C:$C,C$1)</f>
        <v>90.124499999999998</v>
      </c>
      <c r="D218">
        <f xml:space="preserve"> SUMIFS(market_prices!$E:$E,market_prices!$B:$B,$A218,market_prices!$C:$C,D$1)</f>
        <v>78.3</v>
      </c>
      <c r="E218" s="6">
        <f t="shared" si="3"/>
        <v>-1.2030798845052981E-4</v>
      </c>
      <c r="F218" s="6">
        <f>rates[[#This Row],[EUR/INR]]/C217-1</f>
        <v>3.3029863806082194E-3</v>
      </c>
      <c r="G218" s="6">
        <f>rates[[#This Row],[WTI Crude]]/D217-1</f>
        <v>1.3592233009708687E-2</v>
      </c>
    </row>
    <row r="219" spans="1:7" x14ac:dyDescent="0.3">
      <c r="A219" s="1">
        <v>45322</v>
      </c>
      <c r="B219">
        <f xml:space="preserve"> SUMIFS(market_prices!$E:$E,market_prices!$B:$B,$A219,market_prices!$C:$C,B$1)</f>
        <v>83.02</v>
      </c>
      <c r="C219">
        <f xml:space="preserve"> SUMIFS(market_prices!$E:$E,market_prices!$B:$B,$A219,market_prices!$C:$C,C$1)</f>
        <v>90.118200000000002</v>
      </c>
      <c r="D219">
        <f xml:space="preserve"> SUMIFS(market_prices!$E:$E,market_prices!$B:$B,$A219,market_prices!$C:$C,D$1)</f>
        <v>76.28</v>
      </c>
      <c r="E219" s="6">
        <f t="shared" si="3"/>
        <v>-1.0829021778366865E-3</v>
      </c>
      <c r="F219" s="6">
        <f>rates[[#This Row],[EUR/INR]]/C218-1</f>
        <v>-6.9903300434326354E-5</v>
      </c>
      <c r="G219" s="6">
        <f>rates[[#This Row],[WTI Crude]]/D218-1</f>
        <v>-2.5798212005108456E-2</v>
      </c>
    </row>
    <row r="220" spans="1:7" x14ac:dyDescent="0.3">
      <c r="A220" s="1">
        <v>45323</v>
      </c>
      <c r="B220">
        <f xml:space="preserve"> SUMIFS(market_prices!$E:$E,market_prices!$B:$B,$A220,market_prices!$C:$C,B$1)</f>
        <v>82.95</v>
      </c>
      <c r="C220">
        <f xml:space="preserve"> SUMIFS(market_prices!$E:$E,market_prices!$B:$B,$A220,market_prices!$C:$C,C$1)</f>
        <v>90.125200000000007</v>
      </c>
      <c r="D220">
        <f xml:space="preserve"> SUMIFS(market_prices!$E:$E,market_prices!$B:$B,$A220,market_prices!$C:$C,D$1)</f>
        <v>74.36</v>
      </c>
      <c r="E220" s="6">
        <f t="shared" si="3"/>
        <v>-8.4317032040459594E-4</v>
      </c>
      <c r="F220" s="6">
        <f>rates[[#This Row],[EUR/INR]]/C219-1</f>
        <v>7.7675763608286985E-5</v>
      </c>
      <c r="G220" s="6">
        <f>rates[[#This Row],[WTI Crude]]/D219-1</f>
        <v>-2.5170424750917686E-2</v>
      </c>
    </row>
    <row r="221" spans="1:7" x14ac:dyDescent="0.3">
      <c r="A221" s="1">
        <v>45324</v>
      </c>
      <c r="B221">
        <f xml:space="preserve"> SUMIFS(market_prices!$E:$E,market_prices!$B:$B,$A221,market_prices!$C:$C,B$1)</f>
        <v>82.92</v>
      </c>
      <c r="C221">
        <f xml:space="preserve"> SUMIFS(market_prices!$E:$E,market_prices!$B:$B,$A221,market_prices!$C:$C,C$1)</f>
        <v>89.445800000000006</v>
      </c>
      <c r="D221">
        <f xml:space="preserve"> SUMIFS(market_prices!$E:$E,market_prices!$B:$B,$A221,market_prices!$C:$C,D$1)</f>
        <v>72.72</v>
      </c>
      <c r="E221" s="6">
        <f t="shared" si="3"/>
        <v>-3.6166365280287938E-4</v>
      </c>
      <c r="F221" s="6">
        <f>rates[[#This Row],[EUR/INR]]/C220-1</f>
        <v>-7.5384021339204299E-3</v>
      </c>
      <c r="G221" s="6">
        <f>rates[[#This Row],[WTI Crude]]/D220-1</f>
        <v>-2.2054868208714384E-2</v>
      </c>
    </row>
    <row r="222" spans="1:7" x14ac:dyDescent="0.3">
      <c r="A222" s="1">
        <v>45327</v>
      </c>
      <c r="B222">
        <f xml:space="preserve"> SUMIFS(market_prices!$E:$E,market_prices!$B:$B,$A222,market_prices!$C:$C,B$1)</f>
        <v>83.04</v>
      </c>
      <c r="C222">
        <f xml:space="preserve"> SUMIFS(market_prices!$E:$E,market_prices!$B:$B,$A222,market_prices!$C:$C,C$1)</f>
        <v>89.151700000000005</v>
      </c>
      <c r="D222">
        <f xml:space="preserve"> SUMIFS(market_prices!$E:$E,market_prices!$B:$B,$A222,market_prices!$C:$C,D$1)</f>
        <v>73.209999999999994</v>
      </c>
      <c r="E222" s="6">
        <f t="shared" si="3"/>
        <v>1.4471780028944004E-3</v>
      </c>
      <c r="F222" s="6">
        <f>rates[[#This Row],[EUR/INR]]/C221-1</f>
        <v>-3.2880247032280874E-3</v>
      </c>
      <c r="G222" s="6">
        <f>rates[[#This Row],[WTI Crude]]/D221-1</f>
        <v>6.7381738173817318E-3</v>
      </c>
    </row>
    <row r="223" spans="1:7" x14ac:dyDescent="0.3">
      <c r="A223" s="1">
        <v>45328</v>
      </c>
      <c r="B223">
        <f xml:space="preserve"> SUMIFS(market_prices!$E:$E,market_prices!$B:$B,$A223,market_prices!$C:$C,B$1)</f>
        <v>83.03</v>
      </c>
      <c r="C223">
        <f xml:space="preserve"> SUMIFS(market_prices!$E:$E,market_prices!$B:$B,$A223,market_prices!$C:$C,C$1)</f>
        <v>89.265600000000006</v>
      </c>
      <c r="D223">
        <f xml:space="preserve"> SUMIFS(market_prices!$E:$E,market_prices!$B:$B,$A223,market_prices!$C:$C,D$1)</f>
        <v>73.83</v>
      </c>
      <c r="E223" s="6">
        <f t="shared" si="3"/>
        <v>-1.2042389210020765E-4</v>
      </c>
      <c r="F223" s="6">
        <f>rates[[#This Row],[EUR/INR]]/C222-1</f>
        <v>1.2775976229282282E-3</v>
      </c>
      <c r="G223" s="6">
        <f>rates[[#This Row],[WTI Crude]]/D222-1</f>
        <v>8.468788416883033E-3</v>
      </c>
    </row>
    <row r="224" spans="1:7" x14ac:dyDescent="0.3">
      <c r="A224" s="1">
        <v>45329</v>
      </c>
      <c r="B224">
        <f xml:space="preserve"> SUMIFS(market_prices!$E:$E,market_prices!$B:$B,$A224,market_prices!$C:$C,B$1)</f>
        <v>82.97</v>
      </c>
      <c r="C224">
        <f xml:space="preserve"> SUMIFS(market_prices!$E:$E,market_prices!$B:$B,$A224,market_prices!$C:$C,C$1)</f>
        <v>89.350399999999993</v>
      </c>
      <c r="D224">
        <f xml:space="preserve"> SUMIFS(market_prices!$E:$E,market_prices!$B:$B,$A224,market_prices!$C:$C,D$1)</f>
        <v>74.260000000000005</v>
      </c>
      <c r="E224" s="6">
        <f t="shared" si="3"/>
        <v>-7.2263037456343771E-4</v>
      </c>
      <c r="F224" s="6">
        <f>rates[[#This Row],[EUR/INR]]/C223-1</f>
        <v>9.499740101448495E-4</v>
      </c>
      <c r="G224" s="6">
        <f>rates[[#This Row],[WTI Crude]]/D223-1</f>
        <v>5.824190708384247E-3</v>
      </c>
    </row>
    <row r="225" spans="1:7" x14ac:dyDescent="0.3">
      <c r="A225" s="1">
        <v>45330</v>
      </c>
      <c r="B225">
        <f xml:space="preserve"> SUMIFS(market_prices!$E:$E,market_prices!$B:$B,$A225,market_prices!$C:$C,B$1)</f>
        <v>82.97</v>
      </c>
      <c r="C225">
        <f xml:space="preserve"> SUMIFS(market_prices!$E:$E,market_prices!$B:$B,$A225,market_prices!$C:$C,C$1)</f>
        <v>89.391900000000007</v>
      </c>
      <c r="D225">
        <f xml:space="preserve"> SUMIFS(market_prices!$E:$E,market_prices!$B:$B,$A225,market_prices!$C:$C,D$1)</f>
        <v>76.67</v>
      </c>
      <c r="E225" s="6">
        <f t="shared" si="3"/>
        <v>0</v>
      </c>
      <c r="F225" s="6">
        <f>rates[[#This Row],[EUR/INR]]/C224-1</f>
        <v>4.644635054797952E-4</v>
      </c>
      <c r="G225" s="6">
        <f>rates[[#This Row],[WTI Crude]]/D224-1</f>
        <v>3.2453541610557357E-2</v>
      </c>
    </row>
    <row r="226" spans="1:7" x14ac:dyDescent="0.3">
      <c r="A226" s="1">
        <v>45331</v>
      </c>
      <c r="B226">
        <f xml:space="preserve"> SUMIFS(market_prices!$E:$E,market_prices!$B:$B,$A226,market_prices!$C:$C,B$1)</f>
        <v>83</v>
      </c>
      <c r="C226">
        <f xml:space="preserve"> SUMIFS(market_prices!$E:$E,market_prices!$B:$B,$A226,market_prices!$C:$C,C$1)</f>
        <v>89.490600000000001</v>
      </c>
      <c r="D226">
        <f xml:space="preserve"> SUMIFS(market_prices!$E:$E,market_prices!$B:$B,$A226,market_prices!$C:$C,D$1)</f>
        <v>77.260000000000005</v>
      </c>
      <c r="E226" s="6">
        <f t="shared" si="3"/>
        <v>3.6157647342416332E-4</v>
      </c>
      <c r="F226" s="6">
        <f>rates[[#This Row],[EUR/INR]]/C225-1</f>
        <v>1.1041268839793172E-3</v>
      </c>
      <c r="G226" s="6">
        <f>rates[[#This Row],[WTI Crude]]/D225-1</f>
        <v>7.6953175948872854E-3</v>
      </c>
    </row>
    <row r="227" spans="1:7" x14ac:dyDescent="0.3">
      <c r="A227" s="1">
        <v>45334</v>
      </c>
      <c r="B227">
        <f xml:space="preserve"> SUMIFS(market_prices!$E:$E,market_prices!$B:$B,$A227,market_prices!$C:$C,B$1)</f>
        <v>82.95</v>
      </c>
      <c r="C227">
        <f xml:space="preserve"> SUMIFS(market_prices!$E:$E,market_prices!$B:$B,$A227,market_prices!$C:$C,C$1)</f>
        <v>89.3703</v>
      </c>
      <c r="D227">
        <f xml:space="preserve"> SUMIFS(market_prices!$E:$E,market_prices!$B:$B,$A227,market_prices!$C:$C,D$1)</f>
        <v>77.34</v>
      </c>
      <c r="E227" s="6">
        <f t="shared" si="3"/>
        <v>-6.0240963855417995E-4</v>
      </c>
      <c r="F227" s="6">
        <f>rates[[#This Row],[EUR/INR]]/C226-1</f>
        <v>-1.3442752646646294E-3</v>
      </c>
      <c r="G227" s="6">
        <f>rates[[#This Row],[WTI Crude]]/D226-1</f>
        <v>1.0354646647683374E-3</v>
      </c>
    </row>
    <row r="228" spans="1:7" x14ac:dyDescent="0.3">
      <c r="A228" s="1">
        <v>45335</v>
      </c>
      <c r="B228">
        <f xml:space="preserve"> SUMIFS(market_prices!$E:$E,market_prices!$B:$B,$A228,market_prices!$C:$C,B$1)</f>
        <v>83.06</v>
      </c>
      <c r="C228">
        <f xml:space="preserve"> SUMIFS(market_prices!$E:$E,market_prices!$B:$B,$A228,market_prices!$C:$C,C$1)</f>
        <v>89.040300000000002</v>
      </c>
      <c r="D228">
        <f xml:space="preserve"> SUMIFS(market_prices!$E:$E,market_prices!$B:$B,$A228,market_prices!$C:$C,D$1)</f>
        <v>78.28</v>
      </c>
      <c r="E228" s="6">
        <f t="shared" si="3"/>
        <v>1.3261000602773354E-3</v>
      </c>
      <c r="F228" s="6">
        <f>rates[[#This Row],[EUR/INR]]/C227-1</f>
        <v>-3.6925018714271118E-3</v>
      </c>
      <c r="G228" s="6">
        <f>rates[[#This Row],[WTI Crude]]/D227-1</f>
        <v>1.2154124644427222E-2</v>
      </c>
    </row>
    <row r="229" spans="1:7" x14ac:dyDescent="0.3">
      <c r="A229" s="1">
        <v>45336</v>
      </c>
      <c r="B229">
        <f xml:space="preserve"> SUMIFS(market_prices!$E:$E,market_prices!$B:$B,$A229,market_prices!$C:$C,B$1)</f>
        <v>83.02</v>
      </c>
      <c r="C229">
        <f xml:space="preserve"> SUMIFS(market_prices!$E:$E,market_prices!$B:$B,$A229,market_prices!$C:$C,C$1)</f>
        <v>89.122</v>
      </c>
      <c r="D229">
        <f xml:space="preserve"> SUMIFS(market_prices!$E:$E,market_prices!$B:$B,$A229,market_prices!$C:$C,D$1)</f>
        <v>77.09</v>
      </c>
      <c r="E229" s="6">
        <f t="shared" si="3"/>
        <v>-4.8157958102579279E-4</v>
      </c>
      <c r="F229" s="6">
        <f>rates[[#This Row],[EUR/INR]]/C228-1</f>
        <v>9.1756204774684491E-4</v>
      </c>
      <c r="G229" s="6">
        <f>rates[[#This Row],[WTI Crude]]/D228-1</f>
        <v>-1.5201839550332163E-2</v>
      </c>
    </row>
    <row r="230" spans="1:7" x14ac:dyDescent="0.3">
      <c r="A230" s="1">
        <v>45337</v>
      </c>
      <c r="B230">
        <f xml:space="preserve"> SUMIFS(market_prices!$E:$E,market_prices!$B:$B,$A230,market_prices!$C:$C,B$1)</f>
        <v>83</v>
      </c>
      <c r="C230">
        <f xml:space="preserve"> SUMIFS(market_prices!$E:$E,market_prices!$B:$B,$A230,market_prices!$C:$C,C$1)</f>
        <v>89.316299999999998</v>
      </c>
      <c r="D230">
        <f xml:space="preserve"> SUMIFS(market_prices!$E:$E,market_prices!$B:$B,$A230,market_prices!$C:$C,D$1)</f>
        <v>78.47</v>
      </c>
      <c r="E230" s="6">
        <f t="shared" si="3"/>
        <v>-2.4090580582991628E-4</v>
      </c>
      <c r="F230" s="6">
        <f>rates[[#This Row],[EUR/INR]]/C229-1</f>
        <v>2.1801575368596282E-3</v>
      </c>
      <c r="G230" s="6">
        <f>rates[[#This Row],[WTI Crude]]/D229-1</f>
        <v>1.7901154494746274E-2</v>
      </c>
    </row>
    <row r="231" spans="1:7" x14ac:dyDescent="0.3">
      <c r="A231" s="1">
        <v>45338</v>
      </c>
      <c r="B231">
        <f xml:space="preserve"> SUMIFS(market_prices!$E:$E,market_prices!$B:$B,$A231,market_prices!$C:$C,B$1)</f>
        <v>83.02</v>
      </c>
      <c r="C231">
        <f xml:space="preserve"> SUMIFS(market_prices!$E:$E,market_prices!$B:$B,$A231,market_prices!$C:$C,C$1)</f>
        <v>89.404200000000003</v>
      </c>
      <c r="D231">
        <f xml:space="preserve"> SUMIFS(market_prices!$E:$E,market_prices!$B:$B,$A231,market_prices!$C:$C,D$1)</f>
        <v>79.650000000000006</v>
      </c>
      <c r="E231" s="6">
        <f t="shared" si="3"/>
        <v>2.4096385542171639E-4</v>
      </c>
      <c r="F231" s="6">
        <f>rates[[#This Row],[EUR/INR]]/C230-1</f>
        <v>9.8414287201786799E-4</v>
      </c>
      <c r="G231" s="6">
        <f>rates[[#This Row],[WTI Crude]]/D230-1</f>
        <v>1.5037593984962516E-2</v>
      </c>
    </row>
    <row r="232" spans="1:7" x14ac:dyDescent="0.3">
      <c r="A232" s="1">
        <v>45341</v>
      </c>
      <c r="B232">
        <f xml:space="preserve"> SUMIFS(market_prices!$E:$E,market_prices!$B:$B,$A232,market_prices!$C:$C,B$1)</f>
        <v>83.02</v>
      </c>
      <c r="C232">
        <f xml:space="preserve"> SUMIFS(market_prices!$E:$E,market_prices!$B:$B,$A232,market_prices!$C:$C,C$1)</f>
        <v>89.404200000000003</v>
      </c>
      <c r="D232">
        <f xml:space="preserve"> SUMIFS(market_prices!$E:$E,market_prices!$B:$B,$A232,market_prices!$C:$C,D$1)</f>
        <v>79.650000000000006</v>
      </c>
      <c r="E232" s="6">
        <f t="shared" si="3"/>
        <v>0</v>
      </c>
      <c r="F232" s="6">
        <f>rates[[#This Row],[EUR/INR]]/C231-1</f>
        <v>0</v>
      </c>
      <c r="G232" s="6">
        <f>rates[[#This Row],[WTI Crude]]/D231-1</f>
        <v>0</v>
      </c>
    </row>
    <row r="233" spans="1:7" x14ac:dyDescent="0.3">
      <c r="A233" s="1">
        <v>45342</v>
      </c>
      <c r="B233">
        <f xml:space="preserve"> SUMIFS(market_prices!$E:$E,market_prices!$B:$B,$A233,market_prices!$C:$C,B$1)</f>
        <v>82.88</v>
      </c>
      <c r="C233">
        <f xml:space="preserve"> SUMIFS(market_prices!$E:$E,market_prices!$B:$B,$A233,market_prices!$C:$C,C$1)</f>
        <v>89.626400000000004</v>
      </c>
      <c r="D233">
        <f xml:space="preserve"> SUMIFS(market_prices!$E:$E,market_prices!$B:$B,$A233,market_prices!$C:$C,D$1)</f>
        <v>78.72</v>
      </c>
      <c r="E233" s="6">
        <f t="shared" si="3"/>
        <v>-1.6863406408094139E-3</v>
      </c>
      <c r="F233" s="6">
        <f>rates[[#This Row],[EUR/INR]]/C232-1</f>
        <v>2.4853418519488191E-3</v>
      </c>
      <c r="G233" s="6">
        <f>rates[[#This Row],[WTI Crude]]/D232-1</f>
        <v>-1.167608286252364E-2</v>
      </c>
    </row>
    <row r="234" spans="1:7" x14ac:dyDescent="0.3">
      <c r="A234" s="1">
        <v>45343</v>
      </c>
      <c r="B234">
        <f xml:space="preserve"> SUMIFS(market_prices!$E:$E,market_prices!$B:$B,$A234,market_prices!$C:$C,B$1)</f>
        <v>82.96</v>
      </c>
      <c r="C234">
        <f xml:space="preserve"> SUMIFS(market_prices!$E:$E,market_prices!$B:$B,$A234,market_prices!$C:$C,C$1)</f>
        <v>89.746099999999998</v>
      </c>
      <c r="D234">
        <f xml:space="preserve"> SUMIFS(market_prices!$E:$E,market_prices!$B:$B,$A234,market_prices!$C:$C,D$1)</f>
        <v>78.89</v>
      </c>
      <c r="E234" s="6">
        <f t="shared" si="3"/>
        <v>9.6525096525090781E-4</v>
      </c>
      <c r="F234" s="6">
        <f>rates[[#This Row],[EUR/INR]]/C233-1</f>
        <v>1.3355439915023748E-3</v>
      </c>
      <c r="G234" s="6">
        <f>rates[[#This Row],[WTI Crude]]/D233-1</f>
        <v>2.1595528455284896E-3</v>
      </c>
    </row>
    <row r="235" spans="1:7" x14ac:dyDescent="0.3">
      <c r="A235" s="1">
        <v>45344</v>
      </c>
      <c r="B235">
        <f xml:space="preserve"> SUMIFS(market_prices!$E:$E,market_prices!$B:$B,$A235,market_prices!$C:$C,B$1)</f>
        <v>82.86</v>
      </c>
      <c r="C235">
        <f xml:space="preserve"> SUMIFS(market_prices!$E:$E,market_prices!$B:$B,$A235,market_prices!$C:$C,C$1)</f>
        <v>89.613100000000003</v>
      </c>
      <c r="D235">
        <f xml:space="preserve"> SUMIFS(market_prices!$E:$E,market_prices!$B:$B,$A235,market_prices!$C:$C,D$1)</f>
        <v>79.64</v>
      </c>
      <c r="E235" s="6">
        <f t="shared" si="3"/>
        <v>-1.2054001928639702E-3</v>
      </c>
      <c r="F235" s="6">
        <f>rates[[#This Row],[EUR/INR]]/C234-1</f>
        <v>-1.4819585475023267E-3</v>
      </c>
      <c r="G235" s="6">
        <f>rates[[#This Row],[WTI Crude]]/D234-1</f>
        <v>9.5069083534033982E-3</v>
      </c>
    </row>
    <row r="236" spans="1:7" x14ac:dyDescent="0.3">
      <c r="A236" s="1">
        <v>45345</v>
      </c>
      <c r="B236">
        <f xml:space="preserve"> SUMIFS(market_prices!$E:$E,market_prices!$B:$B,$A236,market_prices!$C:$C,B$1)</f>
        <v>82.86</v>
      </c>
      <c r="C236">
        <f xml:space="preserve"> SUMIFS(market_prices!$E:$E,market_prices!$B:$B,$A236,market_prices!$C:$C,C$1)</f>
        <v>89.720799999999997</v>
      </c>
      <c r="D236">
        <f xml:space="preserve"> SUMIFS(market_prices!$E:$E,market_prices!$B:$B,$A236,market_prices!$C:$C,D$1)</f>
        <v>77.599999999999994</v>
      </c>
      <c r="E236" s="6">
        <f t="shared" si="3"/>
        <v>0</v>
      </c>
      <c r="F236" s="6">
        <f>rates[[#This Row],[EUR/INR]]/C235-1</f>
        <v>1.2018332141170429E-3</v>
      </c>
      <c r="G236" s="6">
        <f>rates[[#This Row],[WTI Crude]]/D235-1</f>
        <v>-2.5615268709191397E-2</v>
      </c>
    </row>
    <row r="237" spans="1:7" x14ac:dyDescent="0.3">
      <c r="A237" s="1">
        <v>45348</v>
      </c>
      <c r="B237">
        <f xml:space="preserve"> SUMIFS(market_prices!$E:$E,market_prices!$B:$B,$A237,market_prices!$C:$C,B$1)</f>
        <v>82.85</v>
      </c>
      <c r="C237">
        <f xml:space="preserve"> SUMIFS(market_prices!$E:$E,market_prices!$B:$B,$A237,market_prices!$C:$C,C$1)</f>
        <v>89.933700000000002</v>
      </c>
      <c r="D237">
        <f xml:space="preserve"> SUMIFS(market_prices!$E:$E,market_prices!$B:$B,$A237,market_prices!$C:$C,D$1)</f>
        <v>78.53</v>
      </c>
      <c r="E237" s="6">
        <f t="shared" si="3"/>
        <v>-1.2068549360377823E-4</v>
      </c>
      <c r="F237" s="6">
        <f>rates[[#This Row],[EUR/INR]]/C236-1</f>
        <v>2.3729168710042714E-3</v>
      </c>
      <c r="G237" s="6">
        <f>rates[[#This Row],[WTI Crude]]/D236-1</f>
        <v>1.1984536082474406E-2</v>
      </c>
    </row>
    <row r="238" spans="1:7" x14ac:dyDescent="0.3">
      <c r="A238" s="1">
        <v>45349</v>
      </c>
      <c r="B238">
        <f xml:space="preserve"> SUMIFS(market_prices!$E:$E,market_prices!$B:$B,$A238,market_prices!$C:$C,B$1)</f>
        <v>82.88</v>
      </c>
      <c r="C238">
        <f xml:space="preserve"> SUMIFS(market_prices!$E:$E,market_prices!$B:$B,$A238,market_prices!$C:$C,C$1)</f>
        <v>89.982799999999997</v>
      </c>
      <c r="D238">
        <f xml:space="preserve"> SUMIFS(market_prices!$E:$E,market_prices!$B:$B,$A238,market_prices!$C:$C,D$1)</f>
        <v>79.8</v>
      </c>
      <c r="E238" s="6">
        <f t="shared" si="3"/>
        <v>3.6210018105009567E-4</v>
      </c>
      <c r="F238" s="6">
        <f>rates[[#This Row],[EUR/INR]]/C237-1</f>
        <v>5.4595774442733891E-4</v>
      </c>
      <c r="G238" s="6">
        <f>rates[[#This Row],[WTI Crude]]/D237-1</f>
        <v>1.6172163504393211E-2</v>
      </c>
    </row>
    <row r="239" spans="1:7" x14ac:dyDescent="0.3">
      <c r="A239" s="1">
        <v>45350</v>
      </c>
      <c r="B239">
        <f xml:space="preserve"> SUMIFS(market_prices!$E:$E,market_prices!$B:$B,$A239,market_prices!$C:$C,B$1)</f>
        <v>82.88</v>
      </c>
      <c r="C239">
        <f xml:space="preserve"> SUMIFS(market_prices!$E:$E,market_prices!$B:$B,$A239,market_prices!$C:$C,C$1)</f>
        <v>89.866799999999998</v>
      </c>
      <c r="D239">
        <f xml:space="preserve"> SUMIFS(market_prices!$E:$E,market_prices!$B:$B,$A239,market_prices!$C:$C,D$1)</f>
        <v>79.44</v>
      </c>
      <c r="E239" s="6">
        <f t="shared" si="3"/>
        <v>0</v>
      </c>
      <c r="F239" s="6">
        <f>rates[[#This Row],[EUR/INR]]/C238-1</f>
        <v>-1.2891352569601722E-3</v>
      </c>
      <c r="G239" s="6">
        <f>rates[[#This Row],[WTI Crude]]/D238-1</f>
        <v>-4.5112781954886882E-3</v>
      </c>
    </row>
    <row r="240" spans="1:7" x14ac:dyDescent="0.3">
      <c r="A240" s="1">
        <v>45351</v>
      </c>
      <c r="B240">
        <f xml:space="preserve"> SUMIFS(market_prices!$E:$E,market_prices!$B:$B,$A240,market_prices!$C:$C,B$1)</f>
        <v>82.87</v>
      </c>
      <c r="C240">
        <f xml:space="preserve"> SUMIFS(market_prices!$E:$E,market_prices!$B:$B,$A240,market_prices!$C:$C,C$1)</f>
        <v>89.557599999999994</v>
      </c>
      <c r="D240">
        <f xml:space="preserve"> SUMIFS(market_prices!$E:$E,market_prices!$B:$B,$A240,market_prices!$C:$C,D$1)</f>
        <v>79.22</v>
      </c>
      <c r="E240" s="6">
        <f t="shared" si="3"/>
        <v>-1.2065637065628021E-4</v>
      </c>
      <c r="F240" s="6">
        <f>rates[[#This Row],[EUR/INR]]/C239-1</f>
        <v>-3.4406477141726288E-3</v>
      </c>
      <c r="G240" s="6">
        <f>rates[[#This Row],[WTI Crude]]/D239-1</f>
        <v>-2.7693856998992628E-3</v>
      </c>
    </row>
    <row r="241" spans="1:7" x14ac:dyDescent="0.3">
      <c r="A241" s="1">
        <v>45352</v>
      </c>
      <c r="B241">
        <f xml:space="preserve"> SUMIFS(market_prices!$E:$E,market_prices!$B:$B,$A241,market_prices!$C:$C,B$1)</f>
        <v>82.91</v>
      </c>
      <c r="C241">
        <f xml:space="preserve"> SUMIFS(market_prices!$E:$E,market_prices!$B:$B,$A241,market_prices!$C:$C,C$1)</f>
        <v>89.808099999999996</v>
      </c>
      <c r="D241">
        <f xml:space="preserve"> SUMIFS(market_prices!$E:$E,market_prices!$B:$B,$A241,market_prices!$C:$C,D$1)</f>
        <v>80.900000000000006</v>
      </c>
      <c r="E241" s="6">
        <f t="shared" si="3"/>
        <v>4.826837214912949E-4</v>
      </c>
      <c r="F241" s="6">
        <f>rates[[#This Row],[EUR/INR]]/C240-1</f>
        <v>2.7970825479914918E-3</v>
      </c>
      <c r="G241" s="6">
        <f>rates[[#This Row],[WTI Crude]]/D240-1</f>
        <v>2.1206765968190044E-2</v>
      </c>
    </row>
    <row r="242" spans="1:7" x14ac:dyDescent="0.3">
      <c r="A242" s="1">
        <v>45355</v>
      </c>
      <c r="B242">
        <f xml:space="preserve"> SUMIFS(market_prices!$E:$E,market_prices!$B:$B,$A242,market_prices!$C:$C,B$1)</f>
        <v>82.88</v>
      </c>
      <c r="C242">
        <f xml:space="preserve"> SUMIFS(market_prices!$E:$E,market_prices!$B:$B,$A242,market_prices!$C:$C,C$1)</f>
        <v>90.024299999999997</v>
      </c>
      <c r="D242">
        <f xml:space="preserve"> SUMIFS(market_prices!$E:$E,market_prices!$B:$B,$A242,market_prices!$C:$C,D$1)</f>
        <v>79.67</v>
      </c>
      <c r="E242" s="6">
        <f t="shared" si="3"/>
        <v>-3.6183813773971174E-4</v>
      </c>
      <c r="F242" s="6">
        <f>rates[[#This Row],[EUR/INR]]/C241-1</f>
        <v>2.4073552385586172E-3</v>
      </c>
      <c r="G242" s="6">
        <f>rates[[#This Row],[WTI Crude]]/D241-1</f>
        <v>-1.5203955500618149E-2</v>
      </c>
    </row>
    <row r="243" spans="1:7" x14ac:dyDescent="0.3">
      <c r="A243" s="1">
        <v>45356</v>
      </c>
      <c r="B243">
        <f xml:space="preserve"> SUMIFS(market_prices!$E:$E,market_prices!$B:$B,$A243,market_prices!$C:$C,B$1)</f>
        <v>82.86</v>
      </c>
      <c r="C243">
        <f xml:space="preserve"> SUMIFS(market_prices!$E:$E,market_prices!$B:$B,$A243,market_prices!$C:$C,C$1)</f>
        <v>89.994200000000006</v>
      </c>
      <c r="D243">
        <f xml:space="preserve"> SUMIFS(market_prices!$E:$E,market_prices!$B:$B,$A243,market_prices!$C:$C,D$1)</f>
        <v>79.11</v>
      </c>
      <c r="E243" s="6">
        <f t="shared" si="3"/>
        <v>-2.4131274131267144E-4</v>
      </c>
      <c r="F243" s="6">
        <f>rates[[#This Row],[EUR/INR]]/C242-1</f>
        <v>-3.3435416881877345E-4</v>
      </c>
      <c r="G243" s="6">
        <f>rates[[#This Row],[WTI Crude]]/D242-1</f>
        <v>-7.0289946027363159E-3</v>
      </c>
    </row>
    <row r="244" spans="1:7" x14ac:dyDescent="0.3">
      <c r="A244" s="1">
        <v>45357</v>
      </c>
      <c r="B244">
        <f xml:space="preserve"> SUMIFS(market_prices!$E:$E,market_prices!$B:$B,$A244,market_prices!$C:$C,B$1)</f>
        <v>82.78</v>
      </c>
      <c r="C244">
        <f xml:space="preserve"> SUMIFS(market_prices!$E:$E,market_prices!$B:$B,$A244,market_prices!$C:$C,C$1)</f>
        <v>90.337800000000001</v>
      </c>
      <c r="D244">
        <f xml:space="preserve"> SUMIFS(market_prices!$E:$E,market_prices!$B:$B,$A244,market_prices!$C:$C,D$1)</f>
        <v>80.08</v>
      </c>
      <c r="E244" s="6">
        <f t="shared" si="3"/>
        <v>-9.6548394882933763E-4</v>
      </c>
      <c r="F244" s="6">
        <f>rates[[#This Row],[EUR/INR]]/C243-1</f>
        <v>3.8180238282021772E-3</v>
      </c>
      <c r="G244" s="6">
        <f>rates[[#This Row],[WTI Crude]]/D243-1</f>
        <v>1.2261408165844978E-2</v>
      </c>
    </row>
    <row r="245" spans="1:7" x14ac:dyDescent="0.3">
      <c r="A245" s="1">
        <v>45358</v>
      </c>
      <c r="B245">
        <f xml:space="preserve"> SUMIFS(market_prices!$E:$E,market_prices!$B:$B,$A245,market_prices!$C:$C,B$1)</f>
        <v>82.78</v>
      </c>
      <c r="C245">
        <f xml:space="preserve"> SUMIFS(market_prices!$E:$E,market_prices!$B:$B,$A245,market_prices!$C:$C,C$1)</f>
        <v>90.569599999999994</v>
      </c>
      <c r="D245">
        <f xml:space="preserve"> SUMIFS(market_prices!$E:$E,market_prices!$B:$B,$A245,market_prices!$C:$C,D$1)</f>
        <v>79.81</v>
      </c>
      <c r="E245" s="6">
        <f t="shared" si="3"/>
        <v>0</v>
      </c>
      <c r="F245" s="6">
        <f>rates[[#This Row],[EUR/INR]]/C244-1</f>
        <v>2.5659247845308819E-3</v>
      </c>
      <c r="G245" s="6">
        <f>rates[[#This Row],[WTI Crude]]/D244-1</f>
        <v>-3.3716283716282991E-3</v>
      </c>
    </row>
    <row r="246" spans="1:7" x14ac:dyDescent="0.3">
      <c r="A246" s="1">
        <v>45359</v>
      </c>
      <c r="B246">
        <f xml:space="preserve"> SUMIFS(market_prices!$E:$E,market_prices!$B:$B,$A246,market_prices!$C:$C,B$1)</f>
        <v>82.73</v>
      </c>
      <c r="C246">
        <f xml:space="preserve"> SUMIFS(market_prices!$E:$E,market_prices!$B:$B,$A246,market_prices!$C:$C,C$1)</f>
        <v>90.514899999999997</v>
      </c>
      <c r="D246">
        <f xml:space="preserve"> SUMIFS(market_prices!$E:$E,market_prices!$B:$B,$A246,market_prices!$C:$C,D$1)</f>
        <v>78.959999999999994</v>
      </c>
      <c r="E246" s="6">
        <f t="shared" si="3"/>
        <v>-6.0401063058701521E-4</v>
      </c>
      <c r="F246" s="6">
        <f>rates[[#This Row],[EUR/INR]]/C245-1</f>
        <v>-6.0395541108715367E-4</v>
      </c>
      <c r="G246" s="6">
        <f>rates[[#This Row],[WTI Crude]]/D245-1</f>
        <v>-1.0650294449317199E-2</v>
      </c>
    </row>
    <row r="247" spans="1:7" x14ac:dyDescent="0.3">
      <c r="A247" s="1">
        <v>45362</v>
      </c>
      <c r="B247">
        <f xml:space="preserve"> SUMIFS(market_prices!$E:$E,market_prices!$B:$B,$A247,market_prices!$C:$C,B$1)</f>
        <v>82.72</v>
      </c>
      <c r="C247">
        <f xml:space="preserve"> SUMIFS(market_prices!$E:$E,market_prices!$B:$B,$A247,market_prices!$C:$C,C$1)</f>
        <v>90.3964</v>
      </c>
      <c r="D247">
        <f xml:space="preserve"> SUMIFS(market_prices!$E:$E,market_prices!$B:$B,$A247,market_prices!$C:$C,D$1)</f>
        <v>78.87</v>
      </c>
      <c r="E247" s="6">
        <f t="shared" si="3"/>
        <v>-1.2087513598457722E-4</v>
      </c>
      <c r="F247" s="6">
        <f>rates[[#This Row],[EUR/INR]]/C246-1</f>
        <v>-1.3091767211806937E-3</v>
      </c>
      <c r="G247" s="6">
        <f>rates[[#This Row],[WTI Crude]]/D246-1</f>
        <v>-1.1398176291791406E-3</v>
      </c>
    </row>
    <row r="248" spans="1:7" x14ac:dyDescent="0.3">
      <c r="A248" s="1">
        <v>45363</v>
      </c>
      <c r="B248">
        <f xml:space="preserve"> SUMIFS(market_prices!$E:$E,market_prices!$B:$B,$A248,market_prices!$C:$C,B$1)</f>
        <v>82.77</v>
      </c>
      <c r="C248">
        <f xml:space="preserve"> SUMIFS(market_prices!$E:$E,market_prices!$B:$B,$A248,market_prices!$C:$C,C$1)</f>
        <v>90.368300000000005</v>
      </c>
      <c r="D248">
        <f xml:space="preserve"> SUMIFS(market_prices!$E:$E,market_prices!$B:$B,$A248,market_prices!$C:$C,D$1)</f>
        <v>78.510000000000005</v>
      </c>
      <c r="E248" s="6">
        <f t="shared" si="3"/>
        <v>6.0444874274656613E-4</v>
      </c>
      <c r="F248" s="6">
        <f>rates[[#This Row],[EUR/INR]]/C247-1</f>
        <v>-3.1085308706979564E-4</v>
      </c>
      <c r="G248" s="6">
        <f>rates[[#This Row],[WTI Crude]]/D247-1</f>
        <v>-4.564473183719997E-3</v>
      </c>
    </row>
    <row r="249" spans="1:7" x14ac:dyDescent="0.3">
      <c r="A249" s="1">
        <v>45364</v>
      </c>
      <c r="B249">
        <f xml:space="preserve"> SUMIFS(market_prices!$E:$E,market_prices!$B:$B,$A249,market_prices!$C:$C,B$1)</f>
        <v>82.81</v>
      </c>
      <c r="C249">
        <f xml:space="preserve"> SUMIFS(market_prices!$E:$E,market_prices!$B:$B,$A249,market_prices!$C:$C,C$1)</f>
        <v>90.627300000000005</v>
      </c>
      <c r="D249">
        <f xml:space="preserve"> SUMIFS(market_prices!$E:$E,market_prices!$B:$B,$A249,market_prices!$C:$C,D$1)</f>
        <v>80.67</v>
      </c>
      <c r="E249" s="6">
        <f t="shared" si="3"/>
        <v>4.8326688413680152E-4</v>
      </c>
      <c r="F249" s="6">
        <f>rates[[#This Row],[EUR/INR]]/C248-1</f>
        <v>2.8660492672762938E-3</v>
      </c>
      <c r="G249" s="6">
        <f>rates[[#This Row],[WTI Crude]]/D248-1</f>
        <v>2.751241880015276E-2</v>
      </c>
    </row>
    <row r="250" spans="1:7" x14ac:dyDescent="0.3">
      <c r="A250" s="1">
        <v>45365</v>
      </c>
      <c r="B250">
        <f xml:space="preserve"> SUMIFS(market_prices!$E:$E,market_prices!$B:$B,$A250,market_prices!$C:$C,B$1)</f>
        <v>82.82</v>
      </c>
      <c r="C250">
        <f xml:space="preserve"> SUMIFS(market_prices!$E:$E,market_prices!$B:$B,$A250,market_prices!$C:$C,C$1)</f>
        <v>90.174400000000006</v>
      </c>
      <c r="D250">
        <f xml:space="preserve"> SUMIFS(market_prices!$E:$E,market_prices!$B:$B,$A250,market_prices!$C:$C,D$1)</f>
        <v>82.16</v>
      </c>
      <c r="E250" s="6">
        <f t="shared" si="3"/>
        <v>1.2075836251645988E-4</v>
      </c>
      <c r="F250" s="6">
        <f>rates[[#This Row],[EUR/INR]]/C249-1</f>
        <v>-4.9973904110571787E-3</v>
      </c>
      <c r="G250" s="6">
        <f>rates[[#This Row],[WTI Crude]]/D249-1</f>
        <v>1.8470311144167528E-2</v>
      </c>
    </row>
    <row r="251" spans="1:7" x14ac:dyDescent="0.3">
      <c r="A251" s="1">
        <v>45366</v>
      </c>
      <c r="B251">
        <f xml:space="preserve"> SUMIFS(market_prices!$E:$E,market_prices!$B:$B,$A251,market_prices!$C:$C,B$1)</f>
        <v>82.86</v>
      </c>
      <c r="C251">
        <f xml:space="preserve"> SUMIFS(market_prices!$E:$E,market_prices!$B:$B,$A251,market_prices!$C:$C,C$1)</f>
        <v>90.218000000000004</v>
      </c>
      <c r="D251">
        <f xml:space="preserve"> SUMIFS(market_prices!$E:$E,market_prices!$B:$B,$A251,market_prices!$C:$C,D$1)</f>
        <v>81.94</v>
      </c>
      <c r="E251" s="6">
        <f t="shared" si="3"/>
        <v>4.8297512678097121E-4</v>
      </c>
      <c r="F251" s="6">
        <f>rates[[#This Row],[EUR/INR]]/C250-1</f>
        <v>4.8350751432768568E-4</v>
      </c>
      <c r="G251" s="6">
        <f>rates[[#This Row],[WTI Crude]]/D250-1</f>
        <v>-2.6777020447906752E-3</v>
      </c>
    </row>
    <row r="252" spans="1:7" x14ac:dyDescent="0.3">
      <c r="A252" s="1">
        <v>45369</v>
      </c>
      <c r="B252">
        <f xml:space="preserve"> SUMIFS(market_prices!$E:$E,market_prices!$B:$B,$A252,market_prices!$C:$C,B$1)</f>
        <v>82.89</v>
      </c>
      <c r="C252">
        <f xml:space="preserve"> SUMIFS(market_prices!$E:$E,market_prices!$B:$B,$A252,market_prices!$C:$C,C$1)</f>
        <v>90.234099999999998</v>
      </c>
      <c r="D252">
        <f xml:space="preserve"> SUMIFS(market_prices!$E:$E,market_prices!$B:$B,$A252,market_prices!$C:$C,D$1)</f>
        <v>83.68</v>
      </c>
      <c r="E252" s="6">
        <f t="shared" si="3"/>
        <v>3.6205648081111264E-4</v>
      </c>
      <c r="F252" s="6">
        <f>rates[[#This Row],[EUR/INR]]/C251-1</f>
        <v>1.7845662728044331E-4</v>
      </c>
      <c r="G252" s="6">
        <f>rates[[#This Row],[WTI Crude]]/D251-1</f>
        <v>2.1235050036612302E-2</v>
      </c>
    </row>
    <row r="253" spans="1:7" x14ac:dyDescent="0.3">
      <c r="A253" s="1">
        <v>45370</v>
      </c>
      <c r="B253">
        <f xml:space="preserve"> SUMIFS(market_prices!$E:$E,market_prices!$B:$B,$A253,market_prices!$C:$C,B$1)</f>
        <v>83.01</v>
      </c>
      <c r="C253">
        <f xml:space="preserve"> SUMIFS(market_prices!$E:$E,market_prices!$B:$B,$A253,market_prices!$C:$C,C$1)</f>
        <v>90.140600000000006</v>
      </c>
      <c r="D253">
        <f xml:space="preserve"> SUMIFS(market_prices!$E:$E,market_prices!$B:$B,$A253,market_prices!$C:$C,D$1)</f>
        <v>84.39</v>
      </c>
      <c r="E253" s="6">
        <f t="shared" si="3"/>
        <v>1.4477017734346731E-3</v>
      </c>
      <c r="F253" s="6">
        <f>rates[[#This Row],[EUR/INR]]/C252-1</f>
        <v>-1.0361936341138911E-3</v>
      </c>
      <c r="G253" s="6">
        <f>rates[[#This Row],[WTI Crude]]/D252-1</f>
        <v>8.4847036328870029E-3</v>
      </c>
    </row>
    <row r="254" spans="1:7" x14ac:dyDescent="0.3">
      <c r="A254" s="1">
        <v>45371</v>
      </c>
      <c r="B254">
        <f xml:space="preserve"> SUMIFS(market_prices!$E:$E,market_prices!$B:$B,$A254,market_prices!$C:$C,B$1)</f>
        <v>83.18</v>
      </c>
      <c r="C254">
        <f xml:space="preserve"> SUMIFS(market_prices!$E:$E,market_prices!$B:$B,$A254,market_prices!$C:$C,C$1)</f>
        <v>90.300200000000004</v>
      </c>
      <c r="D254">
        <f xml:space="preserve"> SUMIFS(market_prices!$E:$E,market_prices!$B:$B,$A254,market_prices!$C:$C,D$1)</f>
        <v>82.79</v>
      </c>
      <c r="E254" s="6">
        <f t="shared" si="3"/>
        <v>2.0479460305986574E-3</v>
      </c>
      <c r="F254" s="6">
        <f>rates[[#This Row],[EUR/INR]]/C253-1</f>
        <v>1.7705673137298206E-3</v>
      </c>
      <c r="G254" s="6">
        <f>rates[[#This Row],[WTI Crude]]/D253-1</f>
        <v>-1.8959592368763989E-2</v>
      </c>
    </row>
    <row r="255" spans="1:7" x14ac:dyDescent="0.3">
      <c r="A255" s="1">
        <v>45372</v>
      </c>
      <c r="B255">
        <f xml:space="preserve"> SUMIFS(market_prices!$E:$E,market_prices!$B:$B,$A255,market_prices!$C:$C,B$1)</f>
        <v>83.15</v>
      </c>
      <c r="C255">
        <f xml:space="preserve"> SUMIFS(market_prices!$E:$E,market_prices!$B:$B,$A255,market_prices!$C:$C,C$1)</f>
        <v>90.309200000000004</v>
      </c>
      <c r="D255">
        <f xml:space="preserve"> SUMIFS(market_prices!$E:$E,market_prices!$B:$B,$A255,market_prices!$C:$C,D$1)</f>
        <v>81.99</v>
      </c>
      <c r="E255" s="6">
        <f t="shared" si="3"/>
        <v>-3.6066362106279559E-4</v>
      </c>
      <c r="F255" s="6">
        <f>rates[[#This Row],[EUR/INR]]/C254-1</f>
        <v>9.9667553338678161E-5</v>
      </c>
      <c r="G255" s="6">
        <f>rates[[#This Row],[WTI Crude]]/D254-1</f>
        <v>-9.6630027781133832E-3</v>
      </c>
    </row>
    <row r="256" spans="1:7" x14ac:dyDescent="0.3">
      <c r="A256" s="1">
        <v>45373</v>
      </c>
      <c r="B256">
        <f xml:space="preserve"> SUMIFS(market_prices!$E:$E,market_prices!$B:$B,$A256,market_prices!$C:$C,B$1)</f>
        <v>83.53</v>
      </c>
      <c r="C256">
        <f xml:space="preserve"> SUMIFS(market_prices!$E:$E,market_prices!$B:$B,$A256,market_prices!$C:$C,C$1)</f>
        <v>90.354399999999998</v>
      </c>
      <c r="D256">
        <f xml:space="preserve"> SUMIFS(market_prices!$E:$E,market_prices!$B:$B,$A256,market_prices!$C:$C,D$1)</f>
        <v>81.099999999999994</v>
      </c>
      <c r="E256" s="6">
        <f t="shared" si="3"/>
        <v>4.5700541190618615E-3</v>
      </c>
      <c r="F256" s="6">
        <f>rates[[#This Row],[EUR/INR]]/C255-1</f>
        <v>5.0050271733104168E-4</v>
      </c>
      <c r="G256" s="6">
        <f>rates[[#This Row],[WTI Crude]]/D255-1</f>
        <v>-1.0854982314916439E-2</v>
      </c>
    </row>
    <row r="257" spans="1:7" x14ac:dyDescent="0.3">
      <c r="A257" s="1">
        <v>45376</v>
      </c>
      <c r="B257">
        <f xml:space="preserve"> SUMIFS(market_prices!$E:$E,market_prices!$B:$B,$A257,market_prices!$C:$C,B$1)</f>
        <v>83.42</v>
      </c>
      <c r="C257">
        <f xml:space="preserve"> SUMIFS(market_prices!$E:$E,market_prices!$B:$B,$A257,market_prices!$C:$C,C$1)</f>
        <v>90.402299999999997</v>
      </c>
      <c r="D257">
        <f xml:space="preserve"> SUMIFS(market_prices!$E:$E,market_prices!$B:$B,$A257,market_prices!$C:$C,D$1)</f>
        <v>82.41</v>
      </c>
      <c r="E257" s="6">
        <f t="shared" si="3"/>
        <v>-1.3168921345624307E-3</v>
      </c>
      <c r="F257" s="6">
        <f>rates[[#This Row],[EUR/INR]]/C256-1</f>
        <v>5.3013466970064371E-4</v>
      </c>
      <c r="G257" s="6">
        <f>rates[[#This Row],[WTI Crude]]/D256-1</f>
        <v>1.6152897657213394E-2</v>
      </c>
    </row>
    <row r="258" spans="1:7" x14ac:dyDescent="0.3">
      <c r="A258" s="1">
        <v>45377</v>
      </c>
      <c r="B258">
        <f xml:space="preserve"> SUMIFS(market_prices!$E:$E,market_prices!$B:$B,$A258,market_prices!$C:$C,B$1)</f>
        <v>83.32</v>
      </c>
      <c r="C258">
        <f xml:space="preserve"> SUMIFS(market_prices!$E:$E,market_prices!$B:$B,$A258,market_prices!$C:$C,C$1)</f>
        <v>90.227199999999996</v>
      </c>
      <c r="D258">
        <f xml:space="preserve"> SUMIFS(market_prices!$E:$E,market_prices!$B:$B,$A258,market_prices!$C:$C,D$1)</f>
        <v>82.41</v>
      </c>
      <c r="E258" s="6">
        <f t="shared" ref="E258:E321" si="4">B258/B257-1</f>
        <v>-1.1987532965717085E-3</v>
      </c>
      <c r="F258" s="6">
        <f>rates[[#This Row],[EUR/INR]]/C257-1</f>
        <v>-1.9368976231799451E-3</v>
      </c>
      <c r="G258" s="6">
        <f>rates[[#This Row],[WTI Crude]]/D257-1</f>
        <v>0</v>
      </c>
    </row>
    <row r="259" spans="1:7" x14ac:dyDescent="0.3">
      <c r="A259" s="1">
        <v>45378</v>
      </c>
      <c r="B259">
        <f xml:space="preserve"> SUMIFS(market_prices!$E:$E,market_prices!$B:$B,$A259,market_prices!$C:$C,B$1)</f>
        <v>83.34</v>
      </c>
      <c r="C259">
        <f xml:space="preserve"> SUMIFS(market_prices!$E:$E,market_prices!$B:$B,$A259,market_prices!$C:$C,C$1)</f>
        <v>90.182199999999995</v>
      </c>
      <c r="D259">
        <f xml:space="preserve"> SUMIFS(market_prices!$E:$E,market_prices!$B:$B,$A259,market_prices!$C:$C,D$1)</f>
        <v>82.15</v>
      </c>
      <c r="E259" s="6">
        <f t="shared" si="4"/>
        <v>2.4003840614517102E-4</v>
      </c>
      <c r="F259" s="6">
        <f>rates[[#This Row],[EUR/INR]]/C258-1</f>
        <v>-4.9874095616397884E-4</v>
      </c>
      <c r="G259" s="6">
        <f>rates[[#This Row],[WTI Crude]]/D258-1</f>
        <v>-3.1549569227034002E-3</v>
      </c>
    </row>
    <row r="260" spans="1:7" x14ac:dyDescent="0.3">
      <c r="A260" s="1">
        <v>45379</v>
      </c>
      <c r="B260">
        <f xml:space="preserve"> SUMIFS(market_prices!$E:$E,market_prices!$B:$B,$A260,market_prices!$C:$C,B$1)</f>
        <v>83.35</v>
      </c>
      <c r="C260">
        <f xml:space="preserve"> SUMIFS(market_prices!$E:$E,market_prices!$B:$B,$A260,market_prices!$C:$C,C$1)</f>
        <v>90.026300000000006</v>
      </c>
      <c r="D260">
        <f xml:space="preserve"> SUMIFS(market_prices!$E:$E,market_prices!$B:$B,$A260,market_prices!$C:$C,D$1)</f>
        <v>83.96</v>
      </c>
      <c r="E260" s="6">
        <f t="shared" si="4"/>
        <v>1.1999040076782208E-4</v>
      </c>
      <c r="F260" s="6">
        <f>rates[[#This Row],[EUR/INR]]/C259-1</f>
        <v>-1.7287225195214972E-3</v>
      </c>
      <c r="G260" s="6">
        <f>rates[[#This Row],[WTI Crude]]/D259-1</f>
        <v>2.2032866707242693E-2</v>
      </c>
    </row>
    <row r="261" spans="1:7" x14ac:dyDescent="0.3">
      <c r="A261" s="1">
        <v>45380</v>
      </c>
      <c r="B261">
        <f xml:space="preserve"> SUMIFS(market_prices!$E:$E,market_prices!$B:$B,$A261,market_prices!$C:$C,B$1)</f>
        <v>83.34</v>
      </c>
      <c r="C261">
        <f xml:space="preserve"> SUMIFS(market_prices!$E:$E,market_prices!$B:$B,$A261,market_prices!$C:$C,C$1)</f>
        <v>89.932199999999995</v>
      </c>
      <c r="D261">
        <f xml:space="preserve"> SUMIFS(market_prices!$E:$E,market_prices!$B:$B,$A261,market_prices!$C:$C,D$1)</f>
        <v>83.96</v>
      </c>
      <c r="E261" s="6">
        <f t="shared" si="4"/>
        <v>-1.1997600479896064E-4</v>
      </c>
      <c r="F261" s="6">
        <f>rates[[#This Row],[EUR/INR]]/C260-1</f>
        <v>-1.045250110245699E-3</v>
      </c>
      <c r="G261" s="6">
        <f>rates[[#This Row],[WTI Crude]]/D260-1</f>
        <v>0</v>
      </c>
    </row>
    <row r="262" spans="1:7" x14ac:dyDescent="0.3">
      <c r="A262" s="1">
        <v>45383</v>
      </c>
      <c r="B262">
        <f xml:space="preserve"> SUMIFS(market_prices!$E:$E,market_prices!$B:$B,$A262,market_prices!$C:$C,B$1)</f>
        <v>83.36</v>
      </c>
      <c r="C262">
        <f xml:space="preserve"> SUMIFS(market_prices!$E:$E,market_prices!$B:$B,$A262,market_prices!$C:$C,C$1)</f>
        <v>89.470299999999995</v>
      </c>
      <c r="D262">
        <f xml:space="preserve"> SUMIFS(market_prices!$E:$E,market_prices!$B:$B,$A262,market_prices!$C:$C,D$1)</f>
        <v>84.54</v>
      </c>
      <c r="E262" s="6">
        <f t="shared" si="4"/>
        <v>2.3998080153586621E-4</v>
      </c>
      <c r="F262" s="6">
        <f>rates[[#This Row],[EUR/INR]]/C261-1</f>
        <v>-5.1360914110852862E-3</v>
      </c>
      <c r="G262" s="6">
        <f>rates[[#This Row],[WTI Crude]]/D261-1</f>
        <v>6.9080514530730497E-3</v>
      </c>
    </row>
    <row r="263" spans="1:7" x14ac:dyDescent="0.3">
      <c r="A263" s="1">
        <v>45384</v>
      </c>
      <c r="B263">
        <f xml:space="preserve"> SUMIFS(market_prices!$E:$E,market_prices!$B:$B,$A263,market_prices!$C:$C,B$1)</f>
        <v>83.32</v>
      </c>
      <c r="C263">
        <f xml:space="preserve"> SUMIFS(market_prices!$E:$E,market_prices!$B:$B,$A263,market_prices!$C:$C,C$1)</f>
        <v>89.7273</v>
      </c>
      <c r="D263">
        <f xml:space="preserve"> SUMIFS(market_prices!$E:$E,market_prices!$B:$B,$A263,market_prices!$C:$C,D$1)</f>
        <v>85.95</v>
      </c>
      <c r="E263" s="6">
        <f t="shared" si="4"/>
        <v>-4.7984644913634522E-4</v>
      </c>
      <c r="F263" s="6">
        <f>rates[[#This Row],[EUR/INR]]/C262-1</f>
        <v>2.8724615878119586E-3</v>
      </c>
      <c r="G263" s="6">
        <f>rates[[#This Row],[WTI Crude]]/D262-1</f>
        <v>1.6678495386799108E-2</v>
      </c>
    </row>
    <row r="264" spans="1:7" x14ac:dyDescent="0.3">
      <c r="A264" s="1">
        <v>45385</v>
      </c>
      <c r="B264">
        <f xml:space="preserve"> SUMIFS(market_prices!$E:$E,market_prices!$B:$B,$A264,market_prices!$C:$C,B$1)</f>
        <v>83.43</v>
      </c>
      <c r="C264">
        <f xml:space="preserve"> SUMIFS(market_prices!$E:$E,market_prices!$B:$B,$A264,market_prices!$C:$C,C$1)</f>
        <v>90.329700000000003</v>
      </c>
      <c r="D264">
        <f xml:space="preserve"> SUMIFS(market_prices!$E:$E,market_prices!$B:$B,$A264,market_prices!$C:$C,D$1)</f>
        <v>86.22</v>
      </c>
      <c r="E264" s="6">
        <f t="shared" si="4"/>
        <v>1.3202112337975525E-3</v>
      </c>
      <c r="F264" s="6">
        <f>rates[[#This Row],[EUR/INR]]/C263-1</f>
        <v>6.7136757709191919E-3</v>
      </c>
      <c r="G264" s="6">
        <f>rates[[#This Row],[WTI Crude]]/D263-1</f>
        <v>3.141361256544517E-3</v>
      </c>
    </row>
    <row r="265" spans="1:7" x14ac:dyDescent="0.3">
      <c r="A265" s="1">
        <v>45386</v>
      </c>
      <c r="B265">
        <f xml:space="preserve"> SUMIFS(market_prices!$E:$E,market_prices!$B:$B,$A265,market_prices!$C:$C,B$1)</f>
        <v>83.44</v>
      </c>
      <c r="C265">
        <f xml:space="preserve"> SUMIFS(market_prices!$E:$E,market_prices!$B:$B,$A265,market_prices!$C:$C,C$1)</f>
        <v>90.657600000000002</v>
      </c>
      <c r="D265">
        <f xml:space="preserve"> SUMIFS(market_prices!$E:$E,market_prices!$B:$B,$A265,market_prices!$C:$C,D$1)</f>
        <v>87.37</v>
      </c>
      <c r="E265" s="6">
        <f t="shared" si="4"/>
        <v>1.1986096128469015E-4</v>
      </c>
      <c r="F265" s="6">
        <f>rates[[#This Row],[EUR/INR]]/C264-1</f>
        <v>3.6300353040030764E-3</v>
      </c>
      <c r="G265" s="6">
        <f>rates[[#This Row],[WTI Crude]]/D264-1</f>
        <v>1.333797262816061E-2</v>
      </c>
    </row>
    <row r="266" spans="1:7" x14ac:dyDescent="0.3">
      <c r="A266" s="1">
        <v>45387</v>
      </c>
      <c r="B266">
        <f xml:space="preserve"> SUMIFS(market_prices!$E:$E,market_prices!$B:$B,$A266,market_prices!$C:$C,B$1)</f>
        <v>83.29</v>
      </c>
      <c r="C266">
        <f xml:space="preserve"> SUMIFS(market_prices!$E:$E,market_prices!$B:$B,$A266,market_prices!$C:$C,C$1)</f>
        <v>90.294700000000006</v>
      </c>
      <c r="D266">
        <f xml:space="preserve"> SUMIFS(market_prices!$E:$E,market_prices!$B:$B,$A266,market_prices!$C:$C,D$1)</f>
        <v>87.69</v>
      </c>
      <c r="E266" s="6">
        <f t="shared" si="4"/>
        <v>-1.7976989453498682E-3</v>
      </c>
      <c r="F266" s="6">
        <f>rates[[#This Row],[EUR/INR]]/C265-1</f>
        <v>-4.002973826794376E-3</v>
      </c>
      <c r="G266" s="6">
        <f>rates[[#This Row],[WTI Crude]]/D265-1</f>
        <v>3.6625844111251027E-3</v>
      </c>
    </row>
    <row r="267" spans="1:7" x14ac:dyDescent="0.3">
      <c r="A267" s="1">
        <v>45390</v>
      </c>
      <c r="B267">
        <f xml:space="preserve"> SUMIFS(market_prices!$E:$E,market_prices!$B:$B,$A267,market_prices!$C:$C,B$1)</f>
        <v>83.25</v>
      </c>
      <c r="C267">
        <f xml:space="preserve"> SUMIFS(market_prices!$E:$E,market_prices!$B:$B,$A267,market_prices!$C:$C,C$1)</f>
        <v>90.351200000000006</v>
      </c>
      <c r="D267">
        <f xml:space="preserve"> SUMIFS(market_prices!$E:$E,market_prices!$B:$B,$A267,market_prices!$C:$C,D$1)</f>
        <v>87.24</v>
      </c>
      <c r="E267" s="6">
        <f t="shared" si="4"/>
        <v>-4.8024972985960535E-4</v>
      </c>
      <c r="F267" s="6">
        <f>rates[[#This Row],[EUR/INR]]/C266-1</f>
        <v>6.2572886337730615E-4</v>
      </c>
      <c r="G267" s="6">
        <f>rates[[#This Row],[WTI Crude]]/D266-1</f>
        <v>-5.1317139924734745E-3</v>
      </c>
    </row>
    <row r="268" spans="1:7" x14ac:dyDescent="0.3">
      <c r="A268" s="1">
        <v>45391</v>
      </c>
      <c r="B268">
        <f xml:space="preserve"> SUMIFS(market_prices!$E:$E,market_prices!$B:$B,$A268,market_prices!$C:$C,B$1)</f>
        <v>83.18</v>
      </c>
      <c r="C268">
        <f xml:space="preserve"> SUMIFS(market_prices!$E:$E,market_prices!$B:$B,$A268,market_prices!$C:$C,C$1)</f>
        <v>90.300200000000004</v>
      </c>
      <c r="D268">
        <f xml:space="preserve"> SUMIFS(market_prices!$E:$E,market_prices!$B:$B,$A268,market_prices!$C:$C,D$1)</f>
        <v>86.04</v>
      </c>
      <c r="E268" s="6">
        <f t="shared" si="4"/>
        <v>-8.4084084084079525E-4</v>
      </c>
      <c r="F268" s="6">
        <f>rates[[#This Row],[EUR/INR]]/C267-1</f>
        <v>-5.6446400269172248E-4</v>
      </c>
      <c r="G268" s="6">
        <f>rates[[#This Row],[WTI Crude]]/D267-1</f>
        <v>-1.3755158184318939E-2</v>
      </c>
    </row>
    <row r="269" spans="1:7" x14ac:dyDescent="0.3">
      <c r="A269" s="1">
        <v>45392</v>
      </c>
      <c r="B269">
        <f xml:space="preserve"> SUMIFS(market_prices!$E:$E,market_prices!$B:$B,$A269,market_prices!$C:$C,B$1)</f>
        <v>83.37</v>
      </c>
      <c r="C269">
        <f xml:space="preserve"> SUMIFS(market_prices!$E:$E,market_prices!$B:$B,$A269,market_prices!$C:$C,C$1)</f>
        <v>89.514399999999995</v>
      </c>
      <c r="D269">
        <f xml:space="preserve"> SUMIFS(market_prices!$E:$E,market_prices!$B:$B,$A269,market_prices!$C:$C,D$1)</f>
        <v>86.98</v>
      </c>
      <c r="E269" s="6">
        <f t="shared" si="4"/>
        <v>2.2842029333973723E-3</v>
      </c>
      <c r="F269" s="6">
        <f>rates[[#This Row],[EUR/INR]]/C268-1</f>
        <v>-8.7020848237324699E-3</v>
      </c>
      <c r="G269" s="6">
        <f>rates[[#This Row],[WTI Crude]]/D268-1</f>
        <v>1.0925151092515017E-2</v>
      </c>
    </row>
    <row r="270" spans="1:7" x14ac:dyDescent="0.3">
      <c r="A270" s="1">
        <v>45393</v>
      </c>
      <c r="B270">
        <f xml:space="preserve"> SUMIFS(market_prices!$E:$E,market_prices!$B:$B,$A270,market_prices!$C:$C,B$1)</f>
        <v>83.19</v>
      </c>
      <c r="C270">
        <f xml:space="preserve"> SUMIFS(market_prices!$E:$E,market_prices!$B:$B,$A270,market_prices!$C:$C,C$1)</f>
        <v>89.196299999999994</v>
      </c>
      <c r="D270">
        <f xml:space="preserve"> SUMIFS(market_prices!$E:$E,market_prices!$B:$B,$A270,market_prices!$C:$C,D$1)</f>
        <v>85.79</v>
      </c>
      <c r="E270" s="6">
        <f t="shared" si="4"/>
        <v>-2.1590500179922145E-3</v>
      </c>
      <c r="F270" s="6">
        <f>rates[[#This Row],[EUR/INR]]/C269-1</f>
        <v>-3.5536181888053964E-3</v>
      </c>
      <c r="G270" s="6">
        <f>rates[[#This Row],[WTI Crude]]/D269-1</f>
        <v>-1.368130604736717E-2</v>
      </c>
    </row>
    <row r="271" spans="1:7" x14ac:dyDescent="0.3">
      <c r="A271" s="1">
        <v>45394</v>
      </c>
      <c r="B271">
        <f xml:space="preserve"> SUMIFS(market_prices!$E:$E,market_prices!$B:$B,$A271,market_prices!$C:$C,B$1)</f>
        <v>83.59</v>
      </c>
      <c r="C271">
        <f xml:space="preserve"> SUMIFS(market_prices!$E:$E,market_prices!$B:$B,$A271,market_prices!$C:$C,C$1)</f>
        <v>88.9983</v>
      </c>
      <c r="D271">
        <f xml:space="preserve"> SUMIFS(market_prices!$E:$E,market_prices!$B:$B,$A271,market_prices!$C:$C,D$1)</f>
        <v>86.46</v>
      </c>
      <c r="E271" s="6">
        <f t="shared" si="4"/>
        <v>4.8082702247866926E-3</v>
      </c>
      <c r="F271" s="6">
        <f>rates[[#This Row],[EUR/INR]]/C270-1</f>
        <v>-2.2198230195646929E-3</v>
      </c>
      <c r="G271" s="6">
        <f>rates[[#This Row],[WTI Crude]]/D270-1</f>
        <v>7.809768038232745E-3</v>
      </c>
    </row>
    <row r="272" spans="1:7" x14ac:dyDescent="0.3">
      <c r="A272" s="1">
        <v>45397</v>
      </c>
      <c r="B272">
        <f xml:space="preserve"> SUMIFS(market_prices!$E:$E,market_prices!$B:$B,$A272,market_prices!$C:$C,B$1)</f>
        <v>83.48</v>
      </c>
      <c r="C272">
        <f xml:space="preserve"> SUMIFS(market_prices!$E:$E,market_prices!$B:$B,$A272,market_prices!$C:$C,C$1)</f>
        <v>88.856099999999998</v>
      </c>
      <c r="D272">
        <f xml:space="preserve"> SUMIFS(market_prices!$E:$E,market_prices!$B:$B,$A272,market_prices!$C:$C,D$1)</f>
        <v>86.21</v>
      </c>
      <c r="E272" s="6">
        <f t="shared" si="4"/>
        <v>-1.3159468835984844E-3</v>
      </c>
      <c r="F272" s="6">
        <f>rates[[#This Row],[EUR/INR]]/C271-1</f>
        <v>-1.5977833284456233E-3</v>
      </c>
      <c r="G272" s="6">
        <f>rates[[#This Row],[WTI Crude]]/D271-1</f>
        <v>-2.8915105250982842E-3</v>
      </c>
    </row>
    <row r="273" spans="1:7" x14ac:dyDescent="0.3">
      <c r="A273" s="1">
        <v>45398</v>
      </c>
      <c r="B273">
        <f xml:space="preserve"> SUMIFS(market_prices!$E:$E,market_prices!$B:$B,$A273,market_prices!$C:$C,B$1)</f>
        <v>83.54</v>
      </c>
      <c r="C273">
        <f xml:space="preserve"> SUMIFS(market_prices!$E:$E,market_prices!$B:$B,$A273,market_prices!$C:$C,C$1)</f>
        <v>88.786299999999997</v>
      </c>
      <c r="D273">
        <f xml:space="preserve"> SUMIFS(market_prices!$E:$E,market_prices!$B:$B,$A273,market_prices!$C:$C,D$1)</f>
        <v>86.15</v>
      </c>
      <c r="E273" s="6">
        <f t="shared" si="4"/>
        <v>7.1873502635355635E-4</v>
      </c>
      <c r="F273" s="6">
        <f>rates[[#This Row],[EUR/INR]]/C272-1</f>
        <v>-7.8553976598116915E-4</v>
      </c>
      <c r="G273" s="6">
        <f>rates[[#This Row],[WTI Crude]]/D272-1</f>
        <v>-6.9597494490181155E-4</v>
      </c>
    </row>
    <row r="274" spans="1:7" x14ac:dyDescent="0.3">
      <c r="A274" s="1">
        <v>45399</v>
      </c>
      <c r="B274">
        <f xml:space="preserve"> SUMIFS(market_prices!$E:$E,market_prices!$B:$B,$A274,market_prices!$C:$C,B$1)</f>
        <v>83.54</v>
      </c>
      <c r="C274">
        <f xml:space="preserve"> SUMIFS(market_prices!$E:$E,market_prices!$B:$B,$A274,market_prices!$C:$C,C$1)</f>
        <v>88.92</v>
      </c>
      <c r="D274">
        <f xml:space="preserve"> SUMIFS(market_prices!$E:$E,market_prices!$B:$B,$A274,market_prices!$C:$C,D$1)</f>
        <v>83.58</v>
      </c>
      <c r="E274" s="6">
        <f t="shared" si="4"/>
        <v>0</v>
      </c>
      <c r="F274" s="6">
        <f>rates[[#This Row],[EUR/INR]]/C273-1</f>
        <v>1.505862954081838E-3</v>
      </c>
      <c r="G274" s="6">
        <f>rates[[#This Row],[WTI Crude]]/D273-1</f>
        <v>-2.9831688914683796E-2</v>
      </c>
    </row>
    <row r="275" spans="1:7" x14ac:dyDescent="0.3">
      <c r="A275" s="1">
        <v>45400</v>
      </c>
      <c r="B275">
        <f xml:space="preserve"> SUMIFS(market_prices!$E:$E,market_prices!$B:$B,$A275,market_prices!$C:$C,B$1)</f>
        <v>83.53</v>
      </c>
      <c r="C275">
        <f xml:space="preserve"> SUMIFS(market_prices!$E:$E,market_prices!$B:$B,$A275,market_prices!$C:$C,C$1)</f>
        <v>89.043000000000006</v>
      </c>
      <c r="D275">
        <f xml:space="preserve"> SUMIFS(market_prices!$E:$E,market_prices!$B:$B,$A275,market_prices!$C:$C,D$1)</f>
        <v>83.5</v>
      </c>
      <c r="E275" s="6">
        <f t="shared" si="4"/>
        <v>-1.1970313622222672E-4</v>
      </c>
      <c r="F275" s="6">
        <f>rates[[#This Row],[EUR/INR]]/C274-1</f>
        <v>1.3832658569501444E-3</v>
      </c>
      <c r="G275" s="6">
        <f>rates[[#This Row],[WTI Crude]]/D274-1</f>
        <v>-9.5716678631252439E-4</v>
      </c>
    </row>
    <row r="276" spans="1:7" x14ac:dyDescent="0.3">
      <c r="A276" s="1">
        <v>45401</v>
      </c>
      <c r="B276">
        <f xml:space="preserve"> SUMIFS(market_prices!$E:$E,market_prices!$B:$B,$A276,market_prices!$C:$C,B$1)</f>
        <v>83.46</v>
      </c>
      <c r="C276">
        <f xml:space="preserve"> SUMIFS(market_prices!$E:$E,market_prices!$B:$B,$A276,market_prices!$C:$C,C$1)</f>
        <v>88.926599999999993</v>
      </c>
      <c r="D276">
        <f xml:space="preserve"> SUMIFS(market_prices!$E:$E,market_prices!$B:$B,$A276,market_prices!$C:$C,D$1)</f>
        <v>83.79</v>
      </c>
      <c r="E276" s="6">
        <f t="shared" si="4"/>
        <v>-8.3802226744889019E-4</v>
      </c>
      <c r="F276" s="6">
        <f>rates[[#This Row],[EUR/INR]]/C275-1</f>
        <v>-1.3072335837742699E-3</v>
      </c>
      <c r="G276" s="6">
        <f>rates[[#This Row],[WTI Crude]]/D275-1</f>
        <v>3.4730538922156384E-3</v>
      </c>
    </row>
    <row r="277" spans="1:7" x14ac:dyDescent="0.3">
      <c r="A277" s="1">
        <v>45404</v>
      </c>
      <c r="B277">
        <f xml:space="preserve"> SUMIFS(market_prices!$E:$E,market_prices!$B:$B,$A277,market_prices!$C:$C,B$1)</f>
        <v>83.47</v>
      </c>
      <c r="C277">
        <f xml:space="preserve"> SUMIFS(market_prices!$E:$E,market_prices!$B:$B,$A277,market_prices!$C:$C,C$1)</f>
        <v>88.937299999999993</v>
      </c>
      <c r="D277">
        <f xml:space="preserve"> SUMIFS(market_prices!$E:$E,market_prices!$B:$B,$A277,market_prices!$C:$C,D$1)</f>
        <v>83.82</v>
      </c>
      <c r="E277" s="6">
        <f t="shared" si="4"/>
        <v>1.1981787682735501E-4</v>
      </c>
      <c r="F277" s="6">
        <f>rates[[#This Row],[EUR/INR]]/C276-1</f>
        <v>1.2032395256311723E-4</v>
      </c>
      <c r="G277" s="6">
        <f>rates[[#This Row],[WTI Crude]]/D276-1</f>
        <v>3.5803795202271615E-4</v>
      </c>
    </row>
    <row r="278" spans="1:7" x14ac:dyDescent="0.3">
      <c r="A278" s="1">
        <v>45405</v>
      </c>
      <c r="B278">
        <f xml:space="preserve"> SUMIFS(market_prices!$E:$E,market_prices!$B:$B,$A278,market_prices!$C:$C,B$1)</f>
        <v>83.36</v>
      </c>
      <c r="C278">
        <f xml:space="preserve"> SUMIFS(market_prices!$E:$E,market_prices!$B:$B,$A278,market_prices!$C:$C,C$1)</f>
        <v>89.153499999999994</v>
      </c>
      <c r="D278">
        <f xml:space="preserve"> SUMIFS(market_prices!$E:$E,market_prices!$B:$B,$A278,market_prices!$C:$C,D$1)</f>
        <v>84.17</v>
      </c>
      <c r="E278" s="6">
        <f t="shared" si="4"/>
        <v>-1.3178387444591211E-3</v>
      </c>
      <c r="F278" s="6">
        <f>rates[[#This Row],[EUR/INR]]/C277-1</f>
        <v>2.4309260568962099E-3</v>
      </c>
      <c r="G278" s="6">
        <f>rates[[#This Row],[WTI Crude]]/D277-1</f>
        <v>4.1756144118350047E-3</v>
      </c>
    </row>
    <row r="279" spans="1:7" x14ac:dyDescent="0.3">
      <c r="A279" s="1">
        <v>45406</v>
      </c>
      <c r="B279">
        <f xml:space="preserve"> SUMIFS(market_prices!$E:$E,market_prices!$B:$B,$A279,market_prices!$C:$C,B$1)</f>
        <v>83.34</v>
      </c>
      <c r="C279">
        <f xml:space="preserve"> SUMIFS(market_prices!$E:$E,market_prices!$B:$B,$A279,market_prices!$C:$C,C$1)</f>
        <v>89.0655</v>
      </c>
      <c r="D279">
        <f xml:space="preserve"> SUMIFS(market_prices!$E:$E,market_prices!$B:$B,$A279,market_prices!$C:$C,D$1)</f>
        <v>84.09</v>
      </c>
      <c r="E279" s="6">
        <f t="shared" si="4"/>
        <v>-2.399232245681171E-4</v>
      </c>
      <c r="F279" s="6">
        <f>rates[[#This Row],[EUR/INR]]/C278-1</f>
        <v>-9.8706164087769555E-4</v>
      </c>
      <c r="G279" s="6">
        <f>rates[[#This Row],[WTI Crude]]/D278-1</f>
        <v>-9.5045740762744746E-4</v>
      </c>
    </row>
    <row r="280" spans="1:7" x14ac:dyDescent="0.3">
      <c r="A280" s="1">
        <v>45407</v>
      </c>
      <c r="B280">
        <f xml:space="preserve"> SUMIFS(market_prices!$E:$E,market_prices!$B:$B,$A280,market_prices!$C:$C,B$1)</f>
        <v>83.31</v>
      </c>
      <c r="C280">
        <f xml:space="preserve"> SUMIFS(market_prices!$E:$E,market_prices!$B:$B,$A280,market_prices!$C:$C,C$1)</f>
        <v>89.316699999999997</v>
      </c>
      <c r="D280">
        <f xml:space="preserve"> SUMIFS(market_prices!$E:$E,market_prices!$B:$B,$A280,market_prices!$C:$C,D$1)</f>
        <v>84.92</v>
      </c>
      <c r="E280" s="6">
        <f t="shared" si="4"/>
        <v>-3.5997120230379931E-4</v>
      </c>
      <c r="F280" s="6">
        <f>rates[[#This Row],[EUR/INR]]/C279-1</f>
        <v>2.8203962252499881E-3</v>
      </c>
      <c r="G280" s="6">
        <f>rates[[#This Row],[WTI Crude]]/D279-1</f>
        <v>9.8703769770482896E-3</v>
      </c>
    </row>
    <row r="281" spans="1:7" x14ac:dyDescent="0.3">
      <c r="A281" s="1">
        <v>45408</v>
      </c>
      <c r="B281">
        <f xml:space="preserve"> SUMIFS(market_prices!$E:$E,market_prices!$B:$B,$A281,market_prices!$C:$C,B$1)</f>
        <v>83.38</v>
      </c>
      <c r="C281">
        <f xml:space="preserve"> SUMIFS(market_prices!$E:$E,market_prices!$B:$B,$A281,market_prices!$C:$C,C$1)</f>
        <v>89.099900000000005</v>
      </c>
      <c r="D281">
        <f xml:space="preserve"> SUMIFS(market_prices!$E:$E,market_prices!$B:$B,$A281,market_prices!$C:$C,D$1)</f>
        <v>85.38</v>
      </c>
      <c r="E281" s="6">
        <f t="shared" si="4"/>
        <v>8.4023526587428954E-4</v>
      </c>
      <c r="F281" s="6">
        <f>rates[[#This Row],[EUR/INR]]/C280-1</f>
        <v>-2.4273176236917493E-3</v>
      </c>
      <c r="G281" s="6">
        <f>rates[[#This Row],[WTI Crude]]/D280-1</f>
        <v>5.4168629298161353E-3</v>
      </c>
    </row>
    <row r="282" spans="1:7" x14ac:dyDescent="0.3">
      <c r="A282" s="1">
        <v>45411</v>
      </c>
      <c r="B282">
        <f xml:space="preserve"> SUMIFS(market_prices!$E:$E,market_prices!$B:$B,$A282,market_prices!$C:$C,B$1)</f>
        <v>83.46</v>
      </c>
      <c r="C282">
        <f xml:space="preserve"> SUMIFS(market_prices!$E:$E,market_prices!$B:$B,$A282,market_prices!$C:$C,C$1)</f>
        <v>89.444100000000006</v>
      </c>
      <c r="D282">
        <f xml:space="preserve"> SUMIFS(market_prices!$E:$E,market_prices!$B:$B,$A282,market_prices!$C:$C,D$1)</f>
        <v>84.26</v>
      </c>
      <c r="E282" s="6">
        <f t="shared" si="4"/>
        <v>9.5946270088753671E-4</v>
      </c>
      <c r="F282" s="6">
        <f>rates[[#This Row],[EUR/INR]]/C281-1</f>
        <v>3.8630795320757638E-3</v>
      </c>
      <c r="G282" s="6">
        <f>rates[[#This Row],[WTI Crude]]/D281-1</f>
        <v>-1.3117826188802861E-2</v>
      </c>
    </row>
    <row r="283" spans="1:7" x14ac:dyDescent="0.3">
      <c r="A283" s="1">
        <v>45412</v>
      </c>
      <c r="B283">
        <f xml:space="preserve"> SUMIFS(market_prices!$E:$E,market_prices!$B:$B,$A283,market_prices!$C:$C,B$1)</f>
        <v>83.44</v>
      </c>
      <c r="C283">
        <f xml:space="preserve"> SUMIFS(market_prices!$E:$E,market_prices!$B:$B,$A283,market_prices!$C:$C,C$1)</f>
        <v>89.147300000000001</v>
      </c>
      <c r="D283">
        <f xml:space="preserve"> SUMIFS(market_prices!$E:$E,market_prices!$B:$B,$A283,market_prices!$C:$C,D$1)</f>
        <v>83.49</v>
      </c>
      <c r="E283" s="6">
        <f t="shared" si="4"/>
        <v>-2.3963575365437695E-4</v>
      </c>
      <c r="F283" s="6">
        <f>rates[[#This Row],[EUR/INR]]/C282-1</f>
        <v>-3.3182736480104058E-3</v>
      </c>
      <c r="G283" s="6">
        <f>rates[[#This Row],[WTI Crude]]/D282-1</f>
        <v>-9.1383812010444876E-3</v>
      </c>
    </row>
    <row r="284" spans="1:7" x14ac:dyDescent="0.3">
      <c r="A284" s="1">
        <v>45413</v>
      </c>
      <c r="B284">
        <f xml:space="preserve"> SUMIFS(market_prices!$E:$E,market_prices!$B:$B,$A284,market_prices!$C:$C,B$1)</f>
        <v>83.45</v>
      </c>
      <c r="C284">
        <f xml:space="preserve"> SUMIFS(market_prices!$E:$E,market_prices!$B:$B,$A284,market_prices!$C:$C,C$1)</f>
        <v>89.124600000000001</v>
      </c>
      <c r="D284">
        <f xml:space="preserve"> SUMIFS(market_prices!$E:$E,market_prices!$B:$B,$A284,market_prices!$C:$C,D$1)</f>
        <v>80.7</v>
      </c>
      <c r="E284" s="6">
        <f t="shared" si="4"/>
        <v>1.198465963567763E-4</v>
      </c>
      <c r="F284" s="6">
        <f>rates[[#This Row],[EUR/INR]]/C283-1</f>
        <v>-2.5463474496700833E-4</v>
      </c>
      <c r="G284" s="6">
        <f>rates[[#This Row],[WTI Crude]]/D283-1</f>
        <v>-3.3417175709665736E-2</v>
      </c>
    </row>
    <row r="285" spans="1:7" x14ac:dyDescent="0.3">
      <c r="A285" s="1">
        <v>45414</v>
      </c>
      <c r="B285">
        <f xml:space="preserve"> SUMIFS(market_prices!$E:$E,market_prices!$B:$B,$A285,market_prices!$C:$C,B$1)</f>
        <v>83.44</v>
      </c>
      <c r="C285">
        <f xml:space="preserve"> SUMIFS(market_prices!$E:$E,market_prices!$B:$B,$A285,market_prices!$C:$C,C$1)</f>
        <v>89.3309</v>
      </c>
      <c r="D285">
        <f xml:space="preserve"> SUMIFS(market_prices!$E:$E,market_prices!$B:$B,$A285,market_prices!$C:$C,D$1)</f>
        <v>80.59</v>
      </c>
      <c r="E285" s="6">
        <f t="shared" si="4"/>
        <v>-1.1983223487121997E-4</v>
      </c>
      <c r="F285" s="6">
        <f>rates[[#This Row],[EUR/INR]]/C284-1</f>
        <v>2.3147368964349102E-3</v>
      </c>
      <c r="G285" s="6">
        <f>rates[[#This Row],[WTI Crude]]/D284-1</f>
        <v>-1.3630731102850513E-3</v>
      </c>
    </row>
    <row r="286" spans="1:7" x14ac:dyDescent="0.3">
      <c r="A286" s="1">
        <v>45415</v>
      </c>
      <c r="B286">
        <f xml:space="preserve"> SUMIFS(market_prices!$E:$E,market_prices!$B:$B,$A286,market_prices!$C:$C,B$1)</f>
        <v>83.43</v>
      </c>
      <c r="C286">
        <f xml:space="preserve"> SUMIFS(market_prices!$E:$E,market_prices!$B:$B,$A286,market_prices!$C:$C,C$1)</f>
        <v>89.854100000000003</v>
      </c>
      <c r="D286">
        <f xml:space="preserve"> SUMIFS(market_prices!$E:$E,market_prices!$B:$B,$A286,market_prices!$C:$C,D$1)</f>
        <v>79.650000000000006</v>
      </c>
      <c r="E286" s="6">
        <f t="shared" si="4"/>
        <v>-1.1984659635655426E-4</v>
      </c>
      <c r="F286" s="6">
        <f>rates[[#This Row],[EUR/INR]]/C285-1</f>
        <v>5.8568759522181768E-3</v>
      </c>
      <c r="G286" s="6">
        <f>rates[[#This Row],[WTI Crude]]/D285-1</f>
        <v>-1.1663978161062127E-2</v>
      </c>
    </row>
    <row r="287" spans="1:7" x14ac:dyDescent="0.3">
      <c r="A287" s="1">
        <v>45418</v>
      </c>
      <c r="B287">
        <f xml:space="preserve"> SUMIFS(market_prices!$E:$E,market_prices!$B:$B,$A287,market_prices!$C:$C,B$1)</f>
        <v>83.48</v>
      </c>
      <c r="C287">
        <f xml:space="preserve"> SUMIFS(market_prices!$E:$E,market_prices!$B:$B,$A287,market_prices!$C:$C,C$1)</f>
        <v>89.983099999999993</v>
      </c>
      <c r="D287">
        <f xml:space="preserve"> SUMIFS(market_prices!$E:$E,market_prices!$B:$B,$A287,market_prices!$C:$C,D$1)</f>
        <v>80.099999999999994</v>
      </c>
      <c r="E287" s="6">
        <f t="shared" si="4"/>
        <v>5.9930480642456097E-4</v>
      </c>
      <c r="F287" s="6">
        <f>rates[[#This Row],[EUR/INR]]/C286-1</f>
        <v>1.4356606988439324E-3</v>
      </c>
      <c r="G287" s="6">
        <f>rates[[#This Row],[WTI Crude]]/D286-1</f>
        <v>5.6497175141241307E-3</v>
      </c>
    </row>
    <row r="288" spans="1:7" x14ac:dyDescent="0.3">
      <c r="A288" s="1">
        <v>45419</v>
      </c>
      <c r="B288">
        <f xml:space="preserve"> SUMIFS(market_prices!$E:$E,market_prices!$B:$B,$A288,market_prices!$C:$C,B$1)</f>
        <v>83.51</v>
      </c>
      <c r="C288">
        <f xml:space="preserve"> SUMIFS(market_prices!$E:$E,market_prices!$B:$B,$A288,market_prices!$C:$C,C$1)</f>
        <v>89.915199999999999</v>
      </c>
      <c r="D288">
        <f xml:space="preserve"> SUMIFS(market_prices!$E:$E,market_prices!$B:$B,$A288,market_prices!$C:$C,D$1)</f>
        <v>79.97</v>
      </c>
      <c r="E288" s="6">
        <f t="shared" si="4"/>
        <v>3.5936751317677817E-4</v>
      </c>
      <c r="F288" s="6">
        <f>rates[[#This Row],[EUR/INR]]/C287-1</f>
        <v>-7.5458613895273974E-4</v>
      </c>
      <c r="G288" s="6">
        <f>rates[[#This Row],[WTI Crude]]/D287-1</f>
        <v>-1.622971285892616E-3</v>
      </c>
    </row>
    <row r="289" spans="1:7" x14ac:dyDescent="0.3">
      <c r="A289" s="1">
        <v>45420</v>
      </c>
      <c r="B289">
        <f xml:space="preserve"> SUMIFS(market_prices!$E:$E,market_prices!$B:$B,$A289,market_prices!$C:$C,B$1)</f>
        <v>83.45</v>
      </c>
      <c r="C289">
        <f xml:space="preserve"> SUMIFS(market_prices!$E:$E,market_prices!$B:$B,$A289,market_prices!$C:$C,C$1)</f>
        <v>89.750500000000002</v>
      </c>
      <c r="D289">
        <f xml:space="preserve"> SUMIFS(market_prices!$E:$E,market_prices!$B:$B,$A289,market_prices!$C:$C,D$1)</f>
        <v>80.569999999999993</v>
      </c>
      <c r="E289" s="6">
        <f t="shared" si="4"/>
        <v>-7.1847682912229427E-4</v>
      </c>
      <c r="F289" s="6">
        <f>rates[[#This Row],[EUR/INR]]/C288-1</f>
        <v>-1.8317258928411961E-3</v>
      </c>
      <c r="G289" s="6">
        <f>rates[[#This Row],[WTI Crude]]/D288-1</f>
        <v>7.5028135550829766E-3</v>
      </c>
    </row>
    <row r="290" spans="1:7" x14ac:dyDescent="0.3">
      <c r="A290" s="1">
        <v>45421</v>
      </c>
      <c r="B290">
        <f xml:space="preserve"> SUMIFS(market_prices!$E:$E,market_prices!$B:$B,$A290,market_prices!$C:$C,B$1)</f>
        <v>83.51</v>
      </c>
      <c r="C290">
        <f xml:space="preserve"> SUMIFS(market_prices!$E:$E,market_prices!$B:$B,$A290,market_prices!$C:$C,C$1)</f>
        <v>89.948599999999999</v>
      </c>
      <c r="D290">
        <f xml:space="preserve"> SUMIFS(market_prices!$E:$E,market_prices!$B:$B,$A290,market_prices!$C:$C,D$1)</f>
        <v>80.86</v>
      </c>
      <c r="E290" s="6">
        <f t="shared" si="4"/>
        <v>7.1899340922709776E-4</v>
      </c>
      <c r="F290" s="6">
        <f>rates[[#This Row],[EUR/INR]]/C289-1</f>
        <v>2.207230043286712E-3</v>
      </c>
      <c r="G290" s="6">
        <f>rates[[#This Row],[WTI Crude]]/D289-1</f>
        <v>3.5993545984858155E-3</v>
      </c>
    </row>
    <row r="291" spans="1:7" x14ac:dyDescent="0.3">
      <c r="A291" s="1">
        <v>45422</v>
      </c>
      <c r="B291">
        <f xml:space="preserve"> SUMIFS(market_prices!$E:$E,market_prices!$B:$B,$A291,market_prices!$C:$C,B$1)</f>
        <v>83.54</v>
      </c>
      <c r="C291">
        <f xml:space="preserve"> SUMIFS(market_prices!$E:$E,market_prices!$B:$B,$A291,market_prices!$C:$C,C$1)</f>
        <v>89.997600000000006</v>
      </c>
      <c r="D291">
        <f xml:space="preserve"> SUMIFS(market_prices!$E:$E,market_prices!$B:$B,$A291,market_prices!$C:$C,D$1)</f>
        <v>79.81</v>
      </c>
      <c r="E291" s="6">
        <f t="shared" si="4"/>
        <v>3.5923841456120265E-4</v>
      </c>
      <c r="F291" s="6">
        <f>rates[[#This Row],[EUR/INR]]/C290-1</f>
        <v>5.4475556039790263E-4</v>
      </c>
      <c r="G291" s="6">
        <f>rates[[#This Row],[WTI Crude]]/D290-1</f>
        <v>-1.2985406876082073E-2</v>
      </c>
    </row>
    <row r="292" spans="1:7" x14ac:dyDescent="0.3">
      <c r="A292" s="1">
        <v>45425</v>
      </c>
      <c r="B292">
        <f xml:space="preserve"> SUMIFS(market_prices!$E:$E,market_prices!$B:$B,$A292,market_prices!$C:$C,B$1)</f>
        <v>83.48</v>
      </c>
      <c r="C292">
        <f xml:space="preserve"> SUMIFS(market_prices!$E:$E,market_prices!$B:$B,$A292,market_prices!$C:$C,C$1)</f>
        <v>90.125</v>
      </c>
      <c r="D292">
        <f xml:space="preserve"> SUMIFS(market_prices!$E:$E,market_prices!$B:$B,$A292,market_prices!$C:$C,D$1)</f>
        <v>80.709999999999994</v>
      </c>
      <c r="E292" s="6">
        <f t="shared" si="4"/>
        <v>-7.1821881733302728E-4</v>
      </c>
      <c r="F292" s="6">
        <f>rates[[#This Row],[EUR/INR]]/C291-1</f>
        <v>1.4155933047101943E-3</v>
      </c>
      <c r="G292" s="6">
        <f>rates[[#This Row],[WTI Crude]]/D291-1</f>
        <v>1.1276782358100368E-2</v>
      </c>
    </row>
    <row r="293" spans="1:7" x14ac:dyDescent="0.3">
      <c r="A293" s="1">
        <v>45426</v>
      </c>
      <c r="B293">
        <f xml:space="preserve"> SUMIFS(market_prices!$E:$E,market_prices!$B:$B,$A293,market_prices!$C:$C,B$1)</f>
        <v>83.5</v>
      </c>
      <c r="C293">
        <f xml:space="preserve"> SUMIFS(market_prices!$E:$E,market_prices!$B:$B,$A293,market_prices!$C:$C,C$1)</f>
        <v>90.330299999999994</v>
      </c>
      <c r="D293">
        <f xml:space="preserve"> SUMIFS(market_prices!$E:$E,market_prices!$B:$B,$A293,market_prices!$C:$C,D$1)</f>
        <v>79.62</v>
      </c>
      <c r="E293" s="6">
        <f t="shared" si="4"/>
        <v>2.3957834211785212E-4</v>
      </c>
      <c r="F293" s="6">
        <f>rates[[#This Row],[EUR/INR]]/C292-1</f>
        <v>2.2779472954228552E-3</v>
      </c>
      <c r="G293" s="6">
        <f>rates[[#This Row],[WTI Crude]]/D292-1</f>
        <v>-1.3505141865939652E-2</v>
      </c>
    </row>
    <row r="294" spans="1:7" x14ac:dyDescent="0.3">
      <c r="A294" s="1">
        <v>45427</v>
      </c>
      <c r="B294">
        <f xml:space="preserve"> SUMIFS(market_prices!$E:$E,market_prices!$B:$B,$A294,market_prices!$C:$C,B$1)</f>
        <v>83.46</v>
      </c>
      <c r="C294">
        <f xml:space="preserve"> SUMIFS(market_prices!$E:$E,market_prices!$B:$B,$A294,market_prices!$C:$C,C$1)</f>
        <v>90.637600000000006</v>
      </c>
      <c r="D294">
        <f xml:space="preserve"> SUMIFS(market_prices!$E:$E,market_prices!$B:$B,$A294,market_prices!$C:$C,D$1)</f>
        <v>80.23</v>
      </c>
      <c r="E294" s="6">
        <f t="shared" si="4"/>
        <v>-4.7904191616776615E-4</v>
      </c>
      <c r="F294" s="6">
        <f>rates[[#This Row],[EUR/INR]]/C293-1</f>
        <v>3.4019592539824561E-3</v>
      </c>
      <c r="G294" s="6">
        <f>rates[[#This Row],[WTI Crude]]/D293-1</f>
        <v>7.6613916101482271E-3</v>
      </c>
    </row>
    <row r="295" spans="1:7" x14ac:dyDescent="0.3">
      <c r="A295" s="1">
        <v>45428</v>
      </c>
      <c r="B295">
        <f xml:space="preserve"> SUMIFS(market_prices!$E:$E,market_prices!$B:$B,$A295,market_prices!$C:$C,B$1)</f>
        <v>83.46</v>
      </c>
      <c r="C295">
        <f xml:space="preserve"> SUMIFS(market_prices!$E:$E,market_prices!$B:$B,$A295,market_prices!$C:$C,C$1)</f>
        <v>90.762699999999995</v>
      </c>
      <c r="D295">
        <f xml:space="preserve"> SUMIFS(market_prices!$E:$E,market_prices!$B:$B,$A295,market_prices!$C:$C,D$1)</f>
        <v>80.849999999999994</v>
      </c>
      <c r="E295" s="6">
        <f t="shared" si="4"/>
        <v>0</v>
      </c>
      <c r="F295" s="6">
        <f>rates[[#This Row],[EUR/INR]]/C294-1</f>
        <v>1.3802218946661338E-3</v>
      </c>
      <c r="G295" s="6">
        <f>rates[[#This Row],[WTI Crude]]/D294-1</f>
        <v>7.7277826249531056E-3</v>
      </c>
    </row>
    <row r="296" spans="1:7" x14ac:dyDescent="0.3">
      <c r="A296" s="1">
        <v>45429</v>
      </c>
      <c r="B296">
        <f xml:space="preserve"> SUMIFS(market_prices!$E:$E,market_prices!$B:$B,$A296,market_prices!$C:$C,B$1)</f>
        <v>83.34</v>
      </c>
      <c r="C296">
        <f xml:space="preserve"> SUMIFS(market_prices!$E:$E,market_prices!$B:$B,$A296,market_prices!$C:$C,C$1)</f>
        <v>90.5822</v>
      </c>
      <c r="D296">
        <f xml:space="preserve"> SUMIFS(market_prices!$E:$E,market_prices!$B:$B,$A296,market_prices!$C:$C,D$1)</f>
        <v>81.66</v>
      </c>
      <c r="E296" s="6">
        <f t="shared" si="4"/>
        <v>-1.4378145219265948E-3</v>
      </c>
      <c r="F296" s="6">
        <f>rates[[#This Row],[EUR/INR]]/C295-1</f>
        <v>-1.9887024074867199E-3</v>
      </c>
      <c r="G296" s="6">
        <f>rates[[#This Row],[WTI Crude]]/D295-1</f>
        <v>1.0018552875695752E-2</v>
      </c>
    </row>
    <row r="297" spans="1:7" x14ac:dyDescent="0.3">
      <c r="A297" s="1">
        <v>45432</v>
      </c>
      <c r="B297">
        <f xml:space="preserve"> SUMIFS(market_prices!$E:$E,market_prices!$B:$B,$A297,market_prices!$C:$C,B$1)</f>
        <v>83.34</v>
      </c>
      <c r="C297">
        <f xml:space="preserve"> SUMIFS(market_prices!$E:$E,market_prices!$B:$B,$A297,market_prices!$C:$C,C$1)</f>
        <v>90.515600000000006</v>
      </c>
      <c r="D297">
        <f xml:space="preserve"> SUMIFS(market_prices!$E:$E,market_prices!$B:$B,$A297,market_prices!$C:$C,D$1)</f>
        <v>81.39</v>
      </c>
      <c r="E297" s="6">
        <f t="shared" si="4"/>
        <v>0</v>
      </c>
      <c r="F297" s="6">
        <f>rates[[#This Row],[EUR/INR]]/C296-1</f>
        <v>-7.3524378961864478E-4</v>
      </c>
      <c r="G297" s="6">
        <f>rates[[#This Row],[WTI Crude]]/D296-1</f>
        <v>-3.3063923585597843E-3</v>
      </c>
    </row>
    <row r="298" spans="1:7" x14ac:dyDescent="0.3">
      <c r="A298" s="1">
        <v>45433</v>
      </c>
      <c r="B298">
        <f xml:space="preserve"> SUMIFS(market_prices!$E:$E,market_prices!$B:$B,$A298,market_prices!$C:$C,B$1)</f>
        <v>83.31</v>
      </c>
      <c r="C298">
        <f xml:space="preserve"> SUMIFS(market_prices!$E:$E,market_prices!$B:$B,$A298,market_prices!$C:$C,C$1)</f>
        <v>90.433000000000007</v>
      </c>
      <c r="D298">
        <f xml:space="preserve"> SUMIFS(market_prices!$E:$E,market_prices!$B:$B,$A298,market_prices!$C:$C,D$1)</f>
        <v>80.66</v>
      </c>
      <c r="E298" s="6">
        <f t="shared" si="4"/>
        <v>-3.5997120230379931E-4</v>
      </c>
      <c r="F298" s="6">
        <f>rates[[#This Row],[EUR/INR]]/C297-1</f>
        <v>-9.1254988090450073E-4</v>
      </c>
      <c r="G298" s="6">
        <f>rates[[#This Row],[WTI Crude]]/D297-1</f>
        <v>-8.9691608305688675E-3</v>
      </c>
    </row>
    <row r="299" spans="1:7" x14ac:dyDescent="0.3">
      <c r="A299" s="1">
        <v>45434</v>
      </c>
      <c r="B299">
        <f xml:space="preserve"> SUMIFS(market_prices!$E:$E,market_prices!$B:$B,$A299,market_prices!$C:$C,B$1)</f>
        <v>83.26</v>
      </c>
      <c r="C299">
        <f xml:space="preserve"> SUMIFS(market_prices!$E:$E,market_prices!$B:$B,$A299,market_prices!$C:$C,C$1)</f>
        <v>90.220500000000001</v>
      </c>
      <c r="D299">
        <f xml:space="preserve"> SUMIFS(market_prices!$E:$E,market_prices!$B:$B,$A299,market_prices!$C:$C,D$1)</f>
        <v>79.150000000000006</v>
      </c>
      <c r="E299" s="6">
        <f t="shared" si="4"/>
        <v>-6.0016804705309568E-4</v>
      </c>
      <c r="F299" s="6">
        <f>rates[[#This Row],[EUR/INR]]/C298-1</f>
        <v>-2.3498059336747312E-3</v>
      </c>
      <c r="G299" s="6">
        <f>rates[[#This Row],[WTI Crude]]/D298-1</f>
        <v>-1.8720555417803042E-2</v>
      </c>
    </row>
    <row r="300" spans="1:7" x14ac:dyDescent="0.3">
      <c r="A300" s="1">
        <v>45435</v>
      </c>
      <c r="B300">
        <f xml:space="preserve"> SUMIFS(market_prices!$E:$E,market_prices!$B:$B,$A300,market_prices!$C:$C,B$1)</f>
        <v>83.27</v>
      </c>
      <c r="C300">
        <f xml:space="preserve"> SUMIFS(market_prices!$E:$E,market_prices!$B:$B,$A300,market_prices!$C:$C,C$1)</f>
        <v>90.156400000000005</v>
      </c>
      <c r="D300">
        <f xml:space="preserve"> SUMIFS(market_prices!$E:$E,market_prices!$B:$B,$A300,market_prices!$C:$C,D$1)</f>
        <v>77.47</v>
      </c>
      <c r="E300" s="6">
        <f t="shared" si="4"/>
        <v>1.2010569300979768E-4</v>
      </c>
      <c r="F300" s="6">
        <f>rates[[#This Row],[EUR/INR]]/C299-1</f>
        <v>-7.1048154244324202E-4</v>
      </c>
      <c r="G300" s="6">
        <f>rates[[#This Row],[WTI Crude]]/D299-1</f>
        <v>-2.1225521162350103E-2</v>
      </c>
    </row>
    <row r="301" spans="1:7" x14ac:dyDescent="0.3">
      <c r="A301" s="1">
        <v>45436</v>
      </c>
      <c r="B301">
        <f xml:space="preserve"> SUMIFS(market_prices!$E:$E,market_prices!$B:$B,$A301,market_prices!$C:$C,B$1)</f>
        <v>83.09</v>
      </c>
      <c r="C301">
        <f xml:space="preserve"> SUMIFS(market_prices!$E:$E,market_prices!$B:$B,$A301,market_prices!$C:$C,C$1)</f>
        <v>90.169300000000007</v>
      </c>
      <c r="D301">
        <f xml:space="preserve"> SUMIFS(market_prices!$E:$E,market_prices!$B:$B,$A301,market_prices!$C:$C,D$1)</f>
        <v>78.48</v>
      </c>
      <c r="E301" s="6">
        <f t="shared" si="4"/>
        <v>-2.1616428485647932E-3</v>
      </c>
      <c r="F301" s="6">
        <f>rates[[#This Row],[EUR/INR]]/C300-1</f>
        <v>1.4308468394919061E-4</v>
      </c>
      <c r="G301" s="6">
        <f>rates[[#This Row],[WTI Crude]]/D300-1</f>
        <v>1.303730476313425E-2</v>
      </c>
    </row>
    <row r="302" spans="1:7" x14ac:dyDescent="0.3">
      <c r="A302" s="1">
        <v>45439</v>
      </c>
      <c r="B302">
        <f xml:space="preserve"> SUMIFS(market_prices!$E:$E,market_prices!$B:$B,$A302,market_prices!$C:$C,B$1)</f>
        <v>83.09</v>
      </c>
      <c r="C302">
        <f xml:space="preserve"> SUMIFS(market_prices!$E:$E,market_prices!$B:$B,$A302,market_prices!$C:$C,C$1)</f>
        <v>90.169300000000007</v>
      </c>
      <c r="D302">
        <f xml:space="preserve"> SUMIFS(market_prices!$E:$E,market_prices!$B:$B,$A302,market_prices!$C:$C,D$1)</f>
        <v>78.48</v>
      </c>
      <c r="E302" s="6">
        <f t="shared" si="4"/>
        <v>0</v>
      </c>
      <c r="F302" s="6">
        <f>rates[[#This Row],[EUR/INR]]/C301-1</f>
        <v>0</v>
      </c>
      <c r="G302" s="6">
        <f>rates[[#This Row],[WTI Crude]]/D301-1</f>
        <v>0</v>
      </c>
    </row>
    <row r="303" spans="1:7" x14ac:dyDescent="0.3">
      <c r="A303" s="1">
        <v>45440</v>
      </c>
      <c r="B303">
        <f xml:space="preserve"> SUMIFS(market_prices!$E:$E,market_prices!$B:$B,$A303,market_prices!$C:$C,B$1)</f>
        <v>83.16</v>
      </c>
      <c r="C303">
        <f xml:space="preserve"> SUMIFS(market_prices!$E:$E,market_prices!$B:$B,$A303,market_prices!$C:$C,C$1)</f>
        <v>90.469800000000006</v>
      </c>
      <c r="D303">
        <f xml:space="preserve"> SUMIFS(market_prices!$E:$E,market_prices!$B:$B,$A303,market_prices!$C:$C,D$1)</f>
        <v>80.900000000000006</v>
      </c>
      <c r="E303" s="6">
        <f t="shared" si="4"/>
        <v>8.424599831506896E-4</v>
      </c>
      <c r="F303" s="6">
        <f>rates[[#This Row],[EUR/INR]]/C302-1</f>
        <v>3.3326198606398183E-3</v>
      </c>
      <c r="G303" s="6">
        <f>rates[[#This Row],[WTI Crude]]/D302-1</f>
        <v>3.0835881753312977E-2</v>
      </c>
    </row>
    <row r="304" spans="1:7" x14ac:dyDescent="0.3">
      <c r="A304" s="1">
        <v>45441</v>
      </c>
      <c r="B304">
        <f xml:space="preserve"> SUMIFS(market_prices!$E:$E,market_prices!$B:$B,$A304,market_prices!$C:$C,B$1)</f>
        <v>83.33</v>
      </c>
      <c r="C304">
        <f xml:space="preserve"> SUMIFS(market_prices!$E:$E,market_prices!$B:$B,$A304,market_prices!$C:$C,C$1)</f>
        <v>90.088099999999997</v>
      </c>
      <c r="D304">
        <f xml:space="preserve"> SUMIFS(market_prices!$E:$E,market_prices!$B:$B,$A304,market_prices!$C:$C,D$1)</f>
        <v>80.239999999999995</v>
      </c>
      <c r="E304" s="6">
        <f t="shared" si="4"/>
        <v>2.0442520442520706E-3</v>
      </c>
      <c r="F304" s="6">
        <f>rates[[#This Row],[EUR/INR]]/C303-1</f>
        <v>-4.2190874744943985E-3</v>
      </c>
      <c r="G304" s="6">
        <f>rates[[#This Row],[WTI Crude]]/D303-1</f>
        <v>-8.158220024721996E-3</v>
      </c>
    </row>
    <row r="305" spans="1:7" x14ac:dyDescent="0.3">
      <c r="A305" s="1">
        <v>45442</v>
      </c>
      <c r="B305">
        <f xml:space="preserve"> SUMIFS(market_prices!$E:$E,market_prices!$B:$B,$A305,market_prices!$C:$C,B$1)</f>
        <v>83.28</v>
      </c>
      <c r="C305">
        <f xml:space="preserve"> SUMIFS(market_prices!$E:$E,market_prices!$B:$B,$A305,market_prices!$C:$C,C$1)</f>
        <v>90.250500000000002</v>
      </c>
      <c r="D305">
        <f xml:space="preserve"> SUMIFS(market_prices!$E:$E,market_prices!$B:$B,$A305,market_prices!$C:$C,D$1)</f>
        <v>78.959999999999994</v>
      </c>
      <c r="E305" s="6">
        <f t="shared" si="4"/>
        <v>-6.0002400096004216E-4</v>
      </c>
      <c r="F305" s="6">
        <f>rates[[#This Row],[EUR/INR]]/C304-1</f>
        <v>1.8026798211974171E-3</v>
      </c>
      <c r="G305" s="6">
        <f>rates[[#This Row],[WTI Crude]]/D304-1</f>
        <v>-1.5952143569292088E-2</v>
      </c>
    </row>
    <row r="306" spans="1:7" x14ac:dyDescent="0.3">
      <c r="A306" s="1">
        <v>45443</v>
      </c>
      <c r="B306">
        <f xml:space="preserve"> SUMIFS(market_prices!$E:$E,market_prices!$B:$B,$A306,market_prices!$C:$C,B$1)</f>
        <v>83.43</v>
      </c>
      <c r="C306">
        <f xml:space="preserve"> SUMIFS(market_prices!$E:$E,market_prices!$B:$B,$A306,market_prices!$C:$C,C$1)</f>
        <v>90.488200000000006</v>
      </c>
      <c r="D306">
        <f xml:space="preserve"> SUMIFS(market_prices!$E:$E,market_prices!$B:$B,$A306,market_prices!$C:$C,D$1)</f>
        <v>77.97</v>
      </c>
      <c r="E306" s="6">
        <f t="shared" si="4"/>
        <v>1.8011527377521652E-3</v>
      </c>
      <c r="F306" s="6">
        <f>rates[[#This Row],[EUR/INR]]/C305-1</f>
        <v>2.6337804222691386E-3</v>
      </c>
      <c r="G306" s="6">
        <f>rates[[#This Row],[WTI Crude]]/D305-1</f>
        <v>-1.2537993920972546E-2</v>
      </c>
    </row>
    <row r="307" spans="1:7" x14ac:dyDescent="0.3">
      <c r="A307" s="1">
        <v>45446</v>
      </c>
      <c r="B307">
        <f xml:space="preserve"> SUMIFS(market_prices!$E:$E,market_prices!$B:$B,$A307,market_prices!$C:$C,B$1)</f>
        <v>83.14</v>
      </c>
      <c r="C307">
        <f xml:space="preserve"> SUMIFS(market_prices!$E:$E,market_prices!$B:$B,$A307,market_prices!$C:$C,C$1)</f>
        <v>90.539500000000004</v>
      </c>
      <c r="D307">
        <f xml:space="preserve"> SUMIFS(market_prices!$E:$E,market_prices!$B:$B,$A307,market_prices!$C:$C,D$1)</f>
        <v>75.260000000000005</v>
      </c>
      <c r="E307" s="6">
        <f t="shared" si="4"/>
        <v>-3.4759678772624536E-3</v>
      </c>
      <c r="F307" s="6">
        <f>rates[[#This Row],[EUR/INR]]/C306-1</f>
        <v>5.6692474819919347E-4</v>
      </c>
      <c r="G307" s="6">
        <f>rates[[#This Row],[WTI Crude]]/D306-1</f>
        <v>-3.4756957804283672E-2</v>
      </c>
    </row>
    <row r="308" spans="1:7" x14ac:dyDescent="0.3">
      <c r="A308" s="1">
        <v>45447</v>
      </c>
      <c r="B308">
        <f xml:space="preserve"> SUMIFS(market_prices!$E:$E,market_prices!$B:$B,$A308,market_prices!$C:$C,B$1)</f>
        <v>83.52</v>
      </c>
      <c r="C308">
        <f xml:space="preserve"> SUMIFS(market_prices!$E:$E,market_prices!$B:$B,$A308,market_prices!$C:$C,C$1)</f>
        <v>90.853099999999998</v>
      </c>
      <c r="D308">
        <f xml:space="preserve"> SUMIFS(market_prices!$E:$E,market_prices!$B:$B,$A308,market_prices!$C:$C,D$1)</f>
        <v>74.27</v>
      </c>
      <c r="E308" s="6">
        <f t="shared" si="4"/>
        <v>4.5706038008177519E-3</v>
      </c>
      <c r="F308" s="6">
        <f>rates[[#This Row],[EUR/INR]]/C307-1</f>
        <v>3.4636815975346291E-3</v>
      </c>
      <c r="G308" s="6">
        <f>rates[[#This Row],[WTI Crude]]/D307-1</f>
        <v>-1.3154398086633101E-2</v>
      </c>
    </row>
    <row r="309" spans="1:7" x14ac:dyDescent="0.3">
      <c r="A309" s="1">
        <v>45448</v>
      </c>
      <c r="B309">
        <f xml:space="preserve"> SUMIFS(market_prices!$E:$E,market_prices!$B:$B,$A309,market_prices!$C:$C,B$1)</f>
        <v>83.37</v>
      </c>
      <c r="C309">
        <f xml:space="preserve"> SUMIFS(market_prices!$E:$E,market_prices!$B:$B,$A309,market_prices!$C:$C,C$1)</f>
        <v>90.581500000000005</v>
      </c>
      <c r="D309">
        <f xml:space="preserve"> SUMIFS(market_prices!$E:$E,market_prices!$B:$B,$A309,market_prices!$C:$C,D$1)</f>
        <v>75.08</v>
      </c>
      <c r="E309" s="6">
        <f t="shared" si="4"/>
        <v>-1.7959770114941431E-3</v>
      </c>
      <c r="F309" s="6">
        <f>rates[[#This Row],[EUR/INR]]/C308-1</f>
        <v>-2.989441196833087E-3</v>
      </c>
      <c r="G309" s="6">
        <f>rates[[#This Row],[WTI Crude]]/D308-1</f>
        <v>1.0906153224720549E-2</v>
      </c>
    </row>
    <row r="310" spans="1:7" x14ac:dyDescent="0.3">
      <c r="A310" s="1">
        <v>45449</v>
      </c>
      <c r="B310">
        <f xml:space="preserve"> SUMIFS(market_prices!$E:$E,market_prices!$B:$B,$A310,market_prices!$C:$C,B$1)</f>
        <v>83.47</v>
      </c>
      <c r="C310">
        <f xml:space="preserve"> SUMIFS(market_prices!$E:$E,market_prices!$B:$B,$A310,market_prices!$C:$C,C$1)</f>
        <v>90.840400000000002</v>
      </c>
      <c r="D310">
        <f xml:space="preserve"> SUMIFS(market_prices!$E:$E,market_prices!$B:$B,$A310,market_prices!$C:$C,D$1)</f>
        <v>76.52</v>
      </c>
      <c r="E310" s="6">
        <f t="shared" si="4"/>
        <v>1.1994722322177243E-3</v>
      </c>
      <c r="F310" s="6">
        <f>rates[[#This Row],[EUR/INR]]/C309-1</f>
        <v>2.8581995219774115E-3</v>
      </c>
      <c r="G310" s="6">
        <f>rates[[#This Row],[WTI Crude]]/D309-1</f>
        <v>1.917954182205639E-2</v>
      </c>
    </row>
    <row r="311" spans="1:7" x14ac:dyDescent="0.3">
      <c r="A311" s="1">
        <v>45450</v>
      </c>
      <c r="B311">
        <f xml:space="preserve"> SUMIFS(market_prices!$E:$E,market_prices!$B:$B,$A311,market_prices!$C:$C,B$1)</f>
        <v>83.38</v>
      </c>
      <c r="C311">
        <f xml:space="preserve"> SUMIFS(market_prices!$E:$E,market_prices!$B:$B,$A311,market_prices!$C:$C,C$1)</f>
        <v>90.108800000000002</v>
      </c>
      <c r="D311">
        <f xml:space="preserve"> SUMIFS(market_prices!$E:$E,market_prices!$B:$B,$A311,market_prices!$C:$C,D$1)</f>
        <v>76.53</v>
      </c>
      <c r="E311" s="6">
        <f t="shared" si="4"/>
        <v>-1.0782317000119779E-3</v>
      </c>
      <c r="F311" s="6">
        <f>rates[[#This Row],[EUR/INR]]/C310-1</f>
        <v>-8.0536853646615558E-3</v>
      </c>
      <c r="G311" s="6">
        <f>rates[[#This Row],[WTI Crude]]/D310-1</f>
        <v>1.3068478829070251E-4</v>
      </c>
    </row>
    <row r="312" spans="1:7" x14ac:dyDescent="0.3">
      <c r="A312" s="1">
        <v>45453</v>
      </c>
      <c r="B312">
        <f xml:space="preserve"> SUMIFS(market_prices!$E:$E,market_prices!$B:$B,$A312,market_prices!$C:$C,B$1)</f>
        <v>83.5</v>
      </c>
      <c r="C312">
        <f xml:space="preserve"> SUMIFS(market_prices!$E:$E,market_prices!$B:$B,$A312,market_prices!$C:$C,C$1)</f>
        <v>89.770799999999994</v>
      </c>
      <c r="D312">
        <f xml:space="preserve"> SUMIFS(market_prices!$E:$E,market_prices!$B:$B,$A312,market_prices!$C:$C,D$1)</f>
        <v>78.75</v>
      </c>
      <c r="E312" s="6">
        <f t="shared" si="4"/>
        <v>1.4391940513314161E-3</v>
      </c>
      <c r="F312" s="6">
        <f>rates[[#This Row],[EUR/INR]]/C311-1</f>
        <v>-3.7510209879613177E-3</v>
      </c>
      <c r="G312" s="6">
        <f>rates[[#This Row],[WTI Crude]]/D311-1</f>
        <v>2.9008232065856454E-2</v>
      </c>
    </row>
    <row r="313" spans="1:7" x14ac:dyDescent="0.3">
      <c r="A313" s="1">
        <v>45454</v>
      </c>
      <c r="B313">
        <f xml:space="preserve"> SUMIFS(market_prices!$E:$E,market_prices!$B:$B,$A313,market_prices!$C:$C,B$1)</f>
        <v>83.5</v>
      </c>
      <c r="C313">
        <f xml:space="preserve"> SUMIFS(market_prices!$E:$E,market_prices!$B:$B,$A313,market_prices!$C:$C,C$1)</f>
        <v>89.620599999999996</v>
      </c>
      <c r="D313">
        <f xml:space="preserve"> SUMIFS(market_prices!$E:$E,market_prices!$B:$B,$A313,market_prices!$C:$C,D$1)</f>
        <v>78.88</v>
      </c>
      <c r="E313" s="6">
        <f t="shared" si="4"/>
        <v>0</v>
      </c>
      <c r="F313" s="6">
        <f>rates[[#This Row],[EUR/INR]]/C312-1</f>
        <v>-1.6731498438244952E-3</v>
      </c>
      <c r="G313" s="6">
        <f>rates[[#This Row],[WTI Crude]]/D312-1</f>
        <v>1.6507936507936805E-3</v>
      </c>
    </row>
    <row r="314" spans="1:7" x14ac:dyDescent="0.3">
      <c r="A314" s="1">
        <v>45455</v>
      </c>
      <c r="B314">
        <f xml:space="preserve"> SUMIFS(market_prices!$E:$E,market_prices!$B:$B,$A314,market_prices!$C:$C,B$1)</f>
        <v>83.57</v>
      </c>
      <c r="C314">
        <f xml:space="preserve"> SUMIFS(market_prices!$E:$E,market_prices!$B:$B,$A314,market_prices!$C:$C,C$1)</f>
        <v>90.614999999999995</v>
      </c>
      <c r="D314">
        <f xml:space="preserve"> SUMIFS(market_prices!$E:$E,market_prices!$B:$B,$A314,market_prices!$C:$C,D$1)</f>
        <v>79.56</v>
      </c>
      <c r="E314" s="6">
        <f t="shared" si="4"/>
        <v>8.3832335329336871E-4</v>
      </c>
      <c r="F314" s="6">
        <f>rates[[#This Row],[EUR/INR]]/C313-1</f>
        <v>1.109566327384548E-2</v>
      </c>
      <c r="G314" s="6">
        <f>rates[[#This Row],[WTI Crude]]/D313-1</f>
        <v>8.6206896551725976E-3</v>
      </c>
    </row>
    <row r="315" spans="1:7" x14ac:dyDescent="0.3">
      <c r="A315" s="1">
        <v>45456</v>
      </c>
      <c r="B315">
        <f xml:space="preserve"> SUMIFS(market_prices!$E:$E,market_prices!$B:$B,$A315,market_prices!$C:$C,B$1)</f>
        <v>83.52</v>
      </c>
      <c r="C315">
        <f xml:space="preserve"> SUMIFS(market_prices!$E:$E,market_prices!$B:$B,$A315,market_prices!$C:$C,C$1)</f>
        <v>89.834100000000007</v>
      </c>
      <c r="D315">
        <f xml:space="preserve"> SUMIFS(market_prices!$E:$E,market_prices!$B:$B,$A315,market_prices!$C:$C,D$1)</f>
        <v>79.61</v>
      </c>
      <c r="E315" s="6">
        <f t="shared" si="4"/>
        <v>-5.9830082565515141E-4</v>
      </c>
      <c r="F315" s="6">
        <f>rates[[#This Row],[EUR/INR]]/C314-1</f>
        <v>-8.6177785134909923E-3</v>
      </c>
      <c r="G315" s="6">
        <f>rates[[#This Row],[WTI Crude]]/D314-1</f>
        <v>6.2845651080944975E-4</v>
      </c>
    </row>
    <row r="316" spans="1:7" x14ac:dyDescent="0.3">
      <c r="A316" s="1">
        <v>45457</v>
      </c>
      <c r="B316">
        <f xml:space="preserve"> SUMIFS(market_prices!$E:$E,market_prices!$B:$B,$A316,market_prices!$C:$C,B$1)</f>
        <v>83.54</v>
      </c>
      <c r="C316">
        <f xml:space="preserve"> SUMIFS(market_prices!$E:$E,market_prices!$B:$B,$A316,market_prices!$C:$C,C$1)</f>
        <v>89.379400000000004</v>
      </c>
      <c r="D316">
        <f xml:space="preserve"> SUMIFS(market_prices!$E:$E,market_prices!$B:$B,$A316,market_prices!$C:$C,D$1)</f>
        <v>79.41</v>
      </c>
      <c r="E316" s="6">
        <f t="shared" si="4"/>
        <v>2.3946360153259683E-4</v>
      </c>
      <c r="F316" s="6">
        <f>rates[[#This Row],[EUR/INR]]/C315-1</f>
        <v>-5.0615523503881876E-3</v>
      </c>
      <c r="G316" s="6">
        <f>rates[[#This Row],[WTI Crude]]/D315-1</f>
        <v>-2.5122472051249956E-3</v>
      </c>
    </row>
    <row r="317" spans="1:7" x14ac:dyDescent="0.3">
      <c r="A317" s="1">
        <v>45460</v>
      </c>
      <c r="B317">
        <f xml:space="preserve"> SUMIFS(market_prices!$E:$E,market_prices!$B:$B,$A317,market_prices!$C:$C,B$1)</f>
        <v>83.52</v>
      </c>
      <c r="C317">
        <f xml:space="preserve"> SUMIFS(market_prices!$E:$E,market_prices!$B:$B,$A317,market_prices!$C:$C,C$1)</f>
        <v>89.558499999999995</v>
      </c>
      <c r="D317">
        <f xml:space="preserve"> SUMIFS(market_prices!$E:$E,market_prices!$B:$B,$A317,market_prices!$C:$C,D$1)</f>
        <v>81.33</v>
      </c>
      <c r="E317" s="6">
        <f t="shared" si="4"/>
        <v>-2.3940627244445345E-4</v>
      </c>
      <c r="F317" s="6">
        <f>rates[[#This Row],[EUR/INR]]/C316-1</f>
        <v>2.0038174344423343E-3</v>
      </c>
      <c r="G317" s="6">
        <f>rates[[#This Row],[WTI Crude]]/D316-1</f>
        <v>2.4178315073668299E-2</v>
      </c>
    </row>
    <row r="318" spans="1:7" x14ac:dyDescent="0.3">
      <c r="A318" s="1">
        <v>45461</v>
      </c>
      <c r="B318">
        <f xml:space="preserve"> SUMIFS(market_prices!$E:$E,market_prices!$B:$B,$A318,market_prices!$C:$C,B$1)</f>
        <v>83.42</v>
      </c>
      <c r="C318">
        <f xml:space="preserve"> SUMIFS(market_prices!$E:$E,market_prices!$B:$B,$A318,market_prices!$C:$C,C$1)</f>
        <v>89.584699999999998</v>
      </c>
      <c r="D318">
        <f xml:space="preserve"> SUMIFS(market_prices!$E:$E,market_prices!$B:$B,$A318,market_prices!$C:$C,D$1)</f>
        <v>82.67</v>
      </c>
      <c r="E318" s="6">
        <f t="shared" si="4"/>
        <v>-1.1973180076627621E-3</v>
      </c>
      <c r="F318" s="6">
        <f>rates[[#This Row],[EUR/INR]]/C317-1</f>
        <v>2.9254621281071813E-4</v>
      </c>
      <c r="G318" s="6">
        <f>rates[[#This Row],[WTI Crude]]/D317-1</f>
        <v>1.6476085085454395E-2</v>
      </c>
    </row>
    <row r="319" spans="1:7" x14ac:dyDescent="0.3">
      <c r="A319" s="1">
        <v>45462</v>
      </c>
      <c r="B319">
        <f xml:space="preserve"> SUMIFS(market_prices!$E:$E,market_prices!$B:$B,$A319,market_prices!$C:$C,B$1)</f>
        <v>83.42</v>
      </c>
      <c r="C319">
        <f xml:space="preserve"> SUMIFS(market_prices!$E:$E,market_prices!$B:$B,$A319,market_prices!$C:$C,C$1)</f>
        <v>89.584699999999998</v>
      </c>
      <c r="D319">
        <f xml:space="preserve"> SUMIFS(market_prices!$E:$E,market_prices!$B:$B,$A319,market_prices!$C:$C,D$1)</f>
        <v>82.67</v>
      </c>
      <c r="E319" s="6">
        <f t="shared" si="4"/>
        <v>0</v>
      </c>
      <c r="F319" s="6">
        <f>rates[[#This Row],[EUR/INR]]/C318-1</f>
        <v>0</v>
      </c>
      <c r="G319" s="6">
        <f>rates[[#This Row],[WTI Crude]]/D318-1</f>
        <v>0</v>
      </c>
    </row>
    <row r="320" spans="1:7" x14ac:dyDescent="0.3">
      <c r="A320" s="1">
        <v>45463</v>
      </c>
      <c r="B320">
        <f xml:space="preserve"> SUMIFS(market_prices!$E:$E,market_prices!$B:$B,$A320,market_prices!$C:$C,B$1)</f>
        <v>83.62</v>
      </c>
      <c r="C320">
        <f xml:space="preserve"> SUMIFS(market_prices!$E:$E,market_prices!$B:$B,$A320,market_prices!$C:$C,C$1)</f>
        <v>89.540300000000002</v>
      </c>
      <c r="D320">
        <f xml:space="preserve"> SUMIFS(market_prices!$E:$E,market_prices!$B:$B,$A320,market_prices!$C:$C,D$1)</f>
        <v>83.34</v>
      </c>
      <c r="E320" s="6">
        <f t="shared" si="4"/>
        <v>2.3975065931431949E-3</v>
      </c>
      <c r="F320" s="6">
        <f>rates[[#This Row],[EUR/INR]]/C319-1</f>
        <v>-4.9562034588490622E-4</v>
      </c>
      <c r="G320" s="6">
        <f>rates[[#This Row],[WTI Crude]]/D319-1</f>
        <v>8.1045119148421829E-3</v>
      </c>
    </row>
    <row r="321" spans="1:7" x14ac:dyDescent="0.3">
      <c r="A321" s="1">
        <v>45464</v>
      </c>
      <c r="B321">
        <f xml:space="preserve"> SUMIFS(market_prices!$E:$E,market_prices!$B:$B,$A321,market_prices!$C:$C,B$1)</f>
        <v>83.53</v>
      </c>
      <c r="C321">
        <f xml:space="preserve"> SUMIFS(market_prices!$E:$E,market_prices!$B:$B,$A321,market_prices!$C:$C,C$1)</f>
        <v>89.326999999999998</v>
      </c>
      <c r="D321">
        <f xml:space="preserve"> SUMIFS(market_prices!$E:$E,market_prices!$B:$B,$A321,market_prices!$C:$C,D$1)</f>
        <v>81.709999999999994</v>
      </c>
      <c r="E321" s="6">
        <f t="shared" si="4"/>
        <v>-1.0762975364745353E-3</v>
      </c>
      <c r="F321" s="6">
        <f>rates[[#This Row],[EUR/INR]]/C320-1</f>
        <v>-2.3821675826416477E-3</v>
      </c>
      <c r="G321" s="6">
        <f>rates[[#This Row],[WTI Crude]]/D320-1</f>
        <v>-1.9558435325174095E-2</v>
      </c>
    </row>
    <row r="322" spans="1:7" x14ac:dyDescent="0.3">
      <c r="A322" s="1">
        <v>45467</v>
      </c>
      <c r="B322">
        <f xml:space="preserve"> SUMIFS(market_prices!$E:$E,market_prices!$B:$B,$A322,market_prices!$C:$C,B$1)</f>
        <v>83.42</v>
      </c>
      <c r="C322">
        <f xml:space="preserve"> SUMIFS(market_prices!$E:$E,market_prices!$B:$B,$A322,market_prices!$C:$C,C$1)</f>
        <v>89.4846</v>
      </c>
      <c r="D322">
        <f xml:space="preserve"> SUMIFS(market_prices!$E:$E,market_prices!$B:$B,$A322,market_prices!$C:$C,D$1)</f>
        <v>82.63</v>
      </c>
      <c r="E322" s="6">
        <f t="shared" ref="E322:E385" si="5">B322/B321-1</f>
        <v>-1.3168921345624307E-3</v>
      </c>
      <c r="F322" s="6">
        <f>rates[[#This Row],[EUR/INR]]/C321-1</f>
        <v>1.7643041857444697E-3</v>
      </c>
      <c r="G322" s="6">
        <f>rates[[#This Row],[WTI Crude]]/D321-1</f>
        <v>1.125933178313554E-2</v>
      </c>
    </row>
    <row r="323" spans="1:7" x14ac:dyDescent="0.3">
      <c r="A323" s="1">
        <v>45468</v>
      </c>
      <c r="B323">
        <f xml:space="preserve"> SUMIFS(market_prices!$E:$E,market_prices!$B:$B,$A323,market_prices!$C:$C,B$1)</f>
        <v>83.4</v>
      </c>
      <c r="C323">
        <f xml:space="preserve"> SUMIFS(market_prices!$E:$E,market_prices!$B:$B,$A323,market_prices!$C:$C,C$1)</f>
        <v>89.279700000000005</v>
      </c>
      <c r="D323">
        <f xml:space="preserve"> SUMIFS(market_prices!$E:$E,market_prices!$B:$B,$A323,market_prices!$C:$C,D$1)</f>
        <v>81.97</v>
      </c>
      <c r="E323" s="6">
        <f t="shared" si="5"/>
        <v>-2.3975065931425288E-4</v>
      </c>
      <c r="F323" s="6">
        <f>rates[[#This Row],[EUR/INR]]/C322-1</f>
        <v>-2.2897794704339614E-3</v>
      </c>
      <c r="G323" s="6">
        <f>rates[[#This Row],[WTI Crude]]/D322-1</f>
        <v>-7.9874137722376615E-3</v>
      </c>
    </row>
    <row r="324" spans="1:7" x14ac:dyDescent="0.3">
      <c r="A324" s="1">
        <v>45469</v>
      </c>
      <c r="B324">
        <f xml:space="preserve"> SUMIFS(market_prices!$E:$E,market_prices!$B:$B,$A324,market_prices!$C:$C,B$1)</f>
        <v>83.55</v>
      </c>
      <c r="C324">
        <f xml:space="preserve"> SUMIFS(market_prices!$E:$E,market_prices!$B:$B,$A324,market_prices!$C:$C,C$1)</f>
        <v>89.248099999999994</v>
      </c>
      <c r="D324">
        <f xml:space="preserve"> SUMIFS(market_prices!$E:$E,market_prices!$B:$B,$A324,market_prices!$C:$C,D$1)</f>
        <v>82.19</v>
      </c>
      <c r="E324" s="6">
        <f t="shared" si="5"/>
        <v>1.7985611510791255E-3</v>
      </c>
      <c r="F324" s="6">
        <f>rates[[#This Row],[EUR/INR]]/C323-1</f>
        <v>-3.5394384165732262E-4</v>
      </c>
      <c r="G324" s="6">
        <f>rates[[#This Row],[WTI Crude]]/D323-1</f>
        <v>2.6839087471026701E-3</v>
      </c>
    </row>
    <row r="325" spans="1:7" x14ac:dyDescent="0.3">
      <c r="A325" s="1">
        <v>45470</v>
      </c>
      <c r="B325">
        <f xml:space="preserve"> SUMIFS(market_prices!$E:$E,market_prices!$B:$B,$A325,market_prices!$C:$C,B$1)</f>
        <v>83.44</v>
      </c>
      <c r="C325">
        <f xml:space="preserve"> SUMIFS(market_prices!$E:$E,market_prices!$B:$B,$A325,market_prices!$C:$C,C$1)</f>
        <v>89.3476</v>
      </c>
      <c r="D325">
        <f xml:space="preserve"> SUMIFS(market_prices!$E:$E,market_prices!$B:$B,$A325,market_prices!$C:$C,D$1)</f>
        <v>83.04</v>
      </c>
      <c r="E325" s="6">
        <f t="shared" si="5"/>
        <v>-1.3165769000598182E-3</v>
      </c>
      <c r="F325" s="6">
        <f>rates[[#This Row],[EUR/INR]]/C324-1</f>
        <v>1.1148696722955709E-3</v>
      </c>
      <c r="G325" s="6">
        <f>rates[[#This Row],[WTI Crude]]/D324-1</f>
        <v>1.0341890740966253E-2</v>
      </c>
    </row>
    <row r="326" spans="1:7" x14ac:dyDescent="0.3">
      <c r="A326" s="1">
        <v>45471</v>
      </c>
      <c r="B326">
        <f xml:space="preserve"> SUMIFS(market_prices!$E:$E,market_prices!$B:$B,$A326,market_prices!$C:$C,B$1)</f>
        <v>83.33</v>
      </c>
      <c r="C326">
        <f xml:space="preserve"> SUMIFS(market_prices!$E:$E,market_prices!$B:$B,$A326,market_prices!$C:$C,C$1)</f>
        <v>89.254800000000003</v>
      </c>
      <c r="D326">
        <f xml:space="preserve"> SUMIFS(market_prices!$E:$E,market_prices!$B:$B,$A326,market_prices!$C:$C,D$1)</f>
        <v>82.83</v>
      </c>
      <c r="E326" s="6">
        <f t="shared" si="5"/>
        <v>-1.3183125599233181E-3</v>
      </c>
      <c r="F326" s="6">
        <f>rates[[#This Row],[EUR/INR]]/C325-1</f>
        <v>-1.038640097775434E-3</v>
      </c>
      <c r="G326" s="6">
        <f>rates[[#This Row],[WTI Crude]]/D325-1</f>
        <v>-2.5289017341041387E-3</v>
      </c>
    </row>
    <row r="327" spans="1:7" x14ac:dyDescent="0.3">
      <c r="A327" s="1">
        <v>45474</v>
      </c>
      <c r="B327">
        <f xml:space="preserve"> SUMIFS(market_prices!$E:$E,market_prices!$B:$B,$A327,market_prices!$C:$C,B$1)</f>
        <v>83.44</v>
      </c>
      <c r="C327">
        <f xml:space="preserve"> SUMIFS(market_prices!$E:$E,market_prices!$B:$B,$A327,market_prices!$C:$C,C$1)</f>
        <v>89.514399999999995</v>
      </c>
      <c r="D327">
        <f xml:space="preserve"> SUMIFS(market_prices!$E:$E,market_prices!$B:$B,$A327,market_prices!$C:$C,D$1)</f>
        <v>84.7</v>
      </c>
      <c r="E327" s="6">
        <f t="shared" si="5"/>
        <v>1.3200528021120039E-3</v>
      </c>
      <c r="F327" s="6">
        <f>rates[[#This Row],[EUR/INR]]/C326-1</f>
        <v>2.9085270484050518E-3</v>
      </c>
      <c r="G327" s="6">
        <f>rates[[#This Row],[WTI Crude]]/D326-1</f>
        <v>2.2576361221779528E-2</v>
      </c>
    </row>
    <row r="328" spans="1:7" x14ac:dyDescent="0.3">
      <c r="A328" s="1">
        <v>45475</v>
      </c>
      <c r="B328">
        <f xml:space="preserve"> SUMIFS(market_prices!$E:$E,market_prices!$B:$B,$A328,market_prices!$C:$C,B$1)</f>
        <v>83.5</v>
      </c>
      <c r="C328">
        <f xml:space="preserve"> SUMIFS(market_prices!$E:$E,market_prices!$B:$B,$A328,market_prices!$C:$C,C$1)</f>
        <v>89.653999999999996</v>
      </c>
      <c r="D328">
        <f xml:space="preserve"> SUMIFS(market_prices!$E:$E,market_prices!$B:$B,$A328,market_prices!$C:$C,D$1)</f>
        <v>84.09</v>
      </c>
      <c r="E328" s="6">
        <f t="shared" si="5"/>
        <v>7.1907957813999168E-4</v>
      </c>
      <c r="F328" s="6">
        <f>rates[[#This Row],[EUR/INR]]/C327-1</f>
        <v>1.5595256182245887E-3</v>
      </c>
      <c r="G328" s="6">
        <f>rates[[#This Row],[WTI Crude]]/D327-1</f>
        <v>-7.2018890200707952E-3</v>
      </c>
    </row>
    <row r="329" spans="1:7" x14ac:dyDescent="0.3">
      <c r="A329" s="1">
        <v>45476</v>
      </c>
      <c r="B329">
        <f xml:space="preserve"> SUMIFS(market_prices!$E:$E,market_prices!$B:$B,$A329,market_prices!$C:$C,B$1)</f>
        <v>83.48</v>
      </c>
      <c r="C329">
        <f xml:space="preserve"> SUMIFS(market_prices!$E:$E,market_prices!$B:$B,$A329,market_prices!$C:$C,C$1)</f>
        <v>90.150099999999995</v>
      </c>
      <c r="D329">
        <f xml:space="preserve"> SUMIFS(market_prices!$E:$E,market_prices!$B:$B,$A329,market_prices!$C:$C,D$1)</f>
        <v>85.19</v>
      </c>
      <c r="E329" s="6">
        <f t="shared" si="5"/>
        <v>-2.3952095808377205E-4</v>
      </c>
      <c r="F329" s="6">
        <f>rates[[#This Row],[EUR/INR]]/C328-1</f>
        <v>5.5334954380172885E-3</v>
      </c>
      <c r="G329" s="6">
        <f>rates[[#This Row],[WTI Crude]]/D328-1</f>
        <v>1.3081222499702561E-2</v>
      </c>
    </row>
    <row r="330" spans="1:7" x14ac:dyDescent="0.3">
      <c r="A330" s="1">
        <v>45477</v>
      </c>
      <c r="B330">
        <f xml:space="preserve"> SUMIFS(market_prices!$E:$E,market_prices!$B:$B,$A330,market_prices!$C:$C,B$1)</f>
        <v>83.48</v>
      </c>
      <c r="C330">
        <f xml:space="preserve"> SUMIFS(market_prices!$E:$E,market_prices!$B:$B,$A330,market_prices!$C:$C,C$1)</f>
        <v>90.150099999999995</v>
      </c>
      <c r="D330">
        <f xml:space="preserve"> SUMIFS(market_prices!$E:$E,market_prices!$B:$B,$A330,market_prices!$C:$C,D$1)</f>
        <v>85.19</v>
      </c>
      <c r="E330" s="6">
        <f t="shared" si="5"/>
        <v>0</v>
      </c>
      <c r="F330" s="6">
        <f>rates[[#This Row],[EUR/INR]]/C329-1</f>
        <v>0</v>
      </c>
      <c r="G330" s="6">
        <f>rates[[#This Row],[WTI Crude]]/D329-1</f>
        <v>0</v>
      </c>
    </row>
    <row r="331" spans="1:7" x14ac:dyDescent="0.3">
      <c r="A331" s="1">
        <v>45478</v>
      </c>
      <c r="B331">
        <f xml:space="preserve"> SUMIFS(market_prices!$E:$E,market_prices!$B:$B,$A331,market_prices!$C:$C,B$1)</f>
        <v>83.47</v>
      </c>
      <c r="C331">
        <f xml:space="preserve"> SUMIFS(market_prices!$E:$E,market_prices!$B:$B,$A331,market_prices!$C:$C,C$1)</f>
        <v>90.381299999999996</v>
      </c>
      <c r="D331">
        <f xml:space="preserve"> SUMIFS(market_prices!$E:$E,market_prices!$B:$B,$A331,market_prices!$C:$C,D$1)</f>
        <v>84.44</v>
      </c>
      <c r="E331" s="6">
        <f t="shared" si="5"/>
        <v>-1.1978917105903708E-4</v>
      </c>
      <c r="F331" s="6">
        <f>rates[[#This Row],[EUR/INR]]/C330-1</f>
        <v>2.5646116865094548E-3</v>
      </c>
      <c r="G331" s="6">
        <f>rates[[#This Row],[WTI Crude]]/D330-1</f>
        <v>-8.8038502171616795E-3</v>
      </c>
    </row>
    <row r="332" spans="1:7" x14ac:dyDescent="0.3">
      <c r="A332" s="1">
        <v>45481</v>
      </c>
      <c r="B332">
        <f xml:space="preserve"> SUMIFS(market_prices!$E:$E,market_prices!$B:$B,$A332,market_prices!$C:$C,B$1)</f>
        <v>83.45</v>
      </c>
      <c r="C332">
        <f xml:space="preserve"> SUMIFS(market_prices!$E:$E,market_prices!$B:$B,$A332,market_prices!$C:$C,C$1)</f>
        <v>90.418099999999995</v>
      </c>
      <c r="D332">
        <f xml:space="preserve"> SUMIFS(market_prices!$E:$E,market_prices!$B:$B,$A332,market_prices!$C:$C,D$1)</f>
        <v>83.63</v>
      </c>
      <c r="E332" s="6">
        <f t="shared" si="5"/>
        <v>-2.3960704444703218E-4</v>
      </c>
      <c r="F332" s="6">
        <f>rates[[#This Row],[EUR/INR]]/C331-1</f>
        <v>4.0716387128747478E-4</v>
      </c>
      <c r="G332" s="6">
        <f>rates[[#This Row],[WTI Crude]]/D331-1</f>
        <v>-9.5926101373756678E-3</v>
      </c>
    </row>
    <row r="333" spans="1:7" x14ac:dyDescent="0.3">
      <c r="A333" s="1">
        <v>45482</v>
      </c>
      <c r="B333">
        <f xml:space="preserve"> SUMIFS(market_prices!$E:$E,market_prices!$B:$B,$A333,market_prices!$C:$C,B$1)</f>
        <v>83.47</v>
      </c>
      <c r="C333">
        <f xml:space="preserve"> SUMIFS(market_prices!$E:$E,market_prices!$B:$B,$A333,market_prices!$C:$C,C$1)</f>
        <v>90.256100000000004</v>
      </c>
      <c r="D333">
        <f xml:space="preserve"> SUMIFS(market_prices!$E:$E,market_prices!$B:$B,$A333,market_prices!$C:$C,D$1)</f>
        <v>82.78</v>
      </c>
      <c r="E333" s="6">
        <f t="shared" si="5"/>
        <v>2.3966446974221789E-4</v>
      </c>
      <c r="F333" s="6">
        <f>rates[[#This Row],[EUR/INR]]/C332-1</f>
        <v>-1.7916766665080353E-3</v>
      </c>
      <c r="G333" s="6">
        <f>rates[[#This Row],[WTI Crude]]/D332-1</f>
        <v>-1.0163816812148729E-2</v>
      </c>
    </row>
    <row r="334" spans="1:7" x14ac:dyDescent="0.3">
      <c r="A334" s="1">
        <v>45483</v>
      </c>
      <c r="B334">
        <f xml:space="preserve"> SUMIFS(market_prices!$E:$E,market_prices!$B:$B,$A334,market_prices!$C:$C,B$1)</f>
        <v>83.5</v>
      </c>
      <c r="C334">
        <f xml:space="preserve"> SUMIFS(market_prices!$E:$E,market_prices!$B:$B,$A334,market_prices!$C:$C,C$1)</f>
        <v>90.372</v>
      </c>
      <c r="D334">
        <f xml:space="preserve"> SUMIFS(market_prices!$E:$E,market_prices!$B:$B,$A334,market_prices!$C:$C,D$1)</f>
        <v>83.39</v>
      </c>
      <c r="E334" s="6">
        <f t="shared" si="5"/>
        <v>3.5941056667065929E-4</v>
      </c>
      <c r="F334" s="6">
        <f>rates[[#This Row],[EUR/INR]]/C333-1</f>
        <v>1.2841237323570898E-3</v>
      </c>
      <c r="G334" s="6">
        <f>rates[[#This Row],[WTI Crude]]/D333-1</f>
        <v>7.3689296931624959E-3</v>
      </c>
    </row>
    <row r="335" spans="1:7" x14ac:dyDescent="0.3">
      <c r="A335" s="1">
        <v>45484</v>
      </c>
      <c r="B335">
        <f xml:space="preserve"> SUMIFS(market_prices!$E:$E,market_prices!$B:$B,$A335,market_prices!$C:$C,B$1)</f>
        <v>83.57</v>
      </c>
      <c r="C335">
        <f xml:space="preserve"> SUMIFS(market_prices!$E:$E,market_prices!$B:$B,$A335,market_prices!$C:$C,C$1)</f>
        <v>90.840599999999995</v>
      </c>
      <c r="D335">
        <f xml:space="preserve"> SUMIFS(market_prices!$E:$E,market_prices!$B:$B,$A335,market_prices!$C:$C,D$1)</f>
        <v>83.92</v>
      </c>
      <c r="E335" s="6">
        <f t="shared" si="5"/>
        <v>8.3832335329336871E-4</v>
      </c>
      <c r="F335" s="6">
        <f>rates[[#This Row],[EUR/INR]]/C334-1</f>
        <v>5.1852343646261456E-3</v>
      </c>
      <c r="G335" s="6">
        <f>rates[[#This Row],[WTI Crude]]/D334-1</f>
        <v>6.3556781388656169E-3</v>
      </c>
    </row>
    <row r="336" spans="1:7" x14ac:dyDescent="0.3">
      <c r="A336" s="1">
        <v>45485</v>
      </c>
      <c r="B336">
        <f xml:space="preserve"> SUMIFS(market_prices!$E:$E,market_prices!$B:$B,$A336,market_prices!$C:$C,B$1)</f>
        <v>83.48</v>
      </c>
      <c r="C336">
        <f xml:space="preserve"> SUMIFS(market_prices!$E:$E,market_prices!$B:$B,$A336,market_prices!$C:$C,C$1)</f>
        <v>91.009900000000002</v>
      </c>
      <c r="D336">
        <f xml:space="preserve"> SUMIFS(market_prices!$E:$E,market_prices!$B:$B,$A336,market_prices!$C:$C,D$1)</f>
        <v>83.49</v>
      </c>
      <c r="E336" s="6">
        <f t="shared" si="5"/>
        <v>-1.0769414861790949E-3</v>
      </c>
      <c r="F336" s="6">
        <f>rates[[#This Row],[EUR/INR]]/C335-1</f>
        <v>1.8637041146800648E-3</v>
      </c>
      <c r="G336" s="6">
        <f>rates[[#This Row],[WTI Crude]]/D335-1</f>
        <v>-5.1239275500477577E-3</v>
      </c>
    </row>
    <row r="337" spans="1:7" x14ac:dyDescent="0.3">
      <c r="A337" s="1">
        <v>45488</v>
      </c>
      <c r="B337">
        <f xml:space="preserve"> SUMIFS(market_prices!$E:$E,market_prices!$B:$B,$A337,market_prices!$C:$C,B$1)</f>
        <v>83.55</v>
      </c>
      <c r="C337">
        <f xml:space="preserve"> SUMIFS(market_prices!$E:$E,market_prices!$B:$B,$A337,market_prices!$C:$C,C$1)</f>
        <v>91.169799999999995</v>
      </c>
      <c r="D337">
        <f xml:space="preserve"> SUMIFS(market_prices!$E:$E,market_prices!$B:$B,$A337,market_prices!$C:$C,D$1)</f>
        <v>83.22</v>
      </c>
      <c r="E337" s="6">
        <f t="shared" si="5"/>
        <v>8.3852419741248241E-4</v>
      </c>
      <c r="F337" s="6">
        <f>rates[[#This Row],[EUR/INR]]/C336-1</f>
        <v>1.7569517162416837E-3</v>
      </c>
      <c r="G337" s="6">
        <f>rates[[#This Row],[WTI Crude]]/D336-1</f>
        <v>-3.2339202299676018E-3</v>
      </c>
    </row>
    <row r="338" spans="1:7" x14ac:dyDescent="0.3">
      <c r="A338" s="1">
        <v>45489</v>
      </c>
      <c r="B338">
        <f xml:space="preserve"> SUMIFS(market_prices!$E:$E,market_prices!$B:$B,$A338,market_prices!$C:$C,B$1)</f>
        <v>83.6</v>
      </c>
      <c r="C338">
        <f xml:space="preserve"> SUMIFS(market_prices!$E:$E,market_prices!$B:$B,$A338,market_prices!$C:$C,C$1)</f>
        <v>90.998599999999996</v>
      </c>
      <c r="D338">
        <f xml:space="preserve"> SUMIFS(market_prices!$E:$E,market_prices!$B:$B,$A338,market_prices!$C:$C,D$1)</f>
        <v>81.92</v>
      </c>
      <c r="E338" s="6">
        <f t="shared" si="5"/>
        <v>5.9844404548181629E-4</v>
      </c>
      <c r="F338" s="6">
        <f>rates[[#This Row],[EUR/INR]]/C337-1</f>
        <v>-1.877814802708766E-3</v>
      </c>
      <c r="G338" s="6">
        <f>rates[[#This Row],[WTI Crude]]/D337-1</f>
        <v>-1.5621244893054498E-2</v>
      </c>
    </row>
    <row r="339" spans="1:7" x14ac:dyDescent="0.3">
      <c r="A339" s="1">
        <v>45490</v>
      </c>
      <c r="B339">
        <f xml:space="preserve"> SUMIFS(market_prices!$E:$E,market_prices!$B:$B,$A339,market_prices!$C:$C,B$1)</f>
        <v>83.55</v>
      </c>
      <c r="C339">
        <f xml:space="preserve"> SUMIFS(market_prices!$E:$E,market_prices!$B:$B,$A339,market_prices!$C:$C,C$1)</f>
        <v>91.345200000000006</v>
      </c>
      <c r="D339">
        <f xml:space="preserve"> SUMIFS(market_prices!$E:$E,market_prices!$B:$B,$A339,market_prices!$C:$C,D$1)</f>
        <v>84.16</v>
      </c>
      <c r="E339" s="6">
        <f t="shared" si="5"/>
        <v>-5.9808612440193087E-4</v>
      </c>
      <c r="F339" s="6">
        <f>rates[[#This Row],[EUR/INR]]/C338-1</f>
        <v>3.808849806480552E-3</v>
      </c>
      <c r="G339" s="6">
        <f>rates[[#This Row],[WTI Crude]]/D338-1</f>
        <v>2.734375E-2</v>
      </c>
    </row>
    <row r="340" spans="1:7" x14ac:dyDescent="0.3">
      <c r="A340" s="1">
        <v>45491</v>
      </c>
      <c r="B340">
        <f xml:space="preserve"> SUMIFS(market_prices!$E:$E,market_prices!$B:$B,$A340,market_prices!$C:$C,B$1)</f>
        <v>83.58</v>
      </c>
      <c r="C340">
        <f xml:space="preserve"> SUMIFS(market_prices!$E:$E,market_prices!$B:$B,$A340,market_prices!$C:$C,C$1)</f>
        <v>91.210899999999995</v>
      </c>
      <c r="D340">
        <f xml:space="preserve"> SUMIFS(market_prices!$E:$E,market_prices!$B:$B,$A340,market_prices!$C:$C,D$1)</f>
        <v>84.17</v>
      </c>
      <c r="E340" s="6">
        <f t="shared" si="5"/>
        <v>3.5906642728900096E-4</v>
      </c>
      <c r="F340" s="6">
        <f>rates[[#This Row],[EUR/INR]]/C339-1</f>
        <v>-1.4702469314207267E-3</v>
      </c>
      <c r="G340" s="6">
        <f>rates[[#This Row],[WTI Crude]]/D339-1</f>
        <v>1.1882129277562825E-4</v>
      </c>
    </row>
    <row r="341" spans="1:7" x14ac:dyDescent="0.3">
      <c r="A341" s="1">
        <v>45492</v>
      </c>
      <c r="B341">
        <f xml:space="preserve"> SUMIFS(market_prices!$E:$E,market_prices!$B:$B,$A341,market_prices!$C:$C,B$1)</f>
        <v>83.7</v>
      </c>
      <c r="C341">
        <f xml:space="preserve"> SUMIFS(market_prices!$E:$E,market_prices!$B:$B,$A341,market_prices!$C:$C,C$1)</f>
        <v>91.132599999999996</v>
      </c>
      <c r="D341">
        <f xml:space="preserve"> SUMIFS(market_prices!$E:$E,market_prices!$B:$B,$A341,market_prices!$C:$C,D$1)</f>
        <v>81.430000000000007</v>
      </c>
      <c r="E341" s="6">
        <f t="shared" si="5"/>
        <v>1.4357501794688421E-3</v>
      </c>
      <c r="F341" s="6">
        <f>rates[[#This Row],[EUR/INR]]/C340-1</f>
        <v>-8.5845003173956602E-4</v>
      </c>
      <c r="G341" s="6">
        <f>rates[[#This Row],[WTI Crude]]/D340-1</f>
        <v>-3.2553166211239049E-2</v>
      </c>
    </row>
    <row r="342" spans="1:7" x14ac:dyDescent="0.3">
      <c r="A342" s="1">
        <v>45495</v>
      </c>
      <c r="B342">
        <f xml:space="preserve"> SUMIFS(market_prices!$E:$E,market_prices!$B:$B,$A342,market_prices!$C:$C,B$1)</f>
        <v>83.65</v>
      </c>
      <c r="C342">
        <f xml:space="preserve"> SUMIFS(market_prices!$E:$E,market_prices!$B:$B,$A342,market_prices!$C:$C,C$1)</f>
        <v>91.011200000000002</v>
      </c>
      <c r="D342">
        <f xml:space="preserve"> SUMIFS(market_prices!$E:$E,market_prices!$B:$B,$A342,market_prices!$C:$C,D$1)</f>
        <v>81.25</v>
      </c>
      <c r="E342" s="6">
        <f t="shared" si="5"/>
        <v>-5.9737156511341372E-4</v>
      </c>
      <c r="F342" s="6">
        <f>rates[[#This Row],[EUR/INR]]/C341-1</f>
        <v>-1.3321248378735939E-3</v>
      </c>
      <c r="G342" s="6">
        <f>rates[[#This Row],[WTI Crude]]/D341-1</f>
        <v>-2.2104875353065045E-3</v>
      </c>
    </row>
    <row r="343" spans="1:7" x14ac:dyDescent="0.3">
      <c r="A343" s="1">
        <v>45496</v>
      </c>
      <c r="B343">
        <f xml:space="preserve"> SUMIFS(market_prices!$E:$E,market_prices!$B:$B,$A343,market_prices!$C:$C,B$1)</f>
        <v>83.68</v>
      </c>
      <c r="C343">
        <f xml:space="preserve"> SUMIFS(market_prices!$E:$E,market_prices!$B:$B,$A343,market_prices!$C:$C,C$1)</f>
        <v>90.834599999999995</v>
      </c>
      <c r="D343">
        <f xml:space="preserve"> SUMIFS(market_prices!$E:$E,market_prices!$B:$B,$A343,market_prices!$C:$C,D$1)</f>
        <v>78.239999999999995</v>
      </c>
      <c r="E343" s="6">
        <f t="shared" si="5"/>
        <v>3.5863717872097745E-4</v>
      </c>
      <c r="F343" s="6">
        <f>rates[[#This Row],[EUR/INR]]/C342-1</f>
        <v>-1.940420519672359E-3</v>
      </c>
      <c r="G343" s="6">
        <f>rates[[#This Row],[WTI Crude]]/D342-1</f>
        <v>-3.7046153846153951E-2</v>
      </c>
    </row>
    <row r="344" spans="1:7" x14ac:dyDescent="0.3">
      <c r="A344" s="1">
        <v>45497</v>
      </c>
      <c r="B344">
        <f xml:space="preserve"> SUMIFS(market_prices!$E:$E,market_prices!$B:$B,$A344,market_prices!$C:$C,B$1)</f>
        <v>83.72</v>
      </c>
      <c r="C344">
        <f xml:space="preserve"> SUMIFS(market_prices!$E:$E,market_prices!$B:$B,$A344,market_prices!$C:$C,C$1)</f>
        <v>90.8613</v>
      </c>
      <c r="D344">
        <f xml:space="preserve"> SUMIFS(market_prices!$E:$E,market_prices!$B:$B,$A344,market_prices!$C:$C,D$1)</f>
        <v>78.78</v>
      </c>
      <c r="E344" s="6">
        <f t="shared" si="5"/>
        <v>4.7801147227533036E-4</v>
      </c>
      <c r="F344" s="6">
        <f>rates[[#This Row],[EUR/INR]]/C343-1</f>
        <v>2.9394085513678725E-4</v>
      </c>
      <c r="G344" s="6">
        <f>rates[[#This Row],[WTI Crude]]/D343-1</f>
        <v>6.9018404907976727E-3</v>
      </c>
    </row>
    <row r="345" spans="1:7" x14ac:dyDescent="0.3">
      <c r="A345" s="1">
        <v>45498</v>
      </c>
      <c r="B345">
        <f xml:space="preserve"> SUMIFS(market_prices!$E:$E,market_prices!$B:$B,$A345,market_prices!$C:$C,B$1)</f>
        <v>83.7</v>
      </c>
      <c r="C345">
        <f xml:space="preserve"> SUMIFS(market_prices!$E:$E,market_prices!$B:$B,$A345,market_prices!$C:$C,C$1)</f>
        <v>90.906599999999997</v>
      </c>
      <c r="D345">
        <f xml:space="preserve"> SUMIFS(market_prices!$E:$E,market_prices!$B:$B,$A345,market_prices!$C:$C,D$1)</f>
        <v>79.430000000000007</v>
      </c>
      <c r="E345" s="6">
        <f t="shared" si="5"/>
        <v>-2.3889154323930573E-4</v>
      </c>
      <c r="F345" s="6">
        <f>rates[[#This Row],[EUR/INR]]/C344-1</f>
        <v>4.9856209409293584E-4</v>
      </c>
      <c r="G345" s="6">
        <f>rates[[#This Row],[WTI Crude]]/D344-1</f>
        <v>8.2508250825084062E-3</v>
      </c>
    </row>
    <row r="346" spans="1:7" x14ac:dyDescent="0.3">
      <c r="A346" s="1">
        <v>45499</v>
      </c>
      <c r="B346">
        <f xml:space="preserve"> SUMIFS(market_prices!$E:$E,market_prices!$B:$B,$A346,market_prices!$C:$C,B$1)</f>
        <v>83.7</v>
      </c>
      <c r="C346">
        <f xml:space="preserve"> SUMIFS(market_prices!$E:$E,market_prices!$B:$B,$A346,market_prices!$C:$C,C$1)</f>
        <v>90.889799999999994</v>
      </c>
      <c r="D346">
        <f xml:space="preserve"> SUMIFS(market_prices!$E:$E,market_prices!$B:$B,$A346,market_prices!$C:$C,D$1)</f>
        <v>78.58</v>
      </c>
      <c r="E346" s="6">
        <f t="shared" si="5"/>
        <v>0</v>
      </c>
      <c r="F346" s="6">
        <f>rates[[#This Row],[EUR/INR]]/C345-1</f>
        <v>-1.8480506365881055E-4</v>
      </c>
      <c r="G346" s="6">
        <f>rates[[#This Row],[WTI Crude]]/D345-1</f>
        <v>-1.0701246380460883E-2</v>
      </c>
    </row>
    <row r="347" spans="1:7" x14ac:dyDescent="0.3">
      <c r="A347" s="1">
        <v>45502</v>
      </c>
      <c r="B347">
        <f xml:space="preserve"> SUMIFS(market_prices!$E:$E,market_prices!$B:$B,$A347,market_prices!$C:$C,B$1)</f>
        <v>83.75</v>
      </c>
      <c r="C347">
        <f xml:space="preserve"> SUMIFS(market_prices!$E:$E,market_prices!$B:$B,$A347,market_prices!$C:$C,C$1)</f>
        <v>90.609099999999998</v>
      </c>
      <c r="D347">
        <f xml:space="preserve"> SUMIFS(market_prices!$E:$E,market_prices!$B:$B,$A347,market_prices!$C:$C,D$1)</f>
        <v>77.27</v>
      </c>
      <c r="E347" s="6">
        <f t="shared" si="5"/>
        <v>5.9737156511352474E-4</v>
      </c>
      <c r="F347" s="6">
        <f>rates[[#This Row],[EUR/INR]]/C346-1</f>
        <v>-3.0883553490049787E-3</v>
      </c>
      <c r="G347" s="6">
        <f>rates[[#This Row],[WTI Crude]]/D346-1</f>
        <v>-1.6670908628149683E-2</v>
      </c>
    </row>
    <row r="348" spans="1:7" x14ac:dyDescent="0.3">
      <c r="A348" s="1">
        <v>45503</v>
      </c>
      <c r="B348">
        <f xml:space="preserve"> SUMIFS(market_prices!$E:$E,market_prices!$B:$B,$A348,market_prices!$C:$C,B$1)</f>
        <v>83.7</v>
      </c>
      <c r="C348">
        <f xml:space="preserve"> SUMIFS(market_prices!$E:$E,market_prices!$B:$B,$A348,market_prices!$C:$C,C$1)</f>
        <v>90.471299999999999</v>
      </c>
      <c r="D348">
        <f xml:space="preserve"> SUMIFS(market_prices!$E:$E,market_prices!$B:$B,$A348,market_prices!$C:$C,D$1)</f>
        <v>76.17</v>
      </c>
      <c r="E348" s="6">
        <f t="shared" si="5"/>
        <v>-5.9701492537311829E-4</v>
      </c>
      <c r="F348" s="6">
        <f>rates[[#This Row],[EUR/INR]]/C347-1</f>
        <v>-1.5208185491302206E-3</v>
      </c>
      <c r="G348" s="6">
        <f>rates[[#This Row],[WTI Crude]]/D347-1</f>
        <v>-1.4235796557525493E-2</v>
      </c>
    </row>
    <row r="349" spans="1:7" x14ac:dyDescent="0.3">
      <c r="A349" s="1">
        <v>45504</v>
      </c>
      <c r="B349">
        <f xml:space="preserve"> SUMIFS(market_prices!$E:$E,market_prices!$B:$B,$A349,market_prices!$C:$C,B$1)</f>
        <v>83.73</v>
      </c>
      <c r="C349">
        <f xml:space="preserve"> SUMIFS(market_prices!$E:$E,market_prices!$B:$B,$A349,market_prices!$C:$C,C$1)</f>
        <v>90.620999999999995</v>
      </c>
      <c r="D349">
        <f xml:space="preserve"> SUMIFS(market_prices!$E:$E,market_prices!$B:$B,$A349,market_prices!$C:$C,D$1)</f>
        <v>79.36</v>
      </c>
      <c r="E349" s="6">
        <f t="shared" si="5"/>
        <v>3.5842293906807043E-4</v>
      </c>
      <c r="F349" s="6">
        <f>rates[[#This Row],[EUR/INR]]/C348-1</f>
        <v>1.6546683865490408E-3</v>
      </c>
      <c r="G349" s="6">
        <f>rates[[#This Row],[WTI Crude]]/D348-1</f>
        <v>4.1880005251411223E-2</v>
      </c>
    </row>
    <row r="350" spans="1:7" x14ac:dyDescent="0.3">
      <c r="A350" s="1">
        <v>45505</v>
      </c>
      <c r="B350">
        <f xml:space="preserve"> SUMIFS(market_prices!$E:$E,market_prices!$B:$B,$A350,market_prices!$C:$C,B$1)</f>
        <v>83.7</v>
      </c>
      <c r="C350">
        <f xml:space="preserve"> SUMIFS(market_prices!$E:$E,market_prices!$B:$B,$A350,market_prices!$C:$C,C$1)</f>
        <v>90.303899999999999</v>
      </c>
      <c r="D350">
        <f xml:space="preserve"> SUMIFS(market_prices!$E:$E,market_prices!$B:$B,$A350,market_prices!$C:$C,D$1)</f>
        <v>77.739999999999995</v>
      </c>
      <c r="E350" s="6">
        <f t="shared" si="5"/>
        <v>-3.5829451809388235E-4</v>
      </c>
      <c r="F350" s="6">
        <f>rates[[#This Row],[EUR/INR]]/C349-1</f>
        <v>-3.4991889297182333E-3</v>
      </c>
      <c r="G350" s="6">
        <f>rates[[#This Row],[WTI Crude]]/D349-1</f>
        <v>-2.0413306451612989E-2</v>
      </c>
    </row>
    <row r="351" spans="1:7" x14ac:dyDescent="0.3">
      <c r="A351" s="1">
        <v>45506</v>
      </c>
      <c r="B351">
        <f xml:space="preserve"> SUMIFS(market_prices!$E:$E,market_prices!$B:$B,$A351,market_prices!$C:$C,B$1)</f>
        <v>83.79</v>
      </c>
      <c r="C351">
        <f xml:space="preserve"> SUMIFS(market_prices!$E:$E,market_prices!$B:$B,$A351,market_prices!$C:$C,C$1)</f>
        <v>91.448400000000007</v>
      </c>
      <c r="D351">
        <f xml:space="preserve"> SUMIFS(market_prices!$E:$E,market_prices!$B:$B,$A351,market_prices!$C:$C,D$1)</f>
        <v>74.989999999999995</v>
      </c>
      <c r="E351" s="6">
        <f t="shared" si="5"/>
        <v>1.0752688172044333E-3</v>
      </c>
      <c r="F351" s="6">
        <f>rates[[#This Row],[EUR/INR]]/C350-1</f>
        <v>1.2673871228153111E-2</v>
      </c>
      <c r="G351" s="6">
        <f>rates[[#This Row],[WTI Crude]]/D350-1</f>
        <v>-3.5374324671983537E-2</v>
      </c>
    </row>
    <row r="352" spans="1:7" x14ac:dyDescent="0.3">
      <c r="A352" s="1">
        <v>45509</v>
      </c>
      <c r="B352">
        <f xml:space="preserve"> SUMIFS(market_prices!$E:$E,market_prices!$B:$B,$A352,market_prices!$C:$C,B$1)</f>
        <v>83.83</v>
      </c>
      <c r="C352">
        <f xml:space="preserve"> SUMIFS(market_prices!$E:$E,market_prices!$B:$B,$A352,market_prices!$C:$C,C$1)</f>
        <v>91.852500000000006</v>
      </c>
      <c r="D352">
        <f xml:space="preserve"> SUMIFS(market_prices!$E:$E,market_prices!$B:$B,$A352,market_prices!$C:$C,D$1)</f>
        <v>74.459999999999994</v>
      </c>
      <c r="E352" s="6">
        <f t="shared" si="5"/>
        <v>4.7738393603036222E-4</v>
      </c>
      <c r="F352" s="6">
        <f>rates[[#This Row],[EUR/INR]]/C351-1</f>
        <v>4.4188854042279679E-3</v>
      </c>
      <c r="G352" s="6">
        <f>rates[[#This Row],[WTI Crude]]/D351-1</f>
        <v>-7.0676090145352921E-3</v>
      </c>
    </row>
    <row r="353" spans="1:7" x14ac:dyDescent="0.3">
      <c r="A353" s="1">
        <v>45510</v>
      </c>
      <c r="B353">
        <f xml:space="preserve"> SUMIFS(market_prices!$E:$E,market_prices!$B:$B,$A353,market_prices!$C:$C,B$1)</f>
        <v>83.91</v>
      </c>
      <c r="C353">
        <f xml:space="preserve"> SUMIFS(market_prices!$E:$E,market_prices!$B:$B,$A353,market_prices!$C:$C,C$1)</f>
        <v>91.680099999999996</v>
      </c>
      <c r="D353">
        <f xml:space="preserve"> SUMIFS(market_prices!$E:$E,market_prices!$B:$B,$A353,market_prices!$C:$C,D$1)</f>
        <v>74.599999999999994</v>
      </c>
      <c r="E353" s="6">
        <f t="shared" si="5"/>
        <v>9.5431229869968881E-4</v>
      </c>
      <c r="F353" s="6">
        <f>rates[[#This Row],[EUR/INR]]/C352-1</f>
        <v>-1.8769222394601215E-3</v>
      </c>
      <c r="G353" s="6">
        <f>rates[[#This Row],[WTI Crude]]/D352-1</f>
        <v>1.8802041364491817E-3</v>
      </c>
    </row>
    <row r="354" spans="1:7" x14ac:dyDescent="0.3">
      <c r="A354" s="1">
        <v>45511</v>
      </c>
      <c r="B354">
        <f xml:space="preserve"> SUMIFS(market_prices!$E:$E,market_prices!$B:$B,$A354,market_prices!$C:$C,B$1)</f>
        <v>83.96</v>
      </c>
      <c r="C354">
        <f xml:space="preserve"> SUMIFS(market_prices!$E:$E,market_prices!$B:$B,$A354,market_prices!$C:$C,C$1)</f>
        <v>91.726299999999995</v>
      </c>
      <c r="D354">
        <f xml:space="preserve"> SUMIFS(market_prices!$E:$E,market_prices!$B:$B,$A354,market_prices!$C:$C,D$1)</f>
        <v>76.680000000000007</v>
      </c>
      <c r="E354" s="6">
        <f t="shared" si="5"/>
        <v>5.9587653438208932E-4</v>
      </c>
      <c r="F354" s="6">
        <f>rates[[#This Row],[EUR/INR]]/C353-1</f>
        <v>5.039261519130811E-4</v>
      </c>
      <c r="G354" s="6">
        <f>rates[[#This Row],[WTI Crude]]/D353-1</f>
        <v>2.7882037533512261E-2</v>
      </c>
    </row>
    <row r="355" spans="1:7" x14ac:dyDescent="0.3">
      <c r="A355" s="1">
        <v>45512</v>
      </c>
      <c r="B355">
        <f xml:space="preserve"> SUMIFS(market_prices!$E:$E,market_prices!$B:$B,$A355,market_prices!$C:$C,B$1)</f>
        <v>83.95</v>
      </c>
      <c r="C355">
        <f xml:space="preserve"> SUMIFS(market_prices!$E:$E,market_prices!$B:$B,$A355,market_prices!$C:$C,C$1)</f>
        <v>91.623000000000005</v>
      </c>
      <c r="D355">
        <f xml:space="preserve"> SUMIFS(market_prices!$E:$E,market_prices!$B:$B,$A355,market_prices!$C:$C,D$1)</f>
        <v>77.64</v>
      </c>
      <c r="E355" s="6">
        <f t="shared" si="5"/>
        <v>-1.1910433539774612E-4</v>
      </c>
      <c r="F355" s="6">
        <f>rates[[#This Row],[EUR/INR]]/C354-1</f>
        <v>-1.1261764619306946E-3</v>
      </c>
      <c r="G355" s="6">
        <f>rates[[#This Row],[WTI Crude]]/D354-1</f>
        <v>1.2519561815336422E-2</v>
      </c>
    </row>
    <row r="356" spans="1:7" x14ac:dyDescent="0.3">
      <c r="A356" s="1">
        <v>45513</v>
      </c>
      <c r="B356">
        <f xml:space="preserve"> SUMIFS(market_prices!$E:$E,market_prices!$B:$B,$A356,market_prices!$C:$C,B$1)</f>
        <v>83.92</v>
      </c>
      <c r="C356">
        <f xml:space="preserve"> SUMIFS(market_prices!$E:$E,market_prices!$B:$B,$A356,market_prices!$C:$C,C$1)</f>
        <v>91.682599999999994</v>
      </c>
      <c r="D356">
        <f xml:space="preserve"> SUMIFS(market_prices!$E:$E,market_prices!$B:$B,$A356,market_prices!$C:$C,D$1)</f>
        <v>78.28</v>
      </c>
      <c r="E356" s="6">
        <f t="shared" si="5"/>
        <v>-3.5735556879090691E-4</v>
      </c>
      <c r="F356" s="6">
        <f>rates[[#This Row],[EUR/INR]]/C355-1</f>
        <v>6.5049168876796237E-4</v>
      </c>
      <c r="G356" s="6">
        <f>rates[[#This Row],[WTI Crude]]/D355-1</f>
        <v>8.2431736218444573E-3</v>
      </c>
    </row>
    <row r="357" spans="1:7" x14ac:dyDescent="0.3">
      <c r="A357" s="1">
        <v>45516</v>
      </c>
      <c r="B357">
        <f xml:space="preserve"> SUMIFS(market_prices!$E:$E,market_prices!$B:$B,$A357,market_prices!$C:$C,B$1)</f>
        <v>83.92</v>
      </c>
      <c r="C357">
        <f xml:space="preserve"> SUMIFS(market_prices!$E:$E,market_prices!$B:$B,$A357,market_prices!$C:$C,C$1)</f>
        <v>91.707800000000006</v>
      </c>
      <c r="D357">
        <f xml:space="preserve"> SUMIFS(market_prices!$E:$E,market_prices!$B:$B,$A357,market_prices!$C:$C,D$1)</f>
        <v>81.45</v>
      </c>
      <c r="E357" s="6">
        <f t="shared" si="5"/>
        <v>0</v>
      </c>
      <c r="F357" s="6">
        <f>rates[[#This Row],[EUR/INR]]/C356-1</f>
        <v>2.7486131501519573E-4</v>
      </c>
      <c r="G357" s="6">
        <f>rates[[#This Row],[WTI Crude]]/D356-1</f>
        <v>4.0495656617271392E-2</v>
      </c>
    </row>
    <row r="358" spans="1:7" x14ac:dyDescent="0.3">
      <c r="A358" s="1">
        <v>45517</v>
      </c>
      <c r="B358">
        <f xml:space="preserve"> SUMIFS(market_prices!$E:$E,market_prices!$B:$B,$A358,market_prices!$C:$C,B$1)</f>
        <v>83.97</v>
      </c>
      <c r="C358">
        <f xml:space="preserve"> SUMIFS(market_prices!$E:$E,market_prices!$B:$B,$A358,market_prices!$C:$C,C$1)</f>
        <v>91.980699999999999</v>
      </c>
      <c r="D358">
        <f xml:space="preserve"> SUMIFS(market_prices!$E:$E,market_prices!$B:$B,$A358,market_prices!$C:$C,D$1)</f>
        <v>79.81</v>
      </c>
      <c r="E358" s="6">
        <f t="shared" si="5"/>
        <v>5.958055290753439E-4</v>
      </c>
      <c r="F358" s="6">
        <f>rates[[#This Row],[EUR/INR]]/C357-1</f>
        <v>2.9757556063931823E-3</v>
      </c>
      <c r="G358" s="6">
        <f>rates[[#This Row],[WTI Crude]]/D357-1</f>
        <v>-2.0135052179251045E-2</v>
      </c>
    </row>
    <row r="359" spans="1:7" x14ac:dyDescent="0.3">
      <c r="A359" s="1">
        <v>45518</v>
      </c>
      <c r="B359">
        <f xml:space="preserve"> SUMIFS(market_prices!$E:$E,market_prices!$B:$B,$A359,market_prices!$C:$C,B$1)</f>
        <v>83.91</v>
      </c>
      <c r="C359">
        <f xml:space="preserve"> SUMIFS(market_prices!$E:$E,market_prices!$B:$B,$A359,market_prices!$C:$C,C$1)</f>
        <v>92.502399999999994</v>
      </c>
      <c r="D359">
        <f xml:space="preserve"> SUMIFS(market_prices!$E:$E,market_prices!$B:$B,$A359,market_prices!$C:$C,D$1)</f>
        <v>78.47</v>
      </c>
      <c r="E359" s="6">
        <f t="shared" si="5"/>
        <v>-7.1454090746703169E-4</v>
      </c>
      <c r="F359" s="6">
        <f>rates[[#This Row],[EUR/INR]]/C358-1</f>
        <v>5.6718420277297454E-3</v>
      </c>
      <c r="G359" s="6">
        <f>rates[[#This Row],[WTI Crude]]/D358-1</f>
        <v>-1.6789875955394051E-2</v>
      </c>
    </row>
    <row r="360" spans="1:7" x14ac:dyDescent="0.3">
      <c r="A360" s="1">
        <v>45519</v>
      </c>
      <c r="B360">
        <f xml:space="preserve"> SUMIFS(market_prices!$E:$E,market_prices!$B:$B,$A360,market_prices!$C:$C,B$1)</f>
        <v>83.94</v>
      </c>
      <c r="C360">
        <f xml:space="preserve"> SUMIFS(market_prices!$E:$E,market_prices!$B:$B,$A360,market_prices!$C:$C,C$1)</f>
        <v>92.216499999999996</v>
      </c>
      <c r="D360">
        <f xml:space="preserve"> SUMIFS(market_prices!$E:$E,market_prices!$B:$B,$A360,market_prices!$C:$C,D$1)</f>
        <v>79.66</v>
      </c>
      <c r="E360" s="6">
        <f t="shared" si="5"/>
        <v>3.5752592062920918E-4</v>
      </c>
      <c r="F360" s="6">
        <f>rates[[#This Row],[EUR/INR]]/C359-1</f>
        <v>-3.09073061888121E-3</v>
      </c>
      <c r="G360" s="6">
        <f>rates[[#This Row],[WTI Crude]]/D359-1</f>
        <v>1.5165031222122982E-2</v>
      </c>
    </row>
    <row r="361" spans="1:7" x14ac:dyDescent="0.3">
      <c r="A361" s="1">
        <v>45520</v>
      </c>
      <c r="B361">
        <f xml:space="preserve"> SUMIFS(market_prices!$E:$E,market_prices!$B:$B,$A361,market_prices!$C:$C,B$1)</f>
        <v>83.95</v>
      </c>
      <c r="C361">
        <f xml:space="preserve"> SUMIFS(market_prices!$E:$E,market_prices!$B:$B,$A361,market_prices!$C:$C,C$1)</f>
        <v>92.311400000000006</v>
      </c>
      <c r="D361">
        <f xml:space="preserve"> SUMIFS(market_prices!$E:$E,market_prices!$B:$B,$A361,market_prices!$C:$C,D$1)</f>
        <v>78.05</v>
      </c>
      <c r="E361" s="6">
        <f t="shared" si="5"/>
        <v>1.1913271384322854E-4</v>
      </c>
      <c r="F361" s="6">
        <f>rates[[#This Row],[EUR/INR]]/C360-1</f>
        <v>1.0290999983735283E-3</v>
      </c>
      <c r="G361" s="6">
        <f>rates[[#This Row],[WTI Crude]]/D360-1</f>
        <v>-2.0210896309314608E-2</v>
      </c>
    </row>
    <row r="362" spans="1:7" x14ac:dyDescent="0.3">
      <c r="A362" s="1">
        <v>45523</v>
      </c>
      <c r="B362">
        <f xml:space="preserve"> SUMIFS(market_prices!$E:$E,market_prices!$B:$B,$A362,market_prices!$C:$C,B$1)</f>
        <v>83.82</v>
      </c>
      <c r="C362">
        <f xml:space="preserve"> SUMIFS(market_prices!$E:$E,market_prices!$B:$B,$A362,market_prices!$C:$C,C$1)</f>
        <v>92.788700000000006</v>
      </c>
      <c r="D362">
        <f xml:space="preserve"> SUMIFS(market_prices!$E:$E,market_prices!$B:$B,$A362,market_prices!$C:$C,D$1)</f>
        <v>75.819999999999993</v>
      </c>
      <c r="E362" s="6">
        <f t="shared" si="5"/>
        <v>-1.548540798094189E-3</v>
      </c>
      <c r="F362" s="6">
        <f>rates[[#This Row],[EUR/INR]]/C361-1</f>
        <v>5.1705423165502307E-3</v>
      </c>
      <c r="G362" s="6">
        <f>rates[[#This Row],[WTI Crude]]/D361-1</f>
        <v>-2.8571428571428581E-2</v>
      </c>
    </row>
    <row r="363" spans="1:7" x14ac:dyDescent="0.3">
      <c r="A363" s="1">
        <v>45524</v>
      </c>
      <c r="B363">
        <f xml:space="preserve"> SUMIFS(market_prices!$E:$E,market_prices!$B:$B,$A363,market_prices!$C:$C,B$1)</f>
        <v>83.79</v>
      </c>
      <c r="C363">
        <f xml:space="preserve"> SUMIFS(market_prices!$E:$E,market_prices!$B:$B,$A363,market_prices!$C:$C,C$1)</f>
        <v>93.057199999999995</v>
      </c>
      <c r="D363">
        <f xml:space="preserve"> SUMIFS(market_prices!$E:$E,market_prices!$B:$B,$A363,market_prices!$C:$C,D$1)</f>
        <v>75.27</v>
      </c>
      <c r="E363" s="6">
        <f t="shared" si="5"/>
        <v>-3.5790980672856243E-4</v>
      </c>
      <c r="F363" s="6">
        <f>rates[[#This Row],[EUR/INR]]/C362-1</f>
        <v>2.8936713198912667E-3</v>
      </c>
      <c r="G363" s="6">
        <f>rates[[#This Row],[WTI Crude]]/D362-1</f>
        <v>-7.254022685307282E-3</v>
      </c>
    </row>
    <row r="364" spans="1:7" x14ac:dyDescent="0.3">
      <c r="A364" s="1">
        <v>45525</v>
      </c>
      <c r="B364">
        <f xml:space="preserve"> SUMIFS(market_prices!$E:$E,market_prices!$B:$B,$A364,market_prices!$C:$C,B$1)</f>
        <v>83.93</v>
      </c>
      <c r="C364">
        <f xml:space="preserve"> SUMIFS(market_prices!$E:$E,market_prices!$B:$B,$A364,market_prices!$C:$C,C$1)</f>
        <v>93.523200000000003</v>
      </c>
      <c r="D364">
        <f xml:space="preserve"> SUMIFS(market_prices!$E:$E,market_prices!$B:$B,$A364,market_prices!$C:$C,D$1)</f>
        <v>72.760000000000005</v>
      </c>
      <c r="E364" s="6">
        <f t="shared" si="5"/>
        <v>1.6708437761070449E-3</v>
      </c>
      <c r="F364" s="6">
        <f>rates[[#This Row],[EUR/INR]]/C363-1</f>
        <v>5.0076727002317245E-3</v>
      </c>
      <c r="G364" s="6">
        <f>rates[[#This Row],[WTI Crude]]/D363-1</f>
        <v>-3.3346618838846709E-2</v>
      </c>
    </row>
    <row r="365" spans="1:7" x14ac:dyDescent="0.3">
      <c r="A365" s="1">
        <v>45526</v>
      </c>
      <c r="B365">
        <f xml:space="preserve"> SUMIFS(market_prices!$E:$E,market_prices!$B:$B,$A365,market_prices!$C:$C,B$1)</f>
        <v>83.93</v>
      </c>
      <c r="C365">
        <f xml:space="preserve"> SUMIFS(market_prices!$E:$E,market_prices!$B:$B,$A365,market_prices!$C:$C,C$1)</f>
        <v>93.279799999999994</v>
      </c>
      <c r="D365">
        <f xml:space="preserve"> SUMIFS(market_prices!$E:$E,market_prices!$B:$B,$A365,market_prices!$C:$C,D$1)</f>
        <v>73.72</v>
      </c>
      <c r="E365" s="6">
        <f t="shared" si="5"/>
        <v>0</v>
      </c>
      <c r="F365" s="6">
        <f>rates[[#This Row],[EUR/INR]]/C364-1</f>
        <v>-2.6025627865600143E-3</v>
      </c>
      <c r="G365" s="6">
        <f>rates[[#This Row],[WTI Crude]]/D364-1</f>
        <v>1.3194062671797679E-2</v>
      </c>
    </row>
    <row r="366" spans="1:7" x14ac:dyDescent="0.3">
      <c r="A366" s="1">
        <v>45527</v>
      </c>
      <c r="B366">
        <f xml:space="preserve"> SUMIFS(market_prices!$E:$E,market_prices!$B:$B,$A366,market_prices!$C:$C,B$1)</f>
        <v>83.91</v>
      </c>
      <c r="C366">
        <f xml:space="preserve"> SUMIFS(market_prices!$E:$E,market_prices!$B:$B,$A366,market_prices!$C:$C,C$1)</f>
        <v>93.777799999999999</v>
      </c>
      <c r="D366">
        <f xml:space="preserve"> SUMIFS(market_prices!$E:$E,market_prices!$B:$B,$A366,market_prices!$C:$C,D$1)</f>
        <v>75.819999999999993</v>
      </c>
      <c r="E366" s="6">
        <f t="shared" si="5"/>
        <v>-2.382938162756032E-4</v>
      </c>
      <c r="F366" s="6">
        <f>rates[[#This Row],[EUR/INR]]/C365-1</f>
        <v>5.338776455352745E-3</v>
      </c>
      <c r="G366" s="6">
        <f>rates[[#This Row],[WTI Crude]]/D365-1</f>
        <v>2.8486163863266301E-2</v>
      </c>
    </row>
    <row r="367" spans="1:7" x14ac:dyDescent="0.3">
      <c r="A367" s="1">
        <v>45530</v>
      </c>
      <c r="B367">
        <f xml:space="preserve"> SUMIFS(market_prices!$E:$E,market_prices!$B:$B,$A367,market_prices!$C:$C,B$1)</f>
        <v>83.87</v>
      </c>
      <c r="C367">
        <f xml:space="preserve"> SUMIFS(market_prices!$E:$E,market_prices!$B:$B,$A367,market_prices!$C:$C,C$1)</f>
        <v>93.632499999999993</v>
      </c>
      <c r="D367">
        <f xml:space="preserve"> SUMIFS(market_prices!$E:$E,market_prices!$B:$B,$A367,market_prices!$C:$C,D$1)</f>
        <v>78.400000000000006</v>
      </c>
      <c r="E367" s="6">
        <f t="shared" si="5"/>
        <v>-4.7670122750553823E-4</v>
      </c>
      <c r="F367" s="6">
        <f>rates[[#This Row],[EUR/INR]]/C366-1</f>
        <v>-1.5494072157803407E-3</v>
      </c>
      <c r="G367" s="6">
        <f>rates[[#This Row],[WTI Crude]]/D366-1</f>
        <v>3.4027960960169024E-2</v>
      </c>
    </row>
    <row r="368" spans="1:7" x14ac:dyDescent="0.3">
      <c r="A368" s="1">
        <v>45531</v>
      </c>
      <c r="B368">
        <f xml:space="preserve"> SUMIFS(market_prices!$E:$E,market_prices!$B:$B,$A368,market_prices!$C:$C,B$1)</f>
        <v>83.91</v>
      </c>
      <c r="C368">
        <f xml:space="preserve"> SUMIFS(market_prices!$E:$E,market_prices!$B:$B,$A368,market_prices!$C:$C,C$1)</f>
        <v>93.643600000000006</v>
      </c>
      <c r="D368">
        <f xml:space="preserve"> SUMIFS(market_prices!$E:$E,market_prices!$B:$B,$A368,market_prices!$C:$C,D$1)</f>
        <v>76.5</v>
      </c>
      <c r="E368" s="6">
        <f t="shared" si="5"/>
        <v>4.7692857994507953E-4</v>
      </c>
      <c r="F368" s="6">
        <f>rates[[#This Row],[EUR/INR]]/C367-1</f>
        <v>1.1854858088811149E-4</v>
      </c>
      <c r="G368" s="6">
        <f>rates[[#This Row],[WTI Crude]]/D367-1</f>
        <v>-2.4234693877551061E-2</v>
      </c>
    </row>
    <row r="369" spans="1:7" x14ac:dyDescent="0.3">
      <c r="A369" s="1">
        <v>45532</v>
      </c>
      <c r="B369">
        <f xml:space="preserve"> SUMIFS(market_prices!$E:$E,market_prices!$B:$B,$A369,market_prices!$C:$C,B$1)</f>
        <v>83.9</v>
      </c>
      <c r="C369">
        <f xml:space="preserve"> SUMIFS(market_prices!$E:$E,market_prices!$B:$B,$A369,market_prices!$C:$C,C$1)</f>
        <v>93.355500000000006</v>
      </c>
      <c r="D369">
        <f xml:space="preserve"> SUMIFS(market_prices!$E:$E,market_prices!$B:$B,$A369,market_prices!$C:$C,D$1)</f>
        <v>75.489999999999995</v>
      </c>
      <c r="E369" s="6">
        <f t="shared" si="5"/>
        <v>-1.1917530687632905E-4</v>
      </c>
      <c r="F369" s="6">
        <f>rates[[#This Row],[EUR/INR]]/C368-1</f>
        <v>-3.0765583552960774E-3</v>
      </c>
      <c r="G369" s="6">
        <f>rates[[#This Row],[WTI Crude]]/D368-1</f>
        <v>-1.3202614379084987E-2</v>
      </c>
    </row>
    <row r="370" spans="1:7" x14ac:dyDescent="0.3">
      <c r="A370" s="1">
        <v>45533</v>
      </c>
      <c r="B370">
        <f xml:space="preserve"> SUMIFS(market_prices!$E:$E,market_prices!$B:$B,$A370,market_prices!$C:$C,B$1)</f>
        <v>83.84</v>
      </c>
      <c r="C370">
        <f xml:space="preserve"> SUMIFS(market_prices!$E:$E,market_prices!$B:$B,$A370,market_prices!$C:$C,C$1)</f>
        <v>92.944999999999993</v>
      </c>
      <c r="D370">
        <f xml:space="preserve"> SUMIFS(market_prices!$E:$E,market_prices!$B:$B,$A370,market_prices!$C:$C,D$1)</f>
        <v>76.900000000000006</v>
      </c>
      <c r="E370" s="6">
        <f t="shared" si="5"/>
        <v>-7.151370679380209E-4</v>
      </c>
      <c r="F370" s="6">
        <f>rates[[#This Row],[EUR/INR]]/C369-1</f>
        <v>-4.397169957849445E-3</v>
      </c>
      <c r="G370" s="6">
        <f>rates[[#This Row],[WTI Crude]]/D369-1</f>
        <v>1.867797059213161E-2</v>
      </c>
    </row>
    <row r="371" spans="1:7" x14ac:dyDescent="0.3">
      <c r="A371" s="1">
        <v>45534</v>
      </c>
      <c r="B371">
        <f xml:space="preserve"> SUMIFS(market_prices!$E:$E,market_prices!$B:$B,$A371,market_prices!$C:$C,B$1)</f>
        <v>83.83</v>
      </c>
      <c r="C371">
        <f xml:space="preserve"> SUMIFS(market_prices!$E:$E,market_prices!$B:$B,$A371,market_prices!$C:$C,C$1)</f>
        <v>92.715999999999994</v>
      </c>
      <c r="D371">
        <f xml:space="preserve"> SUMIFS(market_prices!$E:$E,market_prices!$B:$B,$A371,market_prices!$C:$C,D$1)</f>
        <v>74.52</v>
      </c>
      <c r="E371" s="6">
        <f t="shared" si="5"/>
        <v>-1.1927480916040789E-4</v>
      </c>
      <c r="F371" s="6">
        <f>rates[[#This Row],[EUR/INR]]/C370-1</f>
        <v>-2.4638226908386684E-3</v>
      </c>
      <c r="G371" s="6">
        <f>rates[[#This Row],[WTI Crude]]/D370-1</f>
        <v>-3.0949284785435793E-2</v>
      </c>
    </row>
    <row r="372" spans="1:7" x14ac:dyDescent="0.3">
      <c r="A372" s="1">
        <v>45537</v>
      </c>
      <c r="B372">
        <f xml:space="preserve"> SUMIFS(market_prices!$E:$E,market_prices!$B:$B,$A372,market_prices!$C:$C,B$1)</f>
        <v>83.83</v>
      </c>
      <c r="C372">
        <f xml:space="preserve"> SUMIFS(market_prices!$E:$E,market_prices!$B:$B,$A372,market_prices!$C:$C,C$1)</f>
        <v>92.715999999999994</v>
      </c>
      <c r="D372">
        <f xml:space="preserve"> SUMIFS(market_prices!$E:$E,market_prices!$B:$B,$A372,market_prices!$C:$C,D$1)</f>
        <v>74.52</v>
      </c>
      <c r="E372" s="6">
        <f t="shared" si="5"/>
        <v>0</v>
      </c>
      <c r="F372" s="6">
        <f>rates[[#This Row],[EUR/INR]]/C371-1</f>
        <v>0</v>
      </c>
      <c r="G372" s="6">
        <f>rates[[#This Row],[WTI Crude]]/D371-1</f>
        <v>0</v>
      </c>
    </row>
    <row r="373" spans="1:7" x14ac:dyDescent="0.3">
      <c r="A373" s="1">
        <v>45538</v>
      </c>
      <c r="B373">
        <f xml:space="preserve"> SUMIFS(market_prices!$E:$E,market_prices!$B:$B,$A373,market_prices!$C:$C,B$1)</f>
        <v>83.94</v>
      </c>
      <c r="C373">
        <f xml:space="preserve"> SUMIFS(market_prices!$E:$E,market_prices!$B:$B,$A373,market_prices!$C:$C,C$1)</f>
        <v>92.694900000000004</v>
      </c>
      <c r="D373">
        <f xml:space="preserve"> SUMIFS(market_prices!$E:$E,market_prices!$B:$B,$A373,market_prices!$C:$C,D$1)</f>
        <v>71.28</v>
      </c>
      <c r="E373" s="6">
        <f t="shared" si="5"/>
        <v>1.3121794107120444E-3</v>
      </c>
      <c r="F373" s="6">
        <f>rates[[#This Row],[EUR/INR]]/C372-1</f>
        <v>-2.2757668579309609E-4</v>
      </c>
      <c r="G373" s="6">
        <f>rates[[#This Row],[WTI Crude]]/D372-1</f>
        <v>-4.3478260869565188E-2</v>
      </c>
    </row>
    <row r="374" spans="1:7" x14ac:dyDescent="0.3">
      <c r="A374" s="1">
        <v>45539</v>
      </c>
      <c r="B374">
        <f xml:space="preserve"> SUMIFS(market_prices!$E:$E,market_prices!$B:$B,$A374,market_prices!$C:$C,B$1)</f>
        <v>83.95</v>
      </c>
      <c r="C374">
        <f xml:space="preserve"> SUMIFS(market_prices!$E:$E,market_prices!$B:$B,$A374,market_prices!$C:$C,C$1)</f>
        <v>93.025000000000006</v>
      </c>
      <c r="D374">
        <f xml:space="preserve"> SUMIFS(market_prices!$E:$E,market_prices!$B:$B,$A374,market_prices!$C:$C,D$1)</f>
        <v>70.11</v>
      </c>
      <c r="E374" s="6">
        <f t="shared" si="5"/>
        <v>1.1913271384322854E-4</v>
      </c>
      <c r="F374" s="6">
        <f>rates[[#This Row],[EUR/INR]]/C373-1</f>
        <v>3.5611452194241888E-3</v>
      </c>
      <c r="G374" s="6">
        <f>rates[[#This Row],[WTI Crude]]/D373-1</f>
        <v>-1.6414141414141437E-2</v>
      </c>
    </row>
    <row r="375" spans="1:7" x14ac:dyDescent="0.3">
      <c r="A375" s="1">
        <v>45540</v>
      </c>
      <c r="B375">
        <f xml:space="preserve"> SUMIFS(market_prices!$E:$E,market_prices!$B:$B,$A375,market_prices!$C:$C,B$1)</f>
        <v>83.96</v>
      </c>
      <c r="C375">
        <f xml:space="preserve"> SUMIFS(market_prices!$E:$E,market_prices!$B:$B,$A375,market_prices!$C:$C,C$1)</f>
        <v>93.162000000000006</v>
      </c>
      <c r="D375">
        <f xml:space="preserve"> SUMIFS(market_prices!$E:$E,market_prices!$B:$B,$A375,market_prices!$C:$C,D$1)</f>
        <v>70.09</v>
      </c>
      <c r="E375" s="6">
        <f t="shared" si="5"/>
        <v>1.1911852293011727E-4</v>
      </c>
      <c r="F375" s="6">
        <f>rates[[#This Row],[EUR/INR]]/C374-1</f>
        <v>1.4727223864552386E-3</v>
      </c>
      <c r="G375" s="6">
        <f>rates[[#This Row],[WTI Crude]]/D374-1</f>
        <v>-2.8526601055478551E-4</v>
      </c>
    </row>
    <row r="376" spans="1:7" x14ac:dyDescent="0.3">
      <c r="A376" s="1">
        <v>45541</v>
      </c>
      <c r="B376">
        <f xml:space="preserve"> SUMIFS(market_prices!$E:$E,market_prices!$B:$B,$A376,market_prices!$C:$C,B$1)</f>
        <v>83.91</v>
      </c>
      <c r="C376">
        <f xml:space="preserve"> SUMIFS(market_prices!$E:$E,market_prices!$B:$B,$A376,market_prices!$C:$C,C$1)</f>
        <v>93.022599999999997</v>
      </c>
      <c r="D376">
        <f xml:space="preserve"> SUMIFS(market_prices!$E:$E,market_prices!$B:$B,$A376,market_prices!$C:$C,D$1)</f>
        <v>68.58</v>
      </c>
      <c r="E376" s="6">
        <f t="shared" si="5"/>
        <v>-5.9552167698906366E-4</v>
      </c>
      <c r="F376" s="6">
        <f>rates[[#This Row],[EUR/INR]]/C375-1</f>
        <v>-1.4963182413431086E-3</v>
      </c>
      <c r="G376" s="6">
        <f>rates[[#This Row],[WTI Crude]]/D375-1</f>
        <v>-2.1543729490654973E-2</v>
      </c>
    </row>
    <row r="377" spans="1:7" x14ac:dyDescent="0.3">
      <c r="A377" s="1">
        <v>45544</v>
      </c>
      <c r="B377">
        <f xml:space="preserve"> SUMIFS(market_prices!$E:$E,market_prices!$B:$B,$A377,market_prices!$C:$C,B$1)</f>
        <v>83.93</v>
      </c>
      <c r="C377">
        <f xml:space="preserve"> SUMIFS(market_prices!$E:$E,market_prices!$B:$B,$A377,market_prices!$C:$C,C$1)</f>
        <v>92.6755</v>
      </c>
      <c r="D377">
        <f xml:space="preserve"> SUMIFS(market_prices!$E:$E,market_prices!$B:$B,$A377,market_prices!$C:$C,D$1)</f>
        <v>69.650000000000006</v>
      </c>
      <c r="E377" s="6">
        <f t="shared" si="5"/>
        <v>2.3835061375288014E-4</v>
      </c>
      <c r="F377" s="6">
        <f>rates[[#This Row],[EUR/INR]]/C376-1</f>
        <v>-3.7313513060266423E-3</v>
      </c>
      <c r="G377" s="6">
        <f>rates[[#This Row],[WTI Crude]]/D376-1</f>
        <v>1.5602216389618118E-2</v>
      </c>
    </row>
    <row r="378" spans="1:7" x14ac:dyDescent="0.3">
      <c r="A378" s="1">
        <v>45545</v>
      </c>
      <c r="B378">
        <f xml:space="preserve"> SUMIFS(market_prices!$E:$E,market_prices!$B:$B,$A378,market_prices!$C:$C,B$1)</f>
        <v>83.95</v>
      </c>
      <c r="C378">
        <f xml:space="preserve"> SUMIFS(market_prices!$E:$E,market_prices!$B:$B,$A378,market_prices!$C:$C,C$1)</f>
        <v>92.554900000000004</v>
      </c>
      <c r="D378">
        <f xml:space="preserve"> SUMIFS(market_prices!$E:$E,market_prices!$B:$B,$A378,market_prices!$C:$C,D$1)</f>
        <v>66.73</v>
      </c>
      <c r="E378" s="6">
        <f t="shared" si="5"/>
        <v>2.3829381627549218E-4</v>
      </c>
      <c r="F378" s="6">
        <f>rates[[#This Row],[EUR/INR]]/C377-1</f>
        <v>-1.3013148027255506E-3</v>
      </c>
      <c r="G378" s="6">
        <f>rates[[#This Row],[WTI Crude]]/D377-1</f>
        <v>-4.1923905240488168E-2</v>
      </c>
    </row>
    <row r="379" spans="1:7" x14ac:dyDescent="0.3">
      <c r="A379" s="1">
        <v>45546</v>
      </c>
      <c r="B379">
        <f xml:space="preserve"> SUMIFS(market_prices!$E:$E,market_prices!$B:$B,$A379,market_prices!$C:$C,B$1)</f>
        <v>83.95</v>
      </c>
      <c r="C379">
        <f xml:space="preserve"> SUMIFS(market_prices!$E:$E,market_prices!$B:$B,$A379,market_prices!$C:$C,C$1)</f>
        <v>92.445700000000002</v>
      </c>
      <c r="D379">
        <f xml:space="preserve"> SUMIFS(market_prices!$E:$E,market_prices!$B:$B,$A379,market_prices!$C:$C,D$1)</f>
        <v>68.25</v>
      </c>
      <c r="E379" s="6">
        <f t="shared" si="5"/>
        <v>0</v>
      </c>
      <c r="F379" s="6">
        <f>rates[[#This Row],[EUR/INR]]/C378-1</f>
        <v>-1.1798402893850035E-3</v>
      </c>
      <c r="G379" s="6">
        <f>rates[[#This Row],[WTI Crude]]/D378-1</f>
        <v>2.277836055747029E-2</v>
      </c>
    </row>
    <row r="380" spans="1:7" x14ac:dyDescent="0.3">
      <c r="A380" s="1">
        <v>45547</v>
      </c>
      <c r="B380">
        <f xml:space="preserve"> SUMIFS(market_prices!$E:$E,market_prices!$B:$B,$A380,market_prices!$C:$C,B$1)</f>
        <v>83.92</v>
      </c>
      <c r="C380">
        <f xml:space="preserve"> SUMIFS(market_prices!$E:$E,market_prices!$B:$B,$A380,market_prices!$C:$C,C$1)</f>
        <v>92.656099999999995</v>
      </c>
      <c r="D380">
        <f xml:space="preserve"> SUMIFS(market_prices!$E:$E,market_prices!$B:$B,$A380,market_prices!$C:$C,D$1)</f>
        <v>69.89</v>
      </c>
      <c r="E380" s="6">
        <f t="shared" si="5"/>
        <v>-3.5735556879090691E-4</v>
      </c>
      <c r="F380" s="6">
        <f>rates[[#This Row],[EUR/INR]]/C379-1</f>
        <v>2.2759306273845148E-3</v>
      </c>
      <c r="G380" s="6">
        <f>rates[[#This Row],[WTI Crude]]/D379-1</f>
        <v>2.4029304029304033E-2</v>
      </c>
    </row>
    <row r="381" spans="1:7" x14ac:dyDescent="0.3">
      <c r="A381" s="1">
        <v>45548</v>
      </c>
      <c r="B381">
        <f xml:space="preserve"> SUMIFS(market_prices!$E:$E,market_prices!$B:$B,$A381,market_prices!$C:$C,B$1)</f>
        <v>83.88</v>
      </c>
      <c r="C381">
        <f xml:space="preserve"> SUMIFS(market_prices!$E:$E,market_prices!$B:$B,$A381,market_prices!$C:$C,C$1)</f>
        <v>92.980999999999995</v>
      </c>
      <c r="D381">
        <f xml:space="preserve"> SUMIFS(market_prices!$E:$E,market_prices!$B:$B,$A381,market_prices!$C:$C,D$1)</f>
        <v>69.59</v>
      </c>
      <c r="E381" s="6">
        <f t="shared" si="5"/>
        <v>-4.7664442326034173E-4</v>
      </c>
      <c r="F381" s="6">
        <f>rates[[#This Row],[EUR/INR]]/C380-1</f>
        <v>3.506514951524986E-3</v>
      </c>
      <c r="G381" s="6">
        <f>rates[[#This Row],[WTI Crude]]/D380-1</f>
        <v>-4.2924595793388809E-3</v>
      </c>
    </row>
    <row r="382" spans="1:7" x14ac:dyDescent="0.3">
      <c r="A382" s="1">
        <v>45551</v>
      </c>
      <c r="B382">
        <f xml:space="preserve"> SUMIFS(market_prices!$E:$E,market_prices!$B:$B,$A382,market_prices!$C:$C,B$1)</f>
        <v>83.89</v>
      </c>
      <c r="C382">
        <f xml:space="preserve"> SUMIFS(market_prices!$E:$E,market_prices!$B:$B,$A382,market_prices!$C:$C,C$1)</f>
        <v>93.3108</v>
      </c>
      <c r="D382">
        <f xml:space="preserve"> SUMIFS(market_prices!$E:$E,market_prices!$B:$B,$A382,market_prices!$C:$C,D$1)</f>
        <v>71.099999999999994</v>
      </c>
      <c r="E382" s="6">
        <f t="shared" si="5"/>
        <v>1.1921793037683592E-4</v>
      </c>
      <c r="F382" s="6">
        <f>rates[[#This Row],[EUR/INR]]/C381-1</f>
        <v>3.5469612071283851E-3</v>
      </c>
      <c r="G382" s="6">
        <f>rates[[#This Row],[WTI Crude]]/D381-1</f>
        <v>2.1698519902284774E-2</v>
      </c>
    </row>
    <row r="383" spans="1:7" x14ac:dyDescent="0.3">
      <c r="A383" s="1">
        <v>45552</v>
      </c>
      <c r="B383">
        <f xml:space="preserve"> SUMIFS(market_prices!$E:$E,market_prices!$B:$B,$A383,market_prices!$C:$C,B$1)</f>
        <v>83.75</v>
      </c>
      <c r="C383">
        <f xml:space="preserve"> SUMIFS(market_prices!$E:$E,market_prices!$B:$B,$A383,market_prices!$C:$C,C$1)</f>
        <v>93.113200000000006</v>
      </c>
      <c r="D383">
        <f xml:space="preserve"> SUMIFS(market_prices!$E:$E,market_prices!$B:$B,$A383,market_prices!$C:$C,D$1)</f>
        <v>72.16</v>
      </c>
      <c r="E383" s="6">
        <f t="shared" si="5"/>
        <v>-1.6688520681845675E-3</v>
      </c>
      <c r="F383" s="6">
        <f>rates[[#This Row],[EUR/INR]]/C382-1</f>
        <v>-2.1176541193516085E-3</v>
      </c>
      <c r="G383" s="6">
        <f>rates[[#This Row],[WTI Crude]]/D382-1</f>
        <v>1.4908579465541472E-2</v>
      </c>
    </row>
    <row r="384" spans="1:7" x14ac:dyDescent="0.3">
      <c r="A384" s="1">
        <v>45553</v>
      </c>
      <c r="B384">
        <f xml:space="preserve"> SUMIFS(market_prices!$E:$E,market_prices!$B:$B,$A384,market_prices!$C:$C,B$1)</f>
        <v>83.75</v>
      </c>
      <c r="C384">
        <f xml:space="preserve"> SUMIFS(market_prices!$E:$E,market_prices!$B:$B,$A384,market_prices!$C:$C,C$1)</f>
        <v>93.096500000000006</v>
      </c>
      <c r="D384">
        <f xml:space="preserve"> SUMIFS(market_prices!$E:$E,market_prices!$B:$B,$A384,market_prices!$C:$C,D$1)</f>
        <v>71.87</v>
      </c>
      <c r="E384" s="6">
        <f t="shared" si="5"/>
        <v>0</v>
      </c>
      <c r="F384" s="6">
        <f>rates[[#This Row],[EUR/INR]]/C383-1</f>
        <v>-1.7935158495252512E-4</v>
      </c>
      <c r="G384" s="6">
        <f>rates[[#This Row],[WTI Crude]]/D383-1</f>
        <v>-4.0188470066517823E-3</v>
      </c>
    </row>
    <row r="385" spans="1:7" x14ac:dyDescent="0.3">
      <c r="A385" s="1">
        <v>45554</v>
      </c>
      <c r="B385">
        <f xml:space="preserve"> SUMIFS(market_prices!$E:$E,market_prices!$B:$B,$A385,market_prices!$C:$C,B$1)</f>
        <v>83.68</v>
      </c>
      <c r="C385">
        <f xml:space="preserve"> SUMIFS(market_prices!$E:$E,market_prices!$B:$B,$A385,market_prices!$C:$C,C$1)</f>
        <v>93.278099999999995</v>
      </c>
      <c r="D385">
        <f xml:space="preserve"> SUMIFS(market_prices!$E:$E,market_prices!$B:$B,$A385,market_prices!$C:$C,D$1)</f>
        <v>72.86</v>
      </c>
      <c r="E385" s="6">
        <f t="shared" si="5"/>
        <v>-8.3582089552225458E-4</v>
      </c>
      <c r="F385" s="6">
        <f>rates[[#This Row],[EUR/INR]]/C384-1</f>
        <v>1.9506640958573129E-3</v>
      </c>
      <c r="G385" s="6">
        <f>rates[[#This Row],[WTI Crude]]/D384-1</f>
        <v>1.3774871295394453E-2</v>
      </c>
    </row>
    <row r="386" spans="1:7" x14ac:dyDescent="0.3">
      <c r="A386" s="1">
        <v>45555</v>
      </c>
      <c r="B386">
        <f xml:space="preserve"> SUMIFS(market_prices!$E:$E,market_prices!$B:$B,$A386,market_prices!$C:$C,B$1)</f>
        <v>83.57</v>
      </c>
      <c r="C386">
        <f xml:space="preserve"> SUMIFS(market_prices!$E:$E,market_prices!$B:$B,$A386,market_prices!$C:$C,C$1)</f>
        <v>93.255799999999994</v>
      </c>
      <c r="D386">
        <f xml:space="preserve"> SUMIFS(market_prices!$E:$E,market_prices!$B:$B,$A386,market_prices!$C:$C,D$1)</f>
        <v>72.72</v>
      </c>
      <c r="E386" s="6">
        <f t="shared" ref="E386:E449" si="6">B386/B385-1</f>
        <v>-1.3145315487573805E-3</v>
      </c>
      <c r="F386" s="6">
        <f>rates[[#This Row],[EUR/INR]]/C385-1</f>
        <v>-2.3907004966872147E-4</v>
      </c>
      <c r="G386" s="6">
        <f>rates[[#This Row],[WTI Crude]]/D385-1</f>
        <v>-1.9214932747735336E-3</v>
      </c>
    </row>
    <row r="387" spans="1:7" x14ac:dyDescent="0.3">
      <c r="A387" s="1">
        <v>45558</v>
      </c>
      <c r="B387">
        <f xml:space="preserve"> SUMIFS(market_prices!$E:$E,market_prices!$B:$B,$A387,market_prices!$C:$C,B$1)</f>
        <v>83.53</v>
      </c>
      <c r="C387">
        <f xml:space="preserve"> SUMIFS(market_prices!$E:$E,market_prices!$B:$B,$A387,market_prices!$C:$C,C$1)</f>
        <v>92.968900000000005</v>
      </c>
      <c r="D387">
        <f xml:space="preserve"> SUMIFS(market_prices!$E:$E,market_prices!$B:$B,$A387,market_prices!$C:$C,D$1)</f>
        <v>71.33</v>
      </c>
      <c r="E387" s="6">
        <f t="shared" si="6"/>
        <v>-4.7864066052405452E-4</v>
      </c>
      <c r="F387" s="6">
        <f>rates[[#This Row],[EUR/INR]]/C386-1</f>
        <v>-3.0764842508453905E-3</v>
      </c>
      <c r="G387" s="6">
        <f>rates[[#This Row],[WTI Crude]]/D386-1</f>
        <v>-1.9114411441144119E-2</v>
      </c>
    </row>
    <row r="388" spans="1:7" x14ac:dyDescent="0.3">
      <c r="A388" s="1">
        <v>45559</v>
      </c>
      <c r="B388">
        <f xml:space="preserve"> SUMIFS(market_prices!$E:$E,market_prices!$B:$B,$A388,market_prices!$C:$C,B$1)</f>
        <v>83.66</v>
      </c>
      <c r="C388">
        <f xml:space="preserve"> SUMIFS(market_prices!$E:$E,market_prices!$B:$B,$A388,market_prices!$C:$C,C$1)</f>
        <v>93.280900000000003</v>
      </c>
      <c r="D388">
        <f xml:space="preserve"> SUMIFS(market_prices!$E:$E,market_prices!$B:$B,$A388,market_prices!$C:$C,D$1)</f>
        <v>72.34</v>
      </c>
      <c r="E388" s="6">
        <f t="shared" si="6"/>
        <v>1.5563270681191455E-3</v>
      </c>
      <c r="F388" s="6">
        <f>rates[[#This Row],[EUR/INR]]/C387-1</f>
        <v>3.3559609718949446E-3</v>
      </c>
      <c r="G388" s="6">
        <f>rates[[#This Row],[WTI Crude]]/D387-1</f>
        <v>1.4159540165428419E-2</v>
      </c>
    </row>
    <row r="389" spans="1:7" x14ac:dyDescent="0.3">
      <c r="A389" s="1">
        <v>45560</v>
      </c>
      <c r="B389">
        <f xml:space="preserve"> SUMIFS(market_prices!$E:$E,market_prices!$B:$B,$A389,market_prices!$C:$C,B$1)</f>
        <v>83.56</v>
      </c>
      <c r="C389">
        <f xml:space="preserve"> SUMIFS(market_prices!$E:$E,market_prices!$B:$B,$A389,market_prices!$C:$C,C$1)</f>
        <v>93.110900000000001</v>
      </c>
      <c r="D389">
        <f xml:space="preserve"> SUMIFS(market_prices!$E:$E,market_prices!$B:$B,$A389,market_prices!$C:$C,D$1)</f>
        <v>70.42</v>
      </c>
      <c r="E389" s="6">
        <f t="shared" si="6"/>
        <v>-1.1953143676786127E-3</v>
      </c>
      <c r="F389" s="6">
        <f>rates[[#This Row],[EUR/INR]]/C388-1</f>
        <v>-1.822452399151353E-3</v>
      </c>
      <c r="G389" s="6">
        <f>rates[[#This Row],[WTI Crude]]/D388-1</f>
        <v>-2.6541332596074163E-2</v>
      </c>
    </row>
    <row r="390" spans="1:7" x14ac:dyDescent="0.3">
      <c r="A390" s="1">
        <v>45561</v>
      </c>
      <c r="B390">
        <f xml:space="preserve"> SUMIFS(market_prices!$E:$E,market_prices!$B:$B,$A390,market_prices!$C:$C,B$1)</f>
        <v>83.6</v>
      </c>
      <c r="C390">
        <f xml:space="preserve"> SUMIFS(market_prices!$E:$E,market_prices!$B:$B,$A390,market_prices!$C:$C,C$1)</f>
        <v>93.498199999999997</v>
      </c>
      <c r="D390">
        <f xml:space="preserve"> SUMIFS(market_prices!$E:$E,market_prices!$B:$B,$A390,market_prices!$C:$C,D$1)</f>
        <v>68.28</v>
      </c>
      <c r="E390" s="6">
        <f t="shared" si="6"/>
        <v>4.7869794159871581E-4</v>
      </c>
      <c r="F390" s="6">
        <f>rates[[#This Row],[EUR/INR]]/C389-1</f>
        <v>4.1595559703535567E-3</v>
      </c>
      <c r="G390" s="6">
        <f>rates[[#This Row],[WTI Crude]]/D389-1</f>
        <v>-3.0389094007384321E-2</v>
      </c>
    </row>
    <row r="391" spans="1:7" x14ac:dyDescent="0.3">
      <c r="A391" s="1">
        <v>45562</v>
      </c>
      <c r="B391">
        <f xml:space="preserve"> SUMIFS(market_prices!$E:$E,market_prices!$B:$B,$A391,market_prices!$C:$C,B$1)</f>
        <v>83.68</v>
      </c>
      <c r="C391">
        <f xml:space="preserve"> SUMIFS(market_prices!$E:$E,market_prices!$B:$B,$A391,market_prices!$C:$C,C$1)</f>
        <v>93.378500000000003</v>
      </c>
      <c r="D391">
        <f xml:space="preserve"> SUMIFS(market_prices!$E:$E,market_prices!$B:$B,$A391,market_prices!$C:$C,D$1)</f>
        <v>68.72</v>
      </c>
      <c r="E391" s="6">
        <f t="shared" si="6"/>
        <v>9.5693779904326703E-4</v>
      </c>
      <c r="F391" s="6">
        <f>rates[[#This Row],[EUR/INR]]/C390-1</f>
        <v>-1.280238550046886E-3</v>
      </c>
      <c r="G391" s="6">
        <f>rates[[#This Row],[WTI Crude]]/D390-1</f>
        <v>6.444053895723556E-3</v>
      </c>
    </row>
    <row r="392" spans="1:7" x14ac:dyDescent="0.3">
      <c r="A392" s="1">
        <v>45565</v>
      </c>
      <c r="B392">
        <f xml:space="preserve"> SUMIFS(market_prices!$E:$E,market_prices!$B:$B,$A392,market_prices!$C:$C,B$1)</f>
        <v>83.76</v>
      </c>
      <c r="C392">
        <f xml:space="preserve"> SUMIFS(market_prices!$E:$E,market_prices!$B:$B,$A392,market_prices!$C:$C,C$1)</f>
        <v>93.350499999999997</v>
      </c>
      <c r="D392">
        <f xml:space="preserve"> SUMIFS(market_prices!$E:$E,market_prices!$B:$B,$A392,market_prices!$C:$C,D$1)</f>
        <v>68.75</v>
      </c>
      <c r="E392" s="6">
        <f t="shared" si="6"/>
        <v>9.5602294455066072E-4</v>
      </c>
      <c r="F392" s="6">
        <f>rates[[#This Row],[EUR/INR]]/C391-1</f>
        <v>-2.9985489165074153E-4</v>
      </c>
      <c r="G392" s="6">
        <f>rates[[#This Row],[WTI Crude]]/D391-1</f>
        <v>4.3655413271248555E-4</v>
      </c>
    </row>
    <row r="393" spans="1:7" x14ac:dyDescent="0.3">
      <c r="A393" s="1">
        <v>45566</v>
      </c>
      <c r="B393">
        <f xml:space="preserve"> SUMIFS(market_prices!$E:$E,market_prices!$B:$B,$A393,market_prices!$C:$C,B$1)</f>
        <v>83.81</v>
      </c>
      <c r="C393">
        <f xml:space="preserve"> SUMIFS(market_prices!$E:$E,market_prices!$B:$B,$A393,market_prices!$C:$C,C$1)</f>
        <v>92.752499999999998</v>
      </c>
      <c r="D393">
        <f xml:space="preserve"> SUMIFS(market_prices!$E:$E,market_prices!$B:$B,$A393,market_prices!$C:$C,D$1)</f>
        <v>70.41</v>
      </c>
      <c r="E393" s="6">
        <f t="shared" si="6"/>
        <v>5.9694364851958781E-4</v>
      </c>
      <c r="F393" s="6">
        <f>rates[[#This Row],[EUR/INR]]/C392-1</f>
        <v>-6.405964617222204E-3</v>
      </c>
      <c r="G393" s="6">
        <f>rates[[#This Row],[WTI Crude]]/D392-1</f>
        <v>2.414545454545447E-2</v>
      </c>
    </row>
    <row r="394" spans="1:7" x14ac:dyDescent="0.3">
      <c r="A394" s="1">
        <v>45567</v>
      </c>
      <c r="B394">
        <f xml:space="preserve"> SUMIFS(market_prices!$E:$E,market_prices!$B:$B,$A394,market_prices!$C:$C,B$1)</f>
        <v>83.81</v>
      </c>
      <c r="C394">
        <f xml:space="preserve"> SUMIFS(market_prices!$E:$E,market_prices!$B:$B,$A394,market_prices!$C:$C,C$1)</f>
        <v>92.61</v>
      </c>
      <c r="D394">
        <f xml:space="preserve"> SUMIFS(market_prices!$E:$E,market_prices!$B:$B,$A394,market_prices!$C:$C,D$1)</f>
        <v>70.739999999999995</v>
      </c>
      <c r="E394" s="6">
        <f t="shared" si="6"/>
        <v>0</v>
      </c>
      <c r="F394" s="6">
        <f>rates[[#This Row],[EUR/INR]]/C393-1</f>
        <v>-1.5363467291986677E-3</v>
      </c>
      <c r="G394" s="6">
        <f>rates[[#This Row],[WTI Crude]]/D393-1</f>
        <v>4.6868342564976295E-3</v>
      </c>
    </row>
    <row r="395" spans="1:7" x14ac:dyDescent="0.3">
      <c r="A395" s="1">
        <v>45568</v>
      </c>
      <c r="B395">
        <f xml:space="preserve"> SUMIFS(market_prices!$E:$E,market_prices!$B:$B,$A395,market_prices!$C:$C,B$1)</f>
        <v>84</v>
      </c>
      <c r="C395">
        <f xml:space="preserve"> SUMIFS(market_prices!$E:$E,market_prices!$B:$B,$A395,market_prices!$C:$C,C$1)</f>
        <v>92.525999999999996</v>
      </c>
      <c r="D395">
        <f xml:space="preserve"> SUMIFS(market_prices!$E:$E,market_prices!$B:$B,$A395,market_prices!$C:$C,D$1)</f>
        <v>74.33</v>
      </c>
      <c r="E395" s="6">
        <f t="shared" si="6"/>
        <v>2.2670325736784402E-3</v>
      </c>
      <c r="F395" s="6">
        <f>rates[[#This Row],[EUR/INR]]/C394-1</f>
        <v>-9.0702947845811011E-4</v>
      </c>
      <c r="G395" s="6">
        <f>rates[[#This Row],[WTI Crude]]/D394-1</f>
        <v>5.0749222504947733E-2</v>
      </c>
    </row>
    <row r="396" spans="1:7" x14ac:dyDescent="0.3">
      <c r="A396" s="1">
        <v>45569</v>
      </c>
      <c r="B396">
        <f xml:space="preserve"> SUMIFS(market_prices!$E:$E,market_prices!$B:$B,$A396,market_prices!$C:$C,B$1)</f>
        <v>83.99</v>
      </c>
      <c r="C396">
        <f xml:space="preserve"> SUMIFS(market_prices!$E:$E,market_prices!$B:$B,$A396,market_prices!$C:$C,C$1)</f>
        <v>92.061400000000006</v>
      </c>
      <c r="D396">
        <f xml:space="preserve"> SUMIFS(market_prices!$E:$E,market_prices!$B:$B,$A396,market_prices!$C:$C,D$1)</f>
        <v>74.930000000000007</v>
      </c>
      <c r="E396" s="6">
        <f t="shared" si="6"/>
        <v>-1.1904761904768524E-4</v>
      </c>
      <c r="F396" s="6">
        <f>rates[[#This Row],[EUR/INR]]/C395-1</f>
        <v>-5.0212913127120062E-3</v>
      </c>
      <c r="G396" s="6">
        <f>rates[[#This Row],[WTI Crude]]/D395-1</f>
        <v>8.072110856989223E-3</v>
      </c>
    </row>
    <row r="397" spans="1:7" x14ac:dyDescent="0.3">
      <c r="A397" s="1">
        <v>45572</v>
      </c>
      <c r="B397">
        <f xml:space="preserve"> SUMIFS(market_prices!$E:$E,market_prices!$B:$B,$A397,market_prices!$C:$C,B$1)</f>
        <v>83.96</v>
      </c>
      <c r="C397">
        <f xml:space="preserve"> SUMIFS(market_prices!$E:$E,market_prices!$B:$B,$A397,market_prices!$C:$C,C$1)</f>
        <v>92.154499999999999</v>
      </c>
      <c r="D397">
        <f xml:space="preserve"> SUMIFS(market_prices!$E:$E,market_prices!$B:$B,$A397,market_prices!$C:$C,D$1)</f>
        <v>77.760000000000005</v>
      </c>
      <c r="E397" s="6">
        <f t="shared" si="6"/>
        <v>-3.5718537921181071E-4</v>
      </c>
      <c r="F397" s="6">
        <f>rates[[#This Row],[EUR/INR]]/C396-1</f>
        <v>1.0112816011922376E-3</v>
      </c>
      <c r="G397" s="6">
        <f>rates[[#This Row],[WTI Crude]]/D396-1</f>
        <v>3.7768584011744322E-2</v>
      </c>
    </row>
    <row r="398" spans="1:7" x14ac:dyDescent="0.3">
      <c r="A398" s="1">
        <v>45573</v>
      </c>
      <c r="B398">
        <f xml:space="preserve"> SUMIFS(market_prices!$E:$E,market_prices!$B:$B,$A398,market_prices!$C:$C,B$1)</f>
        <v>83.95</v>
      </c>
      <c r="C398">
        <f xml:space="preserve"> SUMIFS(market_prices!$E:$E,market_prices!$B:$B,$A398,market_prices!$C:$C,C$1)</f>
        <v>92.093199999999996</v>
      </c>
      <c r="D398">
        <f xml:space="preserve"> SUMIFS(market_prices!$E:$E,market_prices!$B:$B,$A398,market_prices!$C:$C,D$1)</f>
        <v>74.260000000000005</v>
      </c>
      <c r="E398" s="6">
        <f t="shared" si="6"/>
        <v>-1.1910433539774612E-4</v>
      </c>
      <c r="F398" s="6">
        <f>rates[[#This Row],[EUR/INR]]/C397-1</f>
        <v>-6.6518726703523878E-4</v>
      </c>
      <c r="G398" s="6">
        <f>rates[[#This Row],[WTI Crude]]/D397-1</f>
        <v>-4.5010288065843618E-2</v>
      </c>
    </row>
    <row r="399" spans="1:7" x14ac:dyDescent="0.3">
      <c r="A399" s="1">
        <v>45574</v>
      </c>
      <c r="B399">
        <f xml:space="preserve"> SUMIFS(market_prices!$E:$E,market_prices!$B:$B,$A399,market_prices!$C:$C,B$1)</f>
        <v>83.93</v>
      </c>
      <c r="C399">
        <f xml:space="preserve"> SUMIFS(market_prices!$E:$E,market_prices!$B:$B,$A399,market_prices!$C:$C,C$1)</f>
        <v>91.911699999999996</v>
      </c>
      <c r="D399">
        <f xml:space="preserve"> SUMIFS(market_prices!$E:$E,market_prices!$B:$B,$A399,market_prices!$C:$C,D$1)</f>
        <v>73.849999999999994</v>
      </c>
      <c r="E399" s="6">
        <f t="shared" si="6"/>
        <v>-2.382370458605676E-4</v>
      </c>
      <c r="F399" s="6">
        <f>rates[[#This Row],[EUR/INR]]/C398-1</f>
        <v>-1.9708295509331952E-3</v>
      </c>
      <c r="G399" s="6">
        <f>rates[[#This Row],[WTI Crude]]/D398-1</f>
        <v>-5.5211419337464207E-3</v>
      </c>
    </row>
    <row r="400" spans="1:7" x14ac:dyDescent="0.3">
      <c r="A400" s="1">
        <v>45575</v>
      </c>
      <c r="B400">
        <f xml:space="preserve"> SUMIFS(market_prices!$E:$E,market_prices!$B:$B,$A400,market_prices!$C:$C,B$1)</f>
        <v>83.94</v>
      </c>
      <c r="C400">
        <f xml:space="preserve"> SUMIFS(market_prices!$E:$E,market_prices!$B:$B,$A400,market_prices!$C:$C,C$1)</f>
        <v>91.704400000000007</v>
      </c>
      <c r="D400">
        <f xml:space="preserve"> SUMIFS(market_prices!$E:$E,market_prices!$B:$B,$A400,market_prices!$C:$C,D$1)</f>
        <v>76.459999999999994</v>
      </c>
      <c r="E400" s="6">
        <f t="shared" si="6"/>
        <v>1.1914690813763507E-4</v>
      </c>
      <c r="F400" s="6">
        <f>rates[[#This Row],[EUR/INR]]/C399-1</f>
        <v>-2.2554255878195484E-3</v>
      </c>
      <c r="G400" s="6">
        <f>rates[[#This Row],[WTI Crude]]/D399-1</f>
        <v>3.534190927555847E-2</v>
      </c>
    </row>
    <row r="401" spans="1:7" x14ac:dyDescent="0.3">
      <c r="A401" s="1">
        <v>45576</v>
      </c>
      <c r="B401">
        <f xml:space="preserve"> SUMIFS(market_prices!$E:$E,market_prices!$B:$B,$A401,market_prices!$C:$C,B$1)</f>
        <v>84.08</v>
      </c>
      <c r="C401">
        <f xml:space="preserve"> SUMIFS(market_prices!$E:$E,market_prices!$B:$B,$A401,market_prices!$C:$C,C$1)</f>
        <v>92.000299999999996</v>
      </c>
      <c r="D401">
        <f xml:space="preserve"> SUMIFS(market_prices!$E:$E,market_prices!$B:$B,$A401,market_prices!$C:$C,D$1)</f>
        <v>76.11</v>
      </c>
      <c r="E401" s="6">
        <f t="shared" si="6"/>
        <v>1.6678579938051996E-3</v>
      </c>
      <c r="F401" s="6">
        <f>rates[[#This Row],[EUR/INR]]/C400-1</f>
        <v>3.2266717845599313E-3</v>
      </c>
      <c r="G401" s="6">
        <f>rates[[#This Row],[WTI Crude]]/D400-1</f>
        <v>-4.577556892492729E-3</v>
      </c>
    </row>
    <row r="402" spans="1:7" x14ac:dyDescent="0.3">
      <c r="A402" s="1">
        <v>45579</v>
      </c>
      <c r="B402">
        <f xml:space="preserve"> SUMIFS(market_prices!$E:$E,market_prices!$B:$B,$A402,market_prices!$C:$C,B$1)</f>
        <v>84.08</v>
      </c>
      <c r="C402">
        <f xml:space="preserve"> SUMIFS(market_prices!$E:$E,market_prices!$B:$B,$A402,market_prices!$C:$C,C$1)</f>
        <v>92.000299999999996</v>
      </c>
      <c r="D402">
        <f xml:space="preserve"> SUMIFS(market_prices!$E:$E,market_prices!$B:$B,$A402,market_prices!$C:$C,D$1)</f>
        <v>76.11</v>
      </c>
      <c r="E402" s="6">
        <f t="shared" si="6"/>
        <v>0</v>
      </c>
      <c r="F402" s="6">
        <f>rates[[#This Row],[EUR/INR]]/C401-1</f>
        <v>0</v>
      </c>
      <c r="G402" s="6">
        <f>rates[[#This Row],[WTI Crude]]/D401-1</f>
        <v>0</v>
      </c>
    </row>
    <row r="403" spans="1:7" x14ac:dyDescent="0.3">
      <c r="A403" s="1">
        <v>45580</v>
      </c>
      <c r="B403">
        <f xml:space="preserve"> SUMIFS(market_prices!$E:$E,market_prices!$B:$B,$A403,market_prices!$C:$C,B$1)</f>
        <v>84.04</v>
      </c>
      <c r="C403">
        <f xml:space="preserve"> SUMIFS(market_prices!$E:$E,market_prices!$B:$B,$A403,market_prices!$C:$C,C$1)</f>
        <v>91.595200000000006</v>
      </c>
      <c r="D403">
        <f xml:space="preserve"> SUMIFS(market_prices!$E:$E,market_prices!$B:$B,$A403,market_prices!$C:$C,D$1)</f>
        <v>71.22</v>
      </c>
      <c r="E403" s="6">
        <f t="shared" si="6"/>
        <v>-4.7573739295903028E-4</v>
      </c>
      <c r="F403" s="6">
        <f>rates[[#This Row],[EUR/INR]]/C402-1</f>
        <v>-4.4032465111525365E-3</v>
      </c>
      <c r="G403" s="6">
        <f>rates[[#This Row],[WTI Crude]]/D402-1</f>
        <v>-6.424911312573911E-2</v>
      </c>
    </row>
    <row r="404" spans="1:7" x14ac:dyDescent="0.3">
      <c r="A404" s="1">
        <v>45581</v>
      </c>
      <c r="B404">
        <f xml:space="preserve"> SUMIFS(market_prices!$E:$E,market_prices!$B:$B,$A404,market_prices!$C:$C,B$1)</f>
        <v>84.01</v>
      </c>
      <c r="C404">
        <f xml:space="preserve"> SUMIFS(market_prices!$E:$E,market_prices!$B:$B,$A404,market_prices!$C:$C,C$1)</f>
        <v>91.344099999999997</v>
      </c>
      <c r="D404">
        <f xml:space="preserve"> SUMIFS(market_prices!$E:$E,market_prices!$B:$B,$A404,market_prices!$C:$C,D$1)</f>
        <v>70.97</v>
      </c>
      <c r="E404" s="6">
        <f t="shared" si="6"/>
        <v>-3.5697287006186684E-4</v>
      </c>
      <c r="F404" s="6">
        <f>rates[[#This Row],[EUR/INR]]/C403-1</f>
        <v>-2.7414100302199929E-3</v>
      </c>
      <c r="G404" s="6">
        <f>rates[[#This Row],[WTI Crude]]/D403-1</f>
        <v>-3.5102499297949841E-3</v>
      </c>
    </row>
    <row r="405" spans="1:7" x14ac:dyDescent="0.3">
      <c r="A405" s="1">
        <v>45582</v>
      </c>
      <c r="B405">
        <f xml:space="preserve"> SUMIFS(market_prices!$E:$E,market_prices!$B:$B,$A405,market_prices!$C:$C,B$1)</f>
        <v>84.04</v>
      </c>
      <c r="C405">
        <f xml:space="preserve"> SUMIFS(market_prices!$E:$E,market_prices!$B:$B,$A405,market_prices!$C:$C,C$1)</f>
        <v>91.074100000000001</v>
      </c>
      <c r="D405">
        <f xml:space="preserve"> SUMIFS(market_prices!$E:$E,market_prices!$B:$B,$A405,market_prices!$C:$C,D$1)</f>
        <v>71.260000000000005</v>
      </c>
      <c r="E405" s="6">
        <f t="shared" si="6"/>
        <v>3.5710034519698119E-4</v>
      </c>
      <c r="F405" s="6">
        <f>rates[[#This Row],[EUR/INR]]/C404-1</f>
        <v>-2.9558559337712342E-3</v>
      </c>
      <c r="G405" s="6">
        <f>rates[[#This Row],[WTI Crude]]/D404-1</f>
        <v>4.0862336198395077E-3</v>
      </c>
    </row>
    <row r="406" spans="1:7" x14ac:dyDescent="0.3">
      <c r="A406" s="1">
        <v>45583</v>
      </c>
      <c r="B406">
        <f xml:space="preserve"> SUMIFS(market_prices!$E:$E,market_prices!$B:$B,$A406,market_prices!$C:$C,B$1)</f>
        <v>84.03</v>
      </c>
      <c r="C406">
        <f xml:space="preserve"> SUMIFS(market_prices!$E:$E,market_prices!$B:$B,$A406,market_prices!$C:$C,C$1)</f>
        <v>91.206199999999995</v>
      </c>
      <c r="D406">
        <f xml:space="preserve"> SUMIFS(market_prices!$E:$E,market_prices!$B:$B,$A406,market_prices!$C:$C,D$1)</f>
        <v>69.78</v>
      </c>
      <c r="E406" s="6">
        <f t="shared" si="6"/>
        <v>-1.1899095668732595E-4</v>
      </c>
      <c r="F406" s="6">
        <f>rates[[#This Row],[EUR/INR]]/C405-1</f>
        <v>1.4504672568820265E-3</v>
      </c>
      <c r="G406" s="6">
        <f>rates[[#This Row],[WTI Crude]]/D405-1</f>
        <v>-2.0769014875105296E-2</v>
      </c>
    </row>
    <row r="407" spans="1:7" x14ac:dyDescent="0.3">
      <c r="A407" s="1">
        <v>45586</v>
      </c>
      <c r="B407">
        <f xml:space="preserve"> SUMIFS(market_prices!$E:$E,market_prices!$B:$B,$A407,market_prices!$C:$C,B$1)</f>
        <v>84.07</v>
      </c>
      <c r="C407">
        <f xml:space="preserve"> SUMIFS(market_prices!$E:$E,market_prices!$B:$B,$A407,market_prices!$C:$C,C$1)</f>
        <v>90.963700000000003</v>
      </c>
      <c r="D407">
        <f xml:space="preserve"> SUMIFS(market_prices!$E:$E,market_prices!$B:$B,$A407,market_prices!$C:$C,D$1)</f>
        <v>71.16</v>
      </c>
      <c r="E407" s="6">
        <f t="shared" si="6"/>
        <v>4.7602046888006733E-4</v>
      </c>
      <c r="F407" s="6">
        <f>rates[[#This Row],[EUR/INR]]/C406-1</f>
        <v>-2.658810475603568E-3</v>
      </c>
      <c r="G407" s="6">
        <f>rates[[#This Row],[WTI Crude]]/D406-1</f>
        <v>1.9776440240756532E-2</v>
      </c>
    </row>
    <row r="408" spans="1:7" x14ac:dyDescent="0.3">
      <c r="A408" s="1">
        <v>45587</v>
      </c>
      <c r="B408">
        <f xml:space="preserve"> SUMIFS(market_prices!$E:$E,market_prices!$B:$B,$A408,market_prices!$C:$C,B$1)</f>
        <v>84.06</v>
      </c>
      <c r="C408">
        <f xml:space="preserve"> SUMIFS(market_prices!$E:$E,market_prices!$B:$B,$A408,market_prices!$C:$C,C$1)</f>
        <v>90.826800000000006</v>
      </c>
      <c r="D408">
        <f xml:space="preserve"> SUMIFS(market_prices!$E:$E,market_prices!$B:$B,$A408,market_prices!$C:$C,D$1)</f>
        <v>72.84</v>
      </c>
      <c r="E408" s="6">
        <f t="shared" si="6"/>
        <v>-1.1894849530147411E-4</v>
      </c>
      <c r="F408" s="6">
        <f>rates[[#This Row],[EUR/INR]]/C407-1</f>
        <v>-1.5049959489334963E-3</v>
      </c>
      <c r="G408" s="6">
        <f>rates[[#This Row],[WTI Crude]]/D407-1</f>
        <v>2.3608768971332239E-2</v>
      </c>
    </row>
    <row r="409" spans="1:7" x14ac:dyDescent="0.3">
      <c r="A409" s="1">
        <v>45588</v>
      </c>
      <c r="B409">
        <f xml:space="preserve"> SUMIFS(market_prices!$E:$E,market_prices!$B:$B,$A409,market_prices!$C:$C,B$1)</f>
        <v>84.06</v>
      </c>
      <c r="C409">
        <f xml:space="preserve"> SUMIFS(market_prices!$E:$E,market_prices!$B:$B,$A409,market_prices!$C:$C,C$1)</f>
        <v>90.6083</v>
      </c>
      <c r="D409">
        <f xml:space="preserve"> SUMIFS(market_prices!$E:$E,market_prices!$B:$B,$A409,market_prices!$C:$C,D$1)</f>
        <v>71.37</v>
      </c>
      <c r="E409" s="6">
        <f t="shared" si="6"/>
        <v>0</v>
      </c>
      <c r="F409" s="6">
        <f>rates[[#This Row],[EUR/INR]]/C408-1</f>
        <v>-2.4056776193811524E-3</v>
      </c>
      <c r="G409" s="6">
        <f>rates[[#This Row],[WTI Crude]]/D408-1</f>
        <v>-2.0181219110378845E-2</v>
      </c>
    </row>
    <row r="410" spans="1:7" x14ac:dyDescent="0.3">
      <c r="A410" s="1">
        <v>45589</v>
      </c>
      <c r="B410">
        <f xml:space="preserve"> SUMIFS(market_prices!$E:$E,market_prices!$B:$B,$A410,market_prices!$C:$C,B$1)</f>
        <v>84.05</v>
      </c>
      <c r="C410">
        <f xml:space="preserve"> SUMIFS(market_prices!$E:$E,market_prices!$B:$B,$A410,market_prices!$C:$C,C$1)</f>
        <v>90.824399999999997</v>
      </c>
      <c r="D410">
        <f xml:space="preserve"> SUMIFS(market_prices!$E:$E,market_prices!$B:$B,$A410,market_prices!$C:$C,D$1)</f>
        <v>70.58</v>
      </c>
      <c r="E410" s="6">
        <f t="shared" si="6"/>
        <v>-1.189626457293036E-4</v>
      </c>
      <c r="F410" s="6">
        <f>rates[[#This Row],[EUR/INR]]/C409-1</f>
        <v>2.3849912204509938E-3</v>
      </c>
      <c r="G410" s="6">
        <f>rates[[#This Row],[WTI Crude]]/D409-1</f>
        <v>-1.1069076642847175E-2</v>
      </c>
    </row>
    <row r="411" spans="1:7" x14ac:dyDescent="0.3">
      <c r="A411" s="1">
        <v>45590</v>
      </c>
      <c r="B411">
        <f xml:space="preserve"> SUMIFS(market_prices!$E:$E,market_prices!$B:$B,$A411,market_prices!$C:$C,B$1)</f>
        <v>84.06</v>
      </c>
      <c r="C411">
        <f xml:space="preserve"> SUMIFS(market_prices!$E:$E,market_prices!$B:$B,$A411,market_prices!$C:$C,C$1)</f>
        <v>90.894099999999995</v>
      </c>
      <c r="D411">
        <f xml:space="preserve"> SUMIFS(market_prices!$E:$E,market_prices!$B:$B,$A411,market_prices!$C:$C,D$1)</f>
        <v>72.02</v>
      </c>
      <c r="E411" s="6">
        <f t="shared" si="6"/>
        <v>1.1897679952421747E-4</v>
      </c>
      <c r="F411" s="6">
        <f>rates[[#This Row],[EUR/INR]]/C410-1</f>
        <v>7.6741492374288178E-4</v>
      </c>
      <c r="G411" s="6">
        <f>rates[[#This Row],[WTI Crude]]/D410-1</f>
        <v>2.0402380277699139E-2</v>
      </c>
    </row>
    <row r="412" spans="1:7" x14ac:dyDescent="0.3">
      <c r="A412" s="1">
        <v>45593</v>
      </c>
      <c r="B412">
        <f xml:space="preserve"> SUMIFS(market_prices!$E:$E,market_prices!$B:$B,$A412,market_prices!$C:$C,B$1)</f>
        <v>84.05</v>
      </c>
      <c r="C412">
        <f xml:space="preserve"> SUMIFS(market_prices!$E:$E,market_prices!$B:$B,$A412,market_prices!$C:$C,C$1)</f>
        <v>90.933700000000002</v>
      </c>
      <c r="D412">
        <f xml:space="preserve"> SUMIFS(market_prices!$E:$E,market_prices!$B:$B,$A412,market_prices!$C:$C,D$1)</f>
        <v>67.650000000000006</v>
      </c>
      <c r="E412" s="6">
        <f t="shared" si="6"/>
        <v>-1.189626457293036E-4</v>
      </c>
      <c r="F412" s="6">
        <f>rates[[#This Row],[EUR/INR]]/C411-1</f>
        <v>4.3567184228687772E-4</v>
      </c>
      <c r="G412" s="6">
        <f>rates[[#This Row],[WTI Crude]]/D411-1</f>
        <v>-6.0677589558455813E-2</v>
      </c>
    </row>
    <row r="413" spans="1:7" x14ac:dyDescent="0.3">
      <c r="A413" s="1">
        <v>45594</v>
      </c>
      <c r="B413">
        <f xml:space="preserve"> SUMIFS(market_prices!$E:$E,market_prices!$B:$B,$A413,market_prices!$C:$C,B$1)</f>
        <v>84.04</v>
      </c>
      <c r="C413">
        <f xml:space="preserve"> SUMIFS(market_prices!$E:$E,market_prices!$B:$B,$A413,market_prices!$C:$C,C$1)</f>
        <v>90.746399999999994</v>
      </c>
      <c r="D413">
        <f xml:space="preserve"> SUMIFS(market_prices!$E:$E,market_prices!$B:$B,$A413,market_prices!$C:$C,D$1)</f>
        <v>67.48</v>
      </c>
      <c r="E413" s="6">
        <f t="shared" si="6"/>
        <v>-1.1897679952399542E-4</v>
      </c>
      <c r="F413" s="6">
        <f>rates[[#This Row],[EUR/INR]]/C412-1</f>
        <v>-2.0597424277248866E-3</v>
      </c>
      <c r="G413" s="6">
        <f>rates[[#This Row],[WTI Crude]]/D412-1</f>
        <v>-2.5129342202513394E-3</v>
      </c>
    </row>
    <row r="414" spans="1:7" x14ac:dyDescent="0.3">
      <c r="A414" s="1">
        <v>45595</v>
      </c>
      <c r="B414">
        <f xml:space="preserve"> SUMIFS(market_prices!$E:$E,market_prices!$B:$B,$A414,market_prices!$C:$C,B$1)</f>
        <v>84.07</v>
      </c>
      <c r="C414">
        <f xml:space="preserve"> SUMIFS(market_prices!$E:$E,market_prices!$B:$B,$A414,market_prices!$C:$C,C$1)</f>
        <v>91.333600000000004</v>
      </c>
      <c r="D414">
        <f xml:space="preserve"> SUMIFS(market_prices!$E:$E,market_prices!$B:$B,$A414,market_prices!$C:$C,D$1)</f>
        <v>68.91</v>
      </c>
      <c r="E414" s="6">
        <f t="shared" si="6"/>
        <v>3.569728700616448E-4</v>
      </c>
      <c r="F414" s="6">
        <f>rates[[#This Row],[EUR/INR]]/C413-1</f>
        <v>6.470780108081442E-3</v>
      </c>
      <c r="G414" s="6">
        <f>rates[[#This Row],[WTI Crude]]/D413-1</f>
        <v>2.1191464137522154E-2</v>
      </c>
    </row>
    <row r="415" spans="1:7" x14ac:dyDescent="0.3">
      <c r="A415" s="1">
        <v>45596</v>
      </c>
      <c r="B415">
        <f xml:space="preserve"> SUMIFS(market_prices!$E:$E,market_prices!$B:$B,$A415,market_prices!$C:$C,B$1)</f>
        <v>84.06</v>
      </c>
      <c r="C415">
        <f xml:space="preserve"> SUMIFS(market_prices!$E:$E,market_prices!$B:$B,$A415,market_prices!$C:$C,C$1)</f>
        <v>91.247100000000003</v>
      </c>
      <c r="D415">
        <f xml:space="preserve"> SUMIFS(market_prices!$E:$E,market_prices!$B:$B,$A415,market_prices!$C:$C,D$1)</f>
        <v>69.58</v>
      </c>
      <c r="E415" s="6">
        <f t="shared" si="6"/>
        <v>-1.1894849530147411E-4</v>
      </c>
      <c r="F415" s="6">
        <f>rates[[#This Row],[EUR/INR]]/C414-1</f>
        <v>-9.4707752678091506E-4</v>
      </c>
      <c r="G415" s="6">
        <f>rates[[#This Row],[WTI Crude]]/D414-1</f>
        <v>9.7228268756348601E-3</v>
      </c>
    </row>
    <row r="416" spans="1:7" x14ac:dyDescent="0.3">
      <c r="A416" s="1">
        <v>45597</v>
      </c>
      <c r="B416">
        <f xml:space="preserve"> SUMIFS(market_prices!$E:$E,market_prices!$B:$B,$A416,market_prices!$C:$C,B$1)</f>
        <v>84.03</v>
      </c>
      <c r="C416">
        <f xml:space="preserve"> SUMIFS(market_prices!$E:$E,market_prices!$B:$B,$A416,market_prices!$C:$C,C$1)</f>
        <v>91.155699999999996</v>
      </c>
      <c r="D416">
        <f xml:space="preserve"> SUMIFS(market_prices!$E:$E,market_prices!$B:$B,$A416,market_prices!$C:$C,D$1)</f>
        <v>69.81</v>
      </c>
      <c r="E416" s="6">
        <f t="shared" si="6"/>
        <v>-3.5688793718768874E-4</v>
      </c>
      <c r="F416" s="6">
        <f>rates[[#This Row],[EUR/INR]]/C415-1</f>
        <v>-1.0016756696925588E-3</v>
      </c>
      <c r="G416" s="6">
        <f>rates[[#This Row],[WTI Crude]]/D415-1</f>
        <v>3.3055475711412097E-3</v>
      </c>
    </row>
    <row r="417" spans="1:7" x14ac:dyDescent="0.3">
      <c r="A417" s="1">
        <v>45600</v>
      </c>
      <c r="B417">
        <f xml:space="preserve"> SUMIFS(market_prices!$E:$E,market_prices!$B:$B,$A417,market_prices!$C:$C,B$1)</f>
        <v>84.11</v>
      </c>
      <c r="C417">
        <f xml:space="preserve"> SUMIFS(market_prices!$E:$E,market_prices!$B:$B,$A417,market_prices!$C:$C,C$1)</f>
        <v>91.545299999999997</v>
      </c>
      <c r="D417">
        <f xml:space="preserve"> SUMIFS(market_prices!$E:$E,market_prices!$B:$B,$A417,market_prices!$C:$C,D$1)</f>
        <v>71.83</v>
      </c>
      <c r="E417" s="6">
        <f t="shared" si="6"/>
        <v>9.520409377603567E-4</v>
      </c>
      <c r="F417" s="6">
        <f>rates[[#This Row],[EUR/INR]]/C416-1</f>
        <v>4.2740059041836975E-3</v>
      </c>
      <c r="G417" s="6">
        <f>rates[[#This Row],[WTI Crude]]/D416-1</f>
        <v>2.8935682566967325E-2</v>
      </c>
    </row>
    <row r="418" spans="1:7" x14ac:dyDescent="0.3">
      <c r="A418" s="1">
        <v>45601</v>
      </c>
      <c r="B418">
        <f xml:space="preserve"> SUMIFS(market_prices!$E:$E,market_prices!$B:$B,$A418,market_prices!$C:$C,B$1)</f>
        <v>84.1</v>
      </c>
      <c r="C418">
        <f xml:space="preserve"> SUMIFS(market_prices!$E:$E,market_prices!$B:$B,$A418,market_prices!$C:$C,C$1)</f>
        <v>91.837199999999996</v>
      </c>
      <c r="D418">
        <f xml:space="preserve"> SUMIFS(market_prices!$E:$E,market_prices!$B:$B,$A418,market_prices!$C:$C,D$1)</f>
        <v>72.260000000000005</v>
      </c>
      <c r="E418" s="6">
        <f t="shared" si="6"/>
        <v>-1.1889192723824049E-4</v>
      </c>
      <c r="F418" s="6">
        <f>rates[[#This Row],[EUR/INR]]/C417-1</f>
        <v>3.1885853233317718E-3</v>
      </c>
      <c r="G418" s="6">
        <f>rates[[#This Row],[WTI Crude]]/D417-1</f>
        <v>5.9863566754838615E-3</v>
      </c>
    </row>
    <row r="419" spans="1:7" x14ac:dyDescent="0.3">
      <c r="A419" s="1">
        <v>45602</v>
      </c>
      <c r="B419">
        <f xml:space="preserve"> SUMIFS(market_prices!$E:$E,market_prices!$B:$B,$A419,market_prices!$C:$C,B$1)</f>
        <v>84.31</v>
      </c>
      <c r="C419">
        <f xml:space="preserve"> SUMIFS(market_prices!$E:$E,market_prices!$B:$B,$A419,market_prices!$C:$C,C$1)</f>
        <v>90.481499999999997</v>
      </c>
      <c r="D419">
        <f xml:space="preserve"> SUMIFS(market_prices!$E:$E,market_prices!$B:$B,$A419,market_prices!$C:$C,D$1)</f>
        <v>71.98</v>
      </c>
      <c r="E419" s="6">
        <f t="shared" si="6"/>
        <v>2.4970273483948535E-3</v>
      </c>
      <c r="F419" s="6">
        <f>rates[[#This Row],[EUR/INR]]/C418-1</f>
        <v>-1.4761991872574542E-2</v>
      </c>
      <c r="G419" s="6">
        <f>rates[[#This Row],[WTI Crude]]/D418-1</f>
        <v>-3.8748962081373017E-3</v>
      </c>
    </row>
    <row r="420" spans="1:7" x14ac:dyDescent="0.3">
      <c r="A420" s="1">
        <v>45603</v>
      </c>
      <c r="B420">
        <f xml:space="preserve"> SUMIFS(market_prices!$E:$E,market_prices!$B:$B,$A420,market_prices!$C:$C,B$1)</f>
        <v>84.37</v>
      </c>
      <c r="C420">
        <f xml:space="preserve"> SUMIFS(market_prices!$E:$E,market_prices!$B:$B,$A420,market_prices!$C:$C,C$1)</f>
        <v>91.052099999999996</v>
      </c>
      <c r="D420">
        <f xml:space="preserve"> SUMIFS(market_prices!$E:$E,market_prices!$B:$B,$A420,market_prices!$C:$C,D$1)</f>
        <v>72.69</v>
      </c>
      <c r="E420" s="6">
        <f t="shared" si="6"/>
        <v>7.1165935238992617E-4</v>
      </c>
      <c r="F420" s="6">
        <f>rates[[#This Row],[EUR/INR]]/C419-1</f>
        <v>6.3062615009696898E-3</v>
      </c>
      <c r="G420" s="6">
        <f>rates[[#This Row],[WTI Crude]]/D419-1</f>
        <v>9.8638510697415249E-3</v>
      </c>
    </row>
    <row r="421" spans="1:7" x14ac:dyDescent="0.3">
      <c r="A421" s="1">
        <v>45604</v>
      </c>
      <c r="B421">
        <f xml:space="preserve"> SUMIFS(market_prices!$E:$E,market_prices!$B:$B,$A421,market_prices!$C:$C,B$1)</f>
        <v>84.34</v>
      </c>
      <c r="C421">
        <f xml:space="preserve"> SUMIFS(market_prices!$E:$E,market_prices!$B:$B,$A421,market_prices!$C:$C,C$1)</f>
        <v>90.328100000000006</v>
      </c>
      <c r="D421">
        <f xml:space="preserve"> SUMIFS(market_prices!$E:$E,market_prices!$B:$B,$A421,market_prices!$C:$C,D$1)</f>
        <v>70.69</v>
      </c>
      <c r="E421" s="6">
        <f t="shared" si="6"/>
        <v>-3.5557662676310997E-4</v>
      </c>
      <c r="F421" s="6">
        <f>rates[[#This Row],[EUR/INR]]/C420-1</f>
        <v>-7.9514915087075533E-3</v>
      </c>
      <c r="G421" s="6">
        <f>rates[[#This Row],[WTI Crude]]/D420-1</f>
        <v>-2.7514100976750555E-2</v>
      </c>
    </row>
    <row r="422" spans="1:7" x14ac:dyDescent="0.3">
      <c r="A422" s="1">
        <v>45607</v>
      </c>
      <c r="B422">
        <f xml:space="preserve"> SUMIFS(market_prices!$E:$E,market_prices!$B:$B,$A422,market_prices!$C:$C,B$1)</f>
        <v>84.34</v>
      </c>
      <c r="C422">
        <f xml:space="preserve"> SUMIFS(market_prices!$E:$E,market_prices!$B:$B,$A422,market_prices!$C:$C,C$1)</f>
        <v>90.328100000000006</v>
      </c>
      <c r="D422">
        <f xml:space="preserve"> SUMIFS(market_prices!$E:$E,market_prices!$B:$B,$A422,market_prices!$C:$C,D$1)</f>
        <v>70.69</v>
      </c>
      <c r="E422" s="6">
        <f t="shared" si="6"/>
        <v>0</v>
      </c>
      <c r="F422" s="6">
        <f>rates[[#This Row],[EUR/INR]]/C421-1</f>
        <v>0</v>
      </c>
      <c r="G422" s="6">
        <f>rates[[#This Row],[WTI Crude]]/D421-1</f>
        <v>0</v>
      </c>
    </row>
    <row r="423" spans="1:7" x14ac:dyDescent="0.3">
      <c r="A423" s="1">
        <v>45608</v>
      </c>
      <c r="B423">
        <f xml:space="preserve"> SUMIFS(market_prices!$E:$E,market_prices!$B:$B,$A423,market_prices!$C:$C,B$1)</f>
        <v>84.38</v>
      </c>
      <c r="C423">
        <f xml:space="preserve"> SUMIFS(market_prices!$E:$E,market_prices!$B:$B,$A423,market_prices!$C:$C,C$1)</f>
        <v>89.425899999999999</v>
      </c>
      <c r="D423">
        <f xml:space="preserve"> SUMIFS(market_prices!$E:$E,market_prices!$B:$B,$A423,market_prices!$C:$C,D$1)</f>
        <v>68.430000000000007</v>
      </c>
      <c r="E423" s="6">
        <f t="shared" si="6"/>
        <v>4.7427080863160498E-4</v>
      </c>
      <c r="F423" s="6">
        <f>rates[[#This Row],[EUR/INR]]/C422-1</f>
        <v>-9.988032517013079E-3</v>
      </c>
      <c r="G423" s="6">
        <f>rates[[#This Row],[WTI Crude]]/D422-1</f>
        <v>-3.1970575753288877E-2</v>
      </c>
    </row>
    <row r="424" spans="1:7" x14ac:dyDescent="0.3">
      <c r="A424" s="1">
        <v>45609</v>
      </c>
      <c r="B424">
        <f xml:space="preserve"> SUMIFS(market_prices!$E:$E,market_prices!$B:$B,$A424,market_prices!$C:$C,B$1)</f>
        <v>84.39</v>
      </c>
      <c r="C424">
        <f xml:space="preserve"> SUMIFS(market_prices!$E:$E,market_prices!$B:$B,$A424,market_prices!$C:$C,C$1)</f>
        <v>89.174899999999994</v>
      </c>
      <c r="D424">
        <f xml:space="preserve"> SUMIFS(market_prices!$E:$E,market_prices!$B:$B,$A424,market_prices!$C:$C,D$1)</f>
        <v>68.760000000000005</v>
      </c>
      <c r="E424" s="6">
        <f t="shared" si="6"/>
        <v>1.1851149561503682E-4</v>
      </c>
      <c r="F424" s="6">
        <f>rates[[#This Row],[EUR/INR]]/C423-1</f>
        <v>-2.8067931102734311E-3</v>
      </c>
      <c r="G424" s="6">
        <f>rates[[#This Row],[WTI Crude]]/D423-1</f>
        <v>4.8224462954844505E-3</v>
      </c>
    </row>
    <row r="425" spans="1:7" x14ac:dyDescent="0.3">
      <c r="A425" s="1">
        <v>45610</v>
      </c>
      <c r="B425">
        <f xml:space="preserve"> SUMIFS(market_prices!$E:$E,market_prices!$B:$B,$A425,market_prices!$C:$C,B$1)</f>
        <v>84.42</v>
      </c>
      <c r="C425">
        <f xml:space="preserve"> SUMIFS(market_prices!$E:$E,market_prices!$B:$B,$A425,market_prices!$C:$C,C$1)</f>
        <v>89.164400000000001</v>
      </c>
      <c r="D425">
        <f xml:space="preserve"> SUMIFS(market_prices!$E:$E,market_prices!$B:$B,$A425,market_prices!$C:$C,D$1)</f>
        <v>68.989999999999995</v>
      </c>
      <c r="E425" s="6">
        <f t="shared" si="6"/>
        <v>3.554923569142332E-4</v>
      </c>
      <c r="F425" s="6">
        <f>rates[[#This Row],[EUR/INR]]/C424-1</f>
        <v>-1.1774613708559478E-4</v>
      </c>
      <c r="G425" s="6">
        <f>rates[[#This Row],[WTI Crude]]/D424-1</f>
        <v>3.3449680046537811E-3</v>
      </c>
    </row>
    <row r="426" spans="1:7" x14ac:dyDescent="0.3">
      <c r="A426" s="1">
        <v>45611</v>
      </c>
      <c r="B426">
        <f xml:space="preserve"> SUMIFS(market_prices!$E:$E,market_prices!$B:$B,$A426,market_prices!$C:$C,B$1)</f>
        <v>84.41</v>
      </c>
      <c r="C426">
        <f xml:space="preserve"> SUMIFS(market_prices!$E:$E,market_prices!$B:$B,$A426,market_prices!$C:$C,C$1)</f>
        <v>89.069400000000002</v>
      </c>
      <c r="D426">
        <f xml:space="preserve"> SUMIFS(market_prices!$E:$E,market_prices!$B:$B,$A426,market_prices!$C:$C,D$1)</f>
        <v>67.33</v>
      </c>
      <c r="E426" s="6">
        <f t="shared" si="6"/>
        <v>-1.1845534233601018E-4</v>
      </c>
      <c r="F426" s="6">
        <f>rates[[#This Row],[EUR/INR]]/C425-1</f>
        <v>-1.0654476450242534E-3</v>
      </c>
      <c r="G426" s="6">
        <f>rates[[#This Row],[WTI Crude]]/D425-1</f>
        <v>-2.4061458182345175E-2</v>
      </c>
    </row>
    <row r="427" spans="1:7" x14ac:dyDescent="0.3">
      <c r="A427" s="1">
        <v>45614</v>
      </c>
      <c r="B427">
        <f xml:space="preserve"> SUMIFS(market_prices!$E:$E,market_prices!$B:$B,$A427,market_prices!$C:$C,B$1)</f>
        <v>84.37</v>
      </c>
      <c r="C427">
        <f xml:space="preserve"> SUMIFS(market_prices!$E:$E,market_prices!$B:$B,$A427,market_prices!$C:$C,C$1)</f>
        <v>89.314099999999996</v>
      </c>
      <c r="D427">
        <f xml:space="preserve"> SUMIFS(market_prices!$E:$E,market_prices!$B:$B,$A427,market_prices!$C:$C,D$1)</f>
        <v>69.459999999999994</v>
      </c>
      <c r="E427" s="6">
        <f t="shared" si="6"/>
        <v>-4.7387750266547624E-4</v>
      </c>
      <c r="F427" s="6">
        <f>rates[[#This Row],[EUR/INR]]/C426-1</f>
        <v>2.7472959287926368E-3</v>
      </c>
      <c r="G427" s="6">
        <f>rates[[#This Row],[WTI Crude]]/D426-1</f>
        <v>3.1635229466805193E-2</v>
      </c>
    </row>
    <row r="428" spans="1:7" x14ac:dyDescent="0.3">
      <c r="A428" s="1">
        <v>45615</v>
      </c>
      <c r="B428">
        <f xml:space="preserve"> SUMIFS(market_prices!$E:$E,market_prices!$B:$B,$A428,market_prices!$C:$C,B$1)</f>
        <v>84.36</v>
      </c>
      <c r="C428">
        <f xml:space="preserve"> SUMIFS(market_prices!$E:$E,market_prices!$B:$B,$A428,market_prices!$C:$C,C$1)</f>
        <v>89.236000000000004</v>
      </c>
      <c r="D428">
        <f xml:space="preserve"> SUMIFS(market_prices!$E:$E,market_prices!$B:$B,$A428,market_prices!$C:$C,D$1)</f>
        <v>69.75</v>
      </c>
      <c r="E428" s="6">
        <f t="shared" si="6"/>
        <v>-1.1852554225444401E-4</v>
      </c>
      <c r="F428" s="6">
        <f>rates[[#This Row],[EUR/INR]]/C427-1</f>
        <v>-8.7444199740005502E-4</v>
      </c>
      <c r="G428" s="6">
        <f>rates[[#This Row],[WTI Crude]]/D427-1</f>
        <v>4.1750647854881251E-3</v>
      </c>
    </row>
    <row r="429" spans="1:7" x14ac:dyDescent="0.3">
      <c r="A429" s="1">
        <v>45616</v>
      </c>
      <c r="B429">
        <f xml:space="preserve"> SUMIFS(market_prices!$E:$E,market_prices!$B:$B,$A429,market_prices!$C:$C,B$1)</f>
        <v>84.41</v>
      </c>
      <c r="C429">
        <f xml:space="preserve"> SUMIFS(market_prices!$E:$E,market_prices!$B:$B,$A429,market_prices!$C:$C,C$1)</f>
        <v>88.8078</v>
      </c>
      <c r="D429">
        <f xml:space="preserve"> SUMIFS(market_prices!$E:$E,market_prices!$B:$B,$A429,market_prices!$C:$C,D$1)</f>
        <v>69.25</v>
      </c>
      <c r="E429" s="6">
        <f t="shared" si="6"/>
        <v>5.926979611190486E-4</v>
      </c>
      <c r="F429" s="6">
        <f>rates[[#This Row],[EUR/INR]]/C428-1</f>
        <v>-4.7985118113765823E-3</v>
      </c>
      <c r="G429" s="6">
        <f>rates[[#This Row],[WTI Crude]]/D428-1</f>
        <v>-7.1684587813619638E-3</v>
      </c>
    </row>
    <row r="430" spans="1:7" x14ac:dyDescent="0.3">
      <c r="A430" s="1">
        <v>45617</v>
      </c>
      <c r="B430">
        <f xml:space="preserve"> SUMIFS(market_prices!$E:$E,market_prices!$B:$B,$A430,market_prices!$C:$C,B$1)</f>
        <v>84.48</v>
      </c>
      <c r="C430">
        <f xml:space="preserve"> SUMIFS(market_prices!$E:$E,market_prices!$B:$B,$A430,market_prices!$C:$C,C$1)</f>
        <v>88.492800000000003</v>
      </c>
      <c r="D430">
        <f xml:space="preserve"> SUMIFS(market_prices!$E:$E,market_prices!$B:$B,$A430,market_prices!$C:$C,D$1)</f>
        <v>70.39</v>
      </c>
      <c r="E430" s="6">
        <f t="shared" si="6"/>
        <v>8.292856296647777E-4</v>
      </c>
      <c r="F430" s="6">
        <f>rates[[#This Row],[EUR/INR]]/C429-1</f>
        <v>-3.5469857377392611E-3</v>
      </c>
      <c r="G430" s="6">
        <f>rates[[#This Row],[WTI Crude]]/D429-1</f>
        <v>1.6462093862815941E-2</v>
      </c>
    </row>
    <row r="431" spans="1:7" x14ac:dyDescent="0.3">
      <c r="A431" s="1">
        <v>45618</v>
      </c>
      <c r="B431">
        <f xml:space="preserve"> SUMIFS(market_prices!$E:$E,market_prices!$B:$B,$A431,market_prices!$C:$C,B$1)</f>
        <v>84.44</v>
      </c>
      <c r="C431">
        <f xml:space="preserve"> SUMIFS(market_prices!$E:$E,market_prices!$B:$B,$A431,market_prices!$C:$C,C$1)</f>
        <v>87.809200000000004</v>
      </c>
      <c r="D431">
        <f xml:space="preserve"> SUMIFS(market_prices!$E:$E,market_prices!$B:$B,$A431,market_prices!$C:$C,D$1)</f>
        <v>71.680000000000007</v>
      </c>
      <c r="E431" s="6">
        <f t="shared" si="6"/>
        <v>-4.7348484848497296E-4</v>
      </c>
      <c r="F431" s="6">
        <f>rates[[#This Row],[EUR/INR]]/C430-1</f>
        <v>-7.7249222535618056E-3</v>
      </c>
      <c r="G431" s="6">
        <f>rates[[#This Row],[WTI Crude]]/D430-1</f>
        <v>1.8326466827674581E-2</v>
      </c>
    </row>
    <row r="432" spans="1:7" x14ac:dyDescent="0.3">
      <c r="A432" s="1">
        <v>45621</v>
      </c>
      <c r="B432">
        <f xml:space="preserve"> SUMIFS(market_prices!$E:$E,market_prices!$B:$B,$A432,market_prices!$C:$C,B$1)</f>
        <v>84.24</v>
      </c>
      <c r="C432">
        <f xml:space="preserve"> SUMIFS(market_prices!$E:$E,market_prices!$B:$B,$A432,market_prices!$C:$C,C$1)</f>
        <v>88.2667</v>
      </c>
      <c r="D432">
        <f xml:space="preserve"> SUMIFS(market_prices!$E:$E,market_prices!$B:$B,$A432,market_prices!$C:$C,D$1)</f>
        <v>69.41</v>
      </c>
      <c r="E432" s="6">
        <f t="shared" si="6"/>
        <v>-2.368545712932324E-3</v>
      </c>
      <c r="F432" s="6">
        <f>rates[[#This Row],[EUR/INR]]/C431-1</f>
        <v>5.2101602110028455E-3</v>
      </c>
      <c r="G432" s="6">
        <f>rates[[#This Row],[WTI Crude]]/D431-1</f>
        <v>-3.1668526785714413E-2</v>
      </c>
    </row>
    <row r="433" spans="1:7" x14ac:dyDescent="0.3">
      <c r="A433" s="1">
        <v>45622</v>
      </c>
      <c r="B433">
        <f xml:space="preserve"> SUMIFS(market_prices!$E:$E,market_prices!$B:$B,$A433,market_prices!$C:$C,B$1)</f>
        <v>84.27</v>
      </c>
      <c r="C433">
        <f xml:space="preserve"> SUMIFS(market_prices!$E:$E,market_prices!$B:$B,$A433,market_prices!$C:$C,C$1)</f>
        <v>88.323400000000007</v>
      </c>
      <c r="D433">
        <f xml:space="preserve"> SUMIFS(market_prices!$E:$E,market_prices!$B:$B,$A433,market_prices!$C:$C,D$1)</f>
        <v>69.05</v>
      </c>
      <c r="E433" s="6">
        <f t="shared" si="6"/>
        <v>3.5612535612528085E-4</v>
      </c>
      <c r="F433" s="6">
        <f>rates[[#This Row],[EUR/INR]]/C432-1</f>
        <v>6.4237135862121875E-4</v>
      </c>
      <c r="G433" s="6">
        <f>rates[[#This Row],[WTI Crude]]/D432-1</f>
        <v>-5.1865725399797835E-3</v>
      </c>
    </row>
    <row r="434" spans="1:7" x14ac:dyDescent="0.3">
      <c r="A434" s="1">
        <v>45623</v>
      </c>
      <c r="B434">
        <f xml:space="preserve"> SUMIFS(market_prices!$E:$E,market_prices!$B:$B,$A434,market_prices!$C:$C,B$1)</f>
        <v>84.41</v>
      </c>
      <c r="C434">
        <f xml:space="preserve"> SUMIFS(market_prices!$E:$E,market_prices!$B:$B,$A434,market_prices!$C:$C,C$1)</f>
        <v>89.263599999999997</v>
      </c>
      <c r="D434">
        <f xml:space="preserve"> SUMIFS(market_prices!$E:$E,market_prices!$B:$B,$A434,market_prices!$C:$C,D$1)</f>
        <v>69.03</v>
      </c>
      <c r="E434" s="6">
        <f t="shared" si="6"/>
        <v>1.6613266880265432E-3</v>
      </c>
      <c r="F434" s="6">
        <f>rates[[#This Row],[EUR/INR]]/C433-1</f>
        <v>1.0644970641981555E-2</v>
      </c>
      <c r="G434" s="6">
        <f>rates[[#This Row],[WTI Crude]]/D433-1</f>
        <v>-2.8964518464880129E-4</v>
      </c>
    </row>
    <row r="435" spans="1:7" x14ac:dyDescent="0.3">
      <c r="A435" s="1">
        <v>45624</v>
      </c>
      <c r="B435">
        <f xml:space="preserve"> SUMIFS(market_prices!$E:$E,market_prices!$B:$B,$A435,market_prices!$C:$C,B$1)</f>
        <v>84.41</v>
      </c>
      <c r="C435">
        <f xml:space="preserve"> SUMIFS(market_prices!$E:$E,market_prices!$B:$B,$A435,market_prices!$C:$C,C$1)</f>
        <v>89.263599999999997</v>
      </c>
      <c r="D435">
        <f xml:space="preserve"> SUMIFS(market_prices!$E:$E,market_prices!$B:$B,$A435,market_prices!$C:$C,D$1)</f>
        <v>69.03</v>
      </c>
      <c r="E435" s="6">
        <f t="shared" si="6"/>
        <v>0</v>
      </c>
      <c r="F435" s="6">
        <f>rates[[#This Row],[EUR/INR]]/C434-1</f>
        <v>0</v>
      </c>
      <c r="G435" s="6">
        <f>rates[[#This Row],[WTI Crude]]/D434-1</f>
        <v>0</v>
      </c>
    </row>
    <row r="436" spans="1:7" x14ac:dyDescent="0.3">
      <c r="A436" s="1">
        <v>45625</v>
      </c>
      <c r="B436">
        <f xml:space="preserve"> SUMIFS(market_prices!$E:$E,market_prices!$B:$B,$A436,market_prices!$C:$C,B$1)</f>
        <v>84.48</v>
      </c>
      <c r="C436">
        <f xml:space="preserve"> SUMIFS(market_prices!$E:$E,market_prices!$B:$B,$A436,market_prices!$C:$C,C$1)</f>
        <v>89.101100000000002</v>
      </c>
      <c r="D436">
        <f xml:space="preserve"> SUMIFS(market_prices!$E:$E,market_prices!$B:$B,$A436,market_prices!$C:$C,D$1)</f>
        <v>68.260000000000005</v>
      </c>
      <c r="E436" s="6">
        <f t="shared" si="6"/>
        <v>8.292856296647777E-4</v>
      </c>
      <c r="F436" s="6">
        <f>rates[[#This Row],[EUR/INR]]/C435-1</f>
        <v>-1.8204508892761817E-3</v>
      </c>
      <c r="G436" s="6">
        <f>rates[[#This Row],[WTI Crude]]/D435-1</f>
        <v>-1.1154570476604286E-2</v>
      </c>
    </row>
    <row r="437" spans="1:7" x14ac:dyDescent="0.3">
      <c r="A437" s="1">
        <v>45628</v>
      </c>
      <c r="B437">
        <f xml:space="preserve"> SUMIFS(market_prices!$E:$E,market_prices!$B:$B,$A437,market_prices!$C:$C,B$1)</f>
        <v>84.74</v>
      </c>
      <c r="C437">
        <f xml:space="preserve"> SUMIFS(market_prices!$E:$E,market_prices!$B:$B,$A437,market_prices!$C:$C,C$1)</f>
        <v>88.841399999999993</v>
      </c>
      <c r="D437">
        <f xml:space="preserve"> SUMIFS(market_prices!$E:$E,market_prices!$B:$B,$A437,market_prices!$C:$C,D$1)</f>
        <v>68.349999999999994</v>
      </c>
      <c r="E437" s="6">
        <f t="shared" si="6"/>
        <v>3.0776515151513806E-3</v>
      </c>
      <c r="F437" s="6">
        <f>rates[[#This Row],[EUR/INR]]/C436-1</f>
        <v>-2.9146665978311281E-3</v>
      </c>
      <c r="G437" s="6">
        <f>rates[[#This Row],[WTI Crude]]/D436-1</f>
        <v>1.3184881336065768E-3</v>
      </c>
    </row>
    <row r="438" spans="1:7" x14ac:dyDescent="0.3">
      <c r="A438" s="1">
        <v>45629</v>
      </c>
      <c r="B438">
        <f xml:space="preserve"> SUMIFS(market_prices!$E:$E,market_prices!$B:$B,$A438,market_prices!$C:$C,B$1)</f>
        <v>84.68</v>
      </c>
      <c r="C438">
        <f xml:space="preserve"> SUMIFS(market_prices!$E:$E,market_prices!$B:$B,$A438,market_prices!$C:$C,C$1)</f>
        <v>89.066400000000002</v>
      </c>
      <c r="D438">
        <f xml:space="preserve"> SUMIFS(market_prices!$E:$E,market_prices!$B:$B,$A438,market_prices!$C:$C,D$1)</f>
        <v>70.150000000000006</v>
      </c>
      <c r="E438" s="6">
        <f t="shared" si="6"/>
        <v>-7.0804814727387644E-4</v>
      </c>
      <c r="F438" s="6">
        <f>rates[[#This Row],[EUR/INR]]/C437-1</f>
        <v>2.5326030431758184E-3</v>
      </c>
      <c r="G438" s="6">
        <f>rates[[#This Row],[WTI Crude]]/D437-1</f>
        <v>2.6335040234089391E-2</v>
      </c>
    </row>
    <row r="439" spans="1:7" x14ac:dyDescent="0.3">
      <c r="A439" s="1">
        <v>45630</v>
      </c>
      <c r="B439">
        <f xml:space="preserve"> SUMIFS(market_prices!$E:$E,market_prices!$B:$B,$A439,market_prices!$C:$C,B$1)</f>
        <v>84.69</v>
      </c>
      <c r="C439">
        <f xml:space="preserve"> SUMIFS(market_prices!$E:$E,market_prices!$B:$B,$A439,market_prices!$C:$C,C$1)</f>
        <v>89.153199999999998</v>
      </c>
      <c r="D439">
        <f xml:space="preserve"> SUMIFS(market_prices!$E:$E,market_prices!$B:$B,$A439,market_prices!$C:$C,D$1)</f>
        <v>68.81</v>
      </c>
      <c r="E439" s="6">
        <f t="shared" si="6"/>
        <v>1.1809163911191689E-4</v>
      </c>
      <c r="F439" s="6">
        <f>rates[[#This Row],[EUR/INR]]/C438-1</f>
        <v>9.7455381602928881E-4</v>
      </c>
      <c r="G439" s="6">
        <f>rates[[#This Row],[WTI Crude]]/D438-1</f>
        <v>-1.9101924447612273E-2</v>
      </c>
    </row>
    <row r="440" spans="1:7" x14ac:dyDescent="0.3">
      <c r="A440" s="1">
        <v>45631</v>
      </c>
      <c r="B440">
        <f xml:space="preserve"> SUMIFS(market_prices!$E:$E,market_prices!$B:$B,$A440,market_prices!$C:$C,B$1)</f>
        <v>84.68</v>
      </c>
      <c r="C440">
        <f xml:space="preserve"> SUMIFS(market_prices!$E:$E,market_prices!$B:$B,$A440,market_prices!$C:$C,C$1)</f>
        <v>89.515199999999993</v>
      </c>
      <c r="D440">
        <f xml:space="preserve"> SUMIFS(market_prices!$E:$E,market_prices!$B:$B,$A440,market_prices!$C:$C,D$1)</f>
        <v>68.58</v>
      </c>
      <c r="E440" s="6">
        <f t="shared" si="6"/>
        <v>-1.1807769512328647E-4</v>
      </c>
      <c r="F440" s="6">
        <f>rates[[#This Row],[EUR/INR]]/C439-1</f>
        <v>4.0604263223305015E-3</v>
      </c>
      <c r="G440" s="6">
        <f>rates[[#This Row],[WTI Crude]]/D439-1</f>
        <v>-3.3425374218863935E-3</v>
      </c>
    </row>
    <row r="441" spans="1:7" x14ac:dyDescent="0.3">
      <c r="A441" s="1">
        <v>45632</v>
      </c>
      <c r="B441">
        <f xml:space="preserve"> SUMIFS(market_prices!$E:$E,market_prices!$B:$B,$A441,market_prices!$C:$C,B$1)</f>
        <v>84.67</v>
      </c>
      <c r="C441">
        <f xml:space="preserve"> SUMIFS(market_prices!$E:$E,market_prices!$B:$B,$A441,market_prices!$C:$C,C$1)</f>
        <v>89.436899999999994</v>
      </c>
      <c r="D441">
        <f xml:space="preserve"> SUMIFS(market_prices!$E:$E,market_prices!$B:$B,$A441,market_prices!$C:$C,D$1)</f>
        <v>68.58</v>
      </c>
      <c r="E441" s="6">
        <f t="shared" si="6"/>
        <v>-1.1809163911202791E-4</v>
      </c>
      <c r="F441" s="6">
        <f>rates[[#This Row],[EUR/INR]]/C440-1</f>
        <v>-8.7471178079256973E-4</v>
      </c>
      <c r="G441" s="6">
        <f>rates[[#This Row],[WTI Crude]]/D440-1</f>
        <v>0</v>
      </c>
    </row>
    <row r="442" spans="1:7" x14ac:dyDescent="0.3">
      <c r="A442" s="1">
        <v>45635</v>
      </c>
      <c r="B442">
        <f xml:space="preserve"> SUMIFS(market_prices!$E:$E,market_prices!$B:$B,$A442,market_prices!$C:$C,B$1)</f>
        <v>84.72</v>
      </c>
      <c r="C442">
        <f xml:space="preserve"> SUMIFS(market_prices!$E:$E,market_prices!$B:$B,$A442,market_prices!$C:$C,C$1)</f>
        <v>89.549000000000007</v>
      </c>
      <c r="D442">
        <f xml:space="preserve"> SUMIFS(market_prices!$E:$E,market_prices!$B:$B,$A442,market_prices!$C:$C,D$1)</f>
        <v>68.650000000000006</v>
      </c>
      <c r="E442" s="6">
        <f t="shared" si="6"/>
        <v>5.9052793197111875E-4</v>
      </c>
      <c r="F442" s="6">
        <f>rates[[#This Row],[EUR/INR]]/C441-1</f>
        <v>1.2533976468327435E-3</v>
      </c>
      <c r="G442" s="6">
        <f>rates[[#This Row],[WTI Crude]]/D441-1</f>
        <v>1.0207057451152579E-3</v>
      </c>
    </row>
    <row r="443" spans="1:7" x14ac:dyDescent="0.3">
      <c r="A443" s="1">
        <v>45636</v>
      </c>
      <c r="B443">
        <f xml:space="preserve"> SUMIFS(market_prices!$E:$E,market_prices!$B:$B,$A443,market_prices!$C:$C,B$1)</f>
        <v>84.84</v>
      </c>
      <c r="C443">
        <f xml:space="preserve"> SUMIFS(market_prices!$E:$E,market_prices!$B:$B,$A443,market_prices!$C:$C,C$1)</f>
        <v>89.183800000000005</v>
      </c>
      <c r="D443">
        <f xml:space="preserve"> SUMIFS(market_prices!$E:$E,market_prices!$B:$B,$A443,market_prices!$C:$C,D$1)</f>
        <v>68.849999999999994</v>
      </c>
      <c r="E443" s="6">
        <f t="shared" si="6"/>
        <v>1.4164305949009304E-3</v>
      </c>
      <c r="F443" s="6">
        <f>rates[[#This Row],[EUR/INR]]/C442-1</f>
        <v>-4.0782141620788748E-3</v>
      </c>
      <c r="G443" s="6">
        <f>rates[[#This Row],[WTI Crude]]/D442-1</f>
        <v>2.9133284777858037E-3</v>
      </c>
    </row>
    <row r="444" spans="1:7" x14ac:dyDescent="0.3">
      <c r="A444" s="1">
        <v>45637</v>
      </c>
      <c r="B444">
        <f xml:space="preserve"> SUMIFS(market_prices!$E:$E,market_prices!$B:$B,$A444,market_prices!$C:$C,B$1)</f>
        <v>84.8</v>
      </c>
      <c r="C444">
        <f xml:space="preserve"> SUMIFS(market_prices!$E:$E,market_prices!$B:$B,$A444,market_prices!$C:$C,C$1)</f>
        <v>89.107799999999997</v>
      </c>
      <c r="D444">
        <f xml:space="preserve"> SUMIFS(market_prices!$E:$E,market_prices!$B:$B,$A444,market_prices!$C:$C,D$1)</f>
        <v>70.569999999999993</v>
      </c>
      <c r="E444" s="6">
        <f t="shared" si="6"/>
        <v>-4.7147571900052476E-4</v>
      </c>
      <c r="F444" s="6">
        <f>rates[[#This Row],[EUR/INR]]/C443-1</f>
        <v>-8.5217270401138911E-4</v>
      </c>
      <c r="G444" s="6">
        <f>rates[[#This Row],[WTI Crude]]/D443-1</f>
        <v>2.4981844589687663E-2</v>
      </c>
    </row>
    <row r="445" spans="1:7" x14ac:dyDescent="0.3">
      <c r="A445" s="1">
        <v>45638</v>
      </c>
      <c r="B445">
        <f xml:space="preserve"> SUMIFS(market_prices!$E:$E,market_prices!$B:$B,$A445,market_prices!$C:$C,B$1)</f>
        <v>84.84</v>
      </c>
      <c r="C445">
        <f xml:space="preserve"> SUMIFS(market_prices!$E:$E,market_prices!$B:$B,$A445,market_prices!$C:$C,C$1)</f>
        <v>89.200800000000001</v>
      </c>
      <c r="D445">
        <f xml:space="preserve"> SUMIFS(market_prices!$E:$E,market_prices!$B:$B,$A445,market_prices!$C:$C,D$1)</f>
        <v>70.25</v>
      </c>
      <c r="E445" s="6">
        <f t="shared" si="6"/>
        <v>4.7169811320757482E-4</v>
      </c>
      <c r="F445" s="6">
        <f>rates[[#This Row],[EUR/INR]]/C444-1</f>
        <v>1.0436796778734436E-3</v>
      </c>
      <c r="G445" s="6">
        <f>rates[[#This Row],[WTI Crude]]/D444-1</f>
        <v>-4.5345047470595201E-3</v>
      </c>
    </row>
    <row r="446" spans="1:7" x14ac:dyDescent="0.3">
      <c r="A446" s="1">
        <v>45639</v>
      </c>
      <c r="B446">
        <f xml:space="preserve"> SUMIFS(market_prices!$E:$E,market_prices!$B:$B,$A446,market_prices!$C:$C,B$1)</f>
        <v>84.78</v>
      </c>
      <c r="C446">
        <f xml:space="preserve"> SUMIFS(market_prices!$E:$E,market_prices!$B:$B,$A446,market_prices!$C:$C,C$1)</f>
        <v>89.001999999999995</v>
      </c>
      <c r="D446">
        <f xml:space="preserve"> SUMIFS(market_prices!$E:$E,market_prices!$B:$B,$A446,market_prices!$C:$C,D$1)</f>
        <v>71.540000000000006</v>
      </c>
      <c r="E446" s="6">
        <f t="shared" si="6"/>
        <v>-7.0721357850078714E-4</v>
      </c>
      <c r="F446" s="6">
        <f>rates[[#This Row],[EUR/INR]]/C445-1</f>
        <v>-2.2286795634121059E-3</v>
      </c>
      <c r="G446" s="6">
        <f>rates[[#This Row],[WTI Crude]]/D445-1</f>
        <v>1.8362989323843504E-2</v>
      </c>
    </row>
    <row r="447" spans="1:7" x14ac:dyDescent="0.3">
      <c r="A447" s="1">
        <v>45642</v>
      </c>
      <c r="B447">
        <f xml:space="preserve"> SUMIFS(market_prices!$E:$E,market_prices!$B:$B,$A447,market_prices!$C:$C,B$1)</f>
        <v>84.89</v>
      </c>
      <c r="C447">
        <f xml:space="preserve"> SUMIFS(market_prices!$E:$E,market_prices!$B:$B,$A447,market_prices!$C:$C,C$1)</f>
        <v>89.236400000000003</v>
      </c>
      <c r="D447">
        <f xml:space="preserve"> SUMIFS(market_prices!$E:$E,market_prices!$B:$B,$A447,market_prices!$C:$C,D$1)</f>
        <v>71.03</v>
      </c>
      <c r="E447" s="6">
        <f t="shared" si="6"/>
        <v>1.2974758197688008E-3</v>
      </c>
      <c r="F447" s="6">
        <f>rates[[#This Row],[EUR/INR]]/C446-1</f>
        <v>2.6336486820521809E-3</v>
      </c>
      <c r="G447" s="6">
        <f>rates[[#This Row],[WTI Crude]]/D446-1</f>
        <v>-7.1288789488398452E-3</v>
      </c>
    </row>
    <row r="448" spans="1:7" x14ac:dyDescent="0.3">
      <c r="A448" s="1">
        <v>45643</v>
      </c>
      <c r="B448">
        <f xml:space="preserve"> SUMIFS(market_prices!$E:$E,market_prices!$B:$B,$A448,market_prices!$C:$C,B$1)</f>
        <v>84.91</v>
      </c>
      <c r="C448">
        <f xml:space="preserve"> SUMIFS(market_prices!$E:$E,market_prices!$B:$B,$A448,market_prices!$C:$C,C$1)</f>
        <v>89.206400000000002</v>
      </c>
      <c r="D448">
        <f xml:space="preserve"> SUMIFS(market_prices!$E:$E,market_prices!$B:$B,$A448,market_prices!$C:$C,D$1)</f>
        <v>70.31</v>
      </c>
      <c r="E448" s="6">
        <f t="shared" si="6"/>
        <v>2.3559901048408882E-4</v>
      </c>
      <c r="F448" s="6">
        <f>rates[[#This Row],[EUR/INR]]/C447-1</f>
        <v>-3.3618568207594013E-4</v>
      </c>
      <c r="G448" s="6">
        <f>rates[[#This Row],[WTI Crude]]/D447-1</f>
        <v>-1.0136562016049511E-2</v>
      </c>
    </row>
    <row r="449" spans="1:7" x14ac:dyDescent="0.3">
      <c r="A449" s="1">
        <v>45644</v>
      </c>
      <c r="B449">
        <f xml:space="preserve"> SUMIFS(market_prices!$E:$E,market_prices!$B:$B,$A449,market_prices!$C:$C,B$1)</f>
        <v>84.95</v>
      </c>
      <c r="C449">
        <f xml:space="preserve"> SUMIFS(market_prices!$E:$E,market_prices!$B:$B,$A449,market_prices!$C:$C,C$1)</f>
        <v>88.934200000000004</v>
      </c>
      <c r="D449">
        <f xml:space="preserve"> SUMIFS(market_prices!$E:$E,market_prices!$B:$B,$A449,market_prices!$C:$C,D$1)</f>
        <v>70.8</v>
      </c>
      <c r="E449" s="6">
        <f t="shared" si="6"/>
        <v>4.7108703332954249E-4</v>
      </c>
      <c r="F449" s="6">
        <f>rates[[#This Row],[EUR/INR]]/C448-1</f>
        <v>-3.0513505757434611E-3</v>
      </c>
      <c r="G449" s="6">
        <f>rates[[#This Row],[WTI Crude]]/D448-1</f>
        <v>6.9691366804152111E-3</v>
      </c>
    </row>
    <row r="450" spans="1:7" x14ac:dyDescent="0.3">
      <c r="A450" s="1">
        <v>45645</v>
      </c>
      <c r="B450">
        <f xml:space="preserve"> SUMIFS(market_prices!$E:$E,market_prices!$B:$B,$A450,market_prices!$C:$C,B$1)</f>
        <v>85.09</v>
      </c>
      <c r="C450">
        <f xml:space="preserve"> SUMIFS(market_prices!$E:$E,market_prices!$B:$B,$A450,market_prices!$C:$C,C$1)</f>
        <v>88.127700000000004</v>
      </c>
      <c r="D450">
        <f xml:space="preserve"> SUMIFS(market_prices!$E:$E,market_prices!$B:$B,$A450,market_prices!$C:$C,D$1)</f>
        <v>70.099999999999994</v>
      </c>
      <c r="E450" s="6">
        <f t="shared" ref="E450:E513" si="7">B450/B449-1</f>
        <v>1.648028251912903E-3</v>
      </c>
      <c r="F450" s="6">
        <f>rates[[#This Row],[EUR/INR]]/C449-1</f>
        <v>-9.0685023309368118E-3</v>
      </c>
      <c r="G450" s="6">
        <f>rates[[#This Row],[WTI Crude]]/D449-1</f>
        <v>-9.8870056497175618E-3</v>
      </c>
    </row>
    <row r="451" spans="1:7" x14ac:dyDescent="0.3">
      <c r="A451" s="1">
        <v>45646</v>
      </c>
      <c r="B451">
        <f xml:space="preserve"> SUMIFS(market_prices!$E:$E,market_prices!$B:$B,$A451,market_prices!$C:$C,B$1)</f>
        <v>85.02</v>
      </c>
      <c r="C451">
        <f xml:space="preserve"> SUMIFS(market_prices!$E:$E,market_prices!$B:$B,$A451,market_prices!$C:$C,C$1)</f>
        <v>88.675899999999999</v>
      </c>
      <c r="D451">
        <f xml:space="preserve"> SUMIFS(market_prices!$E:$E,market_prices!$B:$B,$A451,market_prices!$C:$C,D$1)</f>
        <v>69.709999999999994</v>
      </c>
      <c r="E451" s="6">
        <f t="shared" si="7"/>
        <v>-8.2265836173467388E-4</v>
      </c>
      <c r="F451" s="6">
        <f>rates[[#This Row],[EUR/INR]]/C450-1</f>
        <v>6.2205186337551677E-3</v>
      </c>
      <c r="G451" s="6">
        <f>rates[[#This Row],[WTI Crude]]/D450-1</f>
        <v>-5.5634807417974663E-3</v>
      </c>
    </row>
    <row r="452" spans="1:7" x14ac:dyDescent="0.3">
      <c r="A452" s="1">
        <v>45649</v>
      </c>
      <c r="B452">
        <f xml:space="preserve"> SUMIFS(market_prices!$E:$E,market_prices!$B:$B,$A452,market_prices!$C:$C,B$1)</f>
        <v>85.1</v>
      </c>
      <c r="C452">
        <f xml:space="preserve"> SUMIFS(market_prices!$E:$E,market_prices!$B:$B,$A452,market_prices!$C:$C,C$1)</f>
        <v>88.580600000000004</v>
      </c>
      <c r="D452">
        <f xml:space="preserve"> SUMIFS(market_prices!$E:$E,market_prices!$B:$B,$A452,market_prices!$C:$C,D$1)</f>
        <v>69.5</v>
      </c>
      <c r="E452" s="6">
        <f t="shared" si="7"/>
        <v>9.4095506939551044E-4</v>
      </c>
      <c r="F452" s="6">
        <f>rates[[#This Row],[EUR/INR]]/C451-1</f>
        <v>-1.0747001158148972E-3</v>
      </c>
      <c r="G452" s="6">
        <f>rates[[#This Row],[WTI Crude]]/D451-1</f>
        <v>-3.0124802754266655E-3</v>
      </c>
    </row>
    <row r="453" spans="1:7" x14ac:dyDescent="0.3">
      <c r="A453" s="1">
        <v>45650</v>
      </c>
      <c r="B453">
        <f xml:space="preserve"> SUMIFS(market_prices!$E:$E,market_prices!$B:$B,$A453,market_prices!$C:$C,B$1)</f>
        <v>85.14</v>
      </c>
      <c r="C453">
        <f xml:space="preserve"> SUMIFS(market_prices!$E:$E,market_prices!$B:$B,$A453,market_prices!$C:$C,C$1)</f>
        <v>88.443399999999997</v>
      </c>
      <c r="D453">
        <f xml:space="preserve"> SUMIFS(market_prices!$E:$E,market_prices!$B:$B,$A453,market_prices!$C:$C,D$1)</f>
        <v>70.87</v>
      </c>
      <c r="E453" s="6">
        <f t="shared" si="7"/>
        <v>4.7003525264410762E-4</v>
      </c>
      <c r="F453" s="6">
        <f>rates[[#This Row],[EUR/INR]]/C452-1</f>
        <v>-1.5488718748801755E-3</v>
      </c>
      <c r="G453" s="6">
        <f>rates[[#This Row],[WTI Crude]]/D452-1</f>
        <v>1.9712230215827464E-2</v>
      </c>
    </row>
    <row r="454" spans="1:7" x14ac:dyDescent="0.3">
      <c r="A454" s="1">
        <v>45651</v>
      </c>
      <c r="B454">
        <f xml:space="preserve"> SUMIFS(market_prices!$E:$E,market_prices!$B:$B,$A454,market_prices!$C:$C,B$1)</f>
        <v>85.14</v>
      </c>
      <c r="C454">
        <f xml:space="preserve"> SUMIFS(market_prices!$E:$E,market_prices!$B:$B,$A454,market_prices!$C:$C,C$1)</f>
        <v>88.443399999999997</v>
      </c>
      <c r="D454">
        <f xml:space="preserve"> SUMIFS(market_prices!$E:$E,market_prices!$B:$B,$A454,market_prices!$C:$C,D$1)</f>
        <v>70.87</v>
      </c>
      <c r="E454" s="6">
        <f t="shared" si="7"/>
        <v>0</v>
      </c>
      <c r="F454" s="6">
        <f>rates[[#This Row],[EUR/INR]]/C453-1</f>
        <v>0</v>
      </c>
      <c r="G454" s="6">
        <f>rates[[#This Row],[WTI Crude]]/D453-1</f>
        <v>0</v>
      </c>
    </row>
    <row r="455" spans="1:7" x14ac:dyDescent="0.3">
      <c r="A455" s="1">
        <v>45652</v>
      </c>
      <c r="B455">
        <f xml:space="preserve"> SUMIFS(market_prices!$E:$E,market_prices!$B:$B,$A455,market_prices!$C:$C,B$1)</f>
        <v>85.25</v>
      </c>
      <c r="C455">
        <f xml:space="preserve"> SUMIFS(market_prices!$E:$E,market_prices!$B:$B,$A455,market_prices!$C:$C,C$1)</f>
        <v>88.856099999999998</v>
      </c>
      <c r="D455">
        <f xml:space="preserve"> SUMIFS(market_prices!$E:$E,market_prices!$B:$B,$A455,market_prices!$C:$C,D$1)</f>
        <v>70.38</v>
      </c>
      <c r="E455" s="6">
        <f t="shared" si="7"/>
        <v>1.2919896640826156E-3</v>
      </c>
      <c r="F455" s="6">
        <f>rates[[#This Row],[EUR/INR]]/C454-1</f>
        <v>4.6662611342396243E-3</v>
      </c>
      <c r="G455" s="6">
        <f>rates[[#This Row],[WTI Crude]]/D454-1</f>
        <v>-6.914068011852792E-3</v>
      </c>
    </row>
    <row r="456" spans="1:7" x14ac:dyDescent="0.3">
      <c r="A456" s="1">
        <v>45653</v>
      </c>
      <c r="B456">
        <f xml:space="preserve"> SUMIFS(market_prices!$E:$E,market_prices!$B:$B,$A456,market_prices!$C:$C,B$1)</f>
        <v>85.53</v>
      </c>
      <c r="C456">
        <f xml:space="preserve"> SUMIFS(market_prices!$E:$E,market_prices!$B:$B,$A456,market_prices!$C:$C,C$1)</f>
        <v>89.147900000000007</v>
      </c>
      <c r="D456">
        <f xml:space="preserve"> SUMIFS(market_prices!$E:$E,market_prices!$B:$B,$A456,market_prices!$C:$C,D$1)</f>
        <v>71.28</v>
      </c>
      <c r="E456" s="6">
        <f t="shared" si="7"/>
        <v>3.2844574780059865E-3</v>
      </c>
      <c r="F456" s="6">
        <f>rates[[#This Row],[EUR/INR]]/C455-1</f>
        <v>3.2839613712509763E-3</v>
      </c>
      <c r="G456" s="6">
        <f>rates[[#This Row],[WTI Crude]]/D455-1</f>
        <v>1.2787723785166349E-2</v>
      </c>
    </row>
    <row r="457" spans="1:7" x14ac:dyDescent="0.3">
      <c r="A457" s="1">
        <v>45656</v>
      </c>
      <c r="B457">
        <f xml:space="preserve"> SUMIFS(market_prices!$E:$E,market_prices!$B:$B,$A457,market_prices!$C:$C,B$1)</f>
        <v>85.47</v>
      </c>
      <c r="C457">
        <f xml:space="preserve"> SUMIFS(market_prices!$E:$E,market_prices!$B:$B,$A457,market_prices!$C:$C,C$1)</f>
        <v>88.769099999999995</v>
      </c>
      <c r="D457">
        <f xml:space="preserve"> SUMIFS(market_prices!$E:$E,market_prices!$B:$B,$A457,market_prices!$C:$C,D$1)</f>
        <v>71.73</v>
      </c>
      <c r="E457" s="6">
        <f t="shared" si="7"/>
        <v>-7.0150824272185996E-4</v>
      </c>
      <c r="F457" s="6">
        <f>rates[[#This Row],[EUR/INR]]/C456-1</f>
        <v>-4.2491185995409131E-3</v>
      </c>
      <c r="G457" s="6">
        <f>rates[[#This Row],[WTI Crude]]/D456-1</f>
        <v>6.3131313131312705E-3</v>
      </c>
    </row>
    <row r="458" spans="1:7" x14ac:dyDescent="0.3">
      <c r="A458" s="1">
        <v>45657</v>
      </c>
      <c r="B458">
        <f xml:space="preserve"> SUMIFS(market_prices!$E:$E,market_prices!$B:$B,$A458,market_prices!$C:$C,B$1)</f>
        <v>85.55</v>
      </c>
      <c r="C458">
        <f xml:space="preserve"> SUMIFS(market_prices!$E:$E,market_prices!$B:$B,$A458,market_prices!$C:$C,C$1)</f>
        <v>88.552800000000005</v>
      </c>
      <c r="D458">
        <f xml:space="preserve"> SUMIFS(market_prices!$E:$E,market_prices!$B:$B,$A458,market_prices!$C:$C,D$1)</f>
        <v>72.44</v>
      </c>
      <c r="E458" s="6">
        <f t="shared" si="7"/>
        <v>9.360009360008803E-4</v>
      </c>
      <c r="F458" s="6">
        <f>rates[[#This Row],[EUR/INR]]/C457-1</f>
        <v>-2.4366587021834585E-3</v>
      </c>
      <c r="G458" s="6">
        <f>rates[[#This Row],[WTI Crude]]/D457-1</f>
        <v>9.8982294716296604E-3</v>
      </c>
    </row>
    <row r="459" spans="1:7" x14ac:dyDescent="0.3">
      <c r="A459" s="1">
        <v>45658</v>
      </c>
      <c r="B459">
        <f xml:space="preserve"> SUMIFS(market_prices!$E:$E,market_prices!$B:$B,$A459,market_prices!$C:$C,B$1)</f>
        <v>85.55</v>
      </c>
      <c r="C459">
        <f xml:space="preserve"> SUMIFS(market_prices!$E:$E,market_prices!$B:$B,$A459,market_prices!$C:$C,C$1)</f>
        <v>88.552800000000005</v>
      </c>
      <c r="D459">
        <f xml:space="preserve"> SUMIFS(market_prices!$E:$E,market_prices!$B:$B,$A459,market_prices!$C:$C,D$1)</f>
        <v>72.44</v>
      </c>
      <c r="E459" s="6">
        <f t="shared" si="7"/>
        <v>0</v>
      </c>
      <c r="F459" s="6">
        <f>rates[[#This Row],[EUR/INR]]/C458-1</f>
        <v>0</v>
      </c>
      <c r="G459" s="6">
        <f>rates[[#This Row],[WTI Crude]]/D458-1</f>
        <v>0</v>
      </c>
    </row>
    <row r="460" spans="1:7" x14ac:dyDescent="0.3">
      <c r="A460" s="1">
        <v>45659</v>
      </c>
      <c r="B460">
        <f xml:space="preserve"> SUMIFS(market_prices!$E:$E,market_prices!$B:$B,$A460,market_prices!$C:$C,B$1)</f>
        <v>85.75</v>
      </c>
      <c r="C460">
        <f xml:space="preserve"> SUMIFS(market_prices!$E:$E,market_prices!$B:$B,$A460,market_prices!$C:$C,C$1)</f>
        <v>87.988100000000003</v>
      </c>
      <c r="D460">
        <f xml:space="preserve"> SUMIFS(market_prices!$E:$E,market_prices!$B:$B,$A460,market_prices!$C:$C,D$1)</f>
        <v>73.790000000000006</v>
      </c>
      <c r="E460" s="6">
        <f t="shared" si="7"/>
        <v>2.3378141437755406E-3</v>
      </c>
      <c r="F460" s="6">
        <f>rates[[#This Row],[EUR/INR]]/C459-1</f>
        <v>-6.3769863855236419E-3</v>
      </c>
      <c r="G460" s="6">
        <f>rates[[#This Row],[WTI Crude]]/D459-1</f>
        <v>1.8636112644947689E-2</v>
      </c>
    </row>
    <row r="461" spans="1:7" x14ac:dyDescent="0.3">
      <c r="A461" s="1">
        <v>45660</v>
      </c>
      <c r="B461">
        <f xml:space="preserve"> SUMIFS(market_prices!$E:$E,market_prices!$B:$B,$A461,market_prices!$C:$C,B$1)</f>
        <v>85.75</v>
      </c>
      <c r="C461">
        <f xml:space="preserve"> SUMIFS(market_prices!$E:$E,market_prices!$B:$B,$A461,market_prices!$C:$C,C$1)</f>
        <v>88.253900000000002</v>
      </c>
      <c r="D461">
        <f xml:space="preserve"> SUMIFS(market_prices!$E:$E,market_prices!$B:$B,$A461,market_prices!$C:$C,D$1)</f>
        <v>74.64</v>
      </c>
      <c r="E461" s="6">
        <f t="shared" si="7"/>
        <v>0</v>
      </c>
      <c r="F461" s="6">
        <f>rates[[#This Row],[EUR/INR]]/C460-1</f>
        <v>3.0208630485257792E-3</v>
      </c>
      <c r="G461" s="6">
        <f>rates[[#This Row],[WTI Crude]]/D460-1</f>
        <v>1.1519176040113654E-2</v>
      </c>
    </row>
    <row r="462" spans="1:7" x14ac:dyDescent="0.3">
      <c r="A462" s="1">
        <v>45663</v>
      </c>
      <c r="B462">
        <f xml:space="preserve"> SUMIFS(market_prices!$E:$E,market_prices!$B:$B,$A462,market_prices!$C:$C,B$1)</f>
        <v>85.7</v>
      </c>
      <c r="C462">
        <f xml:space="preserve"> SUMIFS(market_prices!$E:$E,market_prices!$B:$B,$A462,market_prices!$C:$C,C$1)</f>
        <v>89.1023</v>
      </c>
      <c r="D462">
        <f xml:space="preserve"> SUMIFS(market_prices!$E:$E,market_prices!$B:$B,$A462,market_prices!$C:$C,D$1)</f>
        <v>74.31</v>
      </c>
      <c r="E462" s="6">
        <f t="shared" si="7"/>
        <v>-5.8309037900872163E-4</v>
      </c>
      <c r="F462" s="6">
        <f>rates[[#This Row],[EUR/INR]]/C461-1</f>
        <v>9.6131729022739254E-3</v>
      </c>
      <c r="G462" s="6">
        <f>rates[[#This Row],[WTI Crude]]/D461-1</f>
        <v>-4.4212218649517521E-3</v>
      </c>
    </row>
    <row r="463" spans="1:7" x14ac:dyDescent="0.3">
      <c r="A463" s="1">
        <v>45664</v>
      </c>
      <c r="B463">
        <f xml:space="preserve"> SUMIFS(market_prices!$E:$E,market_prices!$B:$B,$A463,market_prices!$C:$C,B$1)</f>
        <v>85.74</v>
      </c>
      <c r="C463">
        <f xml:space="preserve"> SUMIFS(market_prices!$E:$E,market_prices!$B:$B,$A463,market_prices!$C:$C,C$1)</f>
        <v>88.903800000000004</v>
      </c>
      <c r="D463">
        <f xml:space="preserve"> SUMIFS(market_prices!$E:$E,market_prices!$B:$B,$A463,market_prices!$C:$C,D$1)</f>
        <v>74.989999999999995</v>
      </c>
      <c r="E463" s="6">
        <f t="shared" si="7"/>
        <v>4.667444574095736E-4</v>
      </c>
      <c r="F463" s="6">
        <f>rates[[#This Row],[EUR/INR]]/C462-1</f>
        <v>-2.2277763873659318E-3</v>
      </c>
      <c r="G463" s="6">
        <f>rates[[#This Row],[WTI Crude]]/D462-1</f>
        <v>9.1508545283272014E-3</v>
      </c>
    </row>
    <row r="464" spans="1:7" x14ac:dyDescent="0.3">
      <c r="A464" s="1">
        <v>45665</v>
      </c>
      <c r="B464">
        <f xml:space="preserve"> SUMIFS(market_prices!$E:$E,market_prices!$B:$B,$A464,market_prices!$C:$C,B$1)</f>
        <v>85.89</v>
      </c>
      <c r="C464">
        <f xml:space="preserve"> SUMIFS(market_prices!$E:$E,market_prices!$B:$B,$A464,market_prices!$C:$C,C$1)</f>
        <v>88.578400000000002</v>
      </c>
      <c r="D464">
        <f xml:space="preserve"> SUMIFS(market_prices!$E:$E,market_prices!$B:$B,$A464,market_prices!$C:$C,D$1)</f>
        <v>73.989999999999995</v>
      </c>
      <c r="E464" s="6">
        <f t="shared" si="7"/>
        <v>1.7494751574529399E-3</v>
      </c>
      <c r="F464" s="6">
        <f>rates[[#This Row],[EUR/INR]]/C463-1</f>
        <v>-3.6601360121839566E-3</v>
      </c>
      <c r="G464" s="6">
        <f>rates[[#This Row],[WTI Crude]]/D463-1</f>
        <v>-1.3335111348179773E-2</v>
      </c>
    </row>
    <row r="465" spans="1:7" x14ac:dyDescent="0.3">
      <c r="A465" s="1">
        <v>45666</v>
      </c>
      <c r="B465">
        <f xml:space="preserve"> SUMIFS(market_prices!$E:$E,market_prices!$B:$B,$A465,market_prices!$C:$C,B$1)</f>
        <v>85.87</v>
      </c>
      <c r="C465">
        <f xml:space="preserve"> SUMIFS(market_prices!$E:$E,market_prices!$B:$B,$A465,market_prices!$C:$C,C$1)</f>
        <v>88.428899999999999</v>
      </c>
      <c r="D465">
        <f xml:space="preserve"> SUMIFS(market_prices!$E:$E,market_prices!$B:$B,$A465,market_prices!$C:$C,D$1)</f>
        <v>73.989999999999995</v>
      </c>
      <c r="E465" s="6">
        <f t="shared" si="7"/>
        <v>-2.3285597857725104E-4</v>
      </c>
      <c r="F465" s="6">
        <f>rates[[#This Row],[EUR/INR]]/C464-1</f>
        <v>-1.6877703819441203E-3</v>
      </c>
      <c r="G465" s="6">
        <f>rates[[#This Row],[WTI Crude]]/D464-1</f>
        <v>0</v>
      </c>
    </row>
    <row r="466" spans="1:7" x14ac:dyDescent="0.3">
      <c r="A466" s="1">
        <v>45667</v>
      </c>
      <c r="B466">
        <f xml:space="preserve"> SUMIFS(market_prices!$E:$E,market_prices!$B:$B,$A466,market_prices!$C:$C,B$1)</f>
        <v>85.96</v>
      </c>
      <c r="C466">
        <f xml:space="preserve"> SUMIFS(market_prices!$E:$E,market_prices!$B:$B,$A466,market_prices!$C:$C,C$1)</f>
        <v>88.005799999999994</v>
      </c>
      <c r="D466">
        <f xml:space="preserve"> SUMIFS(market_prices!$E:$E,market_prices!$B:$B,$A466,market_prices!$C:$C,D$1)</f>
        <v>77.27</v>
      </c>
      <c r="E466" s="6">
        <f t="shared" si="7"/>
        <v>1.0480959590075667E-3</v>
      </c>
      <c r="F466" s="6">
        <f>rates[[#This Row],[EUR/INR]]/C465-1</f>
        <v>-4.7846348874632794E-3</v>
      </c>
      <c r="G466" s="6">
        <f>rates[[#This Row],[WTI Crude]]/D465-1</f>
        <v>4.4330314907419899E-2</v>
      </c>
    </row>
    <row r="467" spans="1:7" x14ac:dyDescent="0.3">
      <c r="A467" s="1">
        <v>45670</v>
      </c>
      <c r="B467">
        <f xml:space="preserve"> SUMIFS(market_prices!$E:$E,market_prices!$B:$B,$A467,market_prices!$C:$C,B$1)</f>
        <v>86.69</v>
      </c>
      <c r="C467">
        <f xml:space="preserve"> SUMIFS(market_prices!$E:$E,market_prices!$B:$B,$A467,market_prices!$C:$C,C$1)</f>
        <v>88.501800000000003</v>
      </c>
      <c r="D467">
        <f xml:space="preserve"> SUMIFS(market_prices!$E:$E,market_prices!$B:$B,$A467,market_prices!$C:$C,D$1)</f>
        <v>79.569999999999993</v>
      </c>
      <c r="E467" s="6">
        <f t="shared" si="7"/>
        <v>8.4923220102373076E-3</v>
      </c>
      <c r="F467" s="6">
        <f>rates[[#This Row],[EUR/INR]]/C466-1</f>
        <v>5.6359921732431761E-3</v>
      </c>
      <c r="G467" s="6">
        <f>rates[[#This Row],[WTI Crude]]/D466-1</f>
        <v>2.9765756438462576E-2</v>
      </c>
    </row>
    <row r="468" spans="1:7" x14ac:dyDescent="0.3">
      <c r="A468" s="1">
        <v>45671</v>
      </c>
      <c r="B468">
        <f xml:space="preserve"> SUMIFS(market_prices!$E:$E,market_prices!$B:$B,$A468,market_prices!$C:$C,B$1)</f>
        <v>86.63</v>
      </c>
      <c r="C468">
        <f xml:space="preserve"> SUMIFS(market_prices!$E:$E,market_prices!$B:$B,$A468,market_prices!$C:$C,C$1)</f>
        <v>89.159599999999998</v>
      </c>
      <c r="D468">
        <f xml:space="preserve"> SUMIFS(market_prices!$E:$E,market_prices!$B:$B,$A468,market_prices!$C:$C,D$1)</f>
        <v>78.2</v>
      </c>
      <c r="E468" s="6">
        <f t="shared" si="7"/>
        <v>-6.9212135194374191E-4</v>
      </c>
      <c r="F468" s="6">
        <f>rates[[#This Row],[EUR/INR]]/C467-1</f>
        <v>7.4326171897067805E-3</v>
      </c>
      <c r="G468" s="6">
        <f>rates[[#This Row],[WTI Crude]]/D467-1</f>
        <v>-1.7217544300615728E-2</v>
      </c>
    </row>
    <row r="469" spans="1:7" x14ac:dyDescent="0.3">
      <c r="A469" s="1">
        <v>45672</v>
      </c>
      <c r="B469">
        <f xml:space="preserve"> SUMIFS(market_prices!$E:$E,market_prices!$B:$B,$A469,market_prices!$C:$C,B$1)</f>
        <v>86.37</v>
      </c>
      <c r="C469">
        <f xml:space="preserve"> SUMIFS(market_prices!$E:$E,market_prices!$B:$B,$A469,market_prices!$C:$C,C$1)</f>
        <v>88.805599999999998</v>
      </c>
      <c r="D469">
        <f xml:space="preserve"> SUMIFS(market_prices!$E:$E,market_prices!$B:$B,$A469,market_prices!$C:$C,D$1)</f>
        <v>80.73</v>
      </c>
      <c r="E469" s="6">
        <f t="shared" si="7"/>
        <v>-3.0012697679786537E-3</v>
      </c>
      <c r="F469" s="6">
        <f>rates[[#This Row],[EUR/INR]]/C468-1</f>
        <v>-3.970408122064284E-3</v>
      </c>
      <c r="G469" s="6">
        <f>rates[[#This Row],[WTI Crude]]/D468-1</f>
        <v>3.2352941176470695E-2</v>
      </c>
    </row>
    <row r="470" spans="1:7" x14ac:dyDescent="0.3">
      <c r="A470" s="1">
        <v>45673</v>
      </c>
      <c r="B470">
        <f xml:space="preserve"> SUMIFS(market_prices!$E:$E,market_prices!$B:$B,$A470,market_prices!$C:$C,B$1)</f>
        <v>86.57</v>
      </c>
      <c r="C470">
        <f xml:space="preserve"> SUMIFS(market_prices!$E:$E,market_prices!$B:$B,$A470,market_prices!$C:$C,C$1)</f>
        <v>89.193100000000001</v>
      </c>
      <c r="D470">
        <f xml:space="preserve"> SUMIFS(market_prices!$E:$E,market_prices!$B:$B,$A470,market_prices!$C:$C,D$1)</f>
        <v>79.349999999999994</v>
      </c>
      <c r="E470" s="6">
        <f t="shared" si="7"/>
        <v>2.3156188491373353E-3</v>
      </c>
      <c r="F470" s="6">
        <f>rates[[#This Row],[EUR/INR]]/C469-1</f>
        <v>4.3634635653608811E-3</v>
      </c>
      <c r="G470" s="6">
        <f>rates[[#This Row],[WTI Crude]]/D469-1</f>
        <v>-1.7094017094017255E-2</v>
      </c>
    </row>
    <row r="471" spans="1:7" x14ac:dyDescent="0.3">
      <c r="A471" s="1">
        <v>45674</v>
      </c>
      <c r="B471">
        <f xml:space="preserve"> SUMIFS(market_prices!$E:$E,market_prices!$B:$B,$A471,market_prices!$C:$C,B$1)</f>
        <v>86.55</v>
      </c>
      <c r="C471">
        <f xml:space="preserve"> SUMIFS(market_prices!$E:$E,market_prices!$B:$B,$A471,market_prices!$C:$C,C$1)</f>
        <v>89.034000000000006</v>
      </c>
      <c r="D471">
        <f xml:space="preserve"> SUMIFS(market_prices!$E:$E,market_prices!$B:$B,$A471,market_prices!$C:$C,D$1)</f>
        <v>78.56</v>
      </c>
      <c r="E471" s="6">
        <f t="shared" si="7"/>
        <v>-2.3102691463550151E-4</v>
      </c>
      <c r="F471" s="6">
        <f>rates[[#This Row],[EUR/INR]]/C470-1</f>
        <v>-1.783770269224827E-3</v>
      </c>
      <c r="G471" s="6">
        <f>rates[[#This Row],[WTI Crude]]/D470-1</f>
        <v>-9.9558916194075753E-3</v>
      </c>
    </row>
    <row r="472" spans="1:7" x14ac:dyDescent="0.3">
      <c r="A472" s="1">
        <v>45677</v>
      </c>
      <c r="B472">
        <f xml:space="preserve"> SUMIFS(market_prices!$E:$E,market_prices!$B:$B,$A472,market_prices!$C:$C,B$1)</f>
        <v>86.55</v>
      </c>
      <c r="C472">
        <f xml:space="preserve"> SUMIFS(market_prices!$E:$E,market_prices!$B:$B,$A472,market_prices!$C:$C,C$1)</f>
        <v>89.034000000000006</v>
      </c>
      <c r="D472">
        <f xml:space="preserve"> SUMIFS(market_prices!$E:$E,market_prices!$B:$B,$A472,market_prices!$C:$C,D$1)</f>
        <v>78.56</v>
      </c>
      <c r="E472" s="6">
        <f t="shared" si="7"/>
        <v>0</v>
      </c>
      <c r="F472" s="6">
        <f>rates[[#This Row],[EUR/INR]]/C471-1</f>
        <v>0</v>
      </c>
      <c r="G472" s="6">
        <f>rates[[#This Row],[WTI Crude]]/D471-1</f>
        <v>0</v>
      </c>
    </row>
    <row r="473" spans="1:7" x14ac:dyDescent="0.3">
      <c r="A473" s="1">
        <v>45678</v>
      </c>
      <c r="B473">
        <f xml:space="preserve"> SUMIFS(market_prices!$E:$E,market_prices!$B:$B,$A473,market_prices!$C:$C,B$1)</f>
        <v>86.58</v>
      </c>
      <c r="C473">
        <f xml:space="preserve"> SUMIFS(market_prices!$E:$E,market_prices!$B:$B,$A473,market_prices!$C:$C,C$1)</f>
        <v>90.2423</v>
      </c>
      <c r="D473">
        <f xml:space="preserve"> SUMIFS(market_prices!$E:$E,market_prices!$B:$B,$A473,market_prices!$C:$C,D$1)</f>
        <v>76.790000000000006</v>
      </c>
      <c r="E473" s="6">
        <f t="shared" si="7"/>
        <v>3.4662045060662727E-4</v>
      </c>
      <c r="F473" s="6">
        <f>rates[[#This Row],[EUR/INR]]/C472-1</f>
        <v>1.357121998337707E-2</v>
      </c>
      <c r="G473" s="6">
        <f>rates[[#This Row],[WTI Crude]]/D472-1</f>
        <v>-2.2530549898166941E-2</v>
      </c>
    </row>
    <row r="474" spans="1:7" x14ac:dyDescent="0.3">
      <c r="A474" s="1">
        <v>45679</v>
      </c>
      <c r="B474">
        <f xml:space="preserve"> SUMIFS(market_prices!$E:$E,market_prices!$B:$B,$A474,market_prices!$C:$C,B$1)</f>
        <v>86.34</v>
      </c>
      <c r="C474">
        <f xml:space="preserve"> SUMIFS(market_prices!$E:$E,market_prices!$B:$B,$A474,market_prices!$C:$C,C$1)</f>
        <v>89.966300000000004</v>
      </c>
      <c r="D474">
        <f xml:space="preserve"> SUMIFS(market_prices!$E:$E,market_prices!$B:$B,$A474,market_prices!$C:$C,D$1)</f>
        <v>76.12</v>
      </c>
      <c r="E474" s="6">
        <f t="shared" si="7"/>
        <v>-2.7720027720027351E-3</v>
      </c>
      <c r="F474" s="6">
        <f>rates[[#This Row],[EUR/INR]]/C473-1</f>
        <v>-3.0584326862236333E-3</v>
      </c>
      <c r="G474" s="6">
        <f>rates[[#This Row],[WTI Crude]]/D473-1</f>
        <v>-8.7250944133351327E-3</v>
      </c>
    </row>
    <row r="475" spans="1:7" x14ac:dyDescent="0.3">
      <c r="A475" s="1">
        <v>45680</v>
      </c>
      <c r="B475">
        <f xml:space="preserve"> SUMIFS(market_prices!$E:$E,market_prices!$B:$B,$A475,market_prices!$C:$C,B$1)</f>
        <v>86.42</v>
      </c>
      <c r="C475">
        <f xml:space="preserve"> SUMIFS(market_prices!$E:$E,market_prices!$B:$B,$A475,market_prices!$C:$C,C$1)</f>
        <v>90.049599999999998</v>
      </c>
      <c r="D475">
        <f xml:space="preserve"> SUMIFS(market_prices!$E:$E,market_prices!$B:$B,$A475,market_prices!$C:$C,D$1)</f>
        <v>75.03</v>
      </c>
      <c r="E475" s="6">
        <f t="shared" si="7"/>
        <v>9.2656937688206931E-4</v>
      </c>
      <c r="F475" s="6">
        <f>rates[[#This Row],[EUR/INR]]/C474-1</f>
        <v>9.2590225451072428E-4</v>
      </c>
      <c r="G475" s="6">
        <f>rates[[#This Row],[WTI Crude]]/D474-1</f>
        <v>-1.431949553336842E-2</v>
      </c>
    </row>
    <row r="476" spans="1:7" x14ac:dyDescent="0.3">
      <c r="A476" s="1">
        <v>45681</v>
      </c>
      <c r="B476">
        <f xml:space="preserve"> SUMIFS(market_prices!$E:$E,market_prices!$B:$B,$A476,market_prices!$C:$C,B$1)</f>
        <v>86.2</v>
      </c>
      <c r="C476">
        <f xml:space="preserve"> SUMIFS(market_prices!$E:$E,market_prices!$B:$B,$A476,market_prices!$C:$C,C$1)</f>
        <v>90.639300000000006</v>
      </c>
      <c r="D476">
        <f xml:space="preserve"> SUMIFS(market_prices!$E:$E,market_prices!$B:$B,$A476,market_prices!$C:$C,D$1)</f>
        <v>74.97</v>
      </c>
      <c r="E476" s="6">
        <f t="shared" si="7"/>
        <v>-2.5457070122656411E-3</v>
      </c>
      <c r="F476" s="6">
        <f>rates[[#This Row],[EUR/INR]]/C475-1</f>
        <v>6.5486132087206883E-3</v>
      </c>
      <c r="G476" s="6">
        <f>rates[[#This Row],[WTI Crude]]/D475-1</f>
        <v>-7.9968012794884302E-4</v>
      </c>
    </row>
    <row r="477" spans="1:7" x14ac:dyDescent="0.3">
      <c r="A477" s="1">
        <v>45684</v>
      </c>
      <c r="B477">
        <f xml:space="preserve"> SUMIFS(market_prices!$E:$E,market_prices!$B:$B,$A477,market_prices!$C:$C,B$1)</f>
        <v>86.34</v>
      </c>
      <c r="C477">
        <f xml:space="preserve"> SUMIFS(market_prices!$E:$E,market_prices!$B:$B,$A477,market_prices!$C:$C,C$1)</f>
        <v>90.587900000000005</v>
      </c>
      <c r="D477">
        <f xml:space="preserve"> SUMIFS(market_prices!$E:$E,market_prices!$B:$B,$A477,market_prices!$C:$C,D$1)</f>
        <v>73.510000000000005</v>
      </c>
      <c r="E477" s="6">
        <f t="shared" si="7"/>
        <v>1.6241299303945134E-3</v>
      </c>
      <c r="F477" s="6">
        <f>rates[[#This Row],[EUR/INR]]/C476-1</f>
        <v>-5.6708293201734872E-4</v>
      </c>
      <c r="G477" s="6">
        <f>rates[[#This Row],[WTI Crude]]/D476-1</f>
        <v>-1.947445644924628E-2</v>
      </c>
    </row>
    <row r="478" spans="1:7" x14ac:dyDescent="0.3">
      <c r="A478" s="1">
        <v>45685</v>
      </c>
      <c r="B478">
        <f xml:space="preserve"> SUMIFS(market_prices!$E:$E,market_prices!$B:$B,$A478,market_prices!$C:$C,B$1)</f>
        <v>86.52</v>
      </c>
      <c r="C478">
        <f xml:space="preserve"> SUMIFS(market_prices!$E:$E,market_prices!$B:$B,$A478,market_prices!$C:$C,C$1)</f>
        <v>90.214399999999998</v>
      </c>
      <c r="D478">
        <f xml:space="preserve"> SUMIFS(market_prices!$E:$E,market_prices!$B:$B,$A478,market_prices!$C:$C,D$1)</f>
        <v>74.150000000000006</v>
      </c>
      <c r="E478" s="6">
        <f t="shared" si="7"/>
        <v>2.0847810979847115E-3</v>
      </c>
      <c r="F478" s="6">
        <f>rates[[#This Row],[EUR/INR]]/C477-1</f>
        <v>-4.1230672087553266E-3</v>
      </c>
      <c r="G478" s="6">
        <f>rates[[#This Row],[WTI Crude]]/D477-1</f>
        <v>8.7062984627941375E-3</v>
      </c>
    </row>
    <row r="479" spans="1:7" x14ac:dyDescent="0.3">
      <c r="A479" s="1">
        <v>45686</v>
      </c>
      <c r="B479">
        <f xml:space="preserve"> SUMIFS(market_prices!$E:$E,market_prices!$B:$B,$A479,market_prices!$C:$C,B$1)</f>
        <v>86.61</v>
      </c>
      <c r="C479">
        <f xml:space="preserve"> SUMIFS(market_prices!$E:$E,market_prices!$B:$B,$A479,market_prices!$C:$C,C$1)</f>
        <v>90.212999999999994</v>
      </c>
      <c r="D479">
        <f xml:space="preserve"> SUMIFS(market_prices!$E:$E,market_prices!$B:$B,$A479,market_prices!$C:$C,D$1)</f>
        <v>72.94</v>
      </c>
      <c r="E479" s="6">
        <f t="shared" si="7"/>
        <v>1.0402219140084323E-3</v>
      </c>
      <c r="F479" s="6">
        <f>rates[[#This Row],[EUR/INR]]/C478-1</f>
        <v>-1.5518586833240811E-5</v>
      </c>
      <c r="G479" s="6">
        <f>rates[[#This Row],[WTI Crude]]/D478-1</f>
        <v>-1.6318273769386438E-2</v>
      </c>
    </row>
    <row r="480" spans="1:7" x14ac:dyDescent="0.3">
      <c r="A480" s="1">
        <v>45687</v>
      </c>
      <c r="B480">
        <f xml:space="preserve"> SUMIFS(market_prices!$E:$E,market_prices!$B:$B,$A480,market_prices!$C:$C,B$1)</f>
        <v>86.55</v>
      </c>
      <c r="C480">
        <f xml:space="preserve"> SUMIFS(market_prices!$E:$E,market_prices!$B:$B,$A480,market_prices!$C:$C,C$1)</f>
        <v>90.185100000000006</v>
      </c>
      <c r="D480">
        <f xml:space="preserve"> SUMIFS(market_prices!$E:$E,market_prices!$B:$B,$A480,market_prices!$C:$C,D$1)</f>
        <v>73.099999999999994</v>
      </c>
      <c r="E480" s="6">
        <f t="shared" si="7"/>
        <v>-6.9276065119505681E-4</v>
      </c>
      <c r="F480" s="6">
        <f>rates[[#This Row],[EUR/INR]]/C479-1</f>
        <v>-3.0926806557796116E-4</v>
      </c>
      <c r="G480" s="6">
        <f>rates[[#This Row],[WTI Crude]]/D479-1</f>
        <v>2.1935837674800229E-3</v>
      </c>
    </row>
    <row r="481" spans="1:7" x14ac:dyDescent="0.3">
      <c r="A481" s="1">
        <v>45688</v>
      </c>
      <c r="B481">
        <f xml:space="preserve"> SUMIFS(market_prices!$E:$E,market_prices!$B:$B,$A481,market_prices!$C:$C,B$1)</f>
        <v>86.54</v>
      </c>
      <c r="C481">
        <f xml:space="preserve"> SUMIFS(market_prices!$E:$E,market_prices!$B:$B,$A481,market_prices!$C:$C,C$1)</f>
        <v>90.001599999999996</v>
      </c>
      <c r="D481">
        <f xml:space="preserve"> SUMIFS(market_prices!$E:$E,market_prices!$B:$B,$A481,market_prices!$C:$C,D$1)</f>
        <v>72.84</v>
      </c>
      <c r="E481" s="6">
        <f t="shared" si="7"/>
        <v>-1.1554015020209807E-4</v>
      </c>
      <c r="F481" s="6">
        <f>rates[[#This Row],[EUR/INR]]/C480-1</f>
        <v>-2.0347041806241251E-3</v>
      </c>
      <c r="G481" s="6">
        <f>rates[[#This Row],[WTI Crude]]/D480-1</f>
        <v>-3.5567715458275639E-3</v>
      </c>
    </row>
    <row r="482" spans="1:7" x14ac:dyDescent="0.3">
      <c r="A482" s="1">
        <v>45691</v>
      </c>
      <c r="B482">
        <f xml:space="preserve"> SUMIFS(market_prices!$E:$E,market_prices!$B:$B,$A482,market_prices!$C:$C,B$1)</f>
        <v>87.19</v>
      </c>
      <c r="C482">
        <f xml:space="preserve"> SUMIFS(market_prices!$E:$E,market_prices!$B:$B,$A482,market_prices!$C:$C,C$1)</f>
        <v>89.605199999999996</v>
      </c>
      <c r="D482">
        <f xml:space="preserve"> SUMIFS(market_prices!$E:$E,market_prices!$B:$B,$A482,market_prices!$C:$C,D$1)</f>
        <v>73.52</v>
      </c>
      <c r="E482" s="6">
        <f t="shared" si="7"/>
        <v>7.5109775826207592E-3</v>
      </c>
      <c r="F482" s="6">
        <f>rates[[#This Row],[EUR/INR]]/C481-1</f>
        <v>-4.4043661446018234E-3</v>
      </c>
      <c r="G482" s="6">
        <f>rates[[#This Row],[WTI Crude]]/D481-1</f>
        <v>9.3355299286106419E-3</v>
      </c>
    </row>
    <row r="483" spans="1:7" x14ac:dyDescent="0.3">
      <c r="A483" s="1">
        <v>45692</v>
      </c>
      <c r="B483">
        <f xml:space="preserve"> SUMIFS(market_prices!$E:$E,market_prices!$B:$B,$A483,market_prices!$C:$C,B$1)</f>
        <v>87.06</v>
      </c>
      <c r="C483">
        <f xml:space="preserve"> SUMIFS(market_prices!$E:$E,market_prices!$B:$B,$A483,market_prices!$C:$C,C$1)</f>
        <v>90.3596</v>
      </c>
      <c r="D483">
        <f xml:space="preserve"> SUMIFS(market_prices!$E:$E,market_prices!$B:$B,$A483,market_prices!$C:$C,D$1)</f>
        <v>73.040000000000006</v>
      </c>
      <c r="E483" s="6">
        <f t="shared" si="7"/>
        <v>-1.4909966739304892E-3</v>
      </c>
      <c r="F483" s="6">
        <f>rates[[#This Row],[EUR/INR]]/C482-1</f>
        <v>8.419154245512539E-3</v>
      </c>
      <c r="G483" s="6">
        <f>rates[[#This Row],[WTI Crude]]/D482-1</f>
        <v>-6.5288356909682932E-3</v>
      </c>
    </row>
    <row r="484" spans="1:7" x14ac:dyDescent="0.3">
      <c r="A484" s="1">
        <v>45693</v>
      </c>
      <c r="B484">
        <f xml:space="preserve"> SUMIFS(market_prices!$E:$E,market_prices!$B:$B,$A484,market_prices!$C:$C,B$1)</f>
        <v>87.08</v>
      </c>
      <c r="C484">
        <f xml:space="preserve"> SUMIFS(market_prices!$E:$E,market_prices!$B:$B,$A484,market_prices!$C:$C,C$1)</f>
        <v>90.728700000000003</v>
      </c>
      <c r="D484">
        <f xml:space="preserve"> SUMIFS(market_prices!$E:$E,market_prices!$B:$B,$A484,market_prices!$C:$C,D$1)</f>
        <v>71.39</v>
      </c>
      <c r="E484" s="6">
        <f t="shared" si="7"/>
        <v>2.2972662531572929E-4</v>
      </c>
      <c r="F484" s="6">
        <f>rates[[#This Row],[EUR/INR]]/C483-1</f>
        <v>4.0847901053124858E-3</v>
      </c>
      <c r="G484" s="6">
        <f>rates[[#This Row],[WTI Crude]]/D483-1</f>
        <v>-2.2590361445783191E-2</v>
      </c>
    </row>
    <row r="485" spans="1:7" x14ac:dyDescent="0.3">
      <c r="A485" s="1">
        <v>45694</v>
      </c>
      <c r="B485">
        <f xml:space="preserve"> SUMIFS(market_prices!$E:$E,market_prices!$B:$B,$A485,market_prices!$C:$C,B$1)</f>
        <v>87.57</v>
      </c>
      <c r="C485">
        <f xml:space="preserve"> SUMIFS(market_prices!$E:$E,market_prices!$B:$B,$A485,market_prices!$C:$C,C$1)</f>
        <v>90.792599999999993</v>
      </c>
      <c r="D485">
        <f xml:space="preserve"> SUMIFS(market_prices!$E:$E,market_prices!$B:$B,$A485,market_prices!$C:$C,D$1)</f>
        <v>70.97</v>
      </c>
      <c r="E485" s="6">
        <f t="shared" si="7"/>
        <v>5.6270096463022501E-3</v>
      </c>
      <c r="F485" s="6">
        <f>rates[[#This Row],[EUR/INR]]/C484-1</f>
        <v>7.0429753760370417E-4</v>
      </c>
      <c r="G485" s="6">
        <f>rates[[#This Row],[WTI Crude]]/D484-1</f>
        <v>-5.883176915534416E-3</v>
      </c>
    </row>
    <row r="486" spans="1:7" x14ac:dyDescent="0.3">
      <c r="A486" s="1">
        <v>45695</v>
      </c>
      <c r="B486">
        <f xml:space="preserve"> SUMIFS(market_prices!$E:$E,market_prices!$B:$B,$A486,market_prices!$C:$C,B$1)</f>
        <v>87.43</v>
      </c>
      <c r="C486">
        <f xml:space="preserve"> SUMIFS(market_prices!$E:$E,market_prices!$B:$B,$A486,market_prices!$C:$C,C$1)</f>
        <v>90.306399999999996</v>
      </c>
      <c r="D486">
        <f xml:space="preserve"> SUMIFS(market_prices!$E:$E,market_prices!$B:$B,$A486,market_prices!$C:$C,D$1)</f>
        <v>71.319999999999993</v>
      </c>
      <c r="E486" s="6">
        <f t="shared" si="7"/>
        <v>-1.5987210231812599E-3</v>
      </c>
      <c r="F486" s="6">
        <f>rates[[#This Row],[EUR/INR]]/C485-1</f>
        <v>-5.355061976416553E-3</v>
      </c>
      <c r="G486" s="6">
        <f>rates[[#This Row],[WTI Crude]]/D485-1</f>
        <v>4.931661265323406E-3</v>
      </c>
    </row>
    <row r="487" spans="1:7" x14ac:dyDescent="0.3">
      <c r="A487" s="1">
        <v>45698</v>
      </c>
      <c r="B487">
        <f xml:space="preserve"> SUMIFS(market_prices!$E:$E,market_prices!$B:$B,$A487,market_prices!$C:$C,B$1)</f>
        <v>87.45</v>
      </c>
      <c r="C487">
        <f xml:space="preserve"> SUMIFS(market_prices!$E:$E,market_prices!$B:$B,$A487,market_prices!$C:$C,C$1)</f>
        <v>90.178399999999996</v>
      </c>
      <c r="D487">
        <f xml:space="preserve"> SUMIFS(market_prices!$E:$E,market_prices!$B:$B,$A487,market_prices!$C:$C,D$1)</f>
        <v>72.73</v>
      </c>
      <c r="E487" s="6">
        <f t="shared" si="7"/>
        <v>2.2875443211711755E-4</v>
      </c>
      <c r="F487" s="6">
        <f>rates[[#This Row],[EUR/INR]]/C486-1</f>
        <v>-1.4173967736506032E-3</v>
      </c>
      <c r="G487" s="6">
        <f>rates[[#This Row],[WTI Crude]]/D486-1</f>
        <v>1.9770050476724865E-2</v>
      </c>
    </row>
    <row r="488" spans="1:7" x14ac:dyDescent="0.3">
      <c r="A488" s="1">
        <v>45699</v>
      </c>
      <c r="B488">
        <f xml:space="preserve"> SUMIFS(market_prices!$E:$E,market_prices!$B:$B,$A488,market_prices!$C:$C,B$1)</f>
        <v>86.76</v>
      </c>
      <c r="C488">
        <f xml:space="preserve"> SUMIFS(market_prices!$E:$E,market_prices!$B:$B,$A488,market_prices!$C:$C,C$1)</f>
        <v>89.761899999999997</v>
      </c>
      <c r="D488">
        <f xml:space="preserve"> SUMIFS(market_prices!$E:$E,market_prices!$B:$B,$A488,market_prices!$C:$C,D$1)</f>
        <v>73.67</v>
      </c>
      <c r="E488" s="6">
        <f t="shared" si="7"/>
        <v>-7.8902229845625449E-3</v>
      </c>
      <c r="F488" s="6">
        <f>rates[[#This Row],[EUR/INR]]/C487-1</f>
        <v>-4.6186226413420517E-3</v>
      </c>
      <c r="G488" s="6">
        <f>rates[[#This Row],[WTI Crude]]/D487-1</f>
        <v>1.2924515330674957E-2</v>
      </c>
    </row>
    <row r="489" spans="1:7" x14ac:dyDescent="0.3">
      <c r="A489" s="1">
        <v>45700</v>
      </c>
      <c r="B489">
        <f xml:space="preserve"> SUMIFS(market_prices!$E:$E,market_prices!$B:$B,$A489,market_prices!$C:$C,B$1)</f>
        <v>86.9</v>
      </c>
      <c r="C489">
        <f xml:space="preserve"> SUMIFS(market_prices!$E:$E,market_prices!$B:$B,$A489,market_prices!$C:$C,C$1)</f>
        <v>90.3065</v>
      </c>
      <c r="D489">
        <f xml:space="preserve"> SUMIFS(market_prices!$E:$E,market_prices!$B:$B,$A489,market_prices!$C:$C,D$1)</f>
        <v>71.72</v>
      </c>
      <c r="E489" s="6">
        <f t="shared" si="7"/>
        <v>1.6136468418626038E-3</v>
      </c>
      <c r="F489" s="6">
        <f>rates[[#This Row],[EUR/INR]]/C488-1</f>
        <v>6.0671621255790065E-3</v>
      </c>
      <c r="G489" s="6">
        <f>rates[[#This Row],[WTI Crude]]/D488-1</f>
        <v>-2.6469390525315606E-2</v>
      </c>
    </row>
    <row r="490" spans="1:7" x14ac:dyDescent="0.3">
      <c r="A490" s="1">
        <v>45701</v>
      </c>
      <c r="B490">
        <f xml:space="preserve"> SUMIFS(market_prices!$E:$E,market_prices!$B:$B,$A490,market_prices!$C:$C,B$1)</f>
        <v>86.89</v>
      </c>
      <c r="C490">
        <f xml:space="preserve"> SUMIFS(market_prices!$E:$E,market_prices!$B:$B,$A490,market_prices!$C:$C,C$1)</f>
        <v>90.608900000000006</v>
      </c>
      <c r="D490">
        <f xml:space="preserve"> SUMIFS(market_prices!$E:$E,market_prices!$B:$B,$A490,market_prices!$C:$C,D$1)</f>
        <v>71.66</v>
      </c>
      <c r="E490" s="6">
        <f t="shared" si="7"/>
        <v>-1.1507479861916359E-4</v>
      </c>
      <c r="F490" s="6">
        <f>rates[[#This Row],[EUR/INR]]/C489-1</f>
        <v>3.34859616971106E-3</v>
      </c>
      <c r="G490" s="6">
        <f>rates[[#This Row],[WTI Crude]]/D489-1</f>
        <v>-8.3658672615727347E-4</v>
      </c>
    </row>
    <row r="491" spans="1:7" x14ac:dyDescent="0.3">
      <c r="A491" s="1">
        <v>45702</v>
      </c>
      <c r="B491">
        <f xml:space="preserve"> SUMIFS(market_prices!$E:$E,market_prices!$B:$B,$A491,market_prices!$C:$C,B$1)</f>
        <v>86.82</v>
      </c>
      <c r="C491">
        <f xml:space="preserve"> SUMIFS(market_prices!$E:$E,market_prices!$B:$B,$A491,market_prices!$C:$C,C$1)</f>
        <v>91.143600000000006</v>
      </c>
      <c r="D491">
        <f xml:space="preserve"> SUMIFS(market_prices!$E:$E,market_prices!$B:$B,$A491,market_prices!$C:$C,D$1)</f>
        <v>71.05</v>
      </c>
      <c r="E491" s="6">
        <f t="shared" si="7"/>
        <v>-8.0561629646691557E-4</v>
      </c>
      <c r="F491" s="6">
        <f>rates[[#This Row],[EUR/INR]]/C490-1</f>
        <v>5.901186307305295E-3</v>
      </c>
      <c r="G491" s="6">
        <f>rates[[#This Row],[WTI Crude]]/D490-1</f>
        <v>-8.5124197599776297E-3</v>
      </c>
    </row>
    <row r="492" spans="1:7" x14ac:dyDescent="0.3">
      <c r="A492" s="1">
        <v>45705</v>
      </c>
      <c r="B492">
        <f xml:space="preserve"> SUMIFS(market_prices!$E:$E,market_prices!$B:$B,$A492,market_prices!$C:$C,B$1)</f>
        <v>86.82</v>
      </c>
      <c r="C492">
        <f xml:space="preserve"> SUMIFS(market_prices!$E:$E,market_prices!$B:$B,$A492,market_prices!$C:$C,C$1)</f>
        <v>91.143600000000006</v>
      </c>
      <c r="D492">
        <f xml:space="preserve"> SUMIFS(market_prices!$E:$E,market_prices!$B:$B,$A492,market_prices!$C:$C,D$1)</f>
        <v>71.05</v>
      </c>
      <c r="E492" s="6">
        <f t="shared" si="7"/>
        <v>0</v>
      </c>
      <c r="F492" s="6">
        <f>rates[[#This Row],[EUR/INR]]/C491-1</f>
        <v>0</v>
      </c>
      <c r="G492" s="6">
        <f>rates[[#This Row],[WTI Crude]]/D491-1</f>
        <v>0</v>
      </c>
    </row>
    <row r="493" spans="1:7" x14ac:dyDescent="0.3">
      <c r="A493" s="1">
        <v>45706</v>
      </c>
      <c r="B493">
        <f xml:space="preserve"> SUMIFS(market_prices!$E:$E,market_prices!$B:$B,$A493,market_prices!$C:$C,B$1)</f>
        <v>86.96</v>
      </c>
      <c r="C493">
        <f xml:space="preserve"> SUMIFS(market_prices!$E:$E,market_prices!$B:$B,$A493,market_prices!$C:$C,C$1)</f>
        <v>90.934100000000001</v>
      </c>
      <c r="D493">
        <f xml:space="preserve"> SUMIFS(market_prices!$E:$E,market_prices!$B:$B,$A493,market_prices!$C:$C,D$1)</f>
        <v>72.209999999999994</v>
      </c>
      <c r="E493" s="6">
        <f t="shared" si="7"/>
        <v>1.6125316747293006E-3</v>
      </c>
      <c r="F493" s="6">
        <f>rates[[#This Row],[EUR/INR]]/C492-1</f>
        <v>-2.2985706072615741E-3</v>
      </c>
      <c r="G493" s="6">
        <f>rates[[#This Row],[WTI Crude]]/D492-1</f>
        <v>1.6326530612244872E-2</v>
      </c>
    </row>
    <row r="494" spans="1:7" x14ac:dyDescent="0.3">
      <c r="A494" s="1">
        <v>45707</v>
      </c>
      <c r="B494">
        <f xml:space="preserve"> SUMIFS(market_prices!$E:$E,market_prices!$B:$B,$A494,market_prices!$C:$C,B$1)</f>
        <v>86.96</v>
      </c>
      <c r="C494">
        <f xml:space="preserve"> SUMIFS(market_prices!$E:$E,market_prices!$B:$B,$A494,market_prices!$C:$C,C$1)</f>
        <v>90.490600000000001</v>
      </c>
      <c r="D494">
        <f xml:space="preserve"> SUMIFS(market_prices!$E:$E,market_prices!$B:$B,$A494,market_prices!$C:$C,D$1)</f>
        <v>72.58</v>
      </c>
      <c r="E494" s="6">
        <f t="shared" si="7"/>
        <v>0</v>
      </c>
      <c r="F494" s="6">
        <f>rates[[#This Row],[EUR/INR]]/C493-1</f>
        <v>-4.8771582937533475E-3</v>
      </c>
      <c r="G494" s="6">
        <f>rates[[#This Row],[WTI Crude]]/D493-1</f>
        <v>5.123944052070506E-3</v>
      </c>
    </row>
    <row r="495" spans="1:7" x14ac:dyDescent="0.3">
      <c r="A495" s="1">
        <v>45708</v>
      </c>
      <c r="B495">
        <f xml:space="preserve"> SUMIFS(market_prices!$E:$E,market_prices!$B:$B,$A495,market_prices!$C:$C,B$1)</f>
        <v>86.65</v>
      </c>
      <c r="C495">
        <f xml:space="preserve"> SUMIFS(market_prices!$E:$E,market_prices!$B:$B,$A495,market_prices!$C:$C,C$1)</f>
        <v>90.765900000000002</v>
      </c>
      <c r="D495">
        <f xml:space="preserve"> SUMIFS(market_prices!$E:$E,market_prices!$B:$B,$A495,market_prices!$C:$C,D$1)</f>
        <v>72.88</v>
      </c>
      <c r="E495" s="6">
        <f t="shared" si="7"/>
        <v>-3.5648574057036697E-3</v>
      </c>
      <c r="F495" s="6">
        <f>rates[[#This Row],[EUR/INR]]/C494-1</f>
        <v>3.042304946591079E-3</v>
      </c>
      <c r="G495" s="6">
        <f>rates[[#This Row],[WTI Crude]]/D494-1</f>
        <v>4.1333700744006219E-3</v>
      </c>
    </row>
    <row r="496" spans="1:7" x14ac:dyDescent="0.3">
      <c r="A496" s="1">
        <v>45709</v>
      </c>
      <c r="B496">
        <f xml:space="preserve"> SUMIFS(market_prices!$E:$E,market_prices!$B:$B,$A496,market_prices!$C:$C,B$1)</f>
        <v>86.7</v>
      </c>
      <c r="C496">
        <f xml:space="preserve"> SUMIFS(market_prices!$E:$E,market_prices!$B:$B,$A496,market_prices!$C:$C,C$1)</f>
        <v>90.644800000000004</v>
      </c>
      <c r="D496">
        <f xml:space="preserve"> SUMIFS(market_prices!$E:$E,market_prices!$B:$B,$A496,market_prices!$C:$C,D$1)</f>
        <v>70.72</v>
      </c>
      <c r="E496" s="6">
        <f t="shared" si="7"/>
        <v>5.7703404500863975E-4</v>
      </c>
      <c r="F496" s="6">
        <f>rates[[#This Row],[EUR/INR]]/C495-1</f>
        <v>-1.3342015007838937E-3</v>
      </c>
      <c r="G496" s="6">
        <f>rates[[#This Row],[WTI Crude]]/D495-1</f>
        <v>-2.9637760702524663E-2</v>
      </c>
    </row>
    <row r="497" spans="1:7" x14ac:dyDescent="0.3">
      <c r="A497" s="1">
        <v>45712</v>
      </c>
      <c r="B497">
        <f xml:space="preserve"> SUMIFS(market_prices!$E:$E,market_prices!$B:$B,$A497,market_prices!$C:$C,B$1)</f>
        <v>86.72</v>
      </c>
      <c r="C497">
        <f xml:space="preserve"> SUMIFS(market_prices!$E:$E,market_prices!$B:$B,$A497,market_prices!$C:$C,C$1)</f>
        <v>90.865200000000002</v>
      </c>
      <c r="D497">
        <f xml:space="preserve"> SUMIFS(market_prices!$E:$E,market_prices!$B:$B,$A497,market_prices!$C:$C,D$1)</f>
        <v>71.06</v>
      </c>
      <c r="E497" s="6">
        <f t="shared" si="7"/>
        <v>2.30680507496972E-4</v>
      </c>
      <c r="F497" s="6">
        <f>rates[[#This Row],[EUR/INR]]/C496-1</f>
        <v>2.4314687659965362E-3</v>
      </c>
      <c r="G497" s="6">
        <f>rates[[#This Row],[WTI Crude]]/D496-1</f>
        <v>4.8076923076922906E-3</v>
      </c>
    </row>
    <row r="498" spans="1:7" x14ac:dyDescent="0.3">
      <c r="A498" s="1">
        <v>45713</v>
      </c>
      <c r="B498">
        <f xml:space="preserve"> SUMIFS(market_prices!$E:$E,market_prices!$B:$B,$A498,market_prices!$C:$C,B$1)</f>
        <v>87.2</v>
      </c>
      <c r="C498">
        <f xml:space="preserve"> SUMIFS(market_prices!$E:$E,market_prices!$B:$B,$A498,market_prices!$C:$C,C$1)</f>
        <v>91.542599999999993</v>
      </c>
      <c r="D498">
        <f xml:space="preserve"> SUMIFS(market_prices!$E:$E,market_prices!$B:$B,$A498,market_prices!$C:$C,D$1)</f>
        <v>69.150000000000006</v>
      </c>
      <c r="E498" s="6">
        <f t="shared" si="7"/>
        <v>5.5350553505535416E-3</v>
      </c>
      <c r="F498" s="6">
        <f>rates[[#This Row],[EUR/INR]]/C497-1</f>
        <v>7.4549992736492321E-3</v>
      </c>
      <c r="G498" s="6">
        <f>rates[[#This Row],[WTI Crude]]/D497-1</f>
        <v>-2.6878694061356567E-2</v>
      </c>
    </row>
    <row r="499" spans="1:7" x14ac:dyDescent="0.3">
      <c r="A499" s="1">
        <v>45714</v>
      </c>
      <c r="B499">
        <f xml:space="preserve"> SUMIFS(market_prices!$E:$E,market_prices!$B:$B,$A499,market_prices!$C:$C,B$1)</f>
        <v>87.2</v>
      </c>
      <c r="C499">
        <f xml:space="preserve"> SUMIFS(market_prices!$E:$E,market_prices!$B:$B,$A499,market_prices!$C:$C,C$1)</f>
        <v>91.682100000000005</v>
      </c>
      <c r="D499">
        <f xml:space="preserve"> SUMIFS(market_prices!$E:$E,market_prices!$B:$B,$A499,market_prices!$C:$C,D$1)</f>
        <v>68.87</v>
      </c>
      <c r="E499" s="6">
        <f t="shared" si="7"/>
        <v>0</v>
      </c>
      <c r="F499" s="6">
        <f>rates[[#This Row],[EUR/INR]]/C498-1</f>
        <v>1.5238806850581543E-3</v>
      </c>
      <c r="G499" s="6">
        <f>rates[[#This Row],[WTI Crude]]/D498-1</f>
        <v>-4.0491684743312328E-3</v>
      </c>
    </row>
    <row r="500" spans="1:7" x14ac:dyDescent="0.3">
      <c r="A500" s="1">
        <v>45715</v>
      </c>
      <c r="B500">
        <f xml:space="preserve"> SUMIFS(market_prices!$E:$E,market_prices!$B:$B,$A500,market_prices!$C:$C,B$1)</f>
        <v>87.17</v>
      </c>
      <c r="C500">
        <f xml:space="preserve"> SUMIFS(market_prices!$E:$E,market_prices!$B:$B,$A500,market_prices!$C:$C,C$1)</f>
        <v>90.778800000000004</v>
      </c>
      <c r="D500">
        <f xml:space="preserve"> SUMIFS(market_prices!$E:$E,market_prices!$B:$B,$A500,market_prices!$C:$C,D$1)</f>
        <v>70.62</v>
      </c>
      <c r="E500" s="6">
        <f t="shared" si="7"/>
        <v>-3.4403669724769603E-4</v>
      </c>
      <c r="F500" s="6">
        <f>rates[[#This Row],[EUR/INR]]/C499-1</f>
        <v>-9.8525230115802387E-3</v>
      </c>
      <c r="G500" s="6">
        <f>rates[[#This Row],[WTI Crude]]/D499-1</f>
        <v>2.5410193117467728E-2</v>
      </c>
    </row>
    <row r="501" spans="1:7" x14ac:dyDescent="0.3">
      <c r="A501" s="1">
        <v>45716</v>
      </c>
      <c r="B501">
        <f xml:space="preserve"> SUMIFS(market_prices!$E:$E,market_prices!$B:$B,$A501,market_prices!$C:$C,B$1)</f>
        <v>87.5</v>
      </c>
      <c r="C501">
        <f xml:space="preserve"> SUMIFS(market_prices!$E:$E,market_prices!$B:$B,$A501,market_prices!$C:$C,C$1)</f>
        <v>91.017499999999998</v>
      </c>
      <c r="D501">
        <f xml:space="preserve"> SUMIFS(market_prices!$E:$E,market_prices!$B:$B,$A501,market_prices!$C:$C,D$1)</f>
        <v>69.97</v>
      </c>
      <c r="E501" s="6">
        <f t="shared" si="7"/>
        <v>3.7857060915451601E-3</v>
      </c>
      <c r="F501" s="6">
        <f>rates[[#This Row],[EUR/INR]]/C500-1</f>
        <v>2.6294685543319929E-3</v>
      </c>
      <c r="G501" s="6">
        <f>rates[[#This Row],[WTI Crude]]/D500-1</f>
        <v>-9.2041914471822084E-3</v>
      </c>
    </row>
    <row r="502" spans="1:7" x14ac:dyDescent="0.3">
      <c r="A502" s="1">
        <v>45719</v>
      </c>
      <c r="B502">
        <f xml:space="preserve"> SUMIFS(market_prices!$E:$E,market_prices!$B:$B,$A502,market_prices!$C:$C,B$1)</f>
        <v>87.35</v>
      </c>
      <c r="C502">
        <f xml:space="preserve"> SUMIFS(market_prices!$E:$E,market_prices!$B:$B,$A502,market_prices!$C:$C,C$1)</f>
        <v>91.682599999999994</v>
      </c>
      <c r="D502">
        <f xml:space="preserve"> SUMIFS(market_prices!$E:$E,market_prices!$B:$B,$A502,market_prices!$C:$C,D$1)</f>
        <v>68.63</v>
      </c>
      <c r="E502" s="6">
        <f t="shared" si="7"/>
        <v>-1.7142857142857792E-3</v>
      </c>
      <c r="F502" s="6">
        <f>rates[[#This Row],[EUR/INR]]/C501-1</f>
        <v>7.3073859422638776E-3</v>
      </c>
      <c r="G502" s="6">
        <f>rates[[#This Row],[WTI Crude]]/D501-1</f>
        <v>-1.915106474203232E-2</v>
      </c>
    </row>
    <row r="503" spans="1:7" x14ac:dyDescent="0.3">
      <c r="A503" s="1">
        <v>45720</v>
      </c>
      <c r="B503">
        <f xml:space="preserve"> SUMIFS(market_prices!$E:$E,market_prices!$B:$B,$A503,market_prices!$C:$C,B$1)</f>
        <v>87.26</v>
      </c>
      <c r="C503">
        <f xml:space="preserve"> SUMIFS(market_prices!$E:$E,market_prices!$B:$B,$A503,market_prices!$C:$C,C$1)</f>
        <v>91.919700000000006</v>
      </c>
      <c r="D503">
        <f xml:space="preserve"> SUMIFS(market_prices!$E:$E,market_prices!$B:$B,$A503,market_prices!$C:$C,D$1)</f>
        <v>68.47</v>
      </c>
      <c r="E503" s="6">
        <f t="shared" si="7"/>
        <v>-1.0303377218087162E-3</v>
      </c>
      <c r="F503" s="6">
        <f>rates[[#This Row],[EUR/INR]]/C502-1</f>
        <v>2.5860959440506814E-3</v>
      </c>
      <c r="G503" s="6">
        <f>rates[[#This Row],[WTI Crude]]/D502-1</f>
        <v>-2.33134197872642E-3</v>
      </c>
    </row>
    <row r="504" spans="1:7" x14ac:dyDescent="0.3">
      <c r="A504" s="1">
        <v>45721</v>
      </c>
      <c r="B504">
        <f xml:space="preserve"> SUMIFS(market_prices!$E:$E,market_prices!$B:$B,$A504,market_prices!$C:$C,B$1)</f>
        <v>86.95</v>
      </c>
      <c r="C504">
        <f xml:space="preserve"> SUMIFS(market_prices!$E:$E,market_prices!$B:$B,$A504,market_prices!$C:$C,C$1)</f>
        <v>93.627799999999993</v>
      </c>
      <c r="D504">
        <f xml:space="preserve"> SUMIFS(market_prices!$E:$E,market_prices!$B:$B,$A504,market_prices!$C:$C,D$1)</f>
        <v>66.58</v>
      </c>
      <c r="E504" s="6">
        <f t="shared" si="7"/>
        <v>-3.5526014210406354E-3</v>
      </c>
      <c r="F504" s="6">
        <f>rates[[#This Row],[EUR/INR]]/C503-1</f>
        <v>1.8582523659237182E-2</v>
      </c>
      <c r="G504" s="6">
        <f>rates[[#This Row],[WTI Crude]]/D503-1</f>
        <v>-2.7603329925514841E-2</v>
      </c>
    </row>
    <row r="505" spans="1:7" x14ac:dyDescent="0.3">
      <c r="A505" s="1">
        <v>45722</v>
      </c>
      <c r="B505">
        <f xml:space="preserve"> SUMIFS(market_prices!$E:$E,market_prices!$B:$B,$A505,market_prices!$C:$C,B$1)</f>
        <v>87.11</v>
      </c>
      <c r="C505">
        <f xml:space="preserve"> SUMIFS(market_prices!$E:$E,market_prices!$B:$B,$A505,market_prices!$C:$C,C$1)</f>
        <v>94.235600000000005</v>
      </c>
      <c r="D505">
        <f xml:space="preserve"> SUMIFS(market_prices!$E:$E,market_prices!$B:$B,$A505,market_prices!$C:$C,D$1)</f>
        <v>66.62</v>
      </c>
      <c r="E505" s="6">
        <f t="shared" si="7"/>
        <v>1.840138010350767E-3</v>
      </c>
      <c r="F505" s="6">
        <f>rates[[#This Row],[EUR/INR]]/C504-1</f>
        <v>6.4916616645911418E-3</v>
      </c>
      <c r="G505" s="6">
        <f>rates[[#This Row],[WTI Crude]]/D504-1</f>
        <v>6.0078101531990669E-4</v>
      </c>
    </row>
    <row r="506" spans="1:7" x14ac:dyDescent="0.3">
      <c r="A506" s="1">
        <v>45723</v>
      </c>
      <c r="B506">
        <f xml:space="preserve"> SUMIFS(market_prices!$E:$E,market_prices!$B:$B,$A506,market_prices!$C:$C,B$1)</f>
        <v>86.88</v>
      </c>
      <c r="C506">
        <f xml:space="preserve"> SUMIFS(market_prices!$E:$E,market_prices!$B:$B,$A506,market_prices!$C:$C,C$1)</f>
        <v>94.343000000000004</v>
      </c>
      <c r="D506">
        <f xml:space="preserve"> SUMIFS(market_prices!$E:$E,market_prices!$B:$B,$A506,market_prices!$C:$C,D$1)</f>
        <v>67.290000000000006</v>
      </c>
      <c r="E506" s="6">
        <f t="shared" si="7"/>
        <v>-2.640339800252578E-3</v>
      </c>
      <c r="F506" s="6">
        <f>rates[[#This Row],[EUR/INR]]/C505-1</f>
        <v>1.1396966751417992E-3</v>
      </c>
      <c r="G506" s="6">
        <f>rates[[#This Row],[WTI Crude]]/D505-1</f>
        <v>1.0057039927949596E-2</v>
      </c>
    </row>
    <row r="507" spans="1:7" x14ac:dyDescent="0.3">
      <c r="A507" s="1">
        <v>45726</v>
      </c>
      <c r="B507">
        <f xml:space="preserve"> SUMIFS(market_prices!$E:$E,market_prices!$B:$B,$A507,market_prices!$C:$C,B$1)</f>
        <v>87.27</v>
      </c>
      <c r="C507">
        <f xml:space="preserve"> SUMIFS(market_prices!$E:$E,market_prices!$B:$B,$A507,market_prices!$C:$C,C$1)</f>
        <v>94.5745</v>
      </c>
      <c r="D507">
        <f xml:space="preserve"> SUMIFS(market_prices!$E:$E,market_prices!$B:$B,$A507,market_prices!$C:$C,D$1)</f>
        <v>66.31</v>
      </c>
      <c r="E507" s="6">
        <f t="shared" si="7"/>
        <v>4.4889502762430755E-3</v>
      </c>
      <c r="F507" s="6">
        <f>rates[[#This Row],[EUR/INR]]/C506-1</f>
        <v>2.4538121535249147E-3</v>
      </c>
      <c r="G507" s="6">
        <f>rates[[#This Row],[WTI Crude]]/D506-1</f>
        <v>-1.4563828206271445E-2</v>
      </c>
    </row>
    <row r="508" spans="1:7" x14ac:dyDescent="0.3">
      <c r="A508" s="1">
        <v>45727</v>
      </c>
      <c r="B508">
        <f xml:space="preserve"> SUMIFS(market_prices!$E:$E,market_prices!$B:$B,$A508,market_prices!$C:$C,B$1)</f>
        <v>87.16</v>
      </c>
      <c r="C508">
        <f xml:space="preserve"> SUMIFS(market_prices!$E:$E,market_prices!$B:$B,$A508,market_prices!$C:$C,C$1)</f>
        <v>95.239699999999999</v>
      </c>
      <c r="D508">
        <f xml:space="preserve"> SUMIFS(market_prices!$E:$E,market_prices!$B:$B,$A508,market_prices!$C:$C,D$1)</f>
        <v>66.52</v>
      </c>
      <c r="E508" s="6">
        <f t="shared" si="7"/>
        <v>-1.2604560559184019E-3</v>
      </c>
      <c r="F508" s="6">
        <f>rates[[#This Row],[EUR/INR]]/C507-1</f>
        <v>7.033608425103921E-3</v>
      </c>
      <c r="G508" s="6">
        <f>rates[[#This Row],[WTI Crude]]/D507-1</f>
        <v>3.1669431458301034E-3</v>
      </c>
    </row>
    <row r="509" spans="1:7" x14ac:dyDescent="0.3">
      <c r="A509" s="1">
        <v>45728</v>
      </c>
      <c r="B509">
        <f xml:space="preserve"> SUMIFS(market_prices!$E:$E,market_prices!$B:$B,$A509,market_prices!$C:$C,B$1)</f>
        <v>87.16</v>
      </c>
      <c r="C509">
        <f xml:space="preserve"> SUMIFS(market_prices!$E:$E,market_prices!$B:$B,$A509,market_prices!$C:$C,C$1)</f>
        <v>95.222300000000004</v>
      </c>
      <c r="D509">
        <f xml:space="preserve"> SUMIFS(market_prices!$E:$E,market_prices!$B:$B,$A509,market_prices!$C:$C,D$1)</f>
        <v>67.650000000000006</v>
      </c>
      <c r="E509" s="6">
        <f t="shared" si="7"/>
        <v>0</v>
      </c>
      <c r="F509" s="6">
        <f>rates[[#This Row],[EUR/INR]]/C508-1</f>
        <v>-1.8269692155681305E-4</v>
      </c>
      <c r="G509" s="6">
        <f>rates[[#This Row],[WTI Crude]]/D508-1</f>
        <v>1.698737221888158E-2</v>
      </c>
    </row>
    <row r="510" spans="1:7" x14ac:dyDescent="0.3">
      <c r="A510" s="1">
        <v>45729</v>
      </c>
      <c r="B510">
        <f xml:space="preserve"> SUMIFS(market_prices!$E:$E,market_prices!$B:$B,$A510,market_prices!$C:$C,B$1)</f>
        <v>87</v>
      </c>
      <c r="C510">
        <f xml:space="preserve"> SUMIFS(market_prices!$E:$E,market_prices!$B:$B,$A510,market_prices!$C:$C,C$1)</f>
        <v>94.473299999999995</v>
      </c>
      <c r="D510">
        <f xml:space="preserve"> SUMIFS(market_prices!$E:$E,market_prices!$B:$B,$A510,market_prices!$C:$C,D$1)</f>
        <v>66.819999999999993</v>
      </c>
      <c r="E510" s="6">
        <f t="shared" si="7"/>
        <v>-1.8357044515832088E-3</v>
      </c>
      <c r="F510" s="6">
        <f>rates[[#This Row],[EUR/INR]]/C509-1</f>
        <v>-7.8658045436836854E-3</v>
      </c>
      <c r="G510" s="6">
        <f>rates[[#This Row],[WTI Crude]]/D509-1</f>
        <v>-1.2269031781227069E-2</v>
      </c>
    </row>
    <row r="511" spans="1:7" x14ac:dyDescent="0.3">
      <c r="A511" s="1">
        <v>45730</v>
      </c>
      <c r="B511">
        <f xml:space="preserve"> SUMIFS(market_prices!$E:$E,market_prices!$B:$B,$A511,market_prices!$C:$C,B$1)</f>
        <v>87</v>
      </c>
      <c r="C511">
        <f xml:space="preserve"> SUMIFS(market_prices!$E:$E,market_prices!$B:$B,$A511,market_prices!$C:$C,C$1)</f>
        <v>94.586399999999998</v>
      </c>
      <c r="D511">
        <f xml:space="preserve"> SUMIFS(market_prices!$E:$E,market_prices!$B:$B,$A511,market_prices!$C:$C,D$1)</f>
        <v>67.430000000000007</v>
      </c>
      <c r="E511" s="6">
        <f t="shared" si="7"/>
        <v>0</v>
      </c>
      <c r="F511" s="6">
        <f>rates[[#This Row],[EUR/INR]]/C510-1</f>
        <v>1.1971636430609944E-3</v>
      </c>
      <c r="G511" s="6">
        <f>rates[[#This Row],[WTI Crude]]/D510-1</f>
        <v>9.1290032924276066E-3</v>
      </c>
    </row>
    <row r="512" spans="1:7" x14ac:dyDescent="0.3">
      <c r="A512" s="1">
        <v>45733</v>
      </c>
      <c r="B512">
        <f xml:space="preserve"> SUMIFS(market_prices!$E:$E,market_prices!$B:$B,$A512,market_prices!$C:$C,B$1)</f>
        <v>86.79</v>
      </c>
      <c r="C512">
        <f xml:space="preserve"> SUMIFS(market_prices!$E:$E,market_prices!$B:$B,$A512,market_prices!$C:$C,C$1)</f>
        <v>94.792000000000002</v>
      </c>
      <c r="D512">
        <f xml:space="preserve"> SUMIFS(market_prices!$E:$E,market_prices!$B:$B,$A512,market_prices!$C:$C,D$1)</f>
        <v>67.84</v>
      </c>
      <c r="E512" s="6">
        <f t="shared" si="7"/>
        <v>-2.4137931034482474E-3</v>
      </c>
      <c r="F512" s="6">
        <f>rates[[#This Row],[EUR/INR]]/C511-1</f>
        <v>2.173674016560545E-3</v>
      </c>
      <c r="G512" s="6">
        <f>rates[[#This Row],[WTI Crude]]/D511-1</f>
        <v>6.0803796529733667E-3</v>
      </c>
    </row>
    <row r="513" spans="1:7" x14ac:dyDescent="0.3">
      <c r="A513" s="1">
        <v>45734</v>
      </c>
      <c r="B513">
        <f xml:space="preserve"> SUMIFS(market_prices!$E:$E,market_prices!$B:$B,$A513,market_prices!$C:$C,B$1)</f>
        <v>86.5</v>
      </c>
      <c r="C513">
        <f xml:space="preserve"> SUMIFS(market_prices!$E:$E,market_prices!$B:$B,$A513,market_prices!$C:$C,C$1)</f>
        <v>94.518600000000006</v>
      </c>
      <c r="D513">
        <f xml:space="preserve"> SUMIFS(market_prices!$E:$E,market_prices!$B:$B,$A513,market_prices!$C:$C,D$1)</f>
        <v>67.489999999999995</v>
      </c>
      <c r="E513" s="6">
        <f t="shared" si="7"/>
        <v>-3.341398778661242E-3</v>
      </c>
      <c r="F513" s="6">
        <f>rates[[#This Row],[EUR/INR]]/C512-1</f>
        <v>-2.8842096379441129E-3</v>
      </c>
      <c r="G513" s="6">
        <f>rates[[#This Row],[WTI Crude]]/D512-1</f>
        <v>-5.1591981132076414E-3</v>
      </c>
    </row>
    <row r="514" spans="1:7" x14ac:dyDescent="0.3">
      <c r="A514" s="1">
        <v>45735</v>
      </c>
      <c r="B514">
        <f xml:space="preserve"> SUMIFS(market_prices!$E:$E,market_prices!$B:$B,$A514,market_prices!$C:$C,B$1)</f>
        <v>86.43</v>
      </c>
      <c r="C514">
        <f xml:space="preserve"> SUMIFS(market_prices!$E:$E,market_prices!$B:$B,$A514,market_prices!$C:$C,C$1)</f>
        <v>94.009900000000002</v>
      </c>
      <c r="D514">
        <f xml:space="preserve"> SUMIFS(market_prices!$E:$E,market_prices!$B:$B,$A514,market_prices!$C:$C,D$1)</f>
        <v>67.400000000000006</v>
      </c>
      <c r="E514" s="6">
        <f t="shared" ref="E514:E522" si="8">B514/B513-1</f>
        <v>-8.0924855491326664E-4</v>
      </c>
      <c r="F514" s="6">
        <f>rates[[#This Row],[EUR/INR]]/C513-1</f>
        <v>-5.3820094669198015E-3</v>
      </c>
      <c r="G514" s="6">
        <f>rates[[#This Row],[WTI Crude]]/D513-1</f>
        <v>-1.333530893465551E-3</v>
      </c>
    </row>
    <row r="515" spans="1:7" x14ac:dyDescent="0.3">
      <c r="A515" s="1">
        <v>45736</v>
      </c>
      <c r="B515">
        <f xml:space="preserve"> SUMIFS(market_prices!$E:$E,market_prices!$B:$B,$A515,market_prices!$C:$C,B$1)</f>
        <v>86.31</v>
      </c>
      <c r="C515">
        <f xml:space="preserve"> SUMIFS(market_prices!$E:$E,market_prices!$B:$B,$A515,market_prices!$C:$C,C$1)</f>
        <v>93.629099999999994</v>
      </c>
      <c r="D515">
        <f xml:space="preserve"> SUMIFS(market_prices!$E:$E,market_prices!$B:$B,$A515,market_prices!$C:$C,D$1)</f>
        <v>68.55</v>
      </c>
      <c r="E515" s="6">
        <f t="shared" si="8"/>
        <v>-1.3884068031934094E-3</v>
      </c>
      <c r="F515" s="6">
        <f>rates[[#This Row],[EUR/INR]]/C514-1</f>
        <v>-4.0506372201226659E-3</v>
      </c>
      <c r="G515" s="6">
        <f>rates[[#This Row],[WTI Crude]]/D514-1</f>
        <v>1.7062314540059242E-2</v>
      </c>
    </row>
    <row r="516" spans="1:7" x14ac:dyDescent="0.3">
      <c r="A516" s="1">
        <v>45737</v>
      </c>
      <c r="B516">
        <f xml:space="preserve"> SUMIFS(market_prices!$E:$E,market_prices!$B:$B,$A516,market_prices!$C:$C,B$1)</f>
        <v>86.01</v>
      </c>
      <c r="C516">
        <f xml:space="preserve"> SUMIFS(market_prices!$E:$E,market_prices!$B:$B,$A516,market_prices!$C:$C,C$1)</f>
        <v>92.942400000000006</v>
      </c>
      <c r="D516">
        <f xml:space="preserve"> SUMIFS(market_prices!$E:$E,market_prices!$B:$B,$A516,market_prices!$C:$C,D$1)</f>
        <v>68.52</v>
      </c>
      <c r="E516" s="6">
        <f t="shared" si="8"/>
        <v>-3.4758428919012818E-3</v>
      </c>
      <c r="F516" s="6">
        <f>rates[[#This Row],[EUR/INR]]/C515-1</f>
        <v>-7.3342582594512207E-3</v>
      </c>
      <c r="G516" s="6">
        <f>rates[[#This Row],[WTI Crude]]/D515-1</f>
        <v>-4.3763676148800279E-4</v>
      </c>
    </row>
    <row r="517" spans="1:7" x14ac:dyDescent="0.3">
      <c r="A517" s="1">
        <v>45740</v>
      </c>
      <c r="B517">
        <f xml:space="preserve"> SUMIFS(market_prices!$E:$E,market_prices!$B:$B,$A517,market_prices!$C:$C,B$1)</f>
        <v>85.56</v>
      </c>
      <c r="C517">
        <f xml:space="preserve"> SUMIFS(market_prices!$E:$E,market_prices!$B:$B,$A517,market_prices!$C:$C,C$1)</f>
        <v>92.353499999999997</v>
      </c>
      <c r="D517">
        <f xml:space="preserve"> SUMIFS(market_prices!$E:$E,market_prices!$B:$B,$A517,market_prices!$C:$C,D$1)</f>
        <v>69.459999999999994</v>
      </c>
      <c r="E517" s="6">
        <f t="shared" si="8"/>
        <v>-5.2319497732822295E-3</v>
      </c>
      <c r="F517" s="6">
        <f>rates[[#This Row],[EUR/INR]]/C516-1</f>
        <v>-6.3361824097506458E-3</v>
      </c>
      <c r="G517" s="6">
        <f>rates[[#This Row],[WTI Crude]]/D516-1</f>
        <v>1.371862230005827E-2</v>
      </c>
    </row>
    <row r="518" spans="1:7" x14ac:dyDescent="0.3">
      <c r="A518" s="1">
        <v>45741</v>
      </c>
      <c r="B518">
        <f xml:space="preserve"> SUMIFS(market_prices!$E:$E,market_prices!$B:$B,$A518,market_prices!$C:$C,B$1)</f>
        <v>85.77</v>
      </c>
      <c r="C518">
        <f xml:space="preserve"> SUMIFS(market_prices!$E:$E,market_prices!$B:$B,$A518,market_prices!$C:$C,C$1)</f>
        <v>92.665899999999993</v>
      </c>
      <c r="D518">
        <f xml:space="preserve"> SUMIFS(market_prices!$E:$E,market_prices!$B:$B,$A518,market_prices!$C:$C,D$1)</f>
        <v>69.48</v>
      </c>
      <c r="E518" s="6">
        <f t="shared" si="8"/>
        <v>2.4544179523140475E-3</v>
      </c>
      <c r="F518" s="6">
        <f>rates[[#This Row],[EUR/INR]]/C517-1</f>
        <v>3.38265469094301E-3</v>
      </c>
      <c r="G518" s="6">
        <f>rates[[#This Row],[WTI Crude]]/D517-1</f>
        <v>2.8793550244765598E-4</v>
      </c>
    </row>
    <row r="519" spans="1:7" x14ac:dyDescent="0.3">
      <c r="A519" s="1">
        <v>45742</v>
      </c>
      <c r="B519">
        <f xml:space="preserve"> SUMIFS(market_prices!$E:$E,market_prices!$B:$B,$A519,market_prices!$C:$C,B$1)</f>
        <v>85.71</v>
      </c>
      <c r="C519">
        <f xml:space="preserve"> SUMIFS(market_prices!$E:$E,market_prices!$B:$B,$A519,market_prices!$C:$C,C$1)</f>
        <v>92.403999999999996</v>
      </c>
      <c r="D519">
        <f xml:space="preserve"> SUMIFS(market_prices!$E:$E,market_prices!$B:$B,$A519,market_prices!$C:$C,D$1)</f>
        <v>70.05</v>
      </c>
      <c r="E519" s="6">
        <f t="shared" si="8"/>
        <v>-6.995452955579351E-4</v>
      </c>
      <c r="F519" s="6">
        <f>rates[[#This Row],[EUR/INR]]/C518-1</f>
        <v>-2.8262823757174704E-3</v>
      </c>
      <c r="G519" s="6">
        <f>rates[[#This Row],[WTI Crude]]/D518-1</f>
        <v>8.2037996545767378E-3</v>
      </c>
    </row>
    <row r="520" spans="1:7" x14ac:dyDescent="0.3">
      <c r="A520" s="1">
        <v>45743</v>
      </c>
      <c r="B520">
        <f xml:space="preserve"> SUMIFS(market_prices!$E:$E,market_prices!$B:$B,$A520,market_prices!$C:$C,B$1)</f>
        <v>85.79</v>
      </c>
      <c r="C520">
        <f xml:space="preserve"> SUMIFS(market_prices!$E:$E,market_prices!$B:$B,$A520,market_prices!$C:$C,C$1)</f>
        <v>92.653199999999998</v>
      </c>
      <c r="D520">
        <f xml:space="preserve"> SUMIFS(market_prices!$E:$E,market_prices!$B:$B,$A520,market_prices!$C:$C,D$1)</f>
        <v>70.3</v>
      </c>
      <c r="E520" s="6">
        <f t="shared" si="8"/>
        <v>9.3338000233367246E-4</v>
      </c>
      <c r="F520" s="6">
        <f>rates[[#This Row],[EUR/INR]]/C519-1</f>
        <v>2.6968529500888128E-3</v>
      </c>
      <c r="G520" s="6">
        <f>rates[[#This Row],[WTI Crude]]/D519-1</f>
        <v>3.5688793718773315E-3</v>
      </c>
    </row>
    <row r="521" spans="1:7" x14ac:dyDescent="0.3">
      <c r="A521" s="1">
        <v>45744</v>
      </c>
      <c r="B521">
        <f xml:space="preserve"> SUMIFS(market_prices!$E:$E,market_prices!$B:$B,$A521,market_prices!$C:$C,B$1)</f>
        <v>85.51</v>
      </c>
      <c r="C521">
        <f xml:space="preserve"> SUMIFS(market_prices!$E:$E,market_prices!$B:$B,$A521,market_prices!$C:$C,C$1)</f>
        <v>92.573099999999997</v>
      </c>
      <c r="D521">
        <f xml:space="preserve"> SUMIFS(market_prices!$E:$E,market_prices!$B:$B,$A521,market_prices!$C:$C,D$1)</f>
        <v>69.739999999999995</v>
      </c>
      <c r="E521" s="6">
        <f t="shared" si="8"/>
        <v>-3.263783657769026E-3</v>
      </c>
      <c r="F521" s="6">
        <f>rates[[#This Row],[EUR/INR]]/C520-1</f>
        <v>-8.6451412363519609E-4</v>
      </c>
      <c r="G521" s="6">
        <f>rates[[#This Row],[WTI Crude]]/D520-1</f>
        <v>-7.9658605974395336E-3</v>
      </c>
    </row>
    <row r="522" spans="1:7" x14ac:dyDescent="0.3">
      <c r="A522" s="1">
        <v>45747</v>
      </c>
      <c r="B522">
        <f xml:space="preserve"> SUMIFS(market_prices!$E:$E,market_prices!$B:$B,$A522,market_prices!$C:$C,B$1)</f>
        <v>85.43</v>
      </c>
      <c r="C522">
        <f xml:space="preserve"> SUMIFS(market_prices!$E:$E,market_prices!$B:$B,$A522,market_prices!$C:$C,C$1)</f>
        <v>92.230199999999996</v>
      </c>
      <c r="D522">
        <f xml:space="preserve"> SUMIFS(market_prices!$E:$E,market_prices!$B:$B,$A522,market_prices!$C:$C,D$1)</f>
        <v>71.87</v>
      </c>
      <c r="E522" s="6">
        <f t="shared" si="8"/>
        <v>-9.3556309203601806E-4</v>
      </c>
      <c r="F522" s="6">
        <f>rates[[#This Row],[EUR/INR]]/C521-1</f>
        <v>-3.7040997870871895E-3</v>
      </c>
      <c r="G522" s="6">
        <f>rates[[#This Row],[WTI Crude]]/D521-1</f>
        <v>3.0542013191855677E-2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BA41-A750-4790-B37F-52CD72F2B1B1}">
  <dimension ref="B2:E6"/>
  <sheetViews>
    <sheetView workbookViewId="0">
      <selection activeCell="L19" sqref="L19"/>
    </sheetView>
  </sheetViews>
  <sheetFormatPr defaultRowHeight="14.4" x14ac:dyDescent="0.3"/>
  <cols>
    <col min="1" max="1" width="2.77734375" customWidth="1"/>
    <col min="2" max="2" width="21.88671875" bestFit="1" customWidth="1"/>
    <col min="3" max="3" width="10.109375" customWidth="1"/>
    <col min="4" max="4" width="10.5546875" customWidth="1"/>
    <col min="5" max="5" width="11.5546875" customWidth="1"/>
  </cols>
  <sheetData>
    <row r="2" spans="2:5" x14ac:dyDescent="0.3">
      <c r="B2" s="7" t="s">
        <v>6515</v>
      </c>
      <c r="C2" s="7" t="s">
        <v>5452</v>
      </c>
      <c r="D2" s="7" t="s">
        <v>4925</v>
      </c>
      <c r="E2" s="7" t="s">
        <v>5976</v>
      </c>
    </row>
    <row r="3" spans="2:5" x14ac:dyDescent="0.3">
      <c r="B3" t="s">
        <v>6516</v>
      </c>
      <c r="C3" s="6">
        <f>_xlfn.STDEV.S('rates'!E3:E522)</f>
        <v>1.5458475571293998E-3</v>
      </c>
      <c r="D3" s="6">
        <f>_xlfn.STDEV.S('rates'!F3:F522)</f>
        <v>4.0790224100706787E-3</v>
      </c>
      <c r="E3" s="6">
        <f>_xlfn.STDEV.S('rates'!G3:G522)</f>
        <v>1.8573566622924472E-2</v>
      </c>
    </row>
    <row r="4" spans="2:5" x14ac:dyDescent="0.3">
      <c r="B4" t="s">
        <v>6517</v>
      </c>
      <c r="C4" s="6">
        <f>C3*SQRT(252)</f>
        <v>2.4539569205886628E-2</v>
      </c>
      <c r="D4" s="6">
        <f t="shared" ref="D4:E4" si="0">D3*SQRT(252)</f>
        <v>6.4752473335838071E-2</v>
      </c>
      <c r="E4" s="6">
        <f t="shared" si="0"/>
        <v>0.29484622946248767</v>
      </c>
    </row>
    <row r="5" spans="2:5" x14ac:dyDescent="0.3">
      <c r="B5" t="s">
        <v>6518</v>
      </c>
      <c r="C5" s="6">
        <f>-_xlfn.PERCENTILE.INC('rates'!E3:E522,0.05)</f>
        <v>2.3700944320847405E-3</v>
      </c>
      <c r="D5" s="6">
        <f>-_xlfn.PERCENTILE.INC('rates'!F3:F522,0.05)</f>
        <v>5.9949848886142292E-3</v>
      </c>
      <c r="E5" s="6">
        <f>-_xlfn.PERCENTILE.INC('rates'!G3:G522,0.05)</f>
        <v>3.1999705276186383E-2</v>
      </c>
    </row>
    <row r="6" spans="2:5" x14ac:dyDescent="0.3">
      <c r="B6" t="s">
        <v>6519</v>
      </c>
      <c r="C6" s="6">
        <f>_xlfn.PERCENTILE.INC('rates'!E3:E522,0.95)</f>
        <v>2.3197220471936498E-3</v>
      </c>
      <c r="D6" s="6">
        <f>_xlfn.PERCENTILE.INC('rates'!F3:F522,0.95)</f>
        <v>6.6767600711693294E-3</v>
      </c>
      <c r="E6" s="6">
        <f>_xlfn.PERCENTILE.INC('rates'!G3:G522,0.95)</f>
        <v>2.9101812422928579E-2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7023-946A-4D27-8942-14FBA1CE5F32}">
  <dimension ref="A1:J9"/>
  <sheetViews>
    <sheetView tabSelected="1" workbookViewId="0">
      <selection activeCell="N13" sqref="N13"/>
    </sheetView>
  </sheetViews>
  <sheetFormatPr defaultRowHeight="14.4" x14ac:dyDescent="0.3"/>
  <cols>
    <col min="1" max="1" width="2.77734375" style="9" customWidth="1"/>
    <col min="2" max="2" width="14.88671875" customWidth="1"/>
    <col min="3" max="3" width="16.21875" customWidth="1"/>
    <col min="4" max="4" width="13.6640625" bestFit="1" customWidth="1"/>
    <col min="5" max="5" width="13.88671875" customWidth="1"/>
    <col min="6" max="6" width="13.6640625" bestFit="1" customWidth="1"/>
  </cols>
  <sheetData>
    <row r="1" spans="2:10" s="9" customFormat="1" x14ac:dyDescent="0.3"/>
    <row r="2" spans="2:10" x14ac:dyDescent="0.3">
      <c r="B2" s="9" t="s">
        <v>6525</v>
      </c>
      <c r="C2" s="9" t="s">
        <v>6526</v>
      </c>
      <c r="D2" s="9" t="s">
        <v>6527</v>
      </c>
      <c r="E2" s="10" t="s">
        <v>6528</v>
      </c>
      <c r="F2" s="9" t="s">
        <v>6529</v>
      </c>
      <c r="G2" s="9" t="s">
        <v>6530</v>
      </c>
      <c r="H2" s="9" t="s">
        <v>6531</v>
      </c>
      <c r="I2" s="9" t="s">
        <v>6532</v>
      </c>
      <c r="J2" s="9" t="s">
        <v>77</v>
      </c>
    </row>
    <row r="3" spans="2:10" x14ac:dyDescent="0.3">
      <c r="B3" t="s">
        <v>566</v>
      </c>
      <c r="C3" s="5">
        <f>AVERAGEIFS(treasury_monthly!$I:$I,treasury_monthly!$B:$B,$B3)</f>
        <v>852989075.79166663</v>
      </c>
      <c r="D3" s="5">
        <f>SUMIFS(invoices!$N:$N,invoices!$C:$C,$B3)</f>
        <v>8742142592.3116894</v>
      </c>
      <c r="E3" s="5">
        <f>AVERAGEIFS(treasury_monthly!$H:$H,treasury_monthly!$B:$B,$B3)</f>
        <v>268929375.20833331</v>
      </c>
      <c r="F3" s="5">
        <f>SUMIFS(purchases!$M:$M,purchases!$C:$C,$B3)</f>
        <v>3019613026.0506001</v>
      </c>
      <c r="G3" s="11">
        <f>C3/D3*$C$8</f>
        <v>71.32519377481654</v>
      </c>
      <c r="H3" s="11">
        <f>E3/F3*$C$8</f>
        <v>65.103498885885855</v>
      </c>
      <c r="I3" s="11">
        <f>AVERAGEIFS(purchases!$N:$N,purchases!$C:$C,$B3)</f>
        <v>44.481481481481481</v>
      </c>
      <c r="J3" s="11">
        <f>G3+H3-I3</f>
        <v>91.947211179220901</v>
      </c>
    </row>
    <row r="4" spans="2:10" x14ac:dyDescent="0.3">
      <c r="B4" t="s">
        <v>558</v>
      </c>
      <c r="C4" s="5">
        <f>AVERAGEIFS(treasury_monthly!$I:$I,treasury_monthly!$B:$B,$B4)</f>
        <v>511536964.625</v>
      </c>
      <c r="D4" s="5">
        <f>SUMIFS(invoices!$N:$N,invoices!$C:$C,$B4)</f>
        <v>4620372702.3894663</v>
      </c>
      <c r="E4" s="5">
        <f>AVERAGEIFS(treasury_monthly!$H:$H,treasury_monthly!$B:$B,$B4)</f>
        <v>233208241.875</v>
      </c>
      <c r="F4" s="5">
        <f>SUMIFS(purchases!$M:$M,purchases!$C:$C,$B4)</f>
        <v>2584537443.6753983</v>
      </c>
      <c r="G4" s="11">
        <f>C4/D4*$C$8</f>
        <v>80.931462725397026</v>
      </c>
      <c r="H4" s="11">
        <f>E4/F4*$C$8</f>
        <v>65.95966532726915</v>
      </c>
      <c r="I4" s="11">
        <f>AVERAGEIFS(purchases!$N:$N,purchases!$C:$C,$B4)</f>
        <v>45.079575596816973</v>
      </c>
      <c r="J4" s="11">
        <f t="shared" ref="J4:J7" si="0">G4+H4-I4</f>
        <v>101.81155245584921</v>
      </c>
    </row>
    <row r="5" spans="2:10" x14ac:dyDescent="0.3">
      <c r="B5" t="s">
        <v>575</v>
      </c>
      <c r="C5" s="5">
        <f>AVERAGEIFS(treasury_monthly!$I:$I,treasury_monthly!$B:$B,$B5)</f>
        <v>325885159.45833331</v>
      </c>
      <c r="D5" s="5">
        <f>SUMIFS(invoices!$N:$N,invoices!$C:$C,$B5)</f>
        <v>3152642660.2172842</v>
      </c>
      <c r="E5" s="5">
        <f>AVERAGEIFS(treasury_monthly!$H:$H,treasury_monthly!$B:$B,$B5)</f>
        <v>131186555.33333333</v>
      </c>
      <c r="F5" s="5">
        <f>SUMIFS(purchases!$M:$M,purchases!$C:$C,$B5)</f>
        <v>1488995904.9583986</v>
      </c>
      <c r="G5" s="11">
        <f>C5/D5*$C$8</f>
        <v>75.562655600055564</v>
      </c>
      <c r="H5" s="11">
        <f>E5/F5*$C$8</f>
        <v>64.404053516417136</v>
      </c>
      <c r="I5" s="11">
        <f>AVERAGEIFS(purchases!$N:$N,purchases!$C:$C,$B5)</f>
        <v>44.475000000000001</v>
      </c>
      <c r="J5" s="11">
        <f t="shared" si="0"/>
        <v>95.49170911647272</v>
      </c>
    </row>
    <row r="6" spans="2:10" x14ac:dyDescent="0.3">
      <c r="B6" t="s">
        <v>554</v>
      </c>
      <c r="C6" s="5">
        <f>AVERAGEIFS(treasury_monthly!$I:$I,treasury_monthly!$B:$B,$B6)</f>
        <v>391587798.82608694</v>
      </c>
      <c r="D6" s="5">
        <f>SUMIFS(invoices!$N:$N,invoices!$C:$C,$B6)</f>
        <v>4325067606.0963621</v>
      </c>
      <c r="E6" s="5">
        <f>AVERAGEIFS(treasury_monthly!$H:$H,treasury_monthly!$B:$B,$B6)</f>
        <v>144401133.82608697</v>
      </c>
      <c r="F6" s="5">
        <f>SUMIFS(purchases!$M:$M,purchases!$C:$C,$B6)</f>
        <v>1535443297.1591001</v>
      </c>
      <c r="G6" s="11">
        <f>C6/D6*$C$8</f>
        <v>66.184093986967355</v>
      </c>
      <c r="H6" s="11">
        <f>E6/F6*$C$8</f>
        <v>68.747070648700031</v>
      </c>
      <c r="I6" s="11">
        <f>AVERAGEIFS(purchases!$N:$N,purchases!$C:$C,$B6)</f>
        <v>43.392857142857146</v>
      </c>
      <c r="J6" s="11">
        <f t="shared" si="0"/>
        <v>91.538307492810247</v>
      </c>
    </row>
    <row r="7" spans="2:10" x14ac:dyDescent="0.3">
      <c r="B7" t="s">
        <v>560</v>
      </c>
      <c r="C7" s="5">
        <f>AVERAGEIFS(treasury_monthly!$I:$I,treasury_monthly!$B:$B,$B7)</f>
        <v>344861965.04166669</v>
      </c>
      <c r="D7" s="5">
        <f>SUMIFS(invoices!$N:$N,invoices!$C:$C,$B7)</f>
        <v>2999763060.1527615</v>
      </c>
      <c r="E7" s="5">
        <f>AVERAGEIFS(treasury_monthly!$H:$H,treasury_monthly!$B:$B,$B7)</f>
        <v>169418322.20833334</v>
      </c>
      <c r="F7" s="5">
        <f>SUMIFS(purchases!$M:$M,purchases!$C:$C,$B7)</f>
        <v>1936573685.1788003</v>
      </c>
      <c r="G7" s="11">
        <f>C7/D7*$C$8</f>
        <v>84.038002799001262</v>
      </c>
      <c r="H7" s="11">
        <f>E7/F7*$C$8</f>
        <v>63.950468026140364</v>
      </c>
      <c r="I7" s="11">
        <f>AVERAGEIFS(purchases!$N:$N,purchases!$C:$C,$B7)</f>
        <v>44.53287197231834</v>
      </c>
      <c r="J7" s="11">
        <f t="shared" si="0"/>
        <v>103.4555988528233</v>
      </c>
    </row>
    <row r="8" spans="2:10" x14ac:dyDescent="0.3">
      <c r="B8" s="9" t="s">
        <v>6524</v>
      </c>
      <c r="C8">
        <f>DATE(2025,3,31)-DATE(2023,4,1)+1</f>
        <v>731</v>
      </c>
    </row>
    <row r="9" spans="2:10" x14ac:dyDescent="0.3">
      <c r="B9" s="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B242-6A86-436C-9A98-1DD23E141256}">
  <dimension ref="B2:D8"/>
  <sheetViews>
    <sheetView zoomScaleNormal="100" workbookViewId="0">
      <selection activeCell="G23" sqref="G23"/>
    </sheetView>
  </sheetViews>
  <sheetFormatPr defaultRowHeight="14.4" x14ac:dyDescent="0.3"/>
  <cols>
    <col min="1" max="1" width="2.77734375" customWidth="1"/>
    <col min="2" max="2" width="13.109375" bestFit="1" customWidth="1"/>
    <col min="3" max="3" width="14.21875" bestFit="1" customWidth="1"/>
    <col min="4" max="5" width="17.33203125" bestFit="1" customWidth="1"/>
    <col min="6" max="6" width="16.6640625" bestFit="1" customWidth="1"/>
    <col min="7" max="7" width="21.88671875" bestFit="1" customWidth="1"/>
    <col min="8" max="8" width="16.6640625" bestFit="1" customWidth="1"/>
    <col min="9" max="9" width="21.88671875" bestFit="1" customWidth="1"/>
    <col min="10" max="10" width="16.6640625" bestFit="1" customWidth="1"/>
    <col min="11" max="11" width="21.88671875" bestFit="1" customWidth="1"/>
    <col min="12" max="12" width="16.6640625" bestFit="1" customWidth="1"/>
    <col min="13" max="13" width="26.44140625" bestFit="1" customWidth="1"/>
    <col min="14" max="14" width="21.33203125" bestFit="1" customWidth="1"/>
  </cols>
  <sheetData>
    <row r="2" spans="2:4" x14ac:dyDescent="0.3">
      <c r="B2" s="3" t="s">
        <v>6520</v>
      </c>
      <c r="C2" t="s">
        <v>6521</v>
      </c>
      <c r="D2" t="s">
        <v>6522</v>
      </c>
    </row>
    <row r="3" spans="2:4" x14ac:dyDescent="0.3">
      <c r="B3" s="4" t="s">
        <v>6506</v>
      </c>
      <c r="C3">
        <v>47</v>
      </c>
      <c r="D3" s="8">
        <v>33.451257330857096</v>
      </c>
    </row>
    <row r="4" spans="2:4" x14ac:dyDescent="0.3">
      <c r="B4" s="4" t="s">
        <v>6507</v>
      </c>
      <c r="C4">
        <v>15</v>
      </c>
      <c r="D4" s="8">
        <v>9.115476447599999</v>
      </c>
    </row>
    <row r="5" spans="2:4" x14ac:dyDescent="0.3">
      <c r="B5" s="4" t="s">
        <v>6508</v>
      </c>
      <c r="C5">
        <v>11</v>
      </c>
      <c r="D5" s="8">
        <v>6.4302572607426001</v>
      </c>
    </row>
    <row r="6" spans="2:4" x14ac:dyDescent="0.3">
      <c r="B6" s="4" t="s">
        <v>6509</v>
      </c>
      <c r="C6">
        <v>112</v>
      </c>
      <c r="D6" s="8">
        <v>43.607400698894004</v>
      </c>
    </row>
    <row r="7" spans="2:4" x14ac:dyDescent="0.3">
      <c r="B7" s="4" t="s">
        <v>6510</v>
      </c>
      <c r="C7">
        <v>231</v>
      </c>
      <c r="D7" s="8">
        <v>194.78669552941381</v>
      </c>
    </row>
    <row r="8" spans="2:4" x14ac:dyDescent="0.3">
      <c r="B8" s="4" t="s">
        <v>6511</v>
      </c>
      <c r="C8">
        <v>416</v>
      </c>
      <c r="D8" s="8">
        <v>287.39108726750754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275F3C-ED6E-41BA-8365-8EDD6B655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business_units</vt:lpstr>
      <vt:lpstr>treasury_monthly</vt:lpstr>
      <vt:lpstr>invoices</vt:lpstr>
      <vt:lpstr>customers</vt:lpstr>
      <vt:lpstr>purchases</vt:lpstr>
      <vt:lpstr>market_prices</vt:lpstr>
      <vt:lpstr>rates</vt:lpstr>
      <vt:lpstr>market_risk</vt:lpstr>
      <vt:lpstr>working_capital</vt:lpstr>
      <vt:lpstr>aging_pivot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</dc:creator>
  <cp:lastModifiedBy>PRAKASH S</cp:lastModifiedBy>
  <dcterms:created xsi:type="dcterms:W3CDTF">2026-10-14T11:45:23Z</dcterms:created>
  <dcterms:modified xsi:type="dcterms:W3CDTF">2026-10-16T15:49:23Z</dcterms:modified>
</cp:coreProperties>
</file>